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" i="1" l="1"/>
</calcChain>
</file>

<file path=xl/sharedStrings.xml><?xml version="1.0" encoding="utf-8"?>
<sst xmlns="http://schemas.openxmlformats.org/spreadsheetml/2006/main" count="199" uniqueCount="50">
  <si>
    <t>FAC1034</t>
  </si>
  <si>
    <t>FARMIRAL</t>
  </si>
  <si>
    <t>PPD</t>
  </si>
  <si>
    <t>MXN</t>
  </si>
  <si>
    <t>Timbrada</t>
  </si>
  <si>
    <t>FAC1016</t>
  </si>
  <si>
    <t>FAC872</t>
  </si>
  <si>
    <t>FAC815</t>
  </si>
  <si>
    <t>FAC814</t>
  </si>
  <si>
    <t>FAC598</t>
  </si>
  <si>
    <t>FAC538</t>
  </si>
  <si>
    <t>FAC537</t>
  </si>
  <si>
    <t>FAC534</t>
  </si>
  <si>
    <t>FAC504</t>
  </si>
  <si>
    <t>FAC384</t>
  </si>
  <si>
    <t>FAC363</t>
  </si>
  <si>
    <t>FAC333</t>
  </si>
  <si>
    <t>FAC314</t>
  </si>
  <si>
    <t>FAC261</t>
  </si>
  <si>
    <t>FAC192</t>
  </si>
  <si>
    <t>FAC186</t>
  </si>
  <si>
    <t>SALDO PENDIENTE</t>
  </si>
  <si>
    <t>FACTURAS VENCIDAS</t>
  </si>
  <si>
    <t>FAC2215</t>
  </si>
  <si>
    <t>Por cobrar</t>
  </si>
  <si>
    <t>FAC2214</t>
  </si>
  <si>
    <t>FAC1972</t>
  </si>
  <si>
    <t>FAC1959</t>
  </si>
  <si>
    <t>FAC1834</t>
  </si>
  <si>
    <t>FAC1783</t>
  </si>
  <si>
    <t>FAC1782</t>
  </si>
  <si>
    <t>FAC1697</t>
  </si>
  <si>
    <t>FAC3226</t>
  </si>
  <si>
    <t>FAC2918</t>
  </si>
  <si>
    <t>FAC3386</t>
  </si>
  <si>
    <t>FAC3425</t>
  </si>
  <si>
    <t>FAC3388</t>
  </si>
  <si>
    <t>FAC4135</t>
  </si>
  <si>
    <t>FAC3928</t>
  </si>
  <si>
    <t>FAC3879</t>
  </si>
  <si>
    <t>FAC3878</t>
  </si>
  <si>
    <t>FAC3789</t>
  </si>
  <si>
    <t>FAC3762</t>
  </si>
  <si>
    <t>FAC3736</t>
  </si>
  <si>
    <t>FAC4884</t>
  </si>
  <si>
    <t>PUE</t>
  </si>
  <si>
    <t>FAC5738</t>
  </si>
  <si>
    <t xml:space="preserve">   Timbrada</t>
  </si>
  <si>
    <t>TOTAL</t>
  </si>
  <si>
    <t>ESTADO DE CUENTA FARMIRAL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</si>
</sst>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3C763D"/>
      <name val="FontAwesome"/>
    </font>
    <font>
      <sz val="9"/>
      <color theme="1"/>
      <name val="FontAwesome"/>
    </font>
    <font>
      <u/>
      <sz val="11"/>
      <color theme="1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73879C"/>
      <name val="Arial"/>
      <family val="2"/>
    </font>
    <font>
      <sz val="9"/>
      <color rgb="FF73879C"/>
      <name val="FontAwesome"/>
    </font>
    <font>
      <sz val="9"/>
      <color theme="1" tint="4.9989318521683403E-2"/>
      <name val="Arial"/>
      <family val="2"/>
    </font>
    <font>
      <sz val="9"/>
      <color theme="1" tint="4.9989318521683403E-2"/>
      <name val="FontAwesome"/>
    </font>
    <font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4" fillId="2" borderId="1" xfId="1" applyFill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8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22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8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4" borderId="0" xfId="0" applyFill="1"/>
    <xf numFmtId="22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1" applyFill="1" applyBorder="1" applyAlignment="1">
      <alignment horizontal="center" vertical="center" wrapText="1"/>
    </xf>
    <xf numFmtId="22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8" fontId="9" fillId="2" borderId="1" xfId="0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8" fontId="9" fillId="4" borderId="1" xfId="0" applyNumberFormat="1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8" fontId="9" fillId="3" borderId="1" xfId="0" applyNumberFormat="1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center" vertical="center" wrapText="1"/>
    </xf>
    <xf numFmtId="11" fontId="7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scomprobantes.com/sales/customer-invoices/588?filter_date_from=01-06-2022&amp;filter_date_to=30-06-2025&amp;filter_customer_id=4&amp;limit=1000&amp;filter_document_type_code=customer.invoice&amp;sort=date&amp;direction=desc" TargetMode="External"/><Relationship Id="rId13" Type="http://schemas.openxmlformats.org/officeDocument/2006/relationships/hyperlink" Target="https://www.mascomprobantes.com/sales/customer-invoices/361?filter_date_from=01-06-2022&amp;filter_date_to=30-06-2025&amp;filter_customer_id=4&amp;limit=1000&amp;filter_document_type_code=customer.invoice&amp;sort=date&amp;direction=desc" TargetMode="External"/><Relationship Id="rId18" Type="http://schemas.openxmlformats.org/officeDocument/2006/relationships/hyperlink" Target="https://www.mascomprobantes.com/sales/customer-invoices/2534?filter_date_from=01-06-2022&amp;filter_date_to=30-06-2025&amp;filter_customer_id=4&amp;limit=1000&amp;filter_document_type_code=customer.invoice&amp;sort=date&amp;direction=desc" TargetMode="External"/><Relationship Id="rId26" Type="http://schemas.openxmlformats.org/officeDocument/2006/relationships/hyperlink" Target="https://www.mascomprobantes.com/sales/customer-invoices/3582?filter_date_from=01-06-2022&amp;filter_date_to=30-06-2025&amp;filter_customer_id=4&amp;limit=1000&amp;filter_document_type_code=customer.invoice&amp;sort=date&amp;direction=desc" TargetMode="External"/><Relationship Id="rId39" Type="http://schemas.openxmlformats.org/officeDocument/2006/relationships/hyperlink" Target="https://www.mascomprobantes.com/sales/customer-invoices/6235?filter_date_from=01-06-2022&amp;filter_date_to=30-06-2025&amp;filter_customer_id=4&amp;limit=1000&amp;filter_document_type_code=customer.invoice&amp;sort=date&amp;direction=desc" TargetMode="External"/><Relationship Id="rId3" Type="http://schemas.openxmlformats.org/officeDocument/2006/relationships/hyperlink" Target="https://www.mascomprobantes.com/sales/customer-invoices/990?filter_date_from=01-06-2022&amp;filter_date_to=30-06-2025&amp;filter_customer_id=4&amp;limit=1000&amp;filter_document_type_code=customer.invoice&amp;sort=date&amp;direction=desc" TargetMode="External"/><Relationship Id="rId21" Type="http://schemas.openxmlformats.org/officeDocument/2006/relationships/hyperlink" Target="https://www.mascomprobantes.com/sales/customer-invoices/2249?filter_date_from=01-06-2022&amp;filter_date_to=30-06-2025&amp;filter_customer_id=4&amp;limit=1000&amp;filter_document_type_code=customer.invoice&amp;sort=date&amp;direction=desc" TargetMode="External"/><Relationship Id="rId34" Type="http://schemas.openxmlformats.org/officeDocument/2006/relationships/hyperlink" Target="https://www.mascomprobantes.com/sales/customer-invoices/4264?filter_date_from=01-06-2022&amp;filter_date_to=30-06-2025&amp;filter_customer_id=4&amp;limit=1000&amp;filter_document_type_code=customer.invoice&amp;sort=date&amp;direction=desc" TargetMode="External"/><Relationship Id="rId7" Type="http://schemas.openxmlformats.org/officeDocument/2006/relationships/hyperlink" Target="https://www.mascomprobantes.com/sales/customer-invoices/589?filter_date_from=01-06-2022&amp;filter_date_to=30-06-2025&amp;filter_customer_id=4&amp;limit=1000&amp;filter_document_type_code=customer.invoice&amp;sort=date&amp;direction=desc" TargetMode="External"/><Relationship Id="rId12" Type="http://schemas.openxmlformats.org/officeDocument/2006/relationships/hyperlink" Target="https://www.mascomprobantes.com/sales/customer-invoices/394?filter_date_from=01-06-2022&amp;filter_date_to=30-06-2025&amp;filter_customer_id=4&amp;limit=1000&amp;filter_document_type_code=customer.invoice&amp;sort=date&amp;direction=desc" TargetMode="External"/><Relationship Id="rId17" Type="http://schemas.openxmlformats.org/officeDocument/2006/relationships/hyperlink" Target="https://www.mascomprobantes.com/sales/customer-invoices/199?filter_date_from=01-06-2022&amp;filter_date_to=30-06-2025&amp;filter_customer_id=4&amp;limit=1000&amp;filter_document_type_code=customer.invoice&amp;sort=date&amp;direction=desc" TargetMode="External"/><Relationship Id="rId25" Type="http://schemas.openxmlformats.org/officeDocument/2006/relationships/hyperlink" Target="https://www.mascomprobantes.com/sales/customer-invoices/1946?filter_date_from=01-06-2022&amp;filter_date_to=30-06-2025&amp;filter_customer_id=4&amp;limit=1000&amp;filter_document_type_code=customer.invoice&amp;sort=date&amp;direction=desc" TargetMode="External"/><Relationship Id="rId33" Type="http://schemas.openxmlformats.org/officeDocument/2006/relationships/hyperlink" Target="https://www.mascomprobantes.com/sales/customer-invoices/4266?filter_date_from=01-06-2022&amp;filter_date_to=30-06-2025&amp;filter_customer_id=4&amp;limit=1000&amp;filter_document_type_code=customer.invoice&amp;sort=date&amp;direction=desc" TargetMode="External"/><Relationship Id="rId38" Type="http://schemas.openxmlformats.org/officeDocument/2006/relationships/hyperlink" Target="https://www.mascomprobantes.com/sales/customer-invoices/5306?filter_date_from=01-06-2022&amp;filter_date_to=30-06-2025&amp;filter_customer_id=4&amp;limit=1000&amp;filter_document_type_code=customer.invoice&amp;sort=date&amp;direction=desc" TargetMode="External"/><Relationship Id="rId2" Type="http://schemas.openxmlformats.org/officeDocument/2006/relationships/hyperlink" Target="https://www.mascomprobantes.com/sales/customer-invoices/1168?filter_date_from=01-06-2022&amp;filter_date_to=30-06-2025&amp;filter_customer_id=4&amp;limit=1000&amp;filter_document_type_code=customer.invoice&amp;sort=date&amp;direction=desc" TargetMode="External"/><Relationship Id="rId16" Type="http://schemas.openxmlformats.org/officeDocument/2006/relationships/hyperlink" Target="https://www.mascomprobantes.com/sales/customer-invoices/204?filter_date_from=01-06-2022&amp;filter_date_to=30-06-2025&amp;filter_customer_id=4&amp;limit=1000&amp;filter_document_type_code=customer.invoice&amp;sort=date&amp;direction=desc" TargetMode="External"/><Relationship Id="rId20" Type="http://schemas.openxmlformats.org/officeDocument/2006/relationships/hyperlink" Target="https://www.mascomprobantes.com/sales/customer-invoices/2265?filter_date_from=01-06-2022&amp;filter_date_to=30-06-2025&amp;filter_customer_id=4&amp;limit=1000&amp;filter_document_type_code=customer.invoice&amp;sort=date&amp;direction=desc" TargetMode="External"/><Relationship Id="rId29" Type="http://schemas.openxmlformats.org/officeDocument/2006/relationships/hyperlink" Target="https://www.mascomprobantes.com/sales/customer-invoices/3783?filter_date_from=01-06-2022&amp;filter_date_to=30-06-2025&amp;filter_customer_id=4&amp;limit=1000&amp;filter_document_type_code=customer.invoice&amp;sort=date&amp;direction=desc" TargetMode="External"/><Relationship Id="rId1" Type="http://schemas.openxmlformats.org/officeDocument/2006/relationships/hyperlink" Target="https://www.mascomprobantes.com/sales/customer-invoices/1190?filter_date_from=01-06-2022&amp;filter_date_to=30-06-2025&amp;filter_customer_id=4&amp;limit=1000&amp;filter_document_type_code=customer.invoice&amp;sort=date&amp;direction=desc" TargetMode="External"/><Relationship Id="rId6" Type="http://schemas.openxmlformats.org/officeDocument/2006/relationships/hyperlink" Target="https://www.mascomprobantes.com/sales/customer-invoices/657?filter_date_from=01-06-2022&amp;filter_date_to=30-06-2025&amp;filter_customer_id=4&amp;limit=1000&amp;filter_document_type_code=customer.invoice&amp;sort=date&amp;direction=desc" TargetMode="External"/><Relationship Id="rId11" Type="http://schemas.openxmlformats.org/officeDocument/2006/relationships/hyperlink" Target="https://www.mascomprobantes.com/sales/customer-invoices/417?filter_date_from=01-06-2022&amp;filter_date_to=30-06-2025&amp;filter_customer_id=4&amp;limit=1000&amp;filter_document_type_code=customer.invoice&amp;sort=date&amp;direction=desc" TargetMode="External"/><Relationship Id="rId24" Type="http://schemas.openxmlformats.org/officeDocument/2006/relationships/hyperlink" Target="https://www.mascomprobantes.com/sales/customer-invoices/2044?filter_date_from=01-06-2022&amp;filter_date_to=30-06-2025&amp;filter_customer_id=4&amp;limit=1000&amp;filter_document_type_code=customer.invoice&amp;sort=date&amp;direction=desc" TargetMode="External"/><Relationship Id="rId32" Type="http://schemas.openxmlformats.org/officeDocument/2006/relationships/hyperlink" Target="https://www.mascomprobantes.com/sales/customer-invoices/4315?filter_date_from=01-06-2022&amp;filter_date_to=30-06-2025&amp;filter_customer_id=4&amp;limit=1000&amp;filter_document_type_code=customer.invoice&amp;sort=date&amp;direction=desc" TargetMode="External"/><Relationship Id="rId37" Type="http://schemas.openxmlformats.org/officeDocument/2006/relationships/hyperlink" Target="https://www.mascomprobantes.com/sales/customer-invoices/4118?filter_date_from=01-06-2022&amp;filter_date_to=30-06-2025&amp;filter_customer_id=4&amp;limit=1000&amp;filter_document_type_code=customer.invoice&amp;sort=date&amp;direction=desc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mascomprobantes.com/sales/customer-invoices/912?filter_date_from=01-06-2022&amp;filter_date_to=30-06-2025&amp;filter_customer_id=4&amp;limit=1000&amp;filter_document_type_code=customer.invoice&amp;sort=date&amp;direction=desc" TargetMode="External"/><Relationship Id="rId15" Type="http://schemas.openxmlformats.org/officeDocument/2006/relationships/hyperlink" Target="https://www.mascomprobantes.com/sales/customer-invoices/284?filter_date_from=01-06-2022&amp;filter_date_to=30-06-2025&amp;filter_customer_id=4&amp;limit=1000&amp;filter_document_type_code=customer.invoice&amp;sort=date&amp;direction=desc" TargetMode="External"/><Relationship Id="rId23" Type="http://schemas.openxmlformats.org/officeDocument/2006/relationships/hyperlink" Target="https://www.mascomprobantes.com/sales/customer-invoices/2045?filter_date_from=01-06-2022&amp;filter_date_to=30-06-2025&amp;filter_customer_id=4&amp;limit=1000&amp;filter_document_type_code=customer.invoice&amp;sort=date&amp;direction=desc" TargetMode="External"/><Relationship Id="rId28" Type="http://schemas.openxmlformats.org/officeDocument/2006/relationships/hyperlink" Target="https://www.mascomprobantes.com/sales/customer-invoices/3744?filter_date_from=01-06-2022&amp;filter_date_to=30-06-2025&amp;filter_customer_id=4&amp;limit=1000&amp;filter_document_type_code=customer.invoice&amp;sort=date&amp;direction=desc" TargetMode="External"/><Relationship Id="rId36" Type="http://schemas.openxmlformats.org/officeDocument/2006/relationships/hyperlink" Target="https://www.mascomprobantes.com/sales/customer-invoices/4143?filter_date_from=01-06-2022&amp;filter_date_to=30-06-2025&amp;filter_customer_id=4&amp;limit=1000&amp;filter_document_type_code=customer.invoice&amp;sort=date&amp;direction=desc" TargetMode="External"/><Relationship Id="rId10" Type="http://schemas.openxmlformats.org/officeDocument/2006/relationships/hyperlink" Target="https://www.mascomprobantes.com/sales/customer-invoices/548?filter_date_from=01-06-2022&amp;filter_date_to=30-06-2025&amp;filter_customer_id=4&amp;limit=1000&amp;filter_document_type_code=customer.invoice&amp;sort=date&amp;direction=desc" TargetMode="External"/><Relationship Id="rId19" Type="http://schemas.openxmlformats.org/officeDocument/2006/relationships/hyperlink" Target="https://www.mascomprobantes.com/sales/customer-invoices/2533?filter_date_from=01-06-2022&amp;filter_date_to=30-06-2025&amp;filter_customer_id=4&amp;limit=1000&amp;filter_document_type_code=customer.invoice&amp;sort=date&amp;direction=desc" TargetMode="External"/><Relationship Id="rId31" Type="http://schemas.openxmlformats.org/officeDocument/2006/relationships/hyperlink" Target="https://www.mascomprobantes.com/sales/customer-invoices/4533?filter_date_from=01-06-2022&amp;filter_date_to=30-06-2025&amp;filter_customer_id=4&amp;limit=1000&amp;filter_document_type_code=customer.invoice&amp;sort=date&amp;direction=desc" TargetMode="External"/><Relationship Id="rId4" Type="http://schemas.openxmlformats.org/officeDocument/2006/relationships/hyperlink" Target="https://www.mascomprobantes.com/sales/customer-invoices/915?filter_date_from=01-06-2022&amp;filter_date_to=30-06-2025&amp;filter_customer_id=4&amp;limit=1000&amp;filter_document_type_code=customer.invoice&amp;sort=date&amp;direction=desc" TargetMode="External"/><Relationship Id="rId9" Type="http://schemas.openxmlformats.org/officeDocument/2006/relationships/hyperlink" Target="https://www.mascomprobantes.com/sales/customer-invoices/585?filter_date_from=01-06-2022&amp;filter_date_to=30-06-2025&amp;filter_customer_id=4&amp;limit=1000&amp;filter_document_type_code=customer.invoice&amp;sort=date&amp;direction=desc" TargetMode="External"/><Relationship Id="rId14" Type="http://schemas.openxmlformats.org/officeDocument/2006/relationships/hyperlink" Target="https://www.mascomprobantes.com/sales/customer-invoices/341?filter_date_from=01-06-2022&amp;filter_date_to=30-06-2025&amp;filter_customer_id=4&amp;limit=1000&amp;filter_document_type_code=customer.invoice&amp;sort=date&amp;direction=desc" TargetMode="External"/><Relationship Id="rId22" Type="http://schemas.openxmlformats.org/officeDocument/2006/relationships/hyperlink" Target="https://www.mascomprobantes.com/sales/customer-invoices/2101?filter_date_from=01-06-2022&amp;filter_date_to=30-06-2025&amp;filter_customer_id=4&amp;limit=1000&amp;filter_document_type_code=customer.invoice&amp;sort=date&amp;direction=desc" TargetMode="External"/><Relationship Id="rId27" Type="http://schemas.openxmlformats.org/officeDocument/2006/relationships/hyperlink" Target="https://www.mascomprobantes.com/sales/customer-invoices/3256?filter_date_from=01-06-2022&amp;filter_date_to=30-06-2025&amp;filter_customer_id=4&amp;limit=1000&amp;filter_document_type_code=customer.invoice&amp;sort=date&amp;direction=desc" TargetMode="External"/><Relationship Id="rId30" Type="http://schemas.openxmlformats.org/officeDocument/2006/relationships/hyperlink" Target="https://www.mascomprobantes.com/sales/customer-invoices/3746?filter_date_from=01-06-2022&amp;filter_date_to=30-06-2025&amp;filter_customer_id=4&amp;limit=1000&amp;filter_document_type_code=customer.invoice&amp;sort=date&amp;direction=desc" TargetMode="External"/><Relationship Id="rId35" Type="http://schemas.openxmlformats.org/officeDocument/2006/relationships/hyperlink" Target="https://www.mascomprobantes.com/sales/customer-invoices/4170?filter_date_from=01-06-2022&amp;filter_date_to=30-06-2025&amp;filter_customer_id=4&amp;limit=1000&amp;filter_document_type_code=customer.invoice&amp;sort=date&amp;direction=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S45"/>
  <sheetViews>
    <sheetView tabSelected="1" workbookViewId="0">
      <selection activeCell="G1" sqref="G1"/>
    </sheetView>
  </sheetViews>
  <sheetFormatPr baseColWidth="10" defaultRowHeight="15"/>
  <cols>
    <col min="16" max="16" width="12.7109375" bestFit="1" customWidth="1"/>
  </cols>
  <sheetData>
    <row r="1" spans="7:19" ht="46.5">
      <c r="G1" s="55" t="s">
        <v>49</v>
      </c>
    </row>
    <row r="3" spans="7:19">
      <c r="G3" s="26" t="s">
        <v>22</v>
      </c>
      <c r="P3" s="27" t="s">
        <v>21</v>
      </c>
    </row>
    <row r="5" spans="7:19" ht="15.75" thickBot="1"/>
    <row r="6" spans="7:19" ht="15.75" thickBot="1">
      <c r="G6" s="1" t="s">
        <v>0</v>
      </c>
      <c r="H6" s="2"/>
      <c r="I6" s="3"/>
      <c r="J6" s="4" t="s">
        <v>1</v>
      </c>
      <c r="K6" s="4"/>
      <c r="L6" s="3" t="s">
        <v>2</v>
      </c>
      <c r="M6" s="5">
        <v>45004</v>
      </c>
      <c r="N6" s="3" t="s">
        <v>3</v>
      </c>
      <c r="O6" s="7">
        <v>48024</v>
      </c>
      <c r="P6" s="7">
        <v>48024</v>
      </c>
      <c r="Q6" s="8"/>
      <c r="R6" s="3" t="s">
        <v>4</v>
      </c>
      <c r="S6" s="9"/>
    </row>
    <row r="7" spans="7:19" ht="15.75" thickBot="1">
      <c r="G7" s="10" t="s">
        <v>5</v>
      </c>
      <c r="H7" s="11"/>
      <c r="I7" s="12"/>
      <c r="J7" s="13" t="s">
        <v>1</v>
      </c>
      <c r="K7" s="13"/>
      <c r="L7" s="12" t="s">
        <v>2</v>
      </c>
      <c r="M7" s="14">
        <v>45002</v>
      </c>
      <c r="N7" s="12" t="s">
        <v>3</v>
      </c>
      <c r="O7" s="15">
        <v>94145.600000000006</v>
      </c>
      <c r="P7" s="15">
        <v>94145.600000000006</v>
      </c>
      <c r="Q7" s="16"/>
      <c r="R7" s="12" t="s">
        <v>4</v>
      </c>
      <c r="S7" s="17"/>
    </row>
    <row r="8" spans="7:19" ht="15.75" thickBot="1">
      <c r="G8" s="18" t="s">
        <v>6</v>
      </c>
      <c r="H8" s="19"/>
      <c r="I8" s="20"/>
      <c r="J8" s="21" t="s">
        <v>1</v>
      </c>
      <c r="K8" s="21"/>
      <c r="L8" s="20" t="s">
        <v>2</v>
      </c>
      <c r="M8" s="22">
        <v>44981</v>
      </c>
      <c r="N8" s="20" t="s">
        <v>3</v>
      </c>
      <c r="O8" s="23">
        <v>19850.150000000001</v>
      </c>
      <c r="P8" s="23">
        <v>19850.150000000001</v>
      </c>
      <c r="Q8" s="24"/>
      <c r="R8" s="20" t="s">
        <v>4</v>
      </c>
      <c r="S8" s="25"/>
    </row>
    <row r="9" spans="7:19" ht="15.75" thickBot="1">
      <c r="G9" s="10" t="s">
        <v>7</v>
      </c>
      <c r="H9" s="11"/>
      <c r="I9" s="12"/>
      <c r="J9" s="13" t="s">
        <v>1</v>
      </c>
      <c r="K9" s="13"/>
      <c r="L9" s="12" t="s">
        <v>2</v>
      </c>
      <c r="M9" s="14">
        <v>44973</v>
      </c>
      <c r="N9" s="12" t="s">
        <v>3</v>
      </c>
      <c r="O9" s="15">
        <v>1160</v>
      </c>
      <c r="P9" s="15">
        <v>1160</v>
      </c>
      <c r="Q9" s="16"/>
      <c r="R9" s="12" t="s">
        <v>4</v>
      </c>
      <c r="S9" s="17"/>
    </row>
    <row r="10" spans="7:19" ht="15.75" thickBot="1">
      <c r="G10" s="18" t="s">
        <v>8</v>
      </c>
      <c r="H10" s="19"/>
      <c r="I10" s="20"/>
      <c r="J10" s="21" t="s">
        <v>1</v>
      </c>
      <c r="K10" s="21"/>
      <c r="L10" s="20" t="s">
        <v>2</v>
      </c>
      <c r="M10" s="22">
        <v>44973</v>
      </c>
      <c r="N10" s="20" t="s">
        <v>3</v>
      </c>
      <c r="O10" s="23">
        <v>89236.479999999996</v>
      </c>
      <c r="P10" s="23">
        <v>62185.279999999999</v>
      </c>
      <c r="Q10" s="24"/>
      <c r="R10" s="20" t="s">
        <v>4</v>
      </c>
      <c r="S10" s="25"/>
    </row>
    <row r="11" spans="7:19" ht="15.75" thickBot="1">
      <c r="G11" s="10" t="s">
        <v>9</v>
      </c>
      <c r="H11" s="11"/>
      <c r="I11" s="12"/>
      <c r="J11" s="13" t="s">
        <v>1</v>
      </c>
      <c r="K11" s="13"/>
      <c r="L11" s="12" t="s">
        <v>2</v>
      </c>
      <c r="M11" s="14">
        <v>44931</v>
      </c>
      <c r="N11" s="12" t="s">
        <v>3</v>
      </c>
      <c r="O11" s="15">
        <v>45518.400000000001</v>
      </c>
      <c r="P11" s="15">
        <v>45518.400000000001</v>
      </c>
      <c r="Q11" s="16"/>
      <c r="R11" s="12" t="s">
        <v>4</v>
      </c>
      <c r="S11" s="17"/>
    </row>
    <row r="12" spans="7:19" ht="15.75" thickBot="1">
      <c r="G12" s="18" t="s">
        <v>10</v>
      </c>
      <c r="H12" s="19"/>
      <c r="I12" s="20"/>
      <c r="J12" s="21" t="s">
        <v>1</v>
      </c>
      <c r="K12" s="21"/>
      <c r="L12" s="20" t="s">
        <v>2</v>
      </c>
      <c r="M12" s="22">
        <v>44912</v>
      </c>
      <c r="N12" s="20" t="s">
        <v>3</v>
      </c>
      <c r="O12" s="23">
        <v>29348</v>
      </c>
      <c r="P12" s="23">
        <v>29348</v>
      </c>
      <c r="Q12" s="24"/>
      <c r="R12" s="20" t="s">
        <v>4</v>
      </c>
      <c r="S12" s="25"/>
    </row>
    <row r="13" spans="7:19" ht="15.75" thickBot="1">
      <c r="G13" s="10" t="s">
        <v>11</v>
      </c>
      <c r="H13" s="11"/>
      <c r="I13" s="12"/>
      <c r="J13" s="13" t="s">
        <v>1</v>
      </c>
      <c r="K13" s="13"/>
      <c r="L13" s="12" t="s">
        <v>2</v>
      </c>
      <c r="M13" s="14">
        <v>44912</v>
      </c>
      <c r="N13" s="12" t="s">
        <v>3</v>
      </c>
      <c r="O13" s="15">
        <v>2552</v>
      </c>
      <c r="P13" s="15">
        <v>2552</v>
      </c>
      <c r="Q13" s="16"/>
      <c r="R13" s="12" t="s">
        <v>4</v>
      </c>
      <c r="S13" s="17"/>
    </row>
    <row r="14" spans="7:19" ht="15.75" thickBot="1">
      <c r="G14" s="18" t="s">
        <v>12</v>
      </c>
      <c r="H14" s="19"/>
      <c r="I14" s="20"/>
      <c r="J14" s="21" t="s">
        <v>1</v>
      </c>
      <c r="K14" s="21"/>
      <c r="L14" s="20" t="s">
        <v>2</v>
      </c>
      <c r="M14" s="22">
        <v>44911</v>
      </c>
      <c r="N14" s="20" t="s">
        <v>3</v>
      </c>
      <c r="O14" s="23">
        <v>19209.599999999999</v>
      </c>
      <c r="P14" s="23">
        <v>19209.599999999999</v>
      </c>
      <c r="Q14" s="24"/>
      <c r="R14" s="20" t="s">
        <v>4</v>
      </c>
      <c r="S14" s="25"/>
    </row>
    <row r="15" spans="7:19" ht="15.75" thickBot="1">
      <c r="G15" s="10" t="s">
        <v>13</v>
      </c>
      <c r="H15" s="11"/>
      <c r="I15" s="12"/>
      <c r="J15" s="13" t="s">
        <v>1</v>
      </c>
      <c r="K15" s="13"/>
      <c r="L15" s="12" t="s">
        <v>2</v>
      </c>
      <c r="M15" s="14">
        <v>44905</v>
      </c>
      <c r="N15" s="12" t="s">
        <v>3</v>
      </c>
      <c r="O15" s="15">
        <v>8236</v>
      </c>
      <c r="P15" s="15">
        <v>8236</v>
      </c>
      <c r="Q15" s="16"/>
      <c r="R15" s="12" t="s">
        <v>4</v>
      </c>
      <c r="S15" s="17"/>
    </row>
    <row r="16" spans="7:19" ht="15.75" thickBot="1">
      <c r="G16" s="18" t="s">
        <v>14</v>
      </c>
      <c r="H16" s="19"/>
      <c r="I16" s="20"/>
      <c r="J16" s="21" t="s">
        <v>1</v>
      </c>
      <c r="K16" s="21"/>
      <c r="L16" s="20" t="s">
        <v>2</v>
      </c>
      <c r="M16" s="22">
        <v>44881</v>
      </c>
      <c r="N16" s="20" t="s">
        <v>3</v>
      </c>
      <c r="O16" s="23">
        <v>33616.800000000003</v>
      </c>
      <c r="P16" s="23">
        <v>33616.800000000003</v>
      </c>
      <c r="Q16" s="24"/>
      <c r="R16" s="20" t="s">
        <v>4</v>
      </c>
      <c r="S16" s="25"/>
    </row>
    <row r="17" spans="7:19" ht="15.75" thickBot="1">
      <c r="G17" s="10" t="s">
        <v>15</v>
      </c>
      <c r="H17" s="11"/>
      <c r="I17" s="12"/>
      <c r="J17" s="13" t="s">
        <v>1</v>
      </c>
      <c r="K17" s="13"/>
      <c r="L17" s="12" t="s">
        <v>2</v>
      </c>
      <c r="M17" s="14">
        <v>44875</v>
      </c>
      <c r="N17" s="12" t="s">
        <v>3</v>
      </c>
      <c r="O17" s="15">
        <v>21339.360000000001</v>
      </c>
      <c r="P17" s="15">
        <v>21339.360000000001</v>
      </c>
      <c r="Q17" s="16"/>
      <c r="R17" s="12" t="s">
        <v>4</v>
      </c>
      <c r="S17" s="17"/>
    </row>
    <row r="18" spans="7:19" ht="15.75" thickBot="1">
      <c r="G18" s="18" t="s">
        <v>16</v>
      </c>
      <c r="H18" s="19"/>
      <c r="I18" s="20"/>
      <c r="J18" s="21" t="s">
        <v>1</v>
      </c>
      <c r="K18" s="21"/>
      <c r="L18" s="20" t="s">
        <v>2</v>
      </c>
      <c r="M18" s="22">
        <v>44869</v>
      </c>
      <c r="N18" s="20" t="s">
        <v>3</v>
      </c>
      <c r="O18" s="23">
        <v>35026.199999999997</v>
      </c>
      <c r="P18" s="23">
        <v>35026.199999999997</v>
      </c>
      <c r="Q18" s="24"/>
      <c r="R18" s="20" t="s">
        <v>4</v>
      </c>
      <c r="S18" s="25"/>
    </row>
    <row r="19" spans="7:19" ht="15.75" thickBot="1">
      <c r="G19" s="10" t="s">
        <v>17</v>
      </c>
      <c r="H19" s="11"/>
      <c r="I19" s="12"/>
      <c r="J19" s="13" t="s">
        <v>1</v>
      </c>
      <c r="K19" s="13"/>
      <c r="L19" s="12" t="s">
        <v>2</v>
      </c>
      <c r="M19" s="14">
        <v>44864</v>
      </c>
      <c r="N19" s="12" t="s">
        <v>3</v>
      </c>
      <c r="O19" s="15">
        <v>42595.199999999997</v>
      </c>
      <c r="P19" s="15">
        <v>42595.199999999997</v>
      </c>
      <c r="Q19" s="16"/>
      <c r="R19" s="12" t="s">
        <v>4</v>
      </c>
      <c r="S19" s="17"/>
    </row>
    <row r="20" spans="7:19" ht="15.75" thickBot="1">
      <c r="G20" s="18" t="s">
        <v>18</v>
      </c>
      <c r="H20" s="19"/>
      <c r="I20" s="20"/>
      <c r="J20" s="21" t="s">
        <v>1</v>
      </c>
      <c r="K20" s="21"/>
      <c r="L20" s="20" t="s">
        <v>2</v>
      </c>
      <c r="M20" s="22">
        <v>44849</v>
      </c>
      <c r="N20" s="20" t="s">
        <v>3</v>
      </c>
      <c r="O20" s="23">
        <v>9604.7999999999993</v>
      </c>
      <c r="P20" s="23">
        <v>9604.7999999999993</v>
      </c>
      <c r="Q20" s="24"/>
      <c r="R20" s="20" t="s">
        <v>4</v>
      </c>
      <c r="S20" s="25"/>
    </row>
    <row r="21" spans="7:19" ht="15.75" thickBot="1">
      <c r="G21" s="10" t="s">
        <v>19</v>
      </c>
      <c r="H21" s="11"/>
      <c r="I21" s="12"/>
      <c r="J21" s="13" t="s">
        <v>1</v>
      </c>
      <c r="K21" s="13"/>
      <c r="L21" s="12" t="s">
        <v>2</v>
      </c>
      <c r="M21" s="14">
        <v>44825</v>
      </c>
      <c r="N21" s="12" t="s">
        <v>3</v>
      </c>
      <c r="O21" s="15">
        <v>9697.6</v>
      </c>
      <c r="P21" s="15">
        <v>9697.6</v>
      </c>
      <c r="Q21" s="16"/>
      <c r="R21" s="12" t="s">
        <v>4</v>
      </c>
      <c r="S21" s="17"/>
    </row>
    <row r="22" spans="7:19" ht="15.75" thickBot="1">
      <c r="G22" s="18" t="s">
        <v>20</v>
      </c>
      <c r="H22" s="19"/>
      <c r="I22" s="20"/>
      <c r="J22" s="21" t="s">
        <v>1</v>
      </c>
      <c r="K22" s="21"/>
      <c r="L22" s="20" t="s">
        <v>2</v>
      </c>
      <c r="M22" s="22">
        <v>44822</v>
      </c>
      <c r="N22" s="20" t="s">
        <v>3</v>
      </c>
      <c r="O22" s="23">
        <v>95537.600000000006</v>
      </c>
      <c r="P22" s="23">
        <v>95537.600000000006</v>
      </c>
      <c r="Q22" s="24"/>
      <c r="R22" s="20" t="s">
        <v>4</v>
      </c>
      <c r="S22" s="25"/>
    </row>
    <row r="23" spans="7:19" ht="15.75" thickBot="1">
      <c r="G23" s="1" t="s">
        <v>23</v>
      </c>
      <c r="H23" s="29"/>
      <c r="I23" s="30"/>
      <c r="J23" s="39" t="s">
        <v>1</v>
      </c>
      <c r="K23" s="39"/>
      <c r="L23" s="40" t="s">
        <v>2</v>
      </c>
      <c r="M23" s="41">
        <v>45099</v>
      </c>
      <c r="N23" s="40" t="s">
        <v>3</v>
      </c>
      <c r="O23" s="42">
        <v>269236.93</v>
      </c>
      <c r="P23" s="42">
        <v>42288.45</v>
      </c>
      <c r="Q23" s="43"/>
      <c r="R23" s="40" t="s">
        <v>24</v>
      </c>
      <c r="S23" s="31"/>
    </row>
    <row r="24" spans="7:19" ht="15.75" thickBot="1">
      <c r="G24" s="32" t="s">
        <v>25</v>
      </c>
      <c r="H24" s="33"/>
      <c r="I24" s="34"/>
      <c r="J24" s="44" t="s">
        <v>1</v>
      </c>
      <c r="K24" s="44"/>
      <c r="L24" s="45" t="s">
        <v>2</v>
      </c>
      <c r="M24" s="46">
        <v>45099</v>
      </c>
      <c r="N24" s="45" t="s">
        <v>3</v>
      </c>
      <c r="O24" s="47">
        <v>62022.879999999997</v>
      </c>
      <c r="P24" s="47">
        <v>62022.879999999997</v>
      </c>
      <c r="Q24" s="48"/>
      <c r="R24" s="45" t="s">
        <v>24</v>
      </c>
      <c r="S24" s="35"/>
    </row>
    <row r="25" spans="7:19" ht="15.75" thickBot="1">
      <c r="G25" s="10" t="s">
        <v>26</v>
      </c>
      <c r="H25" s="36"/>
      <c r="I25" s="37"/>
      <c r="J25" s="49" t="s">
        <v>1</v>
      </c>
      <c r="K25" s="49"/>
      <c r="L25" s="50" t="s">
        <v>2</v>
      </c>
      <c r="M25" s="51">
        <v>45084</v>
      </c>
      <c r="N25" s="50" t="s">
        <v>3</v>
      </c>
      <c r="O25" s="52">
        <v>21232.639999999999</v>
      </c>
      <c r="P25" s="52">
        <v>21232.639999999999</v>
      </c>
      <c r="Q25" s="53"/>
      <c r="R25" s="50" t="s">
        <v>24</v>
      </c>
      <c r="S25" s="38"/>
    </row>
    <row r="26" spans="7:19" ht="15.75" thickBot="1">
      <c r="G26" s="32" t="s">
        <v>27</v>
      </c>
      <c r="H26" s="33"/>
      <c r="I26" s="34"/>
      <c r="J26" s="44" t="s">
        <v>1</v>
      </c>
      <c r="K26" s="44"/>
      <c r="L26" s="45" t="s">
        <v>2</v>
      </c>
      <c r="M26" s="46">
        <v>45081</v>
      </c>
      <c r="N26" s="45" t="s">
        <v>3</v>
      </c>
      <c r="O26" s="47">
        <v>23153.599999999999</v>
      </c>
      <c r="P26" s="47">
        <v>23153.599999999999</v>
      </c>
      <c r="Q26" s="48"/>
      <c r="R26" s="45" t="s">
        <v>24</v>
      </c>
      <c r="S26" s="35"/>
    </row>
    <row r="27" spans="7:19" ht="15.75" thickBot="1">
      <c r="G27" s="10" t="s">
        <v>28</v>
      </c>
      <c r="H27" s="36"/>
      <c r="I27" s="37"/>
      <c r="J27" s="49" t="s">
        <v>1</v>
      </c>
      <c r="K27" s="49"/>
      <c r="L27" s="50" t="s">
        <v>2</v>
      </c>
      <c r="M27" s="51">
        <v>45073</v>
      </c>
      <c r="N27" s="50" t="s">
        <v>3</v>
      </c>
      <c r="O27" s="52">
        <v>106163.2</v>
      </c>
      <c r="P27" s="52">
        <v>106163.2</v>
      </c>
      <c r="Q27" s="53"/>
      <c r="R27" s="50" t="s">
        <v>24</v>
      </c>
      <c r="S27" s="38"/>
    </row>
    <row r="28" spans="7:19" ht="15.75" thickBot="1">
      <c r="G28" s="32" t="s">
        <v>29</v>
      </c>
      <c r="H28" s="33"/>
      <c r="I28" s="34"/>
      <c r="J28" s="44" t="s">
        <v>1</v>
      </c>
      <c r="K28" s="44"/>
      <c r="L28" s="45" t="s">
        <v>2</v>
      </c>
      <c r="M28" s="46">
        <v>45071</v>
      </c>
      <c r="N28" s="45" t="s">
        <v>3</v>
      </c>
      <c r="O28" s="47">
        <v>26193.96</v>
      </c>
      <c r="P28" s="47">
        <v>26193.96</v>
      </c>
      <c r="Q28" s="48"/>
      <c r="R28" s="45" t="s">
        <v>24</v>
      </c>
      <c r="S28" s="35"/>
    </row>
    <row r="29" spans="7:19" ht="15.75" thickBot="1">
      <c r="G29" s="10" t="s">
        <v>30</v>
      </c>
      <c r="H29" s="36"/>
      <c r="I29" s="37"/>
      <c r="J29" s="49" t="s">
        <v>1</v>
      </c>
      <c r="K29" s="49"/>
      <c r="L29" s="50" t="s">
        <v>2</v>
      </c>
      <c r="M29" s="51">
        <v>45071</v>
      </c>
      <c r="N29" s="50" t="s">
        <v>3</v>
      </c>
      <c r="O29" s="52">
        <v>120640</v>
      </c>
      <c r="P29" s="52">
        <v>120640</v>
      </c>
      <c r="Q29" s="53"/>
      <c r="R29" s="50" t="s">
        <v>24</v>
      </c>
      <c r="S29" s="38"/>
    </row>
    <row r="30" spans="7:19" ht="15.75" thickBot="1">
      <c r="G30" s="32" t="s">
        <v>31</v>
      </c>
      <c r="H30" s="33"/>
      <c r="I30" s="34"/>
      <c r="J30" s="44" t="s">
        <v>1</v>
      </c>
      <c r="K30" s="44"/>
      <c r="L30" s="45" t="s">
        <v>2</v>
      </c>
      <c r="M30" s="46">
        <v>45066</v>
      </c>
      <c r="N30" s="45" t="s">
        <v>3</v>
      </c>
      <c r="O30" s="47">
        <v>32800.74</v>
      </c>
      <c r="P30" s="47">
        <v>32800.74</v>
      </c>
      <c r="Q30" s="48"/>
      <c r="R30" s="45" t="s">
        <v>4</v>
      </c>
      <c r="S30" s="35"/>
    </row>
    <row r="31" spans="7:19" ht="15.75" thickBot="1">
      <c r="G31" s="1" t="s">
        <v>32</v>
      </c>
      <c r="H31" s="29"/>
      <c r="I31" s="30"/>
      <c r="J31" s="39" t="s">
        <v>1</v>
      </c>
      <c r="K31" s="39"/>
      <c r="L31" s="40" t="s">
        <v>2</v>
      </c>
      <c r="M31" s="41">
        <v>45157</v>
      </c>
      <c r="N31" s="40" t="s">
        <v>3</v>
      </c>
      <c r="O31" s="42">
        <v>65312.639999999999</v>
      </c>
      <c r="P31" s="42">
        <v>29928.639999999999</v>
      </c>
      <c r="Q31" s="43"/>
      <c r="R31" s="40" t="s">
        <v>24</v>
      </c>
      <c r="S31" s="31"/>
    </row>
    <row r="32" spans="7:19" ht="15.75" thickBot="1">
      <c r="G32" s="10" t="s">
        <v>33</v>
      </c>
      <c r="H32" s="36"/>
      <c r="I32" s="37"/>
      <c r="J32" s="49" t="s">
        <v>1</v>
      </c>
      <c r="K32" s="49"/>
      <c r="L32" s="50" t="s">
        <v>2</v>
      </c>
      <c r="M32" s="51">
        <v>45137</v>
      </c>
      <c r="N32" s="50" t="s">
        <v>3</v>
      </c>
      <c r="O32" s="52">
        <v>13446.72</v>
      </c>
      <c r="P32" s="52">
        <v>13446.72</v>
      </c>
      <c r="Q32" s="53"/>
      <c r="R32" s="50" t="s">
        <v>24</v>
      </c>
      <c r="S32" s="28"/>
    </row>
    <row r="33" spans="7:19" ht="15.75" thickBot="1">
      <c r="G33" s="1" t="s">
        <v>34</v>
      </c>
      <c r="H33" s="29"/>
      <c r="I33" s="30"/>
      <c r="J33" s="39" t="s">
        <v>1</v>
      </c>
      <c r="K33" s="39"/>
      <c r="L33" s="40" t="s">
        <v>2</v>
      </c>
      <c r="M33" s="41">
        <v>45168</v>
      </c>
      <c r="N33" s="40" t="s">
        <v>3</v>
      </c>
      <c r="O33" s="42">
        <v>43186.8</v>
      </c>
      <c r="P33" s="42">
        <v>31824.799999999999</v>
      </c>
      <c r="Q33" s="43"/>
      <c r="R33" s="40" t="s">
        <v>24</v>
      </c>
      <c r="S33" s="31"/>
    </row>
    <row r="34" spans="7:19" ht="15.75" thickBot="1">
      <c r="G34" s="1" t="s">
        <v>35</v>
      </c>
      <c r="H34" s="29"/>
      <c r="I34" s="30"/>
      <c r="J34" s="39" t="s">
        <v>1</v>
      </c>
      <c r="K34" s="39"/>
      <c r="L34" s="40" t="s">
        <v>2</v>
      </c>
      <c r="M34" s="41">
        <v>45170</v>
      </c>
      <c r="N34" s="40" t="s">
        <v>3</v>
      </c>
      <c r="O34" s="42">
        <v>9744</v>
      </c>
      <c r="P34" s="42">
        <v>9744</v>
      </c>
      <c r="Q34" s="43"/>
      <c r="R34" s="40" t="s">
        <v>24</v>
      </c>
      <c r="S34" s="31"/>
    </row>
    <row r="35" spans="7:19" ht="15.75" thickBot="1">
      <c r="G35" s="10" t="s">
        <v>36</v>
      </c>
      <c r="H35" s="36"/>
      <c r="I35" s="37"/>
      <c r="J35" s="49" t="s">
        <v>1</v>
      </c>
      <c r="K35" s="49"/>
      <c r="L35" s="50" t="s">
        <v>2</v>
      </c>
      <c r="M35" s="51">
        <v>45168</v>
      </c>
      <c r="N35" s="50" t="s">
        <v>3</v>
      </c>
      <c r="O35" s="52">
        <v>4872</v>
      </c>
      <c r="P35" s="52">
        <v>4872</v>
      </c>
      <c r="Q35" s="53"/>
      <c r="R35" s="50" t="s">
        <v>24</v>
      </c>
      <c r="S35" s="38"/>
    </row>
    <row r="36" spans="7:19" ht="15.75" thickBot="1">
      <c r="G36" s="1" t="s">
        <v>37</v>
      </c>
      <c r="H36" s="29"/>
      <c r="I36" s="30"/>
      <c r="J36" s="39" t="s">
        <v>1</v>
      </c>
      <c r="K36" s="39"/>
      <c r="L36" s="40" t="s">
        <v>2</v>
      </c>
      <c r="M36" s="41">
        <v>45212</v>
      </c>
      <c r="N36" s="40" t="s">
        <v>3</v>
      </c>
      <c r="O36" s="42">
        <v>74100.800000000003</v>
      </c>
      <c r="P36" s="42">
        <v>74100.800000000003</v>
      </c>
      <c r="Q36" s="43"/>
      <c r="R36" s="40" t="s">
        <v>24</v>
      </c>
      <c r="S36" s="31"/>
    </row>
    <row r="37" spans="7:19" ht="15.75" thickBot="1">
      <c r="G37" s="10" t="s">
        <v>38</v>
      </c>
      <c r="H37" s="36"/>
      <c r="I37" s="37"/>
      <c r="J37" s="49" t="s">
        <v>1</v>
      </c>
      <c r="K37" s="49"/>
      <c r="L37" s="50" t="s">
        <v>2</v>
      </c>
      <c r="M37" s="51">
        <v>45199</v>
      </c>
      <c r="N37" s="50" t="s">
        <v>3</v>
      </c>
      <c r="O37" s="52">
        <v>19209.599999999999</v>
      </c>
      <c r="P37" s="52">
        <v>19209.599999999999</v>
      </c>
      <c r="Q37" s="53"/>
      <c r="R37" s="50" t="s">
        <v>4</v>
      </c>
      <c r="S37" s="38"/>
    </row>
    <row r="38" spans="7:19" ht="15.75" thickBot="1">
      <c r="G38" s="32" t="s">
        <v>39</v>
      </c>
      <c r="H38" s="33"/>
      <c r="I38" s="34"/>
      <c r="J38" s="44" t="s">
        <v>1</v>
      </c>
      <c r="K38" s="44"/>
      <c r="L38" s="45" t="s">
        <v>2</v>
      </c>
      <c r="M38" s="46">
        <v>45197</v>
      </c>
      <c r="N38" s="45" t="s">
        <v>3</v>
      </c>
      <c r="O38" s="47">
        <v>28814.400000000001</v>
      </c>
      <c r="P38" s="47">
        <v>28814.400000000001</v>
      </c>
      <c r="Q38" s="48"/>
      <c r="R38" s="45" t="s">
        <v>24</v>
      </c>
      <c r="S38" s="35"/>
    </row>
    <row r="39" spans="7:19" ht="15.75" thickBot="1">
      <c r="G39" s="10" t="s">
        <v>40</v>
      </c>
      <c r="H39" s="36"/>
      <c r="I39" s="37"/>
      <c r="J39" s="49" t="s">
        <v>1</v>
      </c>
      <c r="K39" s="49"/>
      <c r="L39" s="50" t="s">
        <v>2</v>
      </c>
      <c r="M39" s="51">
        <v>45197</v>
      </c>
      <c r="N39" s="50" t="s">
        <v>3</v>
      </c>
      <c r="O39" s="52">
        <v>29092.799999999999</v>
      </c>
      <c r="P39" s="52">
        <v>29092.799999999999</v>
      </c>
      <c r="Q39" s="53"/>
      <c r="R39" s="50" t="s">
        <v>24</v>
      </c>
      <c r="S39" s="38"/>
    </row>
    <row r="40" spans="7:19" ht="15.75" thickBot="1">
      <c r="G40" s="32" t="s">
        <v>41</v>
      </c>
      <c r="H40" s="33"/>
      <c r="I40" s="34"/>
      <c r="J40" s="44" t="s">
        <v>1</v>
      </c>
      <c r="K40" s="44"/>
      <c r="L40" s="45" t="s">
        <v>2</v>
      </c>
      <c r="M40" s="46">
        <v>45192</v>
      </c>
      <c r="N40" s="45" t="s">
        <v>3</v>
      </c>
      <c r="O40" s="47">
        <v>16049.76</v>
      </c>
      <c r="P40" s="47">
        <v>16049.76</v>
      </c>
      <c r="Q40" s="48"/>
      <c r="R40" s="45" t="s">
        <v>24</v>
      </c>
      <c r="S40" s="35"/>
    </row>
    <row r="41" spans="7:19" ht="15.75" thickBot="1">
      <c r="G41" s="10" t="s">
        <v>42</v>
      </c>
      <c r="H41" s="36"/>
      <c r="I41" s="37"/>
      <c r="J41" s="49" t="s">
        <v>1</v>
      </c>
      <c r="K41" s="49"/>
      <c r="L41" s="50" t="s">
        <v>2</v>
      </c>
      <c r="M41" s="51">
        <v>45191</v>
      </c>
      <c r="N41" s="50" t="s">
        <v>3</v>
      </c>
      <c r="O41" s="52">
        <v>39660.980000000003</v>
      </c>
      <c r="P41" s="52">
        <v>39660.980000000003</v>
      </c>
      <c r="Q41" s="53"/>
      <c r="R41" s="50" t="s">
        <v>4</v>
      </c>
      <c r="S41" s="38"/>
    </row>
    <row r="42" spans="7:19" ht="15.75" thickBot="1">
      <c r="G42" s="32" t="s">
        <v>43</v>
      </c>
      <c r="H42" s="33"/>
      <c r="I42" s="34"/>
      <c r="J42" s="44" t="s">
        <v>1</v>
      </c>
      <c r="K42" s="44"/>
      <c r="L42" s="45" t="s">
        <v>2</v>
      </c>
      <c r="M42" s="46">
        <v>45190</v>
      </c>
      <c r="N42" s="45" t="s">
        <v>3</v>
      </c>
      <c r="O42" s="47">
        <v>24368.7</v>
      </c>
      <c r="P42" s="47">
        <v>24368.7</v>
      </c>
      <c r="Q42" s="48"/>
      <c r="R42" s="45" t="s">
        <v>4</v>
      </c>
      <c r="S42" s="35"/>
    </row>
    <row r="43" spans="7:19" ht="15.75" thickBot="1">
      <c r="G43" s="1" t="s">
        <v>44</v>
      </c>
      <c r="H43" s="29"/>
      <c r="I43" s="30"/>
      <c r="J43" s="39" t="s">
        <v>1</v>
      </c>
      <c r="K43" s="39"/>
      <c r="L43" s="40" t="s">
        <v>45</v>
      </c>
      <c r="M43" s="41">
        <v>45261</v>
      </c>
      <c r="N43" s="40" t="s">
        <v>3</v>
      </c>
      <c r="O43" s="42">
        <v>22137.439999999999</v>
      </c>
      <c r="P43" s="42">
        <v>22137.439999999999</v>
      </c>
      <c r="Q43" s="43"/>
      <c r="R43" s="40" t="s">
        <v>4</v>
      </c>
    </row>
    <row r="44" spans="7:19">
      <c r="G44" s="1" t="s">
        <v>46</v>
      </c>
      <c r="H44" s="29"/>
      <c r="I44" s="54"/>
      <c r="J44" s="39" t="s">
        <v>1</v>
      </c>
      <c r="K44" s="39"/>
      <c r="L44" s="40" t="s">
        <v>45</v>
      </c>
      <c r="M44" s="41">
        <v>45309</v>
      </c>
      <c r="N44" s="40" t="s">
        <v>3</v>
      </c>
      <c r="O44" s="42">
        <v>12064</v>
      </c>
      <c r="P44" s="42">
        <v>12064</v>
      </c>
      <c r="Q44" s="8"/>
      <c r="R44" t="s">
        <v>47</v>
      </c>
    </row>
    <row r="45" spans="7:19">
      <c r="O45" t="s">
        <v>48</v>
      </c>
      <c r="P45" s="6">
        <f>SUM(P6:P44)</f>
        <v>1367456.7</v>
      </c>
    </row>
  </sheetData>
  <hyperlinks>
    <hyperlink ref="G6" r:id="rId1" display="https://www.mascomprobantes.com/sales/customer-invoices/1190?filter_date_from=01-06-2022&amp;filter_date_to=30-06-2025&amp;filter_customer_id=4&amp;limit=1000&amp;filter_document_type_code=customer.invoice&amp;sort=date&amp;direction=desc"/>
    <hyperlink ref="G7" r:id="rId2" display="https://www.mascomprobantes.com/sales/customer-invoices/1168?filter_date_from=01-06-2022&amp;filter_date_to=30-06-2025&amp;filter_customer_id=4&amp;limit=1000&amp;filter_document_type_code=customer.invoice&amp;sort=date&amp;direction=desc"/>
    <hyperlink ref="G8" r:id="rId3" display="https://www.mascomprobantes.com/sales/customer-invoices/990?filter_date_from=01-06-2022&amp;filter_date_to=30-06-2025&amp;filter_customer_id=4&amp;limit=1000&amp;filter_document_type_code=customer.invoice&amp;sort=date&amp;direction=desc"/>
    <hyperlink ref="G9" r:id="rId4" display="https://www.mascomprobantes.com/sales/customer-invoices/915?filter_date_from=01-06-2022&amp;filter_date_to=30-06-2025&amp;filter_customer_id=4&amp;limit=1000&amp;filter_document_type_code=customer.invoice&amp;sort=date&amp;direction=desc"/>
    <hyperlink ref="G10" r:id="rId5" display="https://www.mascomprobantes.com/sales/customer-invoices/912?filter_date_from=01-06-2022&amp;filter_date_to=30-06-2025&amp;filter_customer_id=4&amp;limit=1000&amp;filter_document_type_code=customer.invoice&amp;sort=date&amp;direction=desc"/>
    <hyperlink ref="G11" r:id="rId6" display="https://www.mascomprobantes.com/sales/customer-invoices/657?filter_date_from=01-06-2022&amp;filter_date_to=30-06-2025&amp;filter_customer_id=4&amp;limit=1000&amp;filter_document_type_code=customer.invoice&amp;sort=date&amp;direction=desc"/>
    <hyperlink ref="G12" r:id="rId7" display="https://www.mascomprobantes.com/sales/customer-invoices/589?filter_date_from=01-06-2022&amp;filter_date_to=30-06-2025&amp;filter_customer_id=4&amp;limit=1000&amp;filter_document_type_code=customer.invoice&amp;sort=date&amp;direction=desc"/>
    <hyperlink ref="G13" r:id="rId8" display="https://www.mascomprobantes.com/sales/customer-invoices/588?filter_date_from=01-06-2022&amp;filter_date_to=30-06-2025&amp;filter_customer_id=4&amp;limit=1000&amp;filter_document_type_code=customer.invoice&amp;sort=date&amp;direction=desc"/>
    <hyperlink ref="G14" r:id="rId9" display="https://www.mascomprobantes.com/sales/customer-invoices/585?filter_date_from=01-06-2022&amp;filter_date_to=30-06-2025&amp;filter_customer_id=4&amp;limit=1000&amp;filter_document_type_code=customer.invoice&amp;sort=date&amp;direction=desc"/>
    <hyperlink ref="G15" r:id="rId10" display="https://www.mascomprobantes.com/sales/customer-invoices/548?filter_date_from=01-06-2022&amp;filter_date_to=30-06-2025&amp;filter_customer_id=4&amp;limit=1000&amp;filter_document_type_code=customer.invoice&amp;sort=date&amp;direction=desc"/>
    <hyperlink ref="G16" r:id="rId11" display="https://www.mascomprobantes.com/sales/customer-invoices/417?filter_date_from=01-06-2022&amp;filter_date_to=30-06-2025&amp;filter_customer_id=4&amp;limit=1000&amp;filter_document_type_code=customer.invoice&amp;sort=date&amp;direction=desc"/>
    <hyperlink ref="G17" r:id="rId12" display="https://www.mascomprobantes.com/sales/customer-invoices/394?filter_date_from=01-06-2022&amp;filter_date_to=30-06-2025&amp;filter_customer_id=4&amp;limit=1000&amp;filter_document_type_code=customer.invoice&amp;sort=date&amp;direction=desc"/>
    <hyperlink ref="G18" r:id="rId13" display="https://www.mascomprobantes.com/sales/customer-invoices/361?filter_date_from=01-06-2022&amp;filter_date_to=30-06-2025&amp;filter_customer_id=4&amp;limit=1000&amp;filter_document_type_code=customer.invoice&amp;sort=date&amp;direction=desc"/>
    <hyperlink ref="G19" r:id="rId14" display="https://www.mascomprobantes.com/sales/customer-invoices/341?filter_date_from=01-06-2022&amp;filter_date_to=30-06-2025&amp;filter_customer_id=4&amp;limit=1000&amp;filter_document_type_code=customer.invoice&amp;sort=date&amp;direction=desc"/>
    <hyperlink ref="G20" r:id="rId15" display="https://www.mascomprobantes.com/sales/customer-invoices/284?filter_date_from=01-06-2022&amp;filter_date_to=30-06-2025&amp;filter_customer_id=4&amp;limit=1000&amp;filter_document_type_code=customer.invoice&amp;sort=date&amp;direction=desc"/>
    <hyperlink ref="G21" r:id="rId16" display="https://www.mascomprobantes.com/sales/customer-invoices/204?filter_date_from=01-06-2022&amp;filter_date_to=30-06-2025&amp;filter_customer_id=4&amp;limit=1000&amp;filter_document_type_code=customer.invoice&amp;sort=date&amp;direction=desc"/>
    <hyperlink ref="G22" r:id="rId17" display="https://www.mascomprobantes.com/sales/customer-invoices/199?filter_date_from=01-06-2022&amp;filter_date_to=30-06-2025&amp;filter_customer_id=4&amp;limit=1000&amp;filter_document_type_code=customer.invoice&amp;sort=date&amp;direction=desc"/>
    <hyperlink ref="G23" r:id="rId18" display="https://www.mascomprobantes.com/sales/customer-invoices/2534?filter_date_from=01-06-2022&amp;filter_date_to=30-06-2025&amp;filter_customer_id=4&amp;limit=1000&amp;filter_document_type_code=customer.invoice&amp;sort=date&amp;direction=desc"/>
    <hyperlink ref="G24" r:id="rId19" display="https://www.mascomprobantes.com/sales/customer-invoices/2533?filter_date_from=01-06-2022&amp;filter_date_to=30-06-2025&amp;filter_customer_id=4&amp;limit=1000&amp;filter_document_type_code=customer.invoice&amp;sort=date&amp;direction=desc"/>
    <hyperlink ref="G25" r:id="rId20" display="https://www.mascomprobantes.com/sales/customer-invoices/2265?filter_date_from=01-06-2022&amp;filter_date_to=30-06-2025&amp;filter_customer_id=4&amp;limit=1000&amp;filter_document_type_code=customer.invoice&amp;sort=date&amp;direction=desc"/>
    <hyperlink ref="G26" r:id="rId21" display="https://www.mascomprobantes.com/sales/customer-invoices/2249?filter_date_from=01-06-2022&amp;filter_date_to=30-06-2025&amp;filter_customer_id=4&amp;limit=1000&amp;filter_document_type_code=customer.invoice&amp;sort=date&amp;direction=desc"/>
    <hyperlink ref="G27" r:id="rId22" display="https://www.mascomprobantes.com/sales/customer-invoices/2101?filter_date_from=01-06-2022&amp;filter_date_to=30-06-2025&amp;filter_customer_id=4&amp;limit=1000&amp;filter_document_type_code=customer.invoice&amp;sort=date&amp;direction=desc"/>
    <hyperlink ref="G28" r:id="rId23" display="https://www.mascomprobantes.com/sales/customer-invoices/2045?filter_date_from=01-06-2022&amp;filter_date_to=30-06-2025&amp;filter_customer_id=4&amp;limit=1000&amp;filter_document_type_code=customer.invoice&amp;sort=date&amp;direction=desc"/>
    <hyperlink ref="G29" r:id="rId24" display="https://www.mascomprobantes.com/sales/customer-invoices/2044?filter_date_from=01-06-2022&amp;filter_date_to=30-06-2025&amp;filter_customer_id=4&amp;limit=1000&amp;filter_document_type_code=customer.invoice&amp;sort=date&amp;direction=desc"/>
    <hyperlink ref="G30" r:id="rId25" display="https://www.mascomprobantes.com/sales/customer-invoices/1946?filter_date_from=01-06-2022&amp;filter_date_to=30-06-2025&amp;filter_customer_id=4&amp;limit=1000&amp;filter_document_type_code=customer.invoice&amp;sort=date&amp;direction=desc"/>
    <hyperlink ref="G31" r:id="rId26" display="https://www.mascomprobantes.com/sales/customer-invoices/3582?filter_date_from=01-06-2022&amp;filter_date_to=30-06-2025&amp;filter_customer_id=4&amp;limit=1000&amp;filter_document_type_code=customer.invoice&amp;sort=date&amp;direction=desc"/>
    <hyperlink ref="G32" r:id="rId27" display="https://www.mascomprobantes.com/sales/customer-invoices/3256?filter_date_from=01-06-2022&amp;filter_date_to=30-06-2025&amp;filter_customer_id=4&amp;limit=1000&amp;filter_document_type_code=customer.invoice&amp;sort=date&amp;direction=desc"/>
    <hyperlink ref="G33" r:id="rId28" display="https://www.mascomprobantes.com/sales/customer-invoices/3744?filter_date_from=01-06-2022&amp;filter_date_to=30-06-2025&amp;filter_customer_id=4&amp;limit=1000&amp;filter_document_type_code=customer.invoice&amp;sort=date&amp;direction=desc"/>
    <hyperlink ref="G34" r:id="rId29" display="https://www.mascomprobantes.com/sales/customer-invoices/3783?filter_date_from=01-06-2022&amp;filter_date_to=30-06-2025&amp;filter_customer_id=4&amp;limit=1000&amp;filter_document_type_code=customer.invoice&amp;sort=date&amp;direction=desc"/>
    <hyperlink ref="G35" r:id="rId30" display="https://www.mascomprobantes.com/sales/customer-invoices/3746?filter_date_from=01-06-2022&amp;filter_date_to=30-06-2025&amp;filter_customer_id=4&amp;limit=1000&amp;filter_document_type_code=customer.invoice&amp;sort=date&amp;direction=desc"/>
    <hyperlink ref="G36" r:id="rId31" display="https://www.mascomprobantes.com/sales/customer-invoices/4533?filter_date_from=01-06-2022&amp;filter_date_to=30-06-2025&amp;filter_customer_id=4&amp;limit=1000&amp;filter_document_type_code=customer.invoice&amp;sort=date&amp;direction=desc"/>
    <hyperlink ref="G37" r:id="rId32" display="https://www.mascomprobantes.com/sales/customer-invoices/4315?filter_date_from=01-06-2022&amp;filter_date_to=30-06-2025&amp;filter_customer_id=4&amp;limit=1000&amp;filter_document_type_code=customer.invoice&amp;sort=date&amp;direction=desc"/>
    <hyperlink ref="G38" r:id="rId33" display="https://www.mascomprobantes.com/sales/customer-invoices/4266?filter_date_from=01-06-2022&amp;filter_date_to=30-06-2025&amp;filter_customer_id=4&amp;limit=1000&amp;filter_document_type_code=customer.invoice&amp;sort=date&amp;direction=desc"/>
    <hyperlink ref="G39" r:id="rId34" display="https://www.mascomprobantes.com/sales/customer-invoices/4264?filter_date_from=01-06-2022&amp;filter_date_to=30-06-2025&amp;filter_customer_id=4&amp;limit=1000&amp;filter_document_type_code=customer.invoice&amp;sort=date&amp;direction=desc"/>
    <hyperlink ref="G40" r:id="rId35" display="https://www.mascomprobantes.com/sales/customer-invoices/4170?filter_date_from=01-06-2022&amp;filter_date_to=30-06-2025&amp;filter_customer_id=4&amp;limit=1000&amp;filter_document_type_code=customer.invoice&amp;sort=date&amp;direction=desc"/>
    <hyperlink ref="G41" r:id="rId36" display="https://www.mascomprobantes.com/sales/customer-invoices/4143?filter_date_from=01-06-2022&amp;filter_date_to=30-06-2025&amp;filter_customer_id=4&amp;limit=1000&amp;filter_document_type_code=customer.invoice&amp;sort=date&amp;direction=desc"/>
    <hyperlink ref="G42" r:id="rId37" display="https://www.mascomprobantes.com/sales/customer-invoices/4118?filter_date_from=01-06-2022&amp;filter_date_to=30-06-2025&amp;filter_customer_id=4&amp;limit=1000&amp;filter_document_type_code=customer.invoice&amp;sort=date&amp;direction=desc"/>
    <hyperlink ref="G43" r:id="rId38" display="https://www.mascomprobantes.com/sales/customer-invoices/5306?filter_date_from=01-06-2022&amp;filter_date_to=30-06-2025&amp;filter_customer_id=4&amp;limit=1000&amp;filter_document_type_code=customer.invoice&amp;sort=date&amp;direction=desc"/>
    <hyperlink ref="G44" r:id="rId39" display="https://www.mascomprobantes.com/sales/customer-invoices/6235?filter_date_from=01-06-2022&amp;filter_date_to=30-06-2025&amp;filter_customer_id=4&amp;limit=1000&amp;filter_document_type_code=customer.invoice&amp;sort=date&amp;direction=desc"/>
  </hyperlinks>
  <pageMargins left="0.7" right="0.7" top="0.75" bottom="0.75" header="0.3" footer="0.3"/>
  <pageSetup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2025-06-04T00:00:54Z</dcterms:created>
  <dcterms:modified xsi:type="dcterms:W3CDTF">2025-06-04T00:15:05Z</dcterms:modified>
</cp:coreProperties>
</file>