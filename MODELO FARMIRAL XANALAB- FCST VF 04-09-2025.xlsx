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rmiral53\Desktop\Farmiral\"/>
    </mc:Choice>
  </mc:AlternateContent>
  <xr:revisionPtr revIDLastSave="0" documentId="13_ncr:1_{24A3CAA0-CC93-49C9-A950-A2A59793463F}" xr6:coauthVersionLast="47" xr6:coauthVersionMax="47" xr10:uidLastSave="{00000000-0000-0000-0000-000000000000}"/>
  <bookViews>
    <workbookView xWindow="-108" yWindow="-108" windowWidth="23256" windowHeight="12456" tabRatio="919" firstSheet="10" activeTab="17" xr2:uid="{444131D0-BEC2-48AE-82E2-6CADD7E9AFFA}"/>
  </bookViews>
  <sheets>
    <sheet name="Capital de Trabajo" sheetId="36" r:id="rId1"/>
    <sheet name="Flujo" sheetId="37" r:id="rId2"/>
    <sheet name="1Q Consolidado" sheetId="26" r:id="rId3"/>
    <sheet name="Linea Sesajal" sheetId="33" r:id="rId4"/>
    <sheet name="Cashflow (ROLLING) CAP" sheetId="29" r:id="rId5"/>
    <sheet name="IS (ROLLING)" sheetId="19" r:id="rId6"/>
    <sheet name="BEAR V. ROLLING" sheetId="28" state="hidden" r:id="rId7"/>
    <sheet name="Interest Expense" sheetId="11" r:id="rId8"/>
    <sheet name="KPIs SEP 2024 V. MAY" sheetId="25" r:id="rId9"/>
    <sheet name="IS (BRIEF)" sheetId="27" state="hidden" r:id="rId10"/>
    <sheet name="IS (SCENARIO CAP)" sheetId="32" r:id="rId11"/>
    <sheet name="KEY DATA NEGOTIATION" sheetId="30" state="hidden" r:id="rId12"/>
    <sheet name="MODELO SESAJAL (ROLLING) STS QU" sheetId="21" state="hidden" r:id="rId13"/>
    <sheet name="AUX MODELO SESAJAL (ROLLING)" sheetId="20" r:id="rId14"/>
    <sheet name="IS (BEAR)" sheetId="22" r:id="rId15"/>
    <sheet name="MODELO SESAJAL (BEAR)" sheetId="24" r:id="rId16"/>
    <sheet name="AUX MODELO SESAJAL (BEAR)" sheetId="23" r:id="rId17"/>
    <sheet name="IS" sheetId="1" r:id="rId18"/>
    <sheet name="ASSUMPTIONS" sheetId="3" r:id="rId19"/>
    <sheet name="FCST $ 2024" sheetId="17" r:id="rId20"/>
    <sheet name="Gastos" sheetId="8" r:id="rId21"/>
    <sheet name="Seguros" sheetId="10" r:id="rId22"/>
    <sheet name="CREDITOS" sheetId="13" r:id="rId23"/>
    <sheet name="ARRENDAMIENTOS" sheetId="12" r:id="rId24"/>
    <sheet name="BIOMIRAL PVT LBL" sheetId="15" r:id="rId25"/>
    <sheet name="Margen_ Bruto" sheetId="5" r:id="rId26"/>
    <sheet name="Sueldos Total Nominal Enero" sheetId="7" r:id="rId27"/>
    <sheet name="Subtotal Nom_Enero" sheetId="18" r:id="rId28"/>
    <sheet name="CAPEX" sheetId="9" r:id="rId29"/>
  </sheets>
  <externalReferences>
    <externalReference r:id="rId30"/>
    <externalReference r:id="rId31"/>
  </externalReferences>
  <definedNames>
    <definedName name="_xlnm._FilterDatabase" localSheetId="27" hidden="1">'Subtotal Nom_Enero'!$H$2:$I$13</definedName>
    <definedName name="ExternalData_1" localSheetId="23" hidden="1">ARRENDAMIENTOS!$A$1:$KT$209</definedName>
    <definedName name="ExternalData_1" localSheetId="24" hidden="1">'BIOMIRAL PVT LBL'!$A$1:$CQ$42</definedName>
    <definedName name="ExternalData_1" localSheetId="22" hidden="1">'CREDITOS'!$A$1:$DG$1000</definedName>
    <definedName name="ExternalData_1" localSheetId="19" hidden="1">'FCST $ 2024'!$A$1:$U$116</definedName>
    <definedName name="ExternalData_1" localSheetId="25" hidden="1">'Margen_ Bruto'!$E$1:$K$113</definedName>
    <definedName name="ExternalData_1" localSheetId="21" hidden="1">Seguros!$A$1:$J$26</definedName>
    <definedName name="ExternalData_1" localSheetId="26" hidden="1">'Sueldos Total Nominal Enero'!$A$1:$DF$219</definedName>
    <definedName name="solver_eng" localSheetId="4" hidden="1">1</definedName>
    <definedName name="solver_eng" localSheetId="12" hidden="1">1</definedName>
    <definedName name="solver_neg" localSheetId="4" hidden="1">1</definedName>
    <definedName name="solver_neg" localSheetId="12" hidden="1">1</definedName>
    <definedName name="solver_num" localSheetId="4" hidden="1">0</definedName>
    <definedName name="solver_num" localSheetId="12" hidden="1">0</definedName>
    <definedName name="solver_opt" localSheetId="4" hidden="1">'Cashflow (ROLLING) CAP'!$R$2</definedName>
    <definedName name="solver_opt" localSheetId="12" hidden="1">'MODELO SESAJAL (ROLLING) STS QU'!$R$2</definedName>
    <definedName name="solver_typ" localSheetId="4" hidden="1">1</definedName>
    <definedName name="solver_typ" localSheetId="12" hidden="1">1</definedName>
    <definedName name="solver_val" localSheetId="4" hidden="1">0</definedName>
    <definedName name="solver_val" localSheetId="12" hidden="1">0</definedName>
    <definedName name="solver_ver" localSheetId="4" hidden="1">3</definedName>
    <definedName name="solver_ver" localSheetId="1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9" i="1" l="1"/>
  <c r="W29" i="1"/>
  <c r="V29" i="1"/>
  <c r="R29" i="1"/>
  <c r="S29" i="1"/>
  <c r="T29" i="1"/>
  <c r="U29" i="1"/>
  <c r="P34" i="19"/>
  <c r="BF64" i="19" l="1"/>
  <c r="BF31" i="19"/>
  <c r="BE64" i="19"/>
  <c r="BX31" i="11"/>
  <c r="BW31" i="11"/>
  <c r="BV31" i="11"/>
  <c r="BU31" i="11"/>
  <c r="BT31" i="11"/>
  <c r="BS31" i="11"/>
  <c r="BR31" i="11"/>
  <c r="BQ31" i="11"/>
  <c r="BP31" i="11"/>
  <c r="BE31" i="19" l="1"/>
  <c r="E24" i="3" l="1"/>
  <c r="I53" i="29" l="1"/>
  <c r="N53" i="29"/>
  <c r="AN210" i="29" l="1"/>
  <c r="AN207" i="29"/>
  <c r="AN206" i="29"/>
  <c r="AN205" i="29"/>
  <c r="AN204" i="29"/>
  <c r="AN203" i="29"/>
  <c r="AN202" i="29"/>
  <c r="AN201" i="29"/>
  <c r="AN200" i="29"/>
  <c r="AN199" i="29"/>
  <c r="AN198" i="29"/>
  <c r="AN197" i="29"/>
  <c r="AN196" i="29"/>
  <c r="AN176" i="29"/>
  <c r="AN172" i="29"/>
  <c r="AN156" i="29"/>
  <c r="AN154" i="29"/>
  <c r="AN152" i="29"/>
  <c r="AN149" i="29"/>
  <c r="AN145" i="29"/>
  <c r="AN146" i="29" s="1"/>
  <c r="AN144" i="29"/>
  <c r="AN108" i="29"/>
  <c r="AN107" i="29"/>
  <c r="AN106" i="29"/>
  <c r="AN103" i="29"/>
  <c r="AN102" i="29"/>
  <c r="AN101" i="29"/>
  <c r="AN100" i="29"/>
  <c r="AN97" i="29"/>
  <c r="AN96" i="29"/>
  <c r="AN92" i="29"/>
  <c r="AN91" i="29"/>
  <c r="AN90" i="29"/>
  <c r="AN89" i="29"/>
  <c r="AN57" i="29"/>
  <c r="AN55" i="29"/>
  <c r="AN51" i="29"/>
  <c r="AN50" i="29"/>
  <c r="AN49" i="29"/>
  <c r="AN48" i="29"/>
  <c r="AN47" i="29"/>
  <c r="K19" i="37" s="1"/>
  <c r="AN45" i="29"/>
  <c r="AN44" i="29"/>
  <c r="AN37" i="29"/>
  <c r="K20" i="37" s="1"/>
  <c r="AN36" i="29"/>
  <c r="AN39" i="29" s="1"/>
  <c r="AN31" i="29"/>
  <c r="AN30" i="29"/>
  <c r="AN29" i="29"/>
  <c r="AN28" i="29"/>
  <c r="AN16" i="29"/>
  <c r="AN15" i="29"/>
  <c r="AN14" i="29"/>
  <c r="AN8" i="29"/>
  <c r="AN7" i="29"/>
  <c r="AN3" i="29"/>
  <c r="AN2" i="29"/>
  <c r="AA210" i="29"/>
  <c r="AA207" i="29"/>
  <c r="AA206" i="29"/>
  <c r="AA205" i="29"/>
  <c r="AA204" i="29"/>
  <c r="AA203" i="29"/>
  <c r="AA202" i="29"/>
  <c r="AA201" i="29"/>
  <c r="AA200" i="29"/>
  <c r="AA199" i="29"/>
  <c r="AA198" i="29"/>
  <c r="AA197" i="29"/>
  <c r="AA196" i="29"/>
  <c r="AA176" i="29"/>
  <c r="AA172" i="29"/>
  <c r="AA156" i="29"/>
  <c r="AA154" i="29"/>
  <c r="AA152" i="29"/>
  <c r="AA149" i="29"/>
  <c r="AA145" i="29"/>
  <c r="AA146" i="29" s="1"/>
  <c r="AA144" i="29"/>
  <c r="AA108" i="29"/>
  <c r="AA107" i="29"/>
  <c r="AA106" i="29"/>
  <c r="AA103" i="29"/>
  <c r="AA102" i="29"/>
  <c r="AA101" i="29"/>
  <c r="AA100" i="29"/>
  <c r="AA97" i="29"/>
  <c r="AA96" i="29"/>
  <c r="AA92" i="29"/>
  <c r="AA91" i="29"/>
  <c r="AA90" i="29"/>
  <c r="AA89" i="29"/>
  <c r="AA55" i="29"/>
  <c r="AA51" i="29"/>
  <c r="AA50" i="29"/>
  <c r="AA49" i="29"/>
  <c r="AA48" i="29"/>
  <c r="AA47" i="29"/>
  <c r="I19" i="37" s="1"/>
  <c r="AA45" i="29"/>
  <c r="AA44" i="29"/>
  <c r="AA37" i="29"/>
  <c r="I20" i="37" s="1"/>
  <c r="AA36" i="29"/>
  <c r="I16" i="37" s="1"/>
  <c r="AA31" i="29"/>
  <c r="AA30" i="29"/>
  <c r="AA29" i="29"/>
  <c r="AA28" i="29"/>
  <c r="AA16" i="29"/>
  <c r="AA15" i="29"/>
  <c r="AA14" i="29"/>
  <c r="AA8" i="29"/>
  <c r="AA7" i="29"/>
  <c r="AA3" i="29"/>
  <c r="AA2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1" i="29"/>
  <c r="N50" i="29"/>
  <c r="N49" i="29"/>
  <c r="AB54" i="29" a="1"/>
  <c r="AB54" i="29" s="1"/>
  <c r="O54" i="29" a="1"/>
  <c r="O54" i="29" s="1"/>
  <c r="AA54" i="29" s="1"/>
  <c r="B54" i="29" a="1"/>
  <c r="B54" i="29" s="1"/>
  <c r="N54" i="29" s="1"/>
  <c r="G18" i="37" s="1"/>
  <c r="J48" i="29"/>
  <c r="I48" i="29"/>
  <c r="H48" i="29"/>
  <c r="B52" i="29" a="1"/>
  <c r="AB52" i="29" a="1"/>
  <c r="AB52" i="29" s="1"/>
  <c r="AN52" i="29" s="1"/>
  <c r="O52" i="29" a="1"/>
  <c r="O52" i="29" s="1"/>
  <c r="AA52" i="29" s="1"/>
  <c r="O39" i="36"/>
  <c r="I17" i="37" l="1"/>
  <c r="AA57" i="29"/>
  <c r="K16" i="37"/>
  <c r="B52" i="29"/>
  <c r="N52" i="29" s="1"/>
  <c r="K55" i="29"/>
  <c r="F55" i="29"/>
  <c r="E55" i="29"/>
  <c r="D55" i="29"/>
  <c r="L55" i="29"/>
  <c r="G55" i="29"/>
  <c r="M55" i="29"/>
  <c r="H55" i="29"/>
  <c r="H57" i="29" s="1"/>
  <c r="N44" i="29"/>
  <c r="I55" i="29"/>
  <c r="J55" i="29"/>
  <c r="J57" i="29" s="1"/>
  <c r="AN94" i="29"/>
  <c r="AN98" i="29" s="1"/>
  <c r="K17" i="37"/>
  <c r="AA27" i="29"/>
  <c r="AN27" i="29"/>
  <c r="AN208" i="29"/>
  <c r="AN212" i="29" s="1"/>
  <c r="AN214" i="29" s="1"/>
  <c r="AA94" i="29"/>
  <c r="AA98" i="29" s="1"/>
  <c r="AA208" i="29"/>
  <c r="AA212" i="29" s="1"/>
  <c r="AA214" i="29" s="1"/>
  <c r="AN54" i="29"/>
  <c r="K18" i="37" s="1"/>
  <c r="AA39" i="29"/>
  <c r="I18" i="37"/>
  <c r="N48" i="29"/>
  <c r="G17" i="37" s="1"/>
  <c r="B55" i="29"/>
  <c r="C55" i="29"/>
  <c r="I57" i="29"/>
  <c r="K57" i="29"/>
  <c r="L57" i="29"/>
  <c r="M57" i="29"/>
  <c r="O61" i="36"/>
  <c r="N55" i="29" l="1"/>
  <c r="G61" i="36" l="1"/>
  <c r="G65" i="36" s="1"/>
  <c r="AK16" i="19" l="1"/>
  <c r="AK15" i="19"/>
  <c r="Q8" i="9" l="1"/>
  <c r="P8" i="9"/>
  <c r="O8" i="9"/>
  <c r="N8" i="9"/>
  <c r="M8" i="9"/>
  <c r="L8" i="9"/>
  <c r="K8" i="9"/>
  <c r="J8" i="9"/>
  <c r="I8" i="9"/>
  <c r="H8" i="9"/>
  <c r="G8" i="9"/>
  <c r="F8" i="9"/>
  <c r="I17" i="18"/>
  <c r="J14" i="18"/>
  <c r="J13" i="18"/>
  <c r="E13" i="18"/>
  <c r="D13" i="18"/>
  <c r="F13" i="18" s="1"/>
  <c r="J12" i="18"/>
  <c r="D12" i="18"/>
  <c r="P42" i="1" s="1"/>
  <c r="J11" i="18"/>
  <c r="D11" i="18"/>
  <c r="F11" i="18" s="1"/>
  <c r="J10" i="18"/>
  <c r="D10" i="18"/>
  <c r="F10" i="18" s="1"/>
  <c r="J9" i="18"/>
  <c r="D9" i="18"/>
  <c r="F9" i="18" s="1"/>
  <c r="J8" i="18"/>
  <c r="D8" i="18"/>
  <c r="F8" i="18" s="1"/>
  <c r="D7" i="18"/>
  <c r="Z53" i="1" s="1"/>
  <c r="J6" i="18"/>
  <c r="D6" i="18"/>
  <c r="Q50" i="1" s="1"/>
  <c r="J5" i="18"/>
  <c r="D5" i="18"/>
  <c r="Q37" i="1" s="1"/>
  <c r="J4" i="18"/>
  <c r="D4" i="18"/>
  <c r="F4" i="18" s="1"/>
  <c r="J3" i="18"/>
  <c r="D3" i="18"/>
  <c r="BF62" i="8"/>
  <c r="BE62" i="8"/>
  <c r="BD62" i="8"/>
  <c r="BC62" i="8"/>
  <c r="BB62" i="8"/>
  <c r="BA62" i="8"/>
  <c r="AZ62" i="8"/>
  <c r="AY62" i="8"/>
  <c r="AX62" i="8"/>
  <c r="AW62" i="8"/>
  <c r="AV62" i="8"/>
  <c r="AU62" i="8"/>
  <c r="AT62" i="8"/>
  <c r="AS62" i="8"/>
  <c r="AR62" i="8"/>
  <c r="AQ62" i="8"/>
  <c r="AP62" i="8"/>
  <c r="AO62" i="8"/>
  <c r="AN62" i="8"/>
  <c r="AM62" i="8"/>
  <c r="AL62" i="8"/>
  <c r="AK62" i="8"/>
  <c r="AJ62" i="8"/>
  <c r="AI62" i="8"/>
  <c r="AH62" i="8"/>
  <c r="AG62" i="8"/>
  <c r="AF62" i="8"/>
  <c r="AE62" i="8"/>
  <c r="AD62" i="8"/>
  <c r="AC62" i="8"/>
  <c r="AB62" i="8"/>
  <c r="AA62" i="8"/>
  <c r="Z62" i="8"/>
  <c r="Y62" i="8"/>
  <c r="X62" i="8"/>
  <c r="W62" i="8"/>
  <c r="V62" i="8"/>
  <c r="U62" i="8"/>
  <c r="T62" i="8"/>
  <c r="F62" i="8"/>
  <c r="D62" i="8"/>
  <c r="BF61" i="8"/>
  <c r="BE61" i="8"/>
  <c r="BD61" i="8"/>
  <c r="BC61" i="8"/>
  <c r="BB61" i="8"/>
  <c r="BA61" i="8"/>
  <c r="AZ61" i="8"/>
  <c r="AY61" i="8"/>
  <c r="AX61" i="8"/>
  <c r="AW61" i="8"/>
  <c r="AV61" i="8"/>
  <c r="AU61" i="8"/>
  <c r="AT61" i="8"/>
  <c r="AS61" i="8"/>
  <c r="AR61" i="8"/>
  <c r="AQ61" i="8"/>
  <c r="AP61" i="8"/>
  <c r="AO61" i="8"/>
  <c r="AN61" i="8"/>
  <c r="AM61" i="8"/>
  <c r="AL61" i="8"/>
  <c r="AK61" i="8"/>
  <c r="AJ61" i="8"/>
  <c r="AI61" i="8"/>
  <c r="AH61" i="8"/>
  <c r="AG61" i="8"/>
  <c r="AF61" i="8"/>
  <c r="AE61" i="8"/>
  <c r="AD61" i="8"/>
  <c r="AC61" i="8"/>
  <c r="AB61" i="8"/>
  <c r="AA61" i="8"/>
  <c r="Z61" i="8"/>
  <c r="Y61" i="8"/>
  <c r="X61" i="8"/>
  <c r="W61" i="8"/>
  <c r="V61" i="8"/>
  <c r="U61" i="8"/>
  <c r="T61" i="8"/>
  <c r="F61" i="8"/>
  <c r="D61" i="8"/>
  <c r="BF60" i="8"/>
  <c r="BE60" i="8"/>
  <c r="BD60" i="8"/>
  <c r="BC60" i="8"/>
  <c r="BB60" i="8"/>
  <c r="BA60" i="8"/>
  <c r="AZ60" i="8"/>
  <c r="AY60" i="8"/>
  <c r="AX60" i="8"/>
  <c r="AW60" i="8"/>
  <c r="AV60" i="8"/>
  <c r="AU60" i="8"/>
  <c r="AT60" i="8"/>
  <c r="AS60" i="8"/>
  <c r="AR60" i="8"/>
  <c r="AQ60" i="8"/>
  <c r="AP60" i="8"/>
  <c r="AO60" i="8"/>
  <c r="AN60" i="8"/>
  <c r="AM60" i="8"/>
  <c r="AL60" i="8"/>
  <c r="AK60" i="8"/>
  <c r="AJ60" i="8"/>
  <c r="AI60" i="8"/>
  <c r="AH60" i="8"/>
  <c r="AG60" i="8"/>
  <c r="AF60" i="8"/>
  <c r="AE60" i="8"/>
  <c r="AD60" i="8"/>
  <c r="AC60" i="8"/>
  <c r="AB60" i="8"/>
  <c r="AA60" i="8"/>
  <c r="Z60" i="8"/>
  <c r="Y60" i="8"/>
  <c r="X60" i="8"/>
  <c r="W60" i="8"/>
  <c r="V60" i="8"/>
  <c r="U60" i="8"/>
  <c r="T60" i="8"/>
  <c r="F60" i="8"/>
  <c r="D60" i="8"/>
  <c r="BF59" i="8"/>
  <c r="BE59" i="8"/>
  <c r="BD59" i="8"/>
  <c r="BC59" i="8"/>
  <c r="BB59" i="8"/>
  <c r="BA59" i="8"/>
  <c r="AZ59" i="8"/>
  <c r="AY59" i="8"/>
  <c r="AX59" i="8"/>
  <c r="AW59" i="8"/>
  <c r="AV59" i="8"/>
  <c r="AU59" i="8"/>
  <c r="AT59" i="8"/>
  <c r="AS59" i="8"/>
  <c r="AR59" i="8"/>
  <c r="AQ59" i="8"/>
  <c r="AP59" i="8"/>
  <c r="AO59" i="8"/>
  <c r="AN59" i="8"/>
  <c r="AM59" i="8"/>
  <c r="AL59" i="8"/>
  <c r="AK59" i="8"/>
  <c r="AJ59" i="8"/>
  <c r="AI59" i="8"/>
  <c r="AH59" i="8"/>
  <c r="AG59" i="8"/>
  <c r="AF59" i="8"/>
  <c r="AE59" i="8"/>
  <c r="AD59" i="8"/>
  <c r="AC59" i="8"/>
  <c r="AB59" i="8"/>
  <c r="AA59" i="8"/>
  <c r="Z59" i="8"/>
  <c r="Y59" i="8"/>
  <c r="X59" i="8"/>
  <c r="W59" i="8"/>
  <c r="V59" i="8"/>
  <c r="U59" i="8"/>
  <c r="T59" i="8"/>
  <c r="F59" i="8"/>
  <c r="D59" i="8"/>
  <c r="BF58" i="8"/>
  <c r="BE58" i="8"/>
  <c r="BD58" i="8"/>
  <c r="BC58" i="8"/>
  <c r="BB58" i="8"/>
  <c r="BA58" i="8"/>
  <c r="AZ58" i="8"/>
  <c r="AY58" i="8"/>
  <c r="AX58" i="8"/>
  <c r="AW58" i="8"/>
  <c r="AV58" i="8"/>
  <c r="AU58" i="8"/>
  <c r="AT58" i="8"/>
  <c r="AS58" i="8"/>
  <c r="AR58" i="8"/>
  <c r="AQ58" i="8"/>
  <c r="AP58" i="8"/>
  <c r="AO58" i="8"/>
  <c r="AN58" i="8"/>
  <c r="AM58" i="8"/>
  <c r="AL58" i="8"/>
  <c r="AK58" i="8"/>
  <c r="AJ58" i="8"/>
  <c r="AI58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F58" i="8"/>
  <c r="D58" i="8"/>
  <c r="BF57" i="8"/>
  <c r="BE57" i="8"/>
  <c r="BD57" i="8"/>
  <c r="BC57" i="8"/>
  <c r="BB57" i="8"/>
  <c r="BA57" i="8"/>
  <c r="AZ57" i="8"/>
  <c r="AY57" i="8"/>
  <c r="AX57" i="8"/>
  <c r="AW57" i="8"/>
  <c r="AV57" i="8"/>
  <c r="AU57" i="8"/>
  <c r="AT57" i="8"/>
  <c r="AS57" i="8"/>
  <c r="AR57" i="8"/>
  <c r="AQ57" i="8"/>
  <c r="AP57" i="8"/>
  <c r="AO57" i="8"/>
  <c r="AN57" i="8"/>
  <c r="AM57" i="8"/>
  <c r="AL57" i="8"/>
  <c r="AK57" i="8"/>
  <c r="AJ57" i="8"/>
  <c r="AI57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F57" i="8"/>
  <c r="D57" i="8"/>
  <c r="BF56" i="8"/>
  <c r="BE56" i="8"/>
  <c r="BD56" i="8"/>
  <c r="BC56" i="8"/>
  <c r="BB56" i="8"/>
  <c r="BA56" i="8"/>
  <c r="AZ56" i="8"/>
  <c r="AY56" i="8"/>
  <c r="AX56" i="8"/>
  <c r="AW56" i="8"/>
  <c r="AV56" i="8"/>
  <c r="AU56" i="8"/>
  <c r="AT56" i="8"/>
  <c r="AS56" i="8"/>
  <c r="AR56" i="8"/>
  <c r="AQ56" i="8"/>
  <c r="AP56" i="8"/>
  <c r="AO56" i="8"/>
  <c r="AN56" i="8"/>
  <c r="AM56" i="8"/>
  <c r="AL56" i="8"/>
  <c r="AK56" i="8"/>
  <c r="AJ56" i="8"/>
  <c r="AI56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F56" i="8"/>
  <c r="D56" i="8"/>
  <c r="BF55" i="8"/>
  <c r="BE55" i="8"/>
  <c r="BD55" i="8"/>
  <c r="BC55" i="8"/>
  <c r="BB55" i="8"/>
  <c r="BA55" i="8"/>
  <c r="AZ55" i="8"/>
  <c r="AY55" i="8"/>
  <c r="AX55" i="8"/>
  <c r="AW55" i="8"/>
  <c r="AV55" i="8"/>
  <c r="AU55" i="8"/>
  <c r="AT55" i="8"/>
  <c r="AS55" i="8"/>
  <c r="AR55" i="8"/>
  <c r="AQ55" i="8"/>
  <c r="AP55" i="8"/>
  <c r="AO55" i="8"/>
  <c r="AN55" i="8"/>
  <c r="AM55" i="8"/>
  <c r="AL55" i="8"/>
  <c r="AK55" i="8"/>
  <c r="AJ55" i="8"/>
  <c r="AI55" i="8"/>
  <c r="AH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F55" i="8"/>
  <c r="D55" i="8"/>
  <c r="BF54" i="8"/>
  <c r="AS54" i="8"/>
  <c r="AG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F54" i="8"/>
  <c r="BF53" i="8"/>
  <c r="AS53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F53" i="8"/>
  <c r="BF52" i="8"/>
  <c r="AS52" i="8"/>
  <c r="AR52" i="8"/>
  <c r="AQ52" i="8"/>
  <c r="AP52" i="8"/>
  <c r="AO52" i="8"/>
  <c r="AN52" i="8"/>
  <c r="AM52" i="8"/>
  <c r="AL52" i="8"/>
  <c r="AK52" i="8"/>
  <c r="AJ52" i="8"/>
  <c r="AI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F52" i="8"/>
  <c r="BF51" i="8"/>
  <c r="AS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F51" i="8"/>
  <c r="BF50" i="8"/>
  <c r="AS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F50" i="8"/>
  <c r="BF49" i="8"/>
  <c r="AS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F49" i="8"/>
  <c r="BF48" i="8"/>
  <c r="AS48" i="8"/>
  <c r="AG48" i="8"/>
  <c r="AF48" i="8"/>
  <c r="BF47" i="8"/>
  <c r="AS47" i="8"/>
  <c r="AG47" i="8"/>
  <c r="AF47" i="8"/>
  <c r="BF46" i="8"/>
  <c r="AS46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T45" i="8"/>
  <c r="AS45" i="8"/>
  <c r="AR45" i="8"/>
  <c r="AQ45" i="8"/>
  <c r="AP45" i="8"/>
  <c r="AO45" i="8"/>
  <c r="AN45" i="8"/>
  <c r="AM45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F45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T44" i="8"/>
  <c r="AS44" i="8"/>
  <c r="AR44" i="8"/>
  <c r="AQ44" i="8"/>
  <c r="AP44" i="8"/>
  <c r="AO44" i="8"/>
  <c r="AN44" i="8"/>
  <c r="AM44" i="8"/>
  <c r="AL44" i="8"/>
  <c r="AK44" i="8"/>
  <c r="AJ44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F44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T43" i="8"/>
  <c r="AS43" i="8"/>
  <c r="AR43" i="8"/>
  <c r="AQ43" i="8"/>
  <c r="AP43" i="8"/>
  <c r="AO43" i="8"/>
  <c r="AN43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F43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T42" i="8"/>
  <c r="AS42" i="8"/>
  <c r="AR42" i="8"/>
  <c r="AQ42" i="8"/>
  <c r="AP42" i="8"/>
  <c r="AO42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F42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T41" i="8"/>
  <c r="AS41" i="8"/>
  <c r="AR41" i="8"/>
  <c r="AQ41" i="8"/>
  <c r="AP41" i="8"/>
  <c r="AO41" i="8"/>
  <c r="AN41" i="8"/>
  <c r="AM41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F41" i="8"/>
  <c r="BF40" i="8"/>
  <c r="AS40" i="8"/>
  <c r="AF40" i="8"/>
  <c r="X40" i="8"/>
  <c r="W40" i="8"/>
  <c r="V40" i="8"/>
  <c r="U40" i="8"/>
  <c r="F40" i="8"/>
  <c r="D40" i="8"/>
  <c r="BF39" i="8"/>
  <c r="AS39" i="8"/>
  <c r="AF39" i="8"/>
  <c r="W39" i="8"/>
  <c r="V39" i="8"/>
  <c r="U39" i="8"/>
  <c r="T39" i="8"/>
  <c r="F39" i="8"/>
  <c r="BF38" i="8"/>
  <c r="BE38" i="8"/>
  <c r="BD38" i="8"/>
  <c r="BC38" i="8"/>
  <c r="BB38" i="8"/>
  <c r="BA38" i="8"/>
  <c r="AZ38" i="8"/>
  <c r="AY38" i="8"/>
  <c r="AX38" i="8"/>
  <c r="AW38" i="8"/>
  <c r="AV38" i="8"/>
  <c r="AU38" i="8"/>
  <c r="AT38" i="8"/>
  <c r="AS38" i="8"/>
  <c r="AR38" i="8"/>
  <c r="AQ38" i="8"/>
  <c r="AP38" i="8"/>
  <c r="AO38" i="8"/>
  <c r="AN38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F38" i="8"/>
  <c r="BF37" i="8"/>
  <c r="AS37" i="8"/>
  <c r="AG37" i="8"/>
  <c r="AF37" i="8"/>
  <c r="BF36" i="8"/>
  <c r="AS36" i="8"/>
  <c r="AG36" i="8"/>
  <c r="AF36" i="8"/>
  <c r="BF35" i="8"/>
  <c r="AS35" i="8"/>
  <c r="AG35" i="8"/>
  <c r="AF35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T34" i="8"/>
  <c r="AS34" i="8"/>
  <c r="AR34" i="8"/>
  <c r="AQ34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F34" i="8"/>
  <c r="BF33" i="8"/>
  <c r="BE33" i="8"/>
  <c r="BD33" i="8"/>
  <c r="BC33" i="8"/>
  <c r="BB33" i="8"/>
  <c r="BA33" i="8"/>
  <c r="AZ33" i="8"/>
  <c r="AY33" i="8"/>
  <c r="AX33" i="8"/>
  <c r="AW33" i="8"/>
  <c r="AV33" i="8"/>
  <c r="AU33" i="8"/>
  <c r="AT33" i="8"/>
  <c r="AS33" i="8"/>
  <c r="AR33" i="8"/>
  <c r="AQ33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F33" i="8"/>
  <c r="D33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T32" i="8"/>
  <c r="AS32" i="8"/>
  <c r="AR32" i="8"/>
  <c r="AQ32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F32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T31" i="8"/>
  <c r="AS31" i="8"/>
  <c r="AR31" i="8"/>
  <c r="AQ31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F31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T30" i="8"/>
  <c r="AS30" i="8"/>
  <c r="AR30" i="8"/>
  <c r="AQ30" i="8"/>
  <c r="AP30" i="8"/>
  <c r="AO30" i="8"/>
  <c r="AN30" i="8"/>
  <c r="AM30" i="8"/>
  <c r="AL30" i="8"/>
  <c r="AK30" i="8"/>
  <c r="AJ30" i="8"/>
  <c r="AI30" i="8"/>
  <c r="AH30" i="8"/>
  <c r="AG30" i="8"/>
  <c r="AE30" i="8"/>
  <c r="AD30" i="8"/>
  <c r="AC30" i="8"/>
  <c r="X54" i="1" s="1"/>
  <c r="AB30" i="8"/>
  <c r="AA30" i="8"/>
  <c r="Z30" i="8"/>
  <c r="U54" i="1" s="1"/>
  <c r="Y30" i="8"/>
  <c r="X30" i="8"/>
  <c r="W30" i="8"/>
  <c r="V30" i="8"/>
  <c r="U30" i="8"/>
  <c r="T30" i="8"/>
  <c r="F30" i="8"/>
  <c r="BF29" i="8"/>
  <c r="BE29" i="8"/>
  <c r="BD29" i="8"/>
  <c r="BC29" i="8"/>
  <c r="BB29" i="8"/>
  <c r="BA29" i="8"/>
  <c r="AZ29" i="8"/>
  <c r="AY29" i="8"/>
  <c r="AX29" i="8"/>
  <c r="AW29" i="8"/>
  <c r="AV29" i="8"/>
  <c r="AU29" i="8"/>
  <c r="AT29" i="8"/>
  <c r="AS29" i="8"/>
  <c r="AR29" i="8"/>
  <c r="AQ29" i="8"/>
  <c r="AP29" i="8"/>
  <c r="AO29" i="8"/>
  <c r="AN29" i="8"/>
  <c r="AM29" i="8"/>
  <c r="AL29" i="8"/>
  <c r="AK29" i="8"/>
  <c r="AJ29" i="8"/>
  <c r="AI29" i="8"/>
  <c r="AH29" i="8"/>
  <c r="AG29" i="8"/>
  <c r="AF29" i="8"/>
  <c r="AE29" i="8"/>
  <c r="AD29" i="8"/>
  <c r="AC29" i="8"/>
  <c r="AB29" i="8"/>
  <c r="AA29" i="8"/>
  <c r="Z29" i="8"/>
  <c r="Y29" i="8"/>
  <c r="X29" i="8"/>
  <c r="W29" i="8"/>
  <c r="V29" i="8"/>
  <c r="U29" i="8"/>
  <c r="T29" i="8"/>
  <c r="F29" i="8"/>
  <c r="BF28" i="8"/>
  <c r="BE28" i="8"/>
  <c r="BD28" i="8"/>
  <c r="BC28" i="8"/>
  <c r="BB28" i="8"/>
  <c r="BA28" i="8"/>
  <c r="AZ28" i="8"/>
  <c r="AY28" i="8"/>
  <c r="AX28" i="8"/>
  <c r="AW28" i="8"/>
  <c r="AV28" i="8"/>
  <c r="AU28" i="8"/>
  <c r="AT28" i="8"/>
  <c r="AS28" i="8"/>
  <c r="AR28" i="8"/>
  <c r="AQ28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F28" i="8"/>
  <c r="BF27" i="8"/>
  <c r="BE27" i="8"/>
  <c r="BD27" i="8"/>
  <c r="BC27" i="8"/>
  <c r="BB27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F27" i="8"/>
  <c r="D27" i="8"/>
  <c r="BF26" i="8"/>
  <c r="BE26" i="8"/>
  <c r="BD26" i="8"/>
  <c r="BC26" i="8"/>
  <c r="BB26" i="8"/>
  <c r="BA26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F26" i="8"/>
  <c r="D26" i="8"/>
  <c r="BF25" i="8"/>
  <c r="AS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F25" i="8"/>
  <c r="BF24" i="8"/>
  <c r="BE24" i="8"/>
  <c r="BD24" i="8"/>
  <c r="BC24" i="8"/>
  <c r="BB24" i="8"/>
  <c r="BA24" i="8"/>
  <c r="AZ24" i="8"/>
  <c r="AY24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AL24" i="8"/>
  <c r="AK24" i="8"/>
  <c r="AJ24" i="8"/>
  <c r="AI24" i="8"/>
  <c r="AH24" i="8"/>
  <c r="AG24" i="8"/>
  <c r="AF24" i="8"/>
  <c r="X24" i="8"/>
  <c r="W24" i="8"/>
  <c r="V24" i="8"/>
  <c r="U24" i="8"/>
  <c r="T24" i="8"/>
  <c r="F24" i="8"/>
  <c r="BF23" i="8"/>
  <c r="BE23" i="8"/>
  <c r="BD23" i="8"/>
  <c r="BC23" i="8"/>
  <c r="BB23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F23" i="8"/>
  <c r="D23" i="8"/>
  <c r="BF22" i="8"/>
  <c r="BE22" i="8"/>
  <c r="BD22" i="8"/>
  <c r="BC22" i="8"/>
  <c r="BB22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F22" i="8"/>
  <c r="BF21" i="8"/>
  <c r="AS21" i="8"/>
  <c r="AF21" i="8"/>
  <c r="BF20" i="8"/>
  <c r="AS20" i="8"/>
  <c r="AF20" i="8"/>
  <c r="BF19" i="8"/>
  <c r="AS19" i="8"/>
  <c r="AF19" i="8"/>
  <c r="BF18" i="8"/>
  <c r="AS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F18" i="8"/>
  <c r="BF17" i="8"/>
  <c r="AS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F17" i="8"/>
  <c r="BF16" i="8"/>
  <c r="AS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F16" i="8"/>
  <c r="BF15" i="8"/>
  <c r="AS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F15" i="8"/>
  <c r="BF14" i="8"/>
  <c r="AS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F14" i="8"/>
  <c r="BF13" i="8"/>
  <c r="AS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F13" i="8"/>
  <c r="BF12" i="8"/>
  <c r="AS12" i="8"/>
  <c r="AR12" i="8"/>
  <c r="AQ12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F12" i="8"/>
  <c r="BF11" i="8"/>
  <c r="AS11" i="8"/>
  <c r="AR11" i="8"/>
  <c r="AQ11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F11" i="8"/>
  <c r="BF10" i="8"/>
  <c r="BE10" i="8"/>
  <c r="BD10" i="8"/>
  <c r="BC10" i="8"/>
  <c r="BB10" i="8"/>
  <c r="BA10" i="8"/>
  <c r="AZ10" i="8"/>
  <c r="AY10" i="8"/>
  <c r="AX10" i="8"/>
  <c r="AW10" i="8"/>
  <c r="AV10" i="8"/>
  <c r="AU10" i="8"/>
  <c r="AT10" i="8"/>
  <c r="AS10" i="8"/>
  <c r="AR10" i="8"/>
  <c r="AQ10" i="8"/>
  <c r="AP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F10" i="8"/>
  <c r="D10" i="8"/>
  <c r="BF9" i="8"/>
  <c r="BE9" i="8"/>
  <c r="BD9" i="8"/>
  <c r="BC9" i="8"/>
  <c r="BB9" i="8"/>
  <c r="BA9" i="8"/>
  <c r="AZ9" i="8"/>
  <c r="AY9" i="8"/>
  <c r="AX9" i="8"/>
  <c r="AW9" i="8"/>
  <c r="AV9" i="8"/>
  <c r="AU9" i="8"/>
  <c r="AT9" i="8"/>
  <c r="AS9" i="8"/>
  <c r="AR9" i="8"/>
  <c r="AQ9" i="8"/>
  <c r="AP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F9" i="8"/>
  <c r="BF8" i="8"/>
  <c r="BE8" i="8"/>
  <c r="BD8" i="8"/>
  <c r="BC8" i="8"/>
  <c r="BB8" i="8"/>
  <c r="BA8" i="8"/>
  <c r="AZ8" i="8"/>
  <c r="AY8" i="8"/>
  <c r="AX8" i="8"/>
  <c r="AW8" i="8"/>
  <c r="AV8" i="8"/>
  <c r="AU8" i="8"/>
  <c r="AT8" i="8"/>
  <c r="AS8" i="8"/>
  <c r="AR8" i="8"/>
  <c r="AQ8" i="8"/>
  <c r="AP8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F8" i="8"/>
  <c r="BF7" i="8"/>
  <c r="BE7" i="8"/>
  <c r="BD7" i="8"/>
  <c r="BC7" i="8"/>
  <c r="BB7" i="8"/>
  <c r="BA7" i="8"/>
  <c r="AZ7" i="8"/>
  <c r="AY7" i="8"/>
  <c r="AX7" i="8"/>
  <c r="AW7" i="8"/>
  <c r="AV7" i="8"/>
  <c r="AU7" i="8"/>
  <c r="AT7" i="8"/>
  <c r="AS7" i="8"/>
  <c r="AR7" i="8"/>
  <c r="AQ7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F7" i="8"/>
  <c r="D7" i="8"/>
  <c r="C48" i="3"/>
  <c r="AA65" i="1"/>
  <c r="AA62" i="1"/>
  <c r="AA61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O55" i="1"/>
  <c r="Z54" i="1"/>
  <c r="Y54" i="1"/>
  <c r="W54" i="1"/>
  <c r="V54" i="1"/>
  <c r="T54" i="1"/>
  <c r="S54" i="1"/>
  <c r="R54" i="1"/>
  <c r="Q54" i="1"/>
  <c r="P54" i="1"/>
  <c r="O54" i="1"/>
  <c r="W53" i="1"/>
  <c r="T53" i="1"/>
  <c r="Q53" i="1"/>
  <c r="Z52" i="1"/>
  <c r="Y52" i="1"/>
  <c r="X52" i="1"/>
  <c r="W52" i="1"/>
  <c r="V52" i="1"/>
  <c r="U52" i="1"/>
  <c r="T52" i="1"/>
  <c r="S52" i="1"/>
  <c r="R52" i="1"/>
  <c r="Q52" i="1"/>
  <c r="O51" i="1"/>
  <c r="Z50" i="1"/>
  <c r="Y50" i="1"/>
  <c r="X50" i="1"/>
  <c r="W50" i="1"/>
  <c r="V50" i="1"/>
  <c r="U50" i="1"/>
  <c r="T50" i="1"/>
  <c r="S50" i="1"/>
  <c r="R50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O48" i="1"/>
  <c r="Z47" i="1"/>
  <c r="Y47" i="1"/>
  <c r="X47" i="1"/>
  <c r="W47" i="1"/>
  <c r="V47" i="1"/>
  <c r="U47" i="1"/>
  <c r="T47" i="1"/>
  <c r="S47" i="1"/>
  <c r="R47" i="1"/>
  <c r="Q47" i="1"/>
  <c r="P47" i="1"/>
  <c r="O47" i="1"/>
  <c r="Z46" i="1"/>
  <c r="Y46" i="1"/>
  <c r="X46" i="1"/>
  <c r="W46" i="1"/>
  <c r="V46" i="1"/>
  <c r="U46" i="1"/>
  <c r="T46" i="1"/>
  <c r="S46" i="1"/>
  <c r="R46" i="1"/>
  <c r="Z45" i="1"/>
  <c r="Y45" i="1"/>
  <c r="X45" i="1"/>
  <c r="W45" i="1"/>
  <c r="V45" i="1"/>
  <c r="U45" i="1"/>
  <c r="T45" i="1"/>
  <c r="S45" i="1"/>
  <c r="R45" i="1"/>
  <c r="P45" i="1"/>
  <c r="Z44" i="1"/>
  <c r="Y44" i="1"/>
  <c r="X44" i="1"/>
  <c r="W44" i="1"/>
  <c r="V44" i="1"/>
  <c r="U44" i="1"/>
  <c r="T44" i="1"/>
  <c r="S44" i="1"/>
  <c r="R44" i="1"/>
  <c r="Z43" i="1"/>
  <c r="Y43" i="1"/>
  <c r="X43" i="1"/>
  <c r="W43" i="1"/>
  <c r="V43" i="1"/>
  <c r="U43" i="1"/>
  <c r="T43" i="1"/>
  <c r="S43" i="1"/>
  <c r="R43" i="1"/>
  <c r="Z42" i="1"/>
  <c r="Y42" i="1"/>
  <c r="X42" i="1"/>
  <c r="W42" i="1"/>
  <c r="V42" i="1"/>
  <c r="U42" i="1"/>
  <c r="T42" i="1"/>
  <c r="S42" i="1"/>
  <c r="R42" i="1"/>
  <c r="O39" i="1"/>
  <c r="O38" i="1"/>
  <c r="Z37" i="1"/>
  <c r="Y37" i="1"/>
  <c r="X37" i="1"/>
  <c r="W37" i="1"/>
  <c r="V37" i="1"/>
  <c r="U37" i="1"/>
  <c r="T37" i="1"/>
  <c r="S37" i="1"/>
  <c r="R37" i="1"/>
  <c r="O32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Z29" i="1"/>
  <c r="Y29" i="1"/>
  <c r="AA28" i="1"/>
  <c r="O27" i="1"/>
  <c r="O26" i="1"/>
  <c r="O25" i="1"/>
  <c r="O24" i="1"/>
  <c r="O23" i="1"/>
  <c r="O22" i="1"/>
  <c r="O21" i="1"/>
  <c r="O20" i="1"/>
  <c r="O19" i="1"/>
  <c r="O18" i="1"/>
  <c r="Z17" i="1"/>
  <c r="Y17" i="1"/>
  <c r="X17" i="1"/>
  <c r="W17" i="1"/>
  <c r="V17" i="1"/>
  <c r="U17" i="1"/>
  <c r="T17" i="1"/>
  <c r="S17" i="1"/>
  <c r="R17" i="1"/>
  <c r="Q17" i="1"/>
  <c r="P17" i="1"/>
  <c r="O17" i="1"/>
  <c r="Z16" i="1"/>
  <c r="Y16" i="1"/>
  <c r="X16" i="1"/>
  <c r="W16" i="1"/>
  <c r="V16" i="1"/>
  <c r="U16" i="1"/>
  <c r="T16" i="1"/>
  <c r="S16" i="1"/>
  <c r="R16" i="1"/>
  <c r="Q16" i="1"/>
  <c r="P16" i="1"/>
  <c r="O16" i="1"/>
  <c r="Z15" i="1"/>
  <c r="Y15" i="1"/>
  <c r="X15" i="1"/>
  <c r="W15" i="1"/>
  <c r="V15" i="1"/>
  <c r="U15" i="1"/>
  <c r="T15" i="1"/>
  <c r="S15" i="1"/>
  <c r="R15" i="1"/>
  <c r="Q15" i="1"/>
  <c r="P15" i="1"/>
  <c r="O15" i="1"/>
  <c r="F15" i="23"/>
  <c r="E15" i="23"/>
  <c r="D15" i="23"/>
  <c r="D10" i="23"/>
  <c r="O9" i="23"/>
  <c r="N9" i="23"/>
  <c r="M9" i="23"/>
  <c r="L9" i="23"/>
  <c r="K9" i="23"/>
  <c r="J9" i="23"/>
  <c r="I9" i="23"/>
  <c r="H9" i="23"/>
  <c r="G9" i="23"/>
  <c r="F9" i="23"/>
  <c r="E9" i="23"/>
  <c r="D9" i="23"/>
  <c r="O8" i="23"/>
  <c r="N8" i="23"/>
  <c r="M8" i="23"/>
  <c r="L8" i="23"/>
  <c r="K8" i="23"/>
  <c r="J8" i="23"/>
  <c r="I8" i="23"/>
  <c r="H8" i="23"/>
  <c r="G8" i="23"/>
  <c r="F8" i="23"/>
  <c r="E8" i="23"/>
  <c r="D8" i="23"/>
  <c r="O7" i="23"/>
  <c r="N7" i="23"/>
  <c r="M7" i="23"/>
  <c r="L7" i="23"/>
  <c r="K7" i="23"/>
  <c r="J7" i="23"/>
  <c r="I7" i="23"/>
  <c r="H7" i="23"/>
  <c r="G7" i="23"/>
  <c r="F7" i="23"/>
  <c r="E7" i="23"/>
  <c r="D7" i="23"/>
  <c r="O6" i="23"/>
  <c r="N6" i="23"/>
  <c r="M6" i="23"/>
  <c r="L6" i="23"/>
  <c r="K6" i="23"/>
  <c r="J6" i="23"/>
  <c r="I6" i="23"/>
  <c r="H6" i="23"/>
  <c r="G6" i="23"/>
  <c r="F6" i="23"/>
  <c r="E6" i="23"/>
  <c r="D6" i="23"/>
  <c r="O5" i="23"/>
  <c r="N5" i="23"/>
  <c r="M5" i="23"/>
  <c r="L5" i="23"/>
  <c r="K5" i="23"/>
  <c r="J5" i="23"/>
  <c r="I5" i="23"/>
  <c r="H5" i="23"/>
  <c r="G5" i="23"/>
  <c r="F5" i="23"/>
  <c r="E5" i="23"/>
  <c r="D5" i="23"/>
  <c r="O4" i="23"/>
  <c r="N4" i="23"/>
  <c r="M4" i="23"/>
  <c r="L4" i="23"/>
  <c r="K4" i="23"/>
  <c r="J4" i="23"/>
  <c r="I4" i="23"/>
  <c r="H4" i="23"/>
  <c r="G4" i="23"/>
  <c r="F4" i="23"/>
  <c r="E4" i="23"/>
  <c r="D4" i="23"/>
  <c r="N175" i="24"/>
  <c r="E175" i="24"/>
  <c r="D175" i="24"/>
  <c r="C175" i="24"/>
  <c r="B175" i="24"/>
  <c r="N172" i="24"/>
  <c r="M172" i="24"/>
  <c r="L172" i="24"/>
  <c r="K172" i="24"/>
  <c r="J172" i="24"/>
  <c r="I172" i="24"/>
  <c r="H172" i="24"/>
  <c r="G172" i="24"/>
  <c r="F172" i="24"/>
  <c r="E172" i="24"/>
  <c r="D172" i="24"/>
  <c r="C172" i="24"/>
  <c r="B172" i="24"/>
  <c r="N171" i="24"/>
  <c r="M171" i="24"/>
  <c r="L171" i="24"/>
  <c r="K171" i="24"/>
  <c r="J171" i="24"/>
  <c r="I171" i="24"/>
  <c r="H171" i="24"/>
  <c r="G171" i="24"/>
  <c r="F171" i="24"/>
  <c r="E171" i="24"/>
  <c r="D171" i="24"/>
  <c r="C171" i="24"/>
  <c r="B171" i="24"/>
  <c r="N170" i="24"/>
  <c r="M170" i="24"/>
  <c r="L170" i="24"/>
  <c r="K170" i="24"/>
  <c r="J170" i="24"/>
  <c r="I170" i="24"/>
  <c r="H170" i="24"/>
  <c r="G170" i="24"/>
  <c r="F170" i="24"/>
  <c r="E170" i="24"/>
  <c r="D170" i="24"/>
  <c r="C170" i="24"/>
  <c r="B170" i="24"/>
  <c r="N169" i="24"/>
  <c r="M169" i="24"/>
  <c r="L169" i="24"/>
  <c r="K169" i="24"/>
  <c r="J169" i="24"/>
  <c r="I169" i="24"/>
  <c r="H169" i="24"/>
  <c r="G169" i="24"/>
  <c r="F169" i="24"/>
  <c r="E169" i="24"/>
  <c r="D169" i="24"/>
  <c r="C169" i="24"/>
  <c r="B169" i="24"/>
  <c r="A169" i="24"/>
  <c r="N168" i="24"/>
  <c r="M168" i="24"/>
  <c r="L168" i="24"/>
  <c r="K168" i="24"/>
  <c r="J168" i="24"/>
  <c r="I168" i="24"/>
  <c r="H168" i="24"/>
  <c r="G168" i="24"/>
  <c r="F168" i="24"/>
  <c r="E168" i="24"/>
  <c r="D168" i="24"/>
  <c r="C168" i="24"/>
  <c r="B168" i="24"/>
  <c r="N166" i="24"/>
  <c r="M166" i="24"/>
  <c r="L166" i="24"/>
  <c r="K166" i="24"/>
  <c r="J166" i="24"/>
  <c r="I166" i="24"/>
  <c r="H166" i="24"/>
  <c r="G166" i="24"/>
  <c r="F166" i="24"/>
  <c r="E166" i="24"/>
  <c r="D166" i="24"/>
  <c r="C166" i="24"/>
  <c r="B166" i="24"/>
  <c r="N165" i="24"/>
  <c r="M165" i="24"/>
  <c r="L165" i="24"/>
  <c r="K165" i="24"/>
  <c r="J165" i="24"/>
  <c r="I165" i="24"/>
  <c r="H165" i="24"/>
  <c r="G165" i="24"/>
  <c r="F165" i="24"/>
  <c r="E165" i="24"/>
  <c r="D165" i="24"/>
  <c r="C165" i="24"/>
  <c r="B165" i="24"/>
  <c r="N164" i="24"/>
  <c r="M164" i="24"/>
  <c r="L164" i="24"/>
  <c r="K164" i="24"/>
  <c r="J164" i="24"/>
  <c r="I164" i="24"/>
  <c r="H164" i="24"/>
  <c r="G164" i="24"/>
  <c r="F164" i="24"/>
  <c r="E164" i="24"/>
  <c r="D164" i="24"/>
  <c r="C164" i="24"/>
  <c r="B164" i="24"/>
  <c r="N163" i="24"/>
  <c r="M163" i="24"/>
  <c r="L163" i="24"/>
  <c r="K163" i="24"/>
  <c r="J163" i="24"/>
  <c r="I163" i="24"/>
  <c r="H163" i="24"/>
  <c r="G163" i="24"/>
  <c r="F163" i="24"/>
  <c r="E163" i="24"/>
  <c r="D163" i="24"/>
  <c r="C163" i="24"/>
  <c r="B163" i="24"/>
  <c r="D162" i="24"/>
  <c r="C162" i="24"/>
  <c r="B162" i="24"/>
  <c r="D156" i="24"/>
  <c r="C156" i="24"/>
  <c r="B156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B151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N147" i="24"/>
  <c r="M147" i="24"/>
  <c r="L147" i="24"/>
  <c r="K147" i="24"/>
  <c r="J147" i="24"/>
  <c r="I147" i="24"/>
  <c r="H147" i="24"/>
  <c r="G147" i="24"/>
  <c r="F147" i="24"/>
  <c r="E147" i="24"/>
  <c r="D147" i="24"/>
  <c r="C147" i="24"/>
  <c r="B147" i="24"/>
  <c r="N146" i="24"/>
  <c r="M146" i="24"/>
  <c r="L146" i="24"/>
  <c r="K146" i="24"/>
  <c r="J146" i="24"/>
  <c r="I146" i="24"/>
  <c r="H146" i="24"/>
  <c r="G146" i="24"/>
  <c r="F146" i="24"/>
  <c r="E146" i="24"/>
  <c r="D146" i="24"/>
  <c r="C146" i="24"/>
  <c r="B146" i="24"/>
  <c r="N145" i="24"/>
  <c r="M145" i="24"/>
  <c r="L145" i="24"/>
  <c r="K145" i="24"/>
  <c r="J145" i="24"/>
  <c r="I145" i="24"/>
  <c r="H145" i="24"/>
  <c r="G145" i="24"/>
  <c r="F145" i="24"/>
  <c r="E145" i="24"/>
  <c r="D145" i="24"/>
  <c r="C145" i="24"/>
  <c r="B145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N137" i="24"/>
  <c r="Q135" i="24"/>
  <c r="N135" i="24"/>
  <c r="M135" i="24"/>
  <c r="L135" i="24"/>
  <c r="K135" i="24"/>
  <c r="J135" i="24"/>
  <c r="I135" i="24"/>
  <c r="H135" i="24"/>
  <c r="G135" i="24"/>
  <c r="F135" i="24"/>
  <c r="E135" i="24"/>
  <c r="D135" i="24"/>
  <c r="C135" i="24"/>
  <c r="B135" i="24"/>
  <c r="D134" i="24"/>
  <c r="C134" i="24"/>
  <c r="B134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B129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Q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Q125" i="24"/>
  <c r="N125" i="24"/>
  <c r="M125" i="24"/>
  <c r="L125" i="24"/>
  <c r="K125" i="24"/>
  <c r="J125" i="24"/>
  <c r="I125" i="24"/>
  <c r="H125" i="24"/>
  <c r="G125" i="24"/>
  <c r="F125" i="24"/>
  <c r="E125" i="24"/>
  <c r="D125" i="24"/>
  <c r="C125" i="24"/>
  <c r="B125" i="24"/>
  <c r="Q124" i="24"/>
  <c r="N124" i="24"/>
  <c r="M124" i="24"/>
  <c r="L124" i="24"/>
  <c r="K124" i="24"/>
  <c r="J124" i="24"/>
  <c r="I124" i="24"/>
  <c r="H124" i="24"/>
  <c r="G124" i="24"/>
  <c r="F124" i="24"/>
  <c r="E124" i="24"/>
  <c r="D124" i="24"/>
  <c r="C124" i="24"/>
  <c r="B124" i="24"/>
  <c r="Q123" i="24"/>
  <c r="N123" i="24"/>
  <c r="M123" i="24"/>
  <c r="L123" i="24"/>
  <c r="K123" i="24"/>
  <c r="J123" i="24"/>
  <c r="I123" i="24"/>
  <c r="H123" i="24"/>
  <c r="G123" i="24"/>
  <c r="F123" i="24"/>
  <c r="E123" i="24"/>
  <c r="D123" i="24"/>
  <c r="C123" i="24"/>
  <c r="B123" i="24"/>
  <c r="Q121" i="24"/>
  <c r="N121" i="24"/>
  <c r="C116" i="24" s="1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B116" i="24"/>
  <c r="N114" i="24"/>
  <c r="M114" i="24"/>
  <c r="L114" i="24"/>
  <c r="K114" i="24"/>
  <c r="J114" i="24"/>
  <c r="I114" i="24"/>
  <c r="H114" i="24"/>
  <c r="G114" i="24"/>
  <c r="F114" i="24"/>
  <c r="E114" i="24"/>
  <c r="D114" i="24"/>
  <c r="C114" i="24"/>
  <c r="B114" i="24"/>
  <c r="I113" i="24"/>
  <c r="I115" i="24" s="1"/>
  <c r="L110" i="24"/>
  <c r="L111" i="24" s="1"/>
  <c r="L167" i="24" s="1"/>
  <c r="H110" i="24"/>
  <c r="H111" i="24" s="1"/>
  <c r="H167" i="24" s="1"/>
  <c r="G110" i="24"/>
  <c r="B109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N104" i="24"/>
  <c r="M104" i="24"/>
  <c r="L104" i="24"/>
  <c r="K104" i="24"/>
  <c r="K106" i="24" s="1"/>
  <c r="J104" i="24"/>
  <c r="I104" i="24"/>
  <c r="H104" i="24"/>
  <c r="G104" i="24"/>
  <c r="F104" i="24"/>
  <c r="E104" i="24"/>
  <c r="E106" i="24" s="1"/>
  <c r="D104" i="24"/>
  <c r="D106" i="24" s="1"/>
  <c r="C104" i="24"/>
  <c r="C106" i="24" s="1"/>
  <c r="B104" i="24"/>
  <c r="Q104" i="24" s="1"/>
  <c r="Q101" i="24"/>
  <c r="R101" i="24" s="1"/>
  <c r="N101" i="24"/>
  <c r="M101" i="24"/>
  <c r="L101" i="24"/>
  <c r="K101" i="24"/>
  <c r="K116" i="24" s="1"/>
  <c r="J101" i="24"/>
  <c r="J100" i="24" s="1"/>
  <c r="I101" i="24"/>
  <c r="I100" i="24" s="1"/>
  <c r="H101" i="24"/>
  <c r="G101" i="24"/>
  <c r="G116" i="24" s="1"/>
  <c r="F101" i="24"/>
  <c r="F116" i="24" s="1"/>
  <c r="E101" i="24"/>
  <c r="E110" i="24" s="1"/>
  <c r="D101" i="24"/>
  <c r="D116" i="24" s="1"/>
  <c r="C101" i="24"/>
  <c r="B101" i="24"/>
  <c r="H100" i="24"/>
  <c r="G100" i="24"/>
  <c r="B100" i="24"/>
  <c r="Q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Q98" i="24"/>
  <c r="N98" i="24"/>
  <c r="N100" i="24" s="1"/>
  <c r="M98" i="24"/>
  <c r="M100" i="24" s="1"/>
  <c r="L98" i="24"/>
  <c r="L100" i="24" s="1"/>
  <c r="K98" i="24"/>
  <c r="K100" i="24" s="1"/>
  <c r="J98" i="24"/>
  <c r="I98" i="24"/>
  <c r="H98" i="24"/>
  <c r="G98" i="24"/>
  <c r="F98" i="24"/>
  <c r="F100" i="24" s="1"/>
  <c r="E98" i="24"/>
  <c r="E100" i="24" s="1"/>
  <c r="D98" i="24"/>
  <c r="D100" i="24" s="1"/>
  <c r="C98" i="24"/>
  <c r="C100" i="24" s="1"/>
  <c r="B98" i="24"/>
  <c r="Q95" i="24"/>
  <c r="R95" i="24" s="1"/>
  <c r="N95" i="24"/>
  <c r="N113" i="24" s="1"/>
  <c r="N115" i="24" s="1"/>
  <c r="M95" i="24"/>
  <c r="M113" i="24" s="1"/>
  <c r="M115" i="24" s="1"/>
  <c r="L95" i="24"/>
  <c r="L113" i="24" s="1"/>
  <c r="L115" i="24" s="1"/>
  <c r="K95" i="24"/>
  <c r="K110" i="24" s="1"/>
  <c r="J95" i="24"/>
  <c r="J93" i="24" s="1"/>
  <c r="J105" i="24" s="1"/>
  <c r="I95" i="24"/>
  <c r="H95" i="24"/>
  <c r="H113" i="24" s="1"/>
  <c r="H115" i="24" s="1"/>
  <c r="G95" i="24"/>
  <c r="F95" i="24"/>
  <c r="F110" i="24" s="1"/>
  <c r="E95" i="24"/>
  <c r="E93" i="24" s="1"/>
  <c r="E105" i="24" s="1"/>
  <c r="D95" i="24"/>
  <c r="D93" i="24" s="1"/>
  <c r="D105" i="24" s="1"/>
  <c r="C95" i="24"/>
  <c r="C93" i="24" s="1"/>
  <c r="C105" i="24" s="1"/>
  <c r="B95" i="24"/>
  <c r="B93" i="24" s="1"/>
  <c r="Q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N93" i="24"/>
  <c r="N105" i="24" s="1"/>
  <c r="N106" i="24" s="1"/>
  <c r="K93" i="24"/>
  <c r="K105" i="24" s="1"/>
  <c r="H93" i="24"/>
  <c r="H105" i="24" s="1"/>
  <c r="H106" i="24" s="1"/>
  <c r="F93" i="24"/>
  <c r="F105" i="24" s="1"/>
  <c r="F106" i="24" s="1"/>
  <c r="N92" i="24"/>
  <c r="N109" i="24" s="1"/>
  <c r="M92" i="24"/>
  <c r="L92" i="24"/>
  <c r="K92" i="24"/>
  <c r="J92" i="24"/>
  <c r="I92" i="24"/>
  <c r="I93" i="24" s="1"/>
  <c r="I105" i="24" s="1"/>
  <c r="I106" i="24" s="1"/>
  <c r="H92" i="24"/>
  <c r="G92" i="24"/>
  <c r="G93" i="24" s="1"/>
  <c r="G105" i="24" s="1"/>
  <c r="F92" i="24"/>
  <c r="E92" i="24"/>
  <c r="D92" i="24"/>
  <c r="C92" i="24"/>
  <c r="B92" i="24"/>
  <c r="Q92" i="24" s="1"/>
  <c r="G87" i="24"/>
  <c r="D87" i="24"/>
  <c r="M86" i="24"/>
  <c r="M84" i="24"/>
  <c r="J84" i="24"/>
  <c r="G84" i="24"/>
  <c r="D84" i="24"/>
  <c r="M83" i="24"/>
  <c r="J83" i="24"/>
  <c r="G83" i="24"/>
  <c r="D83" i="24"/>
  <c r="M82" i="24"/>
  <c r="J82" i="24"/>
  <c r="G82" i="24"/>
  <c r="D82" i="24"/>
  <c r="M77" i="24"/>
  <c r="J77" i="24"/>
  <c r="I77" i="24"/>
  <c r="G77" i="24"/>
  <c r="D77" i="24"/>
  <c r="G75" i="24"/>
  <c r="D75" i="24"/>
  <c r="N73" i="24"/>
  <c r="K73" i="24"/>
  <c r="J73" i="24"/>
  <c r="H73" i="24"/>
  <c r="G73" i="24"/>
  <c r="D73" i="24"/>
  <c r="N72" i="24"/>
  <c r="M72" i="24"/>
  <c r="K72" i="24"/>
  <c r="J72" i="24"/>
  <c r="H72" i="24"/>
  <c r="G72" i="24"/>
  <c r="D72" i="24"/>
  <c r="Q71" i="24"/>
  <c r="N71" i="24"/>
  <c r="M71" i="24"/>
  <c r="K71" i="24"/>
  <c r="J71" i="24"/>
  <c r="H71" i="24"/>
  <c r="G71" i="24"/>
  <c r="D71" i="24"/>
  <c r="N68" i="24"/>
  <c r="M68" i="24"/>
  <c r="K68" i="24"/>
  <c r="J68" i="24"/>
  <c r="H68" i="24"/>
  <c r="N67" i="24"/>
  <c r="M67" i="24"/>
  <c r="K67" i="24"/>
  <c r="J67" i="24"/>
  <c r="H67" i="24"/>
  <c r="G67" i="24"/>
  <c r="J66" i="24"/>
  <c r="J65" i="24" s="1"/>
  <c r="H66" i="24"/>
  <c r="N65" i="24"/>
  <c r="K65" i="24"/>
  <c r="I65" i="24"/>
  <c r="H65" i="24"/>
  <c r="G65" i="24"/>
  <c r="D65" i="24"/>
  <c r="G64" i="24"/>
  <c r="D64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N62" i="24"/>
  <c r="M62" i="24"/>
  <c r="L62" i="24"/>
  <c r="K62" i="24"/>
  <c r="J62" i="24"/>
  <c r="I62" i="24"/>
  <c r="H62" i="24"/>
  <c r="G62" i="24"/>
  <c r="F62" i="24"/>
  <c r="E62" i="24"/>
  <c r="N61" i="24"/>
  <c r="M61" i="24"/>
  <c r="L61" i="24"/>
  <c r="K61" i="24"/>
  <c r="J61" i="24"/>
  <c r="I61" i="24"/>
  <c r="H61" i="24"/>
  <c r="G61" i="24"/>
  <c r="M60" i="24"/>
  <c r="N59" i="24"/>
  <c r="M59" i="24"/>
  <c r="L59" i="24"/>
  <c r="K59" i="24"/>
  <c r="J59" i="24"/>
  <c r="I59" i="24"/>
  <c r="G59" i="24"/>
  <c r="F59" i="24"/>
  <c r="E59" i="24"/>
  <c r="D59" i="24"/>
  <c r="C59" i="24"/>
  <c r="B59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D51" i="24"/>
  <c r="C51" i="24"/>
  <c r="B51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N42" i="24"/>
  <c r="N41" i="24"/>
  <c r="N40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Q36" i="24"/>
  <c r="N36" i="24"/>
  <c r="Q35" i="24"/>
  <c r="N35" i="24"/>
  <c r="D33" i="24"/>
  <c r="C33" i="24"/>
  <c r="B33" i="24"/>
  <c r="Q31" i="24"/>
  <c r="N31" i="24"/>
  <c r="Q30" i="24"/>
  <c r="N30" i="24"/>
  <c r="M30" i="24"/>
  <c r="L30" i="24"/>
  <c r="K30" i="24"/>
  <c r="J30" i="24"/>
  <c r="I30" i="24"/>
  <c r="H30" i="24"/>
  <c r="G30" i="24"/>
  <c r="F30" i="24"/>
  <c r="E30" i="24"/>
  <c r="Q29" i="24"/>
  <c r="N29" i="24"/>
  <c r="Q28" i="24"/>
  <c r="N28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D26" i="24"/>
  <c r="C26" i="24"/>
  <c r="B26" i="24"/>
  <c r="E25" i="24"/>
  <c r="D25" i="24"/>
  <c r="C25" i="24"/>
  <c r="B25" i="24"/>
  <c r="B22" i="24"/>
  <c r="Q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Q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Q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Q16" i="24"/>
  <c r="N16" i="24"/>
  <c r="T14" i="24"/>
  <c r="M13" i="24"/>
  <c r="L13" i="24"/>
  <c r="K13" i="24"/>
  <c r="J13" i="24"/>
  <c r="I13" i="24"/>
  <c r="H13" i="24"/>
  <c r="G13" i="24"/>
  <c r="F13" i="24"/>
  <c r="E13" i="24"/>
  <c r="R8" i="24"/>
  <c r="N8" i="24"/>
  <c r="M8" i="24"/>
  <c r="L8" i="24"/>
  <c r="K8" i="24"/>
  <c r="J8" i="24"/>
  <c r="I8" i="24"/>
  <c r="H8" i="24"/>
  <c r="G8" i="24"/>
  <c r="F8" i="24"/>
  <c r="E8" i="24"/>
  <c r="D8" i="24"/>
  <c r="C8" i="24"/>
  <c r="B8" i="24"/>
  <c r="R7" i="24"/>
  <c r="N7" i="24"/>
  <c r="M7" i="24"/>
  <c r="L7" i="24"/>
  <c r="K7" i="24"/>
  <c r="J7" i="24"/>
  <c r="I7" i="24"/>
  <c r="H7" i="24"/>
  <c r="G7" i="24"/>
  <c r="F7" i="24"/>
  <c r="E7" i="24"/>
  <c r="D7" i="24"/>
  <c r="C7" i="24"/>
  <c r="B7" i="24"/>
  <c r="N6" i="24"/>
  <c r="M6" i="24"/>
  <c r="L6" i="24"/>
  <c r="K6" i="24"/>
  <c r="J6" i="24"/>
  <c r="I6" i="24"/>
  <c r="H6" i="24"/>
  <c r="G6" i="24"/>
  <c r="F6" i="24"/>
  <c r="N3" i="24"/>
  <c r="N116" i="24" s="1"/>
  <c r="M3" i="24"/>
  <c r="M116" i="24" s="1"/>
  <c r="L3" i="24"/>
  <c r="K3" i="24"/>
  <c r="K113" i="24" s="1"/>
  <c r="K115" i="24" s="1"/>
  <c r="J3" i="24"/>
  <c r="I3" i="24"/>
  <c r="H3" i="24"/>
  <c r="H116" i="24" s="1"/>
  <c r="G3" i="24"/>
  <c r="F3" i="24"/>
  <c r="E3" i="24"/>
  <c r="E113" i="24" s="1"/>
  <c r="E115" i="24" s="1"/>
  <c r="D3" i="24"/>
  <c r="C3" i="24"/>
  <c r="B3" i="24"/>
  <c r="A3" i="24"/>
  <c r="N2" i="24"/>
  <c r="M2" i="24"/>
  <c r="L2" i="24"/>
  <c r="K2" i="24"/>
  <c r="J2" i="24"/>
  <c r="I2" i="24"/>
  <c r="H2" i="24"/>
  <c r="G2" i="24"/>
  <c r="F2" i="24"/>
  <c r="E2" i="24"/>
  <c r="D2" i="24"/>
  <c r="C2" i="24"/>
  <c r="B2" i="24"/>
  <c r="AA65" i="22"/>
  <c r="AA62" i="22"/>
  <c r="AA61" i="22"/>
  <c r="AA58" i="22"/>
  <c r="Z58" i="22"/>
  <c r="Y58" i="22"/>
  <c r="X58" i="22"/>
  <c r="W58" i="22"/>
  <c r="V58" i="22"/>
  <c r="U58" i="22"/>
  <c r="T58" i="22"/>
  <c r="S58" i="22"/>
  <c r="R58" i="22"/>
  <c r="Q58" i="22"/>
  <c r="P58" i="22"/>
  <c r="O58" i="22"/>
  <c r="AA57" i="22"/>
  <c r="Z57" i="22"/>
  <c r="Y57" i="22"/>
  <c r="X57" i="22"/>
  <c r="W57" i="22"/>
  <c r="V57" i="22"/>
  <c r="U57" i="22"/>
  <c r="T57" i="22"/>
  <c r="S57" i="22"/>
  <c r="R57" i="22"/>
  <c r="Q57" i="22"/>
  <c r="P57" i="22"/>
  <c r="O57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Z54" i="22"/>
  <c r="Y54" i="22"/>
  <c r="X54" i="22"/>
  <c r="M11" i="23" s="1"/>
  <c r="K130" i="24" s="1"/>
  <c r="W54" i="22"/>
  <c r="L11" i="23" s="1"/>
  <c r="J130" i="24" s="1"/>
  <c r="V54" i="22"/>
  <c r="U54" i="22"/>
  <c r="T54" i="22"/>
  <c r="S54" i="22"/>
  <c r="R54" i="22"/>
  <c r="Q54" i="22"/>
  <c r="P54" i="22"/>
  <c r="O54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AA52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AA50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AA48" i="22"/>
  <c r="Z48" i="22"/>
  <c r="Y48" i="22"/>
  <c r="X48" i="22"/>
  <c r="W48" i="22"/>
  <c r="V48" i="22"/>
  <c r="U48" i="22"/>
  <c r="T48" i="22"/>
  <c r="S48" i="22"/>
  <c r="R48" i="22"/>
  <c r="Q48" i="22"/>
  <c r="P48" i="22"/>
  <c r="O48" i="22"/>
  <c r="Z47" i="22"/>
  <c r="O10" i="23" s="1"/>
  <c r="Y47" i="22"/>
  <c r="N10" i="23" s="1"/>
  <c r="X47" i="22"/>
  <c r="X66" i="22" s="1"/>
  <c r="W47" i="22"/>
  <c r="V47" i="22"/>
  <c r="K10" i="23" s="1"/>
  <c r="U47" i="22"/>
  <c r="J10" i="23" s="1"/>
  <c r="T47" i="22"/>
  <c r="I10" i="23" s="1"/>
  <c r="S47" i="22"/>
  <c r="H10" i="23" s="1"/>
  <c r="R47" i="22"/>
  <c r="Q47" i="22"/>
  <c r="P47" i="22"/>
  <c r="O47" i="22"/>
  <c r="AA46" i="22"/>
  <c r="AA45" i="22"/>
  <c r="Z45" i="22"/>
  <c r="Y45" i="22"/>
  <c r="X45" i="22"/>
  <c r="W45" i="22"/>
  <c r="V45" i="22"/>
  <c r="U45" i="22"/>
  <c r="T45" i="22"/>
  <c r="S45" i="22"/>
  <c r="R45" i="22"/>
  <c r="AA44" i="22"/>
  <c r="AA43" i="22"/>
  <c r="AA42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AA37" i="22"/>
  <c r="AA36" i="22"/>
  <c r="Z36" i="22"/>
  <c r="Y36" i="22"/>
  <c r="X36" i="22"/>
  <c r="W36" i="22"/>
  <c r="V36" i="22"/>
  <c r="U36" i="22"/>
  <c r="T36" i="22"/>
  <c r="S36" i="22"/>
  <c r="R36" i="22"/>
  <c r="Q36" i="22"/>
  <c r="P36" i="22"/>
  <c r="O36" i="22"/>
  <c r="AA35" i="22"/>
  <c r="Z35" i="22"/>
  <c r="Y35" i="22"/>
  <c r="X35" i="22"/>
  <c r="W35" i="22"/>
  <c r="V35" i="22"/>
  <c r="U35" i="22"/>
  <c r="T35" i="22"/>
  <c r="S35" i="22"/>
  <c r="R35" i="22"/>
  <c r="Q35" i="22"/>
  <c r="P35" i="22"/>
  <c r="O35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AA29" i="22"/>
  <c r="Z29" i="22"/>
  <c r="Y29" i="22"/>
  <c r="X29" i="22"/>
  <c r="W29" i="22"/>
  <c r="V29" i="22"/>
  <c r="U29" i="22"/>
  <c r="AA28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AA26" i="22"/>
  <c r="Z26" i="22"/>
  <c r="Y26" i="22"/>
  <c r="X26" i="22"/>
  <c r="W26" i="22"/>
  <c r="V26" i="22"/>
  <c r="U26" i="22"/>
  <c r="T26" i="22"/>
  <c r="S26" i="22"/>
  <c r="R26" i="22"/>
  <c r="Q26" i="22"/>
  <c r="P26" i="22"/>
  <c r="O26" i="22"/>
  <c r="AA25" i="22"/>
  <c r="Z25" i="22"/>
  <c r="Y25" i="22"/>
  <c r="X25" i="22"/>
  <c r="W25" i="22"/>
  <c r="V25" i="22"/>
  <c r="U25" i="22"/>
  <c r="T25" i="22"/>
  <c r="S25" i="22"/>
  <c r="R25" i="22"/>
  <c r="Q25" i="22"/>
  <c r="P25" i="22"/>
  <c r="O25" i="22"/>
  <c r="AA24" i="22"/>
  <c r="Z24" i="22"/>
  <c r="Y24" i="22"/>
  <c r="X24" i="22"/>
  <c r="W24" i="22"/>
  <c r="V24" i="22"/>
  <c r="U24" i="22"/>
  <c r="T24" i="22"/>
  <c r="S24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AA21" i="22"/>
  <c r="Z21" i="22"/>
  <c r="Y21" i="22"/>
  <c r="X21" i="22"/>
  <c r="W21" i="22"/>
  <c r="V21" i="22"/>
  <c r="U21" i="22"/>
  <c r="T21" i="22"/>
  <c r="S21" i="22"/>
  <c r="R21" i="22"/>
  <c r="AA20" i="22"/>
  <c r="Z20" i="22"/>
  <c r="Y20" i="22"/>
  <c r="X20" i="22"/>
  <c r="W20" i="22"/>
  <c r="V20" i="22"/>
  <c r="U20" i="22"/>
  <c r="T20" i="22"/>
  <c r="S20" i="22"/>
  <c r="R20" i="22"/>
  <c r="AA19" i="22"/>
  <c r="Z19" i="22"/>
  <c r="Y19" i="22"/>
  <c r="X19" i="22"/>
  <c r="W19" i="22"/>
  <c r="V19" i="22"/>
  <c r="U19" i="22"/>
  <c r="T19" i="22"/>
  <c r="R19" i="22"/>
  <c r="Q19" i="22"/>
  <c r="P19" i="22"/>
  <c r="O19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AA17" i="22"/>
  <c r="AA16" i="22"/>
  <c r="AA15" i="22"/>
  <c r="AP16" i="20"/>
  <c r="AC16" i="20"/>
  <c r="P16" i="20"/>
  <c r="AP13" i="20"/>
  <c r="AC13" i="20"/>
  <c r="P13" i="20"/>
  <c r="I6" i="20"/>
  <c r="G162" i="21" s="1"/>
  <c r="H6" i="20"/>
  <c r="F162" i="21" s="1"/>
  <c r="G6" i="20"/>
  <c r="E162" i="21" s="1"/>
  <c r="F6" i="20"/>
  <c r="D160" i="29" s="1"/>
  <c r="D20" i="29" s="1"/>
  <c r="E6" i="20"/>
  <c r="C162" i="21" s="1"/>
  <c r="C20" i="21" s="1"/>
  <c r="D6" i="20"/>
  <c r="B160" i="29" s="1"/>
  <c r="N212" i="21"/>
  <c r="F212" i="21"/>
  <c r="E212" i="21"/>
  <c r="D212" i="21"/>
  <c r="C212" i="21"/>
  <c r="B212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E191" i="21"/>
  <c r="E181" i="21"/>
  <c r="N174" i="21"/>
  <c r="W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W158" i="21" s="1"/>
  <c r="B158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N153" i="21"/>
  <c r="M153" i="21"/>
  <c r="L153" i="21"/>
  <c r="K153" i="21"/>
  <c r="J153" i="21"/>
  <c r="F153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M149" i="21"/>
  <c r="L149" i="21"/>
  <c r="K149" i="21"/>
  <c r="J149" i="21"/>
  <c r="I149" i="21"/>
  <c r="H149" i="21"/>
  <c r="G149" i="21"/>
  <c r="F149" i="21"/>
  <c r="E149" i="21"/>
  <c r="D149" i="21"/>
  <c r="C149" i="21"/>
  <c r="X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N146" i="21"/>
  <c r="B146" i="21"/>
  <c r="X144" i="21"/>
  <c r="W144" i="21"/>
  <c r="W141" i="21"/>
  <c r="X138" i="21"/>
  <c r="W138" i="21"/>
  <c r="E137" i="21"/>
  <c r="E136" i="21"/>
  <c r="W135" i="21"/>
  <c r="X132" i="21"/>
  <c r="W132" i="21"/>
  <c r="W129" i="21"/>
  <c r="G124" i="21"/>
  <c r="D124" i="21"/>
  <c r="M123" i="21"/>
  <c r="M121" i="21"/>
  <c r="J121" i="21"/>
  <c r="G121" i="21"/>
  <c r="D121" i="21"/>
  <c r="M120" i="21"/>
  <c r="J120" i="21"/>
  <c r="G120" i="21"/>
  <c r="D120" i="21"/>
  <c r="M119" i="21"/>
  <c r="J119" i="21"/>
  <c r="G119" i="21"/>
  <c r="D119" i="21"/>
  <c r="M114" i="21"/>
  <c r="J114" i="21"/>
  <c r="I114" i="21"/>
  <c r="G114" i="21"/>
  <c r="D114" i="21"/>
  <c r="G112" i="21"/>
  <c r="D112" i="21"/>
  <c r="N110" i="21"/>
  <c r="K110" i="21"/>
  <c r="J110" i="21"/>
  <c r="H110" i="21"/>
  <c r="G110" i="21"/>
  <c r="D110" i="21"/>
  <c r="N109" i="21"/>
  <c r="M109" i="21"/>
  <c r="K109" i="21"/>
  <c r="J109" i="21"/>
  <c r="H109" i="21"/>
  <c r="G109" i="21"/>
  <c r="D109" i="21"/>
  <c r="W108" i="21"/>
  <c r="N108" i="21"/>
  <c r="M108" i="21"/>
  <c r="K108" i="21"/>
  <c r="J108" i="21"/>
  <c r="H108" i="21"/>
  <c r="G108" i="21"/>
  <c r="D108" i="21"/>
  <c r="N105" i="21"/>
  <c r="M105" i="21"/>
  <c r="K105" i="21"/>
  <c r="J105" i="21"/>
  <c r="H105" i="21"/>
  <c r="N104" i="21"/>
  <c r="M104" i="21"/>
  <c r="K104" i="21"/>
  <c r="J104" i="21"/>
  <c r="H104" i="21"/>
  <c r="G104" i="21"/>
  <c r="H103" i="21"/>
  <c r="N102" i="21"/>
  <c r="K102" i="21"/>
  <c r="I102" i="21"/>
  <c r="H102" i="21"/>
  <c r="G102" i="21"/>
  <c r="D102" i="21"/>
  <c r="G101" i="21"/>
  <c r="D101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N99" i="21"/>
  <c r="M99" i="21"/>
  <c r="L99" i="21"/>
  <c r="K99" i="21"/>
  <c r="J99" i="21"/>
  <c r="I99" i="21"/>
  <c r="H99" i="21"/>
  <c r="G99" i="21"/>
  <c r="F99" i="21"/>
  <c r="E99" i="21"/>
  <c r="N98" i="21"/>
  <c r="M98" i="21"/>
  <c r="L98" i="21"/>
  <c r="K98" i="21"/>
  <c r="J98" i="21"/>
  <c r="I98" i="21"/>
  <c r="H98" i="21"/>
  <c r="G98" i="21"/>
  <c r="M97" i="21"/>
  <c r="N96" i="21"/>
  <c r="M96" i="21"/>
  <c r="L96" i="21"/>
  <c r="K96" i="21"/>
  <c r="J96" i="21"/>
  <c r="I96" i="21"/>
  <c r="G96" i="21"/>
  <c r="F96" i="21"/>
  <c r="E96" i="21"/>
  <c r="D96" i="21"/>
  <c r="C96" i="21"/>
  <c r="B96" i="21"/>
  <c r="N94" i="21"/>
  <c r="G94" i="21"/>
  <c r="F94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U84" i="21"/>
  <c r="F77" i="21"/>
  <c r="F73" i="21"/>
  <c r="F69" i="21"/>
  <c r="D64" i="21"/>
  <c r="F62" i="21"/>
  <c r="D62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D58" i="21"/>
  <c r="C58" i="21"/>
  <c r="B58" i="21"/>
  <c r="N55" i="21"/>
  <c r="N54" i="21"/>
  <c r="N53" i="21"/>
  <c r="T52" i="21"/>
  <c r="S52" i="21"/>
  <c r="R52" i="21"/>
  <c r="Q52" i="21"/>
  <c r="P52" i="21"/>
  <c r="O52" i="21"/>
  <c r="M52" i="21"/>
  <c r="L52" i="21"/>
  <c r="K52" i="21"/>
  <c r="J52" i="21"/>
  <c r="I52" i="21"/>
  <c r="H52" i="21"/>
  <c r="G52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N48" i="21"/>
  <c r="G48" i="21"/>
  <c r="F48" i="21"/>
  <c r="T47" i="21"/>
  <c r="S47" i="21"/>
  <c r="R47" i="21"/>
  <c r="Q47" i="21"/>
  <c r="P47" i="21"/>
  <c r="O47" i="21"/>
  <c r="M47" i="21"/>
  <c r="L47" i="21"/>
  <c r="K47" i="21"/>
  <c r="J47" i="21"/>
  <c r="I47" i="21"/>
  <c r="H47" i="21"/>
  <c r="G47" i="21"/>
  <c r="F47" i="21"/>
  <c r="T46" i="21"/>
  <c r="S46" i="21"/>
  <c r="R46" i="21"/>
  <c r="Q46" i="21"/>
  <c r="P46" i="21"/>
  <c r="O46" i="21"/>
  <c r="M46" i="21"/>
  <c r="L46" i="21"/>
  <c r="K46" i="21"/>
  <c r="J46" i="21"/>
  <c r="I46" i="21"/>
  <c r="H46" i="21"/>
  <c r="G46" i="21"/>
  <c r="F46" i="21"/>
  <c r="N45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T43" i="21"/>
  <c r="S43" i="21"/>
  <c r="R43" i="21"/>
  <c r="Q43" i="21"/>
  <c r="P43" i="21"/>
  <c r="O43" i="21"/>
  <c r="M43" i="21"/>
  <c r="L43" i="21"/>
  <c r="K43" i="21"/>
  <c r="J43" i="21"/>
  <c r="I43" i="21"/>
  <c r="H43" i="21"/>
  <c r="G43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W38" i="21"/>
  <c r="N38" i="21"/>
  <c r="W37" i="21"/>
  <c r="N37" i="21"/>
  <c r="E35" i="21"/>
  <c r="D35" i="21"/>
  <c r="C35" i="21"/>
  <c r="B35" i="21"/>
  <c r="W32" i="21"/>
  <c r="N32" i="21"/>
  <c r="W31" i="21"/>
  <c r="N31" i="21"/>
  <c r="M31" i="21"/>
  <c r="L31" i="21"/>
  <c r="K31" i="21"/>
  <c r="J31" i="21"/>
  <c r="I31" i="21"/>
  <c r="H31" i="21"/>
  <c r="G31" i="21"/>
  <c r="F31" i="21"/>
  <c r="E31" i="21"/>
  <c r="W30" i="21"/>
  <c r="N30" i="21"/>
  <c r="W29" i="21"/>
  <c r="N29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N27" i="21"/>
  <c r="D25" i="21"/>
  <c r="C25" i="21"/>
  <c r="B25" i="21"/>
  <c r="W16" i="21"/>
  <c r="N16" i="21"/>
  <c r="N3" i="21"/>
  <c r="M3" i="21"/>
  <c r="L3" i="21"/>
  <c r="K3" i="21"/>
  <c r="J3" i="21"/>
  <c r="J103" i="21" s="1"/>
  <c r="I3" i="21"/>
  <c r="I153" i="21" s="1"/>
  <c r="H3" i="21"/>
  <c r="H153" i="21" s="1"/>
  <c r="G3" i="21"/>
  <c r="G153" i="21" s="1"/>
  <c r="F3" i="21"/>
  <c r="E3" i="21"/>
  <c r="E153" i="21" s="1"/>
  <c r="D3" i="21"/>
  <c r="D153" i="21" s="1"/>
  <c r="C3" i="21"/>
  <c r="C153" i="21" s="1"/>
  <c r="B3" i="21"/>
  <c r="B153" i="21" s="1"/>
  <c r="A3" i="21"/>
  <c r="T2" i="21"/>
  <c r="R2" i="21"/>
  <c r="P2" i="21"/>
  <c r="N2" i="21"/>
  <c r="M2" i="21"/>
  <c r="L2" i="21"/>
  <c r="K2" i="21"/>
  <c r="J2" i="21"/>
  <c r="I2" i="21"/>
  <c r="H2" i="21"/>
  <c r="G2" i="21"/>
  <c r="F2" i="21"/>
  <c r="E2" i="21"/>
  <c r="D2" i="21"/>
  <c r="C2" i="21"/>
  <c r="B2" i="21"/>
  <c r="BA65" i="32"/>
  <c r="AN65" i="32"/>
  <c r="AA65" i="32"/>
  <c r="BA62" i="32"/>
  <c r="AN62" i="32"/>
  <c r="AA62" i="32"/>
  <c r="BA59" i="32"/>
  <c r="AN59" i="32"/>
  <c r="AA59" i="32"/>
  <c r="BA58" i="32"/>
  <c r="AZ58" i="32"/>
  <c r="AY58" i="32"/>
  <c r="AX58" i="32"/>
  <c r="AW58" i="32"/>
  <c r="AV58" i="32"/>
  <c r="AU58" i="32"/>
  <c r="AT58" i="32"/>
  <c r="AS58" i="32"/>
  <c r="AR58" i="32"/>
  <c r="AQ58" i="32"/>
  <c r="AP58" i="32"/>
  <c r="AO58" i="32"/>
  <c r="AN58" i="32"/>
  <c r="AM58" i="32"/>
  <c r="AL58" i="32"/>
  <c r="AK58" i="32"/>
  <c r="AJ58" i="32"/>
  <c r="AI58" i="32"/>
  <c r="AH58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BA57" i="32"/>
  <c r="AZ57" i="32"/>
  <c r="AY57" i="32"/>
  <c r="AX57" i="32"/>
  <c r="AW57" i="32"/>
  <c r="AV57" i="32"/>
  <c r="AU57" i="32"/>
  <c r="AT57" i="32"/>
  <c r="AS57" i="32"/>
  <c r="AR57" i="32"/>
  <c r="AQ57" i="32"/>
  <c r="AP57" i="32"/>
  <c r="AO57" i="32"/>
  <c r="AN57" i="32"/>
  <c r="AM57" i="32"/>
  <c r="AL57" i="32"/>
  <c r="AK57" i="32"/>
  <c r="AJ57" i="32"/>
  <c r="AI57" i="32"/>
  <c r="AH57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BA56" i="32"/>
  <c r="AZ56" i="32"/>
  <c r="AY56" i="32"/>
  <c r="AX56" i="32"/>
  <c r="AW56" i="32"/>
  <c r="AV56" i="32"/>
  <c r="AU56" i="32"/>
  <c r="AT56" i="32"/>
  <c r="AS56" i="32"/>
  <c r="AR56" i="32"/>
  <c r="AQ56" i="32"/>
  <c r="AP56" i="32"/>
  <c r="AO56" i="32"/>
  <c r="AN56" i="32"/>
  <c r="AM56" i="32"/>
  <c r="AL56" i="32"/>
  <c r="AK56" i="32"/>
  <c r="AJ56" i="32"/>
  <c r="AI56" i="32"/>
  <c r="AH56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AZ55" i="32"/>
  <c r="AT55" i="32"/>
  <c r="AS55" i="32"/>
  <c r="AR55" i="32"/>
  <c r="AQ55" i="32"/>
  <c r="AP55" i="32"/>
  <c r="AO55" i="32"/>
  <c r="AM55" i="32"/>
  <c r="AG55" i="32"/>
  <c r="AF55" i="32"/>
  <c r="AE55" i="32"/>
  <c r="AD55" i="32"/>
  <c r="AC55" i="32"/>
  <c r="AB55" i="32"/>
  <c r="Z55" i="32"/>
  <c r="T55" i="32"/>
  <c r="S55" i="32"/>
  <c r="R55" i="32"/>
  <c r="Q55" i="32"/>
  <c r="P55" i="32"/>
  <c r="O55" i="32"/>
  <c r="AZ54" i="32"/>
  <c r="AY54" i="32"/>
  <c r="AX54" i="32"/>
  <c r="AW54" i="32"/>
  <c r="AV54" i="32"/>
  <c r="AU54" i="32"/>
  <c r="AT54" i="32"/>
  <c r="AS54" i="32"/>
  <c r="AR54" i="32"/>
  <c r="AQ54" i="32"/>
  <c r="AP54" i="32"/>
  <c r="AO54" i="32"/>
  <c r="AM54" i="32"/>
  <c r="AL54" i="32"/>
  <c r="AK54" i="32"/>
  <c r="AJ54" i="32"/>
  <c r="AI54" i="32"/>
  <c r="AH54" i="32"/>
  <c r="AG54" i="32"/>
  <c r="AF54" i="32"/>
  <c r="AE54" i="32"/>
  <c r="AD54" i="32"/>
  <c r="AC54" i="32"/>
  <c r="AB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BA52" i="32"/>
  <c r="AZ52" i="32"/>
  <c r="AY52" i="32"/>
  <c r="AX52" i="32"/>
  <c r="AW52" i="32"/>
  <c r="AV52" i="32"/>
  <c r="AU52" i="32"/>
  <c r="AT52" i="32"/>
  <c r="AS52" i="32"/>
  <c r="AR52" i="32"/>
  <c r="AQ52" i="32"/>
  <c r="AP52" i="32"/>
  <c r="AO52" i="32"/>
  <c r="AN52" i="32"/>
  <c r="AM52" i="32"/>
  <c r="AL52" i="32"/>
  <c r="AK52" i="32"/>
  <c r="AJ52" i="32"/>
  <c r="AI52" i="32"/>
  <c r="AH52" i="32"/>
  <c r="AG52" i="32"/>
  <c r="AF52" i="32"/>
  <c r="AE52" i="32"/>
  <c r="AD52" i="32"/>
  <c r="AC52" i="32"/>
  <c r="AB52" i="32"/>
  <c r="AA52" i="32"/>
  <c r="AZ51" i="32"/>
  <c r="AT51" i="32"/>
  <c r="AS51" i="32"/>
  <c r="AR51" i="32"/>
  <c r="AQ51" i="32"/>
  <c r="AP51" i="32"/>
  <c r="AO51" i="32"/>
  <c r="AM51" i="32"/>
  <c r="AG51" i="32"/>
  <c r="AF51" i="32"/>
  <c r="AE51" i="32"/>
  <c r="AD51" i="32"/>
  <c r="AC51" i="32"/>
  <c r="AB51" i="32"/>
  <c r="Z51" i="32"/>
  <c r="T51" i="32"/>
  <c r="S51" i="32"/>
  <c r="R51" i="32"/>
  <c r="Q51" i="32"/>
  <c r="P51" i="32"/>
  <c r="O51" i="32"/>
  <c r="BA50" i="32"/>
  <c r="AZ50" i="32"/>
  <c r="AY50" i="32"/>
  <c r="AX50" i="32"/>
  <c r="AW50" i="32"/>
  <c r="AV50" i="32"/>
  <c r="AU50" i="32"/>
  <c r="AT50" i="32"/>
  <c r="AS50" i="32"/>
  <c r="AR50" i="32"/>
  <c r="AQ50" i="32"/>
  <c r="AP50" i="32"/>
  <c r="AO50" i="32"/>
  <c r="AN50" i="32"/>
  <c r="AM50" i="32"/>
  <c r="AL50" i="32"/>
  <c r="AK50" i="32"/>
  <c r="AJ50" i="32"/>
  <c r="AI50" i="32"/>
  <c r="AH50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BA49" i="32"/>
  <c r="AZ49" i="32"/>
  <c r="AY49" i="32"/>
  <c r="AX49" i="32"/>
  <c r="AW49" i="32"/>
  <c r="AV49" i="32"/>
  <c r="AU49" i="32"/>
  <c r="AT49" i="32"/>
  <c r="AS49" i="32"/>
  <c r="AR49" i="32"/>
  <c r="AQ49" i="32"/>
  <c r="AP49" i="32"/>
  <c r="AO49" i="32"/>
  <c r="AN49" i="32"/>
  <c r="AM49" i="32"/>
  <c r="AL49" i="32"/>
  <c r="AK49" i="32"/>
  <c r="AJ49" i="32"/>
  <c r="AI49" i="32"/>
  <c r="AH49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AZ48" i="32"/>
  <c r="AT48" i="32"/>
  <c r="AS48" i="32"/>
  <c r="AR48" i="32"/>
  <c r="AQ48" i="32"/>
  <c r="AP48" i="32"/>
  <c r="AO48" i="32"/>
  <c r="AM48" i="32"/>
  <c r="AG48" i="32"/>
  <c r="AF48" i="32"/>
  <c r="AE48" i="32"/>
  <c r="AD48" i="32"/>
  <c r="AC48" i="32"/>
  <c r="AB48" i="32"/>
  <c r="Z48" i="32"/>
  <c r="T48" i="32"/>
  <c r="S48" i="32"/>
  <c r="R48" i="32"/>
  <c r="Q48" i="32"/>
  <c r="P48" i="32"/>
  <c r="O48" i="32"/>
  <c r="AZ47" i="32"/>
  <c r="AT47" i="32"/>
  <c r="AS47" i="32"/>
  <c r="AR47" i="32"/>
  <c r="AQ47" i="32"/>
  <c r="AP47" i="32"/>
  <c r="AO47" i="32"/>
  <c r="AM47" i="32"/>
  <c r="AG47" i="32"/>
  <c r="AF47" i="32"/>
  <c r="AE47" i="32"/>
  <c r="AD47" i="32"/>
  <c r="AC47" i="32"/>
  <c r="AB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BA46" i="32"/>
  <c r="AZ46" i="32"/>
  <c r="AY46" i="32"/>
  <c r="AX46" i="32"/>
  <c r="AW46" i="32"/>
  <c r="AV46" i="32"/>
  <c r="AU46" i="32"/>
  <c r="AT46" i="32"/>
  <c r="AS46" i="32"/>
  <c r="AR46" i="32"/>
  <c r="AQ46" i="32"/>
  <c r="AP46" i="32"/>
  <c r="AO46" i="32"/>
  <c r="AN46" i="32"/>
  <c r="AM46" i="32"/>
  <c r="AL46" i="32"/>
  <c r="AK46" i="32"/>
  <c r="AJ46" i="32"/>
  <c r="AI46" i="32"/>
  <c r="AH46" i="32"/>
  <c r="AG46" i="32"/>
  <c r="AF46" i="32"/>
  <c r="AE46" i="32"/>
  <c r="AD46" i="32"/>
  <c r="AC46" i="32"/>
  <c r="AB46" i="32"/>
  <c r="AA46" i="32"/>
  <c r="BA45" i="32"/>
  <c r="AZ45" i="32"/>
  <c r="AY45" i="32"/>
  <c r="AX45" i="32"/>
  <c r="AW45" i="32"/>
  <c r="AV45" i="32"/>
  <c r="AU45" i="32"/>
  <c r="AT45" i="32"/>
  <c r="AS45" i="32"/>
  <c r="AR45" i="32"/>
  <c r="AQ45" i="32"/>
  <c r="AP45" i="32"/>
  <c r="AO45" i="32"/>
  <c r="AN45" i="32"/>
  <c r="AM45" i="32"/>
  <c r="AL45" i="32"/>
  <c r="AK45" i="32"/>
  <c r="AJ45" i="32"/>
  <c r="AI45" i="32"/>
  <c r="AH45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BA44" i="32"/>
  <c r="AZ44" i="32"/>
  <c r="AY44" i="32"/>
  <c r="AX44" i="32"/>
  <c r="AW44" i="32"/>
  <c r="AV44" i="32"/>
  <c r="AU44" i="32"/>
  <c r="AT44" i="32"/>
  <c r="AS44" i="32"/>
  <c r="AR44" i="32"/>
  <c r="AQ44" i="32"/>
  <c r="AP44" i="32"/>
  <c r="AO44" i="32"/>
  <c r="AN44" i="32"/>
  <c r="AM44" i="32"/>
  <c r="AL44" i="32"/>
  <c r="AK44" i="32"/>
  <c r="AJ44" i="32"/>
  <c r="AI44" i="32"/>
  <c r="AH44" i="32"/>
  <c r="AG44" i="32"/>
  <c r="AF44" i="32"/>
  <c r="AE44" i="32"/>
  <c r="AD44" i="32"/>
  <c r="AC44" i="32"/>
  <c r="AB44" i="32"/>
  <c r="AA44" i="32"/>
  <c r="BA43" i="32"/>
  <c r="AZ43" i="32"/>
  <c r="AY43" i="32"/>
  <c r="AX43" i="32"/>
  <c r="AW43" i="32"/>
  <c r="AV43" i="32"/>
  <c r="AU43" i="32"/>
  <c r="AT43" i="32"/>
  <c r="AS43" i="32"/>
  <c r="AR43" i="32"/>
  <c r="AQ43" i="32"/>
  <c r="AP43" i="32"/>
  <c r="AO43" i="32"/>
  <c r="AN43" i="32"/>
  <c r="AM43" i="32"/>
  <c r="AL43" i="32"/>
  <c r="AK43" i="32"/>
  <c r="AJ43" i="32"/>
  <c r="AI43" i="32"/>
  <c r="AH43" i="32"/>
  <c r="AG43" i="32"/>
  <c r="AF43" i="32"/>
  <c r="AE43" i="32"/>
  <c r="AD43" i="32"/>
  <c r="AC43" i="32"/>
  <c r="AB43" i="32"/>
  <c r="AA43" i="32"/>
  <c r="BA42" i="32"/>
  <c r="AZ42" i="32"/>
  <c r="AY42" i="32"/>
  <c r="AX42" i="32"/>
  <c r="AW42" i="32"/>
  <c r="AV42" i="32"/>
  <c r="AU42" i="32"/>
  <c r="AT42" i="32"/>
  <c r="AS42" i="32"/>
  <c r="AR42" i="32"/>
  <c r="AQ42" i="32"/>
  <c r="AP42" i="32"/>
  <c r="AO42" i="32"/>
  <c r="AN42" i="32"/>
  <c r="AM42" i="32"/>
  <c r="AL42" i="32"/>
  <c r="AK42" i="32"/>
  <c r="AJ42" i="32"/>
  <c r="AI42" i="32"/>
  <c r="AH42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AZ41" i="32"/>
  <c r="AT41" i="32"/>
  <c r="AS41" i="32"/>
  <c r="AR41" i="32"/>
  <c r="AQ41" i="32"/>
  <c r="AP41" i="32"/>
  <c r="AO41" i="32"/>
  <c r="AM41" i="32"/>
  <c r="AG41" i="32"/>
  <c r="AF41" i="32"/>
  <c r="AE41" i="32"/>
  <c r="AD41" i="32"/>
  <c r="AC41" i="32"/>
  <c r="AB41" i="32"/>
  <c r="Z41" i="32"/>
  <c r="T41" i="32"/>
  <c r="S41" i="32"/>
  <c r="R41" i="32"/>
  <c r="Q41" i="32"/>
  <c r="P41" i="32"/>
  <c r="O41" i="32"/>
  <c r="AZ40" i="32"/>
  <c r="AT40" i="32"/>
  <c r="AS40" i="32"/>
  <c r="AR40" i="32"/>
  <c r="AQ40" i="32"/>
  <c r="AP40" i="32"/>
  <c r="AO40" i="32"/>
  <c r="AM40" i="32"/>
  <c r="AG40" i="32"/>
  <c r="AF40" i="32"/>
  <c r="AE40" i="32"/>
  <c r="AD40" i="32"/>
  <c r="AC40" i="32"/>
  <c r="AB40" i="32"/>
  <c r="Z40" i="32"/>
  <c r="T40" i="32"/>
  <c r="S40" i="32"/>
  <c r="R40" i="32"/>
  <c r="Q40" i="32"/>
  <c r="P40" i="32"/>
  <c r="O40" i="32"/>
  <c r="AZ39" i="32"/>
  <c r="AT39" i="32"/>
  <c r="AS39" i="32"/>
  <c r="AR39" i="32"/>
  <c r="AQ39" i="32"/>
  <c r="AP39" i="32"/>
  <c r="AO39" i="32"/>
  <c r="AM39" i="32"/>
  <c r="AG39" i="32"/>
  <c r="AF39" i="32"/>
  <c r="AE39" i="32"/>
  <c r="AD39" i="32"/>
  <c r="AC39" i="32"/>
  <c r="AB39" i="32"/>
  <c r="Z39" i="32"/>
  <c r="T39" i="32"/>
  <c r="S39" i="32"/>
  <c r="R39" i="32"/>
  <c r="Q39" i="32"/>
  <c r="P39" i="32"/>
  <c r="O39" i="32"/>
  <c r="AZ38" i="32"/>
  <c r="AT38" i="32"/>
  <c r="AS38" i="32"/>
  <c r="AR38" i="32"/>
  <c r="AQ38" i="32"/>
  <c r="AP38" i="32"/>
  <c r="AO38" i="32"/>
  <c r="AM38" i="32"/>
  <c r="AG38" i="32"/>
  <c r="AF38" i="32"/>
  <c r="AE38" i="32"/>
  <c r="AD38" i="32"/>
  <c r="AC38" i="32"/>
  <c r="AB38" i="32"/>
  <c r="Z38" i="32"/>
  <c r="T38" i="32"/>
  <c r="S38" i="32"/>
  <c r="R38" i="32"/>
  <c r="Q38" i="32"/>
  <c r="P38" i="32"/>
  <c r="O38" i="32"/>
  <c r="BA37" i="32"/>
  <c r="AZ37" i="32"/>
  <c r="AY37" i="32"/>
  <c r="AX37" i="32"/>
  <c r="AW37" i="32"/>
  <c r="AV37" i="32"/>
  <c r="AU37" i="32"/>
  <c r="AT37" i="32"/>
  <c r="AS37" i="32"/>
  <c r="AR37" i="32"/>
  <c r="AQ37" i="32"/>
  <c r="AP37" i="32"/>
  <c r="AO37" i="32"/>
  <c r="AN37" i="32"/>
  <c r="AM37" i="32"/>
  <c r="AL37" i="32"/>
  <c r="AK37" i="32"/>
  <c r="AJ37" i="32"/>
  <c r="AI37" i="32"/>
  <c r="AH37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AZ36" i="32"/>
  <c r="AT36" i="32"/>
  <c r="AS36" i="32"/>
  <c r="AR36" i="32"/>
  <c r="AQ36" i="32"/>
  <c r="AP36" i="32"/>
  <c r="AO36" i="32"/>
  <c r="AM36" i="32"/>
  <c r="AG36" i="32"/>
  <c r="AF36" i="32"/>
  <c r="AE36" i="32"/>
  <c r="AD36" i="32"/>
  <c r="AC36" i="32"/>
  <c r="AB36" i="32"/>
  <c r="Z36" i="32"/>
  <c r="T36" i="32"/>
  <c r="S36" i="32"/>
  <c r="R36" i="32"/>
  <c r="Q36" i="32"/>
  <c r="P36" i="32"/>
  <c r="O36" i="32"/>
  <c r="AZ35" i="32"/>
  <c r="AT35" i="32"/>
  <c r="AS35" i="32"/>
  <c r="AR35" i="32"/>
  <c r="AQ35" i="32"/>
  <c r="AP35" i="32"/>
  <c r="AO35" i="32"/>
  <c r="AM35" i="32"/>
  <c r="AG35" i="32"/>
  <c r="AF35" i="32"/>
  <c r="AE35" i="32"/>
  <c r="AD35" i="32"/>
  <c r="AC35" i="32"/>
  <c r="AB35" i="32"/>
  <c r="Z35" i="32"/>
  <c r="T35" i="32"/>
  <c r="S35" i="32"/>
  <c r="R35" i="32"/>
  <c r="Q35" i="32"/>
  <c r="P35" i="32"/>
  <c r="O35" i="32"/>
  <c r="AZ34" i="32"/>
  <c r="AT34" i="32"/>
  <c r="AS34" i="32"/>
  <c r="AR34" i="32"/>
  <c r="AQ34" i="32"/>
  <c r="AP34" i="32"/>
  <c r="AO34" i="32"/>
  <c r="AM34" i="32"/>
  <c r="AG34" i="32"/>
  <c r="AF34" i="32"/>
  <c r="AE34" i="32"/>
  <c r="AD34" i="32"/>
  <c r="AC34" i="32"/>
  <c r="AB34" i="32"/>
  <c r="Z34" i="32"/>
  <c r="T34" i="32"/>
  <c r="S34" i="32"/>
  <c r="R34" i="32"/>
  <c r="Q34" i="32"/>
  <c r="P34" i="32"/>
  <c r="O34" i="32"/>
  <c r="AZ33" i="32"/>
  <c r="AT33" i="32"/>
  <c r="AS33" i="32"/>
  <c r="AR33" i="32"/>
  <c r="AQ33" i="32"/>
  <c r="AP33" i="32"/>
  <c r="AO33" i="32"/>
  <c r="AM33" i="32"/>
  <c r="AG33" i="32"/>
  <c r="AF33" i="32"/>
  <c r="AE33" i="32"/>
  <c r="AD33" i="32"/>
  <c r="AC33" i="32"/>
  <c r="AB33" i="32"/>
  <c r="Z33" i="32"/>
  <c r="T33" i="32"/>
  <c r="S33" i="32"/>
  <c r="R33" i="32"/>
  <c r="Q33" i="32"/>
  <c r="P33" i="32"/>
  <c r="O33" i="32"/>
  <c r="AZ32" i="32"/>
  <c r="AT32" i="32"/>
  <c r="AS32" i="32"/>
  <c r="AR32" i="32"/>
  <c r="AQ32" i="32"/>
  <c r="AP32" i="32"/>
  <c r="AO32" i="32"/>
  <c r="AM32" i="32"/>
  <c r="AG32" i="32"/>
  <c r="AF32" i="32"/>
  <c r="AE32" i="32"/>
  <c r="AD32" i="32"/>
  <c r="AC32" i="32"/>
  <c r="AB32" i="32"/>
  <c r="Z32" i="32"/>
  <c r="T32" i="32"/>
  <c r="S32" i="32"/>
  <c r="R32" i="32"/>
  <c r="Q32" i="32"/>
  <c r="P32" i="32"/>
  <c r="O32" i="32"/>
  <c r="BA31" i="32"/>
  <c r="AZ31" i="32"/>
  <c r="AY31" i="32"/>
  <c r="AX31" i="32"/>
  <c r="AW31" i="32"/>
  <c r="AV31" i="32"/>
  <c r="AU31" i="32"/>
  <c r="AT31" i="32"/>
  <c r="AS31" i="32"/>
  <c r="AR31" i="32"/>
  <c r="AQ31" i="32"/>
  <c r="AP31" i="32"/>
  <c r="AO31" i="32"/>
  <c r="AN31" i="32"/>
  <c r="AM31" i="32"/>
  <c r="AL31" i="32"/>
  <c r="AK31" i="32"/>
  <c r="AJ31" i="32"/>
  <c r="AI31" i="32"/>
  <c r="AH31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BA30" i="32"/>
  <c r="AZ30" i="32"/>
  <c r="AY30" i="32"/>
  <c r="AX30" i="32"/>
  <c r="AW30" i="32"/>
  <c r="AV30" i="32"/>
  <c r="AU30" i="32"/>
  <c r="AT30" i="32"/>
  <c r="AS30" i="32"/>
  <c r="AR30" i="32"/>
  <c r="AQ30" i="32"/>
  <c r="AP30" i="32"/>
  <c r="AO30" i="32"/>
  <c r="AN30" i="32"/>
  <c r="AM30" i="32"/>
  <c r="AL30" i="32"/>
  <c r="AK30" i="32"/>
  <c r="AJ30" i="32"/>
  <c r="AI30" i="32"/>
  <c r="AH30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BA29" i="32"/>
  <c r="AZ29" i="32"/>
  <c r="AY29" i="32"/>
  <c r="AX29" i="32"/>
  <c r="AW29" i="32"/>
  <c r="AV29" i="32"/>
  <c r="AU29" i="32"/>
  <c r="AT29" i="32"/>
  <c r="AS29" i="32"/>
  <c r="AR29" i="32"/>
  <c r="AQ29" i="32"/>
  <c r="AP29" i="32"/>
  <c r="AO29" i="32"/>
  <c r="AN29" i="32"/>
  <c r="AM29" i="32"/>
  <c r="AL29" i="32"/>
  <c r="AK29" i="32"/>
  <c r="AJ29" i="32"/>
  <c r="AI29" i="32"/>
  <c r="AH29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BA28" i="32"/>
  <c r="AN28" i="32"/>
  <c r="AA28" i="32"/>
  <c r="AZ27" i="32"/>
  <c r="AT27" i="32"/>
  <c r="AS27" i="32"/>
  <c r="AR27" i="32"/>
  <c r="AQ27" i="32"/>
  <c r="AP27" i="32"/>
  <c r="AO27" i="32"/>
  <c r="AM27" i="32"/>
  <c r="AG27" i="32"/>
  <c r="AF27" i="32"/>
  <c r="AE27" i="32"/>
  <c r="AD27" i="32"/>
  <c r="AC27" i="32"/>
  <c r="AB27" i="32"/>
  <c r="Z27" i="32"/>
  <c r="T27" i="32"/>
  <c r="S27" i="32"/>
  <c r="R27" i="32"/>
  <c r="Q27" i="32"/>
  <c r="P27" i="32"/>
  <c r="O27" i="32"/>
  <c r="AZ26" i="32"/>
  <c r="AT26" i="32"/>
  <c r="AS26" i="32"/>
  <c r="AR26" i="32"/>
  <c r="AQ26" i="32"/>
  <c r="AP26" i="32"/>
  <c r="AO26" i="32"/>
  <c r="AM26" i="32"/>
  <c r="AG26" i="32"/>
  <c r="AF26" i="32"/>
  <c r="AE26" i="32"/>
  <c r="AD26" i="32"/>
  <c r="AC26" i="32"/>
  <c r="AB26" i="32"/>
  <c r="Z26" i="32"/>
  <c r="T26" i="32"/>
  <c r="S26" i="32"/>
  <c r="R26" i="32"/>
  <c r="Q26" i="32"/>
  <c r="P26" i="32"/>
  <c r="O26" i="32"/>
  <c r="AZ25" i="32"/>
  <c r="AT25" i="32"/>
  <c r="AS25" i="32"/>
  <c r="AR25" i="32"/>
  <c r="AQ25" i="32"/>
  <c r="AP25" i="32"/>
  <c r="AO25" i="32"/>
  <c r="AM25" i="32"/>
  <c r="AG25" i="32"/>
  <c r="AF25" i="32"/>
  <c r="AE25" i="32"/>
  <c r="AD25" i="32"/>
  <c r="AC25" i="32"/>
  <c r="AB25" i="32"/>
  <c r="Z25" i="32"/>
  <c r="T25" i="32"/>
  <c r="S25" i="32"/>
  <c r="R25" i="32"/>
  <c r="Q25" i="32"/>
  <c r="P25" i="32"/>
  <c r="O25" i="32"/>
  <c r="AZ24" i="32"/>
  <c r="AT24" i="32"/>
  <c r="AS24" i="32"/>
  <c r="AR24" i="32"/>
  <c r="AQ24" i="32"/>
  <c r="AP24" i="32"/>
  <c r="AO24" i="32"/>
  <c r="AM24" i="32"/>
  <c r="AG24" i="32"/>
  <c r="AF24" i="32"/>
  <c r="AE24" i="32"/>
  <c r="AD24" i="32"/>
  <c r="AC24" i="32"/>
  <c r="AB24" i="32"/>
  <c r="Z24" i="32"/>
  <c r="T24" i="32"/>
  <c r="S24" i="32"/>
  <c r="Z23" i="32"/>
  <c r="T23" i="32"/>
  <c r="S23" i="32"/>
  <c r="R23" i="32"/>
  <c r="Q23" i="32"/>
  <c r="P23" i="32"/>
  <c r="O23" i="32"/>
  <c r="AZ22" i="32"/>
  <c r="AT22" i="32"/>
  <c r="AS22" i="32"/>
  <c r="AR22" i="32"/>
  <c r="AQ22" i="32"/>
  <c r="AP22" i="32"/>
  <c r="AO22" i="32"/>
  <c r="AM22" i="32"/>
  <c r="AG22" i="32"/>
  <c r="AF22" i="32"/>
  <c r="AE22" i="32"/>
  <c r="AD22" i="32"/>
  <c r="AC22" i="32"/>
  <c r="AB22" i="32"/>
  <c r="Z22" i="32"/>
  <c r="T22" i="32"/>
  <c r="S22" i="32"/>
  <c r="R22" i="32"/>
  <c r="Q22" i="32"/>
  <c r="P22" i="32"/>
  <c r="O22" i="32"/>
  <c r="AZ21" i="32"/>
  <c r="AT21" i="32"/>
  <c r="AS21" i="32"/>
  <c r="AR21" i="32"/>
  <c r="AQ21" i="32"/>
  <c r="AP21" i="32"/>
  <c r="AO21" i="32"/>
  <c r="AM21" i="32"/>
  <c r="AG21" i="32"/>
  <c r="AF21" i="32"/>
  <c r="AE21" i="32"/>
  <c r="AD21" i="32"/>
  <c r="AC21" i="32"/>
  <c r="AB21" i="32"/>
  <c r="Z21" i="32"/>
  <c r="T21" i="32"/>
  <c r="BA20" i="32"/>
  <c r="AN20" i="32"/>
  <c r="Z20" i="32"/>
  <c r="T20" i="32"/>
  <c r="R20" i="32"/>
  <c r="AM19" i="32"/>
  <c r="AG19" i="32"/>
  <c r="AF19" i="32"/>
  <c r="AE19" i="32"/>
  <c r="AD19" i="32"/>
  <c r="AC19" i="32"/>
  <c r="AB19" i="32"/>
  <c r="Z19" i="32"/>
  <c r="T19" i="32"/>
  <c r="S19" i="32"/>
  <c r="R19" i="32"/>
  <c r="Q19" i="32"/>
  <c r="P19" i="32"/>
  <c r="O19" i="32"/>
  <c r="AZ18" i="32"/>
  <c r="AT18" i="32"/>
  <c r="AS18" i="32"/>
  <c r="AR18" i="32"/>
  <c r="AQ18" i="32"/>
  <c r="AP18" i="32"/>
  <c r="AO18" i="32"/>
  <c r="AM18" i="32"/>
  <c r="AG18" i="32"/>
  <c r="AF18" i="32"/>
  <c r="AE18" i="32"/>
  <c r="AD18" i="32"/>
  <c r="AC18" i="32"/>
  <c r="AB18" i="32"/>
  <c r="Z18" i="32"/>
  <c r="T18" i="32"/>
  <c r="S18" i="32"/>
  <c r="R18" i="32"/>
  <c r="Q18" i="32"/>
  <c r="P18" i="32"/>
  <c r="O18" i="32"/>
  <c r="AZ17" i="32"/>
  <c r="AT17" i="32"/>
  <c r="AS17" i="32"/>
  <c r="AR17" i="32"/>
  <c r="AQ17" i="32"/>
  <c r="AP17" i="32"/>
  <c r="AO17" i="32"/>
  <c r="AM17" i="32"/>
  <c r="AG17" i="32"/>
  <c r="AF17" i="32"/>
  <c r="AE17" i="32"/>
  <c r="AD17" i="32"/>
  <c r="AC17" i="32"/>
  <c r="AB17" i="32"/>
  <c r="Y17" i="32"/>
  <c r="Y48" i="32" s="1"/>
  <c r="X17" i="32"/>
  <c r="X48" i="32" s="1"/>
  <c r="W17" i="32"/>
  <c r="W48" i="32" s="1"/>
  <c r="V17" i="32"/>
  <c r="U17" i="32"/>
  <c r="U24" i="32" s="1"/>
  <c r="BA16" i="32"/>
  <c r="AZ16" i="32"/>
  <c r="AY16" i="32"/>
  <c r="AX16" i="32"/>
  <c r="AW16" i="32"/>
  <c r="AV16" i="32"/>
  <c r="AU16" i="32"/>
  <c r="AT16" i="32"/>
  <c r="AS16" i="32"/>
  <c r="AR16" i="32"/>
  <c r="AQ16" i="32"/>
  <c r="AP16" i="32"/>
  <c r="AO16" i="32"/>
  <c r="AN16" i="32"/>
  <c r="AM16" i="32"/>
  <c r="AL16" i="32"/>
  <c r="AK16" i="32"/>
  <c r="AJ16" i="32"/>
  <c r="AI16" i="32"/>
  <c r="AH16" i="32"/>
  <c r="AG16" i="32"/>
  <c r="AF16" i="32"/>
  <c r="AE16" i="32"/>
  <c r="AD16" i="32"/>
  <c r="AC16" i="32"/>
  <c r="AB16" i="32"/>
  <c r="AA16" i="32"/>
  <c r="BA15" i="32"/>
  <c r="AZ15" i="32"/>
  <c r="AY15" i="32"/>
  <c r="AX15" i="32"/>
  <c r="AW15" i="32"/>
  <c r="AV15" i="32"/>
  <c r="AU15" i="32"/>
  <c r="AT15" i="32"/>
  <c r="AS15" i="32"/>
  <c r="AR15" i="32"/>
  <c r="AQ15" i="32"/>
  <c r="AP15" i="32"/>
  <c r="AO15" i="32"/>
  <c r="AN15" i="32"/>
  <c r="AM15" i="32"/>
  <c r="AL15" i="32"/>
  <c r="AK15" i="32"/>
  <c r="AJ15" i="32"/>
  <c r="AI15" i="32"/>
  <c r="AH15" i="32"/>
  <c r="AG15" i="32"/>
  <c r="AF15" i="32"/>
  <c r="AE15" i="32"/>
  <c r="AD15" i="32"/>
  <c r="AC15" i="32"/>
  <c r="AB15" i="32"/>
  <c r="AA15" i="32"/>
  <c r="C35" i="27"/>
  <c r="P32" i="27"/>
  <c r="E32" i="27"/>
  <c r="D32" i="27"/>
  <c r="C32" i="27"/>
  <c r="E27" i="27"/>
  <c r="D27" i="27"/>
  <c r="C27" i="27"/>
  <c r="E24" i="27"/>
  <c r="D24" i="27"/>
  <c r="C24" i="27"/>
  <c r="E21" i="27"/>
  <c r="D21" i="27"/>
  <c r="C21" i="27"/>
  <c r="H20" i="27"/>
  <c r="G20" i="27"/>
  <c r="F20" i="27"/>
  <c r="E20" i="27"/>
  <c r="D20" i="27"/>
  <c r="C20" i="27"/>
  <c r="F19" i="27"/>
  <c r="E19" i="27"/>
  <c r="D19" i="27"/>
  <c r="C19" i="27"/>
  <c r="G17" i="27"/>
  <c r="F17" i="27"/>
  <c r="E17" i="27"/>
  <c r="D17" i="27"/>
  <c r="C17" i="27"/>
  <c r="E15" i="27"/>
  <c r="D15" i="27"/>
  <c r="C15" i="27"/>
  <c r="N14" i="27"/>
  <c r="H14" i="27"/>
  <c r="G14" i="27"/>
  <c r="F14" i="27"/>
  <c r="E14" i="27"/>
  <c r="D14" i="27"/>
  <c r="C14" i="27"/>
  <c r="N13" i="27"/>
  <c r="M13" i="27"/>
  <c r="L13" i="27"/>
  <c r="K13" i="27"/>
  <c r="J13" i="27"/>
  <c r="I13" i="27"/>
  <c r="H13" i="27"/>
  <c r="G13" i="27"/>
  <c r="F13" i="27"/>
  <c r="E13" i="27"/>
  <c r="D13" i="27"/>
  <c r="C13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F8" i="25"/>
  <c r="E8" i="25"/>
  <c r="D8" i="25"/>
  <c r="F7" i="25"/>
  <c r="F6" i="25"/>
  <c r="F5" i="25"/>
  <c r="E5" i="25"/>
  <c r="AI40" i="11"/>
  <c r="AG40" i="11"/>
  <c r="AA40" i="11"/>
  <c r="Z40" i="11"/>
  <c r="Y40" i="11"/>
  <c r="W40" i="11"/>
  <c r="V40" i="11"/>
  <c r="R40" i="11"/>
  <c r="P40" i="11"/>
  <c r="C40" i="11"/>
  <c r="AJ40" i="11" s="1"/>
  <c r="K36" i="11"/>
  <c r="Y35" i="11"/>
  <c r="W35" i="11"/>
  <c r="V35" i="11"/>
  <c r="U35" i="11"/>
  <c r="T35" i="11"/>
  <c r="N35" i="11"/>
  <c r="C35" i="11"/>
  <c r="AH35" i="11" s="1"/>
  <c r="C28" i="11"/>
  <c r="C24" i="11"/>
  <c r="BI24" i="11" s="1"/>
  <c r="BI31" i="11" s="1"/>
  <c r="AJ23" i="11"/>
  <c r="AI23" i="11"/>
  <c r="AH23" i="11"/>
  <c r="AF23" i="11"/>
  <c r="Z23" i="11"/>
  <c r="S23" i="11"/>
  <c r="R23" i="11"/>
  <c r="Q23" i="11"/>
  <c r="O23" i="11"/>
  <c r="C23" i="11"/>
  <c r="AC23" i="11" s="1"/>
  <c r="K17" i="11"/>
  <c r="K15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K12" i="11"/>
  <c r="C12" i="11"/>
  <c r="E12" i="11" s="1"/>
  <c r="F12" i="11" s="1"/>
  <c r="K11" i="11"/>
  <c r="F11" i="11"/>
  <c r="C11" i="11"/>
  <c r="K10" i="11"/>
  <c r="C10" i="11"/>
  <c r="K9" i="11"/>
  <c r="C9" i="11"/>
  <c r="K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W7" i="11"/>
  <c r="V7" i="11"/>
  <c r="U7" i="11"/>
  <c r="T7" i="11"/>
  <c r="S7" i="11"/>
  <c r="R7" i="11"/>
  <c r="Q7" i="11"/>
  <c r="P7" i="11"/>
  <c r="O7" i="11"/>
  <c r="N7" i="11"/>
  <c r="M7" i="11"/>
  <c r="L7" i="11"/>
  <c r="D15" i="20" s="1"/>
  <c r="K7" i="11"/>
  <c r="AD6" i="11"/>
  <c r="T6" i="11"/>
  <c r="L6" i="11"/>
  <c r="K6" i="11"/>
  <c r="C6" i="11"/>
  <c r="I9" i="28"/>
  <c r="H9" i="28"/>
  <c r="I8" i="28"/>
  <c r="H8" i="28"/>
  <c r="E210" i="29"/>
  <c r="C210" i="29"/>
  <c r="B210" i="29"/>
  <c r="N210" i="29" s="1"/>
  <c r="M207" i="29"/>
  <c r="L207" i="29"/>
  <c r="K207" i="29"/>
  <c r="J207" i="29"/>
  <c r="I207" i="29"/>
  <c r="H207" i="29"/>
  <c r="G207" i="29"/>
  <c r="F207" i="29"/>
  <c r="E207" i="29"/>
  <c r="D207" i="29"/>
  <c r="C207" i="29"/>
  <c r="B207" i="29"/>
  <c r="M204" i="29"/>
  <c r="L204" i="29"/>
  <c r="K204" i="29"/>
  <c r="J204" i="29"/>
  <c r="I204" i="29"/>
  <c r="H204" i="29"/>
  <c r="G204" i="29"/>
  <c r="F204" i="29"/>
  <c r="E204" i="29"/>
  <c r="D204" i="29"/>
  <c r="C204" i="29"/>
  <c r="B204" i="29"/>
  <c r="A204" i="29"/>
  <c r="M203" i="29"/>
  <c r="L203" i="29"/>
  <c r="K203" i="29"/>
  <c r="J203" i="29"/>
  <c r="I203" i="29"/>
  <c r="H203" i="29"/>
  <c r="G203" i="29"/>
  <c r="F203" i="29"/>
  <c r="E203" i="29"/>
  <c r="D203" i="29"/>
  <c r="C203" i="29"/>
  <c r="B203" i="29"/>
  <c r="M201" i="29"/>
  <c r="L201" i="29"/>
  <c r="K201" i="29"/>
  <c r="J201" i="29"/>
  <c r="I201" i="29"/>
  <c r="H201" i="29"/>
  <c r="G201" i="29"/>
  <c r="F201" i="29"/>
  <c r="E201" i="29"/>
  <c r="D201" i="29"/>
  <c r="C201" i="29"/>
  <c r="B201" i="29"/>
  <c r="M200" i="29"/>
  <c r="L200" i="29"/>
  <c r="K200" i="29"/>
  <c r="J200" i="29"/>
  <c r="I200" i="29"/>
  <c r="H200" i="29"/>
  <c r="G200" i="29"/>
  <c r="F200" i="29"/>
  <c r="E200" i="29"/>
  <c r="D200" i="29"/>
  <c r="C200" i="29"/>
  <c r="B200" i="29"/>
  <c r="M199" i="29"/>
  <c r="L199" i="29"/>
  <c r="K199" i="29"/>
  <c r="J199" i="29"/>
  <c r="I199" i="29"/>
  <c r="H199" i="29"/>
  <c r="G199" i="29"/>
  <c r="F199" i="29"/>
  <c r="E199" i="29"/>
  <c r="D199" i="29"/>
  <c r="C199" i="29"/>
  <c r="B199" i="29"/>
  <c r="D198" i="29"/>
  <c r="C198" i="29"/>
  <c r="B198" i="29"/>
  <c r="E179" i="29"/>
  <c r="N172" i="29"/>
  <c r="AM170" i="29"/>
  <c r="AL170" i="29"/>
  <c r="AK170" i="29"/>
  <c r="AJ170" i="29"/>
  <c r="AI170" i="29"/>
  <c r="AH170" i="29"/>
  <c r="AG170" i="29"/>
  <c r="AF170" i="29"/>
  <c r="AE170" i="29"/>
  <c r="AD170" i="29"/>
  <c r="AC170" i="29"/>
  <c r="AB170" i="29"/>
  <c r="Z170" i="29"/>
  <c r="Y170" i="29"/>
  <c r="X170" i="29"/>
  <c r="W170" i="29"/>
  <c r="V170" i="29"/>
  <c r="U170" i="29"/>
  <c r="T170" i="29"/>
  <c r="S170" i="29"/>
  <c r="R170" i="29"/>
  <c r="Q170" i="29"/>
  <c r="P170" i="29"/>
  <c r="O170" i="29"/>
  <c r="M170" i="29"/>
  <c r="L170" i="29"/>
  <c r="K170" i="29"/>
  <c r="J170" i="29"/>
  <c r="I170" i="29"/>
  <c r="H170" i="29"/>
  <c r="G170" i="29"/>
  <c r="F170" i="29"/>
  <c r="E170" i="29"/>
  <c r="D170" i="29"/>
  <c r="C170" i="29"/>
  <c r="B170" i="29"/>
  <c r="AM167" i="29"/>
  <c r="AL167" i="29"/>
  <c r="AK167" i="29"/>
  <c r="AJ167" i="29"/>
  <c r="AI167" i="29"/>
  <c r="AH167" i="29"/>
  <c r="AG167" i="29"/>
  <c r="AF167" i="29"/>
  <c r="AE167" i="29"/>
  <c r="AD167" i="29"/>
  <c r="AC167" i="29"/>
  <c r="AB167" i="29"/>
  <c r="Z167" i="29"/>
  <c r="Y167" i="29"/>
  <c r="X167" i="29"/>
  <c r="W167" i="29"/>
  <c r="V167" i="29"/>
  <c r="U167" i="29"/>
  <c r="T167" i="29"/>
  <c r="S167" i="29"/>
  <c r="R167" i="29"/>
  <c r="Q167" i="29"/>
  <c r="P167" i="29"/>
  <c r="O167" i="29"/>
  <c r="M167" i="29"/>
  <c r="L167" i="29"/>
  <c r="K167" i="29"/>
  <c r="J167" i="29"/>
  <c r="I167" i="29"/>
  <c r="H167" i="29"/>
  <c r="G167" i="29"/>
  <c r="F167" i="29"/>
  <c r="E167" i="29"/>
  <c r="E189" i="29" s="1"/>
  <c r="D167" i="29"/>
  <c r="C167" i="29"/>
  <c r="B167" i="29"/>
  <c r="E160" i="29"/>
  <c r="E20" i="29" s="1"/>
  <c r="N156" i="29"/>
  <c r="M156" i="29"/>
  <c r="L156" i="29"/>
  <c r="K156" i="29"/>
  <c r="J156" i="29"/>
  <c r="I156" i="29"/>
  <c r="H156" i="29"/>
  <c r="G156" i="29"/>
  <c r="F156" i="29"/>
  <c r="E156" i="29"/>
  <c r="D156" i="29"/>
  <c r="C156" i="29"/>
  <c r="B156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N145" i="29"/>
  <c r="M145" i="29"/>
  <c r="L145" i="29"/>
  <c r="K145" i="29"/>
  <c r="J145" i="29"/>
  <c r="I145" i="29"/>
  <c r="H145" i="29"/>
  <c r="G145" i="29"/>
  <c r="F145" i="29"/>
  <c r="E145" i="29"/>
  <c r="D145" i="29"/>
  <c r="C145" i="29"/>
  <c r="B145" i="29"/>
  <c r="N144" i="29"/>
  <c r="B144" i="29"/>
  <c r="AQ142" i="29"/>
  <c r="AQ139" i="29"/>
  <c r="AQ136" i="29"/>
  <c r="E134" i="29"/>
  <c r="E135" i="29" s="1"/>
  <c r="AQ133" i="29"/>
  <c r="AQ130" i="29"/>
  <c r="AQ127" i="29"/>
  <c r="M121" i="29"/>
  <c r="M119" i="29"/>
  <c r="J119" i="29"/>
  <c r="G119" i="29"/>
  <c r="G118" i="29" s="1"/>
  <c r="D119" i="29"/>
  <c r="M117" i="29"/>
  <c r="J117" i="29"/>
  <c r="G117" i="29"/>
  <c r="D117" i="29"/>
  <c r="I112" i="29"/>
  <c r="J108" i="29"/>
  <c r="G108" i="29"/>
  <c r="D108" i="29"/>
  <c r="M107" i="29"/>
  <c r="J107" i="29"/>
  <c r="J106" i="29" s="1"/>
  <c r="G107" i="29"/>
  <c r="G106" i="29" s="1"/>
  <c r="D107" i="29"/>
  <c r="D106" i="29" s="1"/>
  <c r="J103" i="29"/>
  <c r="M103" i="29" s="1"/>
  <c r="N103" i="29" s="1"/>
  <c r="H103" i="29"/>
  <c r="G102" i="29"/>
  <c r="H101" i="29"/>
  <c r="G97" i="29"/>
  <c r="H97" i="29" s="1"/>
  <c r="I97" i="29" s="1"/>
  <c r="J97" i="29" s="1"/>
  <c r="K97" i="29" s="1"/>
  <c r="L97" i="29" s="1"/>
  <c r="M97" i="29" s="1"/>
  <c r="N97" i="29" s="1"/>
  <c r="E97" i="29"/>
  <c r="F97" i="29" s="1"/>
  <c r="G96" i="29"/>
  <c r="H96" i="29" s="1"/>
  <c r="G92" i="29"/>
  <c r="F92" i="29"/>
  <c r="M91" i="29"/>
  <c r="M206" i="29" s="1"/>
  <c r="L91" i="29"/>
  <c r="L206" i="29" s="1"/>
  <c r="K91" i="29"/>
  <c r="K206" i="29" s="1"/>
  <c r="I91" i="29"/>
  <c r="I206" i="29" s="1"/>
  <c r="H91" i="29"/>
  <c r="H206" i="29" s="1"/>
  <c r="G91" i="29"/>
  <c r="G206" i="29" s="1"/>
  <c r="F91" i="29"/>
  <c r="F206" i="29" s="1"/>
  <c r="E91" i="29"/>
  <c r="E206" i="29" s="1"/>
  <c r="D91" i="29"/>
  <c r="D206" i="29" s="1"/>
  <c r="C91" i="29"/>
  <c r="C206" i="29" s="1"/>
  <c r="B91" i="29"/>
  <c r="B206" i="29" s="1"/>
  <c r="M90" i="29"/>
  <c r="M205" i="29" s="1"/>
  <c r="L90" i="29"/>
  <c r="L205" i="29" s="1"/>
  <c r="K90" i="29"/>
  <c r="K205" i="29" s="1"/>
  <c r="J90" i="29"/>
  <c r="J205" i="29" s="1"/>
  <c r="I90" i="29"/>
  <c r="H90" i="29"/>
  <c r="H205" i="29" s="1"/>
  <c r="G90" i="29"/>
  <c r="G205" i="29" s="1"/>
  <c r="F90" i="29"/>
  <c r="F205" i="29" s="1"/>
  <c r="E90" i="29"/>
  <c r="E205" i="29" s="1"/>
  <c r="D90" i="29"/>
  <c r="D205" i="29" s="1"/>
  <c r="C90" i="29"/>
  <c r="C205" i="29" s="1"/>
  <c r="B90" i="29"/>
  <c r="N89" i="29"/>
  <c r="I89" i="29"/>
  <c r="AO82" i="29"/>
  <c r="F75" i="29"/>
  <c r="F71" i="29"/>
  <c r="F67" i="29"/>
  <c r="F61" i="29"/>
  <c r="F210" i="29" s="1"/>
  <c r="D61" i="29"/>
  <c r="D63" i="29" s="1"/>
  <c r="N47" i="29"/>
  <c r="G19" i="37" s="1"/>
  <c r="N45" i="29"/>
  <c r="T39" i="29"/>
  <c r="S39" i="29"/>
  <c r="R39" i="29"/>
  <c r="Q39" i="29"/>
  <c r="P39" i="29"/>
  <c r="O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AQ37" i="29"/>
  <c r="N37" i="29"/>
  <c r="G20" i="37" s="1"/>
  <c r="AQ36" i="29"/>
  <c r="N36" i="29"/>
  <c r="G16" i="37" s="1"/>
  <c r="AQ31" i="29"/>
  <c r="N31" i="29"/>
  <c r="M30" i="29"/>
  <c r="M198" i="29" s="1"/>
  <c r="L30" i="29"/>
  <c r="L27" i="29" s="1"/>
  <c r="K30" i="29"/>
  <c r="K27" i="29" s="1"/>
  <c r="J30" i="29"/>
  <c r="J198" i="29" s="1"/>
  <c r="I30" i="29"/>
  <c r="I198" i="29" s="1"/>
  <c r="H30" i="29"/>
  <c r="H198" i="29" s="1"/>
  <c r="G30" i="29"/>
  <c r="G198" i="29" s="1"/>
  <c r="F30" i="29"/>
  <c r="F198" i="29" s="1"/>
  <c r="E30" i="29"/>
  <c r="AQ29" i="29"/>
  <c r="N29" i="29"/>
  <c r="AQ28" i="29"/>
  <c r="N28" i="29"/>
  <c r="D27" i="29"/>
  <c r="C27" i="29"/>
  <c r="B27" i="29"/>
  <c r="E25" i="29"/>
  <c r="D25" i="29"/>
  <c r="C25" i="29"/>
  <c r="B25" i="29"/>
  <c r="AQ16" i="29"/>
  <c r="N16" i="29"/>
  <c r="N3" i="29"/>
  <c r="M3" i="29"/>
  <c r="L3" i="29"/>
  <c r="K3" i="29"/>
  <c r="J3" i="29"/>
  <c r="J101" i="29" s="1"/>
  <c r="K101" i="29" s="1"/>
  <c r="I3" i="29"/>
  <c r="H3" i="29"/>
  <c r="G3" i="29"/>
  <c r="F3" i="29"/>
  <c r="E3" i="29"/>
  <c r="D3" i="29"/>
  <c r="C3" i="29"/>
  <c r="B3" i="29"/>
  <c r="A3" i="29"/>
  <c r="R2" i="29"/>
  <c r="P2" i="29"/>
  <c r="N2" i="29"/>
  <c r="M2" i="29"/>
  <c r="L2" i="29"/>
  <c r="K2" i="29"/>
  <c r="J2" i="29"/>
  <c r="I2" i="29"/>
  <c r="H2" i="29"/>
  <c r="G2" i="29"/>
  <c r="F2" i="29"/>
  <c r="E2" i="29"/>
  <c r="D2" i="29"/>
  <c r="C2" i="29"/>
  <c r="B2" i="29"/>
  <c r="BD66" i="19"/>
  <c r="BD63" i="19"/>
  <c r="AP63" i="19"/>
  <c r="AB63" i="19"/>
  <c r="BD60" i="19"/>
  <c r="BE60" i="19" s="1"/>
  <c r="BF60" i="19" s="1"/>
  <c r="AP60" i="19"/>
  <c r="AB60" i="19"/>
  <c r="BC59" i="19"/>
  <c r="BB59" i="19"/>
  <c r="BA59" i="19"/>
  <c r="AZ59" i="19"/>
  <c r="AY59" i="19"/>
  <c r="AX59" i="19"/>
  <c r="AW59" i="19"/>
  <c r="AV59" i="19"/>
  <c r="AU59" i="19"/>
  <c r="AT59" i="19"/>
  <c r="AS59" i="19"/>
  <c r="AR59" i="19"/>
  <c r="AO59" i="19"/>
  <c r="AN59" i="19"/>
  <c r="AM59" i="19"/>
  <c r="AL59" i="19"/>
  <c r="AK59" i="19"/>
  <c r="AJ59" i="19"/>
  <c r="AI59" i="19"/>
  <c r="AH59" i="19"/>
  <c r="AG59" i="19"/>
  <c r="AF59" i="19"/>
  <c r="AE59" i="19"/>
  <c r="AD59" i="19"/>
  <c r="AA59" i="19"/>
  <c r="Z59" i="19"/>
  <c r="Y59" i="19"/>
  <c r="X59" i="19"/>
  <c r="W59" i="19"/>
  <c r="BC58" i="19"/>
  <c r="BB58" i="19"/>
  <c r="BA58" i="19"/>
  <c r="AZ58" i="19"/>
  <c r="AY58" i="19"/>
  <c r="AX58" i="19"/>
  <c r="AW58" i="19"/>
  <c r="AV58" i="19"/>
  <c r="AU58" i="19"/>
  <c r="AT58" i="19"/>
  <c r="AS58" i="19"/>
  <c r="AR58" i="19"/>
  <c r="AO58" i="19"/>
  <c r="AN58" i="19"/>
  <c r="AM58" i="19"/>
  <c r="AL58" i="19"/>
  <c r="AK58" i="19"/>
  <c r="AJ58" i="19"/>
  <c r="AI58" i="19"/>
  <c r="AH58" i="19"/>
  <c r="AG58" i="19"/>
  <c r="AF58" i="19"/>
  <c r="AE58" i="19"/>
  <c r="AD58" i="19"/>
  <c r="AA58" i="19"/>
  <c r="Z58" i="19"/>
  <c r="Y58" i="19"/>
  <c r="X58" i="19"/>
  <c r="W58" i="19"/>
  <c r="BC57" i="19"/>
  <c r="BB57" i="19"/>
  <c r="BA57" i="19"/>
  <c r="AZ57" i="19"/>
  <c r="AY57" i="19"/>
  <c r="AX57" i="19"/>
  <c r="AW57" i="19"/>
  <c r="AV57" i="19"/>
  <c r="AU57" i="19"/>
  <c r="AT57" i="19"/>
  <c r="AS57" i="19"/>
  <c r="AR57" i="19"/>
  <c r="AO57" i="19"/>
  <c r="AN57" i="19"/>
  <c r="AM57" i="19"/>
  <c r="AL57" i="19"/>
  <c r="AK57" i="19"/>
  <c r="AJ57" i="19"/>
  <c r="AI57" i="19"/>
  <c r="AH57" i="19"/>
  <c r="AG57" i="19"/>
  <c r="AF57" i="19"/>
  <c r="AE57" i="19"/>
  <c r="AD57" i="19"/>
  <c r="AA57" i="19"/>
  <c r="Z57" i="19"/>
  <c r="Y57" i="19"/>
  <c r="X57" i="19"/>
  <c r="W57" i="19"/>
  <c r="BC55" i="19"/>
  <c r="BB55" i="19"/>
  <c r="BA55" i="19"/>
  <c r="AZ55" i="19"/>
  <c r="AY55" i="19"/>
  <c r="AX55" i="19"/>
  <c r="AW55" i="19"/>
  <c r="AV55" i="19"/>
  <c r="AU55" i="19"/>
  <c r="AT55" i="19"/>
  <c r="AS55" i="19"/>
  <c r="AR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A55" i="19"/>
  <c r="Z55" i="19"/>
  <c r="Y55" i="19"/>
  <c r="X55" i="19"/>
  <c r="W55" i="19"/>
  <c r="AD53" i="19"/>
  <c r="AB53" i="19"/>
  <c r="AA51" i="19"/>
  <c r="AD51" i="19" s="1"/>
  <c r="Z51" i="19"/>
  <c r="Y51" i="19"/>
  <c r="X51" i="19"/>
  <c r="W51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A50" i="19"/>
  <c r="Z50" i="19"/>
  <c r="Y50" i="19"/>
  <c r="X50" i="19"/>
  <c r="W50" i="19"/>
  <c r="AA49" i="19"/>
  <c r="AA48" i="19"/>
  <c r="Z48" i="19"/>
  <c r="Y48" i="19"/>
  <c r="X48" i="19"/>
  <c r="W48" i="19"/>
  <c r="AD47" i="19"/>
  <c r="AB47" i="19"/>
  <c r="AA46" i="19"/>
  <c r="AD46" i="19" s="1"/>
  <c r="AE46" i="19" s="1"/>
  <c r="AF46" i="19" s="1"/>
  <c r="AG46" i="19" s="1"/>
  <c r="AH46" i="19" s="1"/>
  <c r="AI46" i="19" s="1"/>
  <c r="AJ46" i="19" s="1"/>
  <c r="AK46" i="19" s="1"/>
  <c r="AL46" i="19" s="1"/>
  <c r="AM46" i="19" s="1"/>
  <c r="AN46" i="19" s="1"/>
  <c r="AO46" i="19" s="1"/>
  <c r="AR46" i="19" s="1"/>
  <c r="Z46" i="19"/>
  <c r="Y46" i="19"/>
  <c r="X46" i="19"/>
  <c r="W46" i="19"/>
  <c r="AD45" i="19"/>
  <c r="AE45" i="19" s="1"/>
  <c r="AF45" i="19" s="1"/>
  <c r="AG45" i="19" s="1"/>
  <c r="AH45" i="19" s="1"/>
  <c r="AI45" i="19" s="1"/>
  <c r="AJ45" i="19" s="1"/>
  <c r="AK45" i="19" s="1"/>
  <c r="AL45" i="19" s="1"/>
  <c r="AM45" i="19" s="1"/>
  <c r="AN45" i="19" s="1"/>
  <c r="AO45" i="19" s="1"/>
  <c r="AR45" i="19" s="1"/>
  <c r="AB45" i="19"/>
  <c r="AD44" i="19"/>
  <c r="AB44" i="19"/>
  <c r="AA43" i="19"/>
  <c r="AD43" i="19" s="1"/>
  <c r="AE43" i="19" s="1"/>
  <c r="AF43" i="19" s="1"/>
  <c r="AG43" i="19" s="1"/>
  <c r="AH43" i="19" s="1"/>
  <c r="AI43" i="19" s="1"/>
  <c r="AJ43" i="19" s="1"/>
  <c r="AK43" i="19" s="1"/>
  <c r="AL43" i="19" s="1"/>
  <c r="AM43" i="19" s="1"/>
  <c r="AN43" i="19" s="1"/>
  <c r="AO43" i="19" s="1"/>
  <c r="AR43" i="19" s="1"/>
  <c r="Z43" i="19"/>
  <c r="Y43" i="19"/>
  <c r="X43" i="19"/>
  <c r="W43" i="19"/>
  <c r="BC38" i="19"/>
  <c r="BB38" i="19"/>
  <c r="BA38" i="19"/>
  <c r="AZ38" i="19"/>
  <c r="AY38" i="19"/>
  <c r="AX38" i="19"/>
  <c r="AW38" i="19"/>
  <c r="AV38" i="19"/>
  <c r="AU38" i="19"/>
  <c r="AT38" i="19"/>
  <c r="AS38" i="19"/>
  <c r="AR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B38" i="19"/>
  <c r="BC31" i="19"/>
  <c r="BB31" i="19"/>
  <c r="BA31" i="19"/>
  <c r="AZ31" i="19"/>
  <c r="AY31" i="19"/>
  <c r="AX31" i="19"/>
  <c r="AW31" i="19"/>
  <c r="AV31" i="19"/>
  <c r="AU31" i="19"/>
  <c r="AT31" i="19"/>
  <c r="AS31" i="19"/>
  <c r="AR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A31" i="19"/>
  <c r="Z31" i="19"/>
  <c r="Y31" i="19"/>
  <c r="X31" i="19"/>
  <c r="W31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A30" i="19"/>
  <c r="Z30" i="19"/>
  <c r="Y30" i="19"/>
  <c r="X30" i="19"/>
  <c r="W30" i="19"/>
  <c r="BC29" i="19"/>
  <c r="AO6" i="20" s="1"/>
  <c r="AM160" i="29" s="1"/>
  <c r="AM20" i="29" s="1"/>
  <c r="BB29" i="19"/>
  <c r="AN6" i="20" s="1"/>
  <c r="AL160" i="29" s="1"/>
  <c r="AL20" i="29" s="1"/>
  <c r="BA29" i="19"/>
  <c r="AM6" i="20" s="1"/>
  <c r="AK160" i="29" s="1"/>
  <c r="AK20" i="29" s="1"/>
  <c r="AZ29" i="19"/>
  <c r="AL6" i="20" s="1"/>
  <c r="AJ160" i="29" s="1"/>
  <c r="AJ20" i="29" s="1"/>
  <c r="AY29" i="19"/>
  <c r="AK6" i="20" s="1"/>
  <c r="AI160" i="29" s="1"/>
  <c r="AI20" i="29" s="1"/>
  <c r="AX29" i="19"/>
  <c r="AJ6" i="20" s="1"/>
  <c r="AH160" i="29" s="1"/>
  <c r="AH20" i="29" s="1"/>
  <c r="AW29" i="19"/>
  <c r="AI6" i="20" s="1"/>
  <c r="AG160" i="29" s="1"/>
  <c r="AG20" i="29" s="1"/>
  <c r="AV29" i="19"/>
  <c r="AH6" i="20" s="1"/>
  <c r="AF160" i="29" s="1"/>
  <c r="AF20" i="29" s="1"/>
  <c r="AU29" i="19"/>
  <c r="AG6" i="20" s="1"/>
  <c r="AE160" i="29" s="1"/>
  <c r="AT29" i="19"/>
  <c r="AF6" i="20" s="1"/>
  <c r="AD160" i="29" s="1"/>
  <c r="AD20" i="29" s="1"/>
  <c r="AS29" i="19"/>
  <c r="AE6" i="20" s="1"/>
  <c r="AC160" i="29" s="1"/>
  <c r="AC20" i="29" s="1"/>
  <c r="AR29" i="19"/>
  <c r="AD6" i="20" s="1"/>
  <c r="AB160" i="29" s="1"/>
  <c r="AO29" i="19"/>
  <c r="AB6" i="20" s="1"/>
  <c r="Z160" i="29" s="1"/>
  <c r="Z20" i="29" s="1"/>
  <c r="AN29" i="19"/>
  <c r="AA6" i="20" s="1"/>
  <c r="Y160" i="29" s="1"/>
  <c r="Y20" i="29" s="1"/>
  <c r="AM29" i="19"/>
  <c r="Z6" i="20" s="1"/>
  <c r="X160" i="29" s="1"/>
  <c r="X20" i="29" s="1"/>
  <c r="AL29" i="19"/>
  <c r="Y6" i="20" s="1"/>
  <c r="W160" i="29" s="1"/>
  <c r="W20" i="29" s="1"/>
  <c r="AK29" i="19"/>
  <c r="X6" i="20" s="1"/>
  <c r="V160" i="29" s="1"/>
  <c r="V20" i="29" s="1"/>
  <c r="AJ29" i="19"/>
  <c r="W6" i="20" s="1"/>
  <c r="U160" i="29" s="1"/>
  <c r="U20" i="29" s="1"/>
  <c r="AI29" i="19"/>
  <c r="V6" i="20" s="1"/>
  <c r="T160" i="29" s="1"/>
  <c r="T20" i="29" s="1"/>
  <c r="AH29" i="19"/>
  <c r="U6" i="20" s="1"/>
  <c r="S162" i="21" s="1"/>
  <c r="S20" i="21" s="1"/>
  <c r="AG29" i="19"/>
  <c r="T6" i="20" s="1"/>
  <c r="AF29" i="19"/>
  <c r="S6" i="20" s="1"/>
  <c r="AE29" i="19"/>
  <c r="R6" i="20" s="1"/>
  <c r="P162" i="21" s="1"/>
  <c r="AD29" i="19"/>
  <c r="Q6" i="20" s="1"/>
  <c r="O162" i="21" s="1"/>
  <c r="O20" i="21" s="1"/>
  <c r="AA29" i="19"/>
  <c r="N20" i="27" s="1"/>
  <c r="Z29" i="19"/>
  <c r="M20" i="27" s="1"/>
  <c r="Y29" i="19"/>
  <c r="M6" i="20" s="1"/>
  <c r="X29" i="19"/>
  <c r="L6" i="20" s="1"/>
  <c r="J162" i="21" s="1"/>
  <c r="J20" i="21" s="1"/>
  <c r="W29" i="19"/>
  <c r="K6" i="20" s="1"/>
  <c r="J6" i="20"/>
  <c r="BD28" i="19"/>
  <c r="AP28" i="19"/>
  <c r="AB28" i="19"/>
  <c r="AA24" i="19"/>
  <c r="H19" i="27"/>
  <c r="G19" i="27"/>
  <c r="BD20" i="19"/>
  <c r="AP20" i="19"/>
  <c r="AA18" i="19"/>
  <c r="AA39" i="19" s="1"/>
  <c r="U18" i="19"/>
  <c r="T18" i="19"/>
  <c r="S18" i="19"/>
  <c r="R18" i="19"/>
  <c r="Q18" i="19"/>
  <c r="P18" i="19"/>
  <c r="AO17" i="19"/>
  <c r="BC17" i="19" s="1"/>
  <c r="AI17" i="19"/>
  <c r="AH17" i="19"/>
  <c r="AV17" i="19" s="1"/>
  <c r="AG17" i="19"/>
  <c r="AU17" i="19" s="1"/>
  <c r="AF17" i="19"/>
  <c r="AT17" i="19" s="1"/>
  <c r="AE17" i="19"/>
  <c r="AS17" i="19" s="1"/>
  <c r="AD17" i="19"/>
  <c r="AR17" i="19" s="1"/>
  <c r="Z17" i="19"/>
  <c r="M14" i="27" s="1"/>
  <c r="Y17" i="19"/>
  <c r="L14" i="27" s="1"/>
  <c r="X17" i="19"/>
  <c r="K14" i="27" s="1"/>
  <c r="W17" i="19"/>
  <c r="I14" i="27"/>
  <c r="AY16" i="19"/>
  <c r="AO16" i="19"/>
  <c r="AN16" i="19"/>
  <c r="BB16" i="19" s="1"/>
  <c r="AM16" i="19"/>
  <c r="BA16" i="19" s="1"/>
  <c r="AL16" i="19"/>
  <c r="AZ16" i="19" s="1"/>
  <c r="AJ16" i="19"/>
  <c r="AX16" i="19" s="1"/>
  <c r="AI16" i="19"/>
  <c r="AW16" i="19" s="1"/>
  <c r="AH16" i="19"/>
  <c r="AG16" i="19"/>
  <c r="AF16" i="19"/>
  <c r="AE16" i="19"/>
  <c r="AD16" i="19"/>
  <c r="AB16" i="19"/>
  <c r="AY15" i="19"/>
  <c r="AO15" i="19"/>
  <c r="AN15" i="19"/>
  <c r="BB15" i="19" s="1"/>
  <c r="AM15" i="19"/>
  <c r="BA15" i="19" s="1"/>
  <c r="AL15" i="19"/>
  <c r="AZ15" i="19" s="1"/>
  <c r="AJ15" i="19"/>
  <c r="AX15" i="19" s="1"/>
  <c r="AI15" i="19"/>
  <c r="AH15" i="19"/>
  <c r="AG15" i="19"/>
  <c r="AU15" i="19" s="1"/>
  <c r="AF15" i="19"/>
  <c r="AT15" i="19" s="1"/>
  <c r="AE15" i="19"/>
  <c r="AD15" i="19"/>
  <c r="AB15" i="19"/>
  <c r="D65" i="33"/>
  <c r="E65" i="33" s="1"/>
  <c r="F65" i="33" s="1"/>
  <c r="G65" i="33" s="1"/>
  <c r="H65" i="33" s="1"/>
  <c r="I65" i="33" s="1"/>
  <c r="J65" i="33" s="1"/>
  <c r="K65" i="33" s="1"/>
  <c r="L65" i="33" s="1"/>
  <c r="M65" i="33" s="1"/>
  <c r="N65" i="33" s="1"/>
  <c r="O65" i="33" s="1"/>
  <c r="P65" i="33" s="1"/>
  <c r="Q65" i="33" s="1"/>
  <c r="R65" i="33" s="1"/>
  <c r="S65" i="33" s="1"/>
  <c r="T65" i="33" s="1"/>
  <c r="U65" i="33" s="1"/>
  <c r="V65" i="33" s="1"/>
  <c r="W65" i="33" s="1"/>
  <c r="X65" i="33" s="1"/>
  <c r="Y65" i="33" s="1"/>
  <c r="Z65" i="33" s="1"/>
  <c r="AA65" i="33" s="1"/>
  <c r="AB65" i="33" s="1"/>
  <c r="AC65" i="33" s="1"/>
  <c r="AD65" i="33" s="1"/>
  <c r="AE65" i="33" s="1"/>
  <c r="AF65" i="33" s="1"/>
  <c r="AG65" i="33" s="1"/>
  <c r="AH65" i="33" s="1"/>
  <c r="AI65" i="33" s="1"/>
  <c r="AJ65" i="33" s="1"/>
  <c r="AK65" i="33" s="1"/>
  <c r="AK60" i="33"/>
  <c r="X60" i="33"/>
  <c r="K60" i="33"/>
  <c r="AK59" i="33"/>
  <c r="X59" i="33"/>
  <c r="K59" i="33"/>
  <c r="AK58" i="33"/>
  <c r="X58" i="33"/>
  <c r="K58" i="33"/>
  <c r="AK57" i="33"/>
  <c r="X57" i="33"/>
  <c r="K57" i="33"/>
  <c r="AK53" i="33"/>
  <c r="X53" i="33"/>
  <c r="AK52" i="33"/>
  <c r="X52" i="33"/>
  <c r="G52" i="33"/>
  <c r="G53" i="33" s="1"/>
  <c r="F52" i="33"/>
  <c r="F53" i="33" s="1"/>
  <c r="E52" i="33"/>
  <c r="E53" i="33" s="1"/>
  <c r="D52" i="33"/>
  <c r="D64" i="33" s="1"/>
  <c r="E64" i="33" s="1"/>
  <c r="F64" i="33" s="1"/>
  <c r="G64" i="33" s="1"/>
  <c r="AK51" i="33"/>
  <c r="X51" i="33"/>
  <c r="AK49" i="33"/>
  <c r="X49" i="33"/>
  <c r="D49" i="33"/>
  <c r="AK48" i="33"/>
  <c r="X48" i="33"/>
  <c r="E48" i="33"/>
  <c r="F48" i="33" s="1"/>
  <c r="D48" i="33"/>
  <c r="AK47" i="33"/>
  <c r="X47" i="33"/>
  <c r="H47" i="33"/>
  <c r="G47" i="33"/>
  <c r="F47" i="33"/>
  <c r="E47" i="33"/>
  <c r="D47" i="33"/>
  <c r="AK46" i="33"/>
  <c r="X46" i="33"/>
  <c r="K46" i="33"/>
  <c r="AK45" i="33"/>
  <c r="X45" i="33"/>
  <c r="K45" i="33"/>
  <c r="AK44" i="33"/>
  <c r="X44" i="33"/>
  <c r="K44" i="33"/>
  <c r="AK43" i="33"/>
  <c r="X43" i="33"/>
  <c r="K43" i="33"/>
  <c r="J43" i="33"/>
  <c r="I43" i="33"/>
  <c r="H43" i="33"/>
  <c r="G43" i="33"/>
  <c r="F43" i="33"/>
  <c r="E43" i="33"/>
  <c r="D43" i="33"/>
  <c r="AK41" i="33"/>
  <c r="AK40" i="33"/>
  <c r="AK39" i="33"/>
  <c r="X39" i="33"/>
  <c r="AK38" i="33"/>
  <c r="X38" i="33"/>
  <c r="K38" i="33"/>
  <c r="AK37" i="33"/>
  <c r="X37" i="33"/>
  <c r="AJ24" i="33"/>
  <c r="AI24" i="33"/>
  <c r="AH24" i="33"/>
  <c r="AG24" i="33"/>
  <c r="AF24" i="33"/>
  <c r="J19" i="33"/>
  <c r="I19" i="33"/>
  <c r="H19" i="33"/>
  <c r="G19" i="33"/>
  <c r="F19" i="33"/>
  <c r="K19" i="33" s="1"/>
  <c r="E19" i="33"/>
  <c r="J14" i="33"/>
  <c r="I14" i="33"/>
  <c r="H14" i="33"/>
  <c r="G14" i="33"/>
  <c r="G13" i="33"/>
  <c r="F13" i="33"/>
  <c r="E13" i="33"/>
  <c r="D13" i="33"/>
  <c r="G12" i="33"/>
  <c r="F12" i="33"/>
  <c r="E12" i="33"/>
  <c r="D12" i="33"/>
  <c r="D11" i="33"/>
  <c r="D6" i="33"/>
  <c r="D5" i="33"/>
  <c r="H105" i="26"/>
  <c r="F105" i="26"/>
  <c r="D105" i="26"/>
  <c r="B105" i="26"/>
  <c r="H84" i="26"/>
  <c r="F84" i="26"/>
  <c r="D84" i="26"/>
  <c r="B84" i="26"/>
  <c r="H68" i="26"/>
  <c r="F68" i="26"/>
  <c r="D68" i="26"/>
  <c r="B68" i="26"/>
  <c r="H55" i="26"/>
  <c r="F55" i="26"/>
  <c r="D55" i="26"/>
  <c r="B55" i="26"/>
  <c r="I53" i="26"/>
  <c r="H53" i="26"/>
  <c r="G53" i="26"/>
  <c r="F53" i="26"/>
  <c r="E53" i="26"/>
  <c r="D53" i="26"/>
  <c r="C53" i="26"/>
  <c r="B53" i="26"/>
  <c r="H41" i="26"/>
  <c r="F41" i="26"/>
  <c r="D41" i="26"/>
  <c r="B41" i="26"/>
  <c r="B33" i="26"/>
  <c r="BE66" i="19" l="1"/>
  <c r="BF66" i="19"/>
  <c r="P35" i="19"/>
  <c r="BE20" i="19"/>
  <c r="BF20" i="19"/>
  <c r="BE63" i="19"/>
  <c r="BF63" i="19" s="1"/>
  <c r="L112" i="24"/>
  <c r="I15" i="24"/>
  <c r="I14" i="24"/>
  <c r="J87" i="24"/>
  <c r="J75" i="24"/>
  <c r="J64" i="24"/>
  <c r="Q100" i="24"/>
  <c r="C15" i="24"/>
  <c r="C14" i="24"/>
  <c r="C13" i="24" s="1"/>
  <c r="R111" i="24"/>
  <c r="D15" i="24"/>
  <c r="D14" i="24"/>
  <c r="F15" i="24"/>
  <c r="F14" i="24"/>
  <c r="E15" i="24"/>
  <c r="E14" i="24"/>
  <c r="H15" i="24"/>
  <c r="H14" i="24"/>
  <c r="B105" i="24"/>
  <c r="E111" i="24"/>
  <c r="E167" i="24" s="1"/>
  <c r="F112" i="24"/>
  <c r="G106" i="24"/>
  <c r="M103" i="21"/>
  <c r="K103" i="21"/>
  <c r="J102" i="21"/>
  <c r="J106" i="24"/>
  <c r="F111" i="24"/>
  <c r="F167" i="24" s="1"/>
  <c r="G111" i="24"/>
  <c r="G167" i="24" s="1"/>
  <c r="K15" i="24"/>
  <c r="K14" i="24"/>
  <c r="I116" i="24"/>
  <c r="M112" i="24"/>
  <c r="J116" i="24"/>
  <c r="K66" i="24"/>
  <c r="B113" i="24"/>
  <c r="B115" i="24" s="1"/>
  <c r="M66" i="24"/>
  <c r="I110" i="24"/>
  <c r="C113" i="24"/>
  <c r="C115" i="24" s="1"/>
  <c r="L116" i="24"/>
  <c r="J110" i="24"/>
  <c r="D113" i="24"/>
  <c r="D115" i="24" s="1"/>
  <c r="F113" i="24"/>
  <c r="F115" i="24" s="1"/>
  <c r="L93" i="24"/>
  <c r="L105" i="24" s="1"/>
  <c r="L106" i="24" s="1"/>
  <c r="M110" i="24"/>
  <c r="M111" i="24" s="1"/>
  <c r="M167" i="24" s="1"/>
  <c r="G113" i="24"/>
  <c r="G115" i="24" s="1"/>
  <c r="M93" i="24"/>
  <c r="M105" i="24" s="1"/>
  <c r="M106" i="24" s="1"/>
  <c r="Q107" i="24"/>
  <c r="R107" i="24" s="1"/>
  <c r="N110" i="24"/>
  <c r="N111" i="24" s="1"/>
  <c r="J113" i="24"/>
  <c r="J115" i="24" s="1"/>
  <c r="B110" i="24"/>
  <c r="H112" i="24"/>
  <c r="E116" i="24"/>
  <c r="C110" i="24"/>
  <c r="D110" i="24"/>
  <c r="Z35" i="11"/>
  <c r="AE24" i="11"/>
  <c r="AC35" i="11"/>
  <c r="AU24" i="11"/>
  <c r="AU31" i="11" s="1"/>
  <c r="AE35" i="11"/>
  <c r="C6" i="30"/>
  <c r="AW24" i="11"/>
  <c r="AW31" i="11" s="1"/>
  <c r="AG35" i="11"/>
  <c r="BM24" i="11"/>
  <c r="BM31" i="11" s="1"/>
  <c r="L18" i="11"/>
  <c r="E9" i="11"/>
  <c r="F9" i="11" s="1"/>
  <c r="BN24" i="11"/>
  <c r="BN31" i="11" s="1"/>
  <c r="M6" i="11"/>
  <c r="W63" i="1"/>
  <c r="E10" i="11"/>
  <c r="F10" i="11" s="1"/>
  <c r="AC6" i="11"/>
  <c r="L35" i="11"/>
  <c r="E7" i="11"/>
  <c r="F7" i="11" s="1"/>
  <c r="P35" i="11"/>
  <c r="P43" i="11" s="1"/>
  <c r="Y6" i="11"/>
  <c r="M23" i="11"/>
  <c r="AD23" i="11"/>
  <c r="AJ24" i="11"/>
  <c r="AJ31" i="11" s="1"/>
  <c r="AO64" i="19" s="1"/>
  <c r="AB15" i="20" s="1"/>
  <c r="Z169" i="29" s="1"/>
  <c r="R35" i="11"/>
  <c r="AI35" i="11"/>
  <c r="T40" i="11"/>
  <c r="D6" i="30"/>
  <c r="E6" i="30" s="1"/>
  <c r="Z6" i="11"/>
  <c r="N23" i="11"/>
  <c r="AE23" i="11"/>
  <c r="AL24" i="11"/>
  <c r="AL31" i="11" s="1"/>
  <c r="Y23" i="33" s="1"/>
  <c r="S35" i="11"/>
  <c r="AJ35" i="11"/>
  <c r="U40" i="11"/>
  <c r="AA6" i="11"/>
  <c r="E36" i="11"/>
  <c r="F36" i="11" s="1"/>
  <c r="AB6" i="11"/>
  <c r="P23" i="11"/>
  <c r="AG23" i="11"/>
  <c r="AV24" i="11"/>
  <c r="AV31" i="11" s="1"/>
  <c r="E13" i="11"/>
  <c r="F13" i="11" s="1"/>
  <c r="H16" i="11"/>
  <c r="O63" i="1"/>
  <c r="N6" i="11"/>
  <c r="AE6" i="11"/>
  <c r="P63" i="1"/>
  <c r="O6" i="11"/>
  <c r="AF6" i="11"/>
  <c r="T23" i="11"/>
  <c r="BO24" i="11"/>
  <c r="BO31" i="11" s="1"/>
  <c r="AB40" i="11"/>
  <c r="P6" i="11"/>
  <c r="AG6" i="11"/>
  <c r="U23" i="11"/>
  <c r="M24" i="11"/>
  <c r="M31" i="11" s="1"/>
  <c r="AA35" i="11"/>
  <c r="L40" i="11"/>
  <c r="L43" i="11" s="1"/>
  <c r="AC40" i="11"/>
  <c r="O63" i="32"/>
  <c r="Q6" i="11"/>
  <c r="AH6" i="11"/>
  <c r="E8" i="11"/>
  <c r="F8" i="11" s="1"/>
  <c r="V23" i="11"/>
  <c r="N24" i="11"/>
  <c r="AB35" i="11"/>
  <c r="M40" i="11"/>
  <c r="AD40" i="11"/>
  <c r="R6" i="11"/>
  <c r="AI6" i="11"/>
  <c r="C18" i="11"/>
  <c r="W23" i="11"/>
  <c r="O24" i="11"/>
  <c r="O31" i="11" s="1"/>
  <c r="N40" i="11"/>
  <c r="N43" i="11" s="1"/>
  <c r="AE40" i="11"/>
  <c r="S6" i="11"/>
  <c r="AJ6" i="11"/>
  <c r="Y23" i="11"/>
  <c r="S24" i="11"/>
  <c r="S31" i="11" s="1"/>
  <c r="W64" i="19" s="1"/>
  <c r="J27" i="27" s="1"/>
  <c r="M35" i="11"/>
  <c r="AD35" i="11"/>
  <c r="O40" i="11"/>
  <c r="AF40" i="11"/>
  <c r="T24" i="11"/>
  <c r="W63" i="22"/>
  <c r="L15" i="23" s="1"/>
  <c r="J134" i="24" s="1"/>
  <c r="J156" i="24" s="1"/>
  <c r="J51" i="24" s="1"/>
  <c r="U6" i="11"/>
  <c r="AA23" i="11"/>
  <c r="AD24" i="11"/>
  <c r="AD31" i="11" s="1"/>
  <c r="AI64" i="19" s="1"/>
  <c r="V15" i="20" s="1"/>
  <c r="T171" i="21" s="1"/>
  <c r="T26" i="21" s="1"/>
  <c r="O35" i="11"/>
  <c r="AF35" i="11"/>
  <c r="Q40" i="11"/>
  <c r="AH40" i="11"/>
  <c r="V6" i="11"/>
  <c r="AB23" i="11"/>
  <c r="AE31" i="11"/>
  <c r="AJ64" i="19" s="1"/>
  <c r="W15" i="20" s="1"/>
  <c r="U169" i="29" s="1"/>
  <c r="E6" i="11"/>
  <c r="F6" i="11" s="1"/>
  <c r="W6" i="11"/>
  <c r="L23" i="11"/>
  <c r="AF24" i="11"/>
  <c r="AF31" i="11" s="1"/>
  <c r="AK64" i="19" s="1"/>
  <c r="X15" i="20" s="1"/>
  <c r="V169" i="29" s="1"/>
  <c r="Q35" i="11"/>
  <c r="S40" i="11"/>
  <c r="AO49" i="19"/>
  <c r="Q42" i="1"/>
  <c r="P44" i="1"/>
  <c r="N11" i="23"/>
  <c r="L130" i="24" s="1"/>
  <c r="O11" i="23"/>
  <c r="M130" i="24" s="1"/>
  <c r="M23" i="24" s="1"/>
  <c r="O44" i="1"/>
  <c r="O46" i="1"/>
  <c r="Q44" i="1"/>
  <c r="AA44" i="1" s="1"/>
  <c r="P46" i="1"/>
  <c r="P29" i="1"/>
  <c r="O29" i="1"/>
  <c r="O35" i="1" s="1"/>
  <c r="Q46" i="1"/>
  <c r="Q29" i="1"/>
  <c r="O45" i="1"/>
  <c r="Q45" i="1"/>
  <c r="AA45" i="1" s="1"/>
  <c r="AA53" i="22"/>
  <c r="D17" i="18"/>
  <c r="I11" i="23"/>
  <c r="G130" i="24" s="1"/>
  <c r="G152" i="24" s="1"/>
  <c r="J11" i="23"/>
  <c r="H130" i="24" s="1"/>
  <c r="H23" i="24" s="1"/>
  <c r="K11" i="23"/>
  <c r="I130" i="24" s="1"/>
  <c r="I152" i="24" s="1"/>
  <c r="D11" i="23"/>
  <c r="B130" i="24" s="1"/>
  <c r="E11" i="23"/>
  <c r="C130" i="24" s="1"/>
  <c r="C152" i="24" s="1"/>
  <c r="O53" i="1"/>
  <c r="F5" i="18"/>
  <c r="F11" i="23"/>
  <c r="D130" i="24" s="1"/>
  <c r="D23" i="24" s="1"/>
  <c r="P53" i="1"/>
  <c r="G11" i="23"/>
  <c r="E130" i="24" s="1"/>
  <c r="E152" i="24" s="1"/>
  <c r="H11" i="23"/>
  <c r="F130" i="24" s="1"/>
  <c r="F152" i="24" s="1"/>
  <c r="O52" i="1"/>
  <c r="R53" i="1"/>
  <c r="F6" i="18"/>
  <c r="P52" i="1"/>
  <c r="S53" i="1"/>
  <c r="O50" i="1"/>
  <c r="P50" i="1"/>
  <c r="U53" i="1"/>
  <c r="E7" i="18"/>
  <c r="F12" i="18"/>
  <c r="O43" i="1"/>
  <c r="V53" i="1"/>
  <c r="P43" i="1"/>
  <c r="O37" i="1"/>
  <c r="Q43" i="1"/>
  <c r="X53" i="1"/>
  <c r="P37" i="1"/>
  <c r="O42" i="1"/>
  <c r="AA42" i="1" s="1"/>
  <c r="Y53" i="1"/>
  <c r="F3" i="18"/>
  <c r="J26" i="24"/>
  <c r="AB31" i="19"/>
  <c r="AB51" i="19"/>
  <c r="AN167" i="29"/>
  <c r="AN160" i="29"/>
  <c r="AA167" i="29"/>
  <c r="AN170" i="29"/>
  <c r="AA170" i="29"/>
  <c r="AA151" i="29"/>
  <c r="AN151" i="29"/>
  <c r="J23" i="24"/>
  <c r="J152" i="24"/>
  <c r="AA54" i="1"/>
  <c r="AN54" i="32"/>
  <c r="AA54" i="22"/>
  <c r="AA54" i="32"/>
  <c r="AF30" i="8"/>
  <c r="R59" i="22"/>
  <c r="O59" i="22"/>
  <c r="O66" i="22"/>
  <c r="BA54" i="32"/>
  <c r="N92" i="29"/>
  <c r="J146" i="29"/>
  <c r="J202" i="29" s="1"/>
  <c r="E151" i="29"/>
  <c r="K198" i="29"/>
  <c r="D210" i="29"/>
  <c r="T2" i="29"/>
  <c r="B146" i="29"/>
  <c r="B202" i="29" s="1"/>
  <c r="B94" i="29"/>
  <c r="B98" i="29" s="1"/>
  <c r="E146" i="29"/>
  <c r="E202" i="29" s="1"/>
  <c r="K151" i="29"/>
  <c r="L151" i="29"/>
  <c r="C34" i="29"/>
  <c r="I146" i="29"/>
  <c r="I202" i="29" s="1"/>
  <c r="M151" i="29"/>
  <c r="D34" i="29"/>
  <c r="K146" i="29"/>
  <c r="K202" i="29" s="1"/>
  <c r="H108" i="29"/>
  <c r="J151" i="29"/>
  <c r="D118" i="29"/>
  <c r="N107" i="29"/>
  <c r="N151" i="29"/>
  <c r="J27" i="29"/>
  <c r="H146" i="29"/>
  <c r="H202" i="29" s="1"/>
  <c r="N200" i="29"/>
  <c r="B34" i="29"/>
  <c r="M146" i="29"/>
  <c r="M202" i="29" s="1"/>
  <c r="D151" i="29"/>
  <c r="N146" i="29"/>
  <c r="K108" i="29"/>
  <c r="N203" i="29"/>
  <c r="C151" i="29"/>
  <c r="N108" i="29"/>
  <c r="C146" i="29"/>
  <c r="C202" i="29" s="1"/>
  <c r="AQ156" i="29"/>
  <c r="D146" i="29"/>
  <c r="D202" i="29" s="1"/>
  <c r="I151" i="29"/>
  <c r="N207" i="29"/>
  <c r="N167" i="29"/>
  <c r="AQ30" i="29"/>
  <c r="K106" i="29"/>
  <c r="J118" i="29"/>
  <c r="L146" i="29"/>
  <c r="L202" i="29" s="1"/>
  <c r="K107" i="29"/>
  <c r="M118" i="29"/>
  <c r="G146" i="29"/>
  <c r="G202" i="29" s="1"/>
  <c r="H106" i="29"/>
  <c r="I94" i="29"/>
  <c r="J89" i="29" s="1"/>
  <c r="AQ170" i="29"/>
  <c r="N199" i="29"/>
  <c r="AR142" i="29"/>
  <c r="AR130" i="29"/>
  <c r="H107" i="29"/>
  <c r="N201" i="29"/>
  <c r="AR136" i="29"/>
  <c r="I96" i="29"/>
  <c r="J96" i="29" s="1"/>
  <c r="K96" i="29" s="1"/>
  <c r="L96" i="29" s="1"/>
  <c r="M96" i="29" s="1"/>
  <c r="N96" i="29" s="1"/>
  <c r="H98" i="29"/>
  <c r="F27" i="29"/>
  <c r="G151" i="29"/>
  <c r="I205" i="29"/>
  <c r="G27" i="29"/>
  <c r="H151" i="29"/>
  <c r="H27" i="29"/>
  <c r="N170" i="29"/>
  <c r="E198" i="29"/>
  <c r="I27" i="29"/>
  <c r="M101" i="29"/>
  <c r="N101" i="29" s="1"/>
  <c r="E27" i="29"/>
  <c r="E34" i="29" s="1"/>
  <c r="AB20" i="29"/>
  <c r="M106" i="29"/>
  <c r="G100" i="29" s="1"/>
  <c r="N30" i="29"/>
  <c r="N27" i="29" s="1"/>
  <c r="H102" i="29"/>
  <c r="M27" i="29"/>
  <c r="K103" i="29"/>
  <c r="F151" i="29"/>
  <c r="N204" i="29"/>
  <c r="F146" i="29"/>
  <c r="L198" i="29"/>
  <c r="B205" i="29"/>
  <c r="J102" i="29"/>
  <c r="B151" i="29"/>
  <c r="J91" i="29"/>
  <c r="K47" i="33"/>
  <c r="N90" i="29"/>
  <c r="N57" i="29"/>
  <c r="N39" i="29"/>
  <c r="D53" i="33"/>
  <c r="G48" i="33"/>
  <c r="F49" i="33"/>
  <c r="V26" i="29"/>
  <c r="Z26" i="29"/>
  <c r="W23" i="33"/>
  <c r="AB24" i="11"/>
  <c r="AB31" i="11" s="1"/>
  <c r="AG64" i="19" s="1"/>
  <c r="T15" i="20" s="1"/>
  <c r="R171" i="21" s="1"/>
  <c r="R26" i="21" s="1"/>
  <c r="AS24" i="11"/>
  <c r="AS31" i="11" s="1"/>
  <c r="BJ24" i="11"/>
  <c r="BJ31" i="11" s="1"/>
  <c r="L24" i="11"/>
  <c r="L31" i="11" s="1"/>
  <c r="AC24" i="11"/>
  <c r="AC31" i="11" s="1"/>
  <c r="AH64" i="19" s="1"/>
  <c r="U15" i="20" s="1"/>
  <c r="S169" i="29" s="1"/>
  <c r="AT24" i="11"/>
  <c r="AT31" i="11" s="1"/>
  <c r="BL24" i="11"/>
  <c r="BL31" i="11" s="1"/>
  <c r="P24" i="11"/>
  <c r="AG24" i="11"/>
  <c r="AY24" i="11"/>
  <c r="AY31" i="11" s="1"/>
  <c r="AM26" i="29" s="1"/>
  <c r="Q24" i="11"/>
  <c r="Q31" i="11" s="1"/>
  <c r="AH24" i="11"/>
  <c r="AH31" i="11" s="1"/>
  <c r="AM64" i="19" s="1"/>
  <c r="Z15" i="20" s="1"/>
  <c r="X169" i="29" s="1"/>
  <c r="AZ24" i="11"/>
  <c r="AZ31" i="11" s="1"/>
  <c r="E49" i="33"/>
  <c r="R24" i="11"/>
  <c r="R31" i="11" s="1"/>
  <c r="I27" i="27" s="1"/>
  <c r="AI24" i="11"/>
  <c r="AI31" i="11" s="1"/>
  <c r="AN64" i="19" s="1"/>
  <c r="AA15" i="20" s="1"/>
  <c r="Y169" i="29" s="1"/>
  <c r="BA24" i="11"/>
  <c r="BA31" i="11" s="1"/>
  <c r="BB24" i="11"/>
  <c r="BB31" i="11" s="1"/>
  <c r="BC24" i="11"/>
  <c r="BC31" i="11" s="1"/>
  <c r="U24" i="11"/>
  <c r="U31" i="11" s="1"/>
  <c r="Y64" i="19" s="1"/>
  <c r="L27" i="27" s="1"/>
  <c r="AM24" i="11"/>
  <c r="AM31" i="11" s="1"/>
  <c r="AS64" i="19" s="1"/>
  <c r="BD24" i="11"/>
  <c r="BD31" i="11" s="1"/>
  <c r="V24" i="11"/>
  <c r="AN24" i="11"/>
  <c r="AN31" i="11" s="1"/>
  <c r="AT64" i="19" s="1"/>
  <c r="AF15" i="20" s="1"/>
  <c r="AD169" i="29" s="1"/>
  <c r="BE24" i="11"/>
  <c r="BE31" i="11" s="1"/>
  <c r="W24" i="11"/>
  <c r="AO24" i="11"/>
  <c r="AO31" i="11" s="1"/>
  <c r="AU64" i="19" s="1"/>
  <c r="AG15" i="20" s="1"/>
  <c r="AE169" i="29" s="1"/>
  <c r="BF24" i="11"/>
  <c r="BF31" i="11" s="1"/>
  <c r="Y24" i="11"/>
  <c r="Y31" i="11" s="1"/>
  <c r="AD64" i="19" s="1"/>
  <c r="Q15" i="20" s="1"/>
  <c r="AP24" i="11"/>
  <c r="AP31" i="11" s="1"/>
  <c r="AV64" i="19" s="1"/>
  <c r="AH15" i="20" s="1"/>
  <c r="AF169" i="29" s="1"/>
  <c r="BG24" i="11"/>
  <c r="BG31" i="11" s="1"/>
  <c r="Z24" i="11"/>
  <c r="Z31" i="11" s="1"/>
  <c r="AE64" i="19" s="1"/>
  <c r="R15" i="20" s="1"/>
  <c r="P171" i="21" s="1"/>
  <c r="P26" i="21" s="1"/>
  <c r="AQ24" i="11"/>
  <c r="AQ31" i="11" s="1"/>
  <c r="AW64" i="19" s="1"/>
  <c r="AI15" i="20" s="1"/>
  <c r="AG169" i="29" s="1"/>
  <c r="BH24" i="11"/>
  <c r="BH31" i="11" s="1"/>
  <c r="AA24" i="11"/>
  <c r="AA31" i="11" s="1"/>
  <c r="AF64" i="19" s="1"/>
  <c r="S15" i="20" s="1"/>
  <c r="Q171" i="21" s="1"/>
  <c r="Q26" i="21" s="1"/>
  <c r="AR24" i="11"/>
  <c r="AR31" i="11" s="1"/>
  <c r="AX64" i="19" s="1"/>
  <c r="AJ15" i="20" s="1"/>
  <c r="AH169" i="29" s="1"/>
  <c r="H152" i="24"/>
  <c r="K152" i="24"/>
  <c r="K23" i="24"/>
  <c r="C23" i="24"/>
  <c r="L23" i="24"/>
  <c r="L152" i="24"/>
  <c r="AP55" i="19"/>
  <c r="AB57" i="19"/>
  <c r="AP58" i="19"/>
  <c r="AB59" i="19"/>
  <c r="AP30" i="19"/>
  <c r="AP31" i="19"/>
  <c r="AB30" i="19"/>
  <c r="AB43" i="19"/>
  <c r="AP50" i="19"/>
  <c r="BD50" i="19"/>
  <c r="BE50" i="19" s="1"/>
  <c r="BF50" i="19" s="1"/>
  <c r="P27" i="27"/>
  <c r="D10" i="20"/>
  <c r="B164" i="29" s="1"/>
  <c r="B22" i="29" s="1"/>
  <c r="AB55" i="19"/>
  <c r="BD55" i="19"/>
  <c r="BE55" i="19" s="1"/>
  <c r="BF55" i="19" s="1"/>
  <c r="AP57" i="19"/>
  <c r="BD57" i="19"/>
  <c r="BE57" i="19" s="1"/>
  <c r="BF57" i="19" s="1"/>
  <c r="AB58" i="19"/>
  <c r="BD58" i="19"/>
  <c r="BE58" i="19" s="1"/>
  <c r="BF58" i="19" s="1"/>
  <c r="AP59" i="19"/>
  <c r="BD59" i="19"/>
  <c r="BE59" i="19" s="1"/>
  <c r="BF59" i="19" s="1"/>
  <c r="AP38" i="19"/>
  <c r="BD30" i="19"/>
  <c r="BE30" i="19" s="1"/>
  <c r="BF30" i="19" s="1"/>
  <c r="BD31" i="19"/>
  <c r="AB46" i="19"/>
  <c r="BD38" i="19"/>
  <c r="BE38" i="19" s="1"/>
  <c r="BF38" i="19" s="1"/>
  <c r="AB50" i="19"/>
  <c r="N6" i="20"/>
  <c r="L160" i="29" s="1"/>
  <c r="L20" i="29" s="1"/>
  <c r="B171" i="21"/>
  <c r="B199" i="21" s="1"/>
  <c r="B169" i="29"/>
  <c r="B197" i="29" s="1"/>
  <c r="H162" i="21"/>
  <c r="H20" i="21" s="1"/>
  <c r="H160" i="29"/>
  <c r="H20" i="29" s="1"/>
  <c r="Q162" i="21"/>
  <c r="Q20" i="21" s="1"/>
  <c r="Q160" i="29"/>
  <c r="Q20" i="29" s="1"/>
  <c r="I162" i="21"/>
  <c r="I20" i="21" s="1"/>
  <c r="I160" i="29"/>
  <c r="I20" i="29" s="1"/>
  <c r="K162" i="21"/>
  <c r="K20" i="21" s="1"/>
  <c r="K160" i="29"/>
  <c r="K20" i="29" s="1"/>
  <c r="R162" i="21"/>
  <c r="R20" i="21" s="1"/>
  <c r="R160" i="29"/>
  <c r="R20" i="29" s="1"/>
  <c r="AP29" i="19"/>
  <c r="O6" i="20"/>
  <c r="I20" i="27"/>
  <c r="J20" i="27"/>
  <c r="P24" i="27"/>
  <c r="AB29" i="19"/>
  <c r="K20" i="27"/>
  <c r="K15" i="20"/>
  <c r="P20" i="27"/>
  <c r="L20" i="27"/>
  <c r="BD29" i="19"/>
  <c r="BE29" i="19" s="1"/>
  <c r="BF29" i="19" s="1"/>
  <c r="AD49" i="19"/>
  <c r="P13" i="27"/>
  <c r="AE49" i="19"/>
  <c r="O160" i="29"/>
  <c r="F160" i="29"/>
  <c r="F20" i="29" s="1"/>
  <c r="AD24" i="19"/>
  <c r="AE24" i="19"/>
  <c r="AF49" i="19"/>
  <c r="AF18" i="19"/>
  <c r="AF52" i="19" s="1"/>
  <c r="AR16" i="19"/>
  <c r="AR48" i="19" s="1"/>
  <c r="AH49" i="19"/>
  <c r="C18" i="27"/>
  <c r="C22" i="27" s="1"/>
  <c r="C23" i="27" s="1"/>
  <c r="H17" i="27"/>
  <c r="AF48" i="19"/>
  <c r="E18" i="27"/>
  <c r="E22" i="27" s="1"/>
  <c r="E25" i="27" s="1"/>
  <c r="P22" i="19"/>
  <c r="D4" i="20" s="1"/>
  <c r="B160" i="21" s="1"/>
  <c r="B191" i="21" s="1"/>
  <c r="AA40" i="19"/>
  <c r="AO24" i="19"/>
  <c r="BC15" i="19"/>
  <c r="AD48" i="19"/>
  <c r="AS16" i="19"/>
  <c r="AS49" i="19" s="1"/>
  <c r="AR15" i="19"/>
  <c r="AD18" i="19"/>
  <c r="AD56" i="19" s="1"/>
  <c r="Q9" i="20" s="1"/>
  <c r="AH18" i="19"/>
  <c r="AH21" i="19" s="1"/>
  <c r="AH22" i="19" s="1"/>
  <c r="AS15" i="19"/>
  <c r="AI18" i="19"/>
  <c r="AW15" i="19"/>
  <c r="AG24" i="19"/>
  <c r="AG49" i="19"/>
  <c r="AU16" i="19"/>
  <c r="AP16" i="19"/>
  <c r="AS46" i="19"/>
  <c r="AT46" i="19" s="1"/>
  <c r="AU46" i="19" s="1"/>
  <c r="AV46" i="19" s="1"/>
  <c r="AW46" i="19" s="1"/>
  <c r="AX46" i="19" s="1"/>
  <c r="AY46" i="19" s="1"/>
  <c r="AZ46" i="19" s="1"/>
  <c r="BA46" i="19" s="1"/>
  <c r="BB46" i="19" s="1"/>
  <c r="BC46" i="19" s="1"/>
  <c r="AI48" i="19"/>
  <c r="AW17" i="19"/>
  <c r="AW49" i="19" s="1"/>
  <c r="AI24" i="19"/>
  <c r="AS43" i="19"/>
  <c r="AT43" i="19" s="1"/>
  <c r="AU43" i="19" s="1"/>
  <c r="AV43" i="19" s="1"/>
  <c r="AW43" i="19" s="1"/>
  <c r="AX43" i="19" s="1"/>
  <c r="AY43" i="19" s="1"/>
  <c r="AZ43" i="19" s="1"/>
  <c r="BA43" i="19" s="1"/>
  <c r="BB43" i="19" s="1"/>
  <c r="BC43" i="19" s="1"/>
  <c r="AP15" i="19"/>
  <c r="AS45" i="19"/>
  <c r="AT45" i="19" s="1"/>
  <c r="AU45" i="19" s="1"/>
  <c r="AV45" i="19" s="1"/>
  <c r="AW45" i="19" s="1"/>
  <c r="AX45" i="19" s="1"/>
  <c r="AY45" i="19" s="1"/>
  <c r="AZ45" i="19" s="1"/>
  <c r="BA45" i="19" s="1"/>
  <c r="BB45" i="19" s="1"/>
  <c r="BC45" i="19" s="1"/>
  <c r="N19" i="27"/>
  <c r="AO48" i="19"/>
  <c r="E12" i="25"/>
  <c r="AE18" i="19"/>
  <c r="AA33" i="19"/>
  <c r="AE47" i="19"/>
  <c r="E9" i="20"/>
  <c r="AV15" i="19"/>
  <c r="AT16" i="19"/>
  <c r="AT49" i="19" s="1"/>
  <c r="AG18" i="19"/>
  <c r="AA21" i="19"/>
  <c r="N17" i="27" s="1"/>
  <c r="Q22" i="19"/>
  <c r="Q19" i="19" s="1"/>
  <c r="AF24" i="19"/>
  <c r="AI49" i="19"/>
  <c r="AE51" i="19"/>
  <c r="AA52" i="19"/>
  <c r="P12" i="27"/>
  <c r="BC16" i="19"/>
  <c r="BC49" i="19" s="1"/>
  <c r="AE48" i="19"/>
  <c r="F15" i="27"/>
  <c r="F18" i="27" s="1"/>
  <c r="G9" i="20"/>
  <c r="S20" i="19"/>
  <c r="S22" i="19" s="1"/>
  <c r="R22" i="19"/>
  <c r="AE44" i="19"/>
  <c r="AF44" i="19" s="1"/>
  <c r="AG44" i="19" s="1"/>
  <c r="AH44" i="19" s="1"/>
  <c r="AI44" i="19" s="1"/>
  <c r="AJ44" i="19" s="1"/>
  <c r="AK44" i="19" s="1"/>
  <c r="AL44" i="19" s="1"/>
  <c r="AM44" i="19" s="1"/>
  <c r="AN44" i="19" s="1"/>
  <c r="AO44" i="19" s="1"/>
  <c r="AR44" i="19" s="1"/>
  <c r="AV16" i="19"/>
  <c r="AV49" i="19" s="1"/>
  <c r="G15" i="27"/>
  <c r="H9" i="20"/>
  <c r="T20" i="19"/>
  <c r="T22" i="19" s="1"/>
  <c r="AH24" i="19"/>
  <c r="AP45" i="19"/>
  <c r="D9" i="20"/>
  <c r="AG48" i="19"/>
  <c r="H15" i="27"/>
  <c r="I9" i="20"/>
  <c r="AO18" i="19"/>
  <c r="U20" i="19"/>
  <c r="F9" i="20"/>
  <c r="AE53" i="19"/>
  <c r="AP43" i="19"/>
  <c r="AH48" i="19"/>
  <c r="N15" i="27"/>
  <c r="AA56" i="19"/>
  <c r="O9" i="20" s="1"/>
  <c r="AA20" i="19"/>
  <c r="AP46" i="19"/>
  <c r="F10" i="20"/>
  <c r="D166" i="21" s="1"/>
  <c r="E10" i="20"/>
  <c r="C166" i="21" s="1"/>
  <c r="C160" i="29"/>
  <c r="S160" i="29"/>
  <c r="T162" i="21"/>
  <c r="T20" i="21" s="1"/>
  <c r="J160" i="29"/>
  <c r="J20" i="29" s="1"/>
  <c r="Q48" i="1"/>
  <c r="G160" i="29"/>
  <c r="G20" i="29" s="1"/>
  <c r="P160" i="29"/>
  <c r="P20" i="29" s="1"/>
  <c r="D162" i="21"/>
  <c r="D20" i="21" s="1"/>
  <c r="Y48" i="1"/>
  <c r="J14" i="27"/>
  <c r="O14" i="27" s="1"/>
  <c r="AK17" i="19"/>
  <c r="AK18" i="19" s="1"/>
  <c r="S48" i="1"/>
  <c r="E184" i="21"/>
  <c r="E20" i="21"/>
  <c r="E182" i="29"/>
  <c r="P19" i="27"/>
  <c r="O12" i="27"/>
  <c r="O13" i="27"/>
  <c r="P17" i="27"/>
  <c r="P21" i="27"/>
  <c r="AE20" i="29"/>
  <c r="P14" i="27"/>
  <c r="G20" i="21"/>
  <c r="P20" i="21"/>
  <c r="B20" i="29"/>
  <c r="P15" i="27"/>
  <c r="D18" i="27"/>
  <c r="D22" i="27" s="1"/>
  <c r="B162" i="21"/>
  <c r="AP6" i="20"/>
  <c r="F20" i="21"/>
  <c r="AC6" i="20"/>
  <c r="C36" i="27"/>
  <c r="C37" i="27" s="1"/>
  <c r="C38" i="27" s="1"/>
  <c r="P18" i="1"/>
  <c r="D35" i="27" s="1"/>
  <c r="D36" i="27" s="1"/>
  <c r="X18" i="1"/>
  <c r="L35" i="27" s="1"/>
  <c r="T48" i="1"/>
  <c r="V18" i="1"/>
  <c r="V20" i="1" s="1"/>
  <c r="R48" i="1"/>
  <c r="Z48" i="1"/>
  <c r="AL17" i="19"/>
  <c r="AL49" i="19" s="1"/>
  <c r="Q18" i="1"/>
  <c r="E35" i="27" s="1"/>
  <c r="E36" i="27" s="1"/>
  <c r="X24" i="1"/>
  <c r="U59" i="22"/>
  <c r="V24" i="1"/>
  <c r="W24" i="32"/>
  <c r="Y18" i="1"/>
  <c r="M35" i="27" s="1"/>
  <c r="U48" i="32"/>
  <c r="U48" i="1"/>
  <c r="Q24" i="1"/>
  <c r="Y24" i="1"/>
  <c r="V18" i="19"/>
  <c r="W49" i="19"/>
  <c r="K10" i="20" s="1"/>
  <c r="R18" i="1"/>
  <c r="F35" i="27" s="1"/>
  <c r="Z18" i="1"/>
  <c r="N35" i="27" s="1"/>
  <c r="V48" i="1"/>
  <c r="R24" i="1"/>
  <c r="Z24" i="1"/>
  <c r="S59" i="22"/>
  <c r="S18" i="1"/>
  <c r="G35" i="27" s="1"/>
  <c r="W24" i="1"/>
  <c r="AA17" i="1"/>
  <c r="X18" i="32"/>
  <c r="X21" i="32" s="1"/>
  <c r="T59" i="22"/>
  <c r="T60" i="22" s="1"/>
  <c r="T18" i="1"/>
  <c r="T55" i="1" s="1"/>
  <c r="P48" i="1"/>
  <c r="X48" i="1"/>
  <c r="T24" i="1"/>
  <c r="P24" i="1"/>
  <c r="AM17" i="19"/>
  <c r="W18" i="19"/>
  <c r="X49" i="19"/>
  <c r="L10" i="20" s="1"/>
  <c r="AN17" i="19"/>
  <c r="X18" i="19"/>
  <c r="Y49" i="19"/>
  <c r="M10" i="20" s="1"/>
  <c r="Y18" i="19"/>
  <c r="W24" i="19"/>
  <c r="Z49" i="19"/>
  <c r="N10" i="20" s="1"/>
  <c r="Z18" i="19"/>
  <c r="X24" i="19"/>
  <c r="Y24" i="19"/>
  <c r="G10" i="20"/>
  <c r="O10" i="20"/>
  <c r="AJ17" i="19"/>
  <c r="Z24" i="19"/>
  <c r="H10" i="20"/>
  <c r="AB48" i="19"/>
  <c r="AB17" i="19"/>
  <c r="I10" i="20"/>
  <c r="AA47" i="32"/>
  <c r="V48" i="32"/>
  <c r="V24" i="32"/>
  <c r="V18" i="32"/>
  <c r="AI17" i="32"/>
  <c r="Y18" i="32"/>
  <c r="X24" i="32"/>
  <c r="Y24" i="32"/>
  <c r="L10" i="23"/>
  <c r="W59" i="22"/>
  <c r="W66" i="22"/>
  <c r="X67" i="22"/>
  <c r="X73" i="22"/>
  <c r="X74" i="22" s="1"/>
  <c r="AH17" i="32"/>
  <c r="AA17" i="32"/>
  <c r="AJ17" i="32"/>
  <c r="U18" i="32"/>
  <c r="AK17" i="32"/>
  <c r="AL17" i="32"/>
  <c r="W18" i="32"/>
  <c r="P59" i="22"/>
  <c r="AA47" i="22"/>
  <c r="M10" i="23"/>
  <c r="X59" i="22"/>
  <c r="Q59" i="22"/>
  <c r="F10" i="23"/>
  <c r="Q66" i="22"/>
  <c r="N12" i="23"/>
  <c r="L129" i="24"/>
  <c r="M152" i="24"/>
  <c r="E10" i="23"/>
  <c r="M129" i="24"/>
  <c r="D12" i="23"/>
  <c r="F129" i="24"/>
  <c r="P66" i="22"/>
  <c r="Y66" i="22"/>
  <c r="AA15" i="1"/>
  <c r="V59" i="22"/>
  <c r="R66" i="22"/>
  <c r="Z66" i="22"/>
  <c r="G10" i="23"/>
  <c r="W48" i="1"/>
  <c r="S24" i="1"/>
  <c r="S66" i="22"/>
  <c r="U18" i="1"/>
  <c r="T66" i="22"/>
  <c r="G129" i="24"/>
  <c r="U24" i="1"/>
  <c r="AA47" i="1"/>
  <c r="Y59" i="22"/>
  <c r="U66" i="22"/>
  <c r="H129" i="24"/>
  <c r="W18" i="1"/>
  <c r="Z59" i="22"/>
  <c r="V66" i="22"/>
  <c r="I129" i="24"/>
  <c r="AA16" i="1"/>
  <c r="O12" i="23" l="1"/>
  <c r="E16" i="27"/>
  <c r="B181" i="21"/>
  <c r="M15" i="24"/>
  <c r="M14" i="24"/>
  <c r="L15" i="24"/>
  <c r="L14" i="24"/>
  <c r="M65" i="24"/>
  <c r="N66" i="24"/>
  <c r="J101" i="21"/>
  <c r="J112" i="21"/>
  <c r="J124" i="21"/>
  <c r="D13" i="24"/>
  <c r="B111" i="24"/>
  <c r="B167" i="24" s="1"/>
  <c r="C112" i="24"/>
  <c r="N103" i="21"/>
  <c r="M102" i="21"/>
  <c r="G15" i="24"/>
  <c r="G14" i="24"/>
  <c r="Q93" i="24"/>
  <c r="Q105" i="24"/>
  <c r="D111" i="24"/>
  <c r="D167" i="24" s="1"/>
  <c r="E112" i="24"/>
  <c r="J111" i="24"/>
  <c r="J167" i="24" s="1"/>
  <c r="G112" i="24"/>
  <c r="C111" i="24"/>
  <c r="C167" i="24" s="1"/>
  <c r="D112" i="24"/>
  <c r="B106" i="24"/>
  <c r="J112" i="24"/>
  <c r="I111" i="24"/>
  <c r="J15" i="24"/>
  <c r="J14" i="24"/>
  <c r="K111" i="24"/>
  <c r="K167" i="24" s="1"/>
  <c r="V31" i="11"/>
  <c r="Z64" i="19" s="1"/>
  <c r="N15" i="20" s="1"/>
  <c r="L169" i="29" s="1"/>
  <c r="L197" i="29" s="1"/>
  <c r="P63" i="32"/>
  <c r="E15" i="20"/>
  <c r="AR64" i="19"/>
  <c r="AD15" i="20" s="1"/>
  <c r="AB169" i="29" s="1"/>
  <c r="BC64" i="19"/>
  <c r="AO15" i="20" s="1"/>
  <c r="AM169" i="29" s="1"/>
  <c r="AJ23" i="33"/>
  <c r="AL26" i="29"/>
  <c r="F23" i="33"/>
  <c r="T169" i="29"/>
  <c r="I26" i="29"/>
  <c r="BA64" i="19"/>
  <c r="AM15" i="20" s="1"/>
  <c r="AK169" i="29" s="1"/>
  <c r="AH23" i="33"/>
  <c r="AJ26" i="29"/>
  <c r="P31" i="11"/>
  <c r="AZ64" i="19"/>
  <c r="AL15" i="20" s="1"/>
  <c r="AJ169" i="29" s="1"/>
  <c r="AI26" i="29"/>
  <c r="AG23" i="33"/>
  <c r="Z63" i="22"/>
  <c r="O15" i="23" s="1"/>
  <c r="M134" i="24" s="1"/>
  <c r="Z63" i="1"/>
  <c r="N31" i="11"/>
  <c r="F15" i="11"/>
  <c r="M43" i="11"/>
  <c r="R63" i="32"/>
  <c r="R63" i="1"/>
  <c r="R63" i="22"/>
  <c r="Y63" i="1"/>
  <c r="Y63" i="22"/>
  <c r="N15" i="23" s="1"/>
  <c r="L134" i="24" s="1"/>
  <c r="T63" i="1"/>
  <c r="T63" i="22"/>
  <c r="I15" i="23" s="1"/>
  <c r="G134" i="24" s="1"/>
  <c r="G140" i="24" s="1"/>
  <c r="F15" i="20"/>
  <c r="Q63" i="32"/>
  <c r="Q63" i="1"/>
  <c r="V63" i="1"/>
  <c r="V63" i="22"/>
  <c r="K15" i="23" s="1"/>
  <c r="I134" i="24" s="1"/>
  <c r="AY64" i="19"/>
  <c r="AK15" i="20" s="1"/>
  <c r="AI169" i="29" s="1"/>
  <c r="AH26" i="29"/>
  <c r="AF23" i="33"/>
  <c r="S23" i="33"/>
  <c r="I7" i="11"/>
  <c r="J7" i="11" s="1"/>
  <c r="H18" i="11"/>
  <c r="I8" i="11"/>
  <c r="J8" i="11" s="1"/>
  <c r="K16" i="11"/>
  <c r="K18" i="11" s="1"/>
  <c r="I13" i="11"/>
  <c r="J13" i="11" s="1"/>
  <c r="I10" i="11"/>
  <c r="J10" i="11" s="1"/>
  <c r="I16" i="11"/>
  <c r="J16" i="11" s="1"/>
  <c r="I36" i="11"/>
  <c r="J36" i="11" s="1"/>
  <c r="I15" i="11"/>
  <c r="J15" i="11" s="1"/>
  <c r="I14" i="11"/>
  <c r="J14" i="11" s="1"/>
  <c r="I12" i="11"/>
  <c r="J12" i="11" s="1"/>
  <c r="I11" i="11"/>
  <c r="J11" i="11" s="1"/>
  <c r="I9" i="11"/>
  <c r="J9" i="11" s="1"/>
  <c r="I6" i="11"/>
  <c r="J6" i="11" s="1"/>
  <c r="R23" i="33"/>
  <c r="J162" i="24"/>
  <c r="O43" i="11"/>
  <c r="BB64" i="19"/>
  <c r="AN15" i="20" s="1"/>
  <c r="AL169" i="29" s="1"/>
  <c r="AI23" i="33"/>
  <c r="AK26" i="29"/>
  <c r="U26" i="29"/>
  <c r="Q169" i="29"/>
  <c r="W31" i="11"/>
  <c r="AA64" i="19" s="1"/>
  <c r="N27" i="27" s="1"/>
  <c r="Q23" i="33"/>
  <c r="S171" i="21"/>
  <c r="S26" i="21" s="1"/>
  <c r="AG31" i="11"/>
  <c r="AL64" i="19" s="1"/>
  <c r="Y15" i="20" s="1"/>
  <c r="W169" i="29" s="1"/>
  <c r="T26" i="29"/>
  <c r="R64" i="22"/>
  <c r="R70" i="22" s="1"/>
  <c r="R71" i="22" s="1"/>
  <c r="X63" i="1"/>
  <c r="X63" i="22"/>
  <c r="U63" i="1"/>
  <c r="U63" i="22"/>
  <c r="J15" i="23" s="1"/>
  <c r="H134" i="24" s="1"/>
  <c r="S63" i="32"/>
  <c r="S63" i="1"/>
  <c r="S63" i="22"/>
  <c r="H15" i="23" s="1"/>
  <c r="F134" i="24" s="1"/>
  <c r="F140" i="24" s="1"/>
  <c r="Q43" i="11"/>
  <c r="D24" i="33" s="1"/>
  <c r="T31" i="11"/>
  <c r="U22" i="19"/>
  <c r="I4" i="20" s="1"/>
  <c r="M15" i="20"/>
  <c r="K171" i="21" s="1"/>
  <c r="AA46" i="1"/>
  <c r="D152" i="24"/>
  <c r="G23" i="24"/>
  <c r="E23" i="24"/>
  <c r="I12" i="23"/>
  <c r="I14" i="23" s="1"/>
  <c r="I17" i="23" s="1"/>
  <c r="I18" i="23" s="1"/>
  <c r="I19" i="23" s="1"/>
  <c r="G138" i="24" s="1"/>
  <c r="I23" i="24"/>
  <c r="K12" i="23"/>
  <c r="K14" i="23" s="1"/>
  <c r="K17" i="23" s="1"/>
  <c r="I136" i="24" s="1"/>
  <c r="AA43" i="1"/>
  <c r="J12" i="23"/>
  <c r="J14" i="23" s="1"/>
  <c r="AA52" i="1"/>
  <c r="AA29" i="1"/>
  <c r="O33" i="1"/>
  <c r="O34" i="1" s="1"/>
  <c r="F23" i="24"/>
  <c r="AA37" i="1"/>
  <c r="O66" i="1"/>
  <c r="O40" i="1"/>
  <c r="O36" i="1"/>
  <c r="AQ53" i="32"/>
  <c r="AZ54" i="19"/>
  <c r="AH54" i="19"/>
  <c r="P67" i="19"/>
  <c r="P68" i="19" s="1"/>
  <c r="AA54" i="19"/>
  <c r="AA67" i="19" s="1"/>
  <c r="AA68" i="19" s="1"/>
  <c r="U53" i="32"/>
  <c r="AP53" i="32"/>
  <c r="Z53" i="32"/>
  <c r="AY54" i="19"/>
  <c r="AG54" i="19"/>
  <c r="AD54" i="19"/>
  <c r="V53" i="32"/>
  <c r="Z54" i="19"/>
  <c r="AR54" i="19"/>
  <c r="AO53" i="32"/>
  <c r="Y53" i="32"/>
  <c r="AX54" i="19"/>
  <c r="AF54" i="19"/>
  <c r="AM53" i="32"/>
  <c r="AL53" i="32"/>
  <c r="AU54" i="19"/>
  <c r="AT54" i="19"/>
  <c r="AJ54" i="19"/>
  <c r="X53" i="32"/>
  <c r="AW54" i="19"/>
  <c r="AE54" i="19"/>
  <c r="W53" i="32"/>
  <c r="J7" i="18"/>
  <c r="J17" i="18" s="1"/>
  <c r="F7" i="18"/>
  <c r="F17" i="18" s="1"/>
  <c r="AZ53" i="32"/>
  <c r="AS54" i="19"/>
  <c r="AJ53" i="32"/>
  <c r="W54" i="19"/>
  <c r="AY53" i="32"/>
  <c r="AI53" i="32"/>
  <c r="S53" i="32"/>
  <c r="X54" i="19"/>
  <c r="AX53" i="32"/>
  <c r="AH53" i="32"/>
  <c r="R53" i="32"/>
  <c r="AO54" i="19"/>
  <c r="AW53" i="32"/>
  <c r="AG53" i="32"/>
  <c r="Q53" i="32"/>
  <c r="AN54" i="19"/>
  <c r="F11" i="20"/>
  <c r="D165" i="29" s="1"/>
  <c r="D23" i="29" s="1"/>
  <c r="AV53" i="32"/>
  <c r="AF53" i="32"/>
  <c r="P53" i="32"/>
  <c r="AM54" i="19"/>
  <c r="I11" i="20"/>
  <c r="AU53" i="32"/>
  <c r="AE53" i="32"/>
  <c r="O53" i="32"/>
  <c r="AL54" i="19"/>
  <c r="H11" i="20"/>
  <c r="AT53" i="32"/>
  <c r="AD53" i="32"/>
  <c r="BC54" i="19"/>
  <c r="AK54" i="19"/>
  <c r="S67" i="19"/>
  <c r="AS53" i="32"/>
  <c r="AC53" i="32"/>
  <c r="BB54" i="19"/>
  <c r="E17" i="18"/>
  <c r="AR53" i="32"/>
  <c r="AB53" i="32"/>
  <c r="BA54" i="19"/>
  <c r="AI54" i="19"/>
  <c r="Q67" i="19"/>
  <c r="Q68" i="19" s="1"/>
  <c r="AV54" i="19"/>
  <c r="AK53" i="32"/>
  <c r="T53" i="32"/>
  <c r="Y54" i="19"/>
  <c r="H12" i="23"/>
  <c r="F131" i="24" s="1"/>
  <c r="F161" i="24" s="1"/>
  <c r="AA50" i="1"/>
  <c r="AA53" i="1"/>
  <c r="BD64" i="19"/>
  <c r="K14" i="37" s="1"/>
  <c r="AP64" i="19"/>
  <c r="I14" i="37" s="1"/>
  <c r="R169" i="29"/>
  <c r="AE15" i="20"/>
  <c r="L171" i="21"/>
  <c r="L199" i="21" s="1"/>
  <c r="P169" i="29"/>
  <c r="AC15" i="20"/>
  <c r="J15" i="20"/>
  <c r="H169" i="29" s="1"/>
  <c r="H197" i="29" s="1"/>
  <c r="F7" i="20"/>
  <c r="D163" i="21" s="1"/>
  <c r="D21" i="21" s="1"/>
  <c r="H18" i="27"/>
  <c r="H16" i="27" s="1"/>
  <c r="P23" i="19"/>
  <c r="AH39" i="19"/>
  <c r="AF21" i="19"/>
  <c r="AF22" i="19" s="1"/>
  <c r="S4" i="20" s="1"/>
  <c r="AA160" i="29"/>
  <c r="AN20" i="29"/>
  <c r="R60" i="22"/>
  <c r="O68" i="22"/>
  <c r="O69" i="22" s="1"/>
  <c r="O67" i="22"/>
  <c r="O70" i="22"/>
  <c r="O71" i="22" s="1"/>
  <c r="O60" i="22"/>
  <c r="O64" i="22"/>
  <c r="C89" i="29"/>
  <c r="C94" i="29" s="1"/>
  <c r="D89" i="29" s="1"/>
  <c r="D94" i="29" s="1"/>
  <c r="N198" i="29"/>
  <c r="J147" i="29"/>
  <c r="H147" i="29"/>
  <c r="E147" i="29"/>
  <c r="I147" i="29"/>
  <c r="C147" i="29"/>
  <c r="I98" i="29"/>
  <c r="K147" i="29"/>
  <c r="J94" i="29"/>
  <c r="K89" i="29" s="1"/>
  <c r="K94" i="29" s="1"/>
  <c r="L89" i="29" s="1"/>
  <c r="L94" i="29" s="1"/>
  <c r="M147" i="29"/>
  <c r="AR146" i="29"/>
  <c r="D147" i="29"/>
  <c r="N205" i="29"/>
  <c r="G147" i="29"/>
  <c r="L147" i="29"/>
  <c r="G122" i="29"/>
  <c r="G99" i="29"/>
  <c r="K102" i="29"/>
  <c r="M102" i="29"/>
  <c r="J100" i="29"/>
  <c r="O20" i="29"/>
  <c r="F202" i="29"/>
  <c r="N202" i="29" s="1"/>
  <c r="F147" i="29"/>
  <c r="AQ106" i="29"/>
  <c r="D100" i="29"/>
  <c r="N106" i="29"/>
  <c r="J206" i="29"/>
  <c r="N206" i="29" s="1"/>
  <c r="N91" i="29"/>
  <c r="N94" i="29" s="1"/>
  <c r="N98" i="29" s="1"/>
  <c r="AF26" i="29"/>
  <c r="AD23" i="33"/>
  <c r="R26" i="29"/>
  <c r="O23" i="33"/>
  <c r="Y26" i="29"/>
  <c r="V23" i="33"/>
  <c r="O26" i="29"/>
  <c r="L23" i="33"/>
  <c r="U23" i="33"/>
  <c r="X26" i="29"/>
  <c r="AD26" i="29"/>
  <c r="AB23" i="33"/>
  <c r="J23" i="33"/>
  <c r="M26" i="29"/>
  <c r="AE26" i="29"/>
  <c r="AC23" i="33"/>
  <c r="W26" i="29"/>
  <c r="T23" i="33"/>
  <c r="H26" i="29"/>
  <c r="E23" i="33"/>
  <c r="AC26" i="29"/>
  <c r="AA23" i="33"/>
  <c r="L26" i="29"/>
  <c r="I23" i="33"/>
  <c r="Z23" i="33"/>
  <c r="AB26" i="29"/>
  <c r="P23" i="33"/>
  <c r="S26" i="29"/>
  <c r="AG26" i="29"/>
  <c r="AE23" i="33"/>
  <c r="H23" i="33"/>
  <c r="K26" i="29"/>
  <c r="Q26" i="29"/>
  <c r="N23" i="33"/>
  <c r="P26" i="29"/>
  <c r="M23" i="33"/>
  <c r="G49" i="33"/>
  <c r="H48" i="33"/>
  <c r="Q10" i="20"/>
  <c r="O166" i="21" s="1"/>
  <c r="O22" i="21" s="1"/>
  <c r="AS48" i="19"/>
  <c r="P6" i="20"/>
  <c r="L162" i="21"/>
  <c r="L20" i="21" s="1"/>
  <c r="AH33" i="19"/>
  <c r="AH56" i="19"/>
  <c r="U9" i="20" s="1"/>
  <c r="S163" i="29" s="1"/>
  <c r="AA22" i="19"/>
  <c r="AA19" i="19" s="1"/>
  <c r="B166" i="21"/>
  <c r="B188" i="21" s="1"/>
  <c r="O20" i="27"/>
  <c r="F36" i="27"/>
  <c r="I7" i="20"/>
  <c r="G161" i="29" s="1"/>
  <c r="P19" i="19"/>
  <c r="B158" i="29"/>
  <c r="B189" i="29" s="1"/>
  <c r="B193" i="21"/>
  <c r="M162" i="21"/>
  <c r="M20" i="21" s="1"/>
  <c r="M160" i="29"/>
  <c r="M20" i="29" s="1"/>
  <c r="P25" i="19"/>
  <c r="AR49" i="19"/>
  <c r="I171" i="21"/>
  <c r="I169" i="29"/>
  <c r="I197" i="29" s="1"/>
  <c r="O169" i="29"/>
  <c r="O171" i="21"/>
  <c r="O26" i="21" s="1"/>
  <c r="D164" i="29"/>
  <c r="D22" i="29" s="1"/>
  <c r="AF56" i="19"/>
  <c r="S9" i="20" s="1"/>
  <c r="Q163" i="29" s="1"/>
  <c r="BD46" i="19"/>
  <c r="BE46" i="19" s="1"/>
  <c r="BF46" i="19" s="1"/>
  <c r="H7" i="20"/>
  <c r="F163" i="21" s="1"/>
  <c r="F21" i="21" s="1"/>
  <c r="P22" i="27"/>
  <c r="AF40" i="19"/>
  <c r="C16" i="27"/>
  <c r="AF39" i="19"/>
  <c r="AF33" i="19"/>
  <c r="C25" i="27"/>
  <c r="C29" i="27" s="1"/>
  <c r="BD16" i="19"/>
  <c r="BE16" i="19" s="1"/>
  <c r="BF16" i="19" s="1"/>
  <c r="O7" i="20"/>
  <c r="M161" i="29" s="1"/>
  <c r="M21" i="29" s="1"/>
  <c r="AD40" i="19"/>
  <c r="V32" i="1"/>
  <c r="AD21" i="19"/>
  <c r="AD22" i="19" s="1"/>
  <c r="AP44" i="19"/>
  <c r="AD33" i="19"/>
  <c r="BD45" i="19"/>
  <c r="BE45" i="19" s="1"/>
  <c r="BF45" i="19" s="1"/>
  <c r="AD52" i="19"/>
  <c r="AU24" i="19"/>
  <c r="AS18" i="19"/>
  <c r="AS21" i="19" s="1"/>
  <c r="AS22" i="19" s="1"/>
  <c r="BC24" i="19"/>
  <c r="AS24" i="19"/>
  <c r="O165" i="21"/>
  <c r="O19" i="21" s="1"/>
  <c r="O163" i="29"/>
  <c r="O19" i="29" s="1"/>
  <c r="N18" i="27"/>
  <c r="N16" i="27" s="1"/>
  <c r="BD43" i="19"/>
  <c r="BE43" i="19" s="1"/>
  <c r="BF43" i="19" s="1"/>
  <c r="N24" i="27"/>
  <c r="AR18" i="19"/>
  <c r="AR24" i="19"/>
  <c r="E23" i="27"/>
  <c r="AD39" i="19"/>
  <c r="AH40" i="19"/>
  <c r="AU18" i="19"/>
  <c r="AU56" i="19" s="1"/>
  <c r="AG9" i="20" s="1"/>
  <c r="AE163" i="29" s="1"/>
  <c r="F16" i="27"/>
  <c r="D16" i="27"/>
  <c r="BD15" i="19"/>
  <c r="BE15" i="19" s="1"/>
  <c r="BF15" i="19" s="1"/>
  <c r="AH52" i="19"/>
  <c r="N36" i="27"/>
  <c r="C20" i="29"/>
  <c r="G18" i="27"/>
  <c r="G16" i="27" s="1"/>
  <c r="AF53" i="19"/>
  <c r="AG53" i="19" s="1"/>
  <c r="AH53" i="19" s="1"/>
  <c r="AI53" i="19" s="1"/>
  <c r="AJ53" i="19" s="1"/>
  <c r="AK53" i="19" s="1"/>
  <c r="AL53" i="19" s="1"/>
  <c r="AM53" i="19" s="1"/>
  <c r="AN53" i="19" s="1"/>
  <c r="AO53" i="19" s="1"/>
  <c r="AR53" i="19" s="1"/>
  <c r="U4" i="20"/>
  <c r="AH27" i="19"/>
  <c r="AH25" i="19"/>
  <c r="AH19" i="19"/>
  <c r="E7" i="20"/>
  <c r="AG52" i="19"/>
  <c r="AG40" i="19"/>
  <c r="AG39" i="19"/>
  <c r="AG21" i="19"/>
  <c r="AG22" i="19" s="1"/>
  <c r="AG56" i="19"/>
  <c r="T9" i="20" s="1"/>
  <c r="AG33" i="19"/>
  <c r="AE39" i="19"/>
  <c r="AE40" i="19"/>
  <c r="AE56" i="19"/>
  <c r="R9" i="20" s="1"/>
  <c r="AE21" i="19"/>
  <c r="AE22" i="19" s="1"/>
  <c r="AE52" i="19"/>
  <c r="R11" i="20" s="1"/>
  <c r="AE33" i="19"/>
  <c r="B165" i="21"/>
  <c r="B163" i="29"/>
  <c r="M165" i="21"/>
  <c r="M19" i="21" s="1"/>
  <c r="M163" i="29"/>
  <c r="F4" i="20"/>
  <c r="R25" i="19"/>
  <c r="R23" i="19"/>
  <c r="R19" i="19"/>
  <c r="C165" i="21"/>
  <c r="C163" i="29"/>
  <c r="BC48" i="19"/>
  <c r="AV24" i="19"/>
  <c r="AT24" i="19"/>
  <c r="G7" i="20"/>
  <c r="G163" i="29"/>
  <c r="G165" i="21"/>
  <c r="G4" i="20"/>
  <c r="S25" i="19"/>
  <c r="S23" i="19"/>
  <c r="S19" i="19"/>
  <c r="D7" i="20"/>
  <c r="AV48" i="19"/>
  <c r="AT48" i="19"/>
  <c r="G36" i="27"/>
  <c r="AS44" i="19"/>
  <c r="AT44" i="19" s="1"/>
  <c r="AU44" i="19" s="1"/>
  <c r="AV44" i="19" s="1"/>
  <c r="AW44" i="19" s="1"/>
  <c r="AX44" i="19" s="1"/>
  <c r="AY44" i="19" s="1"/>
  <c r="AZ44" i="19" s="1"/>
  <c r="BA44" i="19" s="1"/>
  <c r="BB44" i="19" s="1"/>
  <c r="BC44" i="19" s="1"/>
  <c r="AF47" i="19"/>
  <c r="R10" i="20"/>
  <c r="BC18" i="19"/>
  <c r="AT18" i="19"/>
  <c r="H4" i="20"/>
  <c r="T25" i="19"/>
  <c r="T23" i="19"/>
  <c r="T19" i="19"/>
  <c r="E165" i="21"/>
  <c r="E163" i="29"/>
  <c r="AF51" i="19"/>
  <c r="AV18" i="19"/>
  <c r="AU49" i="19"/>
  <c r="AU48" i="19"/>
  <c r="AW18" i="19"/>
  <c r="D165" i="21"/>
  <c r="D19" i="21" s="1"/>
  <c r="D163" i="29"/>
  <c r="D19" i="29" s="1"/>
  <c r="AO52" i="19"/>
  <c r="AO56" i="19"/>
  <c r="AB9" i="20" s="1"/>
  <c r="Z163" i="29" s="1"/>
  <c r="AO39" i="19"/>
  <c r="AO40" i="19"/>
  <c r="AO21" i="19"/>
  <c r="AO22" i="19" s="1"/>
  <c r="AO19" i="19" s="1"/>
  <c r="AO33" i="19"/>
  <c r="I15" i="27"/>
  <c r="F165" i="21"/>
  <c r="F163" i="29"/>
  <c r="E4" i="20"/>
  <c r="Q23" i="19"/>
  <c r="Q25" i="19"/>
  <c r="AW48" i="19"/>
  <c r="AW24" i="19"/>
  <c r="AI52" i="19"/>
  <c r="AI56" i="19"/>
  <c r="V9" i="20" s="1"/>
  <c r="AI33" i="19"/>
  <c r="AI40" i="19"/>
  <c r="AI39" i="19"/>
  <c r="AI21" i="19"/>
  <c r="AI22" i="19" s="1"/>
  <c r="C164" i="29"/>
  <c r="C22" i="29" s="1"/>
  <c r="X39" i="1"/>
  <c r="X38" i="1"/>
  <c r="S60" i="22"/>
  <c r="X21" i="1"/>
  <c r="X51" i="1"/>
  <c r="S20" i="29"/>
  <c r="X55" i="1"/>
  <c r="X20" i="1"/>
  <c r="X32" i="1"/>
  <c r="S32" i="1"/>
  <c r="Y55" i="1"/>
  <c r="Y39" i="1"/>
  <c r="Y20" i="1"/>
  <c r="J9" i="20"/>
  <c r="Y21" i="1"/>
  <c r="Y51" i="1"/>
  <c r="P20" i="1"/>
  <c r="V21" i="1"/>
  <c r="V22" i="1" s="1"/>
  <c r="V19" i="1" s="1"/>
  <c r="T20" i="1"/>
  <c r="X32" i="32"/>
  <c r="R21" i="1"/>
  <c r="AL18" i="19"/>
  <c r="AL39" i="19" s="1"/>
  <c r="R38" i="1"/>
  <c r="R51" i="1"/>
  <c r="Y32" i="1"/>
  <c r="R55" i="1"/>
  <c r="AL48" i="19"/>
  <c r="R20" i="1"/>
  <c r="Y38" i="1"/>
  <c r="R32" i="1"/>
  <c r="X20" i="32"/>
  <c r="X22" i="32" s="1"/>
  <c r="X27" i="32" s="1"/>
  <c r="R39" i="1"/>
  <c r="X39" i="32"/>
  <c r="V55" i="1"/>
  <c r="P21" i="1"/>
  <c r="T64" i="22"/>
  <c r="T70" i="22" s="1"/>
  <c r="T71" i="22" s="1"/>
  <c r="X55" i="32"/>
  <c r="T39" i="1"/>
  <c r="J35" i="27"/>
  <c r="T21" i="1"/>
  <c r="X38" i="32"/>
  <c r="P38" i="1"/>
  <c r="X51" i="32"/>
  <c r="P51" i="1"/>
  <c r="T51" i="1"/>
  <c r="P32" i="1"/>
  <c r="V51" i="1"/>
  <c r="T32" i="1"/>
  <c r="P39" i="1"/>
  <c r="P55" i="1"/>
  <c r="V38" i="1"/>
  <c r="Q32" i="1"/>
  <c r="S21" i="1"/>
  <c r="Z38" i="1"/>
  <c r="V20" i="19"/>
  <c r="S39" i="1"/>
  <c r="Q39" i="1"/>
  <c r="S38" i="1"/>
  <c r="Q20" i="1"/>
  <c r="B20" i="21"/>
  <c r="B184" i="21"/>
  <c r="V39" i="1"/>
  <c r="AA48" i="32"/>
  <c r="C26" i="27"/>
  <c r="E26" i="27"/>
  <c r="E29" i="27"/>
  <c r="D23" i="27"/>
  <c r="D25" i="27"/>
  <c r="D37" i="27"/>
  <c r="D38" i="27" s="1"/>
  <c r="P18" i="27"/>
  <c r="Q38" i="1"/>
  <c r="AA48" i="1"/>
  <c r="AA18" i="1"/>
  <c r="O35" i="27" s="1"/>
  <c r="S51" i="1"/>
  <c r="AL24" i="19"/>
  <c r="Q21" i="1"/>
  <c r="Q51" i="1"/>
  <c r="S55" i="1"/>
  <c r="AZ17" i="19"/>
  <c r="AZ48" i="19" s="1"/>
  <c r="Q55" i="1"/>
  <c r="S20" i="1"/>
  <c r="Z21" i="1"/>
  <c r="Z51" i="1"/>
  <c r="Z55" i="1"/>
  <c r="H35" i="27"/>
  <c r="H36" i="27" s="1"/>
  <c r="T38" i="1"/>
  <c r="Z20" i="1"/>
  <c r="U60" i="22"/>
  <c r="U64" i="22"/>
  <c r="U70" i="22" s="1"/>
  <c r="U71" i="22" s="1"/>
  <c r="Z32" i="1"/>
  <c r="I17" i="27"/>
  <c r="D12" i="25"/>
  <c r="F12" i="25" s="1"/>
  <c r="AA24" i="1"/>
  <c r="Z39" i="1"/>
  <c r="L166" i="21"/>
  <c r="L164" i="29"/>
  <c r="T68" i="22"/>
  <c r="T69" i="22" s="1"/>
  <c r="T67" i="22"/>
  <c r="T73" i="22"/>
  <c r="T74" i="22" s="1"/>
  <c r="AL47" i="32"/>
  <c r="AL48" i="32"/>
  <c r="AL24" i="32"/>
  <c r="AL18" i="32"/>
  <c r="AY17" i="32"/>
  <c r="V67" i="22"/>
  <c r="V73" i="22"/>
  <c r="V74" i="22" s="1"/>
  <c r="V68" i="22"/>
  <c r="V69" i="22" s="1"/>
  <c r="O14" i="23"/>
  <c r="M131" i="24"/>
  <c r="M161" i="24" s="1"/>
  <c r="Q64" i="22"/>
  <c r="Q70" i="22" s="1"/>
  <c r="Q71" i="22" s="1"/>
  <c r="Q60" i="22"/>
  <c r="W67" i="22"/>
  <c r="W73" i="22"/>
  <c r="W74" i="22" s="1"/>
  <c r="W68" i="22"/>
  <c r="W69" i="22" s="1"/>
  <c r="V21" i="32"/>
  <c r="V38" i="32"/>
  <c r="V20" i="32"/>
  <c r="V55" i="32"/>
  <c r="V39" i="32"/>
  <c r="V51" i="32"/>
  <c r="V32" i="32"/>
  <c r="K166" i="21"/>
  <c r="K164" i="29"/>
  <c r="AM49" i="19"/>
  <c r="BA17" i="19"/>
  <c r="AM24" i="19"/>
  <c r="AM18" i="19"/>
  <c r="AM48" i="19"/>
  <c r="H140" i="24"/>
  <c r="H22" i="24"/>
  <c r="H18" i="24" s="1"/>
  <c r="H11" i="24" s="1"/>
  <c r="H25" i="24" s="1"/>
  <c r="H151" i="24"/>
  <c r="H153" i="24" s="1"/>
  <c r="S73" i="22"/>
  <c r="S74" i="22" s="1"/>
  <c r="S67" i="22"/>
  <c r="Q67" i="22"/>
  <c r="Q68" i="22"/>
  <c r="Q69" i="22" s="1"/>
  <c r="W38" i="32"/>
  <c r="W21" i="32"/>
  <c r="W20" i="32"/>
  <c r="W55" i="32"/>
  <c r="W39" i="32"/>
  <c r="W51" i="32"/>
  <c r="W32" i="32"/>
  <c r="AK47" i="32"/>
  <c r="AK24" i="32"/>
  <c r="AK18" i="32"/>
  <c r="AX17" i="32"/>
  <c r="AK48" i="32"/>
  <c r="BB17" i="19"/>
  <c r="AN24" i="19"/>
  <c r="AN48" i="19"/>
  <c r="AN18" i="19"/>
  <c r="AN49" i="19"/>
  <c r="M22" i="24"/>
  <c r="M18" i="24" s="1"/>
  <c r="M11" i="24" s="1"/>
  <c r="M25" i="24" s="1"/>
  <c r="M140" i="24"/>
  <c r="M151" i="24"/>
  <c r="M153" i="24" s="1"/>
  <c r="AI48" i="32"/>
  <c r="AI47" i="32"/>
  <c r="AI24" i="32"/>
  <c r="AI18" i="32"/>
  <c r="AV17" i="32"/>
  <c r="Y64" i="22"/>
  <c r="Y70" i="22" s="1"/>
  <c r="Y71" i="22" s="1"/>
  <c r="Y60" i="22"/>
  <c r="Z64" i="22"/>
  <c r="Z70" i="22" s="1"/>
  <c r="Z71" i="22" s="1"/>
  <c r="Z60" i="22"/>
  <c r="G12" i="23"/>
  <c r="E129" i="24"/>
  <c r="Y67" i="22"/>
  <c r="Y73" i="22"/>
  <c r="Y74" i="22" s="1"/>
  <c r="Y68" i="22"/>
  <c r="Y69" i="22" s="1"/>
  <c r="F151" i="24"/>
  <c r="F153" i="24" s="1"/>
  <c r="F22" i="24"/>
  <c r="F18" i="24" s="1"/>
  <c r="F11" i="24" s="1"/>
  <c r="F25" i="24" s="1"/>
  <c r="E12" i="23"/>
  <c r="C129" i="24"/>
  <c r="P64" i="22"/>
  <c r="P70" i="22" s="1"/>
  <c r="P60" i="22"/>
  <c r="AA59" i="22"/>
  <c r="U55" i="32"/>
  <c r="U51" i="32"/>
  <c r="U32" i="32"/>
  <c r="U21" i="32"/>
  <c r="U38" i="32"/>
  <c r="U20" i="32"/>
  <c r="AA18" i="32"/>
  <c r="U39" i="32"/>
  <c r="W64" i="22"/>
  <c r="W70" i="22" s="1"/>
  <c r="W71" i="22" s="1"/>
  <c r="W60" i="22"/>
  <c r="I151" i="24"/>
  <c r="I153" i="24" s="1"/>
  <c r="I140" i="24"/>
  <c r="I22" i="24"/>
  <c r="M12" i="23"/>
  <c r="K129" i="24"/>
  <c r="J15" i="27"/>
  <c r="W39" i="19"/>
  <c r="W56" i="19"/>
  <c r="K9" i="20" s="1"/>
  <c r="W52" i="19"/>
  <c r="K11" i="20" s="1"/>
  <c r="W40" i="19"/>
  <c r="W21" i="19"/>
  <c r="J17" i="27" s="1"/>
  <c r="W33" i="19"/>
  <c r="W20" i="19"/>
  <c r="Z73" i="22"/>
  <c r="Z74" i="22" s="1"/>
  <c r="Z68" i="22"/>
  <c r="Z69" i="22" s="1"/>
  <c r="Z67" i="22"/>
  <c r="AJ24" i="32"/>
  <c r="AJ18" i="32"/>
  <c r="AW17" i="32"/>
  <c r="AJ48" i="32"/>
  <c r="AJ47" i="32"/>
  <c r="L12" i="23"/>
  <c r="J129" i="24"/>
  <c r="M166" i="21"/>
  <c r="M164" i="29"/>
  <c r="D22" i="21"/>
  <c r="C22" i="21"/>
  <c r="P67" i="22"/>
  <c r="AA66" i="22"/>
  <c r="AA67" i="22" s="1"/>
  <c r="P68" i="22"/>
  <c r="L15" i="27"/>
  <c r="Y21" i="19"/>
  <c r="L17" i="27" s="1"/>
  <c r="Y33" i="19"/>
  <c r="Y20" i="19"/>
  <c r="Y56" i="19"/>
  <c r="M9" i="20" s="1"/>
  <c r="Y39" i="19"/>
  <c r="Y52" i="19"/>
  <c r="M11" i="20" s="1"/>
  <c r="Y40" i="19"/>
  <c r="B140" i="24"/>
  <c r="B152" i="24"/>
  <c r="Q130" i="24"/>
  <c r="N130" i="24"/>
  <c r="B23" i="24"/>
  <c r="AA24" i="32"/>
  <c r="AB49" i="19"/>
  <c r="F166" i="21"/>
  <c r="F164" i="29"/>
  <c r="J166" i="21"/>
  <c r="J164" i="29"/>
  <c r="X64" i="22"/>
  <c r="X70" i="22" s="1"/>
  <c r="X71" i="22" s="1"/>
  <c r="X60" i="22"/>
  <c r="I166" i="21"/>
  <c r="I164" i="29"/>
  <c r="R73" i="22"/>
  <c r="R74" i="22" s="1"/>
  <c r="R68" i="22"/>
  <c r="R69" i="22" s="1"/>
  <c r="R67" i="22"/>
  <c r="U39" i="1"/>
  <c r="U32" i="1"/>
  <c r="U20" i="1"/>
  <c r="U55" i="1"/>
  <c r="U51" i="1"/>
  <c r="U21" i="1"/>
  <c r="U38" i="1"/>
  <c r="I35" i="27"/>
  <c r="V64" i="22"/>
  <c r="V70" i="22" s="1"/>
  <c r="V71" i="22" s="1"/>
  <c r="V60" i="22"/>
  <c r="D14" i="23"/>
  <c r="B131" i="24"/>
  <c r="L140" i="24"/>
  <c r="L151" i="24"/>
  <c r="L153" i="24" s="1"/>
  <c r="L22" i="24"/>
  <c r="L18" i="24" s="1"/>
  <c r="L11" i="24" s="1"/>
  <c r="L25" i="24" s="1"/>
  <c r="AH47" i="32"/>
  <c r="AH48" i="32"/>
  <c r="AH24" i="32"/>
  <c r="AH18" i="32"/>
  <c r="AN17" i="32"/>
  <c r="AU17" i="32"/>
  <c r="Y38" i="32"/>
  <c r="Y55" i="32"/>
  <c r="Y51" i="32"/>
  <c r="Y39" i="32"/>
  <c r="Y20" i="32"/>
  <c r="Y32" i="32"/>
  <c r="Y21" i="32"/>
  <c r="M19" i="27"/>
  <c r="E166" i="21"/>
  <c r="E164" i="29"/>
  <c r="K19" i="27"/>
  <c r="I19" i="27"/>
  <c r="AB24" i="19"/>
  <c r="J10" i="20"/>
  <c r="AK48" i="19"/>
  <c r="AK49" i="19"/>
  <c r="AY17" i="19"/>
  <c r="AK24" i="19"/>
  <c r="U67" i="22"/>
  <c r="U68" i="22"/>
  <c r="U69" i="22" s="1"/>
  <c r="U73" i="22"/>
  <c r="U74" i="22" s="1"/>
  <c r="F12" i="23"/>
  <c r="D129" i="24"/>
  <c r="W21" i="1"/>
  <c r="W38" i="1"/>
  <c r="W39" i="1"/>
  <c r="W32" i="1"/>
  <c r="W20" i="1"/>
  <c r="W55" i="1"/>
  <c r="W51" i="1"/>
  <c r="K35" i="27"/>
  <c r="G22" i="24"/>
  <c r="G151" i="24"/>
  <c r="G153" i="24" s="1"/>
  <c r="N14" i="23"/>
  <c r="L131" i="24"/>
  <c r="L161" i="24" s="1"/>
  <c r="G166" i="21"/>
  <c r="G164" i="29"/>
  <c r="AJ24" i="19"/>
  <c r="AJ48" i="19"/>
  <c r="AJ18" i="19"/>
  <c r="AJ49" i="19"/>
  <c r="AP17" i="19"/>
  <c r="AX17" i="19"/>
  <c r="L19" i="27"/>
  <c r="M15" i="27"/>
  <c r="Z21" i="19"/>
  <c r="M17" i="27" s="1"/>
  <c r="Z33" i="19"/>
  <c r="Z20" i="19"/>
  <c r="Z39" i="19"/>
  <c r="Z56" i="19"/>
  <c r="N9" i="20" s="1"/>
  <c r="Z52" i="19"/>
  <c r="N11" i="20" s="1"/>
  <c r="Z40" i="19"/>
  <c r="J19" i="27"/>
  <c r="K15" i="27"/>
  <c r="X56" i="19"/>
  <c r="L9" i="20" s="1"/>
  <c r="X52" i="19"/>
  <c r="L11" i="20" s="1"/>
  <c r="X40" i="19"/>
  <c r="X21" i="19"/>
  <c r="K17" i="27" s="1"/>
  <c r="X33" i="19"/>
  <c r="X20" i="19"/>
  <c r="X39" i="19"/>
  <c r="AB18" i="19"/>
  <c r="I18" i="24" l="1"/>
  <c r="I11" i="24" s="1"/>
  <c r="I25" i="24" s="1"/>
  <c r="G18" i="24"/>
  <c r="G11" i="24" s="1"/>
  <c r="G25" i="24" s="1"/>
  <c r="O164" i="29"/>
  <c r="P26" i="19"/>
  <c r="P36" i="19"/>
  <c r="M27" i="27"/>
  <c r="D161" i="29"/>
  <c r="D21" i="29" s="1"/>
  <c r="U19" i="19"/>
  <c r="U23" i="19"/>
  <c r="U25" i="19"/>
  <c r="U36" i="19" s="1"/>
  <c r="AF19" i="19"/>
  <c r="G163" i="21"/>
  <c r="G21" i="21" s="1"/>
  <c r="M101" i="21"/>
  <c r="M112" i="21"/>
  <c r="M124" i="21"/>
  <c r="I167" i="24"/>
  <c r="I112" i="24"/>
  <c r="N167" i="24"/>
  <c r="B15" i="24"/>
  <c r="B14" i="24"/>
  <c r="Q106" i="24"/>
  <c r="K112" i="24"/>
  <c r="M87" i="24"/>
  <c r="M75" i="24"/>
  <c r="M64" i="24"/>
  <c r="J118" i="24"/>
  <c r="I118" i="24"/>
  <c r="H118" i="24"/>
  <c r="F118" i="24"/>
  <c r="E118" i="24"/>
  <c r="C118" i="24"/>
  <c r="M118" i="24"/>
  <c r="B118" i="24"/>
  <c r="N118" i="24"/>
  <c r="D118" i="24"/>
  <c r="K118" i="24"/>
  <c r="L118" i="24"/>
  <c r="G118" i="24"/>
  <c r="G136" i="24"/>
  <c r="J17" i="23"/>
  <c r="H136" i="24" s="1"/>
  <c r="C171" i="21"/>
  <c r="C199" i="21" s="1"/>
  <c r="C169" i="29"/>
  <c r="C197" i="29" s="1"/>
  <c r="O15" i="20"/>
  <c r="M171" i="21" s="1"/>
  <c r="M26" i="21" s="1"/>
  <c r="AA63" i="1"/>
  <c r="G131" i="24"/>
  <c r="G161" i="24" s="1"/>
  <c r="G173" i="24" s="1"/>
  <c r="G133" i="24"/>
  <c r="G155" i="24" s="1"/>
  <c r="H133" i="24"/>
  <c r="H155" i="24" s="1"/>
  <c r="L156" i="24"/>
  <c r="L51" i="24" s="1"/>
  <c r="L26" i="24"/>
  <c r="L33" i="24" s="1"/>
  <c r="L46" i="24" s="1"/>
  <c r="L162" i="24"/>
  <c r="L173" i="24" s="1"/>
  <c r="H156" i="24"/>
  <c r="H51" i="24" s="1"/>
  <c r="H26" i="24"/>
  <c r="H162" i="24"/>
  <c r="G15" i="20"/>
  <c r="F27" i="27"/>
  <c r="S68" i="22"/>
  <c r="S69" i="22" s="1"/>
  <c r="AA63" i="22"/>
  <c r="G15" i="23"/>
  <c r="E134" i="24" s="1"/>
  <c r="E140" i="24" s="1"/>
  <c r="K169" i="29"/>
  <c r="K197" i="29" s="1"/>
  <c r="M15" i="23"/>
  <c r="K134" i="24" s="1"/>
  <c r="X68" i="22"/>
  <c r="X69" i="22" s="1"/>
  <c r="S64" i="22"/>
  <c r="S70" i="22" s="1"/>
  <c r="S71" i="22" s="1"/>
  <c r="AM63" i="32"/>
  <c r="V63" i="32"/>
  <c r="AL63" i="32"/>
  <c r="U63" i="32"/>
  <c r="AK63" i="32"/>
  <c r="T63" i="32"/>
  <c r="AA63" i="32" s="1"/>
  <c r="AJ63" i="32"/>
  <c r="AZ63" i="32"/>
  <c r="AI63" i="32"/>
  <c r="AY63" i="32"/>
  <c r="AH63" i="32"/>
  <c r="AX63" i="32"/>
  <c r="AG63" i="32"/>
  <c r="AW63" i="32"/>
  <c r="AF63" i="32"/>
  <c r="AV63" i="32"/>
  <c r="AE63" i="32"/>
  <c r="AU63" i="32"/>
  <c r="AD63" i="32"/>
  <c r="AT63" i="32"/>
  <c r="AC63" i="32"/>
  <c r="AS63" i="32"/>
  <c r="AB63" i="32"/>
  <c r="AR63" i="32"/>
  <c r="Z63" i="32"/>
  <c r="AQ63" i="32"/>
  <c r="Y63" i="32"/>
  <c r="AP63" i="32"/>
  <c r="X63" i="32"/>
  <c r="AO63" i="32"/>
  <c r="W63" i="32"/>
  <c r="H33" i="24"/>
  <c r="H46" i="24" s="1"/>
  <c r="G27" i="27"/>
  <c r="H15" i="20"/>
  <c r="F26" i="24"/>
  <c r="F33" i="24" s="1"/>
  <c r="F46" i="24" s="1"/>
  <c r="F156" i="24"/>
  <c r="F51" i="24" s="1"/>
  <c r="F162" i="24"/>
  <c r="F173" i="24" s="1"/>
  <c r="I156" i="24"/>
  <c r="I51" i="24" s="1"/>
  <c r="I26" i="24"/>
  <c r="I162" i="24"/>
  <c r="M162" i="24"/>
  <c r="M173" i="24" s="1"/>
  <c r="M156" i="24"/>
  <c r="M51" i="24" s="1"/>
  <c r="M26" i="24"/>
  <c r="D171" i="21"/>
  <c r="D199" i="21" s="1"/>
  <c r="D169" i="29"/>
  <c r="D197" i="29" s="1"/>
  <c r="X64" i="19"/>
  <c r="J26" i="29"/>
  <c r="G23" i="33"/>
  <c r="K23" i="33" s="1"/>
  <c r="M33" i="24"/>
  <c r="M46" i="24" s="1"/>
  <c r="H27" i="27"/>
  <c r="I15" i="20"/>
  <c r="G156" i="24"/>
  <c r="G51" i="24" s="1"/>
  <c r="G26" i="24"/>
  <c r="G162" i="24"/>
  <c r="K18" i="23"/>
  <c r="K19" i="23" s="1"/>
  <c r="I138" i="24" s="1"/>
  <c r="I133" i="24"/>
  <c r="I155" i="24" s="1"/>
  <c r="I131" i="24"/>
  <c r="I161" i="24" s="1"/>
  <c r="AA27" i="19"/>
  <c r="Q165" i="21"/>
  <c r="Q19" i="21" s="1"/>
  <c r="AF25" i="19"/>
  <c r="M169" i="29"/>
  <c r="M197" i="29" s="1"/>
  <c r="AF27" i="19"/>
  <c r="S5" i="20" s="1"/>
  <c r="P23" i="27"/>
  <c r="H131" i="24"/>
  <c r="H161" i="24" s="1"/>
  <c r="R67" i="19"/>
  <c r="R68" i="19" s="1"/>
  <c r="H14" i="23"/>
  <c r="F133" i="24" s="1"/>
  <c r="F155" i="24" s="1"/>
  <c r="J11" i="20"/>
  <c r="H167" i="21" s="1"/>
  <c r="F24" i="27"/>
  <c r="U67" i="19"/>
  <c r="U68" i="19" s="1"/>
  <c r="H24" i="27"/>
  <c r="G24" i="27"/>
  <c r="T67" i="19"/>
  <c r="T68" i="19" s="1"/>
  <c r="Q11" i="20"/>
  <c r="O167" i="21" s="1"/>
  <c r="O23" i="21" s="1"/>
  <c r="G165" i="29"/>
  <c r="G23" i="29" s="1"/>
  <c r="G167" i="21"/>
  <c r="G23" i="21" s="1"/>
  <c r="E11" i="20"/>
  <c r="G11" i="20"/>
  <c r="E167" i="21" s="1"/>
  <c r="E189" i="21" s="1"/>
  <c r="D167" i="21"/>
  <c r="D23" i="21" s="1"/>
  <c r="D18" i="21" s="1"/>
  <c r="F165" i="29"/>
  <c r="F23" i="29" s="1"/>
  <c r="F167" i="21"/>
  <c r="F23" i="21" s="1"/>
  <c r="T66" i="32"/>
  <c r="T60" i="32"/>
  <c r="AT66" i="32"/>
  <c r="AT60" i="32"/>
  <c r="R66" i="32"/>
  <c r="R60" i="32"/>
  <c r="Z60" i="32"/>
  <c r="Z66" i="32"/>
  <c r="AA53" i="32"/>
  <c r="O60" i="32"/>
  <c r="O66" i="32"/>
  <c r="AP66" i="32"/>
  <c r="AP60" i="32"/>
  <c r="AE66" i="32"/>
  <c r="AE60" i="32"/>
  <c r="O11" i="20"/>
  <c r="AN53" i="32"/>
  <c r="AB60" i="32"/>
  <c r="AB66" i="32"/>
  <c r="S60" i="32"/>
  <c r="S66" i="32"/>
  <c r="D11" i="20"/>
  <c r="AB54" i="19"/>
  <c r="AR60" i="32"/>
  <c r="AR66" i="32"/>
  <c r="AM60" i="32"/>
  <c r="AM66" i="32"/>
  <c r="P66" i="32"/>
  <c r="P60" i="32"/>
  <c r="AF66" i="32"/>
  <c r="AF60" i="32"/>
  <c r="AQ66" i="32"/>
  <c r="AQ60" i="32"/>
  <c r="AC60" i="32"/>
  <c r="AC66" i="32"/>
  <c r="AS66" i="32"/>
  <c r="AS60" i="32"/>
  <c r="BA53" i="32"/>
  <c r="AO66" i="32"/>
  <c r="AO60" i="32"/>
  <c r="O41" i="1"/>
  <c r="O59" i="1"/>
  <c r="AZ60" i="32"/>
  <c r="AZ66" i="32"/>
  <c r="BD54" i="19"/>
  <c r="BE54" i="19" s="1"/>
  <c r="BF54" i="19" s="1"/>
  <c r="O67" i="1"/>
  <c r="O68" i="1"/>
  <c r="O69" i="1" s="1"/>
  <c r="Q60" i="32"/>
  <c r="Q66" i="32"/>
  <c r="AD66" i="32"/>
  <c r="AD60" i="32"/>
  <c r="AG60" i="32"/>
  <c r="AG66" i="32"/>
  <c r="AP54" i="19"/>
  <c r="AA169" i="29"/>
  <c r="L26" i="21"/>
  <c r="H171" i="21"/>
  <c r="H199" i="21" s="1"/>
  <c r="AC169" i="29"/>
  <c r="AN169" i="29" s="1"/>
  <c r="AP15" i="20"/>
  <c r="AA26" i="29"/>
  <c r="AA23" i="19"/>
  <c r="AA25" i="19"/>
  <c r="AA26" i="19" s="1"/>
  <c r="B22" i="21"/>
  <c r="U7" i="20"/>
  <c r="S163" i="21" s="1"/>
  <c r="S21" i="21" s="1"/>
  <c r="AH34" i="19"/>
  <c r="AH35" i="19" s="1"/>
  <c r="AN26" i="29"/>
  <c r="AA20" i="29"/>
  <c r="N26" i="29"/>
  <c r="O4" i="20"/>
  <c r="M158" i="29" s="1"/>
  <c r="C98" i="29"/>
  <c r="K98" i="29"/>
  <c r="AQ160" i="29"/>
  <c r="N160" i="29"/>
  <c r="AQ20" i="29"/>
  <c r="J98" i="29"/>
  <c r="J110" i="29" s="1"/>
  <c r="E89" i="29"/>
  <c r="E94" i="29" s="1"/>
  <c r="D98" i="29"/>
  <c r="D122" i="29"/>
  <c r="D99" i="29"/>
  <c r="J122" i="29"/>
  <c r="J99" i="29"/>
  <c r="B186" i="29"/>
  <c r="N102" i="29"/>
  <c r="M100" i="29"/>
  <c r="M89" i="29"/>
  <c r="M94" i="29" s="1"/>
  <c r="L98" i="29"/>
  <c r="AK23" i="33"/>
  <c r="X23" i="33"/>
  <c r="I48" i="33"/>
  <c r="H49" i="33"/>
  <c r="AU52" i="19"/>
  <c r="AU40" i="19"/>
  <c r="S165" i="21"/>
  <c r="S19" i="21" s="1"/>
  <c r="AU39" i="19"/>
  <c r="W162" i="21"/>
  <c r="AU33" i="19"/>
  <c r="N162" i="21"/>
  <c r="AU21" i="19"/>
  <c r="AU22" i="19" s="1"/>
  <c r="AG4" i="20" s="1"/>
  <c r="F161" i="29"/>
  <c r="F21" i="29" s="1"/>
  <c r="B191" i="29"/>
  <c r="B179" i="29"/>
  <c r="B182" i="29"/>
  <c r="I26" i="21"/>
  <c r="I199" i="21"/>
  <c r="D5" i="20"/>
  <c r="B159" i="29" s="1"/>
  <c r="AS52" i="19"/>
  <c r="AS56" i="19"/>
  <c r="AE9" i="20" s="1"/>
  <c r="AC163" i="29" s="1"/>
  <c r="AC19" i="29" s="1"/>
  <c r="S7" i="20"/>
  <c r="Q163" i="21" s="1"/>
  <c r="Q21" i="21" s="1"/>
  <c r="N20" i="29"/>
  <c r="K199" i="21"/>
  <c r="K26" i="21"/>
  <c r="I36" i="27"/>
  <c r="M163" i="21"/>
  <c r="M21" i="21" s="1"/>
  <c r="AD19" i="19"/>
  <c r="Q4" i="20"/>
  <c r="O158" i="29" s="1"/>
  <c r="O186" i="29" s="1"/>
  <c r="AD25" i="19"/>
  <c r="AD26" i="19" s="1"/>
  <c r="AD27" i="19"/>
  <c r="AD34" i="19" s="1"/>
  <c r="AS40" i="19"/>
  <c r="AS33" i="19"/>
  <c r="AS39" i="19"/>
  <c r="AD67" i="19"/>
  <c r="AD68" i="19" s="1"/>
  <c r="AE4" i="20"/>
  <c r="AC158" i="29" s="1"/>
  <c r="AS25" i="19"/>
  <c r="AS27" i="19"/>
  <c r="AE5" i="20" s="1"/>
  <c r="AC159" i="29" s="1"/>
  <c r="V7" i="20"/>
  <c r="T163" i="21" s="1"/>
  <c r="Q7" i="20"/>
  <c r="O163" i="21" s="1"/>
  <c r="AP53" i="19"/>
  <c r="AR56" i="19"/>
  <c r="AD9" i="20" s="1"/>
  <c r="AB163" i="29" s="1"/>
  <c r="AB19" i="29" s="1"/>
  <c r="AR40" i="19"/>
  <c r="AR39" i="19"/>
  <c r="AR52" i="19"/>
  <c r="AR21" i="19"/>
  <c r="AR22" i="19" s="1"/>
  <c r="AR33" i="19"/>
  <c r="V4" i="20"/>
  <c r="AI25" i="19"/>
  <c r="AI27" i="19"/>
  <c r="AI19" i="19"/>
  <c r="AG27" i="19"/>
  <c r="T4" i="20"/>
  <c r="AG25" i="19"/>
  <c r="AG19" i="19"/>
  <c r="S19" i="29"/>
  <c r="S11" i="20"/>
  <c r="AG51" i="19"/>
  <c r="G19" i="29"/>
  <c r="P167" i="21"/>
  <c r="P23" i="21" s="1"/>
  <c r="P165" i="29"/>
  <c r="BC52" i="19"/>
  <c r="BC56" i="19"/>
  <c r="AO9" i="20" s="1"/>
  <c r="AM163" i="29" s="1"/>
  <c r="AM19" i="29" s="1"/>
  <c r="BC33" i="19"/>
  <c r="BC39" i="19"/>
  <c r="BC40" i="19"/>
  <c r="BC21" i="19"/>
  <c r="BC22" i="19" s="1"/>
  <c r="S74" i="19"/>
  <c r="S75" i="19" s="1"/>
  <c r="S68" i="19"/>
  <c r="AB4" i="20"/>
  <c r="AO25" i="19"/>
  <c r="AO27" i="19"/>
  <c r="E19" i="29"/>
  <c r="E185" i="29"/>
  <c r="F160" i="21"/>
  <c r="F187" i="21" s="1"/>
  <c r="F158" i="29"/>
  <c r="G68" i="29" s="1"/>
  <c r="P166" i="21"/>
  <c r="P22" i="21" s="1"/>
  <c r="P164" i="29"/>
  <c r="U5" i="20"/>
  <c r="AE67" i="19"/>
  <c r="E161" i="29"/>
  <c r="E163" i="21"/>
  <c r="G160" i="21"/>
  <c r="G158" i="29"/>
  <c r="F19" i="29"/>
  <c r="E187" i="21"/>
  <c r="E19" i="21"/>
  <c r="AE19" i="29"/>
  <c r="R4" i="20"/>
  <c r="AE25" i="19"/>
  <c r="AE27" i="19"/>
  <c r="AS53" i="19"/>
  <c r="AT53" i="19" s="1"/>
  <c r="AU53" i="19" s="1"/>
  <c r="AV53" i="19" s="1"/>
  <c r="AW53" i="19" s="1"/>
  <c r="AX53" i="19" s="1"/>
  <c r="AY53" i="19" s="1"/>
  <c r="AZ53" i="19" s="1"/>
  <c r="BA53" i="19" s="1"/>
  <c r="BB53" i="19" s="1"/>
  <c r="BC53" i="19" s="1"/>
  <c r="E5" i="20"/>
  <c r="E8" i="20" s="1"/>
  <c r="Q34" i="19"/>
  <c r="T165" i="21"/>
  <c r="T19" i="21" s="1"/>
  <c r="T163" i="29"/>
  <c r="B163" i="21"/>
  <c r="B161" i="29"/>
  <c r="S158" i="29"/>
  <c r="S185" i="29" s="1"/>
  <c r="S160" i="21"/>
  <c r="S70" i="21" s="1"/>
  <c r="R72" i="21" s="1"/>
  <c r="F19" i="21"/>
  <c r="P69" i="19"/>
  <c r="P70" i="19" s="1"/>
  <c r="Z19" i="29"/>
  <c r="AG47" i="19"/>
  <c r="S10" i="20"/>
  <c r="S36" i="19"/>
  <c r="S26" i="19"/>
  <c r="R36" i="19"/>
  <c r="R26" i="19"/>
  <c r="R7" i="20"/>
  <c r="Q19" i="29"/>
  <c r="N21" i="27"/>
  <c r="N22" i="27" s="1"/>
  <c r="AA34" i="19"/>
  <c r="O5" i="20"/>
  <c r="AA74" i="19"/>
  <c r="AA75" i="19" s="1"/>
  <c r="M19" i="29"/>
  <c r="BD44" i="19"/>
  <c r="BE44" i="19" s="1"/>
  <c r="BF44" i="19" s="1"/>
  <c r="Q158" i="29"/>
  <c r="Q185" i="29" s="1"/>
  <c r="Q160" i="21"/>
  <c r="P16" i="27"/>
  <c r="O22" i="29"/>
  <c r="G5" i="20"/>
  <c r="G8" i="20" s="1"/>
  <c r="F21" i="27"/>
  <c r="F22" i="27" s="1"/>
  <c r="S34" i="19"/>
  <c r="S35" i="19" s="1"/>
  <c r="D158" i="29"/>
  <c r="D160" i="21"/>
  <c r="G21" i="29"/>
  <c r="AW52" i="19"/>
  <c r="AW40" i="19"/>
  <c r="AW56" i="19"/>
  <c r="AI9" i="20" s="1"/>
  <c r="AG163" i="29" s="1"/>
  <c r="AW33" i="19"/>
  <c r="AW39" i="19"/>
  <c r="AW21" i="19"/>
  <c r="AW22" i="19" s="1"/>
  <c r="C160" i="21"/>
  <c r="C158" i="29"/>
  <c r="T26" i="19"/>
  <c r="T36" i="19"/>
  <c r="D18" i="29"/>
  <c r="Q36" i="19"/>
  <c r="Q26" i="19"/>
  <c r="AB7" i="20"/>
  <c r="Z161" i="29" s="1"/>
  <c r="G21" i="27"/>
  <c r="G22" i="27" s="1"/>
  <c r="T34" i="19"/>
  <c r="H5" i="20"/>
  <c r="AT39" i="19"/>
  <c r="AT40" i="19"/>
  <c r="AT52" i="19"/>
  <c r="AT21" i="19"/>
  <c r="AT22" i="19" s="1"/>
  <c r="AT33" i="19"/>
  <c r="AT56" i="19"/>
  <c r="AF9" i="20" s="1"/>
  <c r="AD163" i="29" s="1"/>
  <c r="C19" i="29"/>
  <c r="F5" i="20"/>
  <c r="F8" i="20" s="1"/>
  <c r="R34" i="19"/>
  <c r="B185" i="29"/>
  <c r="B19" i="29"/>
  <c r="H21" i="27"/>
  <c r="H22" i="27" s="1"/>
  <c r="U34" i="19"/>
  <c r="U35" i="19" s="1"/>
  <c r="I5" i="20"/>
  <c r="I8" i="20" s="1"/>
  <c r="P163" i="29"/>
  <c r="P165" i="21"/>
  <c r="P19" i="21" s="1"/>
  <c r="R163" i="29"/>
  <c r="R165" i="21"/>
  <c r="R19" i="21" s="1"/>
  <c r="D175" i="29"/>
  <c r="D176" i="29" s="1"/>
  <c r="AV52" i="19"/>
  <c r="AV40" i="19"/>
  <c r="AV21" i="19"/>
  <c r="AV22" i="19" s="1"/>
  <c r="AV33" i="19"/>
  <c r="AV39" i="19"/>
  <c r="AV56" i="19"/>
  <c r="AH9" i="20" s="1"/>
  <c r="AF163" i="29" s="1"/>
  <c r="G19" i="21"/>
  <c r="C19" i="21"/>
  <c r="AF67" i="19"/>
  <c r="B19" i="21"/>
  <c r="B187" i="21"/>
  <c r="AE19" i="19"/>
  <c r="T7" i="20"/>
  <c r="C163" i="21"/>
  <c r="C161" i="29"/>
  <c r="AH36" i="19"/>
  <c r="AH26" i="19"/>
  <c r="AF26" i="19"/>
  <c r="X22" i="1"/>
  <c r="X27" i="1" s="1"/>
  <c r="X33" i="1" s="1"/>
  <c r="X66" i="1"/>
  <c r="X67" i="1" s="1"/>
  <c r="AZ24" i="19"/>
  <c r="Y22" i="1"/>
  <c r="Y23" i="1" s="1"/>
  <c r="AL33" i="19"/>
  <c r="AL40" i="19"/>
  <c r="Y66" i="1"/>
  <c r="Y67" i="1" s="1"/>
  <c r="T66" i="1"/>
  <c r="T67" i="1" s="1"/>
  <c r="AL21" i="19"/>
  <c r="AL22" i="19" s="1"/>
  <c r="AL25" i="19" s="1"/>
  <c r="AL52" i="19"/>
  <c r="AL56" i="19"/>
  <c r="Y9" i="20" s="1"/>
  <c r="W163" i="29" s="1"/>
  <c r="W19" i="29" s="1"/>
  <c r="R22" i="1"/>
  <c r="R23" i="1" s="1"/>
  <c r="V25" i="1"/>
  <c r="V26" i="1" s="1"/>
  <c r="V27" i="1"/>
  <c r="V33" i="1" s="1"/>
  <c r="V34" i="1" s="1"/>
  <c r="P22" i="1"/>
  <c r="P23" i="1" s="1"/>
  <c r="T22" i="1"/>
  <c r="T27" i="1" s="1"/>
  <c r="T33" i="1" s="1"/>
  <c r="R66" i="1"/>
  <c r="R67" i="1" s="1"/>
  <c r="V23" i="1"/>
  <c r="AZ18" i="19"/>
  <c r="AZ21" i="19" s="1"/>
  <c r="AZ22" i="19" s="1"/>
  <c r="AZ49" i="19"/>
  <c r="V66" i="1"/>
  <c r="V67" i="1" s="1"/>
  <c r="X66" i="32"/>
  <c r="X67" i="32" s="1"/>
  <c r="I24" i="27"/>
  <c r="P66" i="1"/>
  <c r="P67" i="1" s="1"/>
  <c r="Y22" i="19"/>
  <c r="Y23" i="19" s="1"/>
  <c r="Z22" i="1"/>
  <c r="Z19" i="1" s="1"/>
  <c r="X23" i="32"/>
  <c r="D8" i="28"/>
  <c r="Q22" i="1"/>
  <c r="S22" i="1"/>
  <c r="S23" i="1" s="1"/>
  <c r="V67" i="19"/>
  <c r="V68" i="19" s="1"/>
  <c r="V22" i="19"/>
  <c r="V25" i="19" s="1"/>
  <c r="V26" i="19" s="1"/>
  <c r="S66" i="1"/>
  <c r="S67" i="1" s="1"/>
  <c r="J7" i="20"/>
  <c r="H163" i="21" s="1"/>
  <c r="AA32" i="1"/>
  <c r="Z66" i="1"/>
  <c r="Z67" i="1" s="1"/>
  <c r="C33" i="27"/>
  <c r="C30" i="27"/>
  <c r="E37" i="27"/>
  <c r="W22" i="32"/>
  <c r="W19" i="32" s="1"/>
  <c r="Q66" i="1"/>
  <c r="Q67" i="1" s="1"/>
  <c r="D26" i="27"/>
  <c r="D29" i="27"/>
  <c r="P29" i="27" s="1"/>
  <c r="P30" i="27" s="1"/>
  <c r="E30" i="27"/>
  <c r="E33" i="27"/>
  <c r="N20" i="21"/>
  <c r="W20" i="21"/>
  <c r="P25" i="27"/>
  <c r="P26" i="27" s="1"/>
  <c r="U22" i="1"/>
  <c r="U25" i="1" s="1"/>
  <c r="X19" i="32"/>
  <c r="X22" i="19"/>
  <c r="L4" i="20" s="1"/>
  <c r="W22" i="1"/>
  <c r="W19" i="1" s="1"/>
  <c r="X25" i="32"/>
  <c r="X26" i="32" s="1"/>
  <c r="Y22" i="32"/>
  <c r="Y23" i="32" s="1"/>
  <c r="W22" i="19"/>
  <c r="W19" i="19" s="1"/>
  <c r="AA38" i="1"/>
  <c r="Z22" i="19"/>
  <c r="N4" i="20" s="1"/>
  <c r="Y66" i="32"/>
  <c r="Y67" i="32" s="1"/>
  <c r="AN47" i="32"/>
  <c r="AA55" i="1"/>
  <c r="AN48" i="32"/>
  <c r="AA51" i="1"/>
  <c r="M7" i="20"/>
  <c r="K163" i="21" s="1"/>
  <c r="AP49" i="19"/>
  <c r="AA20" i="1"/>
  <c r="AB40" i="19"/>
  <c r="AA39" i="1"/>
  <c r="V22" i="32"/>
  <c r="V19" i="32" s="1"/>
  <c r="J131" i="24"/>
  <c r="J161" i="24" s="1"/>
  <c r="J173" i="24" s="1"/>
  <c r="L14" i="23"/>
  <c r="M14" i="23"/>
  <c r="K131" i="24"/>
  <c r="K161" i="24" s="1"/>
  <c r="AB20" i="19"/>
  <c r="AL32" i="32"/>
  <c r="AL39" i="32"/>
  <c r="AL21" i="32"/>
  <c r="AL22" i="32" s="1"/>
  <c r="AL55" i="32"/>
  <c r="AL51" i="32"/>
  <c r="AL38" i="32"/>
  <c r="F8" i="28"/>
  <c r="J167" i="21"/>
  <c r="J165" i="29"/>
  <c r="L165" i="21"/>
  <c r="L163" i="29"/>
  <c r="AP24" i="19"/>
  <c r="D151" i="24"/>
  <c r="D153" i="24" s="1"/>
  <c r="D140" i="24"/>
  <c r="D22" i="24"/>
  <c r="D18" i="24" s="1"/>
  <c r="AB56" i="19"/>
  <c r="AN24" i="32"/>
  <c r="P69" i="22"/>
  <c r="M22" i="29"/>
  <c r="I165" i="21"/>
  <c r="I163" i="29"/>
  <c r="AA64" i="22"/>
  <c r="AA60" i="22"/>
  <c r="H10" i="28"/>
  <c r="M141" i="24"/>
  <c r="M158" i="24"/>
  <c r="K22" i="29"/>
  <c r="O17" i="23"/>
  <c r="M133" i="24"/>
  <c r="M155" i="24" s="1"/>
  <c r="B141" i="24"/>
  <c r="B158" i="24"/>
  <c r="I167" i="21"/>
  <c r="I165" i="29"/>
  <c r="AA20" i="32"/>
  <c r="J165" i="21"/>
  <c r="J163" i="29"/>
  <c r="M24" i="27"/>
  <c r="Z67" i="19"/>
  <c r="G22" i="29"/>
  <c r="F14" i="23"/>
  <c r="D131" i="24"/>
  <c r="D161" i="24" s="1"/>
  <c r="D173" i="24" s="1"/>
  <c r="D177" i="24" s="1"/>
  <c r="D179" i="24" s="1"/>
  <c r="AK21" i="19"/>
  <c r="AK22" i="19" s="1"/>
  <c r="AK19" i="19" s="1"/>
  <c r="AK33" i="19"/>
  <c r="AK39" i="19"/>
  <c r="AK56" i="19"/>
  <c r="X9" i="20" s="1"/>
  <c r="V163" i="29" s="1"/>
  <c r="AK52" i="19"/>
  <c r="AK40" i="19"/>
  <c r="P9" i="20"/>
  <c r="H165" i="21"/>
  <c r="H163" i="29"/>
  <c r="M22" i="21"/>
  <c r="J24" i="27"/>
  <c r="W67" i="19"/>
  <c r="I158" i="24"/>
  <c r="I141" i="24"/>
  <c r="AA21" i="1"/>
  <c r="U22" i="32"/>
  <c r="AX47" i="32"/>
  <c r="AX48" i="32"/>
  <c r="AX24" i="32"/>
  <c r="AX18" i="32"/>
  <c r="AM39" i="19"/>
  <c r="AM56" i="19"/>
  <c r="Z9" i="20" s="1"/>
  <c r="X163" i="29" s="1"/>
  <c r="AM52" i="19"/>
  <c r="AM40" i="19"/>
  <c r="AM21" i="19"/>
  <c r="AM22" i="19" s="1"/>
  <c r="AM19" i="19" s="1"/>
  <c r="AM33" i="19"/>
  <c r="K22" i="21"/>
  <c r="V66" i="32"/>
  <c r="L22" i="29"/>
  <c r="H166" i="21"/>
  <c r="H164" i="29"/>
  <c r="N164" i="29" s="1"/>
  <c r="F158" i="24"/>
  <c r="F141" i="24"/>
  <c r="BB48" i="19"/>
  <c r="BB18" i="19"/>
  <c r="BB49" i="19"/>
  <c r="BB24" i="19"/>
  <c r="K24" i="27"/>
  <c r="X67" i="19"/>
  <c r="K18" i="27"/>
  <c r="K16" i="27" s="1"/>
  <c r="K36" i="27"/>
  <c r="G22" i="21"/>
  <c r="U66" i="1"/>
  <c r="AW47" i="32"/>
  <c r="AW48" i="32"/>
  <c r="AW24" i="32"/>
  <c r="AW18" i="32"/>
  <c r="J18" i="27"/>
  <c r="J16" i="27" s="1"/>
  <c r="J36" i="27"/>
  <c r="O15" i="27"/>
  <c r="AA38" i="32"/>
  <c r="U66" i="32"/>
  <c r="AV47" i="32"/>
  <c r="AV48" i="32"/>
  <c r="AV24" i="32"/>
  <c r="AV18" i="32"/>
  <c r="AK55" i="32"/>
  <c r="AK51" i="32"/>
  <c r="AK38" i="32"/>
  <c r="AK32" i="32"/>
  <c r="AK39" i="32"/>
  <c r="AK21" i="32"/>
  <c r="AK22" i="32" s="1"/>
  <c r="L22" i="21"/>
  <c r="M36" i="27"/>
  <c r="M18" i="27"/>
  <c r="M16" i="27" s="1"/>
  <c r="W66" i="1"/>
  <c r="E186" i="29"/>
  <c r="E22" i="29"/>
  <c r="L141" i="24"/>
  <c r="L158" i="24"/>
  <c r="B18" i="24"/>
  <c r="Q23" i="24"/>
  <c r="N23" i="24"/>
  <c r="K167" i="21"/>
  <c r="K165" i="29"/>
  <c r="L36" i="27"/>
  <c r="L18" i="27"/>
  <c r="L16" i="27" s="1"/>
  <c r="AJ55" i="32"/>
  <c r="AJ51" i="32"/>
  <c r="AJ39" i="32"/>
  <c r="AJ38" i="32"/>
  <c r="AJ32" i="32"/>
  <c r="AJ21" i="32"/>
  <c r="AJ22" i="32" s="1"/>
  <c r="AB39" i="19"/>
  <c r="AA21" i="32"/>
  <c r="P71" i="22"/>
  <c r="AI38" i="32"/>
  <c r="AI55" i="32"/>
  <c r="AI51" i="32"/>
  <c r="AI39" i="32"/>
  <c r="AI32" i="32"/>
  <c r="AI21" i="32"/>
  <c r="AI22" i="32" s="1"/>
  <c r="BA24" i="19"/>
  <c r="BA48" i="19"/>
  <c r="BA18" i="19"/>
  <c r="BA49" i="19"/>
  <c r="AP48" i="19"/>
  <c r="AH55" i="32"/>
  <c r="AH51" i="32"/>
  <c r="AH39" i="32"/>
  <c r="AH32" i="32"/>
  <c r="AH38" i="32"/>
  <c r="AH21" i="32"/>
  <c r="AH22" i="32" s="1"/>
  <c r="AN18" i="32"/>
  <c r="O17" i="27"/>
  <c r="AX24" i="19"/>
  <c r="AX48" i="19"/>
  <c r="AX18" i="19"/>
  <c r="AX49" i="19"/>
  <c r="BD17" i="19"/>
  <c r="BE17" i="19" s="1"/>
  <c r="BF17" i="19" s="1"/>
  <c r="G141" i="24"/>
  <c r="G158" i="24"/>
  <c r="O19" i="27"/>
  <c r="E188" i="21"/>
  <c r="E22" i="21"/>
  <c r="B161" i="24"/>
  <c r="I22" i="29"/>
  <c r="J22" i="29"/>
  <c r="F22" i="29"/>
  <c r="X33" i="32"/>
  <c r="L24" i="27"/>
  <c r="Y67" i="19"/>
  <c r="K7" i="20"/>
  <c r="AB33" i="19"/>
  <c r="AA32" i="32"/>
  <c r="N129" i="24"/>
  <c r="C151" i="24"/>
  <c r="C140" i="24"/>
  <c r="C22" i="24"/>
  <c r="E22" i="24"/>
  <c r="E18" i="24" s="1"/>
  <c r="E151" i="24"/>
  <c r="E153" i="24" s="1"/>
  <c r="AN39" i="19"/>
  <c r="AN56" i="19"/>
  <c r="AA9" i="20" s="1"/>
  <c r="Y163" i="29" s="1"/>
  <c r="AN52" i="19"/>
  <c r="AN40" i="19"/>
  <c r="AN21" i="19"/>
  <c r="AN22" i="19" s="1"/>
  <c r="AN33" i="19"/>
  <c r="L167" i="21"/>
  <c r="L165" i="29"/>
  <c r="N17" i="23"/>
  <c r="L133" i="24"/>
  <c r="L155" i="24" s="1"/>
  <c r="AY24" i="19"/>
  <c r="AY48" i="19"/>
  <c r="AY18" i="19"/>
  <c r="AY49" i="19"/>
  <c r="L7" i="20"/>
  <c r="N7" i="20"/>
  <c r="AU47" i="32"/>
  <c r="AU48" i="32"/>
  <c r="AU18" i="32"/>
  <c r="BA17" i="32"/>
  <c r="AU24" i="32"/>
  <c r="D17" i="23"/>
  <c r="B133" i="24"/>
  <c r="I22" i="21"/>
  <c r="AB52" i="19"/>
  <c r="J22" i="21"/>
  <c r="F22" i="21"/>
  <c r="K165" i="21"/>
  <c r="K163" i="29"/>
  <c r="I18" i="27"/>
  <c r="AA39" i="32"/>
  <c r="AA51" i="32"/>
  <c r="E14" i="23"/>
  <c r="C131" i="24"/>
  <c r="C161" i="24" s="1"/>
  <c r="C173" i="24" s="1"/>
  <c r="C177" i="24" s="1"/>
  <c r="C179" i="24" s="1"/>
  <c r="G14" i="23"/>
  <c r="E131" i="24"/>
  <c r="E161" i="24" s="1"/>
  <c r="W66" i="32"/>
  <c r="H158" i="24"/>
  <c r="H141" i="24"/>
  <c r="AJ21" i="19"/>
  <c r="AJ22" i="19" s="1"/>
  <c r="AJ33" i="19"/>
  <c r="AJ39" i="19"/>
  <c r="AP18" i="19"/>
  <c r="AP9" i="19" s="1"/>
  <c r="AJ56" i="19"/>
  <c r="AJ52" i="19"/>
  <c r="AJ40" i="19"/>
  <c r="P10" i="20"/>
  <c r="B153" i="24"/>
  <c r="N152" i="24"/>
  <c r="J140" i="24"/>
  <c r="J151" i="24"/>
  <c r="J153" i="24" s="1"/>
  <c r="J22" i="24"/>
  <c r="J18" i="24" s="1"/>
  <c r="J11" i="24" s="1"/>
  <c r="J25" i="24" s="1"/>
  <c r="J33" i="24" s="1"/>
  <c r="J46" i="24" s="1"/>
  <c r="K22" i="24"/>
  <c r="K18" i="24" s="1"/>
  <c r="K11" i="24" s="1"/>
  <c r="K25" i="24" s="1"/>
  <c r="K151" i="24"/>
  <c r="K153" i="24" s="1"/>
  <c r="K140" i="24"/>
  <c r="AB21" i="19"/>
  <c r="AA55" i="32"/>
  <c r="AY48" i="32"/>
  <c r="AY24" i="32"/>
  <c r="AY18" i="32"/>
  <c r="AY47" i="32"/>
  <c r="I33" i="24" l="1"/>
  <c r="I46" i="24" s="1"/>
  <c r="G33" i="24"/>
  <c r="G46" i="24" s="1"/>
  <c r="U26" i="19"/>
  <c r="AF36" i="19"/>
  <c r="P37" i="19"/>
  <c r="P41" i="19"/>
  <c r="G185" i="21"/>
  <c r="M160" i="21"/>
  <c r="M188" i="21" s="1"/>
  <c r="M199" i="21"/>
  <c r="S8" i="20"/>
  <c r="O8" i="20"/>
  <c r="F186" i="29"/>
  <c r="F188" i="21"/>
  <c r="B161" i="21"/>
  <c r="AG7" i="20"/>
  <c r="AE161" i="29" s="1"/>
  <c r="AE21" i="29" s="1"/>
  <c r="AF34" i="19"/>
  <c r="AF35" i="19" s="1"/>
  <c r="E165" i="29"/>
  <c r="E187" i="29" s="1"/>
  <c r="S161" i="29"/>
  <c r="S21" i="29" s="1"/>
  <c r="U8" i="20"/>
  <c r="S162" i="29" s="1"/>
  <c r="G187" i="29"/>
  <c r="AA70" i="22"/>
  <c r="H11" i="28" s="1"/>
  <c r="B13" i="24"/>
  <c r="Q13" i="24" s="1"/>
  <c r="Q14" i="24"/>
  <c r="N14" i="24"/>
  <c r="J18" i="23"/>
  <c r="J19" i="23" s="1"/>
  <c r="H138" i="24" s="1"/>
  <c r="Q15" i="24"/>
  <c r="N15" i="24"/>
  <c r="AA68" i="22"/>
  <c r="AA69" i="22" s="1"/>
  <c r="BF18" i="19"/>
  <c r="BF48" i="19"/>
  <c r="BF24" i="19"/>
  <c r="BF49" i="19"/>
  <c r="H17" i="23"/>
  <c r="F136" i="24" s="1"/>
  <c r="H173" i="24"/>
  <c r="H26" i="21"/>
  <c r="G169" i="29"/>
  <c r="G191" i="29" s="1"/>
  <c r="G171" i="21"/>
  <c r="G193" i="21" s="1"/>
  <c r="AN63" i="32"/>
  <c r="E169" i="29"/>
  <c r="E171" i="21"/>
  <c r="F169" i="29"/>
  <c r="F197" i="29" s="1"/>
  <c r="F171" i="21"/>
  <c r="F193" i="21" s="1"/>
  <c r="K27" i="27"/>
  <c r="O27" i="27" s="1"/>
  <c r="L15" i="20"/>
  <c r="AB64" i="19"/>
  <c r="G14" i="37" s="1"/>
  <c r="BA63" i="32"/>
  <c r="I173" i="24"/>
  <c r="K162" i="24"/>
  <c r="K173" i="24" s="1"/>
  <c r="K156" i="24"/>
  <c r="K51" i="24" s="1"/>
  <c r="K26" i="24"/>
  <c r="K33" i="24" s="1"/>
  <c r="K46" i="24" s="1"/>
  <c r="Q134" i="24"/>
  <c r="N134" i="24"/>
  <c r="E156" i="24"/>
  <c r="E26" i="24"/>
  <c r="E162" i="24"/>
  <c r="E173" i="24" s="1"/>
  <c r="E177" i="24" s="1"/>
  <c r="H165" i="29"/>
  <c r="H23" i="29" s="1"/>
  <c r="P11" i="20"/>
  <c r="U74" i="19"/>
  <c r="U75" i="19" s="1"/>
  <c r="T74" i="19"/>
  <c r="T75" i="19" s="1"/>
  <c r="AA36" i="19"/>
  <c r="AA41" i="19" s="1"/>
  <c r="G187" i="21"/>
  <c r="BE49" i="19"/>
  <c r="D177" i="21"/>
  <c r="D178" i="21" s="1"/>
  <c r="D189" i="21"/>
  <c r="E23" i="29"/>
  <c r="E177" i="21"/>
  <c r="E195" i="21" s="1"/>
  <c r="O165" i="29"/>
  <c r="O23" i="29" s="1"/>
  <c r="E23" i="21"/>
  <c r="C165" i="29"/>
  <c r="C23" i="29" s="1"/>
  <c r="C167" i="21"/>
  <c r="C23" i="21" s="1"/>
  <c r="AZ67" i="32"/>
  <c r="AZ68" i="32"/>
  <c r="AZ69" i="32" s="1"/>
  <c r="P68" i="32"/>
  <c r="P69" i="32" s="1"/>
  <c r="P67" i="32"/>
  <c r="AE67" i="32"/>
  <c r="AE68" i="32"/>
  <c r="AE69" i="32" s="1"/>
  <c r="AZ64" i="32"/>
  <c r="AZ70" i="32" s="1"/>
  <c r="AZ71" i="32" s="1"/>
  <c r="AZ61" i="32"/>
  <c r="AM67" i="32"/>
  <c r="AM68" i="32"/>
  <c r="AM69" i="32" s="1"/>
  <c r="AP64" i="32"/>
  <c r="AP70" i="32" s="1"/>
  <c r="AP71" i="32" s="1"/>
  <c r="AP61" i="32"/>
  <c r="O64" i="1"/>
  <c r="O70" i="1" s="1"/>
  <c r="O71" i="1" s="1"/>
  <c r="O60" i="1"/>
  <c r="AM61" i="32"/>
  <c r="AM64" i="32"/>
  <c r="AM70" i="32" s="1"/>
  <c r="AM71" i="32" s="1"/>
  <c r="AP67" i="32"/>
  <c r="AP68" i="32"/>
  <c r="AP69" i="32" s="1"/>
  <c r="AR68" i="32"/>
  <c r="AR69" i="32" s="1"/>
  <c r="AR67" i="32"/>
  <c r="O67" i="32"/>
  <c r="O68" i="32"/>
  <c r="O69" i="32" s="1"/>
  <c r="AO64" i="32"/>
  <c r="AO70" i="32" s="1"/>
  <c r="AO71" i="32" s="1"/>
  <c r="AO61" i="32"/>
  <c r="AR64" i="32"/>
  <c r="AR70" i="32" s="1"/>
  <c r="AR71" i="32" s="1"/>
  <c r="AR61" i="32"/>
  <c r="O70" i="32"/>
  <c r="O71" i="32" s="1"/>
  <c r="O61" i="32"/>
  <c r="O64" i="32"/>
  <c r="AO68" i="32"/>
  <c r="AO69" i="32" s="1"/>
  <c r="AO67" i="32"/>
  <c r="B167" i="21"/>
  <c r="B165" i="29"/>
  <c r="B175" i="29" s="1"/>
  <c r="Z67" i="32"/>
  <c r="Z73" i="32"/>
  <c r="Z74" i="32" s="1"/>
  <c r="Z68" i="32"/>
  <c r="Z69" i="32" s="1"/>
  <c r="AG67" i="32"/>
  <c r="AG68" i="32"/>
  <c r="AG69" i="32" s="1"/>
  <c r="AS64" i="32"/>
  <c r="AS70" i="32" s="1"/>
  <c r="AS71" i="32" s="1"/>
  <c r="AS61" i="32"/>
  <c r="S73" i="32"/>
  <c r="S74" i="32" s="1"/>
  <c r="S68" i="32"/>
  <c r="S69" i="32" s="1"/>
  <c r="S67" i="32"/>
  <c r="Z64" i="32"/>
  <c r="Z70" i="32" s="1"/>
  <c r="Z71" i="32" s="1"/>
  <c r="Z61" i="32"/>
  <c r="AG61" i="32"/>
  <c r="AG64" i="32"/>
  <c r="AG70" i="32" s="1"/>
  <c r="AG71" i="32" s="1"/>
  <c r="AS68" i="32"/>
  <c r="AS69" i="32" s="1"/>
  <c r="AS67" i="32"/>
  <c r="S64" i="32"/>
  <c r="S70" i="32" s="1"/>
  <c r="S71" i="32" s="1"/>
  <c r="S61" i="32"/>
  <c r="R64" i="32"/>
  <c r="R70" i="32" s="1"/>
  <c r="R71" i="32" s="1"/>
  <c r="R61" i="32"/>
  <c r="AD61" i="32"/>
  <c r="AD64" i="32"/>
  <c r="AD70" i="32" s="1"/>
  <c r="AD71" i="32" s="1"/>
  <c r="AC67" i="32"/>
  <c r="AC68" i="32"/>
  <c r="AC69" i="32" s="1"/>
  <c r="AB68" i="32"/>
  <c r="AB69" i="32" s="1"/>
  <c r="AB67" i="32"/>
  <c r="R73" i="32"/>
  <c r="R74" i="32" s="1"/>
  <c r="R67" i="32"/>
  <c r="R68" i="32"/>
  <c r="R69" i="32" s="1"/>
  <c r="AD68" i="32"/>
  <c r="AD69" i="32" s="1"/>
  <c r="AD67" i="32"/>
  <c r="AC61" i="32"/>
  <c r="AC64" i="32"/>
  <c r="AC70" i="32" s="1"/>
  <c r="AC71" i="32" s="1"/>
  <c r="AB61" i="32"/>
  <c r="AB64" i="32"/>
  <c r="AB70" i="32" s="1"/>
  <c r="AB71" i="32" s="1"/>
  <c r="AT61" i="32"/>
  <c r="AT64" i="32"/>
  <c r="AT70" i="32" s="1"/>
  <c r="AT71" i="32" s="1"/>
  <c r="Q67" i="32"/>
  <c r="Q68" i="32"/>
  <c r="Q69" i="32" s="1"/>
  <c r="AQ64" i="32"/>
  <c r="AQ70" i="32" s="1"/>
  <c r="AQ71" i="32" s="1"/>
  <c r="AQ61" i="32"/>
  <c r="AT67" i="32"/>
  <c r="AT68" i="32"/>
  <c r="AT69" i="32" s="1"/>
  <c r="Q64" i="32"/>
  <c r="Q70" i="32" s="1"/>
  <c r="Q71" i="32" s="1"/>
  <c r="Q61" i="32"/>
  <c r="AQ67" i="32"/>
  <c r="AQ68" i="32"/>
  <c r="AQ69" i="32" s="1"/>
  <c r="M165" i="29"/>
  <c r="M167" i="21"/>
  <c r="M23" i="21" s="1"/>
  <c r="M18" i="21" s="1"/>
  <c r="T64" i="32"/>
  <c r="T70" i="32" s="1"/>
  <c r="T71" i="32" s="1"/>
  <c r="T61" i="32"/>
  <c r="AF61" i="32"/>
  <c r="AF64" i="32"/>
  <c r="AF70" i="32" s="1"/>
  <c r="AF71" i="32" s="1"/>
  <c r="T67" i="32"/>
  <c r="T73" i="32"/>
  <c r="T74" i="32" s="1"/>
  <c r="T68" i="32"/>
  <c r="T69" i="32" s="1"/>
  <c r="AF67" i="32"/>
  <c r="AF68" i="32"/>
  <c r="AF69" i="32" s="1"/>
  <c r="P61" i="32"/>
  <c r="P64" i="32"/>
  <c r="P70" i="32" s="1"/>
  <c r="P71" i="32" s="1"/>
  <c r="AE61" i="32"/>
  <c r="AE64" i="32"/>
  <c r="AE70" i="32" s="1"/>
  <c r="AE71" i="32" s="1"/>
  <c r="BE48" i="19"/>
  <c r="BE24" i="19"/>
  <c r="BE18" i="19"/>
  <c r="BE56" i="19" s="1"/>
  <c r="O160" i="21"/>
  <c r="O70" i="21" s="1"/>
  <c r="M72" i="21" s="1"/>
  <c r="D8" i="20"/>
  <c r="B164" i="21" s="1"/>
  <c r="G186" i="29"/>
  <c r="J112" i="29"/>
  <c r="K100" i="29"/>
  <c r="M122" i="29"/>
  <c r="M99" i="29"/>
  <c r="D112" i="29"/>
  <c r="D110" i="29"/>
  <c r="F89" i="29"/>
  <c r="F94" i="29" s="1"/>
  <c r="E98" i="29"/>
  <c r="F6" i="29"/>
  <c r="F7" i="29" s="1"/>
  <c r="F8" i="29" s="1"/>
  <c r="M98" i="29"/>
  <c r="J48" i="33"/>
  <c r="I49" i="33"/>
  <c r="AU25" i="19"/>
  <c r="F189" i="21"/>
  <c r="AU27" i="19"/>
  <c r="AU34" i="19" s="1"/>
  <c r="AU35" i="19" s="1"/>
  <c r="G188" i="21"/>
  <c r="F18" i="29"/>
  <c r="O161" i="29"/>
  <c r="O21" i="29" s="1"/>
  <c r="AE7" i="20"/>
  <c r="AC161" i="29" s="1"/>
  <c r="AC183" i="29" s="1"/>
  <c r="Q161" i="29"/>
  <c r="Q21" i="29" s="1"/>
  <c r="T161" i="29"/>
  <c r="T21" i="29" s="1"/>
  <c r="AS36" i="19"/>
  <c r="AS37" i="19" s="1"/>
  <c r="C185" i="29"/>
  <c r="G189" i="21"/>
  <c r="AQ26" i="29"/>
  <c r="AD36" i="19"/>
  <c r="AD37" i="19" s="1"/>
  <c r="G183" i="29"/>
  <c r="AS26" i="19"/>
  <c r="C187" i="21"/>
  <c r="Q5" i="20"/>
  <c r="Q8" i="20" s="1"/>
  <c r="O164" i="21" s="1"/>
  <c r="AD7" i="20"/>
  <c r="AB161" i="29" s="1"/>
  <c r="AB21" i="29" s="1"/>
  <c r="G18" i="29"/>
  <c r="AS34" i="19"/>
  <c r="AS35" i="19" s="1"/>
  <c r="AG67" i="19"/>
  <c r="AG68" i="19" s="1"/>
  <c r="AD4" i="20"/>
  <c r="AB158" i="29" s="1"/>
  <c r="AB191" i="29" s="1"/>
  <c r="AR27" i="19"/>
  <c r="AR25" i="19"/>
  <c r="F18" i="21"/>
  <c r="AF4" i="20"/>
  <c r="AT25" i="19"/>
  <c r="AT27" i="19"/>
  <c r="G23" i="27"/>
  <c r="G25" i="27"/>
  <c r="G162" i="29"/>
  <c r="I12" i="20"/>
  <c r="G164" i="21"/>
  <c r="AO4" i="20"/>
  <c r="BC25" i="19"/>
  <c r="BC27" i="19"/>
  <c r="AI4" i="20"/>
  <c r="AW27" i="19"/>
  <c r="AW25" i="19"/>
  <c r="H6" i="29"/>
  <c r="H7" i="29" s="1"/>
  <c r="H8" i="29" s="1"/>
  <c r="F70" i="29"/>
  <c r="F69" i="29" s="1"/>
  <c r="F183" i="29"/>
  <c r="F179" i="29"/>
  <c r="I6" i="29"/>
  <c r="I7" i="29" s="1"/>
  <c r="I8" i="29" s="1"/>
  <c r="F134" i="29"/>
  <c r="F135" i="29" s="1"/>
  <c r="F182" i="29"/>
  <c r="F189" i="29"/>
  <c r="Q165" i="29"/>
  <c r="Q167" i="21"/>
  <c r="Q23" i="21" s="1"/>
  <c r="AG34" i="19"/>
  <c r="AG35" i="19" s="1"/>
  <c r="T5" i="20"/>
  <c r="T8" i="20" s="1"/>
  <c r="AA37" i="19"/>
  <c r="AD69" i="19"/>
  <c r="AD70" i="19" s="1"/>
  <c r="AD35" i="19"/>
  <c r="N23" i="27"/>
  <c r="N25" i="27"/>
  <c r="R41" i="19"/>
  <c r="R37" i="19"/>
  <c r="B21" i="29"/>
  <c r="B183" i="29"/>
  <c r="AF41" i="19"/>
  <c r="AF37" i="19"/>
  <c r="AH7" i="20"/>
  <c r="AF161" i="29" s="1"/>
  <c r="Q41" i="19"/>
  <c r="Q37" i="19"/>
  <c r="C164" i="21"/>
  <c r="E12" i="20"/>
  <c r="C162" i="29"/>
  <c r="AI7" i="20"/>
  <c r="AG161" i="29" s="1"/>
  <c r="F12" i="20"/>
  <c r="D164" i="21"/>
  <c r="D162" i="29"/>
  <c r="M185" i="29"/>
  <c r="O21" i="21"/>
  <c r="O18" i="21" s="1"/>
  <c r="O177" i="21"/>
  <c r="B21" i="21"/>
  <c r="B185" i="21"/>
  <c r="BD53" i="19"/>
  <c r="BE53" i="19" s="1"/>
  <c r="BF53" i="19" s="1"/>
  <c r="G189" i="29"/>
  <c r="H68" i="29"/>
  <c r="G70" i="29" s="1"/>
  <c r="G179" i="29"/>
  <c r="G182" i="29"/>
  <c r="G134" i="29"/>
  <c r="G135" i="29" s="1"/>
  <c r="AE68" i="19"/>
  <c r="F181" i="21"/>
  <c r="H6" i="21"/>
  <c r="H7" i="21" s="1"/>
  <c r="H8" i="21" s="1"/>
  <c r="F191" i="21"/>
  <c r="G70" i="21"/>
  <c r="F72" i="21" s="1"/>
  <c r="F71" i="21" s="1"/>
  <c r="F185" i="21"/>
  <c r="F136" i="21"/>
  <c r="F137" i="21" s="1"/>
  <c r="I6" i="21"/>
  <c r="I7" i="21" s="1"/>
  <c r="I8" i="21" s="1"/>
  <c r="F184" i="21"/>
  <c r="F187" i="29"/>
  <c r="G161" i="21"/>
  <c r="G159" i="29"/>
  <c r="D187" i="29"/>
  <c r="D191" i="29"/>
  <c r="D185" i="29"/>
  <c r="G6" i="29"/>
  <c r="G7" i="29" s="1"/>
  <c r="G8" i="29" s="1"/>
  <c r="D179" i="29"/>
  <c r="D186" i="29"/>
  <c r="D189" i="29"/>
  <c r="D182" i="29"/>
  <c r="D183" i="29"/>
  <c r="U41" i="19"/>
  <c r="U37" i="19"/>
  <c r="M186" i="29"/>
  <c r="AF68" i="19"/>
  <c r="H23" i="27"/>
  <c r="H25" i="27"/>
  <c r="C179" i="29"/>
  <c r="C189" i="29"/>
  <c r="C191" i="29"/>
  <c r="C186" i="29"/>
  <c r="C182" i="29"/>
  <c r="AG19" i="29"/>
  <c r="T19" i="29"/>
  <c r="Q12" i="20"/>
  <c r="G191" i="21"/>
  <c r="G181" i="21"/>
  <c r="G184" i="21"/>
  <c r="H70" i="21"/>
  <c r="G72" i="21" s="1"/>
  <c r="G136" i="21"/>
  <c r="G137" i="21" s="1"/>
  <c r="P23" i="29"/>
  <c r="AE158" i="29"/>
  <c r="AV27" i="19"/>
  <c r="AH4" i="20"/>
  <c r="AV25" i="19"/>
  <c r="R19" i="29"/>
  <c r="C181" i="21"/>
  <c r="C184" i="21"/>
  <c r="C193" i="21"/>
  <c r="C191" i="21"/>
  <c r="C188" i="21"/>
  <c r="F6" i="21"/>
  <c r="F7" i="21" s="1"/>
  <c r="F8" i="21" s="1"/>
  <c r="O191" i="29"/>
  <c r="O179" i="29"/>
  <c r="O189" i="29"/>
  <c r="O185" i="29"/>
  <c r="O182" i="29"/>
  <c r="O68" i="29"/>
  <c r="M70" i="29" s="1"/>
  <c r="E21" i="21"/>
  <c r="E185" i="21"/>
  <c r="G18" i="21"/>
  <c r="C21" i="29"/>
  <c r="C183" i="29"/>
  <c r="AC180" i="29"/>
  <c r="AE13" i="29"/>
  <c r="F161" i="21"/>
  <c r="F159" i="29"/>
  <c r="Q70" i="21"/>
  <c r="P72" i="21" s="1"/>
  <c r="S37" i="19"/>
  <c r="S41" i="19"/>
  <c r="F185" i="29"/>
  <c r="E183" i="29"/>
  <c r="E21" i="29"/>
  <c r="S161" i="21"/>
  <c r="S159" i="29"/>
  <c r="AO34" i="19"/>
  <c r="AB5" i="20"/>
  <c r="Z159" i="29" s="1"/>
  <c r="T21" i="21"/>
  <c r="S12" i="20"/>
  <c r="Q164" i="21"/>
  <c r="Q162" i="29"/>
  <c r="D193" i="29"/>
  <c r="M193" i="21"/>
  <c r="M136" i="21"/>
  <c r="M137" i="21" s="1"/>
  <c r="M185" i="21"/>
  <c r="M191" i="21"/>
  <c r="M181" i="21"/>
  <c r="M184" i="21"/>
  <c r="M187" i="21"/>
  <c r="C185" i="21"/>
  <c r="C21" i="21"/>
  <c r="P19" i="29"/>
  <c r="R35" i="19"/>
  <c r="R69" i="19"/>
  <c r="R70" i="19" s="1"/>
  <c r="AD19" i="29"/>
  <c r="T35" i="19"/>
  <c r="T69" i="19"/>
  <c r="T70" i="19" s="1"/>
  <c r="T41" i="19"/>
  <c r="T37" i="19"/>
  <c r="F23" i="27"/>
  <c r="F25" i="27"/>
  <c r="B180" i="29"/>
  <c r="B129" i="29"/>
  <c r="B128" i="29" s="1"/>
  <c r="B140" i="29" s="1"/>
  <c r="B141" i="29" s="1"/>
  <c r="Q189" i="29"/>
  <c r="Q68" i="29"/>
  <c r="P70" i="29" s="1"/>
  <c r="Q191" i="29"/>
  <c r="Q179" i="29"/>
  <c r="Q182" i="29"/>
  <c r="Q164" i="29"/>
  <c r="Q166" i="21"/>
  <c r="AE34" i="19"/>
  <c r="AE35" i="19" s="1"/>
  <c r="R5" i="20"/>
  <c r="R8" i="20" s="1"/>
  <c r="P61" i="19"/>
  <c r="P42" i="19"/>
  <c r="P22" i="29"/>
  <c r="AO36" i="19"/>
  <c r="AO26" i="19"/>
  <c r="G185" i="29"/>
  <c r="AI34" i="19"/>
  <c r="AI35" i="19" s="1"/>
  <c r="V5" i="20"/>
  <c r="M179" i="29"/>
  <c r="M134" i="29"/>
  <c r="M135" i="29" s="1"/>
  <c r="M189" i="29"/>
  <c r="Q6" i="29"/>
  <c r="M182" i="29"/>
  <c r="M191" i="29"/>
  <c r="M183" i="29"/>
  <c r="AH37" i="19"/>
  <c r="AH41" i="19"/>
  <c r="G12" i="20"/>
  <c r="E164" i="21"/>
  <c r="E162" i="29"/>
  <c r="M164" i="21"/>
  <c r="M162" i="29"/>
  <c r="O12" i="20"/>
  <c r="R161" i="29"/>
  <c r="R163" i="21"/>
  <c r="AC191" i="29"/>
  <c r="AC189" i="29"/>
  <c r="AC182" i="29"/>
  <c r="AC179" i="29"/>
  <c r="AC185" i="29"/>
  <c r="AF19" i="29"/>
  <c r="D161" i="21"/>
  <c r="D182" i="21" s="1"/>
  <c r="D159" i="29"/>
  <c r="AF7" i="20"/>
  <c r="AD161" i="29" s="1"/>
  <c r="E161" i="21"/>
  <c r="E159" i="29"/>
  <c r="B182" i="21"/>
  <c r="B131" i="21"/>
  <c r="B130" i="21" s="1"/>
  <c r="B142" i="21" s="1"/>
  <c r="B143" i="21" s="1"/>
  <c r="M159" i="29"/>
  <c r="M161" i="21"/>
  <c r="P163" i="21"/>
  <c r="P161" i="29"/>
  <c r="T10" i="20"/>
  <c r="AH47" i="19"/>
  <c r="Q35" i="19"/>
  <c r="Q69" i="19"/>
  <c r="Q70" i="19" s="1"/>
  <c r="AE36" i="19"/>
  <c r="AE26" i="19"/>
  <c r="Z158" i="29"/>
  <c r="Z183" i="29" s="1"/>
  <c r="S69" i="19"/>
  <c r="S70" i="19" s="1"/>
  <c r="AG26" i="19"/>
  <c r="AG36" i="19"/>
  <c r="AI26" i="19"/>
  <c r="AI36" i="19"/>
  <c r="Z21" i="29"/>
  <c r="D184" i="21"/>
  <c r="D187" i="21"/>
  <c r="D193" i="21"/>
  <c r="D191" i="21"/>
  <c r="D185" i="21"/>
  <c r="G6" i="21"/>
  <c r="G7" i="21" s="1"/>
  <c r="G8" i="21" s="1"/>
  <c r="D188" i="21"/>
  <c r="D181" i="21"/>
  <c r="Q161" i="21"/>
  <c r="Q159" i="29"/>
  <c r="U69" i="19"/>
  <c r="U70" i="19" s="1"/>
  <c r="AA35" i="19"/>
  <c r="AA69" i="19"/>
  <c r="AA70" i="19" s="1"/>
  <c r="S189" i="29"/>
  <c r="S68" i="29"/>
  <c r="R70" i="29" s="1"/>
  <c r="S191" i="29"/>
  <c r="S179" i="29"/>
  <c r="S182" i="29"/>
  <c r="C161" i="21"/>
  <c r="C159" i="29"/>
  <c r="P158" i="29"/>
  <c r="P187" i="29" s="1"/>
  <c r="P160" i="21"/>
  <c r="H8" i="20"/>
  <c r="AO7" i="20"/>
  <c r="AM161" i="29" s="1"/>
  <c r="T11" i="20"/>
  <c r="AH51" i="19"/>
  <c r="R158" i="29"/>
  <c r="R185" i="29" s="1"/>
  <c r="R160" i="21"/>
  <c r="R70" i="21" s="1"/>
  <c r="Q72" i="21" s="1"/>
  <c r="T158" i="29"/>
  <c r="T160" i="21"/>
  <c r="T70" i="21" s="1"/>
  <c r="X73" i="1"/>
  <c r="X74" i="1" s="1"/>
  <c r="X34" i="1"/>
  <c r="X68" i="1"/>
  <c r="X69" i="1" s="1"/>
  <c r="X25" i="1"/>
  <c r="X35" i="1" s="1"/>
  <c r="X40" i="1" s="1"/>
  <c r="X19" i="1"/>
  <c r="X23" i="1"/>
  <c r="W27" i="32"/>
  <c r="W33" i="32" s="1"/>
  <c r="W34" i="32" s="1"/>
  <c r="Y19" i="1"/>
  <c r="Y25" i="1"/>
  <c r="Y26" i="1" s="1"/>
  <c r="Y27" i="1"/>
  <c r="Y33" i="1" s="1"/>
  <c r="Y34" i="1" s="1"/>
  <c r="Y7" i="20"/>
  <c r="W161" i="29" s="1"/>
  <c r="X35" i="32"/>
  <c r="X36" i="32" s="1"/>
  <c r="T19" i="1"/>
  <c r="T25" i="1"/>
  <c r="T35" i="1" s="1"/>
  <c r="T40" i="1" s="1"/>
  <c r="T73" i="1"/>
  <c r="T74" i="1" s="1"/>
  <c r="W25" i="32"/>
  <c r="W26" i="32" s="1"/>
  <c r="AL27" i="19"/>
  <c r="AL36" i="19" s="1"/>
  <c r="Y4" i="20"/>
  <c r="W158" i="29" s="1"/>
  <c r="AL19" i="19"/>
  <c r="P25" i="1"/>
  <c r="P26" i="1" s="1"/>
  <c r="H161" i="29"/>
  <c r="H21" i="29" s="1"/>
  <c r="Z27" i="1"/>
  <c r="Z33" i="1" s="1"/>
  <c r="Z34" i="1" s="1"/>
  <c r="V35" i="1"/>
  <c r="V36" i="1" s="1"/>
  <c r="P19" i="1"/>
  <c r="Z25" i="1"/>
  <c r="Z26" i="1" s="1"/>
  <c r="P27" i="1"/>
  <c r="X73" i="32"/>
  <c r="X74" i="32" s="1"/>
  <c r="R19" i="1"/>
  <c r="V73" i="1"/>
  <c r="V74" i="1" s="1"/>
  <c r="R25" i="1"/>
  <c r="R26" i="1" s="1"/>
  <c r="R27" i="1"/>
  <c r="R33" i="1" s="1"/>
  <c r="R34" i="1" s="1"/>
  <c r="Z23" i="1"/>
  <c r="AZ52" i="19"/>
  <c r="AZ40" i="19"/>
  <c r="V68" i="1"/>
  <c r="V69" i="1" s="1"/>
  <c r="W23" i="32"/>
  <c r="Y25" i="19"/>
  <c r="Y26" i="19" s="1"/>
  <c r="V19" i="19"/>
  <c r="AZ56" i="19"/>
  <c r="AL9" i="20" s="1"/>
  <c r="AJ163" i="29" s="1"/>
  <c r="AJ19" i="29" s="1"/>
  <c r="AZ39" i="19"/>
  <c r="AZ33" i="19"/>
  <c r="T23" i="1"/>
  <c r="T34" i="1"/>
  <c r="T68" i="1"/>
  <c r="T69" i="1" s="1"/>
  <c r="Y27" i="19"/>
  <c r="M5" i="20" s="1"/>
  <c r="J4" i="20"/>
  <c r="H160" i="21" s="1"/>
  <c r="H193" i="21" s="1"/>
  <c r="S19" i="1"/>
  <c r="S27" i="1"/>
  <c r="S33" i="1" s="1"/>
  <c r="S34" i="1" s="1"/>
  <c r="Y19" i="32"/>
  <c r="M4" i="20"/>
  <c r="K160" i="21" s="1"/>
  <c r="K185" i="21" s="1"/>
  <c r="U27" i="1"/>
  <c r="U33" i="1" s="1"/>
  <c r="U34" i="1" s="1"/>
  <c r="Y19" i="19"/>
  <c r="Y27" i="32"/>
  <c r="Y33" i="32" s="1"/>
  <c r="Y34" i="32" s="1"/>
  <c r="S25" i="1"/>
  <c r="Y25" i="32"/>
  <c r="Y26" i="32" s="1"/>
  <c r="X25" i="19"/>
  <c r="X26" i="19" s="1"/>
  <c r="V23" i="19"/>
  <c r="X19" i="19"/>
  <c r="X23" i="19"/>
  <c r="X27" i="19"/>
  <c r="X74" i="19" s="1"/>
  <c r="X75" i="19" s="1"/>
  <c r="Q23" i="1"/>
  <c r="Q27" i="1"/>
  <c r="Q33" i="1" s="1"/>
  <c r="Q34" i="1" s="1"/>
  <c r="Q25" i="1"/>
  <c r="Q19" i="1"/>
  <c r="W25" i="1"/>
  <c r="W26" i="1" s="1"/>
  <c r="AA66" i="1"/>
  <c r="AA67" i="1" s="1"/>
  <c r="W27" i="1"/>
  <c r="W33" i="1" s="1"/>
  <c r="W34" i="1" s="1"/>
  <c r="V27" i="32"/>
  <c r="V33" i="32" s="1"/>
  <c r="V34" i="32" s="1"/>
  <c r="F37" i="27"/>
  <c r="E38" i="27"/>
  <c r="W27" i="19"/>
  <c r="J21" i="27" s="1"/>
  <c r="J22" i="27" s="1"/>
  <c r="K161" i="29"/>
  <c r="K175" i="29" s="1"/>
  <c r="W23" i="19"/>
  <c r="U19" i="1"/>
  <c r="D33" i="27"/>
  <c r="P33" i="27" s="1"/>
  <c r="D30" i="27"/>
  <c r="W25" i="19"/>
  <c r="U23" i="1"/>
  <c r="AB22" i="19"/>
  <c r="AB23" i="19" s="1"/>
  <c r="K4" i="20"/>
  <c r="I160" i="21" s="1"/>
  <c r="Z19" i="19"/>
  <c r="Z23" i="19"/>
  <c r="Z27" i="19"/>
  <c r="M21" i="27" s="1"/>
  <c r="M22" i="27" s="1"/>
  <c r="AN51" i="32"/>
  <c r="AA22" i="1"/>
  <c r="AB38" i="1" s="1"/>
  <c r="Z25" i="19"/>
  <c r="Z26" i="19" s="1"/>
  <c r="W23" i="1"/>
  <c r="AI66" i="32"/>
  <c r="AI67" i="32" s="1"/>
  <c r="V23" i="32"/>
  <c r="V25" i="32"/>
  <c r="V26" i="32" s="1"/>
  <c r="BA47" i="32"/>
  <c r="P7" i="20"/>
  <c r="AN39" i="32"/>
  <c r="AN55" i="32"/>
  <c r="AJ66" i="32"/>
  <c r="AJ27" i="32"/>
  <c r="AJ33" i="32" s="1"/>
  <c r="AJ34" i="32" s="1"/>
  <c r="AJ25" i="32"/>
  <c r="AJ19" i="32"/>
  <c r="AN22" i="32"/>
  <c r="AN23" i="32" s="1"/>
  <c r="AH27" i="32"/>
  <c r="AH25" i="32"/>
  <c r="AH19" i="32"/>
  <c r="AA4" i="20"/>
  <c r="AN25" i="19"/>
  <c r="AN27" i="19"/>
  <c r="AN19" i="19"/>
  <c r="AK27" i="32"/>
  <c r="AK33" i="32" s="1"/>
  <c r="AK34" i="32" s="1"/>
  <c r="AK25" i="32"/>
  <c r="AK19" i="32"/>
  <c r="AI27" i="32"/>
  <c r="AI33" i="32" s="1"/>
  <c r="AI34" i="32" s="1"/>
  <c r="AI25" i="32"/>
  <c r="AI19" i="32"/>
  <c r="K23" i="21"/>
  <c r="X68" i="19"/>
  <c r="AL25" i="32"/>
  <c r="AL27" i="32"/>
  <c r="AL33" i="32" s="1"/>
  <c r="AL34" i="32" s="1"/>
  <c r="AP40" i="19"/>
  <c r="AP21" i="19"/>
  <c r="B155" i="24"/>
  <c r="L23" i="29"/>
  <c r="N131" i="24"/>
  <c r="BA21" i="19"/>
  <c r="BA22" i="19" s="1"/>
  <c r="BA33" i="19"/>
  <c r="BA39" i="19"/>
  <c r="BA56" i="19"/>
  <c r="AM9" i="20" s="1"/>
  <c r="AK163" i="29" s="1"/>
  <c r="BA52" i="19"/>
  <c r="BA40" i="19"/>
  <c r="AK66" i="32"/>
  <c r="O24" i="27"/>
  <c r="N163" i="29"/>
  <c r="H19" i="29"/>
  <c r="X4" i="20"/>
  <c r="AK25" i="19"/>
  <c r="AK27" i="19"/>
  <c r="J19" i="21"/>
  <c r="W4" i="20"/>
  <c r="AJ25" i="19"/>
  <c r="AJ27" i="19"/>
  <c r="AP22" i="19"/>
  <c r="AP23" i="19" s="1"/>
  <c r="W7" i="20"/>
  <c r="AP33" i="19"/>
  <c r="J19" i="29"/>
  <c r="AP52" i="19"/>
  <c r="E17" i="23"/>
  <c r="C133" i="24"/>
  <c r="C155" i="24" s="1"/>
  <c r="D18" i="23"/>
  <c r="D19" i="23" s="1"/>
  <c r="B138" i="24" s="1"/>
  <c r="B136" i="24"/>
  <c r="L23" i="21"/>
  <c r="AA7" i="20"/>
  <c r="Y161" i="29" s="1"/>
  <c r="O36" i="27"/>
  <c r="H177" i="21"/>
  <c r="H21" i="21"/>
  <c r="V67" i="32"/>
  <c r="X19" i="29"/>
  <c r="U25" i="32"/>
  <c r="U23" i="32"/>
  <c r="AA22" i="32"/>
  <c r="U27" i="32"/>
  <c r="U73" i="32" s="1"/>
  <c r="U74" i="32" s="1"/>
  <c r="U19" i="32"/>
  <c r="K177" i="21"/>
  <c r="K21" i="21"/>
  <c r="H19" i="21"/>
  <c r="N165" i="21"/>
  <c r="X7" i="20"/>
  <c r="V161" i="29" s="1"/>
  <c r="I19" i="29"/>
  <c r="D141" i="24"/>
  <c r="D158" i="24"/>
  <c r="L19" i="29"/>
  <c r="J133" i="24"/>
  <c r="J155" i="24" s="1"/>
  <c r="L17" i="23"/>
  <c r="L160" i="21"/>
  <c r="L189" i="21" s="1"/>
  <c r="L158" i="29"/>
  <c r="J141" i="24"/>
  <c r="J158" i="24"/>
  <c r="L163" i="21"/>
  <c r="L161" i="29"/>
  <c r="K19" i="21"/>
  <c r="U67" i="1"/>
  <c r="H22" i="29"/>
  <c r="AQ22" i="29" s="1"/>
  <c r="I19" i="21"/>
  <c r="L19" i="21"/>
  <c r="J163" i="21"/>
  <c r="J161" i="29"/>
  <c r="B173" i="24"/>
  <c r="B177" i="24" s="1"/>
  <c r="B179" i="24" s="1"/>
  <c r="N161" i="24"/>
  <c r="W68" i="19"/>
  <c r="AB67" i="19"/>
  <c r="AB68" i="19" s="1"/>
  <c r="W9" i="20"/>
  <c r="AP56" i="19"/>
  <c r="BA24" i="32"/>
  <c r="BD49" i="19"/>
  <c r="AN21" i="32"/>
  <c r="AY38" i="32"/>
  <c r="AY55" i="32"/>
  <c r="AY51" i="32"/>
  <c r="AY39" i="32"/>
  <c r="AY32" i="32"/>
  <c r="AY21" i="32"/>
  <c r="AY22" i="32" s="1"/>
  <c r="H23" i="21"/>
  <c r="AY21" i="19"/>
  <c r="AY22" i="19" s="1"/>
  <c r="AY33" i="19"/>
  <c r="AY39" i="19"/>
  <c r="AY56" i="19"/>
  <c r="AK9" i="20" s="1"/>
  <c r="AI163" i="29" s="1"/>
  <c r="AY52" i="19"/>
  <c r="AY40" i="19"/>
  <c r="Y68" i="19"/>
  <c r="AX56" i="19"/>
  <c r="AX52" i="19"/>
  <c r="AX40" i="19"/>
  <c r="AX21" i="19"/>
  <c r="AX33" i="19"/>
  <c r="BD18" i="19"/>
  <c r="AX39" i="19"/>
  <c r="AH66" i="32"/>
  <c r="AN38" i="32"/>
  <c r="BB21" i="19"/>
  <c r="BB22" i="19" s="1"/>
  <c r="BB33" i="19"/>
  <c r="BB39" i="19"/>
  <c r="BB56" i="19"/>
  <c r="AN9" i="20" s="1"/>
  <c r="AL163" i="29" s="1"/>
  <c r="BB52" i="19"/>
  <c r="BB40" i="19"/>
  <c r="H22" i="21"/>
  <c r="W22" i="21" s="1"/>
  <c r="N166" i="21"/>
  <c r="I23" i="29"/>
  <c r="I10" i="28"/>
  <c r="J23" i="29"/>
  <c r="AL66" i="32"/>
  <c r="U26" i="1"/>
  <c r="K141" i="24"/>
  <c r="K158" i="24"/>
  <c r="G17" i="23"/>
  <c r="E133" i="24"/>
  <c r="E155" i="24" s="1"/>
  <c r="N18" i="23"/>
  <c r="N19" i="23" s="1"/>
  <c r="L138" i="24" s="1"/>
  <c r="L136" i="24"/>
  <c r="N151" i="24"/>
  <c r="C153" i="24"/>
  <c r="N153" i="24" s="1"/>
  <c r="W67" i="1"/>
  <c r="U67" i="32"/>
  <c r="AA66" i="32"/>
  <c r="AA67" i="32" s="1"/>
  <c r="AP39" i="19"/>
  <c r="W67" i="32"/>
  <c r="AU38" i="32"/>
  <c r="AU21" i="32"/>
  <c r="AU22" i="32" s="1"/>
  <c r="AU39" i="32"/>
  <c r="BA18" i="32"/>
  <c r="AU55" i="32"/>
  <c r="AU51" i="32"/>
  <c r="AU32" i="32"/>
  <c r="E141" i="24"/>
  <c r="E158" i="24"/>
  <c r="BD48" i="19"/>
  <c r="AN32" i="32"/>
  <c r="AL4" i="20"/>
  <c r="AZ25" i="19"/>
  <c r="AZ27" i="19"/>
  <c r="Z7" i="20"/>
  <c r="X161" i="29" s="1"/>
  <c r="AX55" i="32"/>
  <c r="AX51" i="32"/>
  <c r="AX39" i="32"/>
  <c r="AX32" i="32"/>
  <c r="AX21" i="32"/>
  <c r="AX22" i="32" s="1"/>
  <c r="AX38" i="32"/>
  <c r="I23" i="21"/>
  <c r="O18" i="23"/>
  <c r="O19" i="23" s="1"/>
  <c r="M138" i="24" s="1"/>
  <c r="M136" i="24"/>
  <c r="J23" i="21"/>
  <c r="AL26" i="19"/>
  <c r="C141" i="24"/>
  <c r="C158" i="24"/>
  <c r="AJ19" i="19"/>
  <c r="O18" i="27"/>
  <c r="O16" i="27" s="1"/>
  <c r="I16" i="27"/>
  <c r="BA48" i="32"/>
  <c r="Y19" i="29"/>
  <c r="Q22" i="24"/>
  <c r="N22" i="24"/>
  <c r="C18" i="24"/>
  <c r="I163" i="21"/>
  <c r="I161" i="29"/>
  <c r="X34" i="32"/>
  <c r="X68" i="32"/>
  <c r="X69" i="32" s="1"/>
  <c r="BD24" i="19"/>
  <c r="AV38" i="32"/>
  <c r="AV55" i="32"/>
  <c r="AV51" i="32"/>
  <c r="AV39" i="32"/>
  <c r="AV32" i="32"/>
  <c r="AV21" i="32"/>
  <c r="AV22" i="32" s="1"/>
  <c r="Z4" i="20"/>
  <c r="AM27" i="19"/>
  <c r="AM25" i="19"/>
  <c r="V19" i="29"/>
  <c r="Z68" i="19"/>
  <c r="J160" i="21"/>
  <c r="J189" i="21" s="1"/>
  <c r="J158" i="29"/>
  <c r="J187" i="29" s="1"/>
  <c r="K19" i="29"/>
  <c r="Q131" i="24"/>
  <c r="K23" i="29"/>
  <c r="AW38" i="32"/>
  <c r="AW55" i="32"/>
  <c r="AW51" i="32"/>
  <c r="AW39" i="32"/>
  <c r="AW32" i="32"/>
  <c r="AW21" i="32"/>
  <c r="AW22" i="32" s="1"/>
  <c r="F17" i="23"/>
  <c r="D133" i="24"/>
  <c r="D155" i="24" s="1"/>
  <c r="N140" i="24"/>
  <c r="G8" i="28"/>
  <c r="J8" i="28"/>
  <c r="AL19" i="32"/>
  <c r="M17" i="23"/>
  <c r="K133" i="24"/>
  <c r="K155" i="24" s="1"/>
  <c r="S183" i="29" l="1"/>
  <c r="S164" i="21"/>
  <c r="AG5" i="20"/>
  <c r="AE159" i="29" s="1"/>
  <c r="N167" i="21"/>
  <c r="E18" i="21"/>
  <c r="C18" i="29"/>
  <c r="O18" i="29"/>
  <c r="O187" i="29"/>
  <c r="E175" i="29"/>
  <c r="E193" i="29" s="1"/>
  <c r="AA71" i="22"/>
  <c r="AF69" i="19"/>
  <c r="AF70" i="19" s="1"/>
  <c r="D12" i="20"/>
  <c r="D14" i="20" s="1"/>
  <c r="F191" i="29"/>
  <c r="F175" i="29"/>
  <c r="F193" i="29" s="1"/>
  <c r="B162" i="29"/>
  <c r="AU36" i="19"/>
  <c r="AU37" i="19" s="1"/>
  <c r="Q6" i="21"/>
  <c r="AD41" i="19"/>
  <c r="AD61" i="19" s="1"/>
  <c r="AD66" i="19" s="1"/>
  <c r="AU26" i="19"/>
  <c r="E18" i="29"/>
  <c r="E178" i="21"/>
  <c r="H18" i="23"/>
  <c r="H19" i="23" s="1"/>
  <c r="F138" i="24" s="1"/>
  <c r="N13" i="24"/>
  <c r="S14" i="24" s="1"/>
  <c r="BF39" i="19"/>
  <c r="BF21" i="19"/>
  <c r="BF22" i="19" s="1"/>
  <c r="BF52" i="19"/>
  <c r="BF33" i="19"/>
  <c r="BF56" i="19"/>
  <c r="BF25" i="19"/>
  <c r="BF40" i="19"/>
  <c r="N162" i="24"/>
  <c r="N173" i="24" s="1"/>
  <c r="N177" i="24" s="1"/>
  <c r="N179" i="24" s="1"/>
  <c r="J171" i="21"/>
  <c r="W171" i="21" s="1"/>
  <c r="J169" i="29"/>
  <c r="J197" i="29" s="1"/>
  <c r="F199" i="21"/>
  <c r="F26" i="21"/>
  <c r="F177" i="21"/>
  <c r="N26" i="24"/>
  <c r="E33" i="24"/>
  <c r="E46" i="24" s="1"/>
  <c r="E50" i="24" s="1"/>
  <c r="F48" i="24" s="1"/>
  <c r="Q26" i="24"/>
  <c r="E51" i="24"/>
  <c r="N156" i="24"/>
  <c r="N51" i="24" s="1"/>
  <c r="P15" i="20"/>
  <c r="E199" i="21"/>
  <c r="E193" i="21"/>
  <c r="E197" i="29"/>
  <c r="E191" i="29"/>
  <c r="AQ169" i="29"/>
  <c r="G177" i="21"/>
  <c r="G26" i="21"/>
  <c r="G199" i="21"/>
  <c r="G197" i="29"/>
  <c r="G175" i="29"/>
  <c r="D195" i="21"/>
  <c r="AQ165" i="29"/>
  <c r="W167" i="21"/>
  <c r="C18" i="21"/>
  <c r="O162" i="29"/>
  <c r="C177" i="21"/>
  <c r="C178" i="21" s="1"/>
  <c r="C187" i="29"/>
  <c r="M189" i="21"/>
  <c r="C189" i="21"/>
  <c r="N165" i="29"/>
  <c r="M187" i="29"/>
  <c r="M177" i="21"/>
  <c r="M178" i="21" s="1"/>
  <c r="C175" i="29"/>
  <c r="B23" i="21"/>
  <c r="B18" i="21" s="1"/>
  <c r="B189" i="21"/>
  <c r="B177" i="21"/>
  <c r="B178" i="21" s="1"/>
  <c r="M175" i="29"/>
  <c r="M23" i="29"/>
  <c r="M18" i="29" s="1"/>
  <c r="B23" i="29"/>
  <c r="B18" i="29" s="1"/>
  <c r="B187" i="29"/>
  <c r="BE52" i="19"/>
  <c r="BE40" i="19"/>
  <c r="BE39" i="19"/>
  <c r="BE33" i="19"/>
  <c r="BE21" i="19"/>
  <c r="BE22" i="19" s="1"/>
  <c r="BE25" i="19"/>
  <c r="BD10" i="19"/>
  <c r="BD25" i="19"/>
  <c r="AX22" i="19"/>
  <c r="BD22" i="19" s="1"/>
  <c r="BD23" i="19" s="1"/>
  <c r="AE8" i="20"/>
  <c r="AC162" i="29" s="1"/>
  <c r="O161" i="21"/>
  <c r="O78" i="21" s="1"/>
  <c r="M80" i="21" s="1"/>
  <c r="O159" i="29"/>
  <c r="O72" i="29" s="1"/>
  <c r="M74" i="29" s="1"/>
  <c r="Q183" i="29"/>
  <c r="AC21" i="29"/>
  <c r="AB182" i="29"/>
  <c r="AB185" i="29"/>
  <c r="AE6" i="29"/>
  <c r="T183" i="29"/>
  <c r="AB189" i="29"/>
  <c r="G89" i="29"/>
  <c r="G94" i="29" s="1"/>
  <c r="F98" i="29"/>
  <c r="O183" i="29"/>
  <c r="O175" i="29"/>
  <c r="O193" i="29" s="1"/>
  <c r="AB179" i="29"/>
  <c r="M112" i="29"/>
  <c r="M110" i="29"/>
  <c r="N100" i="29"/>
  <c r="K48" i="33"/>
  <c r="J49" i="33"/>
  <c r="K49" i="33" s="1"/>
  <c r="AS41" i="19"/>
  <c r="AS42" i="19" s="1"/>
  <c r="G69" i="29"/>
  <c r="G71" i="21"/>
  <c r="D7" i="30"/>
  <c r="AB8" i="20"/>
  <c r="Z162" i="29" s="1"/>
  <c r="AB183" i="29"/>
  <c r="AG69" i="19"/>
  <c r="AG70" i="19" s="1"/>
  <c r="Q71" i="21"/>
  <c r="V6" i="29"/>
  <c r="R71" i="21"/>
  <c r="P186" i="29"/>
  <c r="AR36" i="19"/>
  <c r="AR26" i="19"/>
  <c r="AG8" i="20"/>
  <c r="AE162" i="29" s="1"/>
  <c r="T185" i="29"/>
  <c r="AR34" i="19"/>
  <c r="AR35" i="19" s="1"/>
  <c r="AD5" i="20"/>
  <c r="R21" i="29"/>
  <c r="R183" i="29"/>
  <c r="Q22" i="21"/>
  <c r="Q18" i="21" s="1"/>
  <c r="Q177" i="21"/>
  <c r="F180" i="29"/>
  <c r="F184" i="29" s="1"/>
  <c r="F188" i="29" s="1"/>
  <c r="H13" i="29"/>
  <c r="F129" i="29"/>
  <c r="F128" i="29" s="1"/>
  <c r="F140" i="29" s="1"/>
  <c r="F141" i="29" s="1"/>
  <c r="AE189" i="29"/>
  <c r="AE179" i="29"/>
  <c r="AE191" i="29"/>
  <c r="AE182" i="29"/>
  <c r="AE185" i="29"/>
  <c r="Q42" i="19"/>
  <c r="Q61" i="19"/>
  <c r="Q23" i="29"/>
  <c r="Q187" i="29"/>
  <c r="AG158" i="29"/>
  <c r="AI51" i="19"/>
  <c r="U11" i="20"/>
  <c r="C129" i="29"/>
  <c r="C128" i="29" s="1"/>
  <c r="C140" i="29" s="1"/>
  <c r="C141" i="29" s="1"/>
  <c r="E13" i="29"/>
  <c r="C180" i="29"/>
  <c r="C181" i="29" s="1"/>
  <c r="B183" i="21"/>
  <c r="B186" i="21"/>
  <c r="O14" i="20"/>
  <c r="M168" i="21"/>
  <c r="M198" i="21" s="1"/>
  <c r="M210" i="21" s="1"/>
  <c r="M166" i="29"/>
  <c r="M196" i="29" s="1"/>
  <c r="M208" i="29" s="1"/>
  <c r="AH42" i="19"/>
  <c r="AH61" i="19"/>
  <c r="AH66" i="19" s="1"/>
  <c r="Q22" i="29"/>
  <c r="Q186" i="29"/>
  <c r="Q175" i="29"/>
  <c r="Q193" i="29" s="1"/>
  <c r="B14" i="29"/>
  <c r="B15" i="29"/>
  <c r="S42" i="19"/>
  <c r="S61" i="19"/>
  <c r="H13" i="21"/>
  <c r="F131" i="21"/>
  <c r="F130" i="21" s="1"/>
  <c r="F142" i="21" s="1"/>
  <c r="F143" i="21" s="1"/>
  <c r="F182" i="21"/>
  <c r="F183" i="21" s="1"/>
  <c r="AE180" i="29"/>
  <c r="AG13" i="29"/>
  <c r="AF21" i="29"/>
  <c r="BC34" i="19"/>
  <c r="BC35" i="19" s="1"/>
  <c r="AO5" i="20"/>
  <c r="AM159" i="29" s="1"/>
  <c r="R165" i="29"/>
  <c r="R167" i="21"/>
  <c r="R23" i="21" s="1"/>
  <c r="C131" i="21"/>
  <c r="C130" i="21" s="1"/>
  <c r="C142" i="21" s="1"/>
  <c r="C143" i="21" s="1"/>
  <c r="E13" i="21"/>
  <c r="C182" i="21"/>
  <c r="C183" i="21" s="1"/>
  <c r="AI47" i="19"/>
  <c r="U10" i="20"/>
  <c r="AH67" i="19"/>
  <c r="E180" i="29"/>
  <c r="G13" i="29"/>
  <c r="G11" i="29" s="1"/>
  <c r="G25" i="29" s="1"/>
  <c r="E129" i="29"/>
  <c r="E128" i="29" s="1"/>
  <c r="E140" i="29" s="1"/>
  <c r="E141" i="29" s="1"/>
  <c r="T161" i="21"/>
  <c r="T159" i="29"/>
  <c r="P62" i="19"/>
  <c r="P65" i="19"/>
  <c r="P71" i="19"/>
  <c r="P72" i="19" s="1"/>
  <c r="B181" i="29"/>
  <c r="B184" i="29"/>
  <c r="Z180" i="29"/>
  <c r="AC13" i="29"/>
  <c r="G129" i="29"/>
  <c r="G128" i="29" s="1"/>
  <c r="G140" i="29" s="1"/>
  <c r="G141" i="29" s="1"/>
  <c r="G76" i="29"/>
  <c r="F78" i="29" s="1"/>
  <c r="F77" i="29" s="1"/>
  <c r="G72" i="29"/>
  <c r="F74" i="29" s="1"/>
  <c r="F73" i="29" s="1"/>
  <c r="I13" i="29"/>
  <c r="G180" i="29"/>
  <c r="G181" i="29" s="1"/>
  <c r="F14" i="20"/>
  <c r="D168" i="21"/>
  <c r="D198" i="21" s="1"/>
  <c r="D210" i="21" s="1"/>
  <c r="D214" i="21" s="1"/>
  <c r="D216" i="21" s="1"/>
  <c r="D166" i="29"/>
  <c r="D196" i="29" s="1"/>
  <c r="D208" i="29" s="1"/>
  <c r="D212" i="29" s="1"/>
  <c r="D214" i="29" s="1"/>
  <c r="BC26" i="19"/>
  <c r="BC36" i="19"/>
  <c r="G29" i="27"/>
  <c r="G30" i="27" s="1"/>
  <c r="G26" i="27"/>
  <c r="R164" i="21"/>
  <c r="R162" i="29"/>
  <c r="T12" i="20"/>
  <c r="U42" i="19"/>
  <c r="U61" i="19"/>
  <c r="AW34" i="19"/>
  <c r="AW35" i="19" s="1"/>
  <c r="AI5" i="20"/>
  <c r="AG159" i="29" s="1"/>
  <c r="G14" i="20"/>
  <c r="E166" i="29"/>
  <c r="E196" i="29" s="1"/>
  <c r="E168" i="21"/>
  <c r="E198" i="21" s="1"/>
  <c r="V8" i="20"/>
  <c r="AM21" i="29"/>
  <c r="Z189" i="29"/>
  <c r="Z179" i="29"/>
  <c r="Z182" i="29"/>
  <c r="Z191" i="29"/>
  <c r="AD6" i="29"/>
  <c r="Z185" i="29"/>
  <c r="R166" i="21"/>
  <c r="R22" i="21" s="1"/>
  <c r="R164" i="29"/>
  <c r="G13" i="21"/>
  <c r="G11" i="21" s="1"/>
  <c r="G25" i="21" s="1"/>
  <c r="E182" i="21"/>
  <c r="E131" i="21"/>
  <c r="E130" i="21" s="1"/>
  <c r="E142" i="21" s="1"/>
  <c r="E143" i="21" s="1"/>
  <c r="AC181" i="29"/>
  <c r="AC184" i="29"/>
  <c r="P161" i="21"/>
  <c r="P159" i="29"/>
  <c r="F29" i="27"/>
  <c r="F30" i="27" s="1"/>
  <c r="F26" i="27"/>
  <c r="AO35" i="19"/>
  <c r="T6" i="21"/>
  <c r="AV26" i="19"/>
  <c r="AV36" i="19"/>
  <c r="G74" i="21"/>
  <c r="F76" i="21" s="1"/>
  <c r="F75" i="21" s="1"/>
  <c r="I13" i="21"/>
  <c r="G182" i="21"/>
  <c r="G186" i="21" s="1"/>
  <c r="G190" i="21" s="1"/>
  <c r="G78" i="21"/>
  <c r="F80" i="21" s="1"/>
  <c r="F79" i="21" s="1"/>
  <c r="G131" i="21"/>
  <c r="G130" i="21" s="1"/>
  <c r="G142" i="21" s="1"/>
  <c r="G143" i="21" s="1"/>
  <c r="AG21" i="29"/>
  <c r="AF42" i="19"/>
  <c r="AF61" i="19"/>
  <c r="AF66" i="19" s="1"/>
  <c r="B193" i="29"/>
  <c r="B176" i="29"/>
  <c r="AM158" i="29"/>
  <c r="AM183" i="29" s="1"/>
  <c r="T71" i="21"/>
  <c r="S72" i="21"/>
  <c r="S71" i="21" s="1"/>
  <c r="F164" i="21"/>
  <c r="F162" i="29"/>
  <c r="H12" i="20"/>
  <c r="Q180" i="29"/>
  <c r="Q76" i="29"/>
  <c r="P78" i="29" s="1"/>
  <c r="S13" i="29"/>
  <c r="Q72" i="29"/>
  <c r="P74" i="29" s="1"/>
  <c r="AI37" i="19"/>
  <c r="AI41" i="19"/>
  <c r="P183" i="29"/>
  <c r="P21" i="29"/>
  <c r="P18" i="29" s="1"/>
  <c r="P175" i="29"/>
  <c r="P193" i="29" s="1"/>
  <c r="AD21" i="29"/>
  <c r="U13" i="29"/>
  <c r="S72" i="29"/>
  <c r="R74" i="29" s="1"/>
  <c r="S76" i="29"/>
  <c r="R78" i="29" s="1"/>
  <c r="S180" i="29"/>
  <c r="S181" i="29" s="1"/>
  <c r="AF158" i="29"/>
  <c r="AF183" i="29" s="1"/>
  <c r="Q14" i="20"/>
  <c r="O168" i="21"/>
  <c r="O166" i="29"/>
  <c r="AA42" i="19"/>
  <c r="AA61" i="19"/>
  <c r="AA66" i="19" s="1"/>
  <c r="AT34" i="19"/>
  <c r="AT35" i="19" s="1"/>
  <c r="AF5" i="20"/>
  <c r="AD159" i="29" s="1"/>
  <c r="M180" i="29"/>
  <c r="M184" i="29" s="1"/>
  <c r="M188" i="29" s="1"/>
  <c r="M129" i="29"/>
  <c r="M128" i="29" s="1"/>
  <c r="M140" i="29" s="1"/>
  <c r="M141" i="29" s="1"/>
  <c r="M72" i="29"/>
  <c r="L74" i="29" s="1"/>
  <c r="P13" i="29"/>
  <c r="M76" i="29"/>
  <c r="L78" i="29" s="1"/>
  <c r="P189" i="29"/>
  <c r="P68" i="29"/>
  <c r="O70" i="29" s="1"/>
  <c r="O69" i="29" s="1"/>
  <c r="S6" i="29"/>
  <c r="P179" i="29"/>
  <c r="P191" i="29"/>
  <c r="P182" i="29"/>
  <c r="T68" i="29"/>
  <c r="T189" i="29"/>
  <c r="T179" i="29"/>
  <c r="T182" i="29"/>
  <c r="T191" i="29"/>
  <c r="Q78" i="21"/>
  <c r="P80" i="21" s="1"/>
  <c r="Q74" i="21"/>
  <c r="P76" i="21" s="1"/>
  <c r="S13" i="21"/>
  <c r="AE41" i="19"/>
  <c r="AE37" i="19"/>
  <c r="P21" i="21"/>
  <c r="P18" i="21" s="1"/>
  <c r="P177" i="21"/>
  <c r="F13" i="29"/>
  <c r="F11" i="29" s="1"/>
  <c r="F25" i="29" s="1"/>
  <c r="F34" i="29" s="1"/>
  <c r="D129" i="29"/>
  <c r="D128" i="29" s="1"/>
  <c r="D140" i="29" s="1"/>
  <c r="D141" i="29" s="1"/>
  <c r="D180" i="29"/>
  <c r="D181" i="29" s="1"/>
  <c r="Q166" i="29"/>
  <c r="Q168" i="21"/>
  <c r="S14" i="20"/>
  <c r="S78" i="21"/>
  <c r="R80" i="21" s="1"/>
  <c r="S74" i="21"/>
  <c r="R76" i="21" s="1"/>
  <c r="R6" i="29"/>
  <c r="AV34" i="19"/>
  <c r="AV35" i="19" s="1"/>
  <c r="AH5" i="20"/>
  <c r="AF159" i="29" s="1"/>
  <c r="AE183" i="29"/>
  <c r="AE69" i="19"/>
  <c r="AE70" i="19" s="1"/>
  <c r="C166" i="29"/>
  <c r="C196" i="29" s="1"/>
  <c r="C208" i="29" s="1"/>
  <c r="C212" i="29" s="1"/>
  <c r="C214" i="29" s="1"/>
  <c r="E14" i="20"/>
  <c r="C168" i="21"/>
  <c r="C198" i="21" s="1"/>
  <c r="C210" i="21" s="1"/>
  <c r="C214" i="21" s="1"/>
  <c r="C216" i="21" s="1"/>
  <c r="R42" i="19"/>
  <c r="R61" i="19"/>
  <c r="R161" i="21"/>
  <c r="R159" i="29"/>
  <c r="AT36" i="19"/>
  <c r="AT26" i="19"/>
  <c r="P162" i="29"/>
  <c r="P164" i="21"/>
  <c r="R12" i="20"/>
  <c r="R21" i="21"/>
  <c r="R182" i="29"/>
  <c r="R68" i="29"/>
  <c r="Q70" i="29" s="1"/>
  <c r="Q69" i="29" s="1"/>
  <c r="R191" i="29"/>
  <c r="R189" i="29"/>
  <c r="U6" i="29"/>
  <c r="R179" i="29"/>
  <c r="B14" i="21"/>
  <c r="B15" i="21"/>
  <c r="S6" i="21"/>
  <c r="P70" i="21"/>
  <c r="O72" i="21" s="1"/>
  <c r="O71" i="21" s="1"/>
  <c r="D186" i="21"/>
  <c r="D190" i="21" s="1"/>
  <c r="D183" i="21"/>
  <c r="AG41" i="19"/>
  <c r="AG37" i="19"/>
  <c r="M78" i="21"/>
  <c r="L80" i="21" s="1"/>
  <c r="P13" i="21"/>
  <c r="M74" i="21"/>
  <c r="L76" i="21" s="1"/>
  <c r="M131" i="21"/>
  <c r="M130" i="21" s="1"/>
  <c r="M142" i="21" s="1"/>
  <c r="M143" i="21" s="1"/>
  <c r="M182" i="21"/>
  <c r="M186" i="21" s="1"/>
  <c r="M190" i="21" s="1"/>
  <c r="D131" i="21"/>
  <c r="D130" i="21" s="1"/>
  <c r="D142" i="21" s="1"/>
  <c r="D143" i="21" s="1"/>
  <c r="F13" i="21"/>
  <c r="F11" i="21" s="1"/>
  <c r="F25" i="21" s="1"/>
  <c r="AO41" i="19"/>
  <c r="AO37" i="19"/>
  <c r="T6" i="29"/>
  <c r="T42" i="19"/>
  <c r="T61" i="19"/>
  <c r="P185" i="29"/>
  <c r="H29" i="27"/>
  <c r="H30" i="27" s="1"/>
  <c r="H26" i="27"/>
  <c r="R6" i="21"/>
  <c r="N29" i="27"/>
  <c r="N30" i="27" s="1"/>
  <c r="N26" i="27"/>
  <c r="AW36" i="19"/>
  <c r="AW26" i="19"/>
  <c r="G168" i="21"/>
  <c r="G198" i="21" s="1"/>
  <c r="G166" i="29"/>
  <c r="G196" i="29" s="1"/>
  <c r="I14" i="20"/>
  <c r="AD158" i="29"/>
  <c r="AD183" i="29" s="1"/>
  <c r="X36" i="1"/>
  <c r="X26" i="1"/>
  <c r="W21" i="29"/>
  <c r="W68" i="32"/>
  <c r="W69" i="32" s="1"/>
  <c r="W73" i="32"/>
  <c r="W74" i="32" s="1"/>
  <c r="W35" i="32"/>
  <c r="W40" i="32" s="1"/>
  <c r="Y68" i="1"/>
  <c r="Y69" i="1" s="1"/>
  <c r="T36" i="1"/>
  <c r="Y35" i="1"/>
  <c r="Y36" i="1" s="1"/>
  <c r="Y73" i="1"/>
  <c r="Y74" i="1" s="1"/>
  <c r="X40" i="32"/>
  <c r="X41" i="32" s="1"/>
  <c r="Z73" i="1"/>
  <c r="Z74" i="1" s="1"/>
  <c r="Y5" i="20"/>
  <c r="W159" i="29" s="1"/>
  <c r="W180" i="29" s="1"/>
  <c r="AL34" i="19"/>
  <c r="AL35" i="19" s="1"/>
  <c r="T26" i="1"/>
  <c r="H185" i="21"/>
  <c r="I70" i="21"/>
  <c r="H72" i="21" s="1"/>
  <c r="H71" i="21" s="1"/>
  <c r="H175" i="29"/>
  <c r="H176" i="29" s="1"/>
  <c r="L21" i="27"/>
  <c r="L22" i="27" s="1"/>
  <c r="L25" i="27" s="1"/>
  <c r="P35" i="1"/>
  <c r="P36" i="1" s="1"/>
  <c r="P33" i="1"/>
  <c r="P68" i="1" s="1"/>
  <c r="V40" i="1"/>
  <c r="V59" i="1" s="1"/>
  <c r="BD9" i="19"/>
  <c r="H188" i="21"/>
  <c r="H187" i="21"/>
  <c r="J6" i="21"/>
  <c r="J7" i="21" s="1"/>
  <c r="H136" i="21"/>
  <c r="H137" i="21" s="1"/>
  <c r="R68" i="1"/>
  <c r="R69" i="1" s="1"/>
  <c r="H189" i="21"/>
  <c r="H181" i="21"/>
  <c r="Z68" i="1"/>
  <c r="Z69" i="1" s="1"/>
  <c r="H191" i="21"/>
  <c r="Z35" i="1"/>
  <c r="H184" i="21"/>
  <c r="R35" i="1"/>
  <c r="R73" i="1"/>
  <c r="R74" i="1" s="1"/>
  <c r="Y36" i="19"/>
  <c r="Y41" i="19" s="1"/>
  <c r="AB19" i="19"/>
  <c r="Y74" i="19"/>
  <c r="Y75" i="19" s="1"/>
  <c r="Y34" i="19"/>
  <c r="Y35" i="19" s="1"/>
  <c r="S68" i="1"/>
  <c r="S69" i="1" s="1"/>
  <c r="AL7" i="20"/>
  <c r="AJ161" i="29" s="1"/>
  <c r="H158" i="29"/>
  <c r="J6" i="29" s="1"/>
  <c r="M8" i="20"/>
  <c r="M12" i="20" s="1"/>
  <c r="U35" i="1"/>
  <c r="U36" i="1" s="1"/>
  <c r="S73" i="1"/>
  <c r="S74" i="1" s="1"/>
  <c r="AB15" i="1"/>
  <c r="U73" i="1"/>
  <c r="U74" i="1" s="1"/>
  <c r="K158" i="29"/>
  <c r="U68" i="1"/>
  <c r="U69" i="1" s="1"/>
  <c r="X34" i="19"/>
  <c r="X35" i="19" s="1"/>
  <c r="L5" i="20"/>
  <c r="L8" i="20" s="1"/>
  <c r="J164" i="21" s="1"/>
  <c r="K21" i="27"/>
  <c r="K22" i="27" s="1"/>
  <c r="K25" i="27" s="1"/>
  <c r="Y68" i="32"/>
  <c r="Y69" i="32" s="1"/>
  <c r="Y35" i="32"/>
  <c r="Y40" i="32" s="1"/>
  <c r="Y73" i="32"/>
  <c r="Y74" i="32" s="1"/>
  <c r="W36" i="19"/>
  <c r="W37" i="19" s="1"/>
  <c r="X36" i="19"/>
  <c r="X41" i="19" s="1"/>
  <c r="W26" i="19"/>
  <c r="AB26" i="19" s="1"/>
  <c r="V35" i="32"/>
  <c r="V36" i="32" s="1"/>
  <c r="V73" i="32"/>
  <c r="V74" i="32" s="1"/>
  <c r="S26" i="1"/>
  <c r="S35" i="1"/>
  <c r="V68" i="32"/>
  <c r="V69" i="32" s="1"/>
  <c r="AB27" i="19"/>
  <c r="AB34" i="19" s="1"/>
  <c r="AB35" i="19" s="1"/>
  <c r="Z74" i="19"/>
  <c r="Z75" i="19" s="1"/>
  <c r="AB57" i="1"/>
  <c r="W74" i="19"/>
  <c r="W75" i="19" s="1"/>
  <c r="Q68" i="1"/>
  <c r="Q69" i="1" s="1"/>
  <c r="AB63" i="1"/>
  <c r="W34" i="19"/>
  <c r="W35" i="19" s="1"/>
  <c r="AA23" i="1"/>
  <c r="W35" i="1"/>
  <c r="W40" i="1" s="1"/>
  <c r="W68" i="1"/>
  <c r="W69" i="1" s="1"/>
  <c r="Q35" i="1"/>
  <c r="Q26" i="1"/>
  <c r="V74" i="19"/>
  <c r="V75" i="19" s="1"/>
  <c r="V34" i="19"/>
  <c r="J5" i="20"/>
  <c r="I21" i="27"/>
  <c r="I22" i="27" s="1"/>
  <c r="I25" i="27" s="1"/>
  <c r="V36" i="19"/>
  <c r="AI68" i="32"/>
  <c r="AI69" i="32" s="1"/>
  <c r="K5" i="20"/>
  <c r="K8" i="20" s="1"/>
  <c r="AB50" i="1"/>
  <c r="I187" i="21"/>
  <c r="I189" i="21"/>
  <c r="Z36" i="19"/>
  <c r="Z37" i="19" s="1"/>
  <c r="AJ68" i="32"/>
  <c r="AJ69" i="32" s="1"/>
  <c r="W73" i="1"/>
  <c r="W74" i="1" s="1"/>
  <c r="AA27" i="1"/>
  <c r="AB27" i="1" s="1"/>
  <c r="P4" i="20"/>
  <c r="K18" i="21"/>
  <c r="I158" i="29"/>
  <c r="I182" i="29" s="1"/>
  <c r="AB25" i="19"/>
  <c r="AB24" i="1"/>
  <c r="AB17" i="1"/>
  <c r="AB37" i="1"/>
  <c r="AB43" i="1"/>
  <c r="AB58" i="1"/>
  <c r="K21" i="29"/>
  <c r="K18" i="29" s="1"/>
  <c r="G37" i="27"/>
  <c r="F38" i="27"/>
  <c r="AJ67" i="32"/>
  <c r="AA25" i="1"/>
  <c r="AB30" i="1"/>
  <c r="AB54" i="1"/>
  <c r="AB44" i="1"/>
  <c r="AB47" i="1"/>
  <c r="AB22" i="1"/>
  <c r="AB52" i="1"/>
  <c r="AB28" i="1"/>
  <c r="AB51" i="1"/>
  <c r="AB31" i="1"/>
  <c r="W163" i="21"/>
  <c r="AA19" i="1"/>
  <c r="AB45" i="1"/>
  <c r="AB56" i="1"/>
  <c r="AB62" i="1"/>
  <c r="AB16" i="1"/>
  <c r="AB49" i="1"/>
  <c r="AB29" i="1"/>
  <c r="AB42" i="1"/>
  <c r="AB55" i="1"/>
  <c r="AB21" i="1"/>
  <c r="AB66" i="1"/>
  <c r="AB65" i="1"/>
  <c r="AB32" i="1"/>
  <c r="AB48" i="1"/>
  <c r="AB18" i="1"/>
  <c r="AB53" i="1"/>
  <c r="AB61" i="1"/>
  <c r="AB46" i="1"/>
  <c r="AB39" i="1"/>
  <c r="N158" i="24"/>
  <c r="L187" i="21"/>
  <c r="AP25" i="19"/>
  <c r="Q141" i="24"/>
  <c r="AP19" i="19"/>
  <c r="N5" i="20"/>
  <c r="N8" i="20" s="1"/>
  <c r="L164" i="21" s="1"/>
  <c r="Z34" i="19"/>
  <c r="AN19" i="32"/>
  <c r="AN25" i="32"/>
  <c r="BA39" i="32"/>
  <c r="AV27" i="32"/>
  <c r="AV33" i="32" s="1"/>
  <c r="AV34" i="32" s="1"/>
  <c r="AV25" i="32"/>
  <c r="AN4" i="20"/>
  <c r="BB25" i="19"/>
  <c r="BB27" i="19"/>
  <c r="AM4" i="20"/>
  <c r="BA25" i="19"/>
  <c r="BA27" i="19"/>
  <c r="M23" i="27"/>
  <c r="M25" i="27"/>
  <c r="AM36" i="19"/>
  <c r="AM26" i="19"/>
  <c r="T59" i="1"/>
  <c r="T41" i="1"/>
  <c r="AU25" i="32"/>
  <c r="BA22" i="32"/>
  <c r="BA23" i="32" s="1"/>
  <c r="AU27" i="32"/>
  <c r="BD39" i="19"/>
  <c r="AY66" i="32"/>
  <c r="V21" i="29"/>
  <c r="AA27" i="32"/>
  <c r="AA33" i="32" s="1"/>
  <c r="AA34" i="32" s="1"/>
  <c r="U33" i="32"/>
  <c r="AP27" i="19"/>
  <c r="AP34" i="19" s="1"/>
  <c r="AP35" i="19" s="1"/>
  <c r="AJ34" i="19"/>
  <c r="AJ35" i="19" s="1"/>
  <c r="W5" i="20"/>
  <c r="W8" i="20" s="1"/>
  <c r="K191" i="21"/>
  <c r="K193" i="21"/>
  <c r="K181" i="21"/>
  <c r="K184" i="21"/>
  <c r="K136" i="21"/>
  <c r="K137" i="21" s="1"/>
  <c r="L70" i="21"/>
  <c r="K72" i="21" s="1"/>
  <c r="O6" i="21"/>
  <c r="K188" i="21"/>
  <c r="AQ19" i="29"/>
  <c r="H18" i="29"/>
  <c r="N19" i="29"/>
  <c r="I193" i="21"/>
  <c r="I191" i="21"/>
  <c r="I184" i="21"/>
  <c r="I181" i="21"/>
  <c r="I136" i="21"/>
  <c r="I137" i="21" s="1"/>
  <c r="J70" i="21"/>
  <c r="I72" i="21" s="1"/>
  <c r="L6" i="21"/>
  <c r="I188" i="21"/>
  <c r="N155" i="24"/>
  <c r="AI35" i="32"/>
  <c r="AI26" i="32"/>
  <c r="J182" i="29"/>
  <c r="J179" i="29"/>
  <c r="J191" i="29"/>
  <c r="J189" i="29"/>
  <c r="K68" i="29"/>
  <c r="J70" i="29" s="1"/>
  <c r="J134" i="29"/>
  <c r="J135" i="29" s="1"/>
  <c r="J186" i="29"/>
  <c r="X21" i="29"/>
  <c r="AZ34" i="19"/>
  <c r="AZ35" i="19" s="1"/>
  <c r="AL5" i="20"/>
  <c r="AJ159" i="29" s="1"/>
  <c r="AL19" i="29"/>
  <c r="AK4" i="20"/>
  <c r="AY25" i="19"/>
  <c r="AY27" i="19"/>
  <c r="J183" i="29"/>
  <c r="J175" i="29"/>
  <c r="J21" i="29"/>
  <c r="J18" i="29" s="1"/>
  <c r="I11" i="28"/>
  <c r="L191" i="29"/>
  <c r="L189" i="29"/>
  <c r="L179" i="29"/>
  <c r="L134" i="29"/>
  <c r="L135" i="29" s="1"/>
  <c r="L182" i="29"/>
  <c r="M68" i="29"/>
  <c r="P6" i="29"/>
  <c r="L186" i="29"/>
  <c r="AA23" i="32"/>
  <c r="AA25" i="32"/>
  <c r="AA19" i="32"/>
  <c r="AJ26" i="19"/>
  <c r="AJ36" i="19"/>
  <c r="N141" i="24"/>
  <c r="K161" i="21"/>
  <c r="K159" i="29"/>
  <c r="J193" i="21"/>
  <c r="J191" i="21"/>
  <c r="J184" i="21"/>
  <c r="J136" i="21"/>
  <c r="J137" i="21" s="1"/>
  <c r="K70" i="21"/>
  <c r="J72" i="21" s="1"/>
  <c r="M6" i="21"/>
  <c r="J181" i="21"/>
  <c r="J188" i="21"/>
  <c r="X158" i="29"/>
  <c r="Z6" i="29" s="1"/>
  <c r="AX66" i="32"/>
  <c r="AZ26" i="19"/>
  <c r="AZ36" i="19"/>
  <c r="N22" i="29"/>
  <c r="BA21" i="32"/>
  <c r="AK7" i="20"/>
  <c r="AI161" i="29" s="1"/>
  <c r="AY27" i="32"/>
  <c r="AY33" i="32" s="1"/>
  <c r="AY34" i="32" s="1"/>
  <c r="AY25" i="32"/>
  <c r="AC9" i="20"/>
  <c r="U163" i="29"/>
  <c r="AA163" i="29" s="1"/>
  <c r="J185" i="21"/>
  <c r="J177" i="21"/>
  <c r="J21" i="21"/>
  <c r="J18" i="21" s="1"/>
  <c r="L191" i="21"/>
  <c r="L181" i="21"/>
  <c r="L193" i="21"/>
  <c r="P6" i="21"/>
  <c r="L136" i="21"/>
  <c r="L137" i="21" s="1"/>
  <c r="M70" i="21"/>
  <c r="L184" i="21"/>
  <c r="L188" i="21"/>
  <c r="H18" i="21"/>
  <c r="N19" i="21"/>
  <c r="W19" i="21"/>
  <c r="J185" i="29"/>
  <c r="AC4" i="20"/>
  <c r="U158" i="29"/>
  <c r="N160" i="21"/>
  <c r="N136" i="21" s="1"/>
  <c r="N137" i="21" s="1"/>
  <c r="K189" i="21"/>
  <c r="AN34" i="19"/>
  <c r="AA5" i="20"/>
  <c r="Y159" i="29" s="1"/>
  <c r="AX27" i="32"/>
  <c r="AX33" i="32" s="1"/>
  <c r="AX34" i="32" s="1"/>
  <c r="AX25" i="32"/>
  <c r="AJ158" i="29"/>
  <c r="AU66" i="32"/>
  <c r="BA38" i="32"/>
  <c r="G18" i="23"/>
  <c r="G19" i="23" s="1"/>
  <c r="E138" i="24" s="1"/>
  <c r="E136" i="24"/>
  <c r="AJ7" i="20"/>
  <c r="BD33" i="19"/>
  <c r="U35" i="32"/>
  <c r="U26" i="32"/>
  <c r="AA26" i="32" s="1"/>
  <c r="AK67" i="32"/>
  <c r="AK68" i="32"/>
  <c r="AK69" i="32" s="1"/>
  <c r="L187" i="29"/>
  <c r="AN36" i="19"/>
  <c r="AN26" i="19"/>
  <c r="AV66" i="32"/>
  <c r="F18" i="23"/>
  <c r="F19" i="23" s="1"/>
  <c r="D138" i="24" s="1"/>
  <c r="D136" i="24"/>
  <c r="I175" i="29"/>
  <c r="I21" i="29"/>
  <c r="I18" i="29" s="1"/>
  <c r="BA32" i="32"/>
  <c r="AN7" i="20"/>
  <c r="AL161" i="29" s="1"/>
  <c r="BD21" i="19"/>
  <c r="N161" i="29"/>
  <c r="K187" i="21"/>
  <c r="J187" i="21"/>
  <c r="K176" i="29"/>
  <c r="AK19" i="29"/>
  <c r="AL35" i="32"/>
  <c r="AL26" i="32"/>
  <c r="Y158" i="29"/>
  <c r="Y183" i="29" s="1"/>
  <c r="N18" i="24"/>
  <c r="J23" i="27"/>
  <c r="J25" i="27"/>
  <c r="AW27" i="32"/>
  <c r="AW33" i="32" s="1"/>
  <c r="AW34" i="32" s="1"/>
  <c r="AW25" i="32"/>
  <c r="W189" i="29"/>
  <c r="W191" i="29"/>
  <c r="W179" i="29"/>
  <c r="W182" i="29"/>
  <c r="W185" i="29"/>
  <c r="I185" i="21"/>
  <c r="I177" i="21"/>
  <c r="I21" i="21"/>
  <c r="I18" i="21" s="1"/>
  <c r="BD40" i="19"/>
  <c r="L175" i="29"/>
  <c r="L21" i="29"/>
  <c r="L18" i="29" s="1"/>
  <c r="L183" i="29"/>
  <c r="C136" i="24"/>
  <c r="E18" i="23"/>
  <c r="E19" i="23" s="1"/>
  <c r="C138" i="24" s="1"/>
  <c r="AC7" i="20"/>
  <c r="U161" i="29"/>
  <c r="AA161" i="29" s="1"/>
  <c r="AK34" i="19"/>
  <c r="AK35" i="19" s="1"/>
  <c r="X5" i="20"/>
  <c r="V159" i="29" s="1"/>
  <c r="AJ35" i="32"/>
  <c r="AJ26" i="32"/>
  <c r="AW66" i="32"/>
  <c r="Z5" i="20"/>
  <c r="X159" i="29" s="1"/>
  <c r="AM34" i="19"/>
  <c r="AM35" i="19" s="1"/>
  <c r="M18" i="23"/>
  <c r="M19" i="23" s="1"/>
  <c r="K138" i="24" s="1"/>
  <c r="K136" i="24"/>
  <c r="BA51" i="32"/>
  <c r="N22" i="21"/>
  <c r="AL41" i="19"/>
  <c r="AL37" i="19"/>
  <c r="BA55" i="32"/>
  <c r="AL68" i="32"/>
  <c r="AL69" i="32" s="1"/>
  <c r="AL67" i="32"/>
  <c r="BD52" i="19"/>
  <c r="AQ161" i="29"/>
  <c r="L185" i="21"/>
  <c r="L177" i="21"/>
  <c r="L21" i="21"/>
  <c r="L18" i="21" s="1"/>
  <c r="L185" i="29"/>
  <c r="X41" i="1"/>
  <c r="X59" i="1"/>
  <c r="K178" i="21"/>
  <c r="K195" i="21"/>
  <c r="N163" i="21"/>
  <c r="Y21" i="29"/>
  <c r="K6" i="21"/>
  <c r="AK26" i="19"/>
  <c r="AK36" i="19"/>
  <c r="W183" i="29"/>
  <c r="AH26" i="32"/>
  <c r="AH35" i="32"/>
  <c r="AH67" i="32"/>
  <c r="AN66" i="32"/>
  <c r="AN67" i="32" s="1"/>
  <c r="AJ9" i="20"/>
  <c r="BD56" i="19"/>
  <c r="AI19" i="29"/>
  <c r="L18" i="23"/>
  <c r="L19" i="23" s="1"/>
  <c r="J138" i="24" s="1"/>
  <c r="J136" i="24"/>
  <c r="H178" i="21"/>
  <c r="H195" i="21"/>
  <c r="W160" i="21"/>
  <c r="V158" i="29"/>
  <c r="V183" i="29" s="1"/>
  <c r="AM7" i="20"/>
  <c r="AK161" i="29" s="1"/>
  <c r="N133" i="24"/>
  <c r="AK35" i="32"/>
  <c r="AK26" i="32"/>
  <c r="AN27" i="32"/>
  <c r="AN33" i="32" s="1"/>
  <c r="AN34" i="32" s="1"/>
  <c r="AH33" i="32"/>
  <c r="AH34" i="32" s="1"/>
  <c r="B166" i="29" l="1"/>
  <c r="B196" i="29" s="1"/>
  <c r="B208" i="29" s="1"/>
  <c r="B212" i="29" s="1"/>
  <c r="B214" i="29" s="1"/>
  <c r="AD42" i="19"/>
  <c r="AU41" i="19"/>
  <c r="B168" i="21"/>
  <c r="B198" i="21" s="1"/>
  <c r="B210" i="21" s="1"/>
  <c r="B214" i="21" s="1"/>
  <c r="B216" i="21" s="1"/>
  <c r="N23" i="21"/>
  <c r="W23" i="21"/>
  <c r="N197" i="29"/>
  <c r="E208" i="29"/>
  <c r="E212" i="29" s="1"/>
  <c r="E214" i="29" s="1"/>
  <c r="N171" i="21"/>
  <c r="E176" i="29"/>
  <c r="F176" i="29"/>
  <c r="N169" i="29"/>
  <c r="F35" i="21"/>
  <c r="F60" i="21" s="1"/>
  <c r="F64" i="21" s="1"/>
  <c r="G62" i="21" s="1"/>
  <c r="G212" i="21" s="1"/>
  <c r="G35" i="21"/>
  <c r="G60" i="21" s="1"/>
  <c r="B195" i="21"/>
  <c r="O76" i="29"/>
  <c r="M78" i="29" s="1"/>
  <c r="M77" i="29" s="1"/>
  <c r="O74" i="21"/>
  <c r="M76" i="21" s="1"/>
  <c r="M75" i="21" s="1"/>
  <c r="Q13" i="21"/>
  <c r="Q11" i="21" s="1"/>
  <c r="Q25" i="21" s="1"/>
  <c r="Q35" i="21" s="1"/>
  <c r="Q60" i="21" s="1"/>
  <c r="O180" i="29"/>
  <c r="O181" i="29" s="1"/>
  <c r="AQ23" i="29"/>
  <c r="N23" i="29"/>
  <c r="F186" i="21"/>
  <c r="F190" i="21" s="1"/>
  <c r="BF27" i="19"/>
  <c r="BF34" i="19" s="1"/>
  <c r="BF35" i="19" s="1"/>
  <c r="BF23" i="19"/>
  <c r="BF19" i="19"/>
  <c r="G210" i="21"/>
  <c r="C195" i="21"/>
  <c r="E210" i="21"/>
  <c r="E214" i="21" s="1"/>
  <c r="E216" i="21" s="1"/>
  <c r="G208" i="29"/>
  <c r="G176" i="29"/>
  <c r="G193" i="29"/>
  <c r="F175" i="24"/>
  <c r="F177" i="24" s="1"/>
  <c r="F50" i="24"/>
  <c r="G48" i="24" s="1"/>
  <c r="G178" i="21"/>
  <c r="G195" i="21"/>
  <c r="F178" i="21"/>
  <c r="F195" i="21"/>
  <c r="E179" i="24"/>
  <c r="J26" i="21"/>
  <c r="W26" i="21" s="1"/>
  <c r="J199" i="21"/>
  <c r="N199" i="21" s="1"/>
  <c r="M195" i="21"/>
  <c r="B190" i="21"/>
  <c r="C176" i="29"/>
  <c r="C193" i="29"/>
  <c r="B188" i="29"/>
  <c r="M193" i="29"/>
  <c r="M176" i="29"/>
  <c r="Q13" i="29"/>
  <c r="AX25" i="19"/>
  <c r="AX26" i="19" s="1"/>
  <c r="AJ4" i="20"/>
  <c r="AH158" i="29" s="1"/>
  <c r="AX27" i="19"/>
  <c r="BD27" i="19" s="1"/>
  <c r="BD34" i="19" s="1"/>
  <c r="BD35" i="19" s="1"/>
  <c r="BE27" i="19"/>
  <c r="BE34" i="19" s="1"/>
  <c r="AF8" i="20"/>
  <c r="AD162" i="29" s="1"/>
  <c r="F80" i="29"/>
  <c r="AA158" i="29"/>
  <c r="AA134" i="29" s="1"/>
  <c r="AA135" i="29" s="1"/>
  <c r="Q184" i="29"/>
  <c r="Q188" i="29" s="1"/>
  <c r="H89" i="29"/>
  <c r="G98" i="29"/>
  <c r="M95" i="29"/>
  <c r="J7" i="29"/>
  <c r="J8" i="29" s="1"/>
  <c r="K185" i="29"/>
  <c r="O6" i="29"/>
  <c r="F63" i="29"/>
  <c r="G61" i="29" s="1"/>
  <c r="O184" i="29"/>
  <c r="O188" i="29" s="1"/>
  <c r="Q18" i="29"/>
  <c r="F82" i="21"/>
  <c r="Q181" i="29"/>
  <c r="R175" i="29"/>
  <c r="R193" i="29" s="1"/>
  <c r="G184" i="29"/>
  <c r="G188" i="29" s="1"/>
  <c r="R177" i="21"/>
  <c r="D184" i="29"/>
  <c r="D188" i="29" s="1"/>
  <c r="F181" i="29"/>
  <c r="P11" i="29"/>
  <c r="P25" i="29" s="1"/>
  <c r="P34" i="29" s="1"/>
  <c r="P59" i="29" s="1"/>
  <c r="S184" i="29"/>
  <c r="AM180" i="29"/>
  <c r="AE181" i="29"/>
  <c r="AR41" i="19"/>
  <c r="AR42" i="19" s="1"/>
  <c r="AR37" i="19"/>
  <c r="B13" i="21"/>
  <c r="P11" i="21"/>
  <c r="P25" i="21" s="1"/>
  <c r="P35" i="21" s="1"/>
  <c r="P60" i="21" s="1"/>
  <c r="M181" i="29"/>
  <c r="AB159" i="29"/>
  <c r="AD8" i="20"/>
  <c r="AB162" i="29" s="1"/>
  <c r="P69" i="29"/>
  <c r="R71" i="19"/>
  <c r="R72" i="19" s="1"/>
  <c r="R65" i="19"/>
  <c r="R62" i="19"/>
  <c r="Z184" i="29"/>
  <c r="Z181" i="29"/>
  <c r="E14" i="29"/>
  <c r="E15" i="29"/>
  <c r="T71" i="19"/>
  <c r="T65" i="19"/>
  <c r="T62" i="19"/>
  <c r="M14" i="21"/>
  <c r="M15" i="21"/>
  <c r="M73" i="29"/>
  <c r="T14" i="20"/>
  <c r="R168" i="21"/>
  <c r="R166" i="29"/>
  <c r="D17" i="33"/>
  <c r="D20" i="33" s="1"/>
  <c r="D27" i="33" s="1"/>
  <c r="G34" i="29"/>
  <c r="AU42" i="19"/>
  <c r="M183" i="21"/>
  <c r="AH65" i="19"/>
  <c r="AH71" i="19" s="1"/>
  <c r="AH72" i="19" s="1"/>
  <c r="AH62" i="19"/>
  <c r="G168" i="29"/>
  <c r="G190" i="29" s="1"/>
  <c r="G170" i="21"/>
  <c r="G192" i="21" s="1"/>
  <c r="I17" i="20"/>
  <c r="P166" i="29"/>
  <c r="R14" i="20"/>
  <c r="P168" i="21"/>
  <c r="M15" i="29"/>
  <c r="M14" i="29"/>
  <c r="E183" i="21"/>
  <c r="E186" i="21"/>
  <c r="E190" i="21" s="1"/>
  <c r="E17" i="20"/>
  <c r="C168" i="29"/>
  <c r="C190" i="29" s="1"/>
  <c r="C170" i="21"/>
  <c r="C192" i="21" s="1"/>
  <c r="P71" i="21"/>
  <c r="M79" i="21"/>
  <c r="P180" i="29"/>
  <c r="P181" i="29" s="1"/>
  <c r="P76" i="29"/>
  <c r="O78" i="29" s="1"/>
  <c r="R13" i="29"/>
  <c r="P72" i="29"/>
  <c r="O74" i="29" s="1"/>
  <c r="O73" i="29" s="1"/>
  <c r="R186" i="29"/>
  <c r="R22" i="29"/>
  <c r="AD62" i="19"/>
  <c r="AD65" i="19"/>
  <c r="AD71" i="19" s="1"/>
  <c r="AD72" i="19" s="1"/>
  <c r="E181" i="29"/>
  <c r="E184" i="29"/>
  <c r="E188" i="29" s="1"/>
  <c r="C14" i="21"/>
  <c r="C15" i="21"/>
  <c r="C15" i="29"/>
  <c r="C14" i="29"/>
  <c r="Q71" i="19"/>
  <c r="Q62" i="19"/>
  <c r="Q65" i="19"/>
  <c r="E14" i="21"/>
  <c r="E15" i="21"/>
  <c r="T78" i="21"/>
  <c r="T74" i="21"/>
  <c r="AG189" i="29"/>
  <c r="AG191" i="29"/>
  <c r="AG179" i="29"/>
  <c r="AG182" i="29"/>
  <c r="AG185" i="29"/>
  <c r="AH13" i="29"/>
  <c r="AF180" i="29"/>
  <c r="C186" i="21"/>
  <c r="C190" i="21" s="1"/>
  <c r="AE61" i="19"/>
  <c r="AE66" i="19" s="1"/>
  <c r="AE42" i="19"/>
  <c r="S70" i="29"/>
  <c r="S69" i="29" s="1"/>
  <c r="T69" i="29"/>
  <c r="AD180" i="29"/>
  <c r="AF13" i="29"/>
  <c r="AV41" i="19"/>
  <c r="AV37" i="19"/>
  <c r="P74" i="21"/>
  <c r="O76" i="21" s="1"/>
  <c r="P78" i="21"/>
  <c r="O80" i="21" s="1"/>
  <c r="O79" i="21" s="1"/>
  <c r="R13" i="21"/>
  <c r="AH68" i="19"/>
  <c r="AH69" i="19"/>
  <c r="AH70" i="19" s="1"/>
  <c r="R18" i="21"/>
  <c r="B13" i="29"/>
  <c r="F15" i="29"/>
  <c r="F14" i="29"/>
  <c r="S65" i="19"/>
  <c r="S62" i="19"/>
  <c r="S71" i="19"/>
  <c r="S72" i="19" s="1"/>
  <c r="AF62" i="19"/>
  <c r="AF65" i="19"/>
  <c r="AF71" i="19" s="1"/>
  <c r="AF72" i="19" s="1"/>
  <c r="AW37" i="19"/>
  <c r="AW41" i="19"/>
  <c r="B168" i="29"/>
  <c r="B190" i="29" s="1"/>
  <c r="D17" i="20"/>
  <c r="B170" i="21"/>
  <c r="B192" i="21" s="1"/>
  <c r="AT41" i="19"/>
  <c r="AT37" i="19"/>
  <c r="AO8" i="20"/>
  <c r="AG183" i="29"/>
  <c r="G14" i="29"/>
  <c r="G15" i="29"/>
  <c r="S164" i="29"/>
  <c r="S166" i="21"/>
  <c r="U12" i="20"/>
  <c r="R23" i="29"/>
  <c r="R187" i="29"/>
  <c r="S167" i="21"/>
  <c r="S23" i="21" s="1"/>
  <c r="S165" i="29"/>
  <c r="G183" i="21"/>
  <c r="G17" i="20"/>
  <c r="E170" i="21"/>
  <c r="E192" i="21" s="1"/>
  <c r="E168" i="29"/>
  <c r="E190" i="29" s="1"/>
  <c r="I11" i="21"/>
  <c r="I25" i="21" s="1"/>
  <c r="I35" i="21" s="1"/>
  <c r="I60" i="21" s="1"/>
  <c r="AO42" i="19"/>
  <c r="R76" i="29"/>
  <c r="Q78" i="29" s="1"/>
  <c r="Q77" i="29" s="1"/>
  <c r="R72" i="29"/>
  <c r="Q74" i="29" s="1"/>
  <c r="Q73" i="29" s="1"/>
  <c r="T13" i="29"/>
  <c r="R180" i="29"/>
  <c r="R184" i="29" s="1"/>
  <c r="AE184" i="29"/>
  <c r="C184" i="29"/>
  <c r="C188" i="29" s="1"/>
  <c r="AA62" i="19"/>
  <c r="AA65" i="19"/>
  <c r="AA71" i="19" s="1"/>
  <c r="AA72" i="19" s="1"/>
  <c r="O168" i="29"/>
  <c r="O190" i="29" s="1"/>
  <c r="O170" i="21"/>
  <c r="Q17" i="20"/>
  <c r="AM185" i="29"/>
  <c r="AM179" i="29"/>
  <c r="AM189" i="29"/>
  <c r="AM182" i="29"/>
  <c r="AM191" i="29"/>
  <c r="G14" i="21"/>
  <c r="G15" i="21"/>
  <c r="T162" i="29"/>
  <c r="T164" i="21"/>
  <c r="AI13" i="29"/>
  <c r="AG180" i="29"/>
  <c r="D170" i="21"/>
  <c r="D192" i="21" s="1"/>
  <c r="F17" i="20"/>
  <c r="D168" i="29"/>
  <c r="D190" i="29" s="1"/>
  <c r="V10" i="20"/>
  <c r="AJ47" i="19"/>
  <c r="AI67" i="19"/>
  <c r="F15" i="21"/>
  <c r="F14" i="21"/>
  <c r="O17" i="20"/>
  <c r="M170" i="21"/>
  <c r="M192" i="21" s="1"/>
  <c r="M168" i="29"/>
  <c r="M190" i="29" s="1"/>
  <c r="AJ51" i="19"/>
  <c r="V11" i="20"/>
  <c r="AD189" i="29"/>
  <c r="AG6" i="29"/>
  <c r="AD182" i="29"/>
  <c r="AD179" i="29"/>
  <c r="AD191" i="29"/>
  <c r="AF6" i="29"/>
  <c r="AD185" i="29"/>
  <c r="D15" i="21"/>
  <c r="D14" i="21"/>
  <c r="AH6" i="29"/>
  <c r="AF189" i="29"/>
  <c r="AF191" i="29"/>
  <c r="AF182" i="29"/>
  <c r="AF179" i="29"/>
  <c r="AI6" i="29"/>
  <c r="AF185" i="29"/>
  <c r="U65" i="19"/>
  <c r="U62" i="19"/>
  <c r="Q168" i="29"/>
  <c r="Q190" i="29" s="1"/>
  <c r="Q170" i="21"/>
  <c r="S17" i="20"/>
  <c r="AG61" i="19"/>
  <c r="AG66" i="19" s="1"/>
  <c r="AG42" i="19"/>
  <c r="R78" i="21"/>
  <c r="Q80" i="21" s="1"/>
  <c r="Q79" i="21" s="1"/>
  <c r="R74" i="21"/>
  <c r="Q76" i="21" s="1"/>
  <c r="Q75" i="21" s="1"/>
  <c r="T13" i="21"/>
  <c r="D14" i="29"/>
  <c r="D15" i="29"/>
  <c r="AH8" i="20"/>
  <c r="AI42" i="19"/>
  <c r="AI61" i="19"/>
  <c r="AI66" i="19" s="1"/>
  <c r="H14" i="20"/>
  <c r="F166" i="29"/>
  <c r="F168" i="21"/>
  <c r="BC37" i="19"/>
  <c r="BC41" i="19"/>
  <c r="T180" i="29"/>
  <c r="T184" i="29" s="1"/>
  <c r="T76" i="29"/>
  <c r="T72" i="29"/>
  <c r="V13" i="29"/>
  <c r="AI8" i="20"/>
  <c r="R69" i="29"/>
  <c r="W36" i="32"/>
  <c r="X60" i="32"/>
  <c r="X64" i="32" s="1"/>
  <c r="X70" i="32" s="1"/>
  <c r="X71" i="32" s="1"/>
  <c r="Y8" i="20"/>
  <c r="Y40" i="1"/>
  <c r="Y41" i="1" s="1"/>
  <c r="Y13" i="29"/>
  <c r="Y69" i="19"/>
  <c r="Y70" i="19" s="1"/>
  <c r="I71" i="21"/>
  <c r="L23" i="27"/>
  <c r="P40" i="1"/>
  <c r="P41" i="1" s="1"/>
  <c r="AA33" i="1"/>
  <c r="AB33" i="1" s="1"/>
  <c r="P34" i="1"/>
  <c r="V41" i="1"/>
  <c r="J161" i="21"/>
  <c r="L13" i="21" s="1"/>
  <c r="L11" i="21" s="1"/>
  <c r="L25" i="21" s="1"/>
  <c r="L35" i="21" s="1"/>
  <c r="L60" i="21" s="1"/>
  <c r="I189" i="29"/>
  <c r="N12" i="20"/>
  <c r="L168" i="21" s="1"/>
  <c r="J162" i="29"/>
  <c r="I183" i="29"/>
  <c r="L12" i="20"/>
  <c r="J168" i="21" s="1"/>
  <c r="U40" i="1"/>
  <c r="U41" i="1" s="1"/>
  <c r="I134" i="29"/>
  <c r="I135" i="29" s="1"/>
  <c r="J68" i="29"/>
  <c r="I70" i="29" s="1"/>
  <c r="I179" i="29"/>
  <c r="J159" i="29"/>
  <c r="J72" i="29" s="1"/>
  <c r="I74" i="29" s="1"/>
  <c r="Y37" i="19"/>
  <c r="R36" i="1"/>
  <c r="R40" i="1"/>
  <c r="Z40" i="1"/>
  <c r="Z36" i="1"/>
  <c r="W36" i="1"/>
  <c r="W41" i="19"/>
  <c r="W61" i="19" s="1"/>
  <c r="W66" i="19" s="1"/>
  <c r="N158" i="29"/>
  <c r="N134" i="29" s="1"/>
  <c r="N135" i="29" s="1"/>
  <c r="L68" i="29"/>
  <c r="K70" i="29" s="1"/>
  <c r="K69" i="29" s="1"/>
  <c r="AA26" i="1"/>
  <c r="H187" i="29"/>
  <c r="K182" i="29"/>
  <c r="AJ21" i="29"/>
  <c r="H186" i="29"/>
  <c r="H182" i="29"/>
  <c r="H193" i="29"/>
  <c r="H191" i="29"/>
  <c r="H179" i="29"/>
  <c r="K6" i="29"/>
  <c r="K7" i="29" s="1"/>
  <c r="K8" i="29" s="1"/>
  <c r="H185" i="29"/>
  <c r="H189" i="29"/>
  <c r="H183" i="29"/>
  <c r="H134" i="29"/>
  <c r="H135" i="29" s="1"/>
  <c r="K162" i="29"/>
  <c r="K164" i="21"/>
  <c r="I68" i="29"/>
  <c r="H70" i="29" s="1"/>
  <c r="H69" i="29" s="1"/>
  <c r="I159" i="29"/>
  <c r="I76" i="29" s="1"/>
  <c r="H78" i="29" s="1"/>
  <c r="K183" i="29"/>
  <c r="I191" i="29"/>
  <c r="AQ158" i="29"/>
  <c r="I161" i="21"/>
  <c r="I74" i="21" s="1"/>
  <c r="H76" i="21" s="1"/>
  <c r="I186" i="29"/>
  <c r="L6" i="29"/>
  <c r="L7" i="29" s="1"/>
  <c r="L8" i="29" s="1"/>
  <c r="Y36" i="32"/>
  <c r="L161" i="21"/>
  <c r="L74" i="21" s="1"/>
  <c r="X37" i="19"/>
  <c r="X69" i="19"/>
  <c r="X70" i="19" s="1"/>
  <c r="I23" i="27"/>
  <c r="O22" i="27"/>
  <c r="O23" i="27" s="1"/>
  <c r="AB36" i="19"/>
  <c r="F9" i="28" s="1"/>
  <c r="K189" i="29"/>
  <c r="K23" i="27"/>
  <c r="K193" i="29"/>
  <c r="K191" i="29"/>
  <c r="V40" i="32"/>
  <c r="V60" i="32" s="1"/>
  <c r="K187" i="29"/>
  <c r="K179" i="29"/>
  <c r="K186" i="29"/>
  <c r="K134" i="29"/>
  <c r="K135" i="29" s="1"/>
  <c r="Z41" i="19"/>
  <c r="Z42" i="19" s="1"/>
  <c r="M6" i="29"/>
  <c r="O21" i="27"/>
  <c r="W69" i="19"/>
  <c r="W70" i="19" s="1"/>
  <c r="S40" i="1"/>
  <c r="S36" i="1"/>
  <c r="N189" i="21"/>
  <c r="AA35" i="1"/>
  <c r="AA36" i="1" s="1"/>
  <c r="H161" i="21"/>
  <c r="H159" i="29"/>
  <c r="J8" i="20"/>
  <c r="P8" i="20" s="1"/>
  <c r="V35" i="19"/>
  <c r="V69" i="19"/>
  <c r="V70" i="19" s="1"/>
  <c r="Q36" i="1"/>
  <c r="Q40" i="1"/>
  <c r="I187" i="29"/>
  <c r="V41" i="19"/>
  <c r="V37" i="19"/>
  <c r="I185" i="29"/>
  <c r="AL8" i="20"/>
  <c r="P5" i="20"/>
  <c r="H37" i="27"/>
  <c r="G38" i="27"/>
  <c r="N184" i="21"/>
  <c r="Z35" i="19"/>
  <c r="Z69" i="19"/>
  <c r="Z70" i="19" s="1"/>
  <c r="N185" i="21"/>
  <c r="L162" i="29"/>
  <c r="N193" i="21"/>
  <c r="L159" i="29"/>
  <c r="N136" i="24"/>
  <c r="N181" i="21"/>
  <c r="W21" i="21"/>
  <c r="N187" i="21"/>
  <c r="N188" i="21"/>
  <c r="BA19" i="32"/>
  <c r="BA25" i="32"/>
  <c r="N6" i="21"/>
  <c r="N191" i="21"/>
  <c r="I11" i="29"/>
  <c r="I25" i="29" s="1"/>
  <c r="N138" i="24"/>
  <c r="AA8" i="20"/>
  <c r="I193" i="29"/>
  <c r="I176" i="29"/>
  <c r="N175" i="29"/>
  <c r="AU67" i="32"/>
  <c r="BA66" i="32"/>
  <c r="BA67" i="32" s="1"/>
  <c r="AN35" i="19"/>
  <c r="U162" i="29"/>
  <c r="X61" i="19"/>
  <c r="X66" i="19" s="1"/>
  <c r="X42" i="19"/>
  <c r="Z8" i="20"/>
  <c r="W137" i="21"/>
  <c r="X183" i="29"/>
  <c r="L7" i="21"/>
  <c r="L8" i="21" s="1"/>
  <c r="H11" i="29"/>
  <c r="H25" i="29" s="1"/>
  <c r="N18" i="29"/>
  <c r="AR20" i="29" s="1"/>
  <c r="K71" i="21"/>
  <c r="AM41" i="19"/>
  <c r="AM37" i="19"/>
  <c r="M14" i="20"/>
  <c r="K168" i="21"/>
  <c r="K166" i="29"/>
  <c r="AN5" i="20"/>
  <c r="AL159" i="29" s="1"/>
  <c r="BB34" i="19"/>
  <c r="BB35" i="19" s="1"/>
  <c r="AL21" i="29"/>
  <c r="N21" i="29"/>
  <c r="V180" i="29"/>
  <c r="X13" i="29"/>
  <c r="W60" i="32"/>
  <c r="W41" i="32"/>
  <c r="J26" i="27"/>
  <c r="J29" i="27"/>
  <c r="J30" i="27" s="1"/>
  <c r="U185" i="29"/>
  <c r="U19" i="29"/>
  <c r="AA19" i="29" s="1"/>
  <c r="K180" i="29"/>
  <c r="M13" i="29"/>
  <c r="M11" i="29" s="1"/>
  <c r="K76" i="29"/>
  <c r="J78" i="29" s="1"/>
  <c r="K72" i="29"/>
  <c r="J74" i="29" s="1"/>
  <c r="K129" i="29"/>
  <c r="K128" i="29" s="1"/>
  <c r="K140" i="29" s="1"/>
  <c r="K141" i="29" s="1"/>
  <c r="W136" i="21"/>
  <c r="J193" i="29"/>
  <c r="J176" i="29"/>
  <c r="AI40" i="32"/>
  <c r="AI36" i="32"/>
  <c r="T60" i="1"/>
  <c r="T64" i="1"/>
  <c r="T70" i="1" s="1"/>
  <c r="T71" i="1" s="1"/>
  <c r="M29" i="27"/>
  <c r="M30" i="27" s="1"/>
  <c r="M26" i="27"/>
  <c r="BB26" i="19"/>
  <c r="BB36" i="19"/>
  <c r="AL42" i="19"/>
  <c r="V60" i="1"/>
  <c r="V64" i="1"/>
  <c r="V70" i="1" s="1"/>
  <c r="V71" i="1" s="1"/>
  <c r="L178" i="21"/>
  <c r="L195" i="21"/>
  <c r="AJ40" i="32"/>
  <c r="AJ36" i="32"/>
  <c r="W41" i="1"/>
  <c r="W59" i="1"/>
  <c r="K182" i="21"/>
  <c r="K183" i="21" s="1"/>
  <c r="K131" i="21"/>
  <c r="K130" i="21" s="1"/>
  <c r="K142" i="21" s="1"/>
  <c r="K143" i="21" s="1"/>
  <c r="K78" i="21"/>
  <c r="J80" i="21" s="1"/>
  <c r="M13" i="21"/>
  <c r="M11" i="21" s="1"/>
  <c r="M25" i="21" s="1"/>
  <c r="M35" i="21" s="1"/>
  <c r="M60" i="21" s="1"/>
  <c r="K74" i="21"/>
  <c r="J76" i="21" s="1"/>
  <c r="AJ41" i="19"/>
  <c r="AJ37" i="19"/>
  <c r="AP36" i="19"/>
  <c r="AP37" i="19" s="1"/>
  <c r="Y60" i="32"/>
  <c r="Y41" i="32"/>
  <c r="AL158" i="29"/>
  <c r="AL183" i="29" s="1"/>
  <c r="AY67" i="32"/>
  <c r="AY68" i="32"/>
  <c r="AY69" i="32" s="1"/>
  <c r="V179" i="29"/>
  <c r="V191" i="29"/>
  <c r="V189" i="29"/>
  <c r="V182" i="29"/>
  <c r="Y6" i="29"/>
  <c r="V185" i="29"/>
  <c r="L193" i="29"/>
  <c r="L176" i="29"/>
  <c r="AW35" i="32"/>
  <c r="AW26" i="32"/>
  <c r="R19" i="24"/>
  <c r="N11" i="24"/>
  <c r="N25" i="24" s="1"/>
  <c r="N33" i="24" s="1"/>
  <c r="R21" i="24"/>
  <c r="R20" i="24"/>
  <c r="R23" i="24"/>
  <c r="AL36" i="32"/>
  <c r="AL40" i="32"/>
  <c r="J8" i="21"/>
  <c r="AP7" i="20"/>
  <c r="AH161" i="29"/>
  <c r="AN161" i="29" s="1"/>
  <c r="AJ191" i="29"/>
  <c r="AJ189" i="29"/>
  <c r="AJ179" i="29"/>
  <c r="AJ182" i="29"/>
  <c r="AJ183" i="29"/>
  <c r="AJ185" i="29"/>
  <c r="L72" i="21"/>
  <c r="L71" i="21" s="1"/>
  <c r="M71" i="21"/>
  <c r="AY35" i="32"/>
  <c r="AY26" i="32"/>
  <c r="I26" i="27"/>
  <c r="I29" i="27"/>
  <c r="O25" i="27"/>
  <c r="O26" i="27" s="1"/>
  <c r="M7" i="21"/>
  <c r="M8" i="21" s="1"/>
  <c r="Y61" i="19"/>
  <c r="Y66" i="19" s="1"/>
  <c r="Y42" i="19"/>
  <c r="AP26" i="19"/>
  <c r="BA27" i="32"/>
  <c r="BA33" i="32" s="1"/>
  <c r="BA34" i="32" s="1"/>
  <c r="AU33" i="32"/>
  <c r="AU34" i="32" s="1"/>
  <c r="L29" i="27"/>
  <c r="L30" i="27" s="1"/>
  <c r="L26" i="27"/>
  <c r="Y191" i="29"/>
  <c r="Y182" i="29"/>
  <c r="Y189" i="29"/>
  <c r="AC6" i="29"/>
  <c r="Y179" i="29"/>
  <c r="Y185" i="29"/>
  <c r="AB13" i="29"/>
  <c r="Y180" i="29"/>
  <c r="AK21" i="29"/>
  <c r="AK40" i="32"/>
  <c r="AK36" i="32"/>
  <c r="X8" i="20"/>
  <c r="N21" i="21"/>
  <c r="R22" i="24"/>
  <c r="AV67" i="32"/>
  <c r="AV68" i="32"/>
  <c r="AV69" i="32" s="1"/>
  <c r="AZ41" i="19"/>
  <c r="AZ37" i="19"/>
  <c r="P69" i="1"/>
  <c r="AA68" i="1"/>
  <c r="J71" i="21"/>
  <c r="AK5" i="20"/>
  <c r="AI159" i="29" s="1"/>
  <c r="AY34" i="19"/>
  <c r="AY35" i="19" s="1"/>
  <c r="AJ180" i="29"/>
  <c r="AL13" i="29"/>
  <c r="U34" i="32"/>
  <c r="U68" i="32"/>
  <c r="AV26" i="32"/>
  <c r="AV35" i="32"/>
  <c r="H11" i="21"/>
  <c r="H25" i="21" s="1"/>
  <c r="N18" i="21"/>
  <c r="X20" i="21" s="1"/>
  <c r="BD19" i="19"/>
  <c r="AH36" i="32"/>
  <c r="AH40" i="32"/>
  <c r="AN35" i="32"/>
  <c r="AN36" i="32" s="1"/>
  <c r="AK41" i="19"/>
  <c r="AK37" i="19"/>
  <c r="K26" i="27"/>
  <c r="K29" i="27"/>
  <c r="K30" i="27" s="1"/>
  <c r="AX26" i="32"/>
  <c r="AX35" i="32"/>
  <c r="J178" i="21"/>
  <c r="J195" i="21"/>
  <c r="AI21" i="29"/>
  <c r="AY26" i="19"/>
  <c r="AY36" i="19"/>
  <c r="AU35" i="32"/>
  <c r="AU26" i="32"/>
  <c r="AM5" i="20"/>
  <c r="AK159" i="29" s="1"/>
  <c r="BA34" i="19"/>
  <c r="BA35" i="19" s="1"/>
  <c r="AW67" i="32"/>
  <c r="AW68" i="32"/>
  <c r="AW69" i="32" s="1"/>
  <c r="X191" i="29"/>
  <c r="X182" i="29"/>
  <c r="X189" i="29"/>
  <c r="X179" i="29"/>
  <c r="AB6" i="29"/>
  <c r="X185" i="29"/>
  <c r="AK158" i="29"/>
  <c r="AM6" i="29" s="1"/>
  <c r="AN26" i="32"/>
  <c r="AP9" i="20"/>
  <c r="AH163" i="29"/>
  <c r="AN163" i="29" s="1"/>
  <c r="AH68" i="32"/>
  <c r="K7" i="21"/>
  <c r="K8" i="21" s="1"/>
  <c r="X60" i="1"/>
  <c r="X64" i="1"/>
  <c r="X70" i="1" s="1"/>
  <c r="X71" i="1" s="1"/>
  <c r="X180" i="29"/>
  <c r="Z13" i="29"/>
  <c r="U21" i="29"/>
  <c r="AA21" i="29" s="1"/>
  <c r="U183" i="29"/>
  <c r="I195" i="21"/>
  <c r="I178" i="21"/>
  <c r="N177" i="21"/>
  <c r="W181" i="29"/>
  <c r="W184" i="29"/>
  <c r="AN41" i="19"/>
  <c r="AN37" i="19"/>
  <c r="U40" i="32"/>
  <c r="U36" i="32"/>
  <c r="AA35" i="32"/>
  <c r="AA36" i="32" s="1"/>
  <c r="AQ21" i="29"/>
  <c r="U189" i="29"/>
  <c r="U179" i="29"/>
  <c r="U191" i="29"/>
  <c r="U182" i="29"/>
  <c r="W6" i="29"/>
  <c r="X6" i="29"/>
  <c r="AX67" i="32"/>
  <c r="AX68" i="32"/>
  <c r="AX69" i="32" s="1"/>
  <c r="K12" i="20"/>
  <c r="I164" i="21"/>
  <c r="I162" i="29"/>
  <c r="M69" i="29"/>
  <c r="L70" i="29"/>
  <c r="AI158" i="29"/>
  <c r="AC5" i="20"/>
  <c r="U159" i="29"/>
  <c r="AA159" i="29" s="1"/>
  <c r="AA129" i="29" s="1"/>
  <c r="AA128" i="29" s="1"/>
  <c r="AA140" i="29" s="1"/>
  <c r="AA141" i="29" s="1"/>
  <c r="BA26" i="19"/>
  <c r="BA36" i="19"/>
  <c r="O77" i="29" l="1"/>
  <c r="O75" i="21"/>
  <c r="G64" i="21"/>
  <c r="H62" i="21" s="1"/>
  <c r="H212" i="21" s="1"/>
  <c r="G214" i="21"/>
  <c r="BF36" i="19"/>
  <c r="N26" i="21"/>
  <c r="C7" i="30" s="1"/>
  <c r="E7" i="30" s="1"/>
  <c r="G50" i="24"/>
  <c r="H48" i="24" s="1"/>
  <c r="G175" i="24"/>
  <c r="G177" i="24" s="1"/>
  <c r="F179" i="24"/>
  <c r="Q11" i="29"/>
  <c r="Q25" i="29" s="1"/>
  <c r="Q34" i="29" s="1"/>
  <c r="Q59" i="29" s="1"/>
  <c r="F82" i="29"/>
  <c r="AP4" i="20"/>
  <c r="AX36" i="19"/>
  <c r="BD36" i="19" s="1"/>
  <c r="BD37" i="19" s="1"/>
  <c r="AX34" i="19"/>
  <c r="AX35" i="19" s="1"/>
  <c r="AJ5" i="20"/>
  <c r="AJ8" i="20" s="1"/>
  <c r="AH162" i="29" s="1"/>
  <c r="BE36" i="19"/>
  <c r="BE41" i="19" s="1"/>
  <c r="BE23" i="19"/>
  <c r="BE35" i="19"/>
  <c r="BE19" i="19"/>
  <c r="AA183" i="29"/>
  <c r="AA191" i="29"/>
  <c r="AA189" i="29"/>
  <c r="AN158" i="29"/>
  <c r="AN134" i="29" s="1"/>
  <c r="AN135" i="29" s="1"/>
  <c r="AA185" i="29"/>
  <c r="AA6" i="29"/>
  <c r="AA182" i="29"/>
  <c r="AA179" i="29"/>
  <c r="G210" i="29"/>
  <c r="G212" i="29" s="1"/>
  <c r="G63" i="29"/>
  <c r="H61" i="29" s="1"/>
  <c r="H210" i="29" s="1"/>
  <c r="G112" i="29"/>
  <c r="G110" i="29"/>
  <c r="H100" i="29"/>
  <c r="I100" i="29"/>
  <c r="N6" i="29"/>
  <c r="Q72" i="19"/>
  <c r="D30" i="33"/>
  <c r="D31" i="33" s="1"/>
  <c r="T72" i="19"/>
  <c r="C13" i="29"/>
  <c r="AG181" i="29"/>
  <c r="M80" i="29"/>
  <c r="M82" i="29" s="1"/>
  <c r="V12" i="20"/>
  <c r="V14" i="20" s="1"/>
  <c r="M82" i="21"/>
  <c r="M84" i="21" s="1"/>
  <c r="P79" i="21"/>
  <c r="O80" i="29"/>
  <c r="O82" i="29" s="1"/>
  <c r="Q80" i="29"/>
  <c r="Q82" i="29" s="1"/>
  <c r="R11" i="21"/>
  <c r="R25" i="21" s="1"/>
  <c r="R35" i="21" s="1"/>
  <c r="R60" i="21" s="1"/>
  <c r="P73" i="29"/>
  <c r="D13" i="29"/>
  <c r="AB180" i="29"/>
  <c r="AD13" i="29"/>
  <c r="R181" i="29"/>
  <c r="O82" i="21"/>
  <c r="O84" i="21" s="1"/>
  <c r="M17" i="33"/>
  <c r="M20" i="33" s="1"/>
  <c r="M27" i="33" s="1"/>
  <c r="D13" i="21"/>
  <c r="R77" i="29"/>
  <c r="AK51" i="19"/>
  <c r="W11" i="20"/>
  <c r="U165" i="29" s="1"/>
  <c r="S168" i="21"/>
  <c r="U14" i="20"/>
  <c r="S166" i="29"/>
  <c r="AW42" i="19"/>
  <c r="S80" i="21"/>
  <c r="S79" i="21" s="1"/>
  <c r="T79" i="21"/>
  <c r="AF162" i="29"/>
  <c r="Q173" i="21"/>
  <c r="S18" i="20"/>
  <c r="S19" i="20" s="1"/>
  <c r="Q171" i="29"/>
  <c r="T164" i="29"/>
  <c r="T166" i="21"/>
  <c r="G18" i="20"/>
  <c r="G19" i="20" s="1"/>
  <c r="E171" i="29"/>
  <c r="E173" i="21"/>
  <c r="S22" i="21"/>
  <c r="S18" i="21" s="1"/>
  <c r="S11" i="21" s="1"/>
  <c r="S25" i="21" s="1"/>
  <c r="S35" i="21" s="1"/>
  <c r="S60" i="21" s="1"/>
  <c r="S177" i="21"/>
  <c r="C13" i="21"/>
  <c r="S78" i="29"/>
  <c r="S77" i="29" s="1"/>
  <c r="T77" i="29"/>
  <c r="R170" i="21"/>
  <c r="R168" i="29"/>
  <c r="R190" i="29" s="1"/>
  <c r="T17" i="20"/>
  <c r="AD184" i="29"/>
  <c r="AD181" i="29"/>
  <c r="O18" i="20"/>
  <c r="O19" i="20" s="1"/>
  <c r="M173" i="21"/>
  <c r="M171" i="29"/>
  <c r="AM181" i="29"/>
  <c r="AM184" i="29"/>
  <c r="P75" i="21"/>
  <c r="R188" i="29"/>
  <c r="S23" i="29"/>
  <c r="S187" i="29"/>
  <c r="AT42" i="19"/>
  <c r="E18" i="20"/>
  <c r="E19" i="20" s="1"/>
  <c r="C173" i="21"/>
  <c r="C171" i="29"/>
  <c r="P170" i="21"/>
  <c r="R17" i="20"/>
  <c r="P168" i="29"/>
  <c r="P190" i="29" s="1"/>
  <c r="P184" i="29"/>
  <c r="P188" i="29" s="1"/>
  <c r="AF181" i="29"/>
  <c r="AF184" i="29"/>
  <c r="BC42" i="19"/>
  <c r="S186" i="29"/>
  <c r="S22" i="29"/>
  <c r="S175" i="29"/>
  <c r="S193" i="29" s="1"/>
  <c r="F198" i="21"/>
  <c r="F210" i="21" s="1"/>
  <c r="F214" i="21" s="1"/>
  <c r="F216" i="21" s="1"/>
  <c r="F84" i="21"/>
  <c r="F18" i="20"/>
  <c r="F19" i="20" s="1"/>
  <c r="D171" i="29"/>
  <c r="D173" i="21"/>
  <c r="AV42" i="19"/>
  <c r="AE62" i="19"/>
  <c r="AE65" i="19"/>
  <c r="AE71" i="19" s="1"/>
  <c r="AE72" i="19" s="1"/>
  <c r="AG184" i="29"/>
  <c r="AG162" i="29"/>
  <c r="F196" i="29"/>
  <c r="F208" i="29" s="1"/>
  <c r="F212" i="29" s="1"/>
  <c r="F214" i="29" s="1"/>
  <c r="R75" i="21"/>
  <c r="R79" i="21"/>
  <c r="R73" i="29"/>
  <c r="B173" i="21"/>
  <c r="B171" i="29"/>
  <c r="D18" i="20"/>
  <c r="D19" i="20" s="1"/>
  <c r="G171" i="29"/>
  <c r="I18" i="20"/>
  <c r="I19" i="20" s="1"/>
  <c r="G173" i="21"/>
  <c r="T181" i="29"/>
  <c r="AK47" i="19"/>
  <c r="AK61" i="19" s="1"/>
  <c r="AK66" i="19" s="1"/>
  <c r="W10" i="20"/>
  <c r="AJ67" i="19"/>
  <c r="X61" i="32"/>
  <c r="F170" i="21"/>
  <c r="F192" i="21" s="1"/>
  <c r="H17" i="20"/>
  <c r="F168" i="29"/>
  <c r="F190" i="29" s="1"/>
  <c r="O173" i="21"/>
  <c r="Q18" i="20"/>
  <c r="Q19" i="20" s="1"/>
  <c r="O171" i="29"/>
  <c r="AM162" i="29"/>
  <c r="P77" i="29"/>
  <c r="AG65" i="19"/>
  <c r="AG71" i="19" s="1"/>
  <c r="AG72" i="19" s="1"/>
  <c r="AG62" i="19"/>
  <c r="T73" i="29"/>
  <c r="S74" i="29"/>
  <c r="S73" i="29" s="1"/>
  <c r="AI65" i="19"/>
  <c r="AI71" i="19" s="1"/>
  <c r="AI72" i="19" s="1"/>
  <c r="AI62" i="19"/>
  <c r="Q82" i="21"/>
  <c r="Q84" i="21" s="1"/>
  <c r="T165" i="29"/>
  <c r="T167" i="21"/>
  <c r="T23" i="21" s="1"/>
  <c r="AI68" i="19"/>
  <c r="AI69" i="19"/>
  <c r="AI70" i="19" s="1"/>
  <c r="S76" i="21"/>
  <c r="S75" i="21" s="1"/>
  <c r="T75" i="21"/>
  <c r="R18" i="29"/>
  <c r="R11" i="29" s="1"/>
  <c r="R25" i="29" s="1"/>
  <c r="W162" i="29"/>
  <c r="Y59" i="1"/>
  <c r="Y64" i="1" s="1"/>
  <c r="Y70" i="1" s="1"/>
  <c r="Y71" i="1" s="1"/>
  <c r="P59" i="1"/>
  <c r="P64" i="1" s="1"/>
  <c r="P70" i="1" s="1"/>
  <c r="J180" i="29"/>
  <c r="J184" i="29" s="1"/>
  <c r="J188" i="29" s="1"/>
  <c r="U59" i="1"/>
  <c r="U60" i="1" s="1"/>
  <c r="AA34" i="1"/>
  <c r="J182" i="21"/>
  <c r="J183" i="21" s="1"/>
  <c r="J131" i="21"/>
  <c r="J130" i="21" s="1"/>
  <c r="J142" i="21" s="1"/>
  <c r="J143" i="21" s="1"/>
  <c r="J15" i="21" s="1"/>
  <c r="J74" i="21"/>
  <c r="I76" i="21" s="1"/>
  <c r="I75" i="21" s="1"/>
  <c r="J78" i="21"/>
  <c r="I80" i="21" s="1"/>
  <c r="N14" i="20"/>
  <c r="N17" i="20" s="1"/>
  <c r="L166" i="29"/>
  <c r="L196" i="29" s="1"/>
  <c r="L208" i="29" s="1"/>
  <c r="J166" i="29"/>
  <c r="J196" i="29" s="1"/>
  <c r="J208" i="29" s="1"/>
  <c r="L14" i="20"/>
  <c r="L17" i="20" s="1"/>
  <c r="N183" i="29"/>
  <c r="J69" i="29"/>
  <c r="J129" i="29"/>
  <c r="J128" i="29" s="1"/>
  <c r="J140" i="29" s="1"/>
  <c r="J141" i="29" s="1"/>
  <c r="J14" i="29" s="1"/>
  <c r="L13" i="29"/>
  <c r="L11" i="29" s="1"/>
  <c r="L25" i="29" s="1"/>
  <c r="L34" i="29" s="1"/>
  <c r="L59" i="29" s="1"/>
  <c r="J76" i="29"/>
  <c r="I78" i="29" s="1"/>
  <c r="I77" i="29" s="1"/>
  <c r="N179" i="29"/>
  <c r="W42" i="19"/>
  <c r="I69" i="29"/>
  <c r="Z59" i="1"/>
  <c r="Z41" i="1"/>
  <c r="R59" i="1"/>
  <c r="R41" i="1"/>
  <c r="AQ135" i="29"/>
  <c r="L69" i="29"/>
  <c r="N182" i="29"/>
  <c r="L78" i="21"/>
  <c r="L79" i="21" s="1"/>
  <c r="Z61" i="19"/>
  <c r="K13" i="21"/>
  <c r="K11" i="21" s="1"/>
  <c r="K25" i="21" s="1"/>
  <c r="K35" i="21" s="1"/>
  <c r="K60" i="21" s="1"/>
  <c r="I78" i="21"/>
  <c r="H80" i="21" s="1"/>
  <c r="I182" i="21"/>
  <c r="I183" i="21" s="1"/>
  <c r="N185" i="29"/>
  <c r="I131" i="21"/>
  <c r="I130" i="21" s="1"/>
  <c r="L182" i="21"/>
  <c r="L183" i="21" s="1"/>
  <c r="I129" i="29"/>
  <c r="I128" i="29" s="1"/>
  <c r="N189" i="29"/>
  <c r="I72" i="29"/>
  <c r="H74" i="29" s="1"/>
  <c r="I180" i="29"/>
  <c r="I181" i="29" s="1"/>
  <c r="K13" i="29"/>
  <c r="K11" i="29" s="1"/>
  <c r="K25" i="29" s="1"/>
  <c r="L131" i="21"/>
  <c r="L130" i="21" s="1"/>
  <c r="L142" i="21" s="1"/>
  <c r="L143" i="21" s="1"/>
  <c r="L15" i="21" s="1"/>
  <c r="O13" i="21"/>
  <c r="O11" i="21" s="1"/>
  <c r="O25" i="21" s="1"/>
  <c r="O35" i="21" s="1"/>
  <c r="O60" i="21" s="1"/>
  <c r="N161" i="21"/>
  <c r="N131" i="21" s="1"/>
  <c r="N130" i="21" s="1"/>
  <c r="N142" i="21" s="1"/>
  <c r="N143" i="21" s="1"/>
  <c r="M25" i="29"/>
  <c r="M34" i="29" s="1"/>
  <c r="M59" i="29" s="1"/>
  <c r="M7" i="29"/>
  <c r="M8" i="29" s="1"/>
  <c r="N8" i="29" s="1"/>
  <c r="AB37" i="19"/>
  <c r="N186" i="29"/>
  <c r="AA40" i="1"/>
  <c r="AA41" i="1" s="1"/>
  <c r="N191" i="29"/>
  <c r="W161" i="21"/>
  <c r="AQ134" i="29"/>
  <c r="G9" i="28"/>
  <c r="J9" i="28"/>
  <c r="AB41" i="19"/>
  <c r="AB61" i="19" s="1"/>
  <c r="AB65" i="19" s="1"/>
  <c r="K184" i="29"/>
  <c r="K188" i="29" s="1"/>
  <c r="N187" i="29"/>
  <c r="V41" i="32"/>
  <c r="AB35" i="1"/>
  <c r="AJ162" i="29"/>
  <c r="X19" i="21"/>
  <c r="AB69" i="19"/>
  <c r="AB70" i="19" s="1"/>
  <c r="D9" i="28"/>
  <c r="AQ159" i="29"/>
  <c r="S41" i="1"/>
  <c r="S59" i="1"/>
  <c r="V61" i="19"/>
  <c r="V66" i="19" s="1"/>
  <c r="V42" i="19"/>
  <c r="H164" i="21"/>
  <c r="N164" i="21" s="1"/>
  <c r="H162" i="29"/>
  <c r="N162" i="29" s="1"/>
  <c r="J12" i="20"/>
  <c r="P12" i="20" s="1"/>
  <c r="H180" i="29"/>
  <c r="H129" i="29"/>
  <c r="H128" i="29" s="1"/>
  <c r="H140" i="29" s="1"/>
  <c r="H141" i="29" s="1"/>
  <c r="H72" i="29"/>
  <c r="G74" i="29" s="1"/>
  <c r="G73" i="29" s="1"/>
  <c r="H76" i="29"/>
  <c r="G78" i="29" s="1"/>
  <c r="G77" i="29" s="1"/>
  <c r="J13" i="29"/>
  <c r="J11" i="29" s="1"/>
  <c r="J25" i="29" s="1"/>
  <c r="Q59" i="1"/>
  <c r="Q41" i="1"/>
  <c r="H74" i="21"/>
  <c r="G76" i="21" s="1"/>
  <c r="G75" i="21" s="1"/>
  <c r="H78" i="21"/>
  <c r="G80" i="21" s="1"/>
  <c r="G79" i="21" s="1"/>
  <c r="H182" i="21"/>
  <c r="J13" i="21"/>
  <c r="J11" i="21" s="1"/>
  <c r="J25" i="21" s="1"/>
  <c r="J35" i="21" s="1"/>
  <c r="J60" i="21" s="1"/>
  <c r="H131" i="21"/>
  <c r="H130" i="21" s="1"/>
  <c r="H142" i="21" s="1"/>
  <c r="H143" i="21" s="1"/>
  <c r="I37" i="27"/>
  <c r="H38" i="27"/>
  <c r="AK8" i="20"/>
  <c r="L72" i="29"/>
  <c r="L73" i="29" s="1"/>
  <c r="AR22" i="29"/>
  <c r="L76" i="29"/>
  <c r="L77" i="29" s="1"/>
  <c r="L129" i="29"/>
  <c r="L128" i="29" s="1"/>
  <c r="L140" i="29" s="1"/>
  <c r="L141" i="29" s="1"/>
  <c r="L15" i="29" s="1"/>
  <c r="AR19" i="29"/>
  <c r="AN8" i="20"/>
  <c r="AL162" i="29" s="1"/>
  <c r="O13" i="29"/>
  <c r="N159" i="29"/>
  <c r="N129" i="29" s="1"/>
  <c r="N128" i="29" s="1"/>
  <c r="N140" i="29" s="1"/>
  <c r="N141" i="29" s="1"/>
  <c r="L180" i="29"/>
  <c r="L184" i="29" s="1"/>
  <c r="L188" i="29" s="1"/>
  <c r="K186" i="21"/>
  <c r="K190" i="21" s="1"/>
  <c r="N178" i="21"/>
  <c r="N193" i="29"/>
  <c r="X22" i="21"/>
  <c r="AR21" i="29"/>
  <c r="AQ176" i="29"/>
  <c r="AR23" i="29"/>
  <c r="W178" i="21"/>
  <c r="X65" i="19"/>
  <c r="X71" i="19" s="1"/>
  <c r="X72" i="19" s="1"/>
  <c r="X62" i="19"/>
  <c r="K14" i="20"/>
  <c r="I168" i="21"/>
  <c r="I166" i="29"/>
  <c r="AM8" i="20"/>
  <c r="BA26" i="32"/>
  <c r="AI180" i="29"/>
  <c r="AK13" i="29"/>
  <c r="Y181" i="29"/>
  <c r="Y184" i="29"/>
  <c r="I30" i="27"/>
  <c r="O29" i="27"/>
  <c r="O30" i="27" s="1"/>
  <c r="K198" i="21"/>
  <c r="K210" i="21" s="1"/>
  <c r="AU68" i="32"/>
  <c r="AM13" i="29"/>
  <c r="AK180" i="29"/>
  <c r="AK42" i="19"/>
  <c r="U69" i="32"/>
  <c r="AA68" i="32"/>
  <c r="AA69" i="32" s="1"/>
  <c r="AH182" i="29"/>
  <c r="AH191" i="29"/>
  <c r="AH189" i="29"/>
  <c r="AH179" i="29"/>
  <c r="AK6" i="29"/>
  <c r="AJ6" i="29"/>
  <c r="AI191" i="29"/>
  <c r="AI189" i="29"/>
  <c r="AI179" i="29"/>
  <c r="AL6" i="29"/>
  <c r="AI182" i="29"/>
  <c r="AI185" i="29"/>
  <c r="AH60" i="32"/>
  <c r="AH41" i="32"/>
  <c r="AN40" i="32"/>
  <c r="W65" i="19"/>
  <c r="W71" i="19" s="1"/>
  <c r="W72" i="19" s="1"/>
  <c r="W62" i="19"/>
  <c r="Y64" i="32"/>
  <c r="Y70" i="32" s="1"/>
  <c r="Y71" i="32" s="1"/>
  <c r="Y61" i="32"/>
  <c r="M17" i="20"/>
  <c r="K170" i="21"/>
  <c r="K192" i="21" s="1"/>
  <c r="K168" i="29"/>
  <c r="K190" i="29" s="1"/>
  <c r="N176" i="29"/>
  <c r="J198" i="21"/>
  <c r="J210" i="21" s="1"/>
  <c r="AK189" i="29"/>
  <c r="AK179" i="29"/>
  <c r="AK182" i="29"/>
  <c r="AK191" i="29"/>
  <c r="AK185" i="29"/>
  <c r="L198" i="21"/>
  <c r="L210" i="21" s="1"/>
  <c r="BA41" i="19"/>
  <c r="BA37" i="19"/>
  <c r="AI183" i="29"/>
  <c r="U60" i="32"/>
  <c r="AA40" i="32"/>
  <c r="U41" i="32"/>
  <c r="AH185" i="29"/>
  <c r="AH19" i="29"/>
  <c r="AN19" i="29" s="1"/>
  <c r="K181" i="29"/>
  <c r="H35" i="21"/>
  <c r="H60" i="21" s="1"/>
  <c r="H64" i="21" s="1"/>
  <c r="I62" i="21" s="1"/>
  <c r="AB68" i="1"/>
  <c r="AA69" i="1"/>
  <c r="X21" i="21"/>
  <c r="AH183" i="29"/>
  <c r="AH21" i="29"/>
  <c r="AN21" i="29" s="1"/>
  <c r="V181" i="29"/>
  <c r="V184" i="29"/>
  <c r="BD26" i="19"/>
  <c r="BE26" i="19" s="1"/>
  <c r="K76" i="21"/>
  <c r="K75" i="21" s="1"/>
  <c r="L75" i="21"/>
  <c r="AK183" i="29"/>
  <c r="BB41" i="19"/>
  <c r="BB37" i="19"/>
  <c r="H34" i="29"/>
  <c r="H59" i="29" s="1"/>
  <c r="E17" i="33"/>
  <c r="V64" i="32"/>
  <c r="V70" i="32" s="1"/>
  <c r="V71" i="32" s="1"/>
  <c r="V61" i="32"/>
  <c r="AU36" i="32"/>
  <c r="BA35" i="32"/>
  <c r="BA36" i="32" s="1"/>
  <c r="AU40" i="32"/>
  <c r="AH69" i="32"/>
  <c r="AN68" i="32"/>
  <c r="AN69" i="32" s="1"/>
  <c r="K15" i="21"/>
  <c r="K14" i="21"/>
  <c r="AJ60" i="32"/>
  <c r="AJ41" i="32"/>
  <c r="N195" i="21"/>
  <c r="AI60" i="32"/>
  <c r="AI41" i="32"/>
  <c r="K15" i="29"/>
  <c r="K14" i="29"/>
  <c r="AM42" i="19"/>
  <c r="AP41" i="19"/>
  <c r="AJ61" i="19"/>
  <c r="AJ66" i="19" s="1"/>
  <c r="AJ42" i="19"/>
  <c r="K196" i="29"/>
  <c r="K208" i="29" s="1"/>
  <c r="AN42" i="19"/>
  <c r="D28" i="33"/>
  <c r="D61" i="33"/>
  <c r="D37" i="33"/>
  <c r="V162" i="29"/>
  <c r="Y65" i="19"/>
  <c r="Y71" i="19" s="1"/>
  <c r="Y62" i="19"/>
  <c r="N8" i="21"/>
  <c r="W60" i="1"/>
  <c r="W64" i="1"/>
  <c r="W70" i="1" s="1"/>
  <c r="W71" i="1" s="1"/>
  <c r="J73" i="29"/>
  <c r="X23" i="21"/>
  <c r="W13" i="29"/>
  <c r="U180" i="29"/>
  <c r="AA180" i="29" s="1"/>
  <c r="X181" i="29"/>
  <c r="X184" i="29"/>
  <c r="AY41" i="19"/>
  <c r="AY37" i="19"/>
  <c r="AX36" i="32"/>
  <c r="AX40" i="32"/>
  <c r="AV36" i="32"/>
  <c r="AV40" i="32"/>
  <c r="AZ42" i="19"/>
  <c r="AY40" i="32"/>
  <c r="AY36" i="32"/>
  <c r="N7" i="21"/>
  <c r="X162" i="29"/>
  <c r="AC8" i="20"/>
  <c r="Y162" i="29"/>
  <c r="I34" i="29"/>
  <c r="I59" i="29" s="1"/>
  <c r="F17" i="33"/>
  <c r="F20" i="33" s="1"/>
  <c r="AK60" i="32"/>
  <c r="AK41" i="32"/>
  <c r="AJ184" i="29"/>
  <c r="AJ181" i="29"/>
  <c r="AL60" i="32"/>
  <c r="AL41" i="32"/>
  <c r="AW40" i="32"/>
  <c r="AW36" i="32"/>
  <c r="AL179" i="29"/>
  <c r="AL182" i="29"/>
  <c r="AL191" i="29"/>
  <c r="AL189" i="29"/>
  <c r="AL185" i="29"/>
  <c r="W61" i="32"/>
  <c r="W64" i="32"/>
  <c r="W70" i="32" s="1"/>
  <c r="W71" i="32" s="1"/>
  <c r="AL180" i="29"/>
  <c r="AX37" i="19" l="1"/>
  <c r="AX41" i="19"/>
  <c r="G216" i="21"/>
  <c r="T82" i="21"/>
  <c r="AP5" i="20"/>
  <c r="BF37" i="19"/>
  <c r="BF41" i="19"/>
  <c r="BF26" i="19"/>
  <c r="G179" i="24"/>
  <c r="H175" i="24"/>
  <c r="H177" i="24" s="1"/>
  <c r="H50" i="24"/>
  <c r="I48" i="24" s="1"/>
  <c r="AH159" i="29"/>
  <c r="AN159" i="29" s="1"/>
  <c r="AN129" i="29" s="1"/>
  <c r="AN128" i="29" s="1"/>
  <c r="AN140" i="29" s="1"/>
  <c r="AN141" i="29" s="1"/>
  <c r="BE37" i="19"/>
  <c r="S82" i="21"/>
  <c r="S84" i="21" s="1"/>
  <c r="H63" i="29"/>
  <c r="I61" i="29" s="1"/>
  <c r="I210" i="29" s="1"/>
  <c r="AN6" i="29"/>
  <c r="AN179" i="29"/>
  <c r="AN185" i="29"/>
  <c r="AA162" i="29"/>
  <c r="AN189" i="29"/>
  <c r="AN182" i="29"/>
  <c r="AN183" i="29"/>
  <c r="AN191" i="29"/>
  <c r="AA13" i="29"/>
  <c r="R80" i="29"/>
  <c r="R82" i="29" s="1"/>
  <c r="P80" i="29"/>
  <c r="P82" i="29" s="1"/>
  <c r="U181" i="29"/>
  <c r="AA181" i="29" s="1"/>
  <c r="O11" i="29"/>
  <c r="O25" i="29" s="1"/>
  <c r="Z65" i="19"/>
  <c r="Z66" i="19"/>
  <c r="G12" i="37"/>
  <c r="G214" i="29"/>
  <c r="P82" i="21"/>
  <c r="P84" i="21" s="1"/>
  <c r="T166" i="29"/>
  <c r="T168" i="21"/>
  <c r="T80" i="29"/>
  <c r="S80" i="29"/>
  <c r="S82" i="29" s="1"/>
  <c r="S188" i="29"/>
  <c r="AB181" i="29"/>
  <c r="AB184" i="29"/>
  <c r="O17" i="33"/>
  <c r="O20" i="33" s="1"/>
  <c r="O27" i="33" s="1"/>
  <c r="O61" i="33" s="1"/>
  <c r="R34" i="29"/>
  <c r="R59" i="29" s="1"/>
  <c r="U17" i="20"/>
  <c r="S168" i="29"/>
  <c r="S190" i="29" s="1"/>
  <c r="S170" i="21"/>
  <c r="AJ68" i="19"/>
  <c r="AJ69" i="19"/>
  <c r="C173" i="29"/>
  <c r="C175" i="21"/>
  <c r="E175" i="21"/>
  <c r="E173" i="29"/>
  <c r="F171" i="29"/>
  <c r="H18" i="20"/>
  <c r="H19" i="20" s="1"/>
  <c r="F173" i="21"/>
  <c r="U164" i="29"/>
  <c r="W12" i="20"/>
  <c r="T18" i="20"/>
  <c r="T19" i="20" s="1"/>
  <c r="R173" i="21"/>
  <c r="R171" i="29"/>
  <c r="T22" i="21"/>
  <c r="T18" i="21" s="1"/>
  <c r="T11" i="21" s="1"/>
  <c r="T25" i="21" s="1"/>
  <c r="T35" i="21" s="1"/>
  <c r="T60" i="21" s="1"/>
  <c r="T177" i="21"/>
  <c r="AL47" i="19"/>
  <c r="X10" i="20"/>
  <c r="AK67" i="19"/>
  <c r="S18" i="29"/>
  <c r="T186" i="29"/>
  <c r="T22" i="29"/>
  <c r="T175" i="29"/>
  <c r="U187" i="29"/>
  <c r="U23" i="29"/>
  <c r="D175" i="21"/>
  <c r="D173" i="29"/>
  <c r="AL51" i="19"/>
  <c r="X11" i="20"/>
  <c r="B173" i="29"/>
  <c r="B175" i="21"/>
  <c r="T23" i="29"/>
  <c r="T187" i="29"/>
  <c r="P171" i="29"/>
  <c r="R18" i="20"/>
  <c r="R19" i="20" s="1"/>
  <c r="P173" i="21"/>
  <c r="M173" i="29"/>
  <c r="M175" i="21"/>
  <c r="V17" i="20"/>
  <c r="T170" i="21"/>
  <c r="T168" i="29"/>
  <c r="T190" i="29" s="1"/>
  <c r="Q173" i="29"/>
  <c r="Q175" i="21"/>
  <c r="O173" i="29"/>
  <c r="O175" i="21"/>
  <c r="G175" i="21"/>
  <c r="G173" i="29"/>
  <c r="R82" i="21"/>
  <c r="R84" i="21" s="1"/>
  <c r="P60" i="1"/>
  <c r="Y60" i="1"/>
  <c r="U64" i="1"/>
  <c r="U70" i="1" s="1"/>
  <c r="U71" i="1" s="1"/>
  <c r="J14" i="21"/>
  <c r="J186" i="21"/>
  <c r="J190" i="21" s="1"/>
  <c r="J181" i="29"/>
  <c r="J79" i="21"/>
  <c r="Z62" i="19"/>
  <c r="J170" i="21"/>
  <c r="J192" i="21" s="1"/>
  <c r="L168" i="29"/>
  <c r="L190" i="29" s="1"/>
  <c r="L170" i="21"/>
  <c r="L192" i="21" s="1"/>
  <c r="J75" i="21"/>
  <c r="J168" i="29"/>
  <c r="J190" i="29" s="1"/>
  <c r="I79" i="21"/>
  <c r="I82" i="21" s="1"/>
  <c r="I84" i="21" s="1"/>
  <c r="J77" i="29"/>
  <c r="J80" i="29" s="1"/>
  <c r="J82" i="29" s="1"/>
  <c r="J15" i="29"/>
  <c r="K80" i="21"/>
  <c r="K79" i="21" s="1"/>
  <c r="K82" i="21" s="1"/>
  <c r="K84" i="21" s="1"/>
  <c r="J17" i="33"/>
  <c r="J20" i="33" s="1"/>
  <c r="J27" i="33" s="1"/>
  <c r="R64" i="1"/>
  <c r="R70" i="1" s="1"/>
  <c r="R71" i="1" s="1"/>
  <c r="R60" i="1"/>
  <c r="Z60" i="1"/>
  <c r="Z64" i="1"/>
  <c r="Z70" i="1" s="1"/>
  <c r="Z71" i="1" s="1"/>
  <c r="I186" i="21"/>
  <c r="I190" i="21" s="1"/>
  <c r="F10" i="28"/>
  <c r="J10" i="28" s="1"/>
  <c r="AB42" i="19"/>
  <c r="I73" i="29"/>
  <c r="I80" i="29" s="1"/>
  <c r="I82" i="29" s="1"/>
  <c r="N7" i="29"/>
  <c r="I184" i="29"/>
  <c r="I188" i="29" s="1"/>
  <c r="L14" i="21"/>
  <c r="Z14" i="21"/>
  <c r="AB40" i="1"/>
  <c r="N17" i="33"/>
  <c r="N20" i="33" s="1"/>
  <c r="N27" i="33" s="1"/>
  <c r="L186" i="21"/>
  <c r="L190" i="21" s="1"/>
  <c r="I17" i="33"/>
  <c r="I20" i="33" s="1"/>
  <c r="I27" i="33" s="1"/>
  <c r="N13" i="21"/>
  <c r="N11" i="21" s="1"/>
  <c r="AB62" i="19"/>
  <c r="AI162" i="29"/>
  <c r="L82" i="21"/>
  <c r="L84" i="21" s="1"/>
  <c r="AA59" i="1"/>
  <c r="AB59" i="1" s="1"/>
  <c r="W13" i="21"/>
  <c r="K78" i="29"/>
  <c r="K77" i="29" s="1"/>
  <c r="L14" i="29"/>
  <c r="S64" i="1"/>
  <c r="S70" i="1" s="1"/>
  <c r="S71" i="1" s="1"/>
  <c r="S60" i="1"/>
  <c r="J14" i="20"/>
  <c r="P14" i="20" s="1"/>
  <c r="H166" i="29"/>
  <c r="H196" i="29" s="1"/>
  <c r="H208" i="29" s="1"/>
  <c r="H212" i="29" s="1"/>
  <c r="H168" i="21"/>
  <c r="H198" i="21" s="1"/>
  <c r="H210" i="21" s="1"/>
  <c r="H214" i="21" s="1"/>
  <c r="H216" i="21" s="1"/>
  <c r="W131" i="21"/>
  <c r="H186" i="21"/>
  <c r="H190" i="21" s="1"/>
  <c r="H183" i="21"/>
  <c r="N183" i="21" s="1"/>
  <c r="AQ13" i="29"/>
  <c r="K74" i="29"/>
  <c r="K73" i="29" s="1"/>
  <c r="G82" i="21"/>
  <c r="G84" i="21" s="1"/>
  <c r="G80" i="29"/>
  <c r="G82" i="29" s="1"/>
  <c r="V62" i="19"/>
  <c r="V65" i="19"/>
  <c r="V71" i="19" s="1"/>
  <c r="V72" i="19" s="1"/>
  <c r="N13" i="29"/>
  <c r="N25" i="29"/>
  <c r="N34" i="29" s="1"/>
  <c r="Q64" i="1"/>
  <c r="Q70" i="1" s="1"/>
  <c r="Q71" i="1" s="1"/>
  <c r="Q60" i="1"/>
  <c r="H181" i="29"/>
  <c r="H184" i="29"/>
  <c r="H188" i="29" s="1"/>
  <c r="H75" i="21"/>
  <c r="J34" i="29"/>
  <c r="J59" i="29" s="1"/>
  <c r="G17" i="33"/>
  <c r="G20" i="33" s="1"/>
  <c r="G27" i="33" s="1"/>
  <c r="G37" i="33" s="1"/>
  <c r="N182" i="21"/>
  <c r="N150" i="21" s="1"/>
  <c r="N152" i="21" s="1"/>
  <c r="H77" i="29"/>
  <c r="H73" i="29"/>
  <c r="H79" i="21"/>
  <c r="L80" i="29"/>
  <c r="L82" i="29" s="1"/>
  <c r="N180" i="29"/>
  <c r="AN148" i="29" s="1"/>
  <c r="AN150" i="29" s="1"/>
  <c r="J37" i="27"/>
  <c r="I38" i="27"/>
  <c r="L181" i="29"/>
  <c r="X7" i="21"/>
  <c r="AQ129" i="29"/>
  <c r="AT14" i="29"/>
  <c r="U184" i="29"/>
  <c r="AA184" i="29" s="1"/>
  <c r="N25" i="21"/>
  <c r="N35" i="21" s="1"/>
  <c r="C5" i="30" s="1"/>
  <c r="Y72" i="19"/>
  <c r="I140" i="29"/>
  <c r="AQ128" i="29"/>
  <c r="AN153" i="29" s="1"/>
  <c r="I198" i="21"/>
  <c r="AV41" i="32"/>
  <c r="AV60" i="32"/>
  <c r="AJ64" i="32"/>
  <c r="AJ70" i="32" s="1"/>
  <c r="AJ71" i="32" s="1"/>
  <c r="AJ61" i="32"/>
  <c r="E20" i="33"/>
  <c r="I212" i="21"/>
  <c r="I64" i="21"/>
  <c r="J62" i="21" s="1"/>
  <c r="I170" i="21"/>
  <c r="K17" i="20"/>
  <c r="I168" i="29"/>
  <c r="AW60" i="32"/>
  <c r="AW41" i="32"/>
  <c r="AH64" i="32"/>
  <c r="AH70" i="32" s="1"/>
  <c r="AH61" i="32"/>
  <c r="AU69" i="32"/>
  <c r="BA68" i="32"/>
  <c r="BA69" i="32" s="1"/>
  <c r="AL64" i="32"/>
  <c r="AL70" i="32" s="1"/>
  <c r="AL71" i="32" s="1"/>
  <c r="AL61" i="32"/>
  <c r="X8" i="21"/>
  <c r="AX42" i="19"/>
  <c r="BD41" i="19"/>
  <c r="L173" i="21"/>
  <c r="N18" i="20"/>
  <c r="L171" i="29"/>
  <c r="AK64" i="32"/>
  <c r="AK70" i="32" s="1"/>
  <c r="AK71" i="32" s="1"/>
  <c r="AK61" i="32"/>
  <c r="AY42" i="19"/>
  <c r="K34" i="29"/>
  <c r="K59" i="29" s="1"/>
  <c r="H17" i="33"/>
  <c r="H20" i="33" s="1"/>
  <c r="M18" i="20"/>
  <c r="M19" i="20" s="1"/>
  <c r="K173" i="21"/>
  <c r="K171" i="29"/>
  <c r="BB42" i="19"/>
  <c r="H14" i="21"/>
  <c r="H15" i="21"/>
  <c r="AK162" i="29"/>
  <c r="AX60" i="32"/>
  <c r="AX41" i="32"/>
  <c r="I142" i="21"/>
  <c r="W130" i="21"/>
  <c r="D39" i="33"/>
  <c r="M61" i="33"/>
  <c r="AK181" i="29"/>
  <c r="AK184" i="29"/>
  <c r="H14" i="29"/>
  <c r="H15" i="29"/>
  <c r="AK65" i="19"/>
  <c r="AK71" i="19" s="1"/>
  <c r="AK72" i="19" s="1"/>
  <c r="AK62" i="19"/>
  <c r="AL181" i="29"/>
  <c r="AL184" i="29"/>
  <c r="F27" i="33"/>
  <c r="AY60" i="32"/>
  <c r="AY41" i="32"/>
  <c r="D62" i="33"/>
  <c r="AJ62" i="19"/>
  <c r="AJ65" i="19"/>
  <c r="AJ71" i="19" s="1"/>
  <c r="AI64" i="32"/>
  <c r="AI70" i="32" s="1"/>
  <c r="AI71" i="32" s="1"/>
  <c r="AI61" i="32"/>
  <c r="P71" i="1"/>
  <c r="AA60" i="32"/>
  <c r="AA41" i="32"/>
  <c r="BA42" i="19"/>
  <c r="AN41" i="32"/>
  <c r="AN60" i="32"/>
  <c r="AP42" i="19"/>
  <c r="BA40" i="32"/>
  <c r="AU60" i="32"/>
  <c r="AU41" i="32"/>
  <c r="U64" i="32"/>
  <c r="U70" i="32" s="1"/>
  <c r="U61" i="32"/>
  <c r="AP8" i="20"/>
  <c r="AI184" i="29"/>
  <c r="AI181" i="29"/>
  <c r="L18" i="20"/>
  <c r="L19" i="20" s="1"/>
  <c r="J173" i="21"/>
  <c r="J171" i="29"/>
  <c r="I196" i="29"/>
  <c r="T84" i="21" l="1"/>
  <c r="AH180" i="29"/>
  <c r="AN180" i="29" s="1"/>
  <c r="AJ13" i="29"/>
  <c r="AN13" i="29" s="1"/>
  <c r="BF42" i="19"/>
  <c r="I175" i="24"/>
  <c r="I177" i="24" s="1"/>
  <c r="I50" i="24"/>
  <c r="J48" i="24" s="1"/>
  <c r="H179" i="24"/>
  <c r="BE42" i="19"/>
  <c r="N59" i="29"/>
  <c r="AN162" i="29"/>
  <c r="L17" i="33"/>
  <c r="L20" i="33" s="1"/>
  <c r="L27" i="33" s="1"/>
  <c r="AA148" i="29"/>
  <c r="AA150" i="29" s="1"/>
  <c r="AA153" i="29"/>
  <c r="I63" i="29"/>
  <c r="J61" i="29" s="1"/>
  <c r="J210" i="29" s="1"/>
  <c r="J212" i="29" s="1"/>
  <c r="T82" i="29"/>
  <c r="AH184" i="29"/>
  <c r="AN184" i="29" s="1"/>
  <c r="F148" i="29"/>
  <c r="F150" i="29" s="1"/>
  <c r="O34" i="29"/>
  <c r="O59" i="29" s="1"/>
  <c r="H214" i="29"/>
  <c r="G22" i="37"/>
  <c r="Z71" i="19"/>
  <c r="Z72" i="19" s="1"/>
  <c r="T188" i="29"/>
  <c r="S11" i="29"/>
  <c r="S25" i="29" s="1"/>
  <c r="AK68" i="19"/>
  <c r="AK69" i="19"/>
  <c r="AK70" i="19" s="1"/>
  <c r="P175" i="21"/>
  <c r="P173" i="29"/>
  <c r="V164" i="29"/>
  <c r="X12" i="20"/>
  <c r="S173" i="21"/>
  <c r="U18" i="20"/>
  <c r="U19" i="20" s="1"/>
  <c r="S171" i="29"/>
  <c r="V165" i="29"/>
  <c r="AM47" i="19"/>
  <c r="Y10" i="20"/>
  <c r="AL67" i="19"/>
  <c r="AL61" i="19"/>
  <c r="AL66" i="19" s="1"/>
  <c r="U166" i="29"/>
  <c r="W14" i="20"/>
  <c r="R173" i="29"/>
  <c r="R175" i="21"/>
  <c r="AM51" i="19"/>
  <c r="Y11" i="20"/>
  <c r="W165" i="29" s="1"/>
  <c r="T193" i="29"/>
  <c r="U22" i="29"/>
  <c r="U186" i="29"/>
  <c r="U175" i="29"/>
  <c r="T18" i="29"/>
  <c r="T11" i="29" s="1"/>
  <c r="T25" i="29" s="1"/>
  <c r="V18" i="20"/>
  <c r="V19" i="20" s="1"/>
  <c r="T173" i="21"/>
  <c r="T171" i="29"/>
  <c r="F175" i="21"/>
  <c r="F173" i="29"/>
  <c r="AJ70" i="19"/>
  <c r="J82" i="21"/>
  <c r="J84" i="21" s="1"/>
  <c r="AS14" i="29"/>
  <c r="G10" i="28"/>
  <c r="N181" i="29"/>
  <c r="AR8" i="29"/>
  <c r="AR7" i="29"/>
  <c r="Y14" i="21"/>
  <c r="M148" i="29"/>
  <c r="M150" i="29" s="1"/>
  <c r="W168" i="21"/>
  <c r="D10" i="28"/>
  <c r="AA64" i="1"/>
  <c r="AB64" i="1" s="1"/>
  <c r="E150" i="21"/>
  <c r="E152" i="21" s="1"/>
  <c r="AA60" i="1"/>
  <c r="N168" i="21"/>
  <c r="K80" i="29"/>
  <c r="K82" i="29" s="1"/>
  <c r="I148" i="29"/>
  <c r="I150" i="29" s="1"/>
  <c r="N11" i="29"/>
  <c r="B148" i="29"/>
  <c r="B150" i="29" s="1"/>
  <c r="D148" i="29"/>
  <c r="D150" i="29" s="1"/>
  <c r="L148" i="29"/>
  <c r="L150" i="29" s="1"/>
  <c r="H82" i="21"/>
  <c r="H84" i="21" s="1"/>
  <c r="H150" i="21"/>
  <c r="H152" i="21" s="1"/>
  <c r="C150" i="21"/>
  <c r="C152" i="21" s="1"/>
  <c r="K150" i="21"/>
  <c r="K152" i="21" s="1"/>
  <c r="D150" i="21"/>
  <c r="D152" i="21" s="1"/>
  <c r="G150" i="21"/>
  <c r="G152" i="21" s="1"/>
  <c r="L150" i="21"/>
  <c r="L152" i="21" s="1"/>
  <c r="N166" i="29"/>
  <c r="I150" i="21"/>
  <c r="I152" i="21" s="1"/>
  <c r="M150" i="21"/>
  <c r="M152" i="21" s="1"/>
  <c r="AA70" i="1"/>
  <c r="AA71" i="1" s="1"/>
  <c r="B150" i="21"/>
  <c r="B152" i="21" s="1"/>
  <c r="F150" i="21"/>
  <c r="F152" i="21" s="1"/>
  <c r="AQ166" i="29"/>
  <c r="J150" i="21"/>
  <c r="J152" i="21" s="1"/>
  <c r="E148" i="29"/>
  <c r="E150" i="29" s="1"/>
  <c r="H80" i="29"/>
  <c r="H82" i="29" s="1"/>
  <c r="N184" i="29"/>
  <c r="G61" i="33"/>
  <c r="N186" i="21"/>
  <c r="C148" i="29"/>
  <c r="C150" i="29" s="1"/>
  <c r="G148" i="29"/>
  <c r="G150" i="29" s="1"/>
  <c r="N148" i="29"/>
  <c r="N150" i="29" s="1"/>
  <c r="H148" i="29"/>
  <c r="H150" i="29" s="1"/>
  <c r="N190" i="21"/>
  <c r="K148" i="29"/>
  <c r="K150" i="29" s="1"/>
  <c r="J148" i="29"/>
  <c r="J150" i="29" s="1"/>
  <c r="H170" i="21"/>
  <c r="H192" i="21" s="1"/>
  <c r="J17" i="20"/>
  <c r="P17" i="20" s="1"/>
  <c r="H168" i="29"/>
  <c r="H190" i="29" s="1"/>
  <c r="J38" i="27"/>
  <c r="K37" i="27"/>
  <c r="K17" i="33"/>
  <c r="AH181" i="29"/>
  <c r="AN181" i="29" s="1"/>
  <c r="AN70" i="32"/>
  <c r="AN71" i="32" s="1"/>
  <c r="AH71" i="32"/>
  <c r="K175" i="21"/>
  <c r="K173" i="29"/>
  <c r="J175" i="21"/>
  <c r="J173" i="29"/>
  <c r="U71" i="32"/>
  <c r="AA70" i="32"/>
  <c r="AA71" i="32" s="1"/>
  <c r="H27" i="33"/>
  <c r="AW64" i="32"/>
  <c r="AW70" i="32" s="1"/>
  <c r="AW71" i="32" s="1"/>
  <c r="AW61" i="32"/>
  <c r="I141" i="29"/>
  <c r="AQ140" i="29"/>
  <c r="J61" i="33"/>
  <c r="J37" i="33"/>
  <c r="J39" i="33" s="1"/>
  <c r="N153" i="29"/>
  <c r="F153" i="29"/>
  <c r="J153" i="29"/>
  <c r="B153" i="29"/>
  <c r="E153" i="29"/>
  <c r="D153" i="29"/>
  <c r="M153" i="29"/>
  <c r="C153" i="29"/>
  <c r="L153" i="29"/>
  <c r="K153" i="29"/>
  <c r="H153" i="29"/>
  <c r="G153" i="29"/>
  <c r="I153" i="29"/>
  <c r="AN61" i="32"/>
  <c r="AN64" i="32"/>
  <c r="M155" i="21"/>
  <c r="E155" i="21"/>
  <c r="L155" i="21"/>
  <c r="D155" i="21"/>
  <c r="K155" i="21"/>
  <c r="C155" i="21"/>
  <c r="J155" i="21"/>
  <c r="B155" i="21"/>
  <c r="I155" i="21"/>
  <c r="N155" i="21"/>
  <c r="H155" i="21"/>
  <c r="G155" i="21"/>
  <c r="F155" i="21"/>
  <c r="I61" i="33"/>
  <c r="I37" i="33"/>
  <c r="N61" i="33"/>
  <c r="N188" i="29"/>
  <c r="AV64" i="32"/>
  <c r="AV70" i="32" s="1"/>
  <c r="AV71" i="32" s="1"/>
  <c r="AV61" i="32"/>
  <c r="AA64" i="32"/>
  <c r="AA61" i="32"/>
  <c r="I143" i="21"/>
  <c r="W142" i="21"/>
  <c r="BA60" i="32"/>
  <c r="BA41" i="32"/>
  <c r="AJ72" i="19"/>
  <c r="I190" i="29"/>
  <c r="J212" i="21"/>
  <c r="J214" i="21" s="1"/>
  <c r="J64" i="21"/>
  <c r="K62" i="21" s="1"/>
  <c r="AX64" i="32"/>
  <c r="AX70" i="32" s="1"/>
  <c r="AX71" i="32" s="1"/>
  <c r="AX61" i="32"/>
  <c r="K18" i="20"/>
  <c r="I173" i="21"/>
  <c r="I171" i="29"/>
  <c r="I208" i="29"/>
  <c r="I212" i="29" s="1"/>
  <c r="N196" i="29"/>
  <c r="N208" i="29" s="1"/>
  <c r="N212" i="29" s="1"/>
  <c r="N214" i="29" s="1"/>
  <c r="I192" i="21"/>
  <c r="AU61" i="32"/>
  <c r="AU64" i="32"/>
  <c r="AU70" i="32" s="1"/>
  <c r="F61" i="33"/>
  <c r="F37" i="33"/>
  <c r="AY64" i="32"/>
  <c r="AY70" i="32" s="1"/>
  <c r="AY71" i="32" s="1"/>
  <c r="AY61" i="32"/>
  <c r="D40" i="33"/>
  <c r="G39" i="33"/>
  <c r="N19" i="20"/>
  <c r="BD42" i="19"/>
  <c r="E27" i="33"/>
  <c r="E61" i="33" s="1"/>
  <c r="K20" i="33"/>
  <c r="I210" i="21"/>
  <c r="I214" i="21" s="1"/>
  <c r="I216" i="21" s="1"/>
  <c r="N198" i="21"/>
  <c r="N210" i="21" s="1"/>
  <c r="N214" i="21" s="1"/>
  <c r="N216" i="21" s="1"/>
  <c r="J175" i="24" l="1"/>
  <c r="J177" i="24" s="1"/>
  <c r="J50" i="24"/>
  <c r="K48" i="24" s="1"/>
  <c r="I179" i="24"/>
  <c r="J63" i="29"/>
  <c r="K61" i="29" s="1"/>
  <c r="U193" i="29"/>
  <c r="U188" i="29"/>
  <c r="U18" i="29"/>
  <c r="D5" i="30"/>
  <c r="E5" i="30" s="1"/>
  <c r="I214" i="29"/>
  <c r="S175" i="21"/>
  <c r="S173" i="29"/>
  <c r="Q17" i="33"/>
  <c r="Q20" i="33" s="1"/>
  <c r="Q27" i="33" s="1"/>
  <c r="Q61" i="33" s="1"/>
  <c r="T34" i="29"/>
  <c r="T59" i="29" s="1"/>
  <c r="W23" i="29"/>
  <c r="W187" i="29"/>
  <c r="AL65" i="19"/>
  <c r="AL71" i="19" s="1"/>
  <c r="AL62" i="19"/>
  <c r="AN51" i="19"/>
  <c r="Z11" i="20"/>
  <c r="X165" i="29" s="1"/>
  <c r="W164" i="29"/>
  <c r="Y12" i="20"/>
  <c r="V166" i="29"/>
  <c r="X14" i="20"/>
  <c r="AL68" i="19"/>
  <c r="AL69" i="19"/>
  <c r="AN47" i="19"/>
  <c r="Z10" i="20"/>
  <c r="AM67" i="19"/>
  <c r="AM61" i="19"/>
  <c r="AM66" i="19" s="1"/>
  <c r="V22" i="29"/>
  <c r="V175" i="29"/>
  <c r="V193" i="29" s="1"/>
  <c r="V186" i="29"/>
  <c r="W17" i="20"/>
  <c r="U168" i="29"/>
  <c r="V23" i="29"/>
  <c r="V187" i="29"/>
  <c r="T175" i="21"/>
  <c r="T173" i="29"/>
  <c r="S34" i="29"/>
  <c r="S59" i="29" s="1"/>
  <c r="P17" i="33"/>
  <c r="P20" i="33" s="1"/>
  <c r="P27" i="33" s="1"/>
  <c r="P61" i="33" s="1"/>
  <c r="N168" i="29"/>
  <c r="D11" i="28"/>
  <c r="AB70" i="1"/>
  <c r="N170" i="21"/>
  <c r="N192" i="21"/>
  <c r="J18" i="20"/>
  <c r="J19" i="20" s="1"/>
  <c r="H173" i="21"/>
  <c r="N173" i="21" s="1"/>
  <c r="H171" i="29"/>
  <c r="N171" i="29" s="1"/>
  <c r="K38" i="27"/>
  <c r="L37" i="27"/>
  <c r="K19" i="20"/>
  <c r="I175" i="21" s="1"/>
  <c r="E37" i="33"/>
  <c r="E28" i="33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K27" i="33"/>
  <c r="N190" i="29"/>
  <c r="L61" i="33"/>
  <c r="I39" i="33"/>
  <c r="I15" i="29"/>
  <c r="I14" i="29"/>
  <c r="AQ141" i="29"/>
  <c r="AU71" i="32"/>
  <c r="BA70" i="32"/>
  <c r="BA71" i="32" s="1"/>
  <c r="C41" i="11"/>
  <c r="F39" i="33"/>
  <c r="J51" i="33"/>
  <c r="L175" i="21"/>
  <c r="L173" i="29"/>
  <c r="K212" i="21"/>
  <c r="K214" i="21" s="1"/>
  <c r="K64" i="21"/>
  <c r="L62" i="21" s="1"/>
  <c r="H61" i="33"/>
  <c r="H37" i="33"/>
  <c r="J216" i="21"/>
  <c r="I14" i="21"/>
  <c r="I15" i="21"/>
  <c r="W143" i="21"/>
  <c r="D41" i="33"/>
  <c r="R41" i="11"/>
  <c r="R43" i="11" s="1"/>
  <c r="E24" i="33" s="1"/>
  <c r="BA64" i="32"/>
  <c r="BA61" i="32"/>
  <c r="K175" i="24" l="1"/>
  <c r="K177" i="24" s="1"/>
  <c r="K50" i="24"/>
  <c r="L48" i="24" s="1"/>
  <c r="J179" i="24"/>
  <c r="K210" i="29"/>
  <c r="K212" i="29" s="1"/>
  <c r="K63" i="29"/>
  <c r="L61" i="29" s="1"/>
  <c r="J214" i="29"/>
  <c r="U190" i="29"/>
  <c r="U11" i="29"/>
  <c r="U25" i="29" s="1"/>
  <c r="P28" i="33"/>
  <c r="Q28" i="33" s="1"/>
  <c r="W18" i="20"/>
  <c r="W19" i="20" s="1"/>
  <c r="U173" i="29" s="1"/>
  <c r="U171" i="29"/>
  <c r="AL72" i="19"/>
  <c r="AM65" i="19"/>
  <c r="AM71" i="19" s="1"/>
  <c r="AM72" i="19" s="1"/>
  <c r="AM62" i="19"/>
  <c r="V168" i="29"/>
  <c r="V190" i="29" s="1"/>
  <c r="X17" i="20"/>
  <c r="X164" i="29"/>
  <c r="Z12" i="20"/>
  <c r="W166" i="29"/>
  <c r="Y14" i="20"/>
  <c r="AM68" i="19"/>
  <c r="AM69" i="19"/>
  <c r="AM70" i="19" s="1"/>
  <c r="AO47" i="19"/>
  <c r="AA10" i="20"/>
  <c r="AN67" i="19"/>
  <c r="AN61" i="19"/>
  <c r="AN66" i="19" s="1"/>
  <c r="W22" i="29"/>
  <c r="W18" i="29" s="1"/>
  <c r="W11" i="29" s="1"/>
  <c r="W25" i="29" s="1"/>
  <c r="W186" i="29"/>
  <c r="W175" i="29"/>
  <c r="V188" i="29"/>
  <c r="AL70" i="19"/>
  <c r="X23" i="29"/>
  <c r="X187" i="29"/>
  <c r="AO51" i="19"/>
  <c r="AA11" i="20"/>
  <c r="V18" i="29"/>
  <c r="V11" i="29" s="1"/>
  <c r="V25" i="29" s="1"/>
  <c r="P19" i="20"/>
  <c r="H175" i="21"/>
  <c r="N175" i="21" s="1"/>
  <c r="H173" i="29"/>
  <c r="I173" i="29"/>
  <c r="P18" i="20"/>
  <c r="L38" i="27"/>
  <c r="M37" i="27"/>
  <c r="H39" i="33"/>
  <c r="H51" i="33" s="1"/>
  <c r="AQ14" i="29"/>
  <c r="N14" i="29"/>
  <c r="L212" i="21"/>
  <c r="L214" i="21" s="1"/>
  <c r="L64" i="21"/>
  <c r="M62" i="21" s="1"/>
  <c r="AQ15" i="29"/>
  <c r="N15" i="29"/>
  <c r="K216" i="21"/>
  <c r="I51" i="33"/>
  <c r="E39" i="33"/>
  <c r="K37" i="33"/>
  <c r="E62" i="33"/>
  <c r="F62" i="33" s="1"/>
  <c r="G62" i="33" s="1"/>
  <c r="H62" i="33" s="1"/>
  <c r="I62" i="33" s="1"/>
  <c r="J62" i="33" s="1"/>
  <c r="K62" i="33" s="1"/>
  <c r="K61" i="33"/>
  <c r="W15" i="21"/>
  <c r="N15" i="21"/>
  <c r="E30" i="33"/>
  <c r="N14" i="21"/>
  <c r="W14" i="21"/>
  <c r="L175" i="24" l="1"/>
  <c r="L177" i="24" s="1"/>
  <c r="L50" i="24"/>
  <c r="M48" i="24" s="1"/>
  <c r="K179" i="24"/>
  <c r="L63" i="29"/>
  <c r="M61" i="29" s="1"/>
  <c r="K214" i="29"/>
  <c r="L210" i="29"/>
  <c r="L212" i="29" s="1"/>
  <c r="R17" i="33"/>
  <c r="R20" i="33" s="1"/>
  <c r="R27" i="33" s="1"/>
  <c r="R61" i="33" s="1"/>
  <c r="U34" i="29"/>
  <c r="U59" i="29" s="1"/>
  <c r="W188" i="29"/>
  <c r="Y164" i="29"/>
  <c r="AA12" i="20"/>
  <c r="AR51" i="19"/>
  <c r="AB11" i="20"/>
  <c r="Z165" i="29" s="1"/>
  <c r="AP51" i="19"/>
  <c r="AR47" i="19"/>
  <c r="AB10" i="20"/>
  <c r="AO67" i="19"/>
  <c r="AO61" i="19"/>
  <c r="AP47" i="19"/>
  <c r="Z14" i="20"/>
  <c r="X166" i="29"/>
  <c r="X22" i="29"/>
  <c r="X175" i="29"/>
  <c r="X186" i="29"/>
  <c r="T17" i="33"/>
  <c r="T20" i="33" s="1"/>
  <c r="T27" i="33" s="1"/>
  <c r="W34" i="29"/>
  <c r="W59" i="29" s="1"/>
  <c r="X18" i="20"/>
  <c r="V171" i="29"/>
  <c r="Y165" i="29"/>
  <c r="AN65" i="19"/>
  <c r="AN71" i="19" s="1"/>
  <c r="AN62" i="19"/>
  <c r="Y17" i="20"/>
  <c r="W168" i="29"/>
  <c r="W193" i="29"/>
  <c r="V34" i="29"/>
  <c r="V59" i="29" s="1"/>
  <c r="S17" i="33"/>
  <c r="AN68" i="19"/>
  <c r="AN69" i="19"/>
  <c r="AN70" i="19" s="1"/>
  <c r="N173" i="29"/>
  <c r="M38" i="27"/>
  <c r="N37" i="27"/>
  <c r="N38" i="27" s="1"/>
  <c r="E31" i="33"/>
  <c r="E40" i="33"/>
  <c r="K39" i="33"/>
  <c r="M212" i="21"/>
  <c r="M214" i="21" s="1"/>
  <c r="M64" i="21"/>
  <c r="O62" i="21" s="1"/>
  <c r="O64" i="21" s="1"/>
  <c r="O65" i="21" s="1"/>
  <c r="P62" i="21" s="1"/>
  <c r="P64" i="21" s="1"/>
  <c r="P65" i="21" s="1"/>
  <c r="Q62" i="21" s="1"/>
  <c r="Q64" i="21" s="1"/>
  <c r="Q65" i="21" s="1"/>
  <c r="R62" i="21" s="1"/>
  <c r="R64" i="21" s="1"/>
  <c r="R65" i="21" s="1"/>
  <c r="S62" i="21" s="1"/>
  <c r="S64" i="21" s="1"/>
  <c r="S65" i="21" s="1"/>
  <c r="T62" i="21" s="1"/>
  <c r="T64" i="21" s="1"/>
  <c r="T65" i="21" s="1"/>
  <c r="L62" i="33"/>
  <c r="M62" i="33" s="1"/>
  <c r="N62" i="33" s="1"/>
  <c r="O62" i="33" s="1"/>
  <c r="P62" i="33" s="1"/>
  <c r="Q62" i="33" s="1"/>
  <c r="L216" i="21"/>
  <c r="M175" i="24" l="1"/>
  <c r="M177" i="24" s="1"/>
  <c r="M50" i="24"/>
  <c r="L179" i="24"/>
  <c r="AA165" i="29"/>
  <c r="AO66" i="19"/>
  <c r="AP66" i="19" s="1"/>
  <c r="L214" i="29"/>
  <c r="M210" i="29"/>
  <c r="M212" i="29" s="1"/>
  <c r="M63" i="29"/>
  <c r="O61" i="29" s="1"/>
  <c r="R28" i="33"/>
  <c r="X193" i="29"/>
  <c r="R62" i="33"/>
  <c r="Y18" i="20"/>
  <c r="Y19" i="20" s="1"/>
  <c r="W173" i="29" s="1"/>
  <c r="W171" i="29"/>
  <c r="X19" i="20"/>
  <c r="AN72" i="19"/>
  <c r="AP61" i="19"/>
  <c r="AS51" i="19"/>
  <c r="AD11" i="20"/>
  <c r="AO62" i="19"/>
  <c r="AO65" i="19"/>
  <c r="AA14" i="20"/>
  <c r="Y166" i="29"/>
  <c r="W190" i="29"/>
  <c r="Z17" i="20"/>
  <c r="X168" i="29"/>
  <c r="X190" i="29" s="1"/>
  <c r="AC11" i="20"/>
  <c r="X188" i="29"/>
  <c r="AO68" i="19"/>
  <c r="AO69" i="19"/>
  <c r="AO70" i="19" s="1"/>
  <c r="AP67" i="19"/>
  <c r="AP68" i="19" s="1"/>
  <c r="Y22" i="29"/>
  <c r="Y175" i="29"/>
  <c r="Y186" i="29"/>
  <c r="T61" i="33"/>
  <c r="S20" i="33"/>
  <c r="S27" i="33" s="1"/>
  <c r="Y23" i="29"/>
  <c r="Y187" i="29"/>
  <c r="Z164" i="29"/>
  <c r="AA164" i="29" s="1"/>
  <c r="AB12" i="20"/>
  <c r="AC10" i="20"/>
  <c r="Z23" i="29"/>
  <c r="Z187" i="29"/>
  <c r="X18" i="29"/>
  <c r="AD10" i="20"/>
  <c r="AS47" i="19"/>
  <c r="AR67" i="19"/>
  <c r="AR61" i="19"/>
  <c r="M216" i="21"/>
  <c r="E41" i="33"/>
  <c r="S41" i="11"/>
  <c r="S43" i="11" s="1"/>
  <c r="F40" i="33"/>
  <c r="H64" i="33"/>
  <c r="I64" i="33" s="1"/>
  <c r="J64" i="33" s="1"/>
  <c r="K64" i="33" s="1"/>
  <c r="L64" i="33" s="1"/>
  <c r="M64" i="33" s="1"/>
  <c r="N64" i="33" s="1"/>
  <c r="O64" i="33" s="1"/>
  <c r="P64" i="33" s="1"/>
  <c r="Q64" i="33" s="1"/>
  <c r="R64" i="33" s="1"/>
  <c r="S64" i="33" s="1"/>
  <c r="T64" i="33" s="1"/>
  <c r="U64" i="33" s="1"/>
  <c r="V64" i="33" s="1"/>
  <c r="W64" i="33" s="1"/>
  <c r="X64" i="33" s="1"/>
  <c r="Y64" i="33" s="1"/>
  <c r="Z64" i="33" s="1"/>
  <c r="AA64" i="33" s="1"/>
  <c r="AB64" i="33" s="1"/>
  <c r="AC64" i="33" s="1"/>
  <c r="AD64" i="33" s="1"/>
  <c r="AE64" i="33" s="1"/>
  <c r="AF64" i="33" s="1"/>
  <c r="AG64" i="33" s="1"/>
  <c r="AH64" i="33" s="1"/>
  <c r="AI64" i="33" s="1"/>
  <c r="AJ64" i="33" s="1"/>
  <c r="AK64" i="33" s="1"/>
  <c r="J52" i="33"/>
  <c r="I52" i="33"/>
  <c r="I53" i="33" s="1"/>
  <c r="K51" i="33"/>
  <c r="H52" i="33"/>
  <c r="H53" i="33" s="1"/>
  <c r="M179" i="24" l="1"/>
  <c r="AO71" i="19"/>
  <c r="AO72" i="19" s="1"/>
  <c r="AA187" i="29"/>
  <c r="AA23" i="29"/>
  <c r="O63" i="29"/>
  <c r="P61" i="29" s="1"/>
  <c r="M214" i="29"/>
  <c r="AP71" i="19"/>
  <c r="AP72" i="19" s="1"/>
  <c r="I12" i="37"/>
  <c r="I22" i="37" s="1"/>
  <c r="X11" i="29"/>
  <c r="X25" i="29" s="1"/>
  <c r="AR68" i="19"/>
  <c r="AR69" i="19"/>
  <c r="Y193" i="29"/>
  <c r="AP69" i="19"/>
  <c r="AP70" i="19" s="1"/>
  <c r="V173" i="29"/>
  <c r="AR62" i="19"/>
  <c r="AR65" i="19"/>
  <c r="AR71" i="19" s="1"/>
  <c r="AE10" i="20"/>
  <c r="AT47" i="19"/>
  <c r="AS67" i="19"/>
  <c r="AS61" i="19"/>
  <c r="Y18" i="29"/>
  <c r="Y11" i="29" s="1"/>
  <c r="Y25" i="29" s="1"/>
  <c r="Z18" i="20"/>
  <c r="X171" i="29"/>
  <c r="S61" i="33"/>
  <c r="S62" i="33" s="1"/>
  <c r="T62" i="33" s="1"/>
  <c r="S28" i="33"/>
  <c r="T28" i="33" s="1"/>
  <c r="AB165" i="29"/>
  <c r="Z22" i="29"/>
  <c r="AA22" i="29" s="1"/>
  <c r="Z186" i="29"/>
  <c r="AA186" i="29" s="1"/>
  <c r="Z175" i="29"/>
  <c r="Z193" i="29" s="1"/>
  <c r="Y188" i="29"/>
  <c r="AB164" i="29"/>
  <c r="AD12" i="20"/>
  <c r="AT51" i="19"/>
  <c r="AE11" i="20"/>
  <c r="AC165" i="29" s="1"/>
  <c r="AA17" i="20"/>
  <c r="Y168" i="29"/>
  <c r="Y190" i="29" s="1"/>
  <c r="AB14" i="20"/>
  <c r="AC14" i="20" s="1"/>
  <c r="Z166" i="29"/>
  <c r="AA166" i="29" s="1"/>
  <c r="AC12" i="20"/>
  <c r="AP65" i="19"/>
  <c r="AP62" i="19"/>
  <c r="J53" i="33"/>
  <c r="K53" i="33" s="1"/>
  <c r="K52" i="33"/>
  <c r="F41" i="33"/>
  <c r="G40" i="33"/>
  <c r="T41" i="11"/>
  <c r="T43" i="11" s="1"/>
  <c r="F24" i="33"/>
  <c r="E67" i="33"/>
  <c r="AA193" i="29" l="1"/>
  <c r="AA175" i="29"/>
  <c r="P63" i="29"/>
  <c r="Q61" i="29" s="1"/>
  <c r="AC23" i="29"/>
  <c r="AC187" i="29"/>
  <c r="AR70" i="19"/>
  <c r="AB166" i="29"/>
  <c r="AD14" i="20"/>
  <c r="Y34" i="29"/>
  <c r="Y59" i="29" s="1"/>
  <c r="V17" i="33"/>
  <c r="V20" i="33" s="1"/>
  <c r="V27" i="33" s="1"/>
  <c r="V61" i="33" s="1"/>
  <c r="Z18" i="29"/>
  <c r="Z11" i="29" s="1"/>
  <c r="Z25" i="29" s="1"/>
  <c r="AA25" i="29" s="1"/>
  <c r="AA34" i="29" s="1"/>
  <c r="AB17" i="20"/>
  <c r="Z168" i="29"/>
  <c r="AA168" i="29" s="1"/>
  <c r="AB23" i="29"/>
  <c r="AB187" i="29"/>
  <c r="AS65" i="19"/>
  <c r="AS71" i="19" s="1"/>
  <c r="AS72" i="19" s="1"/>
  <c r="AS62" i="19"/>
  <c r="AR72" i="19"/>
  <c r="Z188" i="29"/>
  <c r="AA188" i="29" s="1"/>
  <c r="Z19" i="20"/>
  <c r="AB186" i="29"/>
  <c r="AB22" i="29"/>
  <c r="AB175" i="29"/>
  <c r="AB193" i="29" s="1"/>
  <c r="AS68" i="19"/>
  <c r="AS69" i="19"/>
  <c r="AS70" i="19" s="1"/>
  <c r="AF11" i="20"/>
  <c r="AD165" i="29" s="1"/>
  <c r="AU51" i="19"/>
  <c r="AU47" i="19"/>
  <c r="AF10" i="20"/>
  <c r="AT67" i="19"/>
  <c r="AT61" i="19"/>
  <c r="X34" i="29"/>
  <c r="X59" i="29" s="1"/>
  <c r="U17" i="33"/>
  <c r="AA18" i="20"/>
  <c r="AA19" i="20" s="1"/>
  <c r="Y173" i="29" s="1"/>
  <c r="Y171" i="29"/>
  <c r="AC164" i="29"/>
  <c r="AE12" i="20"/>
  <c r="G41" i="33"/>
  <c r="U41" i="11"/>
  <c r="U43" i="11" s="1"/>
  <c r="H40" i="33"/>
  <c r="F30" i="33"/>
  <c r="G24" i="33"/>
  <c r="G30" i="33" s="1"/>
  <c r="F67" i="33"/>
  <c r="AA18" i="29" l="1"/>
  <c r="AA11" i="29" s="1"/>
  <c r="Q63" i="29"/>
  <c r="R61" i="29" s="1"/>
  <c r="AB18" i="29"/>
  <c r="AB11" i="29" s="1"/>
  <c r="AB25" i="29" s="1"/>
  <c r="AB188" i="29"/>
  <c r="AG11" i="20"/>
  <c r="AE165" i="29" s="1"/>
  <c r="AV51" i="19"/>
  <c r="W17" i="33"/>
  <c r="W20" i="33" s="1"/>
  <c r="W27" i="33" s="1"/>
  <c r="W61" i="33" s="1"/>
  <c r="Z34" i="29"/>
  <c r="Z59" i="29" s="1"/>
  <c r="AD23" i="29"/>
  <c r="AD187" i="29"/>
  <c r="AT65" i="19"/>
  <c r="AT71" i="19" s="1"/>
  <c r="AT72" i="19" s="1"/>
  <c r="AT62" i="19"/>
  <c r="X173" i="29"/>
  <c r="AE14" i="20"/>
  <c r="AC166" i="29"/>
  <c r="AT68" i="19"/>
  <c r="AT69" i="19"/>
  <c r="AD164" i="29"/>
  <c r="AF12" i="20"/>
  <c r="U20" i="33"/>
  <c r="U27" i="33" s="1"/>
  <c r="AB168" i="29"/>
  <c r="AB190" i="29" s="1"/>
  <c r="AD17" i="20"/>
  <c r="AV47" i="19"/>
  <c r="AG10" i="20"/>
  <c r="AU67" i="19"/>
  <c r="AU61" i="19"/>
  <c r="Z190" i="29"/>
  <c r="AA190" i="29" s="1"/>
  <c r="AC186" i="29"/>
  <c r="AC188" i="29" s="1"/>
  <c r="AC22" i="29"/>
  <c r="AC175" i="29"/>
  <c r="AB18" i="20"/>
  <c r="Z171" i="29"/>
  <c r="AA171" i="29" s="1"/>
  <c r="AC17" i="20"/>
  <c r="G67" i="33"/>
  <c r="H24" i="33"/>
  <c r="H30" i="33" s="1"/>
  <c r="F31" i="33"/>
  <c r="G31" i="33" s="1"/>
  <c r="H41" i="33"/>
  <c r="V41" i="11"/>
  <c r="V43" i="11" s="1"/>
  <c r="I40" i="33"/>
  <c r="R63" i="29" l="1"/>
  <c r="S61" i="29" s="1"/>
  <c r="AB34" i="29"/>
  <c r="Y17" i="33"/>
  <c r="Y20" i="33" s="1"/>
  <c r="Y27" i="33" s="1"/>
  <c r="AD166" i="29"/>
  <c r="AF14" i="20"/>
  <c r="AD22" i="29"/>
  <c r="AD18" i="29" s="1"/>
  <c r="AD11" i="29" s="1"/>
  <c r="AD25" i="29" s="1"/>
  <c r="AD186" i="29"/>
  <c r="AD188" i="29" s="1"/>
  <c r="AD175" i="29"/>
  <c r="AD193" i="29" s="1"/>
  <c r="AD18" i="20"/>
  <c r="AB171" i="29"/>
  <c r="AE23" i="29"/>
  <c r="AE187" i="29"/>
  <c r="AW47" i="19"/>
  <c r="AH10" i="20"/>
  <c r="AV67" i="19"/>
  <c r="AV61" i="19"/>
  <c r="X17" i="33"/>
  <c r="AT70" i="19"/>
  <c r="AH11" i="20"/>
  <c r="AW51" i="19"/>
  <c r="AU62" i="19"/>
  <c r="AU65" i="19"/>
  <c r="AU71" i="19" s="1"/>
  <c r="U61" i="33"/>
  <c r="X27" i="33"/>
  <c r="U28" i="33"/>
  <c r="V28" i="33" s="1"/>
  <c r="W28" i="33" s="1"/>
  <c r="X28" i="33" s="1"/>
  <c r="AC193" i="29"/>
  <c r="AU68" i="19"/>
  <c r="AU69" i="19"/>
  <c r="AU70" i="19" s="1"/>
  <c r="AB19" i="20"/>
  <c r="AC18" i="20"/>
  <c r="AC18" i="29"/>
  <c r="AE164" i="29"/>
  <c r="AG12" i="20"/>
  <c r="AE17" i="20"/>
  <c r="AC168" i="29"/>
  <c r="I24" i="33"/>
  <c r="I30" i="33" s="1"/>
  <c r="H67" i="33"/>
  <c r="H31" i="33"/>
  <c r="I41" i="33"/>
  <c r="W41" i="11"/>
  <c r="J40" i="33"/>
  <c r="S63" i="29" l="1"/>
  <c r="T61" i="29" s="1"/>
  <c r="T63" i="29" s="1"/>
  <c r="U61" i="29" s="1"/>
  <c r="U63" i="29" s="1"/>
  <c r="V61" i="29" s="1"/>
  <c r="V63" i="29" s="1"/>
  <c r="W61" i="29" s="1"/>
  <c r="W63" i="29" s="1"/>
  <c r="X61" i="29" s="1"/>
  <c r="X63" i="29" s="1"/>
  <c r="Y61" i="29" s="1"/>
  <c r="Y63" i="29" s="1"/>
  <c r="Z61" i="29" s="1"/>
  <c r="Z63" i="29" s="1"/>
  <c r="Y28" i="33"/>
  <c r="AC11" i="29"/>
  <c r="AC25" i="29" s="1"/>
  <c r="AF164" i="29"/>
  <c r="AH12" i="20"/>
  <c r="Z173" i="29"/>
  <c r="AA173" i="29" s="1"/>
  <c r="AC19" i="20"/>
  <c r="AX47" i="19"/>
  <c r="AI10" i="20"/>
  <c r="AW67" i="19"/>
  <c r="AW61" i="19"/>
  <c r="AD34" i="29"/>
  <c r="AA17" i="33"/>
  <c r="AA20" i="33" s="1"/>
  <c r="AA27" i="33" s="1"/>
  <c r="AA61" i="33" s="1"/>
  <c r="AF165" i="29"/>
  <c r="AC171" i="29"/>
  <c r="AE18" i="20"/>
  <c r="AE19" i="20" s="1"/>
  <c r="AC173" i="29" s="1"/>
  <c r="AD168" i="29"/>
  <c r="AD190" i="29" s="1"/>
  <c r="AF17" i="20"/>
  <c r="AU72" i="19"/>
  <c r="AV68" i="19"/>
  <c r="AV69" i="19"/>
  <c r="AV70" i="19" s="1"/>
  <c r="X61" i="33"/>
  <c r="U62" i="33"/>
  <c r="V62" i="33" s="1"/>
  <c r="W62" i="33" s="1"/>
  <c r="X62" i="33" s="1"/>
  <c r="AC190" i="29"/>
  <c r="Y61" i="33"/>
  <c r="AG14" i="20"/>
  <c r="AE166" i="29"/>
  <c r="AE22" i="29"/>
  <c r="AE18" i="29" s="1"/>
  <c r="AE11" i="29" s="1"/>
  <c r="AE25" i="29" s="1"/>
  <c r="AE186" i="29"/>
  <c r="AE188" i="29" s="1"/>
  <c r="AE175" i="29"/>
  <c r="AE193" i="29" s="1"/>
  <c r="AX51" i="19"/>
  <c r="AI11" i="20"/>
  <c r="AG165" i="29" s="1"/>
  <c r="AV65" i="19"/>
  <c r="AV71" i="19" s="1"/>
  <c r="AV72" i="19" s="1"/>
  <c r="AV62" i="19"/>
  <c r="AD19" i="20"/>
  <c r="I31" i="33"/>
  <c r="J41" i="33"/>
  <c r="K41" i="33" s="1"/>
  <c r="K40" i="33"/>
  <c r="W43" i="11"/>
  <c r="Y41" i="11"/>
  <c r="Y62" i="33" l="1"/>
  <c r="AG17" i="20"/>
  <c r="AE168" i="29"/>
  <c r="AE190" i="29" s="1"/>
  <c r="AY51" i="19"/>
  <c r="AJ11" i="20"/>
  <c r="AH165" i="29" s="1"/>
  <c r="AW65" i="19"/>
  <c r="AW71" i="19" s="1"/>
  <c r="AW72" i="19" s="1"/>
  <c r="AW62" i="19"/>
  <c r="AF186" i="29"/>
  <c r="AF22" i="29"/>
  <c r="AF175" i="29"/>
  <c r="AF193" i="29" s="1"/>
  <c r="AW68" i="19"/>
  <c r="AW69" i="19"/>
  <c r="AG23" i="29"/>
  <c r="AG187" i="29"/>
  <c r="AF166" i="29"/>
  <c r="AH14" i="20"/>
  <c r="AG164" i="29"/>
  <c r="AI12" i="20"/>
  <c r="Z17" i="33"/>
  <c r="AC34" i="29"/>
  <c r="AD171" i="29"/>
  <c r="AF18" i="20"/>
  <c r="AY47" i="19"/>
  <c r="AJ10" i="20"/>
  <c r="AX67" i="19"/>
  <c r="AX61" i="19"/>
  <c r="AB173" i="29"/>
  <c r="AE34" i="29"/>
  <c r="AB17" i="33"/>
  <c r="AB20" i="33" s="1"/>
  <c r="AB27" i="33" s="1"/>
  <c r="AB61" i="33" s="1"/>
  <c r="AF23" i="29"/>
  <c r="AF187" i="29"/>
  <c r="Y43" i="11"/>
  <c r="Z41" i="11"/>
  <c r="J24" i="33"/>
  <c r="I67" i="33"/>
  <c r="AH23" i="29" l="1"/>
  <c r="AH187" i="29"/>
  <c r="AF168" i="29"/>
  <c r="AH17" i="20"/>
  <c r="AI14" i="20"/>
  <c r="AG166" i="29"/>
  <c r="AZ51" i="19"/>
  <c r="AK11" i="20"/>
  <c r="AI165" i="29" s="1"/>
  <c r="AH164" i="29"/>
  <c r="AJ12" i="20"/>
  <c r="AZ47" i="19"/>
  <c r="AK10" i="20"/>
  <c r="AY67" i="19"/>
  <c r="AY61" i="19"/>
  <c r="AG186" i="29"/>
  <c r="AG22" i="29"/>
  <c r="AG18" i="29" s="1"/>
  <c r="AG11" i="29" s="1"/>
  <c r="AG25" i="29" s="1"/>
  <c r="AG175" i="29"/>
  <c r="AF18" i="29"/>
  <c r="AW70" i="19"/>
  <c r="AF188" i="29"/>
  <c r="AG18" i="20"/>
  <c r="AG19" i="20" s="1"/>
  <c r="AE173" i="29" s="1"/>
  <c r="AE171" i="29"/>
  <c r="AX65" i="19"/>
  <c r="AX71" i="19" s="1"/>
  <c r="AX62" i="19"/>
  <c r="AF19" i="20"/>
  <c r="AX68" i="19"/>
  <c r="AX69" i="19"/>
  <c r="Z20" i="33"/>
  <c r="Z27" i="33" s="1"/>
  <c r="J30" i="33"/>
  <c r="K24" i="33"/>
  <c r="Z43" i="11"/>
  <c r="M24" i="33" s="1"/>
  <c r="M30" i="33" s="1"/>
  <c r="AA41" i="11"/>
  <c r="L24" i="33"/>
  <c r="J67" i="33"/>
  <c r="K67" i="33" s="1"/>
  <c r="AX70" i="19" l="1"/>
  <c r="AG34" i="29"/>
  <c r="AD17" i="33"/>
  <c r="AD20" i="33" s="1"/>
  <c r="AD27" i="33" s="1"/>
  <c r="AD61" i="33" s="1"/>
  <c r="AF171" i="29"/>
  <c r="AH18" i="20"/>
  <c r="AH19" i="20" s="1"/>
  <c r="AF173" i="29" s="1"/>
  <c r="AI23" i="29"/>
  <c r="AI187" i="29"/>
  <c r="AG193" i="29"/>
  <c r="AH166" i="29"/>
  <c r="AJ14" i="20"/>
  <c r="AF190" i="29"/>
  <c r="AY62" i="19"/>
  <c r="AY65" i="19"/>
  <c r="AY71" i="19" s="1"/>
  <c r="AY72" i="19" s="1"/>
  <c r="BA51" i="19"/>
  <c r="AL11" i="20"/>
  <c r="AJ165" i="29" s="1"/>
  <c r="Z61" i="33"/>
  <c r="Z28" i="33"/>
  <c r="AA28" i="33" s="1"/>
  <c r="AB28" i="33" s="1"/>
  <c r="AY68" i="19"/>
  <c r="AY69" i="19"/>
  <c r="AY70" i="19" s="1"/>
  <c r="AX72" i="19"/>
  <c r="AH22" i="29"/>
  <c r="AH186" i="29"/>
  <c r="AH175" i="29"/>
  <c r="AD173" i="29"/>
  <c r="AI164" i="29"/>
  <c r="AK12" i="20"/>
  <c r="AI17" i="20"/>
  <c r="AG168" i="29"/>
  <c r="AG190" i="29" s="1"/>
  <c r="AG188" i="29"/>
  <c r="AF11" i="29"/>
  <c r="AF25" i="29" s="1"/>
  <c r="BA47" i="19"/>
  <c r="AL10" i="20"/>
  <c r="AZ67" i="19"/>
  <c r="AZ61" i="19"/>
  <c r="AB41" i="11"/>
  <c r="AA43" i="11"/>
  <c r="N24" i="33" s="1"/>
  <c r="N30" i="33" s="1"/>
  <c r="J31" i="33"/>
  <c r="K31" i="33" s="1"/>
  <c r="K30" i="33"/>
  <c r="L30" i="33"/>
  <c r="AH188" i="29" l="1"/>
  <c r="AH18" i="29"/>
  <c r="AH193" i="29"/>
  <c r="AZ62" i="19"/>
  <c r="AZ65" i="19"/>
  <c r="AZ71" i="19" s="1"/>
  <c r="AZ72" i="19" s="1"/>
  <c r="AZ68" i="19"/>
  <c r="AZ69" i="19"/>
  <c r="AZ70" i="19" s="1"/>
  <c r="Z62" i="33"/>
  <c r="AA62" i="33" s="1"/>
  <c r="AB62" i="33" s="1"/>
  <c r="AG171" i="29"/>
  <c r="AI18" i="20"/>
  <c r="AJ17" i="20"/>
  <c r="AH168" i="29"/>
  <c r="AJ164" i="29"/>
  <c r="AL12" i="20"/>
  <c r="BB47" i="19"/>
  <c r="AM10" i="20"/>
  <c r="BA67" i="19"/>
  <c r="BA61" i="19"/>
  <c r="AJ23" i="29"/>
  <c r="AJ187" i="29"/>
  <c r="AC17" i="33"/>
  <c r="AF34" i="29"/>
  <c r="AK14" i="20"/>
  <c r="AI166" i="29"/>
  <c r="AI22" i="29"/>
  <c r="AI18" i="29" s="1"/>
  <c r="AI11" i="29" s="1"/>
  <c r="AI25" i="29" s="1"/>
  <c r="AI175" i="29"/>
  <c r="AI193" i="29" s="1"/>
  <c r="AI186" i="29"/>
  <c r="AI188" i="29" s="1"/>
  <c r="BB51" i="19"/>
  <c r="AM11" i="20"/>
  <c r="AK165" i="29" s="1"/>
  <c r="L31" i="33"/>
  <c r="M31" i="33" s="1"/>
  <c r="N31" i="33" s="1"/>
  <c r="AC41" i="11"/>
  <c r="AB43" i="11"/>
  <c r="O24" i="33" s="1"/>
  <c r="AH11" i="29" l="1"/>
  <c r="AH25" i="29" s="1"/>
  <c r="AH190" i="29"/>
  <c r="AF17" i="33"/>
  <c r="AF20" i="33" s="1"/>
  <c r="AI34" i="29"/>
  <c r="BA68" i="19"/>
  <c r="BA69" i="19"/>
  <c r="BA70" i="19" s="1"/>
  <c r="AI168" i="29"/>
  <c r="AI190" i="29" s="1"/>
  <c r="AK17" i="20"/>
  <c r="AK164" i="29"/>
  <c r="AM12" i="20"/>
  <c r="AH171" i="29"/>
  <c r="AJ18" i="20"/>
  <c r="AJ19" i="20" s="1"/>
  <c r="AH173" i="29" s="1"/>
  <c r="AI19" i="20"/>
  <c r="BC47" i="19"/>
  <c r="AN10" i="20"/>
  <c r="BB67" i="19"/>
  <c r="BB61" i="19"/>
  <c r="AK23" i="29"/>
  <c r="AK187" i="29"/>
  <c r="AL14" i="20"/>
  <c r="AJ166" i="29"/>
  <c r="BA65" i="19"/>
  <c r="BA71" i="19" s="1"/>
  <c r="BA72" i="19" s="1"/>
  <c r="BA62" i="19"/>
  <c r="BC51" i="19"/>
  <c r="AN11" i="20"/>
  <c r="AL165" i="29" s="1"/>
  <c r="AC20" i="33"/>
  <c r="AC27" i="33" s="1"/>
  <c r="AJ22" i="29"/>
  <c r="AJ186" i="29"/>
  <c r="AJ175" i="29"/>
  <c r="O30" i="33"/>
  <c r="AD41" i="11"/>
  <c r="AC43" i="11"/>
  <c r="P24" i="33" s="1"/>
  <c r="P30" i="33" s="1"/>
  <c r="AJ188" i="29" l="1"/>
  <c r="AJ18" i="29"/>
  <c r="AJ193" i="29"/>
  <c r="AH34" i="29"/>
  <c r="AE17" i="33"/>
  <c r="AE20" i="33" s="1"/>
  <c r="AE27" i="33" s="1"/>
  <c r="AE61" i="33" s="1"/>
  <c r="BB65" i="19"/>
  <c r="BB71" i="19" s="1"/>
  <c r="BB72" i="19" s="1"/>
  <c r="BB62" i="19"/>
  <c r="AK18" i="20"/>
  <c r="AI171" i="29"/>
  <c r="AK22" i="29"/>
  <c r="AK18" i="29" s="1"/>
  <c r="AK11" i="29" s="1"/>
  <c r="AK25" i="29" s="1"/>
  <c r="AK175" i="29"/>
  <c r="AK193" i="29" s="1"/>
  <c r="AK186" i="29"/>
  <c r="AO10" i="20"/>
  <c r="BC67" i="19"/>
  <c r="BC61" i="19"/>
  <c r="BD47" i="19"/>
  <c r="AL17" i="20"/>
  <c r="AJ168" i="29"/>
  <c r="AJ190" i="29" s="1"/>
  <c r="BB68" i="19"/>
  <c r="BB69" i="19"/>
  <c r="BB70" i="19" s="1"/>
  <c r="AG173" i="29"/>
  <c r="AC61" i="33"/>
  <c r="AC28" i="33"/>
  <c r="AD28" i="33" s="1"/>
  <c r="AO11" i="20"/>
  <c r="BD51" i="19"/>
  <c r="BE51" i="19" s="1"/>
  <c r="BF51" i="19" s="1"/>
  <c r="AK166" i="29"/>
  <c r="AM14" i="20"/>
  <c r="AL164" i="29"/>
  <c r="AN12" i="20"/>
  <c r="AL23" i="29"/>
  <c r="AL187" i="29"/>
  <c r="AF30" i="33"/>
  <c r="AF27" i="33"/>
  <c r="AF61" i="33" s="1"/>
  <c r="AE41" i="11"/>
  <c r="AD43" i="11"/>
  <c r="Q24" i="33" s="1"/>
  <c r="Q30" i="33" s="1"/>
  <c r="O31" i="33"/>
  <c r="P31" i="33" s="1"/>
  <c r="BE47" i="19" l="1"/>
  <c r="BD67" i="19"/>
  <c r="BD69" i="19" s="1"/>
  <c r="AJ11" i="29"/>
  <c r="AJ25" i="29" s="1"/>
  <c r="AK188" i="29"/>
  <c r="AE28" i="33"/>
  <c r="AF28" i="33" s="1"/>
  <c r="BD61" i="19"/>
  <c r="AL166" i="29"/>
  <c r="AN14" i="20"/>
  <c r="AH17" i="33"/>
  <c r="AH20" i="33" s="1"/>
  <c r="AK34" i="29"/>
  <c r="AM164" i="29"/>
  <c r="AN164" i="29" s="1"/>
  <c r="AO12" i="20"/>
  <c r="AP10" i="20"/>
  <c r="AC62" i="33"/>
  <c r="AD62" i="33" s="1"/>
  <c r="AE62" i="33" s="1"/>
  <c r="AF62" i="33" s="1"/>
  <c r="AK19" i="20"/>
  <c r="BC62" i="19"/>
  <c r="BC65" i="19"/>
  <c r="BC71" i="19" s="1"/>
  <c r="AM165" i="29"/>
  <c r="AN165" i="29" s="1"/>
  <c r="AP11" i="20"/>
  <c r="AL18" i="20"/>
  <c r="AL19" i="20" s="1"/>
  <c r="AJ173" i="29" s="1"/>
  <c r="AJ171" i="29"/>
  <c r="AL22" i="29"/>
  <c r="AL175" i="29"/>
  <c r="AL186" i="29"/>
  <c r="AM17" i="20"/>
  <c r="AK168" i="29"/>
  <c r="AK190" i="29" s="1"/>
  <c r="BC68" i="19"/>
  <c r="BC69" i="19"/>
  <c r="Q31" i="33"/>
  <c r="AE43" i="11"/>
  <c r="R24" i="33" s="1"/>
  <c r="AF41" i="11"/>
  <c r="BE61" i="19" l="1"/>
  <c r="BF47" i="19"/>
  <c r="BE67" i="19"/>
  <c r="BE69" i="19" s="1"/>
  <c r="BD68" i="19"/>
  <c r="AL188" i="29"/>
  <c r="AJ34" i="29"/>
  <c r="AG17" i="33"/>
  <c r="AG20" i="33" s="1"/>
  <c r="AG27" i="33" s="1"/>
  <c r="AL193" i="29"/>
  <c r="AL18" i="29"/>
  <c r="BD65" i="19"/>
  <c r="BD71" i="19" s="1"/>
  <c r="K12" i="37"/>
  <c r="K22" i="37" s="1"/>
  <c r="BD62" i="19"/>
  <c r="AM18" i="20"/>
  <c r="AM19" i="20" s="1"/>
  <c r="AK173" i="29" s="1"/>
  <c r="AK171" i="29"/>
  <c r="BC72" i="19"/>
  <c r="AH30" i="33"/>
  <c r="AH27" i="33"/>
  <c r="AH61" i="33" s="1"/>
  <c r="BC70" i="19"/>
  <c r="AN17" i="20"/>
  <c r="AL168" i="29"/>
  <c r="AL190" i="29" s="1"/>
  <c r="AM22" i="29"/>
  <c r="AN22" i="29" s="1"/>
  <c r="AM186" i="29"/>
  <c r="AN186" i="29" s="1"/>
  <c r="AM175" i="29"/>
  <c r="AM193" i="29" s="1"/>
  <c r="AI173" i="29"/>
  <c r="AM23" i="29"/>
  <c r="AN23" i="29" s="1"/>
  <c r="AM187" i="29"/>
  <c r="AN187" i="29" s="1"/>
  <c r="AM166" i="29"/>
  <c r="AN166" i="29" s="1"/>
  <c r="AO14" i="20"/>
  <c r="AP12" i="20"/>
  <c r="R30" i="33"/>
  <c r="AF43" i="11"/>
  <c r="S24" i="33" s="1"/>
  <c r="S30" i="33" s="1"/>
  <c r="AG41" i="11"/>
  <c r="BF67" i="19" l="1"/>
  <c r="BF61" i="19"/>
  <c r="BE65" i="19"/>
  <c r="BE71" i="19" s="1"/>
  <c r="BE62" i="19"/>
  <c r="BE68" i="19"/>
  <c r="BD72" i="19"/>
  <c r="BD70" i="19"/>
  <c r="AN193" i="29"/>
  <c r="AN175" i="29"/>
  <c r="AG30" i="33"/>
  <c r="AL11" i="29"/>
  <c r="AL25" i="29" s="1"/>
  <c r="AN18" i="20"/>
  <c r="AN19" i="20" s="1"/>
  <c r="AL171" i="29"/>
  <c r="AG61" i="33"/>
  <c r="AG28" i="33"/>
  <c r="AH28" i="33" s="1"/>
  <c r="AM188" i="29"/>
  <c r="AN188" i="29" s="1"/>
  <c r="AO17" i="20"/>
  <c r="AP17" i="20" s="1"/>
  <c r="AM168" i="29"/>
  <c r="AM190" i="29" s="1"/>
  <c r="AN190" i="29" s="1"/>
  <c r="AP14" i="20"/>
  <c r="AM18" i="29"/>
  <c r="AM11" i="29" s="1"/>
  <c r="AM25" i="29" s="1"/>
  <c r="AG43" i="11"/>
  <c r="T24" i="33" s="1"/>
  <c r="T30" i="33" s="1"/>
  <c r="AH41" i="11"/>
  <c r="R31" i="33"/>
  <c r="S31" i="33" s="1"/>
  <c r="BF62" i="19" l="1"/>
  <c r="BF65" i="19"/>
  <c r="BF71" i="19" s="1"/>
  <c r="BF72" i="19" s="1"/>
  <c r="BF68" i="19"/>
  <c r="BF69" i="19"/>
  <c r="BF70" i="19" s="1"/>
  <c r="BE72" i="19"/>
  <c r="BE70" i="19"/>
  <c r="AN18" i="29"/>
  <c r="AN11" i="29" s="1"/>
  <c r="AN168" i="29"/>
  <c r="AN25" i="29"/>
  <c r="AN34" i="29" s="1"/>
  <c r="AL34" i="29"/>
  <c r="AI17" i="33"/>
  <c r="AI20" i="33" s="1"/>
  <c r="AI27" i="33" s="1"/>
  <c r="AI28" i="33" s="1"/>
  <c r="AM34" i="29"/>
  <c r="AJ17" i="33"/>
  <c r="AG62" i="33"/>
  <c r="AH62" i="33" s="1"/>
  <c r="AL173" i="29"/>
  <c r="AO18" i="20"/>
  <c r="AM171" i="29"/>
  <c r="AN171" i="29" s="1"/>
  <c r="AH43" i="11"/>
  <c r="U24" i="33" s="1"/>
  <c r="U30" i="33" s="1"/>
  <c r="AI41" i="11"/>
  <c r="T31" i="33"/>
  <c r="AI30" i="33" l="1"/>
  <c r="AO19" i="20"/>
  <c r="AP18" i="20"/>
  <c r="AJ20" i="33"/>
  <c r="AK17" i="33"/>
  <c r="AI61" i="33"/>
  <c r="AI62" i="33" s="1"/>
  <c r="AJ41" i="11"/>
  <c r="AI43" i="11"/>
  <c r="V24" i="33" s="1"/>
  <c r="V30" i="33" s="1"/>
  <c r="U31" i="33"/>
  <c r="X41" i="33" l="1"/>
  <c r="X40" i="33"/>
  <c r="AJ30" i="33"/>
  <c r="AJ27" i="33"/>
  <c r="AM173" i="29"/>
  <c r="AN173" i="29" s="1"/>
  <c r="AP19" i="20"/>
  <c r="V31" i="33"/>
  <c r="AL41" i="11"/>
  <c r="AJ43" i="11"/>
  <c r="W24" i="33" s="1"/>
  <c r="AJ61" i="33" l="1"/>
  <c r="AJ28" i="33"/>
  <c r="AK28" i="33" s="1"/>
  <c r="AK27" i="33"/>
  <c r="W30" i="33"/>
  <c r="X24" i="33"/>
  <c r="AM41" i="11"/>
  <c r="AL43" i="11"/>
  <c r="Y24" i="33" s="1"/>
  <c r="Y30" i="33" s="1"/>
  <c r="AK61" i="33" l="1"/>
  <c r="AJ62" i="33"/>
  <c r="AK62" i="33" s="1"/>
  <c r="AM43" i="11"/>
  <c r="Z24" i="33" s="1"/>
  <c r="Z30" i="33" s="1"/>
  <c r="AN41" i="11"/>
  <c r="W31" i="33"/>
  <c r="X31" i="33" s="1"/>
  <c r="Y31" i="33" s="1"/>
  <c r="X30" i="33"/>
  <c r="AN43" i="11" l="1"/>
  <c r="AA24" i="33" s="1"/>
  <c r="AA30" i="33" s="1"/>
  <c r="AO41" i="11"/>
  <c r="Z31" i="33"/>
  <c r="AO43" i="11" l="1"/>
  <c r="AB24" i="33" s="1"/>
  <c r="AB30" i="33" s="1"/>
  <c r="AP41" i="11"/>
  <c r="AA31" i="33"/>
  <c r="AP43" i="11" l="1"/>
  <c r="AC24" i="33" s="1"/>
  <c r="AC30" i="33" s="1"/>
  <c r="AQ41" i="11"/>
  <c r="AB31" i="33"/>
  <c r="AC31" i="33" l="1"/>
  <c r="AQ43" i="11"/>
  <c r="AD24" i="33" s="1"/>
  <c r="AD30" i="33" s="1"/>
  <c r="AR41" i="11"/>
  <c r="AS41" i="11" l="1"/>
  <c r="AT41" i="11" s="1"/>
  <c r="AU41" i="11" s="1"/>
  <c r="AV41" i="11" s="1"/>
  <c r="AW41" i="11" s="1"/>
  <c r="AY41" i="11" s="1"/>
  <c r="AZ41" i="11" s="1"/>
  <c r="BA41" i="11" s="1"/>
  <c r="BB41" i="11" s="1"/>
  <c r="BC41" i="11" s="1"/>
  <c r="BD41" i="11" s="1"/>
  <c r="BE41" i="11" s="1"/>
  <c r="BF41" i="11" s="1"/>
  <c r="BG41" i="11" s="1"/>
  <c r="BH41" i="11" s="1"/>
  <c r="BI41" i="11" s="1"/>
  <c r="BJ41" i="11" s="1"/>
  <c r="BL41" i="11" s="1"/>
  <c r="BM41" i="11" s="1"/>
  <c r="BN41" i="11" s="1"/>
  <c r="BO41" i="11" s="1"/>
  <c r="AR43" i="11"/>
  <c r="AE24" i="33" s="1"/>
  <c r="AE30" i="33" s="1"/>
  <c r="AK30" i="33" s="1"/>
  <c r="AD31" i="33"/>
  <c r="AE31" i="33" l="1"/>
  <c r="AF31" i="33" s="1"/>
  <c r="AG31" i="33" s="1"/>
  <c r="AH31" i="33" s="1"/>
  <c r="AI31" i="33" s="1"/>
  <c r="AJ31" i="33" s="1"/>
  <c r="AK31" i="33" s="1"/>
  <c r="AB66" i="19" l="1"/>
  <c r="U71" i="19"/>
  <c r="AB71" i="19" s="1"/>
  <c r="F11" i="28" l="1"/>
  <c r="AB72" i="19"/>
  <c r="U72" i="19"/>
  <c r="J11" i="28" l="1"/>
  <c r="G11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 Martinez</author>
    <author>tc={2075300B-AFFD-41AF-A110-EEC1C5985815}</author>
  </authors>
  <commentList>
    <comment ref="C37" authorId="0" shapeId="0" xr:uid="{9CD16FD8-4DF8-4FBE-B03B-451772682BBC}">
      <text>
        <r>
          <rPr>
            <b/>
            <sz val="9"/>
            <color indexed="81"/>
            <rFont val="Tahoma"/>
            <family val="2"/>
          </rPr>
          <t>Diego Martinez:</t>
        </r>
        <r>
          <rPr>
            <sz val="9"/>
            <color indexed="81"/>
            <rFont val="Tahoma"/>
            <family val="2"/>
          </rPr>
          <t xml:space="preserve">
Se usa si Flujo incluyendo WC Crecimiento es negativo</t>
        </r>
      </text>
    </comment>
    <comment ref="D37" authorId="1" shapeId="0" xr:uid="{2075300B-AFFD-41AF-A110-EEC1C59858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 estos datos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56FA5C-3C73-4632-BA7B-A60DA5F092D1}" keepAlive="1" name="Query - ARRENDAMIENTOS" description="Connection to the 'ARRENDAMIENTOS' query in the workbook." type="5" refreshedVersion="8" background="1" saveData="1">
    <dbPr connection="Provider=Microsoft.Mashup.OleDb.1;Data Source=$Workbook$;Location=ARRENDAMIENTOS;Extended Properties=&quot;&quot;" command="SELECT * FROM [ARRENDAMIENTOS]"/>
  </connection>
  <connection id="2" xr16:uid="{5F613AF2-2B70-4CB1-A701-4B90A40AECFA}" keepAlive="1" name="Query - BIOMIRAL PVT LBL" description="Connection to the 'BIOMIRAL PVT LBL' query in the workbook." type="5" refreshedVersion="8" background="1" saveData="1">
    <dbPr connection="Provider=Microsoft.Mashup.OleDb.1;Data Source=$Workbook$;Location=&quot;BIOMIRAL PVT LBL&quot;;Extended Properties=&quot;&quot;" command="SELECT * FROM [BIOMIRAL PVT LBL]"/>
  </connection>
  <connection id="3" xr16:uid="{061EA13E-9D26-45D6-A578-E9CF09D1D4D1}" keepAlive="1" name="Query - Cal Sueldos Total Nominal" description="Connection to the 'Cal Sueldos Total Nominal' query in the workbook." type="5" refreshedVersion="8" background="1" saveData="1">
    <dbPr connection="Provider=Microsoft.Mashup.OleDb.1;Data Source=$Workbook$;Location=&quot;Cal Sueldos Total Nominal&quot;;Extended Properties=&quot;&quot;" command="SELECT * FROM [Cal Sueldos Total Nominal]"/>
  </connection>
  <connection id="4" xr16:uid="{04EFECFA-8A53-4132-BFE1-562792CF9013}" keepAlive="1" name="Query - CREDITOS" description="Connection to the 'CREDITOS' query in the workbook." type="5" refreshedVersion="8" background="1" saveData="1">
    <dbPr connection="Provider=Microsoft.Mashup.OleDb.1;Data Source=$Workbook$;Location=CREDITOS;Extended Properties=&quot;&quot;" command="SELECT * FROM [CREDITOS]"/>
  </connection>
  <connection id="5" xr16:uid="{CCE163EE-AEFF-4652-A98A-FDBC3FF76422}" keepAlive="1" name="Query - FARMIRAL" description="Connection to the 'FARMIRAL' query in the workbook." type="5" refreshedVersion="8" background="1" saveData="1">
    <dbPr connection="Provider=Microsoft.Mashup.OleDb.1;Data Source=$Workbook$;Location=FARMIRAL;Extended Properties=&quot;&quot;" command="SELECT * FROM [FARMIRAL]"/>
  </connection>
  <connection id="6" xr16:uid="{417B2112-3820-4995-9C6F-5338FE059EAA}" keepAlive="1" name="Query - FCST $ 2024" description="Connection to the 'FCST $ 2024' query in the workbook." type="5" refreshedVersion="8" background="1" saveData="1">
    <dbPr connection="Provider=Microsoft.Mashup.OleDb.1;Data Source=$Workbook$;Location=&quot;FCST $ 2024&quot;;Extended Properties=&quot;&quot;" command="SELECT * FROM [FCST $ 2024]"/>
  </connection>
  <connection id="7" xr16:uid="{DFD9DE9E-177A-406D-813D-00B72C7D0150}" keepAlive="1" name="Query - Margen_ Bruto" description="Connection to the 'Margen_ Bruto' query in the workbook." type="5" refreshedVersion="8" background="1" saveData="1">
    <dbPr connection="Provider=Microsoft.Mashup.OleDb.1;Data Source=$Workbook$;Location=&quot;Margen_ Bruto&quot;;Extended Properties=&quot;&quot;" command="SELECT * FROM [Margen_ Bruto]"/>
  </connection>
  <connection id="8" xr16:uid="{75850122-60F7-40F4-ACEF-ABE0C505B00E}" keepAlive="1" name="Query - RESUMEN CANAL-CLIENTE" description="Connection to the 'RESUMEN CANAL-CLIENTE' query in the workbook." type="5" refreshedVersion="8" background="1" saveData="1">
    <dbPr connection="Provider=Microsoft.Mashup.OleDb.1;Data Source=$Workbook$;Location=&quot;RESUMEN CANAL-CLIENTE&quot;;Extended Properties=&quot;&quot;" command="SELECT * FROM [RESUMEN CANAL-CLIENT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<sst xmlns="http://schemas.openxmlformats.org/spreadsheetml/2006/main" count="7432" uniqueCount="1970">
  <si>
    <t>PERIODO</t>
  </si>
  <si>
    <t>MES</t>
  </si>
  <si>
    <t>QTR</t>
  </si>
  <si>
    <t>REVENUE</t>
  </si>
  <si>
    <t>Descuentos</t>
  </si>
  <si>
    <t>Devoluciones</t>
  </si>
  <si>
    <t>MP/ME</t>
  </si>
  <si>
    <t>Indirectos</t>
  </si>
  <si>
    <t>Logistica</t>
  </si>
  <si>
    <t>Nomina Produccion</t>
  </si>
  <si>
    <t>Maquila Externa</t>
  </si>
  <si>
    <t>Maquila</t>
  </si>
  <si>
    <t>Private Label</t>
  </si>
  <si>
    <t>Biomiral</t>
  </si>
  <si>
    <t>Renta</t>
  </si>
  <si>
    <t>Luz</t>
  </si>
  <si>
    <t>Mantenimiento</t>
  </si>
  <si>
    <t>Nomina Calidad</t>
  </si>
  <si>
    <t>Nomina Soporte Produccion</t>
  </si>
  <si>
    <t>Logistica MP/ME</t>
  </si>
  <si>
    <t>Shrink</t>
  </si>
  <si>
    <t>Nomina Ventas</t>
  </si>
  <si>
    <t>MARGEN MATERIAL DIRECTO</t>
  </si>
  <si>
    <t>Trade Mktg</t>
  </si>
  <si>
    <t>Presupuesto Mktg</t>
  </si>
  <si>
    <t>Nomina Desarrollo</t>
  </si>
  <si>
    <t>Nomina Admin</t>
  </si>
  <si>
    <t>Gastos Administrativos</t>
  </si>
  <si>
    <t>Depreciacion</t>
  </si>
  <si>
    <t>Amortizacion</t>
  </si>
  <si>
    <t>Intereses</t>
  </si>
  <si>
    <t>Impuestos</t>
  </si>
  <si>
    <t>YEAR</t>
  </si>
  <si>
    <t>NET REVENUE</t>
  </si>
  <si>
    <t>GROSS REVENUE</t>
  </si>
  <si>
    <t>UTILIDAD DE PRODUCCION</t>
  </si>
  <si>
    <t>UTILIDAD BRUTA</t>
  </si>
  <si>
    <t>UTILIDAD OPERATIVA</t>
  </si>
  <si>
    <t>UTILIDAD NETA</t>
  </si>
  <si>
    <t>Gastos Generales Calidad</t>
  </si>
  <si>
    <t>Gastos Desarrollo</t>
  </si>
  <si>
    <t>Column1</t>
  </si>
  <si>
    <t>Column2</t>
  </si>
  <si>
    <t>Column3</t>
  </si>
  <si>
    <t>Column4</t>
  </si>
  <si>
    <t>Column5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</si>
  <si>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</si>
  <si>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</si>
  <si>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</si>
  <si>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</si>
  <si>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</si>
  <si>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</si>
  <si>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</si>
  <si>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</si>
  <si>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</si>
  <si>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</si>
  <si>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</si>
  <si>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</si>
  <si>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</si>
  <si>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</si>
  <si>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</si>
  <si>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</si>
  <si>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</si>
  <si>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</si>
  <si>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</si>
  <si>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</si>
  <si>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</si>
  <si>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</si>
  <si>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</si>
  <si>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</si>
  <si>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</si>
  <si>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</si>
  <si>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</si>
  <si>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</si>
  <si>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</si>
  <si>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</si>
  <si>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</si>
  <si>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</si>
  <si>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</si>
  <si>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</si>
  <si>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</si>
  <si>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</si>
  <si>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</si>
  <si>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</si>
  <si>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</si>
  <si>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</si>
  <si>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</si>
  <si>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</si>
  <si>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</si>
  <si>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</si>
  <si>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</si>
  <si>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</si>
  <si>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</si>
  <si>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</si>
  <si>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</si>
  <si>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</si>
  <si>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</si>
  <si>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</si>
  <si>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</si>
  <si>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</si>
  <si>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</si>
  <si>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</si>
  <si>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</si>
  <si>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</si>
  <si>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</si>
  <si>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</si>
  <si>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</si>
  <si>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</si>
  <si>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</si>
  <si>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</si>
  <si>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</si>
  <si>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</si>
  <si>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</si>
  <si>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</si>
  <si>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</si>
  <si>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</si>
  <si>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</si>
  <si>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</si>
  <si>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</si>
  <si>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</si>
  <si>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</si>
  <si>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</si>
  <si>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</si>
  <si>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</si>
  <si>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</si>
  <si>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</si>
  <si>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</si>
  <si>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</si>
  <si>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</si>
  <si>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</si>
  <si>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BIOMIRAL</t>
  </si>
  <si>
    <t>INNOV</t>
  </si>
  <si>
    <t>MARCA PROPIA</t>
  </si>
  <si>
    <t>TOTAL</t>
  </si>
  <si>
    <t>TMI - TRADE MARKETING INVESTMENT</t>
  </si>
  <si>
    <t>CALIBRACION INVERSION</t>
  </si>
  <si>
    <t>CANAL</t>
  </si>
  <si>
    <t>CLIENTE</t>
  </si>
  <si>
    <t>KAM</t>
  </si>
  <si>
    <t>CBP</t>
  </si>
  <si>
    <t>TMI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</si>
  <si>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</si>
  <si>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</si>
  <si>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</si>
  <si>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</si>
  <si>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</si>
  <si>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</si>
  <si>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</si>
  <si>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</si>
  <si>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</si>
  <si>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</si>
  <si>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</si>
  <si>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</si>
  <si>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% INV PROP</t>
  </si>
  <si>
    <t>$ INVERSION</t>
  </si>
  <si>
    <t>% TMI</t>
  </si>
  <si>
    <t>DIF $ INV</t>
  </si>
  <si>
    <t>% CREC</t>
  </si>
  <si>
    <t>TOP DISTRIBUIDORES</t>
  </si>
  <si>
    <t>BRUDIFARMA</t>
  </si>
  <si>
    <t>CRISTINA</t>
  </si>
  <si>
    <t>SÍ</t>
  </si>
  <si>
    <t>DIFARMER</t>
  </si>
  <si>
    <t>LEVIC</t>
  </si>
  <si>
    <t>PHARMA AMIGO</t>
  </si>
  <si>
    <t>REINVEX INTEGRA</t>
  </si>
  <si>
    <t>CHANTAL</t>
  </si>
  <si>
    <t>PROMOTORA SALUDANAT</t>
  </si>
  <si>
    <t>TANIA</t>
  </si>
  <si>
    <t>SUPER MAYOREO NATURISTA</t>
  </si>
  <si>
    <t>COMERCIAL G.F.C.</t>
  </si>
  <si>
    <t>FARMACEUTICOS TENORIO</t>
  </si>
  <si>
    <t>ROSARIO MENDOZA MACEDO</t>
  </si>
  <si>
    <t>DISTRIBUIDORA FARMACEUTICA CALDERON</t>
  </si>
  <si>
    <t>DISTRIBUIDORA SEVI</t>
  </si>
  <si>
    <t>NANCY</t>
  </si>
  <si>
    <t>SUBTOTAL</t>
  </si>
  <si>
    <t>TOTAL RETAIL</t>
  </si>
  <si>
    <t>FARMACIA GUADALAJARA</t>
  </si>
  <si>
    <t>PHARMA PLUS</t>
  </si>
  <si>
    <t>SUPERMERCADOS INTERNACIONALES H E B</t>
  </si>
  <si>
    <t>FARMACIAS DE SIMILARES</t>
  </si>
  <si>
    <t>BENAVIDES</t>
  </si>
  <si>
    <t>FARMACOS NACIONALES</t>
  </si>
  <si>
    <t>NADRO</t>
  </si>
  <si>
    <t>FARMACON</t>
  </si>
  <si>
    <t>FLORES Y REGALOS ANGELES</t>
  </si>
  <si>
    <t>PACIFIC PHARMA GROUP</t>
  </si>
  <si>
    <t>OTROS DISTRIBUIDORES</t>
  </si>
  <si>
    <t>Otros distribuidores</t>
  </si>
  <si>
    <t xml:space="preserve">TOTAL BIOMIRAL </t>
  </si>
  <si>
    <t>NUEVOS CANALES</t>
  </si>
  <si>
    <t>FARMACIAS DEL AHORRO</t>
  </si>
  <si>
    <t>BENAVIDES (BIOMIRAL)</t>
  </si>
  <si>
    <t>WALMART</t>
  </si>
  <si>
    <t>EXPANSIÓN RETAIL</t>
  </si>
  <si>
    <t>CHEDRAUI</t>
  </si>
  <si>
    <t>SORIANA</t>
  </si>
  <si>
    <t>LA COMER</t>
  </si>
  <si>
    <t>FRAGUA (BIOMIRAL)</t>
  </si>
  <si>
    <t>ECOMMERCE</t>
  </si>
  <si>
    <t>TOTAL INC NUEVOS CANALES</t>
  </si>
  <si>
    <t>%</t>
  </si>
  <si>
    <t>OF</t>
  </si>
  <si>
    <t>Codigo</t>
  </si>
  <si>
    <t>Producto</t>
  </si>
  <si>
    <t>Cliente</t>
  </si>
  <si>
    <t>Costo</t>
  </si>
  <si>
    <t>Valor producto</t>
  </si>
  <si>
    <t>Margen</t>
  </si>
  <si>
    <t>51PLTF01</t>
  </si>
  <si>
    <t>TRUCOFFEE 340 g</t>
  </si>
  <si>
    <t>MTEX MEXICO</t>
  </si>
  <si>
    <t>51PLCB06</t>
  </si>
  <si>
    <t>C-BOOST NF CAJA CON 30 SOBRES DE 6 G</t>
  </si>
  <si>
    <t>GRISI HNOS</t>
  </si>
  <si>
    <t>51PLCB04</t>
  </si>
  <si>
    <t>C-BOOST NF CAJA CON 15 SOBRES DE 6 G</t>
  </si>
  <si>
    <t>51PLFX02</t>
  </si>
  <si>
    <t>FIBOTAX SIMILARES 10g C/10 SOBRES</t>
  </si>
  <si>
    <t>51PLCB03</t>
  </si>
  <si>
    <t>C-BOOST NF CAJA CON 10 SOBRES DE 6 G</t>
  </si>
  <si>
    <t>51CPCS02</t>
  </si>
  <si>
    <t>COLSIMB 485 MG C/2 CAPS</t>
  </si>
  <si>
    <t>LABORATORIO ELMOR MEXICO</t>
  </si>
  <si>
    <t>51CPMM02</t>
  </si>
  <si>
    <t>MULTIBLUE MAGNESIO CAPS FCO/60</t>
  </si>
  <si>
    <t>KPS COMERCIALIZADORA</t>
  </si>
  <si>
    <t>51PLCXM01</t>
  </si>
  <si>
    <t>CARTMAX CAJA C/30 SOBRES 12.54 G</t>
  </si>
  <si>
    <t>51PLCXA02</t>
  </si>
  <si>
    <t>CARTACTION CAJA C/15 SOBRES 23.35G</t>
  </si>
  <si>
    <t>51CPOM01</t>
  </si>
  <si>
    <t>OMEGA 3, 6 Y 9 C/60 CAPS AL NATURAL</t>
  </si>
  <si>
    <t>51TBMZ01</t>
  </si>
  <si>
    <t>TABLETAS EFER MAGNESIO ZINC 4g</t>
  </si>
  <si>
    <t>51JBMP01</t>
  </si>
  <si>
    <t>MIEL/PROPOLEO/MENTA Y EUCALIPTO 240ML</t>
  </si>
  <si>
    <t>FARMACIAS BENAVIDES</t>
  </si>
  <si>
    <t>51CPMB01</t>
  </si>
  <si>
    <t>MULTIBLUE PRÓBIOTICOS FCO/30 CAPS</t>
  </si>
  <si>
    <t>51PLCX01</t>
  </si>
  <si>
    <t>CART X-3 CAJA CON 30 SOBRES 12.5GR</t>
  </si>
  <si>
    <t>51CPMM01</t>
  </si>
  <si>
    <t>MULTIBLUE MAGNESIO CAPS FCO/120</t>
  </si>
  <si>
    <t>51CPOM02</t>
  </si>
  <si>
    <t>OMEGA 3 C/60 CAPS AL NATURAL</t>
  </si>
  <si>
    <t>51PLFX01</t>
  </si>
  <si>
    <t>FIBOTAX 10g C/10 SOBRES</t>
  </si>
  <si>
    <t>51PLFX04</t>
  </si>
  <si>
    <t>FIBOTAX 10g C/30 SOBRES</t>
  </si>
  <si>
    <t>51TBAP01</t>
  </si>
  <si>
    <t>ÁCIDO FÓLICO / PROTEÍNA DE ARROZ</t>
  </si>
  <si>
    <t>51TBML01</t>
  </si>
  <si>
    <t>MULTILYTE LIMONADA C/20 TABS EFER</t>
  </si>
  <si>
    <t>51PLBMM01</t>
  </si>
  <si>
    <t>BLOOM MX SABOR MANGO TARRO C/145g</t>
  </si>
  <si>
    <t>51PLBFK02</t>
  </si>
  <si>
    <t>BLOOM MX SABOR FRESA-KIWI 145g</t>
  </si>
  <si>
    <t>51PLHG11</t>
  </si>
  <si>
    <t>HIDRA2GO SABOR NARANJA-MANDA TARRO 300G</t>
  </si>
  <si>
    <t>LIFOODS</t>
  </si>
  <si>
    <t>51CPGM01</t>
  </si>
  <si>
    <t>GESTOMEG C/30 CAPS.</t>
  </si>
  <si>
    <t>51PLHG03</t>
  </si>
  <si>
    <t>HIDRA2GO NARANJA MANDARINA CAJA C/10S 6G</t>
  </si>
  <si>
    <t>51PLHG10</t>
  </si>
  <si>
    <t>HIDRA2GO SABOR LIMA-LIMON TARRO 300G</t>
  </si>
  <si>
    <t>51PLHG02</t>
  </si>
  <si>
    <t>HIDRA2GO LIMA LIMÓN CAJA C/10 SOBRES 6G</t>
  </si>
  <si>
    <t>51PLGY01</t>
  </si>
  <si>
    <t>GLYCOLAGENO 12gr CAJA CON 20 SOBRES</t>
  </si>
  <si>
    <t>51CPGM02</t>
  </si>
  <si>
    <t>GESTOMEG C/2 CAPS.</t>
  </si>
  <si>
    <t>51PLBMF03</t>
  </si>
  <si>
    <t>BLOOM MX FRUTOS ROJOS 14 porciones 5.77g</t>
  </si>
  <si>
    <t>51PLBFK01</t>
  </si>
  <si>
    <t>BLOOM MX SABOR FRESA-KIWI 14 PORCIONES</t>
  </si>
  <si>
    <t>51PLBMF01</t>
  </si>
  <si>
    <t>BLOOM MX SABOR FRUTOS ROJOS TARRO C/145g</t>
  </si>
  <si>
    <t>51PLBMF04</t>
  </si>
  <si>
    <t>BLOOM MX SABOR FRUTOS ROJOS TARRO C/289g</t>
  </si>
  <si>
    <t>51CPCD01</t>
  </si>
  <si>
    <t>CALCIO, VIT. D3 Y COLÁGENO FCO/60 CAPS</t>
  </si>
  <si>
    <t>51TBMC01</t>
  </si>
  <si>
    <t>MULTILYTE COCO C/20 TABS EFER</t>
  </si>
  <si>
    <t>51CPFIT03</t>
  </si>
  <si>
    <t>MULTIBLUE PRÓBIOTIC FIT 60 CAPS PT</t>
  </si>
  <si>
    <t>51PLHG01</t>
  </si>
  <si>
    <t>HIDRA2GO FRESA CAJA C/10 SOBRES DE 6g</t>
  </si>
  <si>
    <t>51TBMF01</t>
  </si>
  <si>
    <t>MULTILYTE FRESA KIWI C/20 TABS EFER</t>
  </si>
  <si>
    <t>51PLPW01</t>
  </si>
  <si>
    <t>BLOOM PREWORKOUT PINK LIMONADE MX C/175</t>
  </si>
  <si>
    <t>51CPFIT02</t>
  </si>
  <si>
    <t>MULTIBLUE PRÓBIOTIC FIT 30 CAPS PT</t>
  </si>
  <si>
    <t>51PLHG12</t>
  </si>
  <si>
    <t>HIDRA2GO SABOR FRESA TARRO 300G</t>
  </si>
  <si>
    <t>51PLGS01</t>
  </si>
  <si>
    <t>SRV-0158</t>
  </si>
  <si>
    <t>GELASIMIFORTE 5G C/15 SOBRES</t>
  </si>
  <si>
    <t>LABORATORIOS BEST</t>
  </si>
  <si>
    <t>51PLHG07</t>
  </si>
  <si>
    <t>HIDRA2GO SABOR UVA TARRO 300G</t>
  </si>
  <si>
    <t>51PLHG09</t>
  </si>
  <si>
    <t>HIDRA2GO SABOR FRESA-KIWI TARRO 300G</t>
  </si>
  <si>
    <t>51PLPW02</t>
  </si>
  <si>
    <t>BLOOM PREWORKOUT PINK LIMONADE MX C/350</t>
  </si>
  <si>
    <t>51CPVAF01</t>
  </si>
  <si>
    <t>VITAMINA A 200 MG C/30 CAPSULAS BLANDAS</t>
  </si>
  <si>
    <t>51PLHG21</t>
  </si>
  <si>
    <t>HIDRA2GO SABOR MORA AZUL TARRO 300G</t>
  </si>
  <si>
    <t>51PLVC01</t>
  </si>
  <si>
    <t>COLÁGENO SABOR VAINILLA BOLSA CON 600 g</t>
  </si>
  <si>
    <t>51PLCL01</t>
  </si>
  <si>
    <t>COLAGENER 3 PEPINO-LIMON 150 G</t>
  </si>
  <si>
    <t>51CPCS01</t>
  </si>
  <si>
    <t>COLSIMB 485 MG C/15 CAPS</t>
  </si>
  <si>
    <t>51PLFC01</t>
  </si>
  <si>
    <t>COLÁGENO SABOR FRESA BOLSA CON 300 GR</t>
  </si>
  <si>
    <t>51TBCR01</t>
  </si>
  <si>
    <t>C-REVITAL KIDS FCO 50 TABS DE 800 mg</t>
  </si>
  <si>
    <t>51CPCV01</t>
  </si>
  <si>
    <t>COENZIMAQ10, OM3, VIT Y MIN FCO/30 CAPS</t>
  </si>
  <si>
    <t>51CPAZ04</t>
  </si>
  <si>
    <t>AZVITE CON 30 CAPSULAS</t>
  </si>
  <si>
    <t>51CPCA01</t>
  </si>
  <si>
    <t>COMPLETE ACTIVE FCO/60 CAPS</t>
  </si>
  <si>
    <t>51TBEX03</t>
  </si>
  <si>
    <t>FIBRA/BIOFLAV/LACTOB/VITAMINAS 90 TABS</t>
  </si>
  <si>
    <t>51PLSF01</t>
  </si>
  <si>
    <t>SRV-0159</t>
  </si>
  <si>
    <t>SIMIFX 8G C/15 SOBRES</t>
  </si>
  <si>
    <t>51CPAZ03</t>
  </si>
  <si>
    <t>AZVITE CON 90 CAPSULAS</t>
  </si>
  <si>
    <t>51TBEX01</t>
  </si>
  <si>
    <t>EXZON C/90 TABS.</t>
  </si>
  <si>
    <t>51PLPC01</t>
  </si>
  <si>
    <t>COLAGENER 6 PIÑA 300 G</t>
  </si>
  <si>
    <t>51CPAM01</t>
  </si>
  <si>
    <t>AMBROTOSE AO 30 CAPSULAS</t>
  </si>
  <si>
    <t>51TBKY01</t>
  </si>
  <si>
    <t>COMPLETE KIDDY 60 TABS</t>
  </si>
  <si>
    <t>51CPKM02</t>
  </si>
  <si>
    <t>KAMINA CAPS FCO/30</t>
  </si>
  <si>
    <t>51PLCV01</t>
  </si>
  <si>
    <t>C-VYM NARANJA-MANDARINA C/11 SOBRES</t>
  </si>
  <si>
    <t>51CPDG05</t>
  </si>
  <si>
    <t>D-GELAC+FS C/30 CAPS.</t>
  </si>
  <si>
    <t>51PLAB01</t>
  </si>
  <si>
    <t>ABLAZOR CAJA CON 30 SOBRES 10G MEXICO</t>
  </si>
  <si>
    <t>ASPEN LABS</t>
  </si>
  <si>
    <t>51TBVK01</t>
  </si>
  <si>
    <t>VITAMINA C Y BIOFLAVONOIDES FCO/60 TABS</t>
  </si>
  <si>
    <t>51CPVB01</t>
  </si>
  <si>
    <t>VITAMINA B12 C/30 CÁPSULAS 400mg</t>
  </si>
  <si>
    <t>51PLFP01</t>
  </si>
  <si>
    <t>FLOS-PRO C/10 SOBRES 1g</t>
  </si>
  <si>
    <t>51PLFP02</t>
  </si>
  <si>
    <t>FLOS-PRO C/1 SOBRE 1g</t>
  </si>
  <si>
    <t>51TBBH01</t>
  </si>
  <si>
    <t>BIOVIT FOR MEN FRASCO CON 30 TABLETS</t>
  </si>
  <si>
    <t>51PLEL01</t>
  </si>
  <si>
    <t>ELECTROLITOS LIMON 10 SOBRES</t>
  </si>
  <si>
    <t>51PLEF01</t>
  </si>
  <si>
    <t>ELECTROLITOS FRESA 10 SOBRES</t>
  </si>
  <si>
    <t>51TBTM05</t>
  </si>
  <si>
    <t>TAMARIN-LX /45 CAPS.</t>
  </si>
  <si>
    <t>51JBNC01</t>
  </si>
  <si>
    <t>NATUBRON CERO JARABE 240 ML</t>
  </si>
  <si>
    <t>51CPBD01</t>
  </si>
  <si>
    <t>BIODIOLA FCO C/30 CAPS PT</t>
  </si>
  <si>
    <t>51PLCV03</t>
  </si>
  <si>
    <t>C-VYM CERO AZUCAR C/11 SOBRES</t>
  </si>
  <si>
    <t>51TBCK03</t>
  </si>
  <si>
    <t>C-KIDS C/30 TABS.</t>
  </si>
  <si>
    <t>51TBCG01</t>
  </si>
  <si>
    <t>COLAGENER C/60 TABS.</t>
  </si>
  <si>
    <t>51CPDM01</t>
  </si>
  <si>
    <t>DIAMIVYM C/30 CAPS</t>
  </si>
  <si>
    <t>51CPVF01</t>
  </si>
  <si>
    <t>BIOMIVIT 400 30 / CAPS</t>
  </si>
  <si>
    <t>51TBTM01</t>
  </si>
  <si>
    <t>TAMARIN-LX /30 CAPS.</t>
  </si>
  <si>
    <t>51GLVA04</t>
  </si>
  <si>
    <t>VANESIR GEL 200 G</t>
  </si>
  <si>
    <t>51TBCB01</t>
  </si>
  <si>
    <t>COMPLEJO B C/30 TABS. AL NATURAL</t>
  </si>
  <si>
    <t>51TBME03</t>
  </si>
  <si>
    <t>MEM-EH C/45 TABS</t>
  </si>
  <si>
    <t>51TBCA01</t>
  </si>
  <si>
    <t>CASTIN /50 TABS.</t>
  </si>
  <si>
    <t>51CPRM01</t>
  </si>
  <si>
    <t>REMNURAL C/30 CAPS.</t>
  </si>
  <si>
    <t>51CPVB02</t>
  </si>
  <si>
    <t>VITABIOM Q10 /30 CAPS.</t>
  </si>
  <si>
    <t>51CPRM02</t>
  </si>
  <si>
    <t>REMNURAL C/2 CAPS.</t>
  </si>
  <si>
    <t>51CPVT03</t>
  </si>
  <si>
    <t>VITEM 3RA /30 CAPS.</t>
  </si>
  <si>
    <t>51TBVA01</t>
  </si>
  <si>
    <t>VANESIR /45 TABS.</t>
  </si>
  <si>
    <t>51TBBM01</t>
  </si>
  <si>
    <t>BIOVIT FOR WOMEN FRASCO CON 30 TABLETAS</t>
  </si>
  <si>
    <t>51CPFP01</t>
  </si>
  <si>
    <t>FLOS-PRO C/14 CAPS.</t>
  </si>
  <si>
    <t>51TBAC01</t>
  </si>
  <si>
    <t>ACIDO FOLICO C/30 TABS AL NATURAL</t>
  </si>
  <si>
    <t>51TBVB01</t>
  </si>
  <si>
    <t>VITAMINA B12 C/30 TABS AL NATURAL</t>
  </si>
  <si>
    <t>51TBCV01</t>
  </si>
  <si>
    <t>C-VYM CON 30 TABLETAS MASTICABLES</t>
  </si>
  <si>
    <t>51TBBF02</t>
  </si>
  <si>
    <t>BIOFOLIC 400 / 60 TABS.</t>
  </si>
  <si>
    <t>51TBPK01</t>
  </si>
  <si>
    <t>PROBIO KIDS / 30 TABS.</t>
  </si>
  <si>
    <t>51TBME01</t>
  </si>
  <si>
    <t>MEM-EH C/30 TABS</t>
  </si>
  <si>
    <t>51PLCR01</t>
  </si>
  <si>
    <t>C-REVITAL CAJA C/11 SOBRES DE 9 g C/U</t>
  </si>
  <si>
    <t>51TBPF01</t>
  </si>
  <si>
    <t>PLENIFORM 40 /30 TABS.</t>
  </si>
  <si>
    <t>51TBZN01</t>
  </si>
  <si>
    <t>ZINC C/30 TABS AL NATURAL</t>
  </si>
  <si>
    <t>51PLKL01</t>
  </si>
  <si>
    <t>KIDDYLAC 6 SOBRES DE 5GR C/U</t>
  </si>
  <si>
    <t>51CPDL01</t>
  </si>
  <si>
    <t>DIALAVIT C/30 CAPS</t>
  </si>
  <si>
    <t>51PLCR02</t>
  </si>
  <si>
    <t>C-REVITAL SIN AZUCAR C/11 SOBRES 9 g</t>
  </si>
  <si>
    <t>51PLAB02</t>
  </si>
  <si>
    <t>ABLAZOR SOBRE CON 10G</t>
  </si>
  <si>
    <t>51GLVA02</t>
  </si>
  <si>
    <t>VANESIR GEL 50 G</t>
  </si>
  <si>
    <t>51CPQR01</t>
  </si>
  <si>
    <t>QUERCETINA CAPS 500MG C/60</t>
  </si>
  <si>
    <t>51PLCN01</t>
  </si>
  <si>
    <t>COLAGENER 10 NARANJA 360 G</t>
  </si>
  <si>
    <t>51PLCCH01</t>
  </si>
  <si>
    <t>COLÁGENO SABOR CHOCOLATE BOLSA CON 300 g</t>
  </si>
  <si>
    <t>AVERAGE</t>
  </si>
  <si>
    <t>MAQUILA</t>
  </si>
  <si>
    <t>PL</t>
  </si>
  <si>
    <t>Precio Diciembre 2023</t>
  </si>
  <si>
    <t>FCST Enero 2025</t>
  </si>
  <si>
    <t>FCST Febrero 2025</t>
  </si>
  <si>
    <t>FCST Marzo 2025</t>
  </si>
  <si>
    <t>FCST Abril 2025</t>
  </si>
  <si>
    <t>FCST Mayo 2025</t>
  </si>
  <si>
    <t>FCST Junio 2025</t>
  </si>
  <si>
    <t>FCST Julio 2025</t>
  </si>
  <si>
    <t>FCST Agosto 2025</t>
  </si>
  <si>
    <t>FCST Septiembre 2025</t>
  </si>
  <si>
    <t>FCST Octubre 2025</t>
  </si>
  <si>
    <t>FCST Noviembre 2025</t>
  </si>
  <si>
    <t>FCST Diciembre 2025</t>
  </si>
  <si>
    <t>FCST Acumulado 2025</t>
  </si>
  <si>
    <t>FCST Acumulado 2025_105</t>
  </si>
  <si>
    <t>PRECIO 2025</t>
  </si>
  <si>
    <t>TIPO</t>
  </si>
  <si>
    <t>Num Cliente</t>
  </si>
  <si>
    <t>TOTAL ASPEN LABS</t>
  </si>
  <si>
    <t>TOTAL LABORATORIO ELMOR MEXICO</t>
  </si>
  <si>
    <t>MTEX MEXICO S. DE R.L. DE C.V.</t>
  </si>
  <si>
    <t>TOTAL MTEX MEXICO S. DE R.L. DE C.V.</t>
  </si>
  <si>
    <t>CBOOST KIDS CAJA CON 10 SOBRES DE 5G</t>
  </si>
  <si>
    <t>CBOOST MAGNESIO CAJA CON 10 SOBRES DE 5G</t>
  </si>
  <si>
    <t>TOTAL GRISI HNOS</t>
  </si>
  <si>
    <t>CARNOT</t>
  </si>
  <si>
    <t>TOTAL CARNOT</t>
  </si>
  <si>
    <t>SIMI FX C/15 SOBRES</t>
  </si>
  <si>
    <t>GELASIMI C/15 SOBRES</t>
  </si>
  <si>
    <t>TOTAL LABORATORIOS BEST</t>
  </si>
  <si>
    <t>LIFOODS SA DE CV</t>
  </si>
  <si>
    <t>HIDRA2GO FRESA KIWI 10 SOBRES DE 10 6 G C/U P</t>
  </si>
  <si>
    <t>HIDRA2GO UVA 10 SOBRES DE 10 6 G C/U P</t>
  </si>
  <si>
    <t>HIDRA2GO MORA AZUL 10 SOBRES DE 10 6 G C/U P</t>
  </si>
  <si>
    <t>HIDRA2GO NARANJA MANDARINA 50 PORCIONES DE 10G C/U P</t>
  </si>
  <si>
    <t>HIDRA2GO LIMA LIMÓN 50 PORCIONES DE 10G C/U P</t>
  </si>
  <si>
    <t>HIDRA2GO FRESA 50 PORCIONES DE 10G C/U P</t>
  </si>
  <si>
    <t>HIDRA2GO FRESA KIWI 50 PORCIONES DE 10G C/U P</t>
  </si>
  <si>
    <t>HIDRA2GO MORA AZUL 50 PORCIONES DE 10G C/U P</t>
  </si>
  <si>
    <t>HIDRA2GO FRESA USA</t>
  </si>
  <si>
    <t>TOTAL LIFOODS SA DE CV</t>
  </si>
  <si>
    <t xml:space="preserve">KPS COMERCIALIZADORA SA DE CV </t>
  </si>
  <si>
    <t>MULTIBLUE  PRÓBIOTIC FIT 60 CAPS PT</t>
  </si>
  <si>
    <t>MULTIBLUE MAGNESIO 60 CAPS PT</t>
  </si>
  <si>
    <t>MULTIBLUE MAGNESIO 120 CAPS PT</t>
  </si>
  <si>
    <t>BLOOM MX SABOR MANGO TARRO C/14 SACHETS</t>
  </si>
  <si>
    <t>BLOOM MX SABOR FRUTOS ROJOS C/14 SACHETS</t>
  </si>
  <si>
    <t>PROTEINA</t>
  </si>
  <si>
    <t>TOTAL KPS COMERCIALIZADORA</t>
  </si>
  <si>
    <t>TOTAL MAQUILA</t>
  </si>
  <si>
    <t>NO.</t>
  </si>
  <si>
    <t>TURNO</t>
  </si>
  <si>
    <t>Tipo</t>
  </si>
  <si>
    <t>Nivel</t>
  </si>
  <si>
    <t>NOMBRE</t>
  </si>
  <si>
    <t>PUESTO</t>
  </si>
  <si>
    <t>DEPARTEMENTO2</t>
  </si>
  <si>
    <t>UBICACIÓN</t>
  </si>
  <si>
    <t>UBICACIÓN FISICA</t>
  </si>
  <si>
    <t>FECHA DE INGRESO</t>
  </si>
  <si>
    <t>ANTIGÜEDAD</t>
  </si>
  <si>
    <t>ANTIGÜEDAD2</t>
  </si>
  <si>
    <t>CONCATENAR</t>
  </si>
  <si>
    <t>CONCATENAR3</t>
  </si>
  <si>
    <t>FACTOR DE INTEGRACION</t>
  </si>
  <si>
    <t>SMZ</t>
  </si>
  <si>
    <t>SMDF</t>
  </si>
  <si>
    <t>SALARIO  DIARIO  NOMINAL</t>
  </si>
  <si>
    <t>Salario Base de cotización SDI integrada</t>
  </si>
  <si>
    <t>Variable Enero ( Nov y Dic)</t>
  </si>
  <si>
    <t>SALARIO DIARIO INTEGRADO</t>
  </si>
  <si>
    <t>DIAS LABORADOS</t>
  </si>
  <si>
    <t>SALARIO NOMINAL MENSUAL bruto</t>
  </si>
  <si>
    <t>Apoyo de Transporte ( REVISAR CON CHRISTIAN</t>
  </si>
  <si>
    <t>Bono Tarde 5%</t>
  </si>
  <si>
    <t>Bono Nocturno 8 Horas 640</t>
  </si>
  <si>
    <t>Bono 12 Horas Diurno 2100</t>
  </si>
  <si>
    <t>Bono Nocturno 2900</t>
  </si>
  <si>
    <t>Bono Mensual 600</t>
  </si>
  <si>
    <t>BONOS MENSUALES</t>
  </si>
  <si>
    <t>BONO DE CUMPLEAÑOS ( PROVISION MENSUAL)</t>
  </si>
  <si>
    <t>BONO DE ASISTENCIA 150</t>
  </si>
  <si>
    <t>BONO DE PUNTUALIDAD 250</t>
  </si>
  <si>
    <t>FONDO DE AHORRO EMPRESA MENSUAL</t>
  </si>
  <si>
    <t>DESPENSA</t>
  </si>
  <si>
    <t>PREV. SOCIAL A</t>
  </si>
  <si>
    <t>PREV. SOCIAL  B</t>
  </si>
  <si>
    <t>IMPORTE PREVISION SOCIAL PARA CALCULO DE ISR</t>
  </si>
  <si>
    <t>TOTAL PERCEPCIONES (Sueldo + Prevision Social)</t>
  </si>
  <si>
    <t>TOTAL PERCEPCIONES CON BONOS INLCUIDOS EN NOMINA</t>
  </si>
  <si>
    <t>Sueldo con Bonos Integrados a la nomina</t>
  </si>
  <si>
    <t>Sueldo con Bonos Extras (no integrados en nomina2</t>
  </si>
  <si>
    <t xml:space="preserve">Importe para calculo de imss con bonos integrados </t>
  </si>
  <si>
    <t>TOPE 7 UMA PREVISIÓN SOCIAL  ISR</t>
  </si>
  <si>
    <t>SUMA SUELDO MAS PREV. SOCIAL</t>
  </si>
  <si>
    <t>EXCEDENTES A 7SMZ</t>
  </si>
  <si>
    <t>TOPE PREVISIÓN SOCIAL ISR</t>
  </si>
  <si>
    <t>PREVISION SOCIAL EXENTA ISR</t>
  </si>
  <si>
    <t>PREVISION SOCIAL GRAVADA ISR</t>
  </si>
  <si>
    <t xml:space="preserve">BASE ISR </t>
  </si>
  <si>
    <t>LIMITE INFERIOR</t>
  </si>
  <si>
    <t>EXCEDENTE</t>
  </si>
  <si>
    <t>IMPUESTO MARGINAL</t>
  </si>
  <si>
    <t>CUOTA FIJA</t>
  </si>
  <si>
    <t>ISR ARTICULO 96</t>
  </si>
  <si>
    <t>SUBSIDIO PARA EL EMPLEO</t>
  </si>
  <si>
    <t>ISR   NETO   A RETENER</t>
  </si>
  <si>
    <t>PROMEDIO VARIABLES IMSS</t>
  </si>
  <si>
    <t>EXCEDENTE DE DESPENSA</t>
  </si>
  <si>
    <t>BASE PARA PREMIOS ASIST Y PUNT.</t>
  </si>
  <si>
    <t>TOPE PARA PREMIOS ASIST Y PUNT.</t>
  </si>
  <si>
    <t>EXCEDENTE PREMIO ASISTENCIA</t>
  </si>
  <si>
    <t>EXCEDENTE PREMIO PUNTUALIDAD</t>
  </si>
  <si>
    <t>EXCEDENTE DESPENSA DIARIA</t>
  </si>
  <si>
    <t>EXCEDENTE ASIST DIARIA</t>
  </si>
  <si>
    <t>EXCEDENTE PUNT DIARIA</t>
  </si>
  <si>
    <t>SDI MAS VARIAB MAS EXCEDENTE DESPENSA</t>
  </si>
  <si>
    <t>SALARIO DIARIO BASE DE COTIZACION TOPE PARA LA EMPRESA</t>
  </si>
  <si>
    <t>CUOTA EXCEDENTE</t>
  </si>
  <si>
    <t>PRESTACIONES  EN DINERO</t>
  </si>
  <si>
    <t>GMP</t>
  </si>
  <si>
    <t>INVALIDEZ Y VIDA</t>
  </si>
  <si>
    <t>CESANTIA Y VEJEZ</t>
  </si>
  <si>
    <t>CUOTA IMSS A RETENER</t>
  </si>
  <si>
    <t>SALARIO NETO (Sueldo mas Prestaciones menos ISR Menos IMSS) (incluye fondo de ahorro y vales + BONOS)</t>
  </si>
  <si>
    <t>FONDO DE AHORRO</t>
  </si>
  <si>
    <t xml:space="preserve">FLUJO  NETO EN NOMINA </t>
  </si>
  <si>
    <t>BASE IMPUESTO S NOMINAS</t>
  </si>
  <si>
    <t xml:space="preserve">IMPUESTO ESTATAL NOMINAS </t>
  </si>
  <si>
    <t>SALARIO DIARIO BASE DE COTIZACION TOPE4</t>
  </si>
  <si>
    <t>CUOTA    FIJA     20.4%</t>
  </si>
  <si>
    <t>CUOTA EXCEDENTE     1.1%</t>
  </si>
  <si>
    <t>PRESTACIONES  EN DINERO          0.70%</t>
  </si>
  <si>
    <t>GMP                    1.05%</t>
  </si>
  <si>
    <t>RIESGOS DE TRABAJO</t>
  </si>
  <si>
    <t>INVALIDEZ Y VIDA   1.75%</t>
  </si>
  <si>
    <t>GUARDERIAS         1%</t>
  </si>
  <si>
    <t>RETIRO 2%</t>
  </si>
  <si>
    <t>CESANTIA Y VEJEZ 3.15%</t>
  </si>
  <si>
    <t>CUOTAS IMSS PATRONAL</t>
  </si>
  <si>
    <t>INFONAVIT 5%</t>
  </si>
  <si>
    <t>CARGA SOCIAL IMSS E INFONAVIT</t>
  </si>
  <si>
    <t>.</t>
  </si>
  <si>
    <t>Aguinaldo mensual</t>
  </si>
  <si>
    <t>Prima Vacacional mensual</t>
  </si>
  <si>
    <t>3% s/nóminas</t>
  </si>
  <si>
    <t>COSTO TOTAL (Nomina + Impuestos Empleado + Impuestos Empresa)</t>
  </si>
  <si>
    <t>0.2</t>
  </si>
  <si>
    <t xml:space="preserve">SI VALE </t>
  </si>
  <si>
    <t>VEHICULO (Renta Mensual)</t>
  </si>
  <si>
    <t>Seguro de Vehiculo</t>
  </si>
  <si>
    <t>Gasolina</t>
  </si>
  <si>
    <t>GMM</t>
  </si>
  <si>
    <t>COMEDOR</t>
  </si>
  <si>
    <t>Sueldo + prevision social</t>
  </si>
  <si>
    <t>IMPORTE DEL 35% POR LO QUE LES AJUSTARON/ SE PAGA EN AGUINALDO</t>
  </si>
  <si>
    <t>OTROS</t>
  </si>
  <si>
    <t>TOTAL GLOBAL</t>
  </si>
  <si>
    <t>Column110</t>
  </si>
  <si>
    <t>ADM</t>
  </si>
  <si>
    <t>NS</t>
  </si>
  <si>
    <t>E</t>
  </si>
  <si>
    <t>NORIEGA GONZALEZ JESUS ALBERTO</t>
  </si>
  <si>
    <t>DIRECTOR DE OPERACIONES</t>
  </si>
  <si>
    <t>SOPORTE DE OPERACIÓN</t>
  </si>
  <si>
    <t>R1281792108</t>
  </si>
  <si>
    <t>ARGENTINA</t>
  </si>
  <si>
    <t>E20</t>
  </si>
  <si>
    <t/>
  </si>
  <si>
    <t>SANTILLAN MARTINEZ AYLAN JOVANNY</t>
  </si>
  <si>
    <t>Jefe de produccion</t>
  </si>
  <si>
    <t>E15</t>
  </si>
  <si>
    <t>SANTIAGO MORALES FRANCISCO JAVIER</t>
  </si>
  <si>
    <t>Operador General</t>
  </si>
  <si>
    <t>PRODUCCION</t>
  </si>
  <si>
    <t>E13</t>
  </si>
  <si>
    <t>MIRAMONTES ZEPEDA ANA LUISA</t>
  </si>
  <si>
    <t>Direccion General</t>
  </si>
  <si>
    <t>DIRECCION</t>
  </si>
  <si>
    <t>Z2964473107</t>
  </si>
  <si>
    <t>TESISTAN</t>
  </si>
  <si>
    <t>VAZQUEZ CLARO ANA CECILIA</t>
  </si>
  <si>
    <t>Gerente de Calidad Operativa</t>
  </si>
  <si>
    <t>CALIDAD</t>
  </si>
  <si>
    <t>E9</t>
  </si>
  <si>
    <t>CARMONA CORTES MARIA GUADALUPE</t>
  </si>
  <si>
    <t>Demovendedora</t>
  </si>
  <si>
    <t>VENTA Y MARKETING</t>
  </si>
  <si>
    <t>E8</t>
  </si>
  <si>
    <t>IBARRA TLAHUEL ARACELI</t>
  </si>
  <si>
    <t>GUTIERREZ PADILLA NICOLAS</t>
  </si>
  <si>
    <t>Tecnico de Mantenimiento</t>
  </si>
  <si>
    <t>MANTENIMIENTO</t>
  </si>
  <si>
    <t>E7</t>
  </si>
  <si>
    <t>M</t>
  </si>
  <si>
    <t>MARTINEZ PEREZ MARTHA</t>
  </si>
  <si>
    <t>Auxiliar de Limpieza</t>
  </si>
  <si>
    <t>SERVICIOS GENERALES</t>
  </si>
  <si>
    <t>MURILLO LEDESMA NANCY LILIANA</t>
  </si>
  <si>
    <t>KAM Sr</t>
  </si>
  <si>
    <t>IBARRA NUÑO MIRIAM</t>
  </si>
  <si>
    <t>Coordinador de CALIDAD</t>
  </si>
  <si>
    <t>LOPEZ MARTINEZ JOSE ANTONIO</t>
  </si>
  <si>
    <t>Chofer</t>
  </si>
  <si>
    <t>HUERTA SANCHEZ MARIA ESTELA</t>
  </si>
  <si>
    <t>E6</t>
  </si>
  <si>
    <t>CORREA MIRAMONTES DIEGO ALEJANDRO</t>
  </si>
  <si>
    <t>PROYECT MANAGER</t>
  </si>
  <si>
    <t>CORREA MIRAMONTES JORGE AXEL</t>
  </si>
  <si>
    <t>Gerente de Recursos Humanos</t>
  </si>
  <si>
    <t>ADMINISTRACION</t>
  </si>
  <si>
    <t>E5</t>
  </si>
  <si>
    <t>PADILLA CHAVEZ JOSE GUADALUPE</t>
  </si>
  <si>
    <t>MARMOLEJO BELTRAN MIRIAM ALEJANDRA</t>
  </si>
  <si>
    <t>Asistente de Dirección</t>
  </si>
  <si>
    <t>CH</t>
  </si>
  <si>
    <t>MIRAMONTES ZEPEDA JUAN CARLOS</t>
  </si>
  <si>
    <t>General</t>
  </si>
  <si>
    <t>MIRAMONTES ZEPEDA MARIA CRISTINA</t>
  </si>
  <si>
    <t>12D</t>
  </si>
  <si>
    <t>CARO VALERIO JUAN LUIS SEBASTIAN</t>
  </si>
  <si>
    <t>Operador de almacen y pesado</t>
  </si>
  <si>
    <t>ALMACEN</t>
  </si>
  <si>
    <t>ENCISO BALTAZAR MONICA TRINIDAD</t>
  </si>
  <si>
    <t>LOPEZ MARTINEZ DANIEL</t>
  </si>
  <si>
    <t>E4</t>
  </si>
  <si>
    <t>CONTRERAS RUIZ ARMANDO</t>
  </si>
  <si>
    <t>Jefe de Almacen</t>
  </si>
  <si>
    <t>ZACARIAS CASTILLO EDUARDO</t>
  </si>
  <si>
    <t>Coordinador de Maquilas</t>
  </si>
  <si>
    <t>FABIAN ROMAN ALFONSO</t>
  </si>
  <si>
    <t>NAVARRO RODRIGUEZ JOSE ANGEL</t>
  </si>
  <si>
    <t>Pesado MP</t>
  </si>
  <si>
    <t>E1</t>
  </si>
  <si>
    <t>MARTINEZ RAMIREZ ANA ROSA</t>
  </si>
  <si>
    <t>E0</t>
  </si>
  <si>
    <t>OROZCO MOLINA JOSE LUIS</t>
  </si>
  <si>
    <t>GRAJEDA VELAZQUEZ KENIA JAZMIN</t>
  </si>
  <si>
    <t>Auxiliar Administrativo</t>
  </si>
  <si>
    <t>MONTES OLAZABA GEIDDI</t>
  </si>
  <si>
    <t>MEZA REYNOSO MARISOL</t>
  </si>
  <si>
    <t>V</t>
  </si>
  <si>
    <t>JUAREZ CALIXTO MARISOL</t>
  </si>
  <si>
    <t>RODRIGUEZ FAMOSO NORMA CRISTINA</t>
  </si>
  <si>
    <t>N</t>
  </si>
  <si>
    <t>PEREZ SANTOS JONATHAN MAGDIEL</t>
  </si>
  <si>
    <t>Supervisor de Produccion</t>
  </si>
  <si>
    <t>LOPEZ FLORES RENATA ANTONIA</t>
  </si>
  <si>
    <t>Inspector de Calidad</t>
  </si>
  <si>
    <t>TORRES SOLIS ANA GLORIA MICHEL</t>
  </si>
  <si>
    <t>GONZALEZ BARON JAIME</t>
  </si>
  <si>
    <t>v</t>
  </si>
  <si>
    <t>LOPEZ GONZALEZ ANTONIO BENJAMIN</t>
  </si>
  <si>
    <t>HERNANDEZ HERNANDEZ MARIA BENITA</t>
  </si>
  <si>
    <t>GOMEZ MENDEZ FELICITAS LETICIA</t>
  </si>
  <si>
    <t>E3</t>
  </si>
  <si>
    <t>MEZA GONZALEZ EDUARDO</t>
  </si>
  <si>
    <t>CHINO GONZALEZ ZULEMA</t>
  </si>
  <si>
    <t>RODRIGUEZ BARAJAS SANTIAGO</t>
  </si>
  <si>
    <t>Comprador Jr</t>
  </si>
  <si>
    <t>AVELAR RODRIGUEZ VERONICA</t>
  </si>
  <si>
    <t>CAMPOS CALDERON MARIA ELISA</t>
  </si>
  <si>
    <t>DIEGO VARGAS OSIEL</t>
  </si>
  <si>
    <t>Jefe de Mantenimiento</t>
  </si>
  <si>
    <t>MORENO BASTIAN MARIA DE JESUS</t>
  </si>
  <si>
    <t>SOTELO TORRES CHRISTIAN OMAR</t>
  </si>
  <si>
    <t>ANALISTA DE NOMINAS</t>
  </si>
  <si>
    <t>ARG</t>
  </si>
  <si>
    <t>VALLE CAZARES JULIANA ABIGAIL</t>
  </si>
  <si>
    <t>GUZMAN RODRIGUEZ NANCY NALLELY</t>
  </si>
  <si>
    <t>GONZALEZ ESTRADA BLANCA LETICIA</t>
  </si>
  <si>
    <t>DIAZ YAÑEZ BELEN</t>
  </si>
  <si>
    <t>OLMOS CORTEZ DIEGO MIGUEL</t>
  </si>
  <si>
    <t>SERRANO TORRES ALEJANDRO</t>
  </si>
  <si>
    <t>FLORES SALAMANCA ADRIAN DE JESUS</t>
  </si>
  <si>
    <t>LIDER DE CALIDAD OPERATIVA</t>
  </si>
  <si>
    <t>CAMACHO MIRANDA EDITH ALICIA</t>
  </si>
  <si>
    <t>MURGUIA SALAS DIEGO IVAN</t>
  </si>
  <si>
    <t>RAMIREZ HERNANDEZ DIANA</t>
  </si>
  <si>
    <t>CAMPOS GALLEGOS MITZI ADRIANA</t>
  </si>
  <si>
    <t>LIDER DE INOCUIDAD Y NORMATIVA</t>
  </si>
  <si>
    <t>DOMINGUEZ MUÑOZ MARIA TERESA</t>
  </si>
  <si>
    <t>CONTRERAS GARCIA VICTOR</t>
  </si>
  <si>
    <t>PLANEADOR DE COMPRAS</t>
  </si>
  <si>
    <t>GALVAN AYALA NOE ELI LIDELL</t>
  </si>
  <si>
    <t>TREJO SALAS NICTE-JA</t>
  </si>
  <si>
    <t>SISTEMA DE GESTION DE CALIDAD</t>
  </si>
  <si>
    <t>MARTINEZ LOPEZ SOCORRO</t>
  </si>
  <si>
    <t>HERNANDEZ HERNANDEZ MARGARITA</t>
  </si>
  <si>
    <t>LOPEZ GAMIÑO NANCY AGLADET</t>
  </si>
  <si>
    <t>Coordinador de Desarrollo Organizacional</t>
  </si>
  <si>
    <t>UC CAAMAL SANDY GUADALUPE</t>
  </si>
  <si>
    <t>E2</t>
  </si>
  <si>
    <t>GONZALEZ ELIZALDE JAZMIN ALEJANDRA</t>
  </si>
  <si>
    <t>RENTERIA PONCE MARIA ELIZABETH</t>
  </si>
  <si>
    <t>RAMIREZ DAVALOS MIGUEL ANGEL</t>
  </si>
  <si>
    <t>Guardia de Seguridad</t>
  </si>
  <si>
    <t>MORENO TORRES GUSTAVO</t>
  </si>
  <si>
    <t>ALCALA YAÑEZ GUSTAVO</t>
  </si>
  <si>
    <t>GAMEZ MEZA ROSINA</t>
  </si>
  <si>
    <t>LOMELI FERNANDEZ ELVIA</t>
  </si>
  <si>
    <t>ARMENTA GALVEZ SARA GUADALUPE</t>
  </si>
  <si>
    <t>MARTINEZ FLORES NORA NAYELI</t>
  </si>
  <si>
    <t>GARCIA SALINAS EVILA</t>
  </si>
  <si>
    <t>FONSECA ROBLEDO JESSICA ANGELINA</t>
  </si>
  <si>
    <t>Coordinador de Compras y sistema de inoc</t>
  </si>
  <si>
    <t>PALACIOS MONTUFAR LUIS ANTONIO</t>
  </si>
  <si>
    <t>Sistemas</t>
  </si>
  <si>
    <t>TORRES ALVARADO VIRGINIA ARACELI</t>
  </si>
  <si>
    <t>SANCHEZ NUÑEZ KENA VANESSA</t>
  </si>
  <si>
    <t>AGUILAR RODRIGUEZ MARIA LILIA</t>
  </si>
  <si>
    <t>LUNA DOMINGUEZ ANDREA</t>
  </si>
  <si>
    <t>LOPEZ CERVERA MARIA DEL CARMEN</t>
  </si>
  <si>
    <t>PALOMERA PALOMERA JOEL SOCORRO</t>
  </si>
  <si>
    <t>CEDILLO TORRES JOSELIN GUADALUPE</t>
  </si>
  <si>
    <t>ROJAS SALAS VALERIA FERNANDA</t>
  </si>
  <si>
    <t>ORTIZ NAVARRO MONICA PAOLA</t>
  </si>
  <si>
    <t>PEREZ MONTOYA NAYELI BEATRIZ</t>
  </si>
  <si>
    <t>LLAMAS GUZMAN MIREYA</t>
  </si>
  <si>
    <t>SUÑIGA JIMENEZ GRISELDA</t>
  </si>
  <si>
    <t>IBARRA OLIVEROS MARIA DE LA CRUZ</t>
  </si>
  <si>
    <t>LOPEZ MARTINEZ MARIA VALERIA</t>
  </si>
  <si>
    <t>LOPEZ SANCHEZ MARIO</t>
  </si>
  <si>
    <t>MORENO TORRES JUANKAROL RAFAEL</t>
  </si>
  <si>
    <t>ZAMORA CAZAREZ CARLOS ALEXIS</t>
  </si>
  <si>
    <t>VARGAS ALVAREZ TERESA DE JESUS</t>
  </si>
  <si>
    <t>VARGAS ALVAREZ MARTHA SUSANA</t>
  </si>
  <si>
    <t>LOZADA GODOY MAYRA AZUCENA</t>
  </si>
  <si>
    <t>Lider de Desarrollo</t>
  </si>
  <si>
    <t>DESARROLLO</t>
  </si>
  <si>
    <t>JIMENEZ SANDOVAL CLAUDIA ANDREA</t>
  </si>
  <si>
    <t>RAMIREZ MARQUEZ GRISELDA GUADALUPE</t>
  </si>
  <si>
    <t>MURILLO FELIX TERESA DE JESUS</t>
  </si>
  <si>
    <t>GARCIA VILLAFAÑA LORENA</t>
  </si>
  <si>
    <t>MURO ARJON MA DEL ROSARIO</t>
  </si>
  <si>
    <t>ROQUE JAIME MARIA DE JESUS</t>
  </si>
  <si>
    <t>AGUILAR GOMEZ MARIA CRISTINA</t>
  </si>
  <si>
    <t>FLORES JIMENEZ CHANTAL</t>
  </si>
  <si>
    <t>Trade Marketing Manager</t>
  </si>
  <si>
    <t>RAMOS ALGABA ARACELI</t>
  </si>
  <si>
    <t>GASPAR DIAZ JOSE DE JESUS</t>
  </si>
  <si>
    <t>RODRIGUEZ RODRIGUEZ XITLALLI NOHEMI</t>
  </si>
  <si>
    <t>Formulador Senior</t>
  </si>
  <si>
    <t>LOZANO ROMERO SONIA VERONICA</t>
  </si>
  <si>
    <t>FLORES TAPIA MIGUEL ANGEL</t>
  </si>
  <si>
    <t>Jefe de Seguridad e higiene</t>
  </si>
  <si>
    <t>VELAZQUEZ HERNANDEZ LORENA</t>
  </si>
  <si>
    <t>APECECHEA SOTO ROSA ORALIA</t>
  </si>
  <si>
    <t>Contadora</t>
  </si>
  <si>
    <t>CASTELLANOS ORTEGA TANIA</t>
  </si>
  <si>
    <t>Ejecutivo de ventas KAE</t>
  </si>
  <si>
    <t>FUENTES GARCIA GERARDO ANTONIO</t>
  </si>
  <si>
    <t>Gerente de Administración y finanzas</t>
  </si>
  <si>
    <t>DIAZ YAÑEZ LILIANA</t>
  </si>
  <si>
    <t>HERNANDEZ ORTEGA KARINA</t>
  </si>
  <si>
    <t>LOMELI OROPEZA JUAN MANUEL</t>
  </si>
  <si>
    <t>Auxiliar de almacen</t>
  </si>
  <si>
    <t>DE LA TORRE BARRON VANIA NAYELI</t>
  </si>
  <si>
    <t>ANALISTA DE LOGISTICA Y FACTURACION</t>
  </si>
  <si>
    <t>HERNANDEZ ORTEGA CRISTINA</t>
  </si>
  <si>
    <t>BARRON VALERIO BRENDA ANGELICA</t>
  </si>
  <si>
    <t>HERNANDEZ RIVERA ANA REGINA</t>
  </si>
  <si>
    <t>MAGALLANES LOPEZ LUZ ANGELA</t>
  </si>
  <si>
    <t>RODRIGUEZ MONTOYA DANIEL ALEJANDRO</t>
  </si>
  <si>
    <t>NAVA OCHOA CLAUDIA BERENICE</t>
  </si>
  <si>
    <t>RODRIGUEZ GOMEZ SUSANA</t>
  </si>
  <si>
    <t>CASTRO MOLINA JESUS ORLANDO</t>
  </si>
  <si>
    <t>LONA LOZANO BERENICE DEL ROCIO</t>
  </si>
  <si>
    <t>MEDINA GONZALEZ CLAUDIA IVETH</t>
  </si>
  <si>
    <t>MARTIN CADENA RICARDO</t>
  </si>
  <si>
    <t>Diseñador Grafico</t>
  </si>
  <si>
    <t>OROZCO MORALES JOSE ANTONIO</t>
  </si>
  <si>
    <t>Formulador Jr</t>
  </si>
  <si>
    <t>SILVA ALEMAN FATIMA CASSANDRA</t>
  </si>
  <si>
    <t>BALTAZAR CAMARENA NADIEZHDA BEATRIZ</t>
  </si>
  <si>
    <t>GONZALEZ PEREZ NOLVIA IMELDA</t>
  </si>
  <si>
    <t>TZEC ESCOBAR CRISTY DANIELA</t>
  </si>
  <si>
    <t>MACIEL IBARRA SOFIA GUADALUPE</t>
  </si>
  <si>
    <t>FIGUEROA CASTILLO EMMA PATRICIA</t>
  </si>
  <si>
    <t>BRIGIDO MARTINEZ RUTH</t>
  </si>
  <si>
    <t>AMBRIZ SANDOVAL SANJUANA</t>
  </si>
  <si>
    <t>PEREZ CERVANTES MARIA CRISTINA</t>
  </si>
  <si>
    <t>MAYORGA PULIDO GERARDO DANIEL</t>
  </si>
  <si>
    <t>PEREZ PEREZ MARISELA</t>
  </si>
  <si>
    <t>CORREA VARGAS THALIA ABIGAIL</t>
  </si>
  <si>
    <t>BRIGIDO MARTINEZ ESTER</t>
  </si>
  <si>
    <t>CAMPOS HERNANDEZ VERONICA</t>
  </si>
  <si>
    <t>ABARCA ARRIZON LETICIA</t>
  </si>
  <si>
    <t>REYNOSO MEZA ALEJANDRA GUADALUPE</t>
  </si>
  <si>
    <t>RAMIREZ HERNANDEZ LEYDI</t>
  </si>
  <si>
    <t>MARQUEZ SANCHEZ ANGELICA MARIA</t>
  </si>
  <si>
    <t>ROBLEDO ROBLES GEORGIA</t>
  </si>
  <si>
    <t>SALAS LOPEZ MARIA YAZMIN</t>
  </si>
  <si>
    <t>MENDEZ HERRERA GIMENA ARELI</t>
  </si>
  <si>
    <t>Auxliar de Recursos Humanos</t>
  </si>
  <si>
    <t>POLANCO PIO ALMA BERENICE</t>
  </si>
  <si>
    <t>BAUTISTA ANGELES GUDELIA</t>
  </si>
  <si>
    <t>LOMELI GOMEZ ALVARO</t>
  </si>
  <si>
    <t>SALGUEDO CAMPOS IRMA GABRIELA</t>
  </si>
  <si>
    <t>REYNOSO MARQUEZ MARIA DEL PILAR</t>
  </si>
  <si>
    <t>m</t>
  </si>
  <si>
    <t>CHAVEZ MARTINEZ VALERIA MICHELLE</t>
  </si>
  <si>
    <t>SALAS SANCHEZ OLGA LIDIA</t>
  </si>
  <si>
    <t>SANCHEZ SANTIAGO LUZ NEREYDA</t>
  </si>
  <si>
    <t>NAVA OCHOA SAMANTHA VALERIA</t>
  </si>
  <si>
    <t>RAMIREZ SANTIAGO ANA LIDIA</t>
  </si>
  <si>
    <t>PAZ HERNANDEZ MARIVEL</t>
  </si>
  <si>
    <t>HERRERA VAZQUEZ PATRICIA</t>
  </si>
  <si>
    <t>ARELLANO NIEVES KARLA ALEJANDRA</t>
  </si>
  <si>
    <t>TORRES MELENDREZ DANIELA NATALI</t>
  </si>
  <si>
    <t>AVELAR RODRIGUEZ JUAN ANTONIO</t>
  </si>
  <si>
    <t>ZAVALA GODINEZ EDUARDO JAVIER</t>
  </si>
  <si>
    <t>Almacenista</t>
  </si>
  <si>
    <t>RODRIGUEZ ELIZALDE MARIA ELENA</t>
  </si>
  <si>
    <t>RODRIGUEZ CONTRERAS JESUS GUADALUPE</t>
  </si>
  <si>
    <t>GOMEZ MONTAÑO SARAY GUADALUPE</t>
  </si>
  <si>
    <t>NOYOLA CORTES BETSY ANEL</t>
  </si>
  <si>
    <t>HERNANDEZ JIMENEZ GENESIS GUADALUPE</t>
  </si>
  <si>
    <t>PINEDO POBLANO KAREN MARINA</t>
  </si>
  <si>
    <t>ZUÑIGA MARTINEZ AXEL ARIEL</t>
  </si>
  <si>
    <t>ACOSTA ONOFRE MIGUEL ANGEL</t>
  </si>
  <si>
    <t>PEÑA CERVANTES ERICK RAMON</t>
  </si>
  <si>
    <t>RODRIGUEZ AGUILAR BRENDA LIZBETH</t>
  </si>
  <si>
    <t>RODRIGUEZ PEREZ NANCY VERONICA</t>
  </si>
  <si>
    <t>HERNANDEZ SANCHEZ FABIOLA</t>
  </si>
  <si>
    <t>LOERA LOZANO CARMEN ESTEFANIA</t>
  </si>
  <si>
    <t>HARO DEL CASTILLO FRANCISCO BERNARDO</t>
  </si>
  <si>
    <t>RODRIGUEZ DIAZ ADRIANA BELEN</t>
  </si>
  <si>
    <t>VEGA GARCIA EUNICE ALEJANDRA</t>
  </si>
  <si>
    <t>SIERRA JIMENEZ EMANUEL</t>
  </si>
  <si>
    <t>LEAÑOS CORONA IRENE VANESSA</t>
  </si>
  <si>
    <t>ITURBIDE REINOZA JUAN CARLOS</t>
  </si>
  <si>
    <t>GOMEZ BECERRA LUIS FELIPE</t>
  </si>
  <si>
    <t>ROBLES HERNANDEZ PERLA ESTEFANY</t>
  </si>
  <si>
    <t>RENTERIA LAMAS GABRIELA</t>
  </si>
  <si>
    <t>ALATORRE OCHOA IAN YAEL</t>
  </si>
  <si>
    <t>CHIMAL HERNANDEZ GABRIELA</t>
  </si>
  <si>
    <t>VAZQUEZ GUZMAN MARIA DEL ROSARIO</t>
  </si>
  <si>
    <t>SOLANO ARCINIEGA ESTEFANIA GUADALUPE</t>
  </si>
  <si>
    <t>CARRILLO MURO DIEGO ENRIQUE</t>
  </si>
  <si>
    <t>ACOSTA PALACIOS MIGUEL ANGEL</t>
  </si>
  <si>
    <t>VAZQUEZ MACIEL ANA PAULA</t>
  </si>
  <si>
    <t>ORNELAS MARTINEZ MARIA GORETI</t>
  </si>
  <si>
    <t>FLORES RODRIGUEZ JUAN PABLO</t>
  </si>
  <si>
    <t>LOMELI GONZALEZ LAURA ANGELICA</t>
  </si>
  <si>
    <t>Contador</t>
  </si>
  <si>
    <t>CASTRO RODRIGUEZ CLAUDIA</t>
  </si>
  <si>
    <t>CERVANTES AHUMADA BETZABE MARGARITA</t>
  </si>
  <si>
    <t>LEDEZMA ORTIZ AREXSI MAIRIN</t>
  </si>
  <si>
    <t>SOLANO ARCINIEGA ALMA ROSA</t>
  </si>
  <si>
    <t>NUÑEZ VALDIVIA TATIANA</t>
  </si>
  <si>
    <t>GRAJEDA VAZQUEZ FANNY MARIELA</t>
  </si>
  <si>
    <t>LARA MARTINEZ JAZMIN ESTEFANIA</t>
  </si>
  <si>
    <t>Becario desarrollo organizacional y capa</t>
  </si>
  <si>
    <t>TORRES SOLIS DIEGO MANUEL</t>
  </si>
  <si>
    <t>LOPEZ BARBOSA LUIS JAVIER</t>
  </si>
  <si>
    <t>MARTINEZ BECERRA JESSICA CELINA</t>
  </si>
  <si>
    <t>ANALISTA DE FACTURACION Y LOGISTICA</t>
  </si>
  <si>
    <t>EXTERNO</t>
  </si>
  <si>
    <t>CARDENAS MARIO</t>
  </si>
  <si>
    <t>CHOFER</t>
  </si>
  <si>
    <t>0</t>
  </si>
  <si>
    <t>NICOLAS GUTIERREZ PADILLA</t>
  </si>
  <si>
    <t>CORREA MIRAMONTES LUIS FERNANDO</t>
  </si>
  <si>
    <t>SOCIO</t>
  </si>
  <si>
    <t>FRAUSTO PUGA ALFREDO</t>
  </si>
  <si>
    <t>Nomina Servicios Generales</t>
  </si>
  <si>
    <t>Line Items</t>
  </si>
  <si>
    <t>Costo Operador Acondicionado</t>
  </si>
  <si>
    <t>Disminución Acondicionado Junio</t>
  </si>
  <si>
    <t>Renta Argentina</t>
  </si>
  <si>
    <t>Periodicidad</t>
  </si>
  <si>
    <t>Megacable</t>
  </si>
  <si>
    <t>Alarmas ADT</t>
  </si>
  <si>
    <t>Gas</t>
  </si>
  <si>
    <t>Categoría</t>
  </si>
  <si>
    <t>Renta Tesistán Planta</t>
  </si>
  <si>
    <t>G2M</t>
  </si>
  <si>
    <t>Meridiano</t>
  </si>
  <si>
    <t>Vales Gasolina</t>
  </si>
  <si>
    <t>ALPHA ERP</t>
  </si>
  <si>
    <t>Correos Google</t>
  </si>
  <si>
    <t>GS1 Catálogo Email</t>
  </si>
  <si>
    <t>Seguros Daños</t>
  </si>
  <si>
    <t>Seguros Vehículos</t>
  </si>
  <si>
    <t>Comedor</t>
  </si>
  <si>
    <t>Total Play</t>
  </si>
  <si>
    <t>IZZI Negocios</t>
  </si>
  <si>
    <t>Transporte Personal</t>
  </si>
  <si>
    <t>Monto</t>
  </si>
  <si>
    <t>Ruvicia</t>
  </si>
  <si>
    <t>Hector Romero- Registros Marcas</t>
  </si>
  <si>
    <t>Nepote</t>
  </si>
  <si>
    <t>Weecom</t>
  </si>
  <si>
    <t>Disruptivo</t>
  </si>
  <si>
    <t>CFE Tesistán</t>
  </si>
  <si>
    <t>CFE Argentina</t>
  </si>
  <si>
    <t>Monto Mensual</t>
  </si>
  <si>
    <t>Recolección Tesistán</t>
  </si>
  <si>
    <t>Recolección Argentina</t>
  </si>
  <si>
    <t>Tesistán</t>
  </si>
  <si>
    <t>Argentina</t>
  </si>
  <si>
    <t>Clickup</t>
  </si>
  <si>
    <t>Servicios Profesionales</t>
  </si>
  <si>
    <t>Cámaras/Consejos</t>
  </si>
  <si>
    <t>Seguros</t>
  </si>
  <si>
    <t>Caja chica</t>
  </si>
  <si>
    <t>Agua Tesistán</t>
  </si>
  <si>
    <t>No poliza</t>
  </si>
  <si>
    <t>Concepto</t>
  </si>
  <si>
    <t>Aseguradora</t>
  </si>
  <si>
    <t>Moneda</t>
  </si>
  <si>
    <t>Prima Neta</t>
  </si>
  <si>
    <t xml:space="preserve">FARMIRAL SA DE CV  </t>
  </si>
  <si>
    <t>VOLKSWAGEN PICKUP SAVEIRO STARTLINE PICK-UP STD., 02 OCUP. 2013</t>
  </si>
  <si>
    <t>AUTOS</t>
  </si>
  <si>
    <t>HDI</t>
  </si>
  <si>
    <t>MN</t>
  </si>
  <si>
    <t xml:space="preserve"> NP300 CHASIS CABINA  2013</t>
  </si>
  <si>
    <t>QUALITAS COMPANIA DE SEGUROS S.A. DE C.V.</t>
  </si>
  <si>
    <t>3-301-100003036</t>
  </si>
  <si>
    <t>DAÑOS</t>
  </si>
  <si>
    <t>NISSAN NVO VERSA ADVANCE 4P L4 1.6L ABS BA EBD AC CVT 5 OCUP 2020</t>
  </si>
  <si>
    <t>NISSAN NVO VERSA SENSE 4P L4 1.6L ABS BA EBD AC CVT 5 OCUP 2020</t>
  </si>
  <si>
    <t>HDI SEGUROS S. A. DE C. V.</t>
  </si>
  <si>
    <t>USD</t>
  </si>
  <si>
    <t xml:space="preserve"> (2000467) DODGE ATTITUDE SE, L3, 1.2L, 79 CP, 4 PUERTAS, STD 2020</t>
  </si>
  <si>
    <t>INDIGO TEMPUS MAXIMO CORREA Y ANA KAREN PEREZ</t>
  </si>
  <si>
    <t xml:space="preserve"> ALTA ESPECIALIDAD MAXIMO CORREA Y ANA KAREN PEREZ</t>
  </si>
  <si>
    <t xml:space="preserve"> 0971254503</t>
  </si>
  <si>
    <t xml:space="preserve">LEASY ARRENDAMIENTOS SA DE CV  </t>
  </si>
  <si>
    <t xml:space="preserve"> (I)DE DODGE JOURNEY GT 5P L4 1.5T BA ABS AA VP TP AUT. 2022</t>
  </si>
  <si>
    <t>INFINITI M 56 RWD 5.6L V8 7SPEED AUT., 05 OCUP. 2012</t>
  </si>
  <si>
    <t>VOLKSWAGEN JETTA TRENDLINE L4 TIP 2019</t>
  </si>
  <si>
    <t>AUDI Q3 SELECT 5P L4 1.4L TFSI S-TRONIC 5 OCUP 2021</t>
  </si>
  <si>
    <t xml:space="preserve"> 0971281106</t>
  </si>
  <si>
    <t>DODGE JOURNEY SXT 5P L4 1.5T BA ABS AA QC AUT., 05 OCUP. 2022</t>
  </si>
  <si>
    <t xml:space="preserve"> 0971296079</t>
  </si>
  <si>
    <t>JEEP WRANGLER UNLIMITED</t>
  </si>
  <si>
    <t xml:space="preserve"> 0971293980</t>
  </si>
  <si>
    <t xml:space="preserve">GRUPO OPTIMA GDL, SA DE CV  </t>
  </si>
  <si>
    <t xml:space="preserve"> (I)GMOTORS TORNADO VAN B 5P L4 1.5L ABS BA AC 2TON STD. 2023</t>
  </si>
  <si>
    <t>NISSAN VERSA SENSE AT 1.6L C/A EE BA AUT AUT. 2018</t>
  </si>
  <si>
    <t xml:space="preserve"> PREMIER 200 TEMPUS SF FAMILIA CORREA MIRAMONTES</t>
  </si>
  <si>
    <t xml:space="preserve"> ALTA ESPECIALIDAD FAMILIA CORREA MIRAMONTES</t>
  </si>
  <si>
    <t>Seguros Empleados Prestaciones</t>
  </si>
  <si>
    <t>Seguros Miramontes</t>
  </si>
  <si>
    <t>Seguros LFCM</t>
  </si>
  <si>
    <t>Seguros Calidad</t>
  </si>
  <si>
    <t>Seguros Producción</t>
  </si>
  <si>
    <t>Seguros Ventas</t>
  </si>
  <si>
    <t>MXN/USD</t>
  </si>
  <si>
    <t>Gastos</t>
  </si>
  <si>
    <t>Viáticos Ventas</t>
  </si>
  <si>
    <t>Tesistan</t>
  </si>
  <si>
    <t>Vales Gasolina (ex. Prestaciones)</t>
  </si>
  <si>
    <t>Gastos Generales</t>
  </si>
  <si>
    <t>Ventas y Mktg</t>
  </si>
  <si>
    <t>INCOME STATEMENT</t>
  </si>
  <si>
    <t>Interest Expense</t>
  </si>
  <si>
    <t>Acreedor</t>
  </si>
  <si>
    <t>CAPIX</t>
  </si>
  <si>
    <t>Capital X</t>
  </si>
  <si>
    <t>Column6</t>
  </si>
  <si>
    <t>Column20</t>
  </si>
  <si>
    <t>Column34</t>
  </si>
  <si>
    <t>Column48</t>
  </si>
  <si>
    <t>Column62</t>
  </si>
  <si>
    <t>Column81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</si>
  <si>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</si>
  <si>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</si>
  <si>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</si>
  <si>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</si>
  <si>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</si>
  <si>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</si>
  <si>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</si>
  <si>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</si>
  <si>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</si>
  <si>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</si>
  <si>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</si>
  <si>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</si>
  <si>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</si>
  <si>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</si>
  <si>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Column111</t>
  </si>
  <si>
    <t>Column113</t>
  </si>
  <si>
    <t>Column114</t>
  </si>
  <si>
    <t>Column115</t>
  </si>
  <si>
    <t>Column116</t>
  </si>
  <si>
    <t>Column117</t>
  </si>
  <si>
    <t>Column119</t>
  </si>
  <si>
    <t>Column122</t>
  </si>
  <si>
    <t>Column123</t>
  </si>
  <si>
    <t>Column124</t>
  </si>
  <si>
    <t>Column125</t>
  </si>
  <si>
    <t>Column126</t>
  </si>
  <si>
    <t>Column128</t>
  </si>
  <si>
    <t>Column131</t>
  </si>
  <si>
    <t>Column132</t>
  </si>
  <si>
    <t>Column133</t>
  </si>
  <si>
    <t>Column134</t>
  </si>
  <si>
    <t>Column135</t>
  </si>
  <si>
    <t>Column137</t>
  </si>
  <si>
    <t>Column140</t>
  </si>
  <si>
    <t>Column141</t>
  </si>
  <si>
    <t>Column142</t>
  </si>
  <si>
    <t>Column143</t>
  </si>
  <si>
    <t>Column144</t>
  </si>
  <si>
    <t>Column146</t>
  </si>
  <si>
    <t>Column147</t>
  </si>
  <si>
    <t>Column149</t>
  </si>
  <si>
    <t>Column150</t>
  </si>
  <si>
    <t>Column151</t>
  </si>
  <si>
    <t>Column152</t>
  </si>
  <si>
    <t>Column154</t>
  </si>
  <si>
    <t>Column155</t>
  </si>
  <si>
    <t>Column157</t>
  </si>
  <si>
    <t>Column158</t>
  </si>
  <si>
    <t>Column159</t>
  </si>
  <si>
    <t>Column160</t>
  </si>
  <si>
    <t>Column162</t>
  </si>
  <si>
    <t>Column163</t>
  </si>
  <si>
    <t>Column165</t>
  </si>
  <si>
    <t>Column166</t>
  </si>
  <si>
    <t>Column167</t>
  </si>
  <si>
    <t>Column168</t>
  </si>
  <si>
    <t>Column170</t>
  </si>
  <si>
    <t>Column171</t>
  </si>
  <si>
    <t>Column173</t>
  </si>
  <si>
    <t>Column174</t>
  </si>
  <si>
    <t>Column175</t>
  </si>
  <si>
    <t>Column176</t>
  </si>
  <si>
    <t>Column178</t>
  </si>
  <si>
    <t>Column179</t>
  </si>
  <si>
    <t>Column181</t>
  </si>
  <si>
    <t>Column182</t>
  </si>
  <si>
    <t>Column183</t>
  </si>
  <si>
    <t>Column184</t>
  </si>
  <si>
    <t>Column186</t>
  </si>
  <si>
    <t>Column187</t>
  </si>
  <si>
    <t>Column189</t>
  </si>
  <si>
    <t>Column190</t>
  </si>
  <si>
    <t>Column191</t>
  </si>
  <si>
    <t>Column192</t>
  </si>
  <si>
    <t>Column194</t>
  </si>
  <si>
    <t>Column195</t>
  </si>
  <si>
    <t>Column197</t>
  </si>
  <si>
    <t>Column198</t>
  </si>
  <si>
    <t>Column199</t>
  </si>
  <si>
    <t>Column200</t>
  </si>
  <si>
    <t>Column202</t>
  </si>
  <si>
    <t>Column203</t>
  </si>
  <si>
    <t>Column205</t>
  </si>
  <si>
    <t>Column206</t>
  </si>
  <si>
    <t>Column207</t>
  </si>
  <si>
    <t>Column208</t>
  </si>
  <si>
    <t>Column210</t>
  </si>
  <si>
    <t>Column211</t>
  </si>
  <si>
    <t>Column213</t>
  </si>
  <si>
    <t>Column214</t>
  </si>
  <si>
    <t>Column215</t>
  </si>
  <si>
    <t>Column216</t>
  </si>
  <si>
    <t>Column218</t>
  </si>
  <si>
    <t>Column219</t>
  </si>
  <si>
    <t>Column221</t>
  </si>
  <si>
    <t>Column222</t>
  </si>
  <si>
    <t>Column223</t>
  </si>
  <si>
    <t>Column224</t>
  </si>
  <si>
    <t>Column226</t>
  </si>
  <si>
    <t>Column227</t>
  </si>
  <si>
    <t>Column229</t>
  </si>
  <si>
    <t>Column230</t>
  </si>
  <si>
    <t>Column231</t>
  </si>
  <si>
    <t>Column232</t>
  </si>
  <si>
    <t>Column234</t>
  </si>
  <si>
    <t>Column235</t>
  </si>
  <si>
    <t>Column237</t>
  </si>
  <si>
    <t>Column238</t>
  </si>
  <si>
    <t>Column239</t>
  </si>
  <si>
    <t>Column240</t>
  </si>
  <si>
    <t>Column242</t>
  </si>
  <si>
    <t>Column245</t>
  </si>
  <si>
    <t>Column246</t>
  </si>
  <si>
    <t>Column247</t>
  </si>
  <si>
    <t>Column248</t>
  </si>
  <si>
    <t>Column250</t>
  </si>
  <si>
    <t>Column253</t>
  </si>
  <si>
    <t>Column254</t>
  </si>
  <si>
    <t>Column255</t>
  </si>
  <si>
    <t>Column256</t>
  </si>
  <si>
    <t>Column258</t>
  </si>
  <si>
    <t>Column261</t>
  </si>
  <si>
    <t>Column262</t>
  </si>
  <si>
    <t>Column263</t>
  </si>
  <si>
    <t>Column264</t>
  </si>
  <si>
    <t>Column266</t>
  </si>
  <si>
    <t>Column269</t>
  </si>
  <si>
    <t>Column270</t>
  </si>
  <si>
    <t>Column271</t>
  </si>
  <si>
    <t>Column272</t>
  </si>
  <si>
    <t>Column274</t>
  </si>
  <si>
    <t>Column277</t>
  </si>
  <si>
    <t>Column278</t>
  </si>
  <si>
    <t>Column279</t>
  </si>
  <si>
    <t>Column280</t>
  </si>
  <si>
    <t>Column282</t>
  </si>
  <si>
    <t>Column285</t>
  </si>
  <si>
    <t>Column286</t>
  </si>
  <si>
    <t>Column287</t>
  </si>
  <si>
    <t>Column288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</si>
  <si>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</si>
  <si>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</si>
  <si>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</si>
  <si>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</si>
  <si>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</si>
  <si>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</si>
  <si>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</si>
  <si>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</si>
  <si>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Column299</t>
  </si>
  <si>
    <t>Column302</t>
  </si>
  <si>
    <t>Column303</t>
  </si>
  <si>
    <t>Column304</t>
  </si>
  <si>
    <t>Column305</t>
  </si>
  <si>
    <t>Column306</t>
  </si>
  <si>
    <t>Arrendamiento 1</t>
  </si>
  <si>
    <t>CONTRATO:  A2010017</t>
  </si>
  <si>
    <t>Arrendamiento 2</t>
  </si>
  <si>
    <t>CONTRATO A2012015</t>
  </si>
  <si>
    <t>Tiene seguro</t>
  </si>
  <si>
    <t>Arrendamiento 3</t>
  </si>
  <si>
    <t>CONTRATO:  A2012016</t>
  </si>
  <si>
    <t>Arrendamiento 4</t>
  </si>
  <si>
    <t>CONTRATO: A2211006</t>
  </si>
  <si>
    <t>Arrendamiento 5</t>
  </si>
  <si>
    <t>CONTRATO: A2107045</t>
  </si>
  <si>
    <t>Arrendamiento 6</t>
  </si>
  <si>
    <t>CONTRATO:  A2203002</t>
  </si>
  <si>
    <t>Arrendamiento 7</t>
  </si>
  <si>
    <t>CONTRATO: A2203032</t>
  </si>
  <si>
    <t>Arrendamiento 8</t>
  </si>
  <si>
    <t>CONTRATO: A2211005</t>
  </si>
  <si>
    <t>Arrendamiento 9</t>
  </si>
  <si>
    <t>CONTRATO: A2211004</t>
  </si>
  <si>
    <t>Arrendamiento 10</t>
  </si>
  <si>
    <t>CONTRATO A2307022</t>
  </si>
  <si>
    <t>Arrendamiento 11</t>
  </si>
  <si>
    <t>CONTRATO A2307021</t>
  </si>
  <si>
    <t>Arrendamiento 12</t>
  </si>
  <si>
    <t>CONTRATO A2307020</t>
  </si>
  <si>
    <t>Arrendamiento 13 Arrenda+</t>
  </si>
  <si>
    <t>CONTRATO A2307018</t>
  </si>
  <si>
    <t>Arrendamiento 14 Arrenda+</t>
  </si>
  <si>
    <t>CONTRATO A2307019</t>
  </si>
  <si>
    <t>Arrendamiento 15 Arrenda+</t>
  </si>
  <si>
    <t>CONTRATO A2307017</t>
  </si>
  <si>
    <t>Arrendamiento 16 Xanalab</t>
  </si>
  <si>
    <t>CONTRATO A2211015</t>
  </si>
  <si>
    <t>Arrendamiento 17 Motormexa CONTRATO N.505-01</t>
  </si>
  <si>
    <t>PAGARE 0505-001</t>
  </si>
  <si>
    <t>Arrendamiento 18 Motormexa CONTRATO N.505-02</t>
  </si>
  <si>
    <t>PAGARE 0505-002</t>
  </si>
  <si>
    <t>Arrendamiento 19 Motormexa CONTRATO N.505-03</t>
  </si>
  <si>
    <t>PAGARE 0505-003</t>
  </si>
  <si>
    <t>Arrendamiento 20 Motormexa CONTRATO N.505-04</t>
  </si>
  <si>
    <t>PAGARE 0505-004</t>
  </si>
  <si>
    <t>Arrendamiento 21 Motormexa CONTRATO N.505-05</t>
  </si>
  <si>
    <t>PAGARE 0505-005</t>
  </si>
  <si>
    <t>Arrendamiento 22 Motormexa CONTRATO N.505-06</t>
  </si>
  <si>
    <t>PAGARE 0505-006</t>
  </si>
  <si>
    <t>Arrendamiento 23 Motormexa CONTRATO N.505-07</t>
  </si>
  <si>
    <t>PAGARE 0505-007</t>
  </si>
  <si>
    <t>Arrendamiento 24 Motormexa CONTRATO N.505-08</t>
  </si>
  <si>
    <t>PAGARE 0505-008</t>
  </si>
  <si>
    <t>Arrendamiento 25 Motormexa CONTRATO N.505-09</t>
  </si>
  <si>
    <t>PAGARE 0505-009</t>
  </si>
  <si>
    <t>Arrendamiento 26 Motormexa CONTRATO N.505-10</t>
  </si>
  <si>
    <t>PAGARE 0505-010</t>
  </si>
  <si>
    <t>Arrendamiento 19 Unifin</t>
  </si>
  <si>
    <t>CONTRATO: 9945</t>
  </si>
  <si>
    <t>Arrendamiento 20 Optima</t>
  </si>
  <si>
    <t>CONTRATO: AO2208001</t>
  </si>
  <si>
    <t>Arrendamiento eq computo 1</t>
  </si>
  <si>
    <t xml:space="preserve"> </t>
  </si>
  <si>
    <t>Arrendamiento eq computo 2</t>
  </si>
  <si>
    <t>Arrendamiento eq computo 3</t>
  </si>
  <si>
    <t>Arrendamiento eq computo 4</t>
  </si>
  <si>
    <t>Arrendamiento eq computo 5</t>
  </si>
  <si>
    <t>Arrendamiento eq computo 6</t>
  </si>
  <si>
    <t>Total arrendamientos</t>
  </si>
  <si>
    <t>Tipo act:</t>
  </si>
  <si>
    <t>Equipo</t>
  </si>
  <si>
    <t>Descripción:</t>
  </si>
  <si>
    <t>MAQUINA EMPAC PEDIMENTO 204834700000827, FACT B9928 / MAQUINA EMPAC PEDIMENTO 204834700000965, FACT B9989</t>
  </si>
  <si>
    <t>Vehículo</t>
  </si>
  <si>
    <t>Vehículo Utilitario Isuzu Elf 500H 2021</t>
  </si>
  <si>
    <t>1 CAMIONETA NP300 NISSAN</t>
  </si>
  <si>
    <t>MF 2, MAQUINA EMPACADORA-SELLADORA MODELO MF FAST 3BP500</t>
  </si>
  <si>
    <t>1 MAQUINA MF PACKAGING 1</t>
  </si>
  <si>
    <t>1 MAQUINA MEZCLADORA HARVILL INTERNACIONAL / 1 MAQUINA KILLIAN EQUIPNET / 1 MAQUINA HS130HFFS RUIAN / 1 MAQUINA POWER FILLING ZHANGJIANGANG / 1 MAQUINA PACKING MACHINE FOSHAN</t>
  </si>
  <si>
    <t>Racks Industriales</t>
  </si>
  <si>
    <t xml:space="preserve">TABLETEADORA MANESTY MODELO EXPRESS SERIE: 14533 / SISTEMA CROMATOGRAFICO (HPCL) MARCA WATERS </t>
  </si>
  <si>
    <t>UNIDAD MANEJADORA DE AIRE UMA-01 MODELO CP-0502 SERIE P-22-08-FAR-CP1</t>
  </si>
  <si>
    <t>INFINITI TIPOM56 MOD 2012 SERIE:JN1AY11E0CM700047 MOTOR_;VK56045357A</t>
  </si>
  <si>
    <t>INFINITI QX80 MOD 2015 SERIE:JN1AZ28C2F9015028  MOTOR_; VK56125698A</t>
  </si>
  <si>
    <t>VOLKSWAGEN JETTA TREND LINE 1.4 MOD 2019 SERIE:3VWKP6BU5KM137231  MOTOR_; CZD697195</t>
  </si>
  <si>
    <t>NISSAN VERSA ADVANCE CVT 20 MOD 2020 SERIE:3N1CN8AE2LL853971  MOTOR_; HR16948624T</t>
  </si>
  <si>
    <t>NISSAN VERSA SENSE CVT 20 MOD 2020 SERIE:3N1CN8AE5LL858730  MOTOR_; HR16964849T</t>
  </si>
  <si>
    <t xml:space="preserve">MAQUINA ELECTRONIC COUNTINGMACHINE MOD CPE6 / MAQUINA MEZCLADOR EN V ACERO / MAQUINA ENSOBRETADORA DE 12 PULGADAS DE ANCHO / MULTI SPLIT INVERTER MCA CARRIER </t>
  </si>
  <si>
    <t>MAQUINA EMPAC PEDIMENTO 224834702001382 SERIE 103 / MAQUINA EMPAC PEDIMENTO 224834702001382 SERIE 136</t>
  </si>
  <si>
    <t>CAMIONETA JEEP SAHARA     (ALMZ)</t>
  </si>
  <si>
    <t>ATTITUDE  DODGE (TOÑO CHOFER ANA LUISA)</t>
  </si>
  <si>
    <t>ATTITUDE  DODGE (CECY VAZQUEZ)</t>
  </si>
  <si>
    <t>AUDI Q3 (LUIS FERNANDO CORREA)</t>
  </si>
  <si>
    <t>RAM 700 (SAMUEL VTAS)</t>
  </si>
  <si>
    <t>JOURNEY DODGE (JESUS)</t>
  </si>
  <si>
    <t>JOURNEY DODGE  (CARMEN CALIDAD)</t>
  </si>
  <si>
    <t>JOURNEY DODGE  (DIEGO CORREA )</t>
  </si>
  <si>
    <t>JOURNEY DODGE BLANCA  (RAMAEL VTAS )</t>
  </si>
  <si>
    <t>JETTA (JORGE CORREA)</t>
  </si>
  <si>
    <t>MAQUINA ETIQUETADORA MT200 GRUPO 3R</t>
  </si>
  <si>
    <t>TORNADO VAN B 2023 (MARIO CHOFER)</t>
  </si>
  <si>
    <t>Monto:</t>
  </si>
  <si>
    <t>No incluye IVA</t>
  </si>
  <si>
    <t>Plazo:</t>
  </si>
  <si>
    <t>meses</t>
  </si>
  <si>
    <t>Pago inicial:</t>
  </si>
  <si>
    <t>Pago:</t>
  </si>
  <si>
    <t>Incluye IVA</t>
  </si>
  <si>
    <t>Tasa:</t>
  </si>
  <si>
    <t>Residual:</t>
  </si>
  <si>
    <t>Seguro:</t>
  </si>
  <si>
    <t>Moratorios:</t>
  </si>
  <si>
    <t>Valor residual estimado en 30% como Arrenda+</t>
  </si>
  <si>
    <t>Tasa ampliación</t>
  </si>
  <si>
    <t>Fecha</t>
  </si>
  <si>
    <t>Capital BOP</t>
  </si>
  <si>
    <t>Interés</t>
  </si>
  <si>
    <t>Amortización</t>
  </si>
  <si>
    <t>Seguro</t>
  </si>
  <si>
    <t>IVA</t>
  </si>
  <si>
    <t>Pago</t>
  </si>
  <si>
    <t>Capital EOP</t>
  </si>
  <si>
    <t xml:space="preserve">Traslados </t>
  </si>
  <si>
    <t>Nuevo equipo aut acondicionado</t>
  </si>
  <si>
    <t>245md</t>
  </si>
  <si>
    <t>4 años</t>
  </si>
  <si>
    <t>A partir de Enero 2025</t>
  </si>
  <si>
    <t>Traslados</t>
  </si>
  <si>
    <t>3 equipos de Cisco</t>
  </si>
  <si>
    <t>*</t>
  </si>
  <si>
    <t>Doble</t>
  </si>
  <si>
    <t>Coches personales para financiar obra civil</t>
  </si>
  <si>
    <t>Tasa Annual</t>
  </si>
  <si>
    <t>Arrendamientos</t>
  </si>
  <si>
    <t>Banorte 2</t>
  </si>
  <si>
    <t>Banorte 3</t>
  </si>
  <si>
    <t xml:space="preserve">Santander </t>
  </si>
  <si>
    <t>Banregio</t>
  </si>
  <si>
    <t>Konfio</t>
  </si>
  <si>
    <t>Simple Intercam reestructurado</t>
  </si>
  <si>
    <t>Simple Arrenda+ reestructurado</t>
  </si>
  <si>
    <t>Reestructura Leasy saldo vencido</t>
  </si>
  <si>
    <t>Simple Efektiva Reestructurado</t>
  </si>
  <si>
    <t>Tribal Reestructurado</t>
  </si>
  <si>
    <t>Totales</t>
  </si>
  <si>
    <t>Tipo de crédito:</t>
  </si>
  <si>
    <t>Credito simple</t>
  </si>
  <si>
    <t>Se ajustó monto de corrida a amortización, validar tasa</t>
  </si>
  <si>
    <t xml:space="preserve">Moratorio: </t>
  </si>
  <si>
    <t>IVA interés</t>
  </si>
  <si>
    <t>719091</t>
  </si>
  <si>
    <t>72430</t>
  </si>
  <si>
    <t>72424</t>
  </si>
  <si>
    <t>Tiene seguro_1</t>
  </si>
  <si>
    <t>88501</t>
  </si>
  <si>
    <t>76185</t>
  </si>
  <si>
    <t>79436</t>
  </si>
  <si>
    <t>Tiene seguro_2</t>
  </si>
  <si>
    <t>79741</t>
  </si>
  <si>
    <t>Tiene seguro_3</t>
  </si>
  <si>
    <t>83689</t>
  </si>
  <si>
    <t>Tiene seguro_4</t>
  </si>
  <si>
    <t>83690</t>
  </si>
  <si>
    <t>Tiene seguro_5</t>
  </si>
  <si>
    <t>88492</t>
  </si>
  <si>
    <t>88494</t>
  </si>
  <si>
    <t>88495</t>
  </si>
  <si>
    <t>88496</t>
  </si>
  <si>
    <t>88493</t>
  </si>
  <si>
    <t>88501_6</t>
  </si>
  <si>
    <t>83801</t>
  </si>
  <si>
    <t xml:space="preserve"> _7</t>
  </si>
  <si>
    <t xml:space="preserve"> _8</t>
  </si>
  <si>
    <t xml:space="preserve"> _9</t>
  </si>
  <si>
    <t xml:space="preserve"> _10</t>
  </si>
  <si>
    <t xml:space="preserve"> _11</t>
  </si>
  <si>
    <t xml:space="preserve"> _12</t>
  </si>
  <si>
    <t xml:space="preserve"> _13</t>
  </si>
  <si>
    <t xml:space="preserve"> _14</t>
  </si>
  <si>
    <t xml:space="preserve"> _15</t>
  </si>
  <si>
    <t xml:space="preserve"> _16</t>
  </si>
  <si>
    <t xml:space="preserve"> _17</t>
  </si>
  <si>
    <t>Arrendamiento 1_18</t>
  </si>
  <si>
    <t>719091_19</t>
  </si>
  <si>
    <t>CONTRATO:  A2010017_20</t>
  </si>
  <si>
    <t>Banorte-5,750,000</t>
  </si>
  <si>
    <t>Banorte-3,000,000</t>
  </si>
  <si>
    <t>Monto Capital BOP</t>
  </si>
  <si>
    <t>Santander</t>
  </si>
  <si>
    <t>NUVARI</t>
  </si>
  <si>
    <t>Arrendamas Xanalab</t>
  </si>
  <si>
    <t>TOTAL COGS</t>
  </si>
  <si>
    <t>Intereses (% of EBITDA)</t>
  </si>
  <si>
    <t>Amortizacion (Arrendamientos)</t>
  </si>
  <si>
    <t>TOTAL BIOMIRAL</t>
  </si>
  <si>
    <t>TOTAL INNOV</t>
  </si>
  <si>
    <t>TOTAL MARCA PROPIA</t>
  </si>
  <si>
    <t>TOTAL TOTAL</t>
  </si>
  <si>
    <t>TOTAL TMI PRE-CALIBRACION</t>
  </si>
  <si>
    <t>TOTAL TMI</t>
  </si>
  <si>
    <t>MARTINEZ GONZALEZ DIEGO</t>
  </si>
  <si>
    <t>BIOMIRAL-ENE</t>
  </si>
  <si>
    <t>BIOMIRAL-FEB</t>
  </si>
  <si>
    <t>BIOMIRAL-MAR</t>
  </si>
  <si>
    <t>BIOMIRAL-ABR</t>
  </si>
  <si>
    <t>BIOMIRAL-MAY</t>
  </si>
  <si>
    <t>BIOMIRAL-JUN</t>
  </si>
  <si>
    <t>BIOMIRAL-JUL</t>
  </si>
  <si>
    <t>BIOMIRAL-AGO</t>
  </si>
  <si>
    <t>BIOMIRAL-SEP</t>
  </si>
  <si>
    <t>BIOMIRAL-OCT</t>
  </si>
  <si>
    <t>BIOMIRAL-NOV</t>
  </si>
  <si>
    <t>BIOMIRAL-DIC</t>
  </si>
  <si>
    <t>BIOMIRAL-TOTAL BIOMIRAL</t>
  </si>
  <si>
    <t>-</t>
  </si>
  <si>
    <t>INNOV-ENE</t>
  </si>
  <si>
    <t>INNOV-FEB</t>
  </si>
  <si>
    <t>INNOV-MAR</t>
  </si>
  <si>
    <t>INNOV-ABR</t>
  </si>
  <si>
    <t>INNOV-MAY</t>
  </si>
  <si>
    <t>INNOV-JUN</t>
  </si>
  <si>
    <t>INNOV-JUL</t>
  </si>
  <si>
    <t>INNOV-AGO</t>
  </si>
  <si>
    <t>INNOV-SEP</t>
  </si>
  <si>
    <t>INNOV-OCT</t>
  </si>
  <si>
    <t>INNOV-NOV</t>
  </si>
  <si>
    <t>INNOV-DIC</t>
  </si>
  <si>
    <t>INNOV-TOTAL INNOV</t>
  </si>
  <si>
    <t>MARCA PROPIA-ENE</t>
  </si>
  <si>
    <t>MARCA PROPIA-FEB</t>
  </si>
  <si>
    <t>MARCA PROPIA-MAR</t>
  </si>
  <si>
    <t>MARCA PROPIA-ABR</t>
  </si>
  <si>
    <t>MARCA PROPIA-MAY</t>
  </si>
  <si>
    <t>MARCA PROPIA-JUN</t>
  </si>
  <si>
    <t>MARCA PROPIA-JUL</t>
  </si>
  <si>
    <t>MARCA PROPIA-AGO</t>
  </si>
  <si>
    <t>MARCA PROPIA-SEP</t>
  </si>
  <si>
    <t>MARCA PROPIA-OCT</t>
  </si>
  <si>
    <t>MARCA PROPIA-NOV</t>
  </si>
  <si>
    <t>MARCA PROPIA-DIC</t>
  </si>
  <si>
    <t>MARCA PROPIA-TOTAL MARCA PROPIA</t>
  </si>
  <si>
    <t>TOTAL-ENE</t>
  </si>
  <si>
    <t>TOTAL-FEB</t>
  </si>
  <si>
    <t>TOTAL-MAR</t>
  </si>
  <si>
    <t>TOTAL-ABR</t>
  </si>
  <si>
    <t>TOTAL-MAY</t>
  </si>
  <si>
    <t>TOTAL-JUN</t>
  </si>
  <si>
    <t>TOTAL-JUL</t>
  </si>
  <si>
    <t>TOTAL-AGO</t>
  </si>
  <si>
    <t>TOTAL-SEP</t>
  </si>
  <si>
    <t>TOTAL-OCT</t>
  </si>
  <si>
    <t>TOTAL-NOV</t>
  </si>
  <si>
    <t>TOTAL-DIC</t>
  </si>
  <si>
    <t>TOTAL-TOTAL TOTAL</t>
  </si>
  <si>
    <t>TMI - TRADE MARKETING INVESTMENT-ENE</t>
  </si>
  <si>
    <t>TMI - TRADE MARKETING INVESTMENT-FEB</t>
  </si>
  <si>
    <t>TMI - TRADE MARKETING INVESTMENT-MAR</t>
  </si>
  <si>
    <t>TMI - TRADE MARKETING INVESTMENT-ABR</t>
  </si>
  <si>
    <t>TMI - TRADE MARKETING INVESTMENT-MAY</t>
  </si>
  <si>
    <t>TMI - TRADE MARKETING INVESTMENT-JUN</t>
  </si>
  <si>
    <t>TMI - TRADE MARKETING INVESTMENT-JUL</t>
  </si>
  <si>
    <t>TMI - TRADE MARKETING INVESTMENT-AGO</t>
  </si>
  <si>
    <t>TMI - TRADE MARKETING INVESTMENT-SEP</t>
  </si>
  <si>
    <t>TMI - TRADE MARKETING INVESTMENT-OCT</t>
  </si>
  <si>
    <t>TMI - TRADE MARKETING INVESTMENT-NOV</t>
  </si>
  <si>
    <t>TMI - TRADE MARKETING INVESTMENT-DIC</t>
  </si>
  <si>
    <t>TMI - TRADE MARKETING INVESTMENT-TOTAL TMI PRE-CALIBRACION</t>
  </si>
  <si>
    <t>TMI - TRADE MARKETING INVESTMENT-% INV PROP</t>
  </si>
  <si>
    <t>CALIBRACION INVERSION-$ INVERSION</t>
  </si>
  <si>
    <t>CALIBRACION INVERSION-% TMI</t>
  </si>
  <si>
    <t>CALIBRACION INVERSION-DIF $ INV</t>
  </si>
  <si>
    <t>CALIBRACION INVERSION-% CREC</t>
  </si>
  <si>
    <t>TMI - TRADE MARKETING INVESTMENT-TOTAL TMI</t>
  </si>
  <si>
    <t>TOTAL EXPENSES</t>
  </si>
  <si>
    <t>TOTAL OP EXPENSES</t>
  </si>
  <si>
    <t>RAMO</t>
  </si>
  <si>
    <t>Descripción</t>
  </si>
  <si>
    <t>Inicio</t>
  </si>
  <si>
    <t>Fin</t>
  </si>
  <si>
    <t>PRIMA NETA MN</t>
  </si>
  <si>
    <t>2612500000634/0</t>
  </si>
  <si>
    <t>GMM COLECTIVO</t>
  </si>
  <si>
    <t>PMM OPTIMA (9 PERSONAS)</t>
  </si>
  <si>
    <t>MAPFRE</t>
  </si>
  <si>
    <t>PRESTACIONES</t>
  </si>
  <si>
    <t>FW78144F</t>
  </si>
  <si>
    <t>SUPERIOR /(9 PERSONAS)</t>
  </si>
  <si>
    <t>AXA</t>
  </si>
  <si>
    <t>608870531</t>
  </si>
  <si>
    <t>GMM INDIVIDUAL</t>
  </si>
  <si>
    <t>GNP</t>
  </si>
  <si>
    <t>LFCM</t>
  </si>
  <si>
    <t>608463873</t>
  </si>
  <si>
    <t>586004657</t>
  </si>
  <si>
    <t>95968913</t>
  </si>
  <si>
    <t>7933</t>
  </si>
  <si>
    <t xml:space="preserve">EMPRESARIAL </t>
  </si>
  <si>
    <t xml:space="preserve">TRANSPORTES </t>
  </si>
  <si>
    <t>SURA</t>
  </si>
  <si>
    <t>0971343856</t>
  </si>
  <si>
    <t>QUALITAS</t>
  </si>
  <si>
    <t>VENTAS</t>
  </si>
  <si>
    <t>0971343855</t>
  </si>
  <si>
    <t>0971343854</t>
  </si>
  <si>
    <t>INFINITI QX80 PERFECTION 5P V8 5.6L AWD VP ABS BA AUT. 2015</t>
  </si>
  <si>
    <t>0971332994</t>
  </si>
  <si>
    <t>NISSAN NP300 CHASIS CABINA STD 2009</t>
  </si>
  <si>
    <t>VEHICULO</t>
  </si>
  <si>
    <t>0971327256</t>
  </si>
  <si>
    <t>0971293974</t>
  </si>
  <si>
    <t>0971277446</t>
  </si>
  <si>
    <t>0971279283</t>
  </si>
  <si>
    <t>0971265893</t>
  </si>
  <si>
    <t>0971224940</t>
  </si>
  <si>
    <t>VOLKSWAGEN JETTA A7 COMFORTLINE 4P L4 1.4T TSI ABS BA AC R16 AUT 5 OCUP 2023</t>
  </si>
  <si>
    <t>44541</t>
  </si>
  <si>
    <t>39938</t>
  </si>
  <si>
    <t>DODGE ATTITUDE SE, L3, 1.2L, 79 CP, 4 PUERTAS, STD 2020</t>
  </si>
  <si>
    <t>MIRAMONTES</t>
  </si>
  <si>
    <t>Subdirección</t>
  </si>
  <si>
    <t>CP</t>
  </si>
  <si>
    <t>Luis Fernando</t>
  </si>
  <si>
    <t>387COENZIMAQ10, OM3, VIT Y MIN FCO/30 CAPS</t>
  </si>
  <si>
    <t>387ÁCIDO FÓLICO / PROTEÍNA DE ARROZ</t>
  </si>
  <si>
    <t>387COMPLETE KIDDY 60 TABS</t>
  </si>
  <si>
    <t>387COMPLETE ACTIVE FCO/60 CAPS</t>
  </si>
  <si>
    <t>387VITAMINA C Y BIOFLAVONOIDES FCO/60 TABS</t>
  </si>
  <si>
    <t>387CALCIO, VIT. D3 Y COLÁGENO FCO/60 CAPS</t>
  </si>
  <si>
    <t>387FIBRA/BIOFLAV/LACTOB/VITAMINAS 90 TABS</t>
  </si>
  <si>
    <t>TOTAL FARMACIAS BENAVIDES S A B DE C V</t>
  </si>
  <si>
    <t>411ABLAZOR CAJA CON 30 SOBRES 10G ECUADOR</t>
  </si>
  <si>
    <t>411ABLAZOR CAJA CON 30 SOBRES 10G MEXICO</t>
  </si>
  <si>
    <t>411ABLAZOR CAJA C/30 SOBRES CON 10G CARICAM</t>
  </si>
  <si>
    <t>411ABLAZOR SOBRE CON 10G</t>
  </si>
  <si>
    <t>411ABLAZOR SOBRE CON 10 G PERU</t>
  </si>
  <si>
    <t>368CART X-3 CAJA CON 30 SOBRES 12.5GR</t>
  </si>
  <si>
    <t>368CART ACTION</t>
  </si>
  <si>
    <t>368CART MAX</t>
  </si>
  <si>
    <t>368COLSIMB 485 MG C/15 CAPS</t>
  </si>
  <si>
    <t>368COLSIMB 485 MG C/2 CAPS</t>
  </si>
  <si>
    <t>368FLOS-PRO C/1 SOBRE 1g</t>
  </si>
  <si>
    <t>368FLOS-PRO C/10 SOBRES 1g</t>
  </si>
  <si>
    <t>368FLOS-PRO C/14 CAPS.</t>
  </si>
  <si>
    <t>368FLOS-PRO C/2 CAPS.</t>
  </si>
  <si>
    <t>368GESTOMEG C/2 CAPS.</t>
  </si>
  <si>
    <t>368GESTOMEG C/30 CAPS.</t>
  </si>
  <si>
    <t>368REMNURAL C/2 CAPS.</t>
  </si>
  <si>
    <t>368REMNURAL C/30 CAPS.</t>
  </si>
  <si>
    <t>410GLYCOLAGENO 12gr CAJA CON 20 SOBRES</t>
  </si>
  <si>
    <t>410AMBROTOSE AO 30 CAPSULAS</t>
  </si>
  <si>
    <t>410TRUCOFFEE 340 g</t>
  </si>
  <si>
    <t>410PHYTALOE CON 30 CAPSULAS</t>
  </si>
  <si>
    <t>405C-BOOST NF CAJA CON 10 SOBRES DE 6G</t>
  </si>
  <si>
    <t>405C-BOOST NF CAJA CON 15 SOBRES DE 6G</t>
  </si>
  <si>
    <t>405C-BOOST NF CAJA CON 30 SOBRES DE 6G</t>
  </si>
  <si>
    <t>405CBOOST BOTANICALS CAJA CON 10 SOBRES DE 5G</t>
  </si>
  <si>
    <t>405C-BOOST CAJA CON 10 SOBRES DE 8G</t>
  </si>
  <si>
    <t>405C-BOOST MANDARINA CAJA C/30 SOBRES DE 8</t>
  </si>
  <si>
    <t>443FIBOTAX SIMILARES 10g C/10 SOBRES</t>
  </si>
  <si>
    <t>TOTAL FARMACIAS SIMILARES</t>
  </si>
  <si>
    <t>1005ESPORAVIT C/10 SOBRES</t>
  </si>
  <si>
    <t>1005Bacillus Clausii</t>
  </si>
  <si>
    <t>441HIDRA2GO NARANJA MANDARINA 10 S. DE 6g P</t>
  </si>
  <si>
    <t xml:space="preserve">441HIDRA2GO LIMA LIMÓN 10 S. DE 6 G C/U PT </t>
  </si>
  <si>
    <t>441HIDRA2GO FRESA 10 SOBRES DE 10 6 G C/U P</t>
  </si>
  <si>
    <t>439MULTIBLUE  PRÓBIOTICOS FCO/30 CAPS</t>
  </si>
  <si>
    <t>439MULTIBLUE  PRÓBIOTIC FIT MM 2 CAPS</t>
  </si>
  <si>
    <t>439MULTIBLUE  PRÓBIOTIC FIT 30 CAPS PT</t>
  </si>
  <si>
    <t xml:space="preserve">439BLOOM MX SABOR MANGO TARRO C/145g </t>
  </si>
  <si>
    <t>439BLOOM MX SABOR FRUTOS ROJOS TARRO C/145g</t>
  </si>
  <si>
    <t xml:space="preserve">439BLOOM MX SABOR FRESA-KIWI 145g  </t>
  </si>
  <si>
    <t>439BLOOM MX SABOR FRESA-KIWI 14 PORCIONES</t>
  </si>
  <si>
    <t>439PRE WORKOUT 25</t>
  </si>
  <si>
    <t>439PRE WORKOUT 50</t>
  </si>
  <si>
    <t>439BLOOM PreWorkout Sachets</t>
  </si>
  <si>
    <t>439Bloom Proteína Vegetal</t>
  </si>
  <si>
    <t>439BLOOM Greens Variety Pack 15 sachets</t>
  </si>
  <si>
    <t>439BLOOM Colostrum</t>
  </si>
  <si>
    <t>439BLOOM Creatina 40 ct</t>
  </si>
  <si>
    <t>439BLOOM Creatina 120 ct</t>
  </si>
  <si>
    <t>439BLOOM Creatina Sachets</t>
  </si>
  <si>
    <t>439MULTILYTE Electrolitos Coco</t>
  </si>
  <si>
    <t>439MULTILYTE Electrolitos Fresa Kiwi</t>
  </si>
  <si>
    <t>439MULTILYTE Electrolitos Limón</t>
  </si>
  <si>
    <t>439MULTILYTE Electrolitos Naranja</t>
  </si>
  <si>
    <t>439GOLI Apple Cider Vinegar</t>
  </si>
  <si>
    <t>439GOLI Zen</t>
  </si>
  <si>
    <t>439Complejo B</t>
  </si>
  <si>
    <t>439Vitamina C</t>
  </si>
  <si>
    <t>439Vitamina D3</t>
  </si>
  <si>
    <t>439Eelectrolitos efe Fresa Kiwi</t>
  </si>
  <si>
    <t>439Electrolitos efe Limón</t>
  </si>
  <si>
    <t>439Electrolitos efe Coco</t>
  </si>
  <si>
    <t>439Vitamina C efe</t>
  </si>
  <si>
    <t>439Colágeno</t>
  </si>
  <si>
    <t>439Ácido Fólico + Hierro</t>
  </si>
  <si>
    <t>439Probióticos 25b</t>
  </si>
  <si>
    <t>439Calcio + Magneiso + Zinc</t>
  </si>
  <si>
    <t>439Vitamina B12</t>
  </si>
  <si>
    <t>439Colágeno + Biotina</t>
  </si>
  <si>
    <t>439Ginkbo Biloba</t>
  </si>
  <si>
    <t>439Magnesio Polvo 25/50 ct</t>
  </si>
  <si>
    <t>439Magnesio Polvo Sachets</t>
  </si>
  <si>
    <t>439Sport</t>
  </si>
  <si>
    <t>Proveedor</t>
  </si>
  <si>
    <t>Ruvisel</t>
  </si>
  <si>
    <t>Mejoras a planta</t>
  </si>
  <si>
    <t>Monto Annual</t>
  </si>
  <si>
    <t>Nomina Direccion</t>
  </si>
  <si>
    <t>AT&amp;T</t>
  </si>
  <si>
    <t>Nomina Almacen</t>
  </si>
  <si>
    <t>Nomina Mantenimiento</t>
  </si>
  <si>
    <t>DILAMEG</t>
  </si>
  <si>
    <t>Reducción personal</t>
  </si>
  <si>
    <t>Ventas Netas</t>
  </si>
  <si>
    <t>Costo de MP+M+E</t>
  </si>
  <si>
    <t>Costos Directos</t>
  </si>
  <si>
    <t>Costos Indirectos</t>
  </si>
  <si>
    <t>Gross Profit</t>
  </si>
  <si>
    <t>Gastos Logísticos</t>
  </si>
  <si>
    <t>Gastos de Ventas</t>
  </si>
  <si>
    <t>Gastos de Administración</t>
  </si>
  <si>
    <t>EBITDA</t>
  </si>
  <si>
    <t>Depreciaciones</t>
  </si>
  <si>
    <t>EBIT</t>
  </si>
  <si>
    <t>Gastos Financieros</t>
  </si>
  <si>
    <t>Otros ingresos</t>
  </si>
  <si>
    <t>EBT</t>
  </si>
  <si>
    <t>UN</t>
  </si>
  <si>
    <t>Prom</t>
  </si>
  <si>
    <t>Enero Real</t>
  </si>
  <si>
    <t>Febrero Real</t>
  </si>
  <si>
    <t>Marzo Real</t>
  </si>
  <si>
    <t>Julio</t>
  </si>
  <si>
    <t>Agosto</t>
  </si>
  <si>
    <t>Septiembre</t>
  </si>
  <si>
    <t>Octubre</t>
  </si>
  <si>
    <t>Noviembre</t>
  </si>
  <si>
    <t>Diciembre</t>
  </si>
  <si>
    <t>Total</t>
  </si>
  <si>
    <t>COBRANZA</t>
  </si>
  <si>
    <t>Intercompañías</t>
  </si>
  <si>
    <t>Terceros</t>
  </si>
  <si>
    <t>Otros Ingresos</t>
  </si>
  <si>
    <t>PAGOS</t>
  </si>
  <si>
    <t>Materia Prima</t>
  </si>
  <si>
    <t>"COSTO" en Flujo</t>
  </si>
  <si>
    <t>COSTO en P&amp;L</t>
  </si>
  <si>
    <t>MP Nacional</t>
  </si>
  <si>
    <t>MP Internacional</t>
  </si>
  <si>
    <t>Empaque</t>
  </si>
  <si>
    <t>OBS</t>
  </si>
  <si>
    <t>Fletes</t>
  </si>
  <si>
    <t>Directos</t>
  </si>
  <si>
    <t>Ventas</t>
  </si>
  <si>
    <t>Admin</t>
  </si>
  <si>
    <t>Efectivo generado por las operaciones</t>
  </si>
  <si>
    <t>IVA recuperado / Capital</t>
  </si>
  <si>
    <t>Retenciones de Impuestos</t>
  </si>
  <si>
    <t>ISR pago provisional</t>
  </si>
  <si>
    <t>FLUJO NETO DE OPERACIÓN</t>
  </si>
  <si>
    <t>CAPEX</t>
  </si>
  <si>
    <t>FLUJO NETO DE INVERSIÓN</t>
  </si>
  <si>
    <t>Pago de Deuda</t>
  </si>
  <si>
    <t>Disposición de Deuda</t>
  </si>
  <si>
    <t>Capitalizaciones</t>
  </si>
  <si>
    <t>FLUJO NETO DE FINANCIACIÓN</t>
  </si>
  <si>
    <t>FLUJO NETO</t>
  </si>
  <si>
    <t>EFECTIVO INICIAL</t>
  </si>
  <si>
    <t>EFECTIVO FINAL</t>
  </si>
  <si>
    <t>DEUDA</t>
  </si>
  <si>
    <t>Saldo Inicial</t>
  </si>
  <si>
    <t>Disposición</t>
  </si>
  <si>
    <t>Efecto por conversión deuda MXN a USD</t>
  </si>
  <si>
    <t xml:space="preserve">Saldo Final Sesajal </t>
  </si>
  <si>
    <t>Villa Avocado</t>
  </si>
  <si>
    <t>Total Deuda</t>
  </si>
  <si>
    <t>EBITDA Consolidado TTM 2023</t>
  </si>
  <si>
    <t>EBITDA C.Humano 2023</t>
  </si>
  <si>
    <t>EBITDA Villa Avocado 2023</t>
  </si>
  <si>
    <t>EBITDA C.Animal 2023</t>
  </si>
  <si>
    <t>EBITDA C.Humano 2022</t>
  </si>
  <si>
    <t>EBITDA Villa Avocado 2022</t>
  </si>
  <si>
    <t>EBITDA C.Animal 2022</t>
  </si>
  <si>
    <t>Debt/EBITDA</t>
  </si>
  <si>
    <t>COVENANT EBITDA Consolidado TTM</t>
  </si>
  <si>
    <t xml:space="preserve">   COVENANT Debt/EBITDA &lt;=</t>
  </si>
  <si>
    <t>Índice de Cobertura de Deuda</t>
  </si>
  <si>
    <t>Porción circulante del LP</t>
  </si>
  <si>
    <t>Interés consolidado TTM</t>
  </si>
  <si>
    <t>Interés Villa Avocado 2023</t>
  </si>
  <si>
    <t>Interés Sesajal 2023</t>
  </si>
  <si>
    <t>Interés Consolidado 2022</t>
  </si>
  <si>
    <t>EBITDA/(Porción c. LP+Gasto intereses TTM)</t>
  </si>
  <si>
    <t>COVENANT EBITDA/(Porción c. LP+Gasto intereses TTM) &gt;=</t>
  </si>
  <si>
    <t>CAPITAL DE TRABAJO</t>
  </si>
  <si>
    <t>INVENTARIOS</t>
  </si>
  <si>
    <t>Compras</t>
  </si>
  <si>
    <t>Costo de MP + M + Em</t>
  </si>
  <si>
    <t>Inventario Final</t>
  </si>
  <si>
    <t>CUENTAS POR COBRAR</t>
  </si>
  <si>
    <t>Cobranza</t>
  </si>
  <si>
    <t>Saldo Final</t>
  </si>
  <si>
    <t>PROVEEDORES MP &amp; E</t>
  </si>
  <si>
    <t>Pagos</t>
  </si>
  <si>
    <t>Saldo final</t>
  </si>
  <si>
    <t>Net Working Capital</t>
  </si>
  <si>
    <t>CNWC</t>
  </si>
  <si>
    <t>Días Inventario</t>
  </si>
  <si>
    <t>KPI</t>
  </si>
  <si>
    <t>Meses Inventario</t>
  </si>
  <si>
    <t>Días Clientes</t>
  </si>
  <si>
    <t>Días Proveedores</t>
  </si>
  <si>
    <t>PROFIT &amp; LOSS</t>
  </si>
  <si>
    <t>PROFIT &amp; LOSS %</t>
  </si>
  <si>
    <t>Gastos totales</t>
  </si>
  <si>
    <t>FLUJO DE FONDOS</t>
  </si>
  <si>
    <t>ISR pagos provisionales</t>
  </si>
  <si>
    <t>Pago de Retenciones de Impuestos e IVA Pagado</t>
  </si>
  <si>
    <t>IVA Recuperado</t>
  </si>
  <si>
    <t>Cambios en NWC</t>
  </si>
  <si>
    <t>Disposicion Deuda</t>
  </si>
  <si>
    <t>Pago Deuda</t>
  </si>
  <si>
    <t>Capitalización</t>
  </si>
  <si>
    <t>DIFERENCIAS</t>
  </si>
  <si>
    <t>Abril</t>
  </si>
  <si>
    <t>Mayo</t>
  </si>
  <si>
    <t>Junio</t>
  </si>
  <si>
    <t>Deuda IVA</t>
  </si>
  <si>
    <t>Otras Deudas Pre-Operación</t>
  </si>
  <si>
    <t>Gross Margin</t>
  </si>
  <si>
    <t>NA</t>
  </si>
  <si>
    <t>Produccion</t>
  </si>
  <si>
    <t>Almacen</t>
  </si>
  <si>
    <t>Externo</t>
  </si>
  <si>
    <t>MODELO BASTION</t>
  </si>
  <si>
    <t>Enero</t>
  </si>
  <si>
    <t>Diferencia</t>
  </si>
  <si>
    <t>Diferencia vs Abril</t>
  </si>
  <si>
    <t>CXC</t>
  </si>
  <si>
    <t>CXP</t>
  </si>
  <si>
    <t>Inv</t>
  </si>
  <si>
    <t>WC</t>
  </si>
  <si>
    <t>FORECAST 1H 25</t>
  </si>
  <si>
    <t>Net WC</t>
  </si>
  <si>
    <t>Change</t>
  </si>
  <si>
    <t xml:space="preserve">  Utilidad (o Pérdida) sin operaciones ejercicios anteriores</t>
  </si>
  <si>
    <t>Gastos operativos de ejercicios anteriores</t>
  </si>
  <si>
    <t>Gastos financieros de ejercicios anteriores</t>
  </si>
  <si>
    <t xml:space="preserve">  Utilidad (o Pérdida)</t>
  </si>
  <si>
    <t xml:space="preserve">  Total Egresos</t>
  </si>
  <si>
    <t>Total Resultado integral de financiamiento</t>
  </si>
  <si>
    <t>Otros productos</t>
  </si>
  <si>
    <t>Otros gastos</t>
  </si>
  <si>
    <t>Productos financieros</t>
  </si>
  <si>
    <t>Gastos financieros</t>
  </si>
  <si>
    <t xml:space="preserve"> Resultado integral de financiamiento</t>
  </si>
  <si>
    <t>Total Gastos</t>
  </si>
  <si>
    <t>Amortización contable</t>
  </si>
  <si>
    <t>Depreciacion Contable</t>
  </si>
  <si>
    <t>Gastos no deducibles para CUFIN</t>
  </si>
  <si>
    <t>Impuesto Sobre la renta</t>
  </si>
  <si>
    <t>Participación de los trabaj en utilidades dif</t>
  </si>
  <si>
    <t>Participación en resultados de asociadas</t>
  </si>
  <si>
    <t>Participación de los trabaj en las utilidades</t>
  </si>
  <si>
    <t>Gastos de direccion</t>
  </si>
  <si>
    <t>Gastos de desarrollo</t>
  </si>
  <si>
    <t>Gastos de calidad</t>
  </si>
  <si>
    <t>Gastos de administración</t>
  </si>
  <si>
    <t>Gastos de venta y marketing</t>
  </si>
  <si>
    <t>Gastos generales</t>
  </si>
  <si>
    <t xml:space="preserve"> Gastos</t>
  </si>
  <si>
    <t>Costo de activo fijo</t>
  </si>
  <si>
    <t>Total Costos Indirectos</t>
  </si>
  <si>
    <t>Seguridad Social Mtto</t>
  </si>
  <si>
    <t>Seguridad Social CS/Almacen</t>
  </si>
  <si>
    <t>Nomina Cadena de Suministros/Almacen</t>
  </si>
  <si>
    <t>Gastos Indirectos de Fabricacion</t>
  </si>
  <si>
    <t>Seguridad Social Soporte a la Operacion</t>
  </si>
  <si>
    <t>Nomina Soporte a la Operacion</t>
  </si>
  <si>
    <t xml:space="preserve"> Costos Indirectos</t>
  </si>
  <si>
    <t>Total Costos Directos</t>
  </si>
  <si>
    <t>Otros conceptos de costo</t>
  </si>
  <si>
    <t>Gastos Generales de Produccion</t>
  </si>
  <si>
    <t>Seguridad social Produccion</t>
  </si>
  <si>
    <t>Mano de obra directa</t>
  </si>
  <si>
    <t>Maniobras</t>
  </si>
  <si>
    <t>Fletes y logistica</t>
  </si>
  <si>
    <t>Material Empaque</t>
  </si>
  <si>
    <t xml:space="preserve"> Costos Directos</t>
  </si>
  <si>
    <t xml:space="preserve">  E g r e s o s</t>
  </si>
  <si>
    <t xml:space="preserve">  Total Ingresos</t>
  </si>
  <si>
    <t>Total Otros Ingresos</t>
  </si>
  <si>
    <t>Factura para afectar Nota de credito</t>
  </si>
  <si>
    <t>Descuento por relacion comercial</t>
  </si>
  <si>
    <t xml:space="preserve">   Otros Ingresos</t>
  </si>
  <si>
    <t>Total Dev</t>
  </si>
  <si>
    <t>Descuento por caducidad del producto</t>
  </si>
  <si>
    <t>Descuentos diversos</t>
  </si>
  <si>
    <t>Descuento por error en precio</t>
  </si>
  <si>
    <t>Descuento por pronto pago (cumplimiento tyc)</t>
  </si>
  <si>
    <t>Descuento por piezas dañadas</t>
  </si>
  <si>
    <t>Descuento por piezas faltantes</t>
  </si>
  <si>
    <t>Descuento relacion comercial</t>
  </si>
  <si>
    <t>Descuento por MKT</t>
  </si>
  <si>
    <t xml:space="preserve">Devoluciones s/venta </t>
  </si>
  <si>
    <t xml:space="preserve">   Dev, desctos o bonifi s vtas y/o serv tasa gral</t>
  </si>
  <si>
    <t>Total Ventas de producto grav a tasa gral</t>
  </si>
  <si>
    <t>Total Biomiral</t>
  </si>
  <si>
    <t>Retail</t>
  </si>
  <si>
    <t>Distribuidores</t>
  </si>
  <si>
    <t xml:space="preserve">   Biomiral</t>
  </si>
  <si>
    <t>Marca Propia</t>
  </si>
  <si>
    <t xml:space="preserve"> Ventas de producto grav a tasa gral</t>
  </si>
  <si>
    <t xml:space="preserve">  I n g r e s o s</t>
  </si>
  <si>
    <t>ENERO A MARZO</t>
  </si>
  <si>
    <t>MARZO</t>
  </si>
  <si>
    <t>FEBRERO</t>
  </si>
  <si>
    <t>ENERO</t>
  </si>
  <si>
    <t>Acumulado</t>
  </si>
  <si>
    <t>Periodo</t>
  </si>
  <si>
    <t>Estado de Resultados del  01 al 31 de Marzo 2025</t>
  </si>
  <si>
    <t>Estado de Resultados del 01 al 28 de Febrero 2025</t>
  </si>
  <si>
    <t>Estado de Resultados del 01 al 31de Enero 2025</t>
  </si>
  <si>
    <t>Estado de Resultados por mes de enero a marzo 2025</t>
  </si>
  <si>
    <t>Xana Lab SA de CV - Farmiral SA de CV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</si>
  <si>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</si>
  <si>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</si>
  <si>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</si>
  <si>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</si>
  <si>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</si>
  <si>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</si>
  <si>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</si>
  <si>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</si>
  <si>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</si>
  <si>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</si>
  <si>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</si>
  <si>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</si>
  <si>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Descuentos &amp; Devoluciones</t>
  </si>
  <si>
    <t>Otros costos directos</t>
  </si>
  <si>
    <t>Costos indirectos</t>
  </si>
  <si>
    <t>Intereses &amp; Arrendamientos</t>
  </si>
  <si>
    <t>Gastos Ej Anteriores</t>
  </si>
  <si>
    <t>PPTO DIC 2024</t>
  </si>
  <si>
    <t>Diferencia Periodo</t>
  </si>
  <si>
    <t>Diferencia Acumulada</t>
  </si>
  <si>
    <t>PPTO DIC 24</t>
  </si>
  <si>
    <t>ROLLING FCST</t>
  </si>
  <si>
    <t>BEAR V. ROLLING</t>
  </si>
  <si>
    <t>Resultado Inc. Ej Anteriores</t>
  </si>
  <si>
    <t>real</t>
  </si>
  <si>
    <t>fcst</t>
  </si>
  <si>
    <t>preliminar</t>
  </si>
  <si>
    <t>% Cumplimiento Ppto</t>
  </si>
  <si>
    <t>FCST BEAR CASE</t>
  </si>
  <si>
    <t>BRIEF INCOME STATEMENT</t>
  </si>
  <si>
    <t>INCOME STATEMENT (ROLLING FCST)</t>
  </si>
  <si>
    <t>Insumos Generales</t>
  </si>
  <si>
    <t>Caja chica Argentina</t>
  </si>
  <si>
    <t>Ahorro Septiembre</t>
  </si>
  <si>
    <t>Febero</t>
  </si>
  <si>
    <t>Marzo</t>
  </si>
  <si>
    <t>FY</t>
  </si>
  <si>
    <t>Vencimientos</t>
  </si>
  <si>
    <t>Uso de Linea</t>
  </si>
  <si>
    <t>Linea BOP</t>
  </si>
  <si>
    <t>Linea en Uso EOP</t>
  </si>
  <si>
    <t>Linea Disponible EOP</t>
  </si>
  <si>
    <t>Disponible para Factoraje</t>
  </si>
  <si>
    <t>Arendamas</t>
  </si>
  <si>
    <t>Facturación KPS/Levic/Grisi</t>
  </si>
  <si>
    <t>NUVARI (2)</t>
  </si>
  <si>
    <t>CxC BOP</t>
  </si>
  <si>
    <t>CxC EOP</t>
  </si>
  <si>
    <t>Changes CxC</t>
  </si>
  <si>
    <t>CxP BOP</t>
  </si>
  <si>
    <t>Changes CxP</t>
  </si>
  <si>
    <t>CxP EOP</t>
  </si>
  <si>
    <t>Inventory BOP</t>
  </si>
  <si>
    <t>Changes Inventory</t>
  </si>
  <si>
    <t>Inventory EOP</t>
  </si>
  <si>
    <t>Trailing 12M Revenue</t>
  </si>
  <si>
    <t>Trailing 12M Costs</t>
  </si>
  <si>
    <t>Change in WC</t>
  </si>
  <si>
    <t>OPERATING CASHFLOW</t>
  </si>
  <si>
    <t>INVESTING CASHFLOW</t>
  </si>
  <si>
    <t>Cashflow EO March</t>
  </si>
  <si>
    <t>Status Quo</t>
  </si>
  <si>
    <t>Debt</t>
  </si>
  <si>
    <t>Recapitalización</t>
  </si>
  <si>
    <t>Interest payments EO March</t>
  </si>
  <si>
    <t>PROPUESTA</t>
  </si>
  <si>
    <t>Capitalizacion</t>
  </si>
  <si>
    <t>SCENARIO CAPITALIZACIÓN</t>
  </si>
  <si>
    <t>CONVERTIBLES</t>
  </si>
  <si>
    <t>PROMEDIO USO LINEA</t>
  </si>
  <si>
    <t>NUEVA LINEA SESAJAL</t>
  </si>
  <si>
    <t>Tasa</t>
  </si>
  <si>
    <t>Use of Funds</t>
  </si>
  <si>
    <t>Capital X BOP</t>
  </si>
  <si>
    <t>Vencimientos v  Capital X</t>
  </si>
  <si>
    <t>Facturación KPS</t>
  </si>
  <si>
    <t>Nuevos Vencimientos KPS</t>
  </si>
  <si>
    <t>Flujo Neto de Operación Modelo</t>
  </si>
  <si>
    <t>Crecimiento v Modelo</t>
  </si>
  <si>
    <t>Total para WC/CAPEX</t>
  </si>
  <si>
    <t>Uso para WC Acumulado</t>
  </si>
  <si>
    <t>Uso para WC (%)</t>
  </si>
  <si>
    <t>Arrendamas</t>
  </si>
  <si>
    <t>Nuvari</t>
  </si>
  <si>
    <t>Capix</t>
  </si>
  <si>
    <t>Total para Deuda</t>
  </si>
  <si>
    <t>Uso para Deuda Acumulado</t>
  </si>
  <si>
    <t>Uso para Deuda (%)</t>
  </si>
  <si>
    <t>Disposición  Total por periodo</t>
  </si>
  <si>
    <t>Uso Total Acumulado</t>
  </si>
  <si>
    <t>Uso Total (%)</t>
  </si>
  <si>
    <t>Otros</t>
  </si>
  <si>
    <t>Flujo Acumulado c/ Sesajal</t>
  </si>
  <si>
    <t>PAGO DE DEUDA</t>
  </si>
  <si>
    <t>FLUJO DESPUES DE PAGO DE DEUDA</t>
  </si>
  <si>
    <t>FLUJO ACUMULADO DESPUES DE PAGO DE DEUDA</t>
  </si>
  <si>
    <t>Sesajal</t>
  </si>
  <si>
    <t>Req Adicional Modelo WC H2</t>
  </si>
  <si>
    <t>LINEA SESAJAL</t>
  </si>
  <si>
    <t>LINEA CAPIX</t>
  </si>
  <si>
    <t>NUVARI NUEVA LINEA</t>
  </si>
  <si>
    <t>EFECTO NO RESOLUCIÓN</t>
  </si>
  <si>
    <t>FLUJO DE OPERACIONES</t>
  </si>
  <si>
    <t>Escenarios Intereses</t>
  </si>
  <si>
    <t>Reestructura Sesajal</t>
  </si>
  <si>
    <t>Reestructura Nuvari</t>
  </si>
  <si>
    <t>Flujo Neto con Sesajal</t>
  </si>
  <si>
    <t>Flujo Neto con Nuvari</t>
  </si>
  <si>
    <t xml:space="preserve">Flujo Neto de Operaciones </t>
  </si>
  <si>
    <t>Flujo Acumulado c/ Nuvari</t>
  </si>
  <si>
    <t>ESCENARIO NUVARI</t>
  </si>
  <si>
    <t>ESCENARIO SESAJAL</t>
  </si>
  <si>
    <t>100% Uso de la linea</t>
  </si>
  <si>
    <t>Comentarios</t>
  </si>
  <si>
    <t>La proyección de ingresos por maquila contempla ingresos con Grisi, KPS y Laboratorios Best. Ver detalle de CXC y principales clientes contemplados en esta proyección.</t>
  </si>
  <si>
    <t>La proyección de Biomiral contempla las ventas realizadas a traves de la marca comercial "Biomiral".</t>
  </si>
  <si>
    <t>Remedir el modelo, el efectivo final en todos los meses es negativo</t>
  </si>
  <si>
    <t>Grupo Xanalab</t>
  </si>
  <si>
    <t>Al 30 de Junio del 2025</t>
  </si>
  <si>
    <t>Detalle de Cuentas por Cobrar</t>
  </si>
  <si>
    <t>Activos</t>
  </si>
  <si>
    <t>MXN</t>
  </si>
  <si>
    <t>Total de Cuentas por Cobrar</t>
  </si>
  <si>
    <t>Detalle de Inventario</t>
  </si>
  <si>
    <t>Materia prima</t>
  </si>
  <si>
    <t>Producto terminado</t>
  </si>
  <si>
    <t>Fuentes de Recursos</t>
  </si>
  <si>
    <t>Total de Inventarios</t>
  </si>
  <si>
    <t>Capital de Trabajo Neto</t>
  </si>
  <si>
    <t>Analisis Financiero de Capital de Trabajo</t>
  </si>
  <si>
    <t>Detalle de Activos Fijos</t>
  </si>
  <si>
    <t>Maquinaria y equipo</t>
  </si>
  <si>
    <t>Total de Activos Fijos</t>
  </si>
  <si>
    <t>Equipo de Transporte</t>
  </si>
  <si>
    <t>Terrenos</t>
  </si>
  <si>
    <t>Edificios</t>
  </si>
  <si>
    <t>Mobiliario y equipo</t>
  </si>
  <si>
    <t>Detalle de Arrendamientos</t>
  </si>
  <si>
    <t>Total de Arrendamientos</t>
  </si>
  <si>
    <t>Terrenos en Arrendamiento</t>
  </si>
  <si>
    <t>Edificios en Arrendamiento</t>
  </si>
  <si>
    <t>Maquinaria y equipo en Arrendamiento</t>
  </si>
  <si>
    <t>Equipo de Transporte en Arrendamiento</t>
  </si>
  <si>
    <t>Mobiliario y equipo en Arrendamiento</t>
  </si>
  <si>
    <t>Detalle de Intangibles</t>
  </si>
  <si>
    <t>Marca Biomiral</t>
  </si>
  <si>
    <t>Marcas - otras</t>
  </si>
  <si>
    <t>Licencias COFEPRIS</t>
  </si>
  <si>
    <t>Licencias Otras</t>
  </si>
  <si>
    <t>Total de Intangibles</t>
  </si>
  <si>
    <t>Total de Activos</t>
  </si>
  <si>
    <t>∑</t>
  </si>
  <si>
    <t>Total de Deuda</t>
  </si>
  <si>
    <t>Detalle de Cuentas por Pagar Operativas</t>
  </si>
  <si>
    <t>Total de Cuentas por Pagar Operativas</t>
  </si>
  <si>
    <t>Detalle de Deuda con Costo (Créditos Bancarios y Arrendamientos)</t>
  </si>
  <si>
    <t>*** Detalle de principales proveedores</t>
  </si>
  <si>
    <t>*** Detalle de principales clientes</t>
  </si>
  <si>
    <t>Detalle de Cuentas por Pagar Contigentes y NO Operativas</t>
  </si>
  <si>
    <t>*** Detalle de principales contingencias a cargo y cuentas no operativas por pagar.</t>
  </si>
  <si>
    <t>Total de Cuentas por Pagar Contingentes y NO Operativas</t>
  </si>
  <si>
    <t>Detalle de Capital</t>
  </si>
  <si>
    <t>Total de Capital</t>
  </si>
  <si>
    <t>*** Detalle de deuda convertida en acciones en favor de NUVARI</t>
  </si>
  <si>
    <t>Total de Pasivos y Capital</t>
  </si>
  <si>
    <t>Detalle de Cuentas por Pagar entre Partes Relacionadas</t>
  </si>
  <si>
    <t>Total de Cuentas por Pagar a Partes Relacionadas</t>
  </si>
  <si>
    <t>Flujo</t>
  </si>
  <si>
    <t>Detalle</t>
  </si>
  <si>
    <t>Capital Expenditure (CapEx)</t>
  </si>
  <si>
    <t>Pago Créditos Bancarios</t>
  </si>
  <si>
    <t>Pago de Arrendamientos</t>
  </si>
  <si>
    <t>Free Cash Flow (FCF)</t>
  </si>
  <si>
    <t>(-)</t>
  </si>
  <si>
    <t>Pago de Contigencias (Otros)</t>
  </si>
  <si>
    <t>Creditos Otros</t>
  </si>
  <si>
    <t>Total Pago de Deuda</t>
  </si>
  <si>
    <t>Pago de Contigencias (Impuestos+Actualizciones y Recargos)</t>
  </si>
  <si>
    <t>Otros Gastos Producción (Rentas Equipos)</t>
  </si>
  <si>
    <t>Descuentos/Devoluciones</t>
  </si>
  <si>
    <t>Tesistan/Argentina</t>
  </si>
  <si>
    <t>Viaticos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</si>
</sst>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#,##0;[Red]#,##0"/>
    <numFmt numFmtId="166" formatCode="_-&quot;$&quot;* #,##0_-;\-&quot;$&quot;* #,##0_-;_-&quot;$&quot;* &quot;-&quot;??_-;_-@_-"/>
    <numFmt numFmtId="167" formatCode="0.0"/>
    <numFmt numFmtId="168" formatCode="_-* #,##0.0_-;\-* #,##0.0_-;_-* &quot;-&quot;?_-;_-@_-"/>
    <numFmt numFmtId="169" formatCode="#,##0.00_ ;[Red]\-#,##0.00\ "/>
    <numFmt numFmtId="170" formatCode="0.0%"/>
  </numFmts>
  <fonts count="71" x14ac:knownFonts="1">
    <font>
      <sz val="11"/>
      <color theme="1"/>
      <name val="Aptos Narrow"/>
      <family val="2"/>
      <scheme val="minor"/>
    </font>
    <font>
      <sz val="10"/>
      <color theme="1"/>
      <name val="Verdana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FF"/>
      <name val="Arial"/>
      <family val="2"/>
    </font>
    <font>
      <sz val="10"/>
      <name val="Arial"/>
      <family val="2"/>
    </font>
    <font>
      <sz val="11"/>
      <color rgb="FF0066FF"/>
      <name val="Aptos Narrow"/>
      <family val="2"/>
      <scheme val="minor"/>
    </font>
    <font>
      <sz val="1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rgb="FF0066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rgb="FFFFC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4"/>
      <color theme="7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8"/>
      <color theme="0" tint="-0.499984740745262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b/>
      <i/>
      <sz val="10"/>
      <color indexed="8"/>
      <name val="Arial"/>
      <family val="2"/>
    </font>
    <font>
      <i/>
      <sz val="10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b/>
      <i/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FFFFFF"/>
      <name val="Arial"/>
      <family val="2"/>
    </font>
    <font>
      <b/>
      <sz val="11"/>
      <color rgb="FF0066FF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name val="Aptos Narrow"/>
      <family val="2"/>
      <scheme val="minor"/>
    </font>
    <font>
      <b/>
      <sz val="14"/>
      <name val="Aptos Narrow"/>
      <family val="2"/>
      <scheme val="minor"/>
    </font>
    <font>
      <b/>
      <i/>
      <sz val="14"/>
      <name val="Aptos Narrow"/>
      <family val="2"/>
      <scheme val="minor"/>
    </font>
    <font>
      <b/>
      <sz val="14"/>
      <color rgb="FF0066FF"/>
      <name val="Aptos Narrow"/>
      <family val="2"/>
      <scheme val="minor"/>
    </font>
    <font>
      <b/>
      <i/>
      <sz val="14"/>
      <color rgb="FF0066FF"/>
      <name val="Aptos Narrow"/>
      <family val="2"/>
      <scheme val="minor"/>
    </font>
    <font>
      <i/>
      <sz val="14"/>
      <color rgb="FF0066FF"/>
      <name val="Aptos Narrow"/>
      <family val="2"/>
      <scheme val="minor"/>
    </font>
    <font>
      <sz val="12"/>
      <color theme="1"/>
      <name val="Verdana"/>
      <family val="2"/>
    </font>
    <font>
      <b/>
      <sz val="12"/>
      <color theme="1"/>
      <name val="Verdana"/>
      <family val="2"/>
    </font>
    <font>
      <i/>
      <sz val="12"/>
      <color theme="1"/>
      <name val="Verdana"/>
      <family val="2"/>
    </font>
    <font>
      <b/>
      <sz val="14"/>
      <color rgb="FF008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FF0000"/>
      <name val="Verdana"/>
      <family val="2"/>
    </font>
    <font>
      <b/>
      <sz val="10"/>
      <color theme="1"/>
      <name val="Verdana"/>
      <family val="2"/>
    </font>
    <font>
      <sz val="10"/>
      <color rgb="FF008000"/>
      <name val="Verdana"/>
      <family val="2"/>
    </font>
    <font>
      <i/>
      <sz val="10"/>
      <color theme="1"/>
      <name val="Verdana"/>
      <family val="2"/>
    </font>
    <font>
      <sz val="9"/>
      <color rgb="FFFF0000"/>
      <name val="Verdana"/>
      <family val="2"/>
    </font>
    <font>
      <sz val="10"/>
      <color rgb="FF0000FF"/>
      <name val="Verdana"/>
      <family val="2"/>
    </font>
    <font>
      <sz val="14"/>
      <color rgb="FFFF0000"/>
      <name val="Aptos Narrow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8D3E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>
      <left/>
      <right/>
      <top/>
      <bottom style="thin">
        <color indexed="64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 style="thick">
        <color theme="0"/>
      </right>
      <top/>
      <bottom/>
      <diagonal/>
    </border>
    <border>
      <left style="hair">
        <color rgb="FFBFBFBF"/>
      </left>
      <right style="hair">
        <color rgb="FFBFBFBF"/>
      </right>
      <top/>
      <bottom/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5" fillId="0" borderId="0"/>
  </cellStyleXfs>
  <cellXfs count="386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14" fontId="0" fillId="0" borderId="0" xfId="0" applyNumberFormat="1"/>
    <xf numFmtId="0" fontId="4" fillId="0" borderId="0" xfId="0" applyFont="1"/>
    <xf numFmtId="0" fontId="0" fillId="0" borderId="1" xfId="0" applyBorder="1"/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  <xf numFmtId="0" fontId="4" fillId="0" borderId="0" xfId="0" applyFont="1" applyAlignment="1">
      <alignment horizontal="left"/>
    </xf>
    <xf numFmtId="43" fontId="0" fillId="0" borderId="0" xfId="1" applyFont="1"/>
    <xf numFmtId="165" fontId="5" fillId="0" borderId="2" xfId="0" applyNumberFormat="1" applyFont="1" applyBorder="1" applyAlignment="1">
      <alignment horizontal="right" vertical="center"/>
    </xf>
    <xf numFmtId="44" fontId="0" fillId="0" borderId="0" xfId="2" applyFont="1"/>
    <xf numFmtId="165" fontId="5" fillId="0" borderId="0" xfId="0" applyNumberFormat="1" applyFont="1" applyAlignment="1">
      <alignment horizontal="right" vertical="center"/>
    </xf>
    <xf numFmtId="165" fontId="6" fillId="0" borderId="2" xfId="0" applyNumberFormat="1" applyFont="1" applyBorder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0" fontId="0" fillId="0" borderId="0" xfId="3" applyNumberFormat="1" applyFont="1"/>
    <xf numFmtId="164" fontId="7" fillId="0" borderId="0" xfId="1" applyNumberFormat="1" applyFont="1"/>
    <xf numFmtId="10" fontId="7" fillId="0" borderId="0" xfId="0" applyNumberFormat="1" applyFont="1"/>
    <xf numFmtId="164" fontId="8" fillId="0" borderId="0" xfId="1" applyNumberFormat="1" applyFont="1"/>
    <xf numFmtId="0" fontId="7" fillId="0" borderId="1" xfId="0" applyFont="1" applyBorder="1"/>
    <xf numFmtId="9" fontId="7" fillId="0" borderId="1" xfId="0" applyNumberFormat="1" applyFont="1" applyBorder="1"/>
    <xf numFmtId="9" fontId="7" fillId="0" borderId="1" xfId="3" applyFont="1" applyBorder="1"/>
    <xf numFmtId="10" fontId="7" fillId="0" borderId="1" xfId="0" applyNumberFormat="1" applyFont="1" applyBorder="1"/>
    <xf numFmtId="44" fontId="7" fillId="0" borderId="0" xfId="2" applyFont="1"/>
    <xf numFmtId="164" fontId="0" fillId="0" borderId="1" xfId="1" applyNumberFormat="1" applyFont="1" applyBorder="1"/>
    <xf numFmtId="0" fontId="0" fillId="0" borderId="0" xfId="2" applyNumberFormat="1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left" indent="1"/>
    </xf>
    <xf numFmtId="164" fontId="9" fillId="0" borderId="0" xfId="1" applyNumberFormat="1" applyFont="1" applyFill="1"/>
    <xf numFmtId="164" fontId="10" fillId="0" borderId="0" xfId="1" applyNumberFormat="1" applyFont="1" applyFill="1"/>
    <xf numFmtId="0" fontId="9" fillId="0" borderId="3" xfId="0" applyFont="1" applyBorder="1" applyAlignment="1">
      <alignment horizontal="left" indent="1"/>
    </xf>
    <xf numFmtId="0" fontId="9" fillId="0" borderId="3" xfId="0" applyFont="1" applyBorder="1"/>
    <xf numFmtId="164" fontId="9" fillId="0" borderId="3" xfId="1" applyNumberFormat="1" applyFont="1" applyFill="1" applyBorder="1"/>
    <xf numFmtId="164" fontId="10" fillId="0" borderId="0" xfId="0" applyNumberFormat="1" applyFont="1"/>
    <xf numFmtId="0" fontId="11" fillId="0" borderId="0" xfId="0" applyFont="1"/>
    <xf numFmtId="9" fontId="11" fillId="0" borderId="0" xfId="3" applyFont="1"/>
    <xf numFmtId="9" fontId="10" fillId="0" borderId="0" xfId="3" applyFont="1" applyFill="1"/>
    <xf numFmtId="164" fontId="9" fillId="0" borderId="0" xfId="0" applyNumberFormat="1" applyFont="1"/>
    <xf numFmtId="164" fontId="9" fillId="0" borderId="3" xfId="0" applyNumberFormat="1" applyFont="1" applyBorder="1"/>
    <xf numFmtId="10" fontId="11" fillId="0" borderId="0" xfId="3" applyNumberFormat="1" applyFont="1"/>
    <xf numFmtId="0" fontId="12" fillId="0" borderId="0" xfId="0" applyFont="1" applyAlignment="1">
      <alignment horizontal="left" indent="1"/>
    </xf>
    <xf numFmtId="0" fontId="12" fillId="0" borderId="0" xfId="0" applyFont="1"/>
    <xf numFmtId="164" fontId="12" fillId="0" borderId="0" xfId="0" applyNumberFormat="1" applyFont="1"/>
    <xf numFmtId="0" fontId="12" fillId="0" borderId="3" xfId="0" applyFont="1" applyBorder="1" applyAlignment="1">
      <alignment horizontal="left" indent="1"/>
    </xf>
    <xf numFmtId="0" fontId="12" fillId="0" borderId="3" xfId="0" applyFont="1" applyBorder="1"/>
    <xf numFmtId="10" fontId="12" fillId="0" borderId="3" xfId="3" applyNumberFormat="1" applyFont="1" applyBorder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164" fontId="10" fillId="0" borderId="3" xfId="1" applyNumberFormat="1" applyFont="1" applyFill="1" applyBorder="1"/>
    <xf numFmtId="0" fontId="13" fillId="0" borderId="0" xfId="0" applyFont="1" applyAlignment="1">
      <alignment horizontal="left" indent="1"/>
    </xf>
    <xf numFmtId="0" fontId="13" fillId="0" borderId="0" xfId="0" applyFont="1"/>
    <xf numFmtId="10" fontId="13" fillId="0" borderId="0" xfId="3" applyNumberFormat="1" applyFont="1"/>
    <xf numFmtId="164" fontId="12" fillId="0" borderId="0" xfId="3" applyNumberFormat="1" applyFont="1" applyBorder="1"/>
    <xf numFmtId="43" fontId="9" fillId="0" borderId="0" xfId="0" applyNumberFormat="1" applyFont="1"/>
    <xf numFmtId="43" fontId="10" fillId="0" borderId="0" xfId="0" applyNumberFormat="1" applyFont="1"/>
    <xf numFmtId="10" fontId="10" fillId="0" borderId="3" xfId="3" applyNumberFormat="1" applyFont="1" applyBorder="1"/>
    <xf numFmtId="0" fontId="4" fillId="0" borderId="3" xfId="0" applyFont="1" applyBorder="1"/>
    <xf numFmtId="0" fontId="0" fillId="0" borderId="3" xfId="0" applyBorder="1"/>
    <xf numFmtId="164" fontId="0" fillId="0" borderId="0" xfId="1" applyNumberFormat="1" applyFont="1" applyBorder="1"/>
    <xf numFmtId="164" fontId="0" fillId="0" borderId="0" xfId="1" applyNumberFormat="1" applyFont="1" applyFill="1"/>
    <xf numFmtId="43" fontId="0" fillId="0" borderId="0" xfId="1" applyFont="1" applyFill="1"/>
    <xf numFmtId="164" fontId="9" fillId="0" borderId="0" xfId="1" applyNumberFormat="1" applyFont="1"/>
    <xf numFmtId="164" fontId="10" fillId="0" borderId="0" xfId="1" applyNumberFormat="1" applyFont="1"/>
    <xf numFmtId="9" fontId="9" fillId="0" borderId="0" xfId="3" applyFont="1"/>
    <xf numFmtId="10" fontId="10" fillId="0" borderId="0" xfId="3" applyNumberFormat="1" applyFont="1" applyFill="1"/>
    <xf numFmtId="164" fontId="16" fillId="0" borderId="3" xfId="0" applyNumberFormat="1" applyFont="1" applyBorder="1"/>
    <xf numFmtId="164" fontId="16" fillId="0" borderId="0" xfId="1" applyNumberFormat="1" applyFont="1" applyFill="1"/>
    <xf numFmtId="164" fontId="16" fillId="0" borderId="3" xfId="1" applyNumberFormat="1" applyFont="1" applyFill="1" applyBorder="1"/>
    <xf numFmtId="0" fontId="4" fillId="0" borderId="0" xfId="0" applyFont="1" applyAlignment="1">
      <alignment horizontal="right"/>
    </xf>
    <xf numFmtId="0" fontId="0" fillId="0" borderId="0" xfId="0" applyAlignment="1">
      <alignment horizontal="left" indent="1"/>
    </xf>
    <xf numFmtId="0" fontId="17" fillId="0" borderId="0" xfId="0" applyFont="1" applyAlignment="1">
      <alignment horizontal="right"/>
    </xf>
    <xf numFmtId="10" fontId="11" fillId="0" borderId="0" xfId="3" applyNumberFormat="1" applyFont="1" applyFill="1"/>
    <xf numFmtId="10" fontId="12" fillId="0" borderId="3" xfId="3" applyNumberFormat="1" applyFont="1" applyFill="1" applyBorder="1"/>
    <xf numFmtId="10" fontId="13" fillId="0" borderId="0" xfId="3" applyNumberFormat="1" applyFont="1" applyFill="1"/>
    <xf numFmtId="164" fontId="12" fillId="0" borderId="0" xfId="3" applyNumberFormat="1" applyFont="1" applyFill="1" applyBorder="1"/>
    <xf numFmtId="0" fontId="18" fillId="0" borderId="0" xfId="0" applyFont="1"/>
    <xf numFmtId="0" fontId="0" fillId="0" borderId="0" xfId="0" applyAlignment="1">
      <alignment horizontal="right" vertical="center"/>
    </xf>
    <xf numFmtId="2" fontId="1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0" fillId="0" borderId="0" xfId="0" applyFont="1"/>
    <xf numFmtId="0" fontId="21" fillId="0" borderId="4" xfId="0" applyFont="1" applyBorder="1" applyAlignment="1">
      <alignment horizontal="center"/>
    </xf>
    <xf numFmtId="0" fontId="22" fillId="0" borderId="0" xfId="0" applyFont="1" applyAlignment="1">
      <alignment horizontal="center"/>
    </xf>
    <xf numFmtId="164" fontId="4" fillId="0" borderId="0" xfId="1" applyNumberFormat="1" applyFont="1" applyFill="1"/>
    <xf numFmtId="164" fontId="4" fillId="0" borderId="0" xfId="1" applyNumberFormat="1" applyFont="1"/>
    <xf numFmtId="164" fontId="3" fillId="0" borderId="0" xfId="1" applyNumberFormat="1" applyFont="1" applyFill="1"/>
    <xf numFmtId="164" fontId="23" fillId="0" borderId="0" xfId="1" applyNumberFormat="1" applyFont="1" applyFill="1" applyBorder="1"/>
    <xf numFmtId="0" fontId="17" fillId="0" borderId="0" xfId="0" applyFont="1" applyAlignment="1">
      <alignment horizontal="center"/>
    </xf>
    <xf numFmtId="164" fontId="4" fillId="2" borderId="5" xfId="1" applyNumberFormat="1" applyFont="1" applyFill="1" applyBorder="1"/>
    <xf numFmtId="164" fontId="0" fillId="0" borderId="5" xfId="1" applyNumberFormat="1" applyFont="1" applyBorder="1"/>
    <xf numFmtId="164" fontId="14" fillId="0" borderId="0" xfId="1" applyNumberFormat="1" applyFont="1" applyFill="1" applyBorder="1"/>
    <xf numFmtId="9" fontId="0" fillId="0" borderId="0" xfId="3" applyFont="1"/>
    <xf numFmtId="164" fontId="4" fillId="0" borderId="5" xfId="1" applyNumberFormat="1" applyFont="1" applyFill="1" applyBorder="1"/>
    <xf numFmtId="164" fontId="4" fillId="3" borderId="5" xfId="1" applyNumberFormat="1" applyFont="1" applyFill="1" applyBorder="1"/>
    <xf numFmtId="164" fontId="24" fillId="0" borderId="0" xfId="0" applyNumberFormat="1" applyFont="1"/>
    <xf numFmtId="0" fontId="0" fillId="4" borderId="0" xfId="0" applyFill="1"/>
    <xf numFmtId="164" fontId="4" fillId="4" borderId="0" xfId="0" applyNumberFormat="1" applyFont="1" applyFill="1"/>
    <xf numFmtId="164" fontId="4" fillId="0" borderId="0" xfId="1" applyNumberFormat="1" applyFont="1" applyFill="1" applyBorder="1"/>
    <xf numFmtId="164" fontId="25" fillId="2" borderId="5" xfId="1" applyNumberFormat="1" applyFont="1" applyFill="1" applyBorder="1"/>
    <xf numFmtId="164" fontId="3" fillId="0" borderId="5" xfId="1" applyNumberFormat="1" applyFont="1" applyFill="1" applyBorder="1"/>
    <xf numFmtId="164" fontId="26" fillId="5" borderId="5" xfId="1" applyNumberFormat="1" applyFont="1" applyFill="1" applyBorder="1"/>
    <xf numFmtId="164" fontId="27" fillId="0" borderId="0" xfId="1" applyNumberFormat="1" applyFont="1" applyFill="1" applyBorder="1"/>
    <xf numFmtId="0" fontId="17" fillId="0" borderId="0" xfId="0" applyFont="1"/>
    <xf numFmtId="164" fontId="17" fillId="6" borderId="5" xfId="1" applyNumberFormat="1" applyFont="1" applyFill="1" applyBorder="1"/>
    <xf numFmtId="0" fontId="28" fillId="0" borderId="0" xfId="0" applyFont="1"/>
    <xf numFmtId="164" fontId="29" fillId="0" borderId="5" xfId="1" applyNumberFormat="1" applyFont="1" applyFill="1" applyBorder="1"/>
    <xf numFmtId="0" fontId="0" fillId="0" borderId="5" xfId="0" applyBorder="1"/>
    <xf numFmtId="164" fontId="15" fillId="0" borderId="5" xfId="1" applyNumberFormat="1" applyFont="1" applyBorder="1"/>
    <xf numFmtId="0" fontId="4" fillId="0" borderId="0" xfId="0" applyFont="1" applyAlignment="1">
      <alignment horizontal="left" indent="1"/>
    </xf>
    <xf numFmtId="164" fontId="14" fillId="0" borderId="5" xfId="1" applyNumberFormat="1" applyFont="1" applyBorder="1"/>
    <xf numFmtId="43" fontId="0" fillId="0" borderId="5" xfId="1" applyFont="1" applyBorder="1"/>
    <xf numFmtId="164" fontId="3" fillId="0" borderId="5" xfId="1" applyNumberFormat="1" applyFont="1" applyBorder="1"/>
    <xf numFmtId="164" fontId="0" fillId="0" borderId="5" xfId="1" applyNumberFormat="1" applyFont="1" applyFill="1" applyBorder="1" applyAlignment="1">
      <alignment horizontal="right"/>
    </xf>
    <xf numFmtId="164" fontId="0" fillId="0" borderId="5" xfId="1" applyNumberFormat="1" applyFont="1" applyFill="1" applyBorder="1"/>
    <xf numFmtId="164" fontId="0" fillId="7" borderId="5" xfId="1" applyNumberFormat="1" applyFont="1" applyFill="1" applyBorder="1"/>
    <xf numFmtId="166" fontId="4" fillId="0" borderId="0" xfId="2" applyNumberFormat="1" applyFont="1"/>
    <xf numFmtId="166" fontId="0" fillId="0" borderId="0" xfId="2" applyNumberFormat="1" applyFont="1"/>
    <xf numFmtId="9" fontId="4" fillId="0" borderId="0" xfId="0" applyNumberFormat="1" applyFont="1"/>
    <xf numFmtId="0" fontId="15" fillId="0" borderId="5" xfId="0" applyFont="1" applyBorder="1"/>
    <xf numFmtId="2" fontId="0" fillId="0" borderId="5" xfId="0" applyNumberFormat="1" applyBorder="1"/>
    <xf numFmtId="164" fontId="30" fillId="6" borderId="0" xfId="1" applyNumberFormat="1" applyFont="1" applyFill="1"/>
    <xf numFmtId="0" fontId="0" fillId="0" borderId="0" xfId="0" applyAlignment="1">
      <alignment horizontal="left"/>
    </xf>
    <xf numFmtId="167" fontId="4" fillId="0" borderId="5" xfId="0" applyNumberFormat="1" applyFont="1" applyBorder="1" applyAlignment="1">
      <alignment horizontal="center"/>
    </xf>
    <xf numFmtId="0" fontId="0" fillId="0" borderId="0" xfId="0" applyAlignment="1">
      <alignment horizontal="right" indent="1"/>
    </xf>
    <xf numFmtId="164" fontId="0" fillId="0" borderId="0" xfId="1" applyNumberFormat="1" applyFont="1" applyFill="1" applyBorder="1"/>
    <xf numFmtId="164" fontId="17" fillId="5" borderId="5" xfId="1" applyNumberFormat="1" applyFont="1" applyFill="1" applyBorder="1"/>
    <xf numFmtId="164" fontId="31" fillId="5" borderId="5" xfId="1" applyNumberFormat="1" applyFont="1" applyFill="1" applyBorder="1"/>
    <xf numFmtId="1" fontId="25" fillId="8" borderId="5" xfId="1" applyNumberFormat="1" applyFont="1" applyFill="1" applyBorder="1" applyAlignment="1">
      <alignment horizontal="center"/>
    </xf>
    <xf numFmtId="1" fontId="25" fillId="0" borderId="0" xfId="1" applyNumberFormat="1" applyFont="1" applyFill="1" applyBorder="1" applyAlignment="1">
      <alignment horizontal="center"/>
    </xf>
    <xf numFmtId="1" fontId="32" fillId="0" borderId="0" xfId="1" applyNumberFormat="1" applyFont="1" applyFill="1" applyAlignment="1">
      <alignment horizontal="right"/>
    </xf>
    <xf numFmtId="1" fontId="32" fillId="0" borderId="5" xfId="1" applyNumberFormat="1" applyFont="1" applyFill="1" applyBorder="1" applyAlignment="1">
      <alignment horizontal="center"/>
    </xf>
    <xf numFmtId="167" fontId="8" fillId="0" borderId="5" xfId="1" applyNumberFormat="1" applyFont="1" applyFill="1" applyBorder="1" applyAlignment="1">
      <alignment horizontal="center"/>
    </xf>
    <xf numFmtId="167" fontId="25" fillId="0" borderId="0" xfId="1" applyNumberFormat="1" applyFont="1" applyFill="1" applyBorder="1" applyAlignment="1">
      <alignment horizontal="center"/>
    </xf>
    <xf numFmtId="1" fontId="32" fillId="0" borderId="0" xfId="1" applyNumberFormat="1" applyFont="1" applyFill="1" applyBorder="1" applyAlignment="1">
      <alignment horizontal="center"/>
    </xf>
    <xf numFmtId="1" fontId="0" fillId="0" borderId="5" xfId="0" applyNumberFormat="1" applyBorder="1"/>
    <xf numFmtId="164" fontId="33" fillId="0" borderId="5" xfId="1" applyNumberFormat="1" applyFont="1" applyBorder="1"/>
    <xf numFmtId="164" fontId="33" fillId="0" borderId="0" xfId="1" applyNumberFormat="1" applyFont="1" applyFill="1" applyBorder="1"/>
    <xf numFmtId="0" fontId="33" fillId="0" borderId="0" xfId="0" applyFont="1"/>
    <xf numFmtId="164" fontId="4" fillId="9" borderId="5" xfId="1" applyNumberFormat="1" applyFont="1" applyFill="1" applyBorder="1"/>
    <xf numFmtId="164" fontId="17" fillId="10" borderId="5" xfId="1" applyNumberFormat="1" applyFont="1" applyFill="1" applyBorder="1"/>
    <xf numFmtId="164" fontId="17" fillId="0" borderId="0" xfId="1" applyNumberFormat="1" applyFont="1" applyFill="1" applyBorder="1"/>
    <xf numFmtId="164" fontId="34" fillId="0" borderId="5" xfId="1" applyNumberFormat="1" applyFont="1" applyFill="1" applyBorder="1"/>
    <xf numFmtId="164" fontId="34" fillId="0" borderId="0" xfId="1" applyNumberFormat="1" applyFont="1" applyFill="1" applyBorder="1"/>
    <xf numFmtId="10" fontId="4" fillId="2" borderId="5" xfId="3" applyNumberFormat="1" applyFont="1" applyFill="1" applyBorder="1" applyAlignment="1">
      <alignment horizontal="center"/>
    </xf>
    <xf numFmtId="10" fontId="4" fillId="0" borderId="0" xfId="3" applyNumberFormat="1" applyFont="1" applyFill="1" applyBorder="1" applyAlignment="1">
      <alignment horizontal="center"/>
    </xf>
    <xf numFmtId="10" fontId="0" fillId="0" borderId="5" xfId="3" applyNumberFormat="1" applyFont="1" applyFill="1" applyBorder="1" applyAlignment="1">
      <alignment horizontal="center"/>
    </xf>
    <xf numFmtId="10" fontId="0" fillId="0" borderId="0" xfId="3" applyNumberFormat="1" applyFont="1" applyFill="1" applyBorder="1" applyAlignment="1">
      <alignment horizontal="center"/>
    </xf>
    <xf numFmtId="164" fontId="0" fillId="0" borderId="5" xfId="0" applyNumberFormat="1" applyBorder="1"/>
    <xf numFmtId="164" fontId="4" fillId="5" borderId="5" xfId="0" applyNumberFormat="1" applyFont="1" applyFill="1" applyBorder="1"/>
    <xf numFmtId="164" fontId="4" fillId="0" borderId="0" xfId="0" applyNumberFormat="1" applyFont="1"/>
    <xf numFmtId="164" fontId="4" fillId="6" borderId="5" xfId="0" applyNumberFormat="1" applyFont="1" applyFill="1" applyBorder="1"/>
    <xf numFmtId="164" fontId="4" fillId="11" borderId="5" xfId="0" applyNumberFormat="1" applyFont="1" applyFill="1" applyBorder="1"/>
    <xf numFmtId="164" fontId="4" fillId="12" borderId="5" xfId="1" applyNumberFormat="1" applyFont="1" applyFill="1" applyBorder="1"/>
    <xf numFmtId="0" fontId="21" fillId="13" borderId="4" xfId="0" applyFont="1" applyFill="1" applyBorder="1" applyAlignment="1">
      <alignment horizontal="center"/>
    </xf>
    <xf numFmtId="164" fontId="4" fillId="14" borderId="5" xfId="1" applyNumberFormat="1" applyFont="1" applyFill="1" applyBorder="1"/>
    <xf numFmtId="0" fontId="0" fillId="11" borderId="0" xfId="0" applyFill="1" applyAlignment="1">
      <alignment horizontal="left" indent="1"/>
    </xf>
    <xf numFmtId="10" fontId="4" fillId="0" borderId="5" xfId="3" applyNumberFormat="1" applyFont="1" applyFill="1" applyBorder="1"/>
    <xf numFmtId="165" fontId="5" fillId="7" borderId="0" xfId="0" applyNumberFormat="1" applyFont="1" applyFill="1" applyAlignment="1">
      <alignment horizontal="right" vertical="center"/>
    </xf>
    <xf numFmtId="164" fontId="16" fillId="0" borderId="0" xfId="0" applyNumberFormat="1" applyFont="1"/>
    <xf numFmtId="43" fontId="0" fillId="0" borderId="0" xfId="0" applyNumberFormat="1"/>
    <xf numFmtId="0" fontId="10" fillId="0" borderId="3" xfId="0" applyFont="1" applyBorder="1"/>
    <xf numFmtId="168" fontId="9" fillId="0" borderId="0" xfId="0" applyNumberFormat="1" applyFont="1"/>
    <xf numFmtId="164" fontId="9" fillId="15" borderId="0" xfId="1" applyNumberFormat="1" applyFont="1" applyFill="1"/>
    <xf numFmtId="164" fontId="10" fillId="15" borderId="0" xfId="0" applyNumberFormat="1" applyFont="1" applyFill="1"/>
    <xf numFmtId="164" fontId="16" fillId="15" borderId="0" xfId="1" applyNumberFormat="1" applyFont="1" applyFill="1"/>
    <xf numFmtId="164" fontId="16" fillId="15" borderId="3" xfId="1" applyNumberFormat="1" applyFont="1" applyFill="1" applyBorder="1"/>
    <xf numFmtId="164" fontId="9" fillId="15" borderId="0" xfId="0" applyNumberFormat="1" applyFont="1" applyFill="1"/>
    <xf numFmtId="164" fontId="9" fillId="15" borderId="3" xfId="0" applyNumberFormat="1" applyFont="1" applyFill="1" applyBorder="1"/>
    <xf numFmtId="10" fontId="11" fillId="15" borderId="0" xfId="3" applyNumberFormat="1" applyFont="1" applyFill="1"/>
    <xf numFmtId="164" fontId="16" fillId="15" borderId="3" xfId="0" applyNumberFormat="1" applyFont="1" applyFill="1" applyBorder="1"/>
    <xf numFmtId="164" fontId="16" fillId="15" borderId="0" xfId="0" applyNumberFormat="1" applyFont="1" applyFill="1"/>
    <xf numFmtId="164" fontId="12" fillId="15" borderId="0" xfId="0" applyNumberFormat="1" applyFont="1" applyFill="1"/>
    <xf numFmtId="10" fontId="12" fillId="15" borderId="3" xfId="3" applyNumberFormat="1" applyFont="1" applyFill="1" applyBorder="1"/>
    <xf numFmtId="10" fontId="13" fillId="15" borderId="0" xfId="3" applyNumberFormat="1" applyFont="1" applyFill="1"/>
    <xf numFmtId="0" fontId="9" fillId="15" borderId="3" xfId="0" applyFont="1" applyFill="1" applyBorder="1"/>
    <xf numFmtId="164" fontId="12" fillId="15" borderId="0" xfId="3" applyNumberFormat="1" applyFont="1" applyFill="1" applyBorder="1"/>
    <xf numFmtId="9" fontId="9" fillId="15" borderId="0" xfId="3" applyFont="1" applyFill="1"/>
    <xf numFmtId="164" fontId="33" fillId="0" borderId="5" xfId="1" applyNumberFormat="1" applyFont="1" applyFill="1" applyBorder="1"/>
    <xf numFmtId="1" fontId="25" fillId="16" borderId="5" xfId="1" applyNumberFormat="1" applyFont="1" applyFill="1" applyBorder="1" applyAlignment="1">
      <alignment horizontal="center"/>
    </xf>
    <xf numFmtId="164" fontId="4" fillId="13" borderId="5" xfId="1" applyNumberFormat="1" applyFont="1" applyFill="1" applyBorder="1"/>
    <xf numFmtId="17" fontId="0" fillId="0" borderId="0" xfId="0" applyNumberFormat="1"/>
    <xf numFmtId="0" fontId="0" fillId="17" borderId="0" xfId="0" applyFill="1"/>
    <xf numFmtId="169" fontId="0" fillId="0" borderId="0" xfId="0" applyNumberFormat="1"/>
    <xf numFmtId="4" fontId="35" fillId="0" borderId="0" xfId="4" applyNumberFormat="1"/>
    <xf numFmtId="169" fontId="36" fillId="0" borderId="0" xfId="4" applyNumberFormat="1" applyFont="1" applyAlignment="1">
      <alignment horizontal="right" vertical="top"/>
    </xf>
    <xf numFmtId="0" fontId="37" fillId="0" borderId="0" xfId="4" applyFont="1" applyAlignment="1">
      <alignment horizontal="left" vertical="top"/>
    </xf>
    <xf numFmtId="0" fontId="35" fillId="0" borderId="0" xfId="4"/>
    <xf numFmtId="4" fontId="36" fillId="0" borderId="0" xfId="4" applyNumberFormat="1" applyFont="1" applyAlignment="1">
      <alignment horizontal="right" vertical="top"/>
    </xf>
    <xf numFmtId="49" fontId="36" fillId="0" borderId="0" xfId="4" applyNumberFormat="1" applyFont="1" applyAlignment="1">
      <alignment horizontal="left" vertical="top"/>
    </xf>
    <xf numFmtId="169" fontId="36" fillId="0" borderId="0" xfId="4" applyNumberFormat="1" applyFont="1" applyAlignment="1">
      <alignment horizontal="left" vertical="top"/>
    </xf>
    <xf numFmtId="0" fontId="36" fillId="0" borderId="0" xfId="4" applyFont="1" applyAlignment="1">
      <alignment horizontal="left" vertical="top"/>
    </xf>
    <xf numFmtId="169" fontId="38" fillId="0" borderId="0" xfId="4" applyNumberFormat="1" applyFont="1" applyAlignment="1">
      <alignment horizontal="left" vertical="top"/>
    </xf>
    <xf numFmtId="169" fontId="35" fillId="0" borderId="0" xfId="4" applyNumberFormat="1"/>
    <xf numFmtId="49" fontId="39" fillId="0" borderId="0" xfId="4" applyNumberFormat="1" applyFont="1" applyAlignment="1">
      <alignment horizontal="left" vertical="top"/>
    </xf>
    <xf numFmtId="49" fontId="40" fillId="0" borderId="0" xfId="4" applyNumberFormat="1" applyFont="1" applyAlignment="1">
      <alignment horizontal="left" vertical="top"/>
    </xf>
    <xf numFmtId="49" fontId="41" fillId="0" borderId="0" xfId="4" applyNumberFormat="1" applyFont="1" applyAlignment="1">
      <alignment horizontal="center" vertical="top"/>
    </xf>
    <xf numFmtId="169" fontId="41" fillId="0" borderId="0" xfId="4" applyNumberFormat="1" applyFont="1" applyAlignment="1">
      <alignment horizontal="right" vertical="top"/>
    </xf>
    <xf numFmtId="0" fontId="35" fillId="0" borderId="0" xfId="4" applyAlignment="1">
      <alignment horizontal="center"/>
    </xf>
    <xf numFmtId="164" fontId="0" fillId="0" borderId="3" xfId="1" applyNumberFormat="1" applyFont="1" applyBorder="1"/>
    <xf numFmtId="164" fontId="0" fillId="13" borderId="5" xfId="1" applyNumberFormat="1" applyFont="1" applyFill="1" applyBorder="1"/>
    <xf numFmtId="164" fontId="10" fillId="0" borderId="0" xfId="1" applyNumberFormat="1" applyFont="1" applyFill="1" applyBorder="1"/>
    <xf numFmtId="164" fontId="0" fillId="0" borderId="3" xfId="0" applyNumberFormat="1" applyBorder="1"/>
    <xf numFmtId="0" fontId="28" fillId="0" borderId="3" xfId="0" applyFont="1" applyBorder="1"/>
    <xf numFmtId="0" fontId="28" fillId="0" borderId="0" xfId="0" applyFont="1" applyAlignment="1">
      <alignment horizontal="left" indent="1"/>
    </xf>
    <xf numFmtId="0" fontId="28" fillId="0" borderId="3" xfId="0" applyFont="1" applyBorder="1" applyAlignment="1">
      <alignment horizontal="left" indent="1"/>
    </xf>
    <xf numFmtId="164" fontId="7" fillId="0" borderId="3" xfId="1" applyNumberFormat="1" applyFont="1" applyBorder="1"/>
    <xf numFmtId="164" fontId="7" fillId="0" borderId="0" xfId="1" applyNumberFormat="1" applyFont="1" applyFill="1"/>
    <xf numFmtId="164" fontId="7" fillId="0" borderId="0" xfId="1" applyNumberFormat="1" applyFont="1" applyBorder="1"/>
    <xf numFmtId="164" fontId="7" fillId="0" borderId="0" xfId="0" applyNumberFormat="1" applyFont="1"/>
    <xf numFmtId="164" fontId="7" fillId="0" borderId="3" xfId="0" applyNumberFormat="1" applyFont="1" applyBorder="1"/>
    <xf numFmtId="0" fontId="7" fillId="0" borderId="3" xfId="0" applyFont="1" applyBorder="1"/>
    <xf numFmtId="0" fontId="43" fillId="0" borderId="0" xfId="0" applyFont="1"/>
    <xf numFmtId="0" fontId="44" fillId="0" borderId="0" xfId="0" applyFont="1"/>
    <xf numFmtId="10" fontId="44" fillId="0" borderId="0" xfId="3" applyNumberFormat="1" applyFont="1"/>
    <xf numFmtId="164" fontId="0" fillId="0" borderId="3" xfId="1" applyNumberFormat="1" applyFont="1" applyFill="1" applyBorder="1"/>
    <xf numFmtId="0" fontId="0" fillId="0" borderId="0" xfId="0" applyAlignment="1">
      <alignment horizontal="right"/>
    </xf>
    <xf numFmtId="164" fontId="4" fillId="0" borderId="0" xfId="1" applyNumberFormat="1" applyFont="1" applyAlignment="1">
      <alignment horizontal="right"/>
    </xf>
    <xf numFmtId="164" fontId="4" fillId="0" borderId="3" xfId="1" applyNumberFormat="1" applyFont="1" applyBorder="1" applyAlignment="1">
      <alignment horizontal="right"/>
    </xf>
    <xf numFmtId="10" fontId="43" fillId="0" borderId="0" xfId="3" applyNumberFormat="1" applyFont="1" applyAlignment="1">
      <alignment horizontal="right"/>
    </xf>
    <xf numFmtId="164" fontId="4" fillId="0" borderId="0" xfId="1" applyNumberFormat="1" applyFont="1" applyFill="1" applyAlignment="1">
      <alignment horizontal="right"/>
    </xf>
    <xf numFmtId="164" fontId="4" fillId="0" borderId="0" xfId="1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3" xfId="0" applyNumberFormat="1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0" fillId="18" borderId="0" xfId="0" applyFill="1"/>
    <xf numFmtId="10" fontId="0" fillId="0" borderId="1" xfId="3" applyNumberFormat="1" applyFont="1" applyBorder="1"/>
    <xf numFmtId="164" fontId="0" fillId="0" borderId="1" xfId="1" applyNumberFormat="1" applyFont="1" applyFill="1" applyBorder="1"/>
    <xf numFmtId="0" fontId="4" fillId="0" borderId="1" xfId="0" applyFont="1" applyBorder="1"/>
    <xf numFmtId="0" fontId="34" fillId="18" borderId="0" xfId="0" applyFont="1" applyFill="1"/>
    <xf numFmtId="10" fontId="34" fillId="0" borderId="1" xfId="3" applyNumberFormat="1" applyFont="1" applyBorder="1"/>
    <xf numFmtId="0" fontId="0" fillId="19" borderId="0" xfId="0" applyFill="1"/>
    <xf numFmtId="164" fontId="17" fillId="20" borderId="5" xfId="1" applyNumberFormat="1" applyFont="1" applyFill="1" applyBorder="1"/>
    <xf numFmtId="9" fontId="13" fillId="0" borderId="0" xfId="3" applyFont="1"/>
    <xf numFmtId="9" fontId="13" fillId="0" borderId="0" xfId="3" applyFont="1" applyFill="1"/>
    <xf numFmtId="9" fontId="13" fillId="0" borderId="0" xfId="3" applyFont="1" applyBorder="1"/>
    <xf numFmtId="164" fontId="4" fillId="12" borderId="0" xfId="1" applyNumberFormat="1" applyFont="1" applyFill="1" applyBorder="1"/>
    <xf numFmtId="164" fontId="4" fillId="2" borderId="0" xfId="1" applyNumberFormat="1" applyFont="1" applyFill="1" applyBorder="1"/>
    <xf numFmtId="164" fontId="4" fillId="14" borderId="0" xfId="1" applyNumberFormat="1" applyFont="1" applyFill="1" applyBorder="1"/>
    <xf numFmtId="164" fontId="3" fillId="0" borderId="0" xfId="1" applyNumberFormat="1" applyFont="1" applyFill="1" applyBorder="1"/>
    <xf numFmtId="164" fontId="29" fillId="0" borderId="0" xfId="1" applyNumberFormat="1" applyFont="1" applyFill="1" applyBorder="1"/>
    <xf numFmtId="164" fontId="3" fillId="0" borderId="0" xfId="1" applyNumberFormat="1" applyFont="1" applyBorder="1"/>
    <xf numFmtId="164" fontId="15" fillId="0" borderId="0" xfId="1" applyNumberFormat="1" applyFont="1" applyBorder="1"/>
    <xf numFmtId="0" fontId="15" fillId="0" borderId="0" xfId="0" applyFont="1"/>
    <xf numFmtId="43" fontId="0" fillId="0" borderId="0" xfId="1" applyFont="1" applyBorder="1"/>
    <xf numFmtId="164" fontId="17" fillId="5" borderId="0" xfId="1" applyNumberFormat="1" applyFont="1" applyFill="1" applyBorder="1"/>
    <xf numFmtId="164" fontId="31" fillId="5" borderId="0" xfId="1" applyNumberFormat="1" applyFont="1" applyFill="1" applyBorder="1"/>
    <xf numFmtId="1" fontId="25" fillId="8" borderId="0" xfId="1" applyNumberFormat="1" applyFont="1" applyFill="1" applyBorder="1" applyAlignment="1">
      <alignment horizontal="center"/>
    </xf>
    <xf numFmtId="167" fontId="8" fillId="0" borderId="0" xfId="1" applyNumberFormat="1" applyFont="1" applyFill="1" applyBorder="1" applyAlignment="1">
      <alignment horizontal="center"/>
    </xf>
    <xf numFmtId="1" fontId="0" fillId="0" borderId="0" xfId="0" applyNumberFormat="1"/>
    <xf numFmtId="10" fontId="4" fillId="2" borderId="0" xfId="3" applyNumberFormat="1" applyFont="1" applyFill="1" applyBorder="1" applyAlignment="1">
      <alignment horizontal="center"/>
    </xf>
    <xf numFmtId="164" fontId="4" fillId="5" borderId="0" xfId="0" applyNumberFormat="1" applyFont="1" applyFill="1"/>
    <xf numFmtId="164" fontId="4" fillId="6" borderId="0" xfId="0" applyNumberFormat="1" applyFont="1" applyFill="1"/>
    <xf numFmtId="164" fontId="4" fillId="11" borderId="0" xfId="0" applyNumberFormat="1" applyFont="1" applyFill="1"/>
    <xf numFmtId="10" fontId="0" fillId="0" borderId="0" xfId="3" applyNumberFormat="1" applyFont="1" applyFill="1"/>
    <xf numFmtId="164" fontId="25" fillId="12" borderId="5" xfId="1" applyNumberFormat="1" applyFont="1" applyFill="1" applyBorder="1"/>
    <xf numFmtId="164" fontId="26" fillId="21" borderId="5" xfId="1" applyNumberFormat="1" applyFont="1" applyFill="1" applyBorder="1"/>
    <xf numFmtId="0" fontId="0" fillId="13" borderId="0" xfId="0" applyFill="1" applyAlignment="1">
      <alignment horizontal="left" indent="1"/>
    </xf>
    <xf numFmtId="164" fontId="3" fillId="13" borderId="5" xfId="1" applyNumberFormat="1" applyFont="1" applyFill="1" applyBorder="1"/>
    <xf numFmtId="164" fontId="3" fillId="13" borderId="0" xfId="1" applyNumberFormat="1" applyFont="1" applyFill="1" applyBorder="1"/>
    <xf numFmtId="164" fontId="4" fillId="22" borderId="5" xfId="1" applyNumberFormat="1" applyFont="1" applyFill="1" applyBorder="1"/>
    <xf numFmtId="164" fontId="7" fillId="0" borderId="5" xfId="1" applyNumberFormat="1" applyFont="1" applyFill="1" applyBorder="1"/>
    <xf numFmtId="164" fontId="7" fillId="22" borderId="5" xfId="1" applyNumberFormat="1" applyFont="1" applyFill="1" applyBorder="1"/>
    <xf numFmtId="164" fontId="19" fillId="0" borderId="0" xfId="1" applyNumberFormat="1" applyFont="1" applyFill="1" applyBorder="1" applyAlignment="1">
      <alignment horizontal="center" vertical="center"/>
    </xf>
    <xf numFmtId="170" fontId="19" fillId="0" borderId="0" xfId="3" applyNumberFormat="1" applyFont="1" applyFill="1" applyBorder="1" applyAlignment="1">
      <alignment horizontal="center" vertical="center"/>
    </xf>
    <xf numFmtId="164" fontId="0" fillId="23" borderId="5" xfId="1" applyNumberFormat="1" applyFont="1" applyFill="1" applyBorder="1"/>
    <xf numFmtId="164" fontId="4" fillId="23" borderId="5" xfId="1" applyNumberFormat="1" applyFont="1" applyFill="1" applyBorder="1"/>
    <xf numFmtId="164" fontId="4" fillId="0" borderId="5" xfId="1" applyNumberFormat="1" applyFont="1" applyBorder="1"/>
    <xf numFmtId="164" fontId="3" fillId="23" borderId="5" xfId="1" applyNumberFormat="1" applyFont="1" applyFill="1" applyBorder="1"/>
    <xf numFmtId="164" fontId="3" fillId="23" borderId="0" xfId="1" applyNumberFormat="1" applyFont="1" applyFill="1" applyBorder="1"/>
    <xf numFmtId="0" fontId="14" fillId="0" borderId="0" xfId="0" applyFont="1"/>
    <xf numFmtId="164" fontId="14" fillId="0" borderId="0" xfId="0" applyNumberFormat="1" applyFont="1"/>
    <xf numFmtId="10" fontId="14" fillId="0" borderId="0" xfId="0" applyNumberFormat="1" applyFont="1"/>
    <xf numFmtId="164" fontId="0" fillId="24" borderId="5" xfId="1" applyNumberFormat="1" applyFont="1" applyFill="1" applyBorder="1"/>
    <xf numFmtId="164" fontId="3" fillId="24" borderId="5" xfId="1" applyNumberFormat="1" applyFont="1" applyFill="1" applyBorder="1"/>
    <xf numFmtId="164" fontId="3" fillId="7" borderId="5" xfId="1" applyNumberFormat="1" applyFont="1" applyFill="1" applyBorder="1"/>
    <xf numFmtId="9" fontId="0" fillId="0" borderId="0" xfId="0" applyNumberFormat="1"/>
    <xf numFmtId="8" fontId="9" fillId="0" borderId="0" xfId="0" applyNumberFormat="1" applyFont="1"/>
    <xf numFmtId="9" fontId="9" fillId="0" borderId="0" xfId="3" applyFont="1" applyFill="1"/>
    <xf numFmtId="164" fontId="16" fillId="7" borderId="3" xfId="1" applyNumberFormat="1" applyFont="1" applyFill="1" applyBorder="1"/>
    <xf numFmtId="164" fontId="17" fillId="13" borderId="5" xfId="1" applyNumberFormat="1" applyFont="1" applyFill="1" applyBorder="1"/>
    <xf numFmtId="164" fontId="48" fillId="0" borderId="0" xfId="1" applyNumberFormat="1" applyFont="1"/>
    <xf numFmtId="10" fontId="48" fillId="0" borderId="0" xfId="0" applyNumberFormat="1" applyFont="1"/>
    <xf numFmtId="8" fontId="0" fillId="0" borderId="0" xfId="0" applyNumberFormat="1"/>
    <xf numFmtId="3" fontId="0" fillId="0" borderId="1" xfId="0" applyNumberFormat="1" applyBorder="1"/>
    <xf numFmtId="3" fontId="0" fillId="0" borderId="0" xfId="0" applyNumberFormat="1"/>
    <xf numFmtId="6" fontId="0" fillId="0" borderId="0" xfId="0" applyNumberFormat="1"/>
    <xf numFmtId="9" fontId="0" fillId="0" borderId="0" xfId="3" applyFont="1" applyBorder="1"/>
    <xf numFmtId="164" fontId="8" fillId="0" borderId="0" xfId="1" applyNumberFormat="1" applyFont="1" applyFill="1"/>
    <xf numFmtId="14" fontId="0" fillId="0" borderId="0" xfId="1" applyNumberFormat="1" applyFont="1"/>
    <xf numFmtId="164" fontId="25" fillId="2" borderId="0" xfId="1" applyNumberFormat="1" applyFont="1" applyFill="1" applyBorder="1"/>
    <xf numFmtId="164" fontId="26" fillId="5" borderId="0" xfId="1" applyNumberFormat="1" applyFont="1" applyFill="1" applyBorder="1"/>
    <xf numFmtId="164" fontId="17" fillId="6" borderId="0" xfId="1" applyNumberFormat="1" applyFont="1" applyFill="1" applyBorder="1"/>
    <xf numFmtId="165" fontId="6" fillId="0" borderId="6" xfId="0" applyNumberFormat="1" applyFont="1" applyBorder="1" applyAlignment="1">
      <alignment horizontal="right" vertical="center"/>
    </xf>
    <xf numFmtId="165" fontId="0" fillId="0" borderId="0" xfId="0" applyNumberFormat="1"/>
    <xf numFmtId="164" fontId="4" fillId="0" borderId="0" xfId="1" applyNumberFormat="1" applyFont="1" applyBorder="1"/>
    <xf numFmtId="164" fontId="4" fillId="13" borderId="0" xfId="1" applyNumberFormat="1" applyFont="1" applyFill="1" applyBorder="1"/>
    <xf numFmtId="0" fontId="0" fillId="15" borderId="0" xfId="0" applyFill="1"/>
    <xf numFmtId="0" fontId="0" fillId="25" borderId="0" xfId="0" applyFill="1"/>
    <xf numFmtId="164" fontId="0" fillId="25" borderId="0" xfId="1" applyNumberFormat="1" applyFont="1" applyFill="1"/>
    <xf numFmtId="164" fontId="0" fillId="15" borderId="0" xfId="1" applyNumberFormat="1" applyFont="1" applyFill="1"/>
    <xf numFmtId="9" fontId="4" fillId="0" borderId="0" xfId="3" applyFont="1" applyBorder="1"/>
    <xf numFmtId="0" fontId="0" fillId="0" borderId="3" xfId="0" applyBorder="1" applyAlignment="1">
      <alignment horizontal="left" indent="1"/>
    </xf>
    <xf numFmtId="0" fontId="4" fillId="25" borderId="3" xfId="0" applyFont="1" applyFill="1" applyBorder="1"/>
    <xf numFmtId="164" fontId="0" fillId="25" borderId="0" xfId="0" applyNumberFormat="1" applyFill="1"/>
    <xf numFmtId="164" fontId="49" fillId="25" borderId="0" xfId="0" applyNumberFormat="1" applyFont="1" applyFill="1"/>
    <xf numFmtId="164" fontId="49" fillId="25" borderId="3" xfId="0" applyNumberFormat="1" applyFont="1" applyFill="1" applyBorder="1"/>
    <xf numFmtId="164" fontId="4" fillId="25" borderId="0" xfId="1" applyNumberFormat="1" applyFont="1" applyFill="1" applyBorder="1"/>
    <xf numFmtId="9" fontId="4" fillId="25" borderId="0" xfId="3" applyFont="1" applyFill="1" applyBorder="1"/>
    <xf numFmtId="9" fontId="0" fillId="25" borderId="0" xfId="3" applyFont="1" applyFill="1" applyBorder="1"/>
    <xf numFmtId="164" fontId="0" fillId="25" borderId="0" xfId="1" applyNumberFormat="1" applyFont="1" applyFill="1" applyBorder="1"/>
    <xf numFmtId="9" fontId="0" fillId="25" borderId="0" xfId="3" applyFont="1" applyFill="1"/>
    <xf numFmtId="43" fontId="0" fillId="25" borderId="0" xfId="0" applyNumberFormat="1" applyFill="1"/>
    <xf numFmtId="164" fontId="8" fillId="0" borderId="0" xfId="0" applyNumberFormat="1" applyFont="1"/>
    <xf numFmtId="164" fontId="8" fillId="25" borderId="0" xfId="0" applyNumberFormat="1" applyFont="1" applyFill="1"/>
    <xf numFmtId="164" fontId="25" fillId="25" borderId="0" xfId="0" applyNumberFormat="1" applyFont="1" applyFill="1"/>
    <xf numFmtId="164" fontId="49" fillId="26" borderId="0" xfId="0" applyNumberFormat="1" applyFont="1" applyFill="1"/>
    <xf numFmtId="0" fontId="4" fillId="17" borderId="0" xfId="0" applyFont="1" applyFill="1"/>
    <xf numFmtId="164" fontId="4" fillId="25" borderId="0" xfId="0" applyNumberFormat="1" applyFont="1" applyFill="1"/>
    <xf numFmtId="164" fontId="52" fillId="0" borderId="0" xfId="1" applyNumberFormat="1" applyFont="1" applyFill="1"/>
    <xf numFmtId="164" fontId="52" fillId="0" borderId="3" xfId="1" applyNumberFormat="1" applyFont="1" applyFill="1" applyBorder="1"/>
    <xf numFmtId="164" fontId="53" fillId="0" borderId="0" xfId="0" applyNumberFormat="1" applyFont="1"/>
    <xf numFmtId="10" fontId="54" fillId="0" borderId="0" xfId="3" applyNumberFormat="1" applyFont="1" applyFill="1"/>
    <xf numFmtId="10" fontId="54" fillId="0" borderId="0" xfId="3" applyNumberFormat="1" applyFont="1"/>
    <xf numFmtId="10" fontId="53" fillId="0" borderId="3" xfId="3" applyNumberFormat="1" applyFont="1" applyFill="1" applyBorder="1"/>
    <xf numFmtId="10" fontId="53" fillId="0" borderId="3" xfId="3" applyNumberFormat="1" applyFont="1" applyBorder="1"/>
    <xf numFmtId="164" fontId="55" fillId="0" borderId="0" xfId="1" applyNumberFormat="1" applyFont="1" applyFill="1"/>
    <xf numFmtId="164" fontId="55" fillId="0" borderId="3" xfId="1" applyNumberFormat="1" applyFont="1" applyFill="1" applyBorder="1"/>
    <xf numFmtId="164" fontId="55" fillId="0" borderId="0" xfId="0" applyNumberFormat="1" applyFont="1"/>
    <xf numFmtId="10" fontId="56" fillId="0" borderId="0" xfId="3" applyNumberFormat="1" applyFont="1"/>
    <xf numFmtId="10" fontId="55" fillId="0" borderId="0" xfId="3" applyNumberFormat="1" applyFont="1" applyFill="1"/>
    <xf numFmtId="0" fontId="16" fillId="0" borderId="0" xfId="0" applyFont="1"/>
    <xf numFmtId="9" fontId="55" fillId="0" borderId="0" xfId="3" applyFont="1" applyFill="1"/>
    <xf numFmtId="10" fontId="55" fillId="0" borderId="3" xfId="3" applyNumberFormat="1" applyFont="1" applyBorder="1"/>
    <xf numFmtId="164" fontId="55" fillId="0" borderId="0" xfId="1" applyNumberFormat="1" applyFont="1" applyFill="1" applyBorder="1"/>
    <xf numFmtId="10" fontId="57" fillId="0" borderId="0" xfId="3" applyNumberFormat="1" applyFont="1"/>
    <xf numFmtId="164" fontId="0" fillId="7" borderId="0" xfId="1" applyNumberFormat="1" applyFont="1" applyFill="1"/>
    <xf numFmtId="0" fontId="58" fillId="0" borderId="0" xfId="0" applyFont="1"/>
    <xf numFmtId="0" fontId="59" fillId="0" borderId="3" xfId="0" applyFont="1" applyBorder="1"/>
    <xf numFmtId="0" fontId="59" fillId="0" borderId="0" xfId="0" applyFont="1"/>
    <xf numFmtId="0" fontId="60" fillId="0" borderId="0" xfId="0" applyFont="1"/>
    <xf numFmtId="164" fontId="55" fillId="7" borderId="0" xfId="1" applyNumberFormat="1" applyFont="1" applyFill="1"/>
    <xf numFmtId="164" fontId="55" fillId="7" borderId="3" xfId="1" applyNumberFormat="1" applyFont="1" applyFill="1" applyBorder="1"/>
    <xf numFmtId="9" fontId="61" fillId="0" borderId="0" xfId="3" applyFont="1" applyAlignment="1">
      <alignment horizontal="center" vertical="center"/>
    </xf>
    <xf numFmtId="10" fontId="11" fillId="7" borderId="0" xfId="3" applyNumberFormat="1" applyFont="1" applyFill="1"/>
    <xf numFmtId="164" fontId="55" fillId="7" borderId="0" xfId="0" applyNumberFormat="1" applyFont="1" applyFill="1"/>
    <xf numFmtId="10" fontId="55" fillId="7" borderId="3" xfId="3" applyNumberFormat="1" applyFont="1" applyFill="1" applyBorder="1"/>
    <xf numFmtId="10" fontId="56" fillId="7" borderId="0" xfId="3" applyNumberFormat="1" applyFont="1" applyFill="1"/>
    <xf numFmtId="10" fontId="55" fillId="7" borderId="0" xfId="3" applyNumberFormat="1" applyFont="1" applyFill="1"/>
    <xf numFmtId="164" fontId="62" fillId="27" borderId="5" xfId="1" applyNumberFormat="1" applyFont="1" applyFill="1" applyBorder="1"/>
    <xf numFmtId="164" fontId="0" fillId="27" borderId="0" xfId="1" applyNumberFormat="1" applyFont="1" applyFill="1" applyBorder="1"/>
    <xf numFmtId="164" fontId="63" fillId="27" borderId="0" xfId="1" applyNumberFormat="1" applyFont="1" applyFill="1" applyBorder="1"/>
    <xf numFmtId="10" fontId="57" fillId="7" borderId="0" xfId="3" applyNumberFormat="1" applyFont="1" applyFill="1"/>
    <xf numFmtId="164" fontId="49" fillId="7" borderId="0" xfId="0" applyNumberFormat="1" applyFont="1" applyFill="1"/>
    <xf numFmtId="164" fontId="49" fillId="4" borderId="0" xfId="0" applyNumberFormat="1" applyFont="1" applyFill="1"/>
    <xf numFmtId="0" fontId="1" fillId="0" borderId="0" xfId="0" applyFont="1"/>
    <xf numFmtId="0" fontId="65" fillId="0" borderId="0" xfId="0" applyFont="1"/>
    <xf numFmtId="43" fontId="66" fillId="17" borderId="1" xfId="1" applyFont="1" applyFill="1" applyBorder="1"/>
    <xf numFmtId="0" fontId="67" fillId="0" borderId="0" xfId="0" applyFont="1"/>
    <xf numFmtId="0" fontId="65" fillId="0" borderId="0" xfId="0" applyFont="1" applyAlignment="1">
      <alignment vertical="center"/>
    </xf>
    <xf numFmtId="0" fontId="65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8" fillId="0" borderId="0" xfId="0" quotePrefix="1" applyFont="1" applyAlignment="1">
      <alignment horizontal="center" vertical="center"/>
    </xf>
    <xf numFmtId="164" fontId="1" fillId="0" borderId="0" xfId="1" applyNumberFormat="1" applyFont="1"/>
    <xf numFmtId="164" fontId="66" fillId="17" borderId="1" xfId="1" applyNumberFormat="1" applyFont="1" applyFill="1" applyBorder="1"/>
    <xf numFmtId="164" fontId="69" fillId="0" borderId="0" xfId="1" applyNumberFormat="1" applyFont="1"/>
    <xf numFmtId="164" fontId="69" fillId="0" borderId="0" xfId="1" applyNumberFormat="1" applyFont="1" applyFill="1"/>
    <xf numFmtId="166" fontId="4" fillId="0" borderId="0" xfId="0" applyNumberFormat="1" applyFont="1"/>
    <xf numFmtId="164" fontId="66" fillId="28" borderId="1" xfId="1" applyNumberFormat="1" applyFont="1" applyFill="1" applyBorder="1"/>
    <xf numFmtId="0" fontId="4" fillId="13" borderId="0" xfId="0" applyFont="1" applyFill="1" applyAlignment="1">
      <alignment horizontal="left" indent="1"/>
    </xf>
    <xf numFmtId="164" fontId="4" fillId="24" borderId="5" xfId="1" applyNumberFormat="1" applyFont="1" applyFill="1" applyBorder="1"/>
    <xf numFmtId="164" fontId="9" fillId="0" borderId="3" xfId="1" applyNumberFormat="1" applyFont="1" applyBorder="1"/>
    <xf numFmtId="164" fontId="55" fillId="7" borderId="0" xfId="3" applyNumberFormat="1" applyFont="1" applyFill="1"/>
    <xf numFmtId="43" fontId="1" fillId="0" borderId="0" xfId="0" applyNumberFormat="1" applyFont="1"/>
    <xf numFmtId="164" fontId="70" fillId="0" borderId="0" xfId="0" applyNumberFormat="1" applyFont="1"/>
    <xf numFmtId="10" fontId="70" fillId="0" borderId="3" xfId="3" applyNumberFormat="1" applyFont="1" applyBorder="1"/>
    <xf numFmtId="164" fontId="70" fillId="0" borderId="0" xfId="3" applyNumberFormat="1" applyFont="1" applyBorder="1"/>
    <xf numFmtId="164" fontId="52" fillId="22" borderId="0" xfId="1" applyNumberFormat="1" applyFont="1" applyFill="1"/>
    <xf numFmtId="164" fontId="52" fillId="0" borderId="3" xfId="0" applyNumberFormat="1" applyFont="1" applyBorder="1"/>
    <xf numFmtId="0" fontId="35" fillId="0" borderId="0" xfId="4" applyAlignment="1">
      <alignment horizontal="center"/>
    </xf>
    <xf numFmtId="49" fontId="42" fillId="0" borderId="0" xfId="4" applyNumberFormat="1" applyFont="1" applyAlignment="1">
      <alignment horizontal="center" vertical="top"/>
    </xf>
    <xf numFmtId="0" fontId="58" fillId="0" borderId="0" xfId="0" applyFont="1" applyAlignment="1">
      <alignment horizontal="left" vertical="center" wrapText="1"/>
    </xf>
    <xf numFmtId="0" fontId="45" fillId="0" borderId="0" xfId="0" applyFont="1" applyAlignment="1">
      <alignment horizontal="center" vertical="center" wrapText="1"/>
    </xf>
    <xf numFmtId="3" fontId="45" fillId="0" borderId="0" xfId="0" applyNumberFormat="1" applyFont="1" applyAlignment="1">
      <alignment horizontal="center" vertical="center" wrapText="1"/>
    </xf>
    <xf numFmtId="3" fontId="47" fillId="0" borderId="0" xfId="0" applyNumberFormat="1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</cellXfs>
  <cellStyles count="5">
    <cellStyle name="Millares" xfId="1" builtinId="3"/>
    <cellStyle name="Moneda" xfId="2" builtinId="4"/>
    <cellStyle name="Normal" xfId="0" builtinId="0"/>
    <cellStyle name="Normal 2" xfId="4" xr:uid="{5C873749-6F03-4D6D-AF9C-C466E493B630}"/>
    <cellStyle name="Porcentaje" xfId="3" builtinId="5"/>
  </cellStyles>
  <dxfs count="312">
    <dxf>
      <font>
        <color rgb="FFFF0000"/>
      </font>
    </dxf>
    <dxf>
      <font>
        <color rgb="FF006100"/>
      </font>
      <fill>
        <patternFill>
          <bgColor theme="7" tint="0.39994506668294322"/>
        </patternFill>
      </fill>
    </dxf>
    <dxf>
      <font>
        <color rgb="FF9C0006"/>
      </font>
      <fill>
        <patternFill patternType="solid"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7" tint="0.39994506668294322"/>
        </patternFill>
      </fill>
    </dxf>
    <dxf>
      <font>
        <color rgb="FF00610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theme="7" tint="0.39994506668294322"/>
        </patternFill>
      </fill>
    </dxf>
    <dxf>
      <font>
        <color rgb="FF9C0006"/>
      </font>
      <fill>
        <patternFill patternType="solid"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7" tint="0.39994506668294322"/>
        </patternFill>
      </fill>
    </dxf>
    <dxf>
      <font>
        <color rgb="FF00610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6100"/>
      </font>
      <fill>
        <patternFill>
          <bgColor theme="7" tint="0.39994506668294322"/>
        </patternFill>
      </fill>
    </dxf>
    <dxf>
      <font>
        <color rgb="FF9C0006"/>
      </font>
      <fill>
        <patternFill patternType="solid"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7" tint="0.39994506668294322"/>
        </patternFill>
      </fill>
    </dxf>
    <dxf>
      <font>
        <color rgb="FF00610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colors>
    <mruColors>
      <color rgb="FFFFCCCC"/>
      <color rgb="FF0000FF"/>
      <color rgb="FF008000"/>
      <color rgb="FF9BC2E6"/>
      <color rgb="FF0066FF"/>
      <color rgb="FFFFFFCC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42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microsoft.com/office/2017/10/relationships/person" Target="persons/person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onnections" Target="connections.xml"/><Relationship Id="rId38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200577</xdr:colOff>
      <xdr:row>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8E3938-775E-4008-8A9B-F5377E79F1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50" b="16542"/>
        <a:stretch/>
      </xdr:blipFill>
      <xdr:spPr>
        <a:xfrm>
          <a:off x="609600" y="0"/>
          <a:ext cx="2638977" cy="800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200577</xdr:colOff>
      <xdr:row>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AE2BB3-B9F6-4629-AB22-BD405E8513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50" b="16542"/>
        <a:stretch/>
      </xdr:blipFill>
      <xdr:spPr>
        <a:xfrm>
          <a:off x="609600" y="0"/>
          <a:ext cx="2638977" cy="800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0</xdr:rowOff>
    </xdr:from>
    <xdr:to>
      <xdr:col>1</xdr:col>
      <xdr:colOff>2871387</xdr:colOff>
      <xdr:row>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58AC07-26DE-48D0-B02E-4F92D3B403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50" b="16542"/>
        <a:stretch/>
      </xdr:blipFill>
      <xdr:spPr>
        <a:xfrm>
          <a:off x="850900" y="0"/>
          <a:ext cx="2638977" cy="8001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590645</xdr:colOff>
      <xdr:row>4</xdr:row>
      <xdr:rowOff>118241</xdr:rowOff>
    </xdr:from>
    <xdr:to>
      <xdr:col>17</xdr:col>
      <xdr:colOff>129153</xdr:colOff>
      <xdr:row>9</xdr:row>
      <xdr:rowOff>219834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1892CA-FFE1-400C-94BD-178BEE53C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9235" y="0"/>
          <a:ext cx="2822728" cy="114566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478972</xdr:colOff>
      <xdr:row>0</xdr:row>
      <xdr:rowOff>0</xdr:rowOff>
    </xdr:from>
    <xdr:to>
      <xdr:col>1</xdr:col>
      <xdr:colOff>3302182</xdr:colOff>
      <xdr:row>14</xdr:row>
      <xdr:rowOff>217294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4A3ED8-718F-4857-AFDE-B6474CFE8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052" y="0"/>
          <a:ext cx="2821940" cy="11456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478972</xdr:colOff>
      <xdr:row>0</xdr:row>
      <xdr:rowOff>0</xdr:rowOff>
    </xdr:from>
    <xdr:to>
      <xdr:col>2</xdr:col>
      <xdr:colOff>0</xdr:colOff>
      <xdr:row>4</xdr:row>
      <xdr:rowOff>217294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318643-89F0-BD7F-874A-CD83E6382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229" y="0"/>
          <a:ext cx="2819400" cy="11756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54fec5b432c09f8/Documents/Sesajal/2024/FO/Farmiral/Finanzas/Projeccion%20Linea%20Sesajal.xlsx" TargetMode="External"/><Relationship Id="rId1" Type="http://schemas.openxmlformats.org/officeDocument/2006/relationships/externalLinkPath" Target="https://d.docs.live.net/b54fec5b432c09f8/Documents/Sesajal/2024/FO/Farmiral/Finanzas/Projeccion%20Linea%20Sesaj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sajalmx.sharepoint.com/admfin/pf/Documentos%20compartidos/CIERRE%20MENSUAL/2023/P&amp;L%20+%20Capital%20de%20trabajo/CONSOLIDADO/(MFM)P&amp;L+Capitales%20de%20trabajo%20por%20UNE%20CONSOLIDADO%202023%20(FORECAST%206+6%20@%2017.00-17.50).xlsx" TargetMode="External"/><Relationship Id="rId1" Type="http://schemas.openxmlformats.org/officeDocument/2006/relationships/externalLinkPath" Target="https://d.docs.live.net/admfin/pf/Documentos%20compartidos/CIERRE%20MENSUAL/2023/P&amp;L%20+%20Capital%20de%20trabajo/CONSOLIDADO/(MFM)P&amp;L+Capitales%20de%20trabajo%20por%20UNE%20CONSOLIDADO%202023%20(FORECAST%206+6%20@%2017.00-17.5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Interest Ex Comp"/>
    </sheetNames>
    <sheetDataSet>
      <sheetData sheetId="0"/>
      <sheetData sheetId="1">
        <row r="6">
          <cell r="C6">
            <v>26325913.43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O 2023"/>
      <sheetName val="FEBRERO 2023"/>
      <sheetName val="MARZO 2023"/>
      <sheetName val="ABRIL 2023"/>
      <sheetName val="MAYO 2023"/>
      <sheetName val="JUNIO 2023"/>
      <sheetName val="JULIO 2023"/>
      <sheetName val="AGOSTO 2023"/>
      <sheetName val="SEPTIEMBRE 2023"/>
      <sheetName val="OCTUBRE 2023"/>
      <sheetName val="NOVIEMBRE 2023"/>
      <sheetName val="DICIEMBRE 2023"/>
      <sheetName val="CT"/>
      <sheetName val="CONSOLIDADO 2023"/>
      <sheetName val="ACT FIJO"/>
      <sheetName val="CXP"/>
      <sheetName val="CXC"/>
      <sheetName val="INVENTARIOS 2023"/>
      <sheetName val="Q1 Real vs Q1 BD"/>
      <sheetName val="P&amp;L CONSOLIDADO Mensual"/>
      <sheetName val="P&amp;L AGUACATE Mensual"/>
      <sheetName val="P&amp;L AJONJOLÍ"/>
      <sheetName val="P&amp;L DP Mensual"/>
      <sheetName val="P&amp;L TOSTADO Mensual"/>
      <sheetName val="P&amp;L TAHINI Mensual"/>
      <sheetName val="P&amp;L NAT.EV.REF Mensual"/>
      <sheetName val="P&amp;L SUB.PAS Mensual"/>
      <sheetName val="P&amp;L CACAHUATE Mensual"/>
      <sheetName val="P&amp;L CACAHUATE Nacional"/>
      <sheetName val="P&amp;L CACAHUATE Internacional"/>
      <sheetName val="P&amp;L CHIA Mensual"/>
      <sheetName val="P&amp;L GARBANZO Mensual"/>
      <sheetName val="P&amp;L OLEICOS Mensual"/>
      <sheetName val="P&amp;L DECOM Mensual"/>
      <sheetName val="P&amp;L PEP CALABAZA Mensual"/>
      <sheetName val="P&amp;L SEM CALABAZA Mensual"/>
      <sheetName val="P&amp;L LIMON Mensual"/>
      <sheetName val="P&amp;L HARINAS Mensual"/>
      <sheetName val="P&amp;L AC ARROZ Mensual"/>
      <sheetName val="P&amp;L AC LINAZA Mensual"/>
      <sheetName val="P&amp;L RESIDUO P Mensual"/>
      <sheetName val="P&amp;L P GIRASOL Mensual"/>
      <sheetName val="P&amp;L AC COCO Mensual"/>
      <sheetName val="P&amp;L QUINOA Mensual"/>
      <sheetName val="P&amp;L AC UVA Mensual"/>
      <sheetName val="P&amp;L CANOLA Mensual"/>
      <sheetName val="P&amp;L HEMP Mensual"/>
      <sheetName val="RESUMEN OTROS 22-23"/>
      <sheetName val="Diferencias"/>
      <sheetName val="P&amp;L OTROS Mensual"/>
      <sheetName val="INDICADORES CX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8">
          <cell r="C8">
            <v>552356.32105132553</v>
          </cell>
          <cell r="F8">
            <v>611195.64604420704</v>
          </cell>
          <cell r="I8">
            <v>655582.42836229037</v>
          </cell>
          <cell r="L8">
            <v>649240.22959262133</v>
          </cell>
          <cell r="O8">
            <v>684294.28473040985</v>
          </cell>
          <cell r="R8">
            <v>677966.42227962671</v>
          </cell>
          <cell r="U8">
            <v>633479.10003273387</v>
          </cell>
          <cell r="X8">
            <v>674547.63802615297</v>
          </cell>
          <cell r="AA8">
            <v>720482.21282809786</v>
          </cell>
          <cell r="AD8">
            <v>383549.01471550495</v>
          </cell>
          <cell r="AG8">
            <v>636677.78067545989</v>
          </cell>
          <cell r="AJ8">
            <v>629407.32969500998</v>
          </cell>
          <cell r="AN8">
            <v>7508778.4080334408</v>
          </cell>
        </row>
        <row r="42">
          <cell r="AN42">
            <v>36.83009031576416</v>
          </cell>
        </row>
        <row r="43">
          <cell r="AN43">
            <v>29.063337072535958</v>
          </cell>
        </row>
        <row r="44">
          <cell r="AN44">
            <v>121.11864230285606</v>
          </cell>
        </row>
        <row r="94">
          <cell r="C94">
            <v>19.017099999999999</v>
          </cell>
          <cell r="F94">
            <v>18.622199999999999</v>
          </cell>
          <cell r="I94">
            <v>18.3887</v>
          </cell>
          <cell r="L94">
            <v>18.087900000000001</v>
          </cell>
          <cell r="O94">
            <v>17.748899999999999</v>
          </cell>
          <cell r="R94">
            <v>17.268799999999999</v>
          </cell>
          <cell r="U94"/>
          <cell r="X94"/>
          <cell r="AA94"/>
          <cell r="AD94"/>
          <cell r="AG94"/>
          <cell r="AJ94"/>
          <cell r="AN94"/>
        </row>
        <row r="95">
          <cell r="B95">
            <v>19.361499999999999</v>
          </cell>
          <cell r="C95">
            <v>18.779299999999999</v>
          </cell>
          <cell r="F95">
            <v>18.407699999999998</v>
          </cell>
          <cell r="I95">
            <v>18.0932</v>
          </cell>
          <cell r="L95">
            <v>18.072299999999998</v>
          </cell>
          <cell r="O95">
            <v>17.653199999999998</v>
          </cell>
          <cell r="R95">
            <v>17.1187</v>
          </cell>
          <cell r="U95">
            <v>17</v>
          </cell>
          <cell r="X95">
            <v>17</v>
          </cell>
          <cell r="AA95">
            <v>17</v>
          </cell>
          <cell r="AD95">
            <v>17.5</v>
          </cell>
          <cell r="AG95">
            <v>17.5</v>
          </cell>
          <cell r="AJ95">
            <v>17.5</v>
          </cell>
          <cell r="AN95">
            <v>17.635366666666666</v>
          </cell>
        </row>
        <row r="96">
          <cell r="C96">
            <v>108139.70976015058</v>
          </cell>
          <cell r="F96">
            <v>110265.75206934521</v>
          </cell>
          <cell r="I96">
            <v>113658.25803727523</v>
          </cell>
          <cell r="L96">
            <v>114282.76327208261</v>
          </cell>
          <cell r="O96">
            <v>114163.161745591</v>
          </cell>
          <cell r="R96">
            <v>122518.05928058669</v>
          </cell>
          <cell r="U96">
            <v>124970.74962493411</v>
          </cell>
          <cell r="X96">
            <v>120792.90613294004</v>
          </cell>
          <cell r="AA96">
            <v>110476.16754392856</v>
          </cell>
          <cell r="AD96">
            <v>98079.63909535612</v>
          </cell>
          <cell r="AG96">
            <v>103309.62171433528</v>
          </cell>
          <cell r="AJ96">
            <v>99431.350724863732</v>
          </cell>
          <cell r="AN96">
            <v>108139.70976015058</v>
          </cell>
        </row>
        <row r="101">
          <cell r="C101">
            <v>110265.75206934521</v>
          </cell>
          <cell r="F101">
            <v>113658.25803727523</v>
          </cell>
          <cell r="I101">
            <v>114282.76327208261</v>
          </cell>
          <cell r="L101">
            <v>114163.161745591</v>
          </cell>
          <cell r="O101">
            <v>122518.05928058669</v>
          </cell>
          <cell r="R101">
            <v>124970.74962493411</v>
          </cell>
          <cell r="U101">
            <v>120792.90613294004</v>
          </cell>
          <cell r="X101">
            <v>110476.16754392856</v>
          </cell>
          <cell r="AA101">
            <v>98079.63909535612</v>
          </cell>
          <cell r="AD101">
            <v>103309.62171433528</v>
          </cell>
          <cell r="AG101">
            <v>99431.350724863732</v>
          </cell>
          <cell r="AJ101">
            <v>97692.740549600596</v>
          </cell>
          <cell r="AN101">
            <v>97692.740549600596</v>
          </cell>
        </row>
        <row r="103">
          <cell r="C103">
            <v>36122.697802700008</v>
          </cell>
          <cell r="F103">
            <v>34975.633615200022</v>
          </cell>
          <cell r="I103">
            <v>42302.06676210001</v>
          </cell>
          <cell r="L103">
            <v>43723.494932700014</v>
          </cell>
          <cell r="O103">
            <v>44494.269754800014</v>
          </cell>
          <cell r="R103">
            <v>43274.070735400011</v>
          </cell>
          <cell r="U103">
            <v>48504.341645000015</v>
          </cell>
          <cell r="X103">
            <v>45032.637891967221</v>
          </cell>
          <cell r="AA103">
            <v>45032.637891967221</v>
          </cell>
          <cell r="AD103">
            <v>45032.637891967221</v>
          </cell>
          <cell r="AG103">
            <v>43745.991095053869</v>
          </cell>
          <cell r="AJ103">
            <v>43745.991095053869</v>
          </cell>
          <cell r="AN103">
            <v>36122.697802700008</v>
          </cell>
        </row>
        <row r="106">
          <cell r="C106">
            <v>34975.633615200022</v>
          </cell>
          <cell r="F106">
            <v>42302.06676210001</v>
          </cell>
          <cell r="I106">
            <v>43723.494932700014</v>
          </cell>
          <cell r="L106">
            <v>44494.269754800014</v>
          </cell>
          <cell r="O106">
            <v>43274.070735400011</v>
          </cell>
          <cell r="R106">
            <v>48504.341645000015</v>
          </cell>
          <cell r="U106">
            <v>45032.637891967221</v>
          </cell>
          <cell r="X106">
            <v>45032.637891967221</v>
          </cell>
          <cell r="AA106">
            <v>45032.637891967221</v>
          </cell>
          <cell r="AD106">
            <v>43745.991095053869</v>
          </cell>
          <cell r="AG106">
            <v>43745.991095053869</v>
          </cell>
          <cell r="AJ106">
            <v>43745.991095053869</v>
          </cell>
          <cell r="AN106">
            <v>43745.991095053869</v>
          </cell>
        </row>
        <row r="109">
          <cell r="C109">
            <v>25261.606020318366</v>
          </cell>
          <cell r="F109">
            <v>18609.79128993885</v>
          </cell>
          <cell r="I109">
            <v>24574.304182189047</v>
          </cell>
          <cell r="L109">
            <v>26847.893324434193</v>
          </cell>
          <cell r="O109">
            <v>27659.423607256231</v>
          </cell>
          <cell r="R109">
            <v>43948.568671445442</v>
          </cell>
          <cell r="U109">
            <v>29523.664231999999</v>
          </cell>
          <cell r="X109">
            <v>28197.136853242322</v>
          </cell>
          <cell r="AA109">
            <v>27489.508249933086</v>
          </cell>
          <cell r="AD109">
            <v>27156.506554258143</v>
          </cell>
          <cell r="AG109">
            <v>22561.667153082315</v>
          </cell>
          <cell r="AJ109">
            <v>21029.545980132931</v>
          </cell>
          <cell r="AN109">
            <v>25261.606020318366</v>
          </cell>
        </row>
        <row r="112">
          <cell r="C112">
            <v>18609.79128993885</v>
          </cell>
          <cell r="F112">
            <v>24574.304182189047</v>
          </cell>
          <cell r="I112">
            <v>26847.893324434193</v>
          </cell>
          <cell r="L112">
            <v>27659.423607256231</v>
          </cell>
          <cell r="O112">
            <v>43948.568671445442</v>
          </cell>
          <cell r="R112">
            <v>29523.664231999999</v>
          </cell>
          <cell r="U112">
            <v>28197.136853242322</v>
          </cell>
          <cell r="X112">
            <v>27489.508249933086</v>
          </cell>
          <cell r="AA112">
            <v>27156.506554258143</v>
          </cell>
          <cell r="AD112">
            <v>22561.667153082315</v>
          </cell>
          <cell r="AG112">
            <v>21029.545980132931</v>
          </cell>
          <cell r="AJ112">
            <v>22035.590278904707</v>
          </cell>
          <cell r="AN112">
            <v>21866.448096580491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Victor Adan Florido Nava" id="{1B7C894D-61D6-4D5F-98EF-CBE7062E95B7}" userId="S::victor.florido@sesajal.com::6fb1e6e4-90cd-4e4b-9380-c2a2701d0b65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5C6477B-1AFB-4238-A2B4-324E0C2D738D}" autoFormatId="16" applyNumberFormats="0" applyBorderFormats="0" applyFontFormats="0" applyPatternFormats="0" applyAlignmentFormats="0" applyWidthHeightFormats="0">
  <queryTableRefresh nextId="22">
    <queryTableFields count="21">
      <queryTableField id="1" name="Subdirección" tableColumnId="1"/>
      <queryTableField id="2" name="CP" tableColumnId="2"/>
      <queryTableField id="3" name="TIPO" tableColumnId="3"/>
      <queryTableField id="4" name="Num Cliente" tableColumnId="4"/>
      <queryTableField id="5" name="Cliente" tableColumnId="5"/>
      <queryTableField id="6" name="Precio Diciembre 2023" tableColumnId="6"/>
      <queryTableField id="7" name="FCST Enero 2025" tableColumnId="7"/>
      <queryTableField id="8" name="FCST Febrero 2025" tableColumnId="8"/>
      <queryTableField id="9" name="FCST Marzo 2025" tableColumnId="9"/>
      <queryTableField id="10" name="FCST Abril 2025" tableColumnId="10"/>
      <queryTableField id="11" name="FCST Mayo 2025" tableColumnId="11"/>
      <queryTableField id="12" name="FCST Junio 2025" tableColumnId="12"/>
      <queryTableField id="13" name="FCST Julio 2025" tableColumnId="13"/>
      <queryTableField id="14" name="FCST Agosto 2025" tableColumnId="14"/>
      <queryTableField id="15" name="FCST Septiembre 2025" tableColumnId="15"/>
      <queryTableField id="16" name="FCST Octubre 2025" tableColumnId="16"/>
      <queryTableField id="17" name="FCST Noviembre 2025" tableColumnId="17"/>
      <queryTableField id="18" name="FCST Diciembre 2025" tableColumnId="18"/>
      <queryTableField id="19" name="FCST Acumulado 2025" tableColumnId="19"/>
      <queryTableField id="20" name="FCST Acumulado 2025_105" tableColumnId="20"/>
      <queryTableField id="21" name="PRECIO 2025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68F8EA1-E9BA-4D8E-B5E6-8565B74073C3}" autoFormatId="16" applyNumberFormats="0" applyBorderFormats="0" applyFontFormats="0" applyPatternFormats="0" applyAlignmentFormats="0" applyWidthHeightFormats="0">
  <queryTableRefresh nextId="26">
    <queryTableFields count="10">
      <queryTableField id="1" name="No poliza" tableColumnId="1"/>
      <queryTableField id="6" name="Ramo" tableColumnId="6"/>
      <queryTableField id="18" name="Descripción" tableColumnId="2"/>
      <queryTableField id="7" name="Aseguradora" tableColumnId="7"/>
      <queryTableField id="19" name="Inicio" tableColumnId="3"/>
      <queryTableField id="20" name="Fin" tableColumnId="4"/>
      <queryTableField id="10" name="Moneda" tableColumnId="10"/>
      <queryTableField id="13" name="Prima Neta" tableColumnId="13"/>
      <queryTableField id="21" name="TIPO" tableColumnId="5"/>
      <queryTableField id="22" name="PRIMA NETA MN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150D1F2-E80A-40DA-9E1C-58A676FC3085}" autoFormatId="16" applyNumberFormats="0" applyBorderFormats="0" applyFontFormats="0" applyPatternFormats="0" applyAlignmentFormats="0" applyWidthHeightFormats="0">
  <queryTableRefresh nextId="164">
    <queryTableFields count="111">
      <queryTableField id="112" name="Banorte 2" tableColumnId="112"/>
      <queryTableField id="113" name="Column2" tableColumnId="113"/>
      <queryTableField id="114" name="Column3" tableColumnId="114"/>
      <queryTableField id="115" name="Column4" tableColumnId="115"/>
      <queryTableField id="116" name="Column5" tableColumnId="116"/>
      <queryTableField id="117" name="Column6" tableColumnId="117"/>
      <queryTableField id="118" name="Column7" tableColumnId="118"/>
      <queryTableField id="119" name="Column8" tableColumnId="119"/>
      <queryTableField id="120" name="Banorte 3" tableColumnId="120"/>
      <queryTableField id="121" name="Column10" tableColumnId="121"/>
      <queryTableField id="122" name="Column11" tableColumnId="122"/>
      <queryTableField id="123" name="Column12" tableColumnId="123"/>
      <queryTableField id="124" name="Column13" tableColumnId="124"/>
      <queryTableField id="125" name="Column14" tableColumnId="125"/>
      <queryTableField id="126" name="Column15" tableColumnId="126"/>
      <queryTableField id="127" name="Column16" tableColumnId="127"/>
      <queryTableField id="128" name="Santander " tableColumnId="128"/>
      <queryTableField id="129" name="Column18" tableColumnId="129"/>
      <queryTableField id="1" name="Column19" tableColumnId="1"/>
      <queryTableField id="2" name="Column20" tableColumnId="2"/>
      <queryTableField id="3" name="Column21" tableColumnId="3"/>
      <queryTableField id="4" name="Column22" tableColumnId="4"/>
      <queryTableField id="5" name="Column23" tableColumnId="5"/>
      <queryTableField id="6" name="Column24" tableColumnId="6"/>
      <queryTableField id="130" name="Banregio" tableColumnId="130"/>
      <queryTableField id="8" name="Column26" tableColumnId="8"/>
      <queryTableField id="9" name="Column27" tableColumnId="9"/>
      <queryTableField id="10" name="Column28" tableColumnId="10"/>
      <queryTableField id="11" name="Column29" tableColumnId="11"/>
      <queryTableField id="12" name="Column30" tableColumnId="12"/>
      <queryTableField id="13" name="Column31" tableColumnId="13"/>
      <queryTableField id="14" name="Column32" tableColumnId="14"/>
      <queryTableField id="131" name="Konfio" tableColumnId="131"/>
      <queryTableField id="16" name="Column34" tableColumnId="16"/>
      <queryTableField id="17" name="Column35" tableColumnId="17"/>
      <queryTableField id="18" name="Column36" tableColumnId="18"/>
      <queryTableField id="19" name="Column37" tableColumnId="19"/>
      <queryTableField id="20" name="Column38" tableColumnId="20"/>
      <queryTableField id="21" name="Column39" tableColumnId="21"/>
      <queryTableField id="22" name="Column40" tableColumnId="22"/>
      <queryTableField id="132" name="Simple Intercam reestructurado" tableColumnId="132"/>
      <queryTableField id="24" name="Column42" tableColumnId="24"/>
      <queryTableField id="25" name="Column43" tableColumnId="25"/>
      <queryTableField id="26" name="Column44" tableColumnId="26"/>
      <queryTableField id="27" name="Column45" tableColumnId="27"/>
      <queryTableField id="28" name="Column46" tableColumnId="28"/>
      <queryTableField id="29" name="Column47" tableColumnId="29"/>
      <queryTableField id="30" name="Column48" tableColumnId="30"/>
      <queryTableField id="133" name="Simple Arrenda+ reestructurado" tableColumnId="133"/>
      <queryTableField id="32" name="Column50" tableColumnId="32"/>
      <queryTableField id="33" name="Column51" tableColumnId="33"/>
      <queryTableField id="34" name="Column52" tableColumnId="34"/>
      <queryTableField id="35" name="Column53" tableColumnId="35"/>
      <queryTableField id="36" name="Column54" tableColumnId="36"/>
      <queryTableField id="37" name="Column55" tableColumnId="37"/>
      <queryTableField id="38" name="Column56" tableColumnId="38"/>
      <queryTableField id="134" name="Reestructura Leasy saldo vencido" tableColumnId="134"/>
      <queryTableField id="40" name="Column58" tableColumnId="40"/>
      <queryTableField id="41" name="Column59" tableColumnId="41"/>
      <queryTableField id="42" name="Column60" tableColumnId="42"/>
      <queryTableField id="43" name="Column61" tableColumnId="43"/>
      <queryTableField id="44" name="Column62" tableColumnId="44"/>
      <queryTableField id="45" name="Column63" tableColumnId="45"/>
      <queryTableField id="46" name="Column64" tableColumnId="46"/>
      <queryTableField id="135" name="Simple Efektiva Reestructurado" tableColumnId="135"/>
      <queryTableField id="48" name="Column66" tableColumnId="48"/>
      <queryTableField id="49" name="Column67" tableColumnId="49"/>
      <queryTableField id="50" name="Column68" tableColumnId="50"/>
      <queryTableField id="51" name="Column69" tableColumnId="51"/>
      <queryTableField id="52" name="Column70" tableColumnId="52"/>
      <queryTableField id="53" name="Column71" tableColumnId="53"/>
      <queryTableField id="54" name="Column72" tableColumnId="54"/>
      <queryTableField id="136" name="Tribal Reestructurado" tableColumnId="136"/>
      <queryTableField id="56" name="Column74" tableColumnId="56"/>
      <queryTableField id="57" name="Column75" tableColumnId="57"/>
      <queryTableField id="58" name="Column76" tableColumnId="58"/>
      <queryTableField id="59" name="Column77" tableColumnId="59"/>
      <queryTableField id="60" name="Column78" tableColumnId="60"/>
      <queryTableField id="61" name="Column79" tableColumnId="61"/>
      <queryTableField id="62" name="Column80" tableColumnId="62"/>
      <queryTableField id="137" name="Totales" tableColumnId="137"/>
      <queryTableField id="64" name="Column82" tableColumnId="64"/>
      <queryTableField id="65" name="Column83" tableColumnId="65"/>
      <queryTableField id="66" name="Column84" tableColumnId="66"/>
      <queryTableField id="67" name="Column85" tableColumnId="67"/>
      <queryTableField id="68" name="Column86" tableColumnId="68"/>
      <queryTableField id="69" name="Column87" tableColumnId="69"/>
      <queryTableField id="70" name="Column88" tableColumnId="70"/>
      <queryTableField id="71" name="Column89" tableColumnId="71"/>
      <queryTableField id="72" name="Column90" tableColumnId="72"/>
      <queryTableField id="73" name="Column91" tableColumnId="73"/>
      <queryTableField id="74" name="Column92" tableColumnId="74"/>
      <queryTableField id="75" name="Column93" tableColumnId="75"/>
      <queryTableField id="76" name="Column94" tableColumnId="76"/>
      <queryTableField id="77" name="Column95" tableColumnId="77"/>
      <queryTableField id="78" name="Column96" tableColumnId="78"/>
      <queryTableField id="79" name="Column97" tableColumnId="79"/>
      <queryTableField id="80" name="Column98" tableColumnId="80"/>
      <queryTableField id="81" name="Column99" tableColumnId="81"/>
      <queryTableField id="82" name="Column100" tableColumnId="82"/>
      <queryTableField id="83" name="Column101" tableColumnId="83"/>
      <queryTableField id="84" name="Column102" tableColumnId="84"/>
      <queryTableField id="85" name="Column103" tableColumnId="85"/>
      <queryTableField id="86" name="Column104" tableColumnId="86"/>
      <queryTableField id="87" name="Column105" tableColumnId="87"/>
      <queryTableField id="88" name="Column106" tableColumnId="88"/>
      <queryTableField id="89" name="Column107" tableColumnId="89"/>
      <queryTableField id="90" name="Column108" tableColumnId="90"/>
      <queryTableField id="91" name="Column109" tableColumnId="91"/>
      <queryTableField id="92" name="Column110" tableColumnId="92"/>
      <queryTableField id="93" name="Column111" tableColumnId="9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F394DA-40CC-43BC-B3F3-9289540DB5A3}" autoFormatId="16" applyNumberFormats="0" applyBorderFormats="0" applyFontFormats="0" applyPatternFormats="0" applyAlignmentFormats="0" applyWidthHeightFormats="0">
  <queryTableRefresh nextId="507">
    <queryTableFields count="306">
      <queryTableField id="307" name="Arrendamiento 1" tableColumnId="307"/>
      <queryTableField id="2" name="Column2" tableColumnId="2"/>
      <queryTableField id="308" name="719091" tableColumnId="308"/>
      <queryTableField id="309" name="CONTRATO:  A2010017" tableColumnId="309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310" name="Arrendamiento 2" tableColumnId="310"/>
      <queryTableField id="11" name="Column11" tableColumnId="11"/>
      <queryTableField id="311" name="72430" tableColumnId="311"/>
      <queryTableField id="312" name="CONTRATO A2012015" tableColumnId="312"/>
      <queryTableField id="14" name="Column14" tableColumnId="14"/>
      <queryTableField id="15" name="Column15" tableColumnId="15"/>
      <queryTableField id="313" name="Tiene seguro" tableColumnId="313"/>
      <queryTableField id="17" name="Column17" tableColumnId="17"/>
      <queryTableField id="18" name="Column18" tableColumnId="18"/>
      <queryTableField id="314" name="Arrendamiento 3" tableColumnId="314"/>
      <queryTableField id="20" name="Column20" tableColumnId="20"/>
      <queryTableField id="315" name="72424" tableColumnId="315"/>
      <queryTableField id="316" name="CONTRATO:  A2012016" tableColumnId="316"/>
      <queryTableField id="23" name="Column23" tableColumnId="23"/>
      <queryTableField id="24" name="Column24" tableColumnId="24"/>
      <queryTableField id="317" name="Tiene seguro_1" tableColumnId="317"/>
      <queryTableField id="26" name="Column26" tableColumnId="26"/>
      <queryTableField id="27" name="Column27" tableColumnId="27"/>
      <queryTableField id="318" name="Arrendamiento 4" tableColumnId="318"/>
      <queryTableField id="29" name="Column29" tableColumnId="29"/>
      <queryTableField id="319" name="88501" tableColumnId="319"/>
      <queryTableField id="320" name="CONTRATO: A2211006" tableColumnId="320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21" name="Arrendamiento 5" tableColumnId="321"/>
      <queryTableField id="38" name="Column38" tableColumnId="38"/>
      <queryTableField id="322" name="76185" tableColumnId="322"/>
      <queryTableField id="323" name="CONTRATO: A2107045" tableColumnId="323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324" name="Arrendamiento 6" tableColumnId="324"/>
      <queryTableField id="47" name="Column47" tableColumnId="47"/>
      <queryTableField id="325" name="79436" tableColumnId="325"/>
      <queryTableField id="326" name="CONTRATO:  A2203002" tableColumnId="326"/>
      <queryTableField id="50" name="Column50" tableColumnId="50"/>
      <queryTableField id="51" name="Column51" tableColumnId="51"/>
      <queryTableField id="327" name="Tiene seguro_2" tableColumnId="327"/>
      <queryTableField id="53" name="Column53" tableColumnId="53"/>
      <queryTableField id="54" name="Column54" tableColumnId="54"/>
      <queryTableField id="328" name="Arrendamiento 7" tableColumnId="328"/>
      <queryTableField id="56" name="Column56" tableColumnId="56"/>
      <queryTableField id="329" name="79741" tableColumnId="329"/>
      <queryTableField id="330" name="CONTRATO: A2203032" tableColumnId="330"/>
      <queryTableField id="59" name="Column59" tableColumnId="59"/>
      <queryTableField id="60" name="Column60" tableColumnId="60"/>
      <queryTableField id="331" name="Tiene seguro_3" tableColumnId="331"/>
      <queryTableField id="62" name="Column62" tableColumnId="62"/>
      <queryTableField id="63" name="Column63" tableColumnId="63"/>
      <queryTableField id="332" name="Arrendamiento 8" tableColumnId="332"/>
      <queryTableField id="65" name="Column65" tableColumnId="65"/>
      <queryTableField id="333" name="83689" tableColumnId="333"/>
      <queryTableField id="334" name="CONTRATO: A2211005" tableColumnId="334"/>
      <queryTableField id="68" name="Column68" tableColumnId="68"/>
      <queryTableField id="69" name="Column69" tableColumnId="69"/>
      <queryTableField id="335" name="Tiene seguro_4" tableColumnId="335"/>
      <queryTableField id="71" name="Column71" tableColumnId="71"/>
      <queryTableField id="72" name="Column72" tableColumnId="72"/>
      <queryTableField id="336" name="Arrendamiento 9" tableColumnId="336"/>
      <queryTableField id="74" name="Column74" tableColumnId="74"/>
      <queryTableField id="337" name="83690" tableColumnId="337"/>
      <queryTableField id="338" name="CONTRATO: A2211004" tableColumnId="338"/>
      <queryTableField id="77" name="Column77" tableColumnId="77"/>
      <queryTableField id="78" name="Column78" tableColumnId="78"/>
      <queryTableField id="339" name="Tiene seguro_5" tableColumnId="339"/>
      <queryTableField id="80" name="Column80" tableColumnId="80"/>
      <queryTableField id="81" name="Column81" tableColumnId="81"/>
      <queryTableField id="340" name="Arrendamiento 10" tableColumnId="340"/>
      <queryTableField id="83" name="Column83" tableColumnId="83"/>
      <queryTableField id="341" name="88492" tableColumnId="341"/>
      <queryTableField id="342" name="CONTRATO A2307022" tableColumnId="342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343" name="Arrendamiento 11" tableColumnId="343"/>
      <queryTableField id="92" name="Column92" tableColumnId="92"/>
      <queryTableField id="344" name="88494" tableColumnId="344"/>
      <queryTableField id="345" name="CONTRATO A2307021" tableColumnId="345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346" name="Arrendamiento 12" tableColumnId="346"/>
      <queryTableField id="101" name="Column101" tableColumnId="101"/>
      <queryTableField id="347" name="88495" tableColumnId="347"/>
      <queryTableField id="348" name="CONTRATO A2307020" tableColumnId="348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349" name="Arrendamiento 13 Arrenda+" tableColumnId="349"/>
      <queryTableField id="110" name="Column110" tableColumnId="110"/>
      <queryTableField id="350" name="88496" tableColumnId="350"/>
      <queryTableField id="351" name="CONTRATO A2307018" tableColumnId="351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352" name="Arrendamiento 14 Arrenda+" tableColumnId="352"/>
      <queryTableField id="119" name="Column119" tableColumnId="119"/>
      <queryTableField id="353" name="88493" tableColumnId="353"/>
      <queryTableField id="354" name="CONTRATO A2307019" tableColumnId="354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355" name="Arrendamiento 15 Arrenda+" tableColumnId="355"/>
      <queryTableField id="128" name="Column128" tableColumnId="128"/>
      <queryTableField id="356" name="88501_6" tableColumnId="356"/>
      <queryTableField id="357" name="CONTRATO A2307017" tableColumnId="357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358" name="Arrendamiento 16 Xanalab" tableColumnId="358"/>
      <queryTableField id="137" name="Column137" tableColumnId="137"/>
      <queryTableField id="359" name="83801" tableColumnId="359"/>
      <queryTableField id="360" name="CONTRATO A2211015" tableColumnId="360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361" name="Arrendamiento 17 Motormexa CONTRATO N.505-01" tableColumnId="361"/>
      <queryTableField id="146" name="Column146" tableColumnId="146"/>
      <queryTableField id="147" name="Column147" tableColumnId="147"/>
      <queryTableField id="362" name="PAGARE 0505-001" tableColumnId="362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363" name="Arrendamiento 18 Motormexa CONTRATO N.505-02" tableColumnId="363"/>
      <queryTableField id="154" name="Column154" tableColumnId="154"/>
      <queryTableField id="155" name="Column155" tableColumnId="155"/>
      <queryTableField id="364" name="PAGARE 0505-002" tableColumnId="364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365" name="Arrendamiento 19 Motormexa CONTRATO N.505-03" tableColumnId="365"/>
      <queryTableField id="162" name="Column162" tableColumnId="162"/>
      <queryTableField id="163" name="Column163" tableColumnId="163"/>
      <queryTableField id="366" name="PAGARE 0505-003" tableColumnId="366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367" name="Arrendamiento 20 Motormexa CONTRATO N.505-04" tableColumnId="367"/>
      <queryTableField id="170" name="Column170" tableColumnId="170"/>
      <queryTableField id="171" name="Column171" tableColumnId="171"/>
      <queryTableField id="368" name="PAGARE 0505-004" tableColumnId="368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369" name="Arrendamiento 21 Motormexa CONTRATO N.505-05" tableColumnId="369"/>
      <queryTableField id="178" name="Column178" tableColumnId="178"/>
      <queryTableField id="179" name="Column179" tableColumnId="179"/>
      <queryTableField id="370" name="PAGARE 0505-005" tableColumnId="37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371" name="Arrendamiento 22 Motormexa CONTRATO N.505-06" tableColumnId="371"/>
      <queryTableField id="186" name="Column186" tableColumnId="186"/>
      <queryTableField id="187" name="Column187" tableColumnId="187"/>
      <queryTableField id="372" name="PAGARE 0505-006" tableColumnId="372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373" name="Arrendamiento 23 Motormexa CONTRATO N.505-07" tableColumnId="373"/>
      <queryTableField id="194" name="Column194" tableColumnId="194"/>
      <queryTableField id="195" name="Column195" tableColumnId="195"/>
      <queryTableField id="374" name="PAGARE 0505-007" tableColumnId="374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375" name="Arrendamiento 24 Motormexa CONTRATO N.505-08" tableColumnId="375"/>
      <queryTableField id="202" name="Column202" tableColumnId="202"/>
      <queryTableField id="203" name="Column203" tableColumnId="203"/>
      <queryTableField id="376" name="PAGARE 0505-008" tableColumnId="376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377" name="Arrendamiento 25 Motormexa CONTRATO N.505-09" tableColumnId="377"/>
      <queryTableField id="210" name="Column210" tableColumnId="210"/>
      <queryTableField id="211" name="Column211" tableColumnId="211"/>
      <queryTableField id="378" name="PAGARE 0505-009" tableColumnId="378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379" name="Arrendamiento 26 Motormexa CONTRATO N.505-10" tableColumnId="379"/>
      <queryTableField id="218" name="Column218" tableColumnId="218"/>
      <queryTableField id="219" name="Column219" tableColumnId="219"/>
      <queryTableField id="380" name="PAGARE 0505-010" tableColumnId="38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381" name="Arrendamiento 19 Unifin" tableColumnId="381"/>
      <queryTableField id="226" name="Column226" tableColumnId="226"/>
      <queryTableField id="227" name="Column227" tableColumnId="227"/>
      <queryTableField id="382" name="CONTRATO: 9945" tableColumnId="382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383" name="Arrendamiento 20 Optima" tableColumnId="383"/>
      <queryTableField id="234" name="Column234" tableColumnId="234"/>
      <queryTableField id="235" name="Column235" tableColumnId="235"/>
      <queryTableField id="384" name="CONTRATO: AO2208001" tableColumnId="384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385" name="Arrendamiento eq computo 1" tableColumnId="385"/>
      <queryTableField id="242" name="Column242" tableColumnId="242"/>
      <queryTableField id="386" name=" " tableColumnId="386"/>
      <queryTableField id="387" name=" _7" tableColumnId="387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388" name="Arrendamiento eq computo 2" tableColumnId="388"/>
      <queryTableField id="250" name="Column250" tableColumnId="250"/>
      <queryTableField id="389" name=" _8" tableColumnId="389"/>
      <queryTableField id="390" name=" _9" tableColumnId="390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391" name="Arrendamiento eq computo 3" tableColumnId="391"/>
      <queryTableField id="258" name="Column258" tableColumnId="258"/>
      <queryTableField id="392" name=" _10" tableColumnId="392"/>
      <queryTableField id="393" name=" _11" tableColumnId="393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394" name="Arrendamiento eq computo 4" tableColumnId="394"/>
      <queryTableField id="266" name="Column266" tableColumnId="266"/>
      <queryTableField id="395" name=" _12" tableColumnId="395"/>
      <queryTableField id="396" name=" _13" tableColumnId="396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397" name="Arrendamiento eq computo 5" tableColumnId="397"/>
      <queryTableField id="274" name="Column274" tableColumnId="274"/>
      <queryTableField id="398" name=" _14" tableColumnId="398"/>
      <queryTableField id="399" name=" _15" tableColumnId="399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400" name="Arrendamiento eq computo 6" tableColumnId="400"/>
      <queryTableField id="282" name="Column282" tableColumnId="282"/>
      <queryTableField id="401" name=" _16" tableColumnId="401"/>
      <queryTableField id="402" name=" _17" tableColumnId="402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403" name="Total arrendamientos" tableColumnId="403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404" name="Arrendamiento 1_18" tableColumnId="404"/>
      <queryTableField id="299" name="Column299" tableColumnId="299"/>
      <queryTableField id="405" name="719091_19" tableColumnId="405"/>
      <queryTableField id="406" name="CONTRATO:  A2010017_20" tableColumnId="406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D31124B-B1F4-467C-BE92-C900FA924EC2}" autoFormatId="16" applyNumberFormats="0" applyBorderFormats="0" applyFontFormats="0" applyPatternFormats="0" applyAlignmentFormats="0" applyWidthHeightFormats="0">
  <queryTableRefresh nextId="260">
    <queryTableFields count="95">
      <queryTableField id="96" name="Column1" tableColumnId="96"/>
      <queryTableField id="97" name="Column2" tableColumnId="97"/>
      <queryTableField id="98" name="Column3" tableColumnId="98"/>
      <queryTableField id="99" name="Column4" tableColumnId="99"/>
      <queryTableField id="100" name="Column5" tableColumnId="100"/>
      <queryTableField id="6" name="Column6" tableColumnId="6"/>
      <queryTableField id="101" name="Column7" tableColumnId="101"/>
      <queryTableField id="102" name="Column8" tableColumnId="102"/>
      <queryTableField id="103" name="Column9" tableColumnId="103"/>
      <queryTableField id="104" name="Column10" tableColumnId="104"/>
      <queryTableField id="105" name="Column11" tableColumnId="105"/>
      <queryTableField id="106" name="Column12" tableColumnId="106"/>
      <queryTableField id="107" name="Column13" tableColumnId="107"/>
      <queryTableField id="108" name="Column14" tableColumnId="108"/>
      <queryTableField id="109" name="Column15" tableColumnId="109"/>
      <queryTableField id="110" name="Column16" tableColumnId="110"/>
      <queryTableField id="111" name="Column17" tableColumnId="111"/>
      <queryTableField id="112" name="Column18" tableColumnId="112"/>
      <queryTableField id="113" name="Column19" tableColumnId="113"/>
      <queryTableField id="20" name="Column20" tableColumnId="20"/>
      <queryTableField id="114" name="Column21" tableColumnId="114"/>
      <queryTableField id="115" name="Column22" tableColumnId="115"/>
      <queryTableField id="116" name="Column23" tableColumnId="116"/>
      <queryTableField id="117" name="Column24" tableColumnId="117"/>
      <queryTableField id="118" name="Column25" tableColumnId="118"/>
      <queryTableField id="119" name="Column26" tableColumnId="119"/>
      <queryTableField id="120" name="Column27" tableColumnId="120"/>
      <queryTableField id="121" name="Column28" tableColumnId="121"/>
      <queryTableField id="122" name="Column29" tableColumnId="122"/>
      <queryTableField id="123" name="Column30" tableColumnId="123"/>
      <queryTableField id="124" name="Column31" tableColumnId="124"/>
      <queryTableField id="125" name="Column32" tableColumnId="125"/>
      <queryTableField id="126" name="Column33" tableColumnId="126"/>
      <queryTableField id="34" name="Column34" tableColumnId="34"/>
      <queryTableField id="127" name="Column35" tableColumnId="127"/>
      <queryTableField id="128" name="Column36" tableColumnId="128"/>
      <queryTableField id="129" name="Column37" tableColumnId="129"/>
      <queryTableField id="130" name="Column38" tableColumnId="130"/>
      <queryTableField id="131" name="Column39" tableColumnId="131"/>
      <queryTableField id="132" name="Column40" tableColumnId="132"/>
      <queryTableField id="133" name="Column41" tableColumnId="133"/>
      <queryTableField id="134" name="Column42" tableColumnId="134"/>
      <queryTableField id="135" name="Column43" tableColumnId="135"/>
      <queryTableField id="136" name="Column44" tableColumnId="136"/>
      <queryTableField id="137" name="Column45" tableColumnId="137"/>
      <queryTableField id="138" name="Column46" tableColumnId="138"/>
      <queryTableField id="139" name="Column47" tableColumnId="139"/>
      <queryTableField id="48" name="Column48" tableColumnId="48"/>
      <queryTableField id="140" name="Column49" tableColumnId="140"/>
      <queryTableField id="141" name="Column50" tableColumnId="141"/>
      <queryTableField id="142" name="Column51" tableColumnId="142"/>
      <queryTableField id="143" name="Column52" tableColumnId="143"/>
      <queryTableField id="144" name="Column53" tableColumnId="144"/>
      <queryTableField id="145" name="Column54" tableColumnId="145"/>
      <queryTableField id="146" name="Column55" tableColumnId="146"/>
      <queryTableField id="147" name="Column56" tableColumnId="147"/>
      <queryTableField id="148" name="Column57" tableColumnId="148"/>
      <queryTableField id="149" name="Column58" tableColumnId="149"/>
      <queryTableField id="150" name="Column59" tableColumnId="150"/>
      <queryTableField id="151" name="Column60" tableColumnId="151"/>
      <queryTableField id="152" name="Column61" tableColumnId="152"/>
      <queryTableField id="62" name="Column62" tableColumnId="62"/>
      <queryTableField id="153" name="Column63" tableColumnId="153"/>
      <queryTableField id="154" name="Column64" tableColumnId="154"/>
      <queryTableField id="155" name="Column65" tableColumnId="155"/>
      <queryTableField id="156" name="Column66" tableColumnId="156"/>
      <queryTableField id="157" name="Column67" tableColumnId="157"/>
      <queryTableField id="158" name="Column68" tableColumnId="158"/>
      <queryTableField id="159" name="Column69" tableColumnId="159"/>
      <queryTableField id="160" name="Column70" tableColumnId="160"/>
      <queryTableField id="161" name="Column71" tableColumnId="161"/>
      <queryTableField id="162" name="Column72" tableColumnId="162"/>
      <queryTableField id="163" name="Column73" tableColumnId="163"/>
      <queryTableField id="164" name="Column74" tableColumnId="164"/>
      <queryTableField id="165" name="Column75" tableColumnId="165"/>
      <queryTableField id="166" name="Column76" tableColumnId="166"/>
      <queryTableField id="167" name="Column77" tableColumnId="167"/>
      <queryTableField id="168" name="Column78" tableColumnId="168"/>
      <queryTableField id="169" name="Column79" tableColumnId="169"/>
      <queryTableField id="170" name="Column80" tableColumnId="170"/>
      <queryTableField id="81" name="Column81" tableColumnId="81"/>
      <queryTableField id="171" name="Column82" tableColumnId="171"/>
      <queryTableField id="172" name="Column83" tableColumnId="172"/>
      <queryTableField id="173" name="Column84" tableColumnId="173"/>
      <queryTableField id="174" name="Column85" tableColumnId="174"/>
      <queryTableField id="175" name="Column86" tableColumnId="175"/>
      <queryTableField id="176" name="Column87" tableColumnId="176"/>
      <queryTableField id="177" name="Column88" tableColumnId="177"/>
      <queryTableField id="178" name="Column89" tableColumnId="178"/>
      <queryTableField id="179" name="Column90" tableColumnId="179"/>
      <queryTableField id="180" name="Column91" tableColumnId="180"/>
      <queryTableField id="181" name="Column92" tableColumnId="181"/>
      <queryTableField id="182" name="Column93" tableColumnId="182"/>
      <queryTableField id="183" name="Column94" tableColumnId="183"/>
      <queryTableField id="184" name="Column95" tableColumnId="18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9BA3BA3-D905-437B-ADB9-4B5EC866C1F9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digo" tableColumnId="2"/>
      <queryTableField id="3" name="Producto" tableColumnId="3"/>
      <queryTableField id="4" name="Cliente" tableColumnId="4"/>
      <queryTableField id="5" name="Costo" tableColumnId="5"/>
      <queryTableField id="6" name="Valor producto" tableColumnId="6"/>
      <queryTableField id="7" name="Margen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15D70AF-3A43-4B99-9F10-71FFCBFC3B3B}" autoFormatId="16" applyNumberFormats="0" applyBorderFormats="0" applyFontFormats="0" applyPatternFormats="0" applyAlignmentFormats="0" applyWidthHeightFormats="0">
  <queryTableRefresh nextId="111">
    <queryTableFields count="110">
      <queryTableField id="1" name="NO." tableColumnId="1"/>
      <queryTableField id="2" name="TURNO" tableColumnId="2"/>
      <queryTableField id="3" name="Tipo" tableColumnId="3"/>
      <queryTableField id="4" name="Nivel" tableColumnId="4"/>
      <queryTableField id="5" name="NOMBRE" tableColumnId="5"/>
      <queryTableField id="6" name="PUESTO" tableColumnId="6"/>
      <queryTableField id="7" name="DEPARTEMENTO2" tableColumnId="7"/>
      <queryTableField id="8" name="UBICACIÓN" tableColumnId="8"/>
      <queryTableField id="9" name="UBICACIÓN FISICA" tableColumnId="9"/>
      <queryTableField id="10" name="FECHA DE INGRESO" tableColumnId="10"/>
      <queryTableField id="11" name="ANTIGÜEDAD" tableColumnId="11"/>
      <queryTableField id="12" name="ANTIGÜEDAD2" tableColumnId="12"/>
      <queryTableField id="13" name="CONCATENAR" tableColumnId="13"/>
      <queryTableField id="14" name="CONCATENAR3" tableColumnId="14"/>
      <queryTableField id="15" name="FACTOR DE INTEGRACION" tableColumnId="15"/>
      <queryTableField id="16" name="SMZ" tableColumnId="16"/>
      <queryTableField id="17" name="SMDF" tableColumnId="17"/>
      <queryTableField id="18" name="SALARIO  DIARIO  NOMINAL" tableColumnId="18"/>
      <queryTableField id="19" name="Salario Base de cotización SDI integrada" tableColumnId="19"/>
      <queryTableField id="20" name="Variable Enero ( Nov y Dic)" tableColumnId="20"/>
      <queryTableField id="21" name="SALARIO DIARIO INTEGRADO" tableColumnId="21"/>
      <queryTableField id="22" name="DIAS LABORADOS" tableColumnId="22"/>
      <queryTableField id="23" name="SALARIO NOMINAL MENSUAL bruto" tableColumnId="23"/>
      <queryTableField id="24" name="Apoyo de Transporte ( REVISAR CON CHRISTIAN" tableColumnId="24"/>
      <queryTableField id="25" name="Bono Tarde 5%" tableColumnId="25"/>
      <queryTableField id="26" name="Bono Nocturno 8 Horas 640" tableColumnId="26"/>
      <queryTableField id="27" name="Bono 12 Horas Diurno 2100" tableColumnId="27"/>
      <queryTableField id="28" name="Bono Nocturno 2900" tableColumnId="28"/>
      <queryTableField id="29" name="Bono Mensual 600" tableColumnId="29"/>
      <queryTableField id="30" name="BONOS MENSUALES" tableColumnId="30"/>
      <queryTableField id="31" name="BONO DE CUMPLEAÑOS ( PROVISION MENSUAL)" tableColumnId="31"/>
      <queryTableField id="32" name="BONO DE ASISTENCIA 150" tableColumnId="32"/>
      <queryTableField id="33" name="BONO DE PUNTUALIDAD 250" tableColumnId="33"/>
      <queryTableField id="34" name="FONDO DE AHORRO EMPRESA MENSUAL" tableColumnId="34"/>
      <queryTableField id="35" name="DESPENSA" tableColumnId="35"/>
      <queryTableField id="36" name="PREV. SOCIAL A" tableColumnId="36"/>
      <queryTableField id="37" name="PREV. SOCIAL  B" tableColumnId="37"/>
      <queryTableField id="38" name="IMPORTE PREVISION SOCIAL PARA CALCULO DE ISR" tableColumnId="38"/>
      <queryTableField id="39" name="TOTAL PERCEPCIONES (Sueldo + Prevision Social)" tableColumnId="39"/>
      <queryTableField id="40" name="TOTAL PERCEPCIONES CON BONOS INLCUIDOS EN NOMINA" tableColumnId="40"/>
      <queryTableField id="41" name="Sueldo con Bonos Integrados a la nomina" tableColumnId="41"/>
      <queryTableField id="42" name="Sueldo con Bonos Extras (no integrados en nomina2" tableColumnId="42"/>
      <queryTableField id="43" name="Importe para calculo de imss con bonos integrados " tableColumnId="43"/>
      <queryTableField id="44" name="TOPE 7 UMA PREVISIÓN SOCIAL  ISR" tableColumnId="44"/>
      <queryTableField id="45" name="SUMA SUELDO MAS PREV. SOCIAL" tableColumnId="45"/>
      <queryTableField id="46" name="EXCEDENTES A 7SMZ" tableColumnId="46"/>
      <queryTableField id="47" name="TOPE PREVISIÓN SOCIAL ISR" tableColumnId="47"/>
      <queryTableField id="48" name="PREVISION SOCIAL EXENTA ISR" tableColumnId="48"/>
      <queryTableField id="49" name="PREVISION SOCIAL GRAVADA ISR" tableColumnId="49"/>
      <queryTableField id="50" name="BASE ISR " tableColumnId="50"/>
      <queryTableField id="51" name="LIMITE INFERIOR" tableColumnId="51"/>
      <queryTableField id="52" name="EXCEDENTE" tableColumnId="52"/>
      <queryTableField id="53" name="%" tableColumnId="53"/>
      <queryTableField id="54" name="IMPUESTO MARGINAL" tableColumnId="54"/>
      <queryTableField id="55" name="CUOTA FIJA" tableColumnId="55"/>
      <queryTableField id="56" name="ISR ARTICULO 96" tableColumnId="56"/>
      <queryTableField id="57" name="SUBSIDIO PARA EL EMPLEO" tableColumnId="57"/>
      <queryTableField id="58" name="ISR   NETO   A RETENER" tableColumnId="58"/>
      <queryTableField id="59" name="PROMEDIO VARIABLES IMSS" tableColumnId="59"/>
      <queryTableField id="60" name="EXCEDENTE DE DESPENSA" tableColumnId="60"/>
      <queryTableField id="61" name="BASE PARA PREMIOS ASIST Y PUNT." tableColumnId="61"/>
      <queryTableField id="62" name="TOPE PARA PREMIOS ASIST Y PUNT." tableColumnId="62"/>
      <queryTableField id="63" name="EXCEDENTE PREMIO ASISTENCIA" tableColumnId="63"/>
      <queryTableField id="64" name="EXCEDENTE PREMIO PUNTUALIDAD" tableColumnId="64"/>
      <queryTableField id="65" name="EXCEDENTE DESPENSA DIARIA" tableColumnId="65"/>
      <queryTableField id="66" name="EXCEDENTE ASIST DIARIA" tableColumnId="66"/>
      <queryTableField id="67" name="EXCEDENTE PUNT DIARIA" tableColumnId="67"/>
      <queryTableField id="68" name="SDI MAS VARIAB MAS EXCEDENTE DESPENSA" tableColumnId="68"/>
      <queryTableField id="69" name="SALARIO DIARIO BASE DE COTIZACION TOPE PARA LA EMPRESA" tableColumnId="69"/>
      <queryTableField id="70" name="CUOTA EXCEDENTE" tableColumnId="70"/>
      <queryTableField id="71" name="PRESTACIONES  EN DINERO" tableColumnId="71"/>
      <queryTableField id="72" name="GMP" tableColumnId="72"/>
      <queryTableField id="73" name="INVALIDEZ Y VIDA" tableColumnId="73"/>
      <queryTableField id="74" name="CESANTIA Y VEJEZ" tableColumnId="74"/>
      <queryTableField id="75" name="CUOTA IMSS A RETENER" tableColumnId="75"/>
      <queryTableField id="76" name="SALARIO NETO (Sueldo mas Prestaciones menos ISR Menos IMSS) (incluye fondo de ahorro y vales + BONOS)" tableColumnId="76"/>
      <queryTableField id="77" name="FONDO DE AHORRO" tableColumnId="77"/>
      <queryTableField id="78" name="FLUJO  NETO EN NOMINA " tableColumnId="78"/>
      <queryTableField id="79" name="BASE IMPUESTO S NOMINAS" tableColumnId="79"/>
      <queryTableField id="80" name="IMPUESTO ESTATAL NOMINAS " tableColumnId="80"/>
      <queryTableField id="81" name="SALARIO DIARIO BASE DE COTIZACION TOPE4" tableColumnId="81"/>
      <queryTableField id="82" name="CUOTA    FIJA     20.4%" tableColumnId="82"/>
      <queryTableField id="83" name="CUOTA EXCEDENTE     1.1%" tableColumnId="83"/>
      <queryTableField id="84" name="PRESTACIONES  EN DINERO          0.70%" tableColumnId="84"/>
      <queryTableField id="85" name="GMP                    1.05%" tableColumnId="85"/>
      <queryTableField id="86" name="RIESGOS DE TRABAJO" tableColumnId="86"/>
      <queryTableField id="87" name="INVALIDEZ Y VIDA   1.75%" tableColumnId="87"/>
      <queryTableField id="88" name="GUARDERIAS         1%" tableColumnId="88"/>
      <queryTableField id="89" name="RETIRO 2%" tableColumnId="89"/>
      <queryTableField id="90" name="CESANTIA Y VEJEZ 3.15%" tableColumnId="90"/>
      <queryTableField id="91" name="CUOTAS IMSS PATRONAL" tableColumnId="91"/>
      <queryTableField id="92" name="INFONAVIT 5%" tableColumnId="92"/>
      <queryTableField id="93" name="CARGA SOCIAL IMSS E INFONAVIT" tableColumnId="93"/>
      <queryTableField id="94" name="." tableColumnId="94"/>
      <queryTableField id="95" name="Aguinaldo mensual" tableColumnId="95"/>
      <queryTableField id="96" name="Prima Vacacional mensual" tableColumnId="96"/>
      <queryTableField id="97" name="3% s/nóminas" tableColumnId="97"/>
      <queryTableField id="98" name="COSTO TOTAL (Nomina + Impuestos Empleado + Impuestos Empresa)" tableColumnId="98"/>
      <queryTableField id="99" name="0.2" tableColumnId="99"/>
      <queryTableField id="100" name="SI VALE " tableColumnId="100"/>
      <queryTableField id="101" name="VEHICULO (Renta Mensual)" tableColumnId="101"/>
      <queryTableField id="102" name="Seguro de Vehiculo" tableColumnId="102"/>
      <queryTableField id="103" name="Gasolina" tableColumnId="103"/>
      <queryTableField id="104" name="GMM" tableColumnId="104"/>
      <queryTableField id="105" name="COMEDOR" tableColumnId="105"/>
      <queryTableField id="106" name="Sueldo + prevision social" tableColumnId="106"/>
      <queryTableField id="107" name="IMPORTE DEL 35% POR LO QUE LES AJUSTARON/ SE PAGA EN AGUINALDO" tableColumnId="107"/>
      <queryTableField id="108" name="OTROS" tableColumnId="108"/>
      <queryTableField id="109" name="TOTAL GLOBAL" tableColumnId="109"/>
      <queryTableField id="110" name="Column110" tableColumnId="1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EE5DC5-E5DB-4C9D-B270-B488373D98E3}" name="FCST___2024" displayName="FCST___2024" ref="A1:U116" tableType="queryTable" totalsRowShown="0">
  <autoFilter ref="A1:U116" xr:uid="{1DEE5DC5-E5DB-4C9D-B270-B488373D98E3}"/>
  <tableColumns count="21">
    <tableColumn id="1" xr3:uid="{67799AAB-71A4-4F76-905D-700B5608B0F6}" uniqueName="1" name="Subdirección" queryTableFieldId="1"/>
    <tableColumn id="2" xr3:uid="{DF02AEE7-B092-40DB-9D26-ADD79CAD9564}" uniqueName="2" name="CP" queryTableFieldId="2"/>
    <tableColumn id="3" xr3:uid="{F733D945-0FF5-4945-AFDC-AB85F5A0DF3A}" uniqueName="3" name="TIPO" queryTableFieldId="3"/>
    <tableColumn id="4" xr3:uid="{6D72F798-905D-42E4-A86C-B579E9211BCD}" uniqueName="4" name="Num Cliente" queryTableFieldId="4"/>
    <tableColumn id="5" xr3:uid="{63A122D7-467E-4701-9E9F-16CE6D8F4673}" uniqueName="5" name="Cliente" queryTableFieldId="5"/>
    <tableColumn id="6" xr3:uid="{2E331542-B33F-4019-8479-AACD54ACB851}" uniqueName="6" name="Precio Diciembre 2023" queryTableFieldId="6" dataDxfId="311"/>
    <tableColumn id="7" xr3:uid="{85A09459-85EB-466E-AD11-BC46919A6310}" uniqueName="7" name="FCST Enero 2025" queryTableFieldId="7" dataDxfId="310"/>
    <tableColumn id="8" xr3:uid="{E2CC16C9-BC85-44D0-9642-400AA88C3C77}" uniqueName="8" name="FCST Febrero 2025" queryTableFieldId="8" dataDxfId="309"/>
    <tableColumn id="9" xr3:uid="{0C1C9454-40B8-4B67-9404-38EC29BCA61E}" uniqueName="9" name="FCST Marzo 2025" queryTableFieldId="9" dataDxfId="308"/>
    <tableColumn id="10" xr3:uid="{DF9A7FDA-7757-49D7-BE24-9D192A81C7AE}" uniqueName="10" name="FCST Abril 2025" queryTableFieldId="10" dataDxfId="307"/>
    <tableColumn id="11" xr3:uid="{DA3841FF-A00F-4D8A-8224-E2DFDBD905F9}" uniqueName="11" name="FCST Mayo 2025" queryTableFieldId="11" dataDxfId="306"/>
    <tableColumn id="12" xr3:uid="{25A97FD4-047D-44E3-8EC9-D09F0116592D}" uniqueName="12" name="FCST Junio 2025" queryTableFieldId="12" dataDxfId="305"/>
    <tableColumn id="13" xr3:uid="{63CB2005-1EA6-4002-9CE9-BBB4FCD2633E}" uniqueName="13" name="FCST Julio 2025" queryTableFieldId="13" dataDxfId="304"/>
    <tableColumn id="14" xr3:uid="{68FDFF86-01D3-4D5F-BCD2-4334655766F9}" uniqueName="14" name="FCST Agosto 2025" queryTableFieldId="14" dataDxfId="303"/>
    <tableColumn id="15" xr3:uid="{9BBE11FD-890A-4CED-B363-4DBA3E55F7D6}" uniqueName="15" name="FCST Septiembre 2025" queryTableFieldId="15" dataDxfId="302"/>
    <tableColumn id="16" xr3:uid="{CD3C809C-62D8-406E-A610-3B807DB3386E}" uniqueName="16" name="FCST Octubre 2025" queryTableFieldId="16" dataDxfId="301"/>
    <tableColumn id="17" xr3:uid="{2EEA8E1E-E93D-4D10-9C9E-642EF8514474}" uniqueName="17" name="FCST Noviembre 2025" queryTableFieldId="17" dataDxfId="300"/>
    <tableColumn id="18" xr3:uid="{A334CBBB-D0C8-4B9C-A7DB-2E0E63BB8F45}" uniqueName="18" name="FCST Diciembre 2025" queryTableFieldId="18" dataDxfId="299"/>
    <tableColumn id="19" xr3:uid="{648EBF4D-7DA5-4544-83C0-548446E26EE5}" uniqueName="19" name="FCST Acumulado 2025" queryTableFieldId="19" dataDxfId="298"/>
    <tableColumn id="20" xr3:uid="{D5A36049-D463-4559-8B4C-A8F5A48F4379}" uniqueName="20" name="FCST Acumulado 2025_105" queryTableFieldId="20" dataDxfId="297"/>
    <tableColumn id="21" xr3:uid="{A36F954C-97F1-4543-B6FF-2E39486EBF3B}" uniqueName="21" name="PRECIO 2025" queryTableFieldId="21" dataDxfId="29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E3939C1-3FE7-449C-A4A0-CF39660C584D}" name="FARMIRAL" displayName="FARMIRAL" ref="A1:J26" tableType="queryTable" totalsRowShown="0">
  <autoFilter ref="A1:J26" xr:uid="{DE3939C1-3FE7-449C-A4A0-CF39660C584D}">
    <filterColumn colId="8">
      <filters>
        <filter val="LFCM"/>
        <filter val="MIRAMONTES"/>
      </filters>
    </filterColumn>
  </autoFilter>
  <sortState xmlns:xlrd2="http://schemas.microsoft.com/office/spreadsheetml/2017/richdata2" ref="A2:J26">
    <sortCondition descending="1" ref="J1:J26"/>
  </sortState>
  <tableColumns count="10">
    <tableColumn id="1" xr3:uid="{E07ED98D-F185-47F2-8BB4-8C5DF4483897}" uniqueName="1" name="No poliza" queryTableFieldId="1"/>
    <tableColumn id="6" xr3:uid="{52829377-1E33-4378-B633-6BC63A20A563}" uniqueName="6" name="RAMO" queryTableFieldId="6" dataDxfId="295"/>
    <tableColumn id="2" xr3:uid="{EDA8708F-1C44-4DBB-9EE3-382E11EC3BE4}" uniqueName="2" name="Descripción" queryTableFieldId="18"/>
    <tableColumn id="7" xr3:uid="{E32A255B-E5D4-4C1E-AC5E-ECBB26D44420}" uniqueName="7" name="Aseguradora" queryTableFieldId="7" dataDxfId="294"/>
    <tableColumn id="3" xr3:uid="{141D03AF-AADC-4F04-913C-EEF0EC4EF535}" uniqueName="3" name="Inicio" queryTableFieldId="19"/>
    <tableColumn id="4" xr3:uid="{A32E4DCB-AE9B-4640-8221-201ED9B43FE7}" uniqueName="4" name="Fin" queryTableFieldId="20"/>
    <tableColumn id="10" xr3:uid="{B0F9A9C6-7F3A-4CAE-8DA9-7DFCB28766F8}" uniqueName="10" name="Moneda" queryTableFieldId="10" dataDxfId="293"/>
    <tableColumn id="13" xr3:uid="{A54F6298-1D9D-4222-87AE-85A8B7E8F29C}" uniqueName="13" name="Prima Neta" queryTableFieldId="13" dataDxfId="292"/>
    <tableColumn id="5" xr3:uid="{BEC22E20-EDFC-455C-94F0-BF5175764540}" uniqueName="5" name="TIPO" queryTableFieldId="21"/>
    <tableColumn id="8" xr3:uid="{EEE64A14-7BAD-4B45-9A17-A328BCA62A3A}" uniqueName="8" name="PRIMA NETA MN" queryTableFieldId="22" dataDxfId="29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59DB92-B7B5-4573-A9B4-E8479AB6A297}" name="CREDITOS" displayName="CREDITOS" ref="A1:DG1000" tableType="queryTable" totalsRowShown="0">
  <autoFilter ref="A1:DG1000" xr:uid="{6159DB92-B7B5-4573-A9B4-E8479AB6A297}"/>
  <tableColumns count="111">
    <tableColumn id="112" xr3:uid="{6CFE6DE8-F67C-48A9-9924-54BCB7C89F2E}" uniqueName="112" name="Banorte 2" queryTableFieldId="112"/>
    <tableColumn id="113" xr3:uid="{F62018E0-44AF-4DBA-AF57-5882873BECAD}" uniqueName="113" name="Column2" queryTableFieldId="113"/>
    <tableColumn id="114" xr3:uid="{A51DD564-3537-4823-B933-CCF643C814E2}" uniqueName="114" name="Column3" queryTableFieldId="114"/>
    <tableColumn id="115" xr3:uid="{20A8B9F9-9DA3-4701-B7AF-B1E64F6CA697}" uniqueName="115" name="Column4" queryTableFieldId="115"/>
    <tableColumn id="116" xr3:uid="{8DC8B616-E995-42EE-A57A-A428796833F7}" uniqueName="116" name="Column5" queryTableFieldId="116"/>
    <tableColumn id="117" xr3:uid="{1BD6B822-A15A-420E-8F05-03FC065D7461}" uniqueName="117" name="Column6" queryTableFieldId="117"/>
    <tableColumn id="118" xr3:uid="{C07DAB24-1703-4BE1-A09E-091E2CBDCB6E}" uniqueName="118" name="Column7" queryTableFieldId="118"/>
    <tableColumn id="119" xr3:uid="{98D1D115-08B3-48F9-9715-0065173214B0}" uniqueName="119" name="Column8" queryTableFieldId="119" dataDxfId="290"/>
    <tableColumn id="120" xr3:uid="{D6F3ED78-2490-48CB-A255-A33449BB091F}" uniqueName="120" name="Banorte 3" queryTableFieldId="120"/>
    <tableColumn id="121" xr3:uid="{E850A04C-7992-49AC-B615-D9CA792E25C3}" uniqueName="121" name="Column10" queryTableFieldId="121"/>
    <tableColumn id="122" xr3:uid="{0DDA0A74-A850-4B92-8BB7-E301128C02D9}" uniqueName="122" name="Column11" queryTableFieldId="122"/>
    <tableColumn id="123" xr3:uid="{1E91915E-963B-44BB-9376-AAD2472A6A7B}" uniqueName="123" name="Column12" queryTableFieldId="123"/>
    <tableColumn id="124" xr3:uid="{9DBD035C-AFE8-44C7-B3E5-CA4B8B000ED1}" uniqueName="124" name="Column13" queryTableFieldId="124"/>
    <tableColumn id="125" xr3:uid="{B2CB0C4D-BD06-4E14-97A2-288C7851E7D8}" uniqueName="125" name="Column14" queryTableFieldId="125"/>
    <tableColumn id="126" xr3:uid="{E96C98DB-2B8A-4BB1-AD98-6C5818F7EAFF}" uniqueName="126" name="Column15" queryTableFieldId="126"/>
    <tableColumn id="127" xr3:uid="{019FDA36-AE21-4F2F-95C3-636CE0714CFF}" uniqueName="127" name="Column16" queryTableFieldId="127"/>
    <tableColumn id="128" xr3:uid="{978FA829-D408-42F7-80A8-55D7F7E043F8}" uniqueName="128" name="Santander " queryTableFieldId="128"/>
    <tableColumn id="129" xr3:uid="{37022495-A40A-45F9-A672-E3A463A2B15C}" uniqueName="129" name="Column18" queryTableFieldId="129"/>
    <tableColumn id="1" xr3:uid="{9DC949E4-FE8B-4227-84CF-D8C04DC8FE21}" uniqueName="1" name="Column19" queryTableFieldId="1"/>
    <tableColumn id="2" xr3:uid="{42BF869C-B964-460E-8A0A-F6E6F915B539}" uniqueName="2" name="Column20" queryTableFieldId="2"/>
    <tableColumn id="3" xr3:uid="{A54DF01F-BC2D-4A46-8ABF-5DED80AB39DA}" uniqueName="3" name="Column21" queryTableFieldId="3"/>
    <tableColumn id="4" xr3:uid="{44112975-A8E2-45B0-8496-00F587B79922}" uniqueName="4" name="Column22" queryTableFieldId="4"/>
    <tableColumn id="5" xr3:uid="{7F3C39CF-48D1-40F1-8B50-3AC1F13DA518}" uniqueName="5" name="Column23" queryTableFieldId="5"/>
    <tableColumn id="6" xr3:uid="{10BF88D7-A0D6-42A6-BC1C-52391CB523E9}" uniqueName="6" name="Column24" queryTableFieldId="6"/>
    <tableColumn id="130" xr3:uid="{2D148C1B-8033-4B07-9BC7-9A4445BFC13A}" uniqueName="130" name="Banregio" queryTableFieldId="130"/>
    <tableColumn id="8" xr3:uid="{0B04A2D5-2A46-4490-87AD-E6AC3EEE765B}" uniqueName="8" name="Column26" queryTableFieldId="8" dataDxfId="289"/>
    <tableColumn id="9" xr3:uid="{F5331B24-25F2-4B56-8791-D16D985DD3F4}" uniqueName="9" name="Column27" queryTableFieldId="9"/>
    <tableColumn id="10" xr3:uid="{9F5725C9-B9F7-4B85-A83B-635E818756B7}" uniqueName="10" name="Column28" queryTableFieldId="10"/>
    <tableColumn id="11" xr3:uid="{1276FA27-E083-471B-A7CF-14F996BD5ABC}" uniqueName="11" name="Column29" queryTableFieldId="11"/>
    <tableColumn id="12" xr3:uid="{DCABF8CF-DEE6-4A7A-BEE2-C72E913DEA0C}" uniqueName="12" name="Column30" queryTableFieldId="12"/>
    <tableColumn id="13" xr3:uid="{59507C33-A37A-4E45-ABA8-BE88749262A0}" uniqueName="13" name="Column31" queryTableFieldId="13"/>
    <tableColumn id="14" xr3:uid="{44451B89-09B0-4949-98F0-DE8B86C1CA9C}" uniqueName="14" name="Column32" queryTableFieldId="14"/>
    <tableColumn id="131" xr3:uid="{9AEA0D4C-580D-419B-B3DB-07A67DB0B45D}" uniqueName="131" name="Konfio" queryTableFieldId="131"/>
    <tableColumn id="16" xr3:uid="{AB8662F1-578F-40B2-8742-7DF6B1B39D2F}" uniqueName="16" name="Column34" queryTableFieldId="16"/>
    <tableColumn id="17" xr3:uid="{037AC152-B20D-46F0-BFDC-F6BC0B57F036}" uniqueName="17" name="Column35" queryTableFieldId="17"/>
    <tableColumn id="18" xr3:uid="{7E53E614-B38A-4538-AF7B-51ED564A27FD}" uniqueName="18" name="Column36" queryTableFieldId="18"/>
    <tableColumn id="19" xr3:uid="{D00E3DB4-2865-4428-91AC-59792101318F}" uniqueName="19" name="Column37" queryTableFieldId="19"/>
    <tableColumn id="20" xr3:uid="{498CB2E3-7AA2-41C9-B957-063B0BE6C475}" uniqueName="20" name="Column38" queryTableFieldId="20"/>
    <tableColumn id="21" xr3:uid="{468CDC51-ABAA-4757-8918-4CB983BEE399}" uniqueName="21" name="Column39" queryTableFieldId="21"/>
    <tableColumn id="22" xr3:uid="{E740B22A-B8FF-4BEC-947D-96F8CF3CAE89}" uniqueName="22" name="Column40" queryTableFieldId="22"/>
    <tableColumn id="132" xr3:uid="{603FBCA8-BA39-4777-809A-0D7B6C8F56EE}" uniqueName="132" name="Simple Intercam reestructurado" queryTableFieldId="132"/>
    <tableColumn id="24" xr3:uid="{8A04AAE4-B09B-4743-ADF1-E6C1B74C5495}" uniqueName="24" name="Column42" queryTableFieldId="24"/>
    <tableColumn id="25" xr3:uid="{EB70ADD0-D9BF-4E67-A3AE-88696F2BA6CE}" uniqueName="25" name="Column43" queryTableFieldId="25"/>
    <tableColumn id="26" xr3:uid="{1658951F-BDBA-473F-B499-1ED2A2F1AA95}" uniqueName="26" name="Column44" queryTableFieldId="26"/>
    <tableColumn id="27" xr3:uid="{812211A0-4C50-4F91-BC30-BB4492E60190}" uniqueName="27" name="Column45" queryTableFieldId="27"/>
    <tableColumn id="28" xr3:uid="{8D76A9CB-9F72-47BC-8814-3299FE90B773}" uniqueName="28" name="Column46" queryTableFieldId="28"/>
    <tableColumn id="29" xr3:uid="{00F50B58-B554-49DC-87B5-AA3F2E9298FF}" uniqueName="29" name="Column47" queryTableFieldId="29"/>
    <tableColumn id="30" xr3:uid="{9008E9E6-3608-45A4-9B4D-A54BC295B635}" uniqueName="30" name="Column48" queryTableFieldId="30"/>
    <tableColumn id="133" xr3:uid="{5B5F580D-0BAF-462E-8858-543DA1C7AB3E}" uniqueName="133" name="Simple Arrenda+ reestructurado" queryTableFieldId="133"/>
    <tableColumn id="32" xr3:uid="{DB04BA00-7783-4695-8C6D-D3637D974C3C}" uniqueName="32" name="Column50" queryTableFieldId="32"/>
    <tableColumn id="33" xr3:uid="{68BADD57-237C-48C5-856A-A31E07D50E4B}" uniqueName="33" name="Column51" queryTableFieldId="33"/>
    <tableColumn id="34" xr3:uid="{9A42C180-423A-4F80-8916-62BDA672DC8A}" uniqueName="34" name="Column52" queryTableFieldId="34"/>
    <tableColumn id="35" xr3:uid="{1F3CC945-1FA4-4A4E-B7EF-F57FD388F71F}" uniqueName="35" name="Column53" queryTableFieldId="35"/>
    <tableColumn id="36" xr3:uid="{29BE2890-C95B-41FB-8076-533423D410A8}" uniqueName="36" name="Column54" queryTableFieldId="36"/>
    <tableColumn id="37" xr3:uid="{C9733701-E6F0-4E6D-8D9B-798606C8102D}" uniqueName="37" name="Column55" queryTableFieldId="37"/>
    <tableColumn id="38" xr3:uid="{EBEB73C4-42E8-4863-A619-D6651EB4A4C9}" uniqueName="38" name="Column56" queryTableFieldId="38"/>
    <tableColumn id="134" xr3:uid="{FF741B93-5A88-4B48-A05A-0991B6AE8EB2}" uniqueName="134" name="Reestructura Leasy saldo vencido" queryTableFieldId="134"/>
    <tableColumn id="40" xr3:uid="{1600DFD6-B9A1-49A3-B5CF-65BB50FC38E1}" uniqueName="40" name="Column58" queryTableFieldId="40"/>
    <tableColumn id="41" xr3:uid="{1BDACF09-A6DF-4884-8F97-724C43B24FDB}" uniqueName="41" name="Column59" queryTableFieldId="41"/>
    <tableColumn id="42" xr3:uid="{0CDB57BC-6E5A-486F-804B-97531D0535C3}" uniqueName="42" name="Column60" queryTableFieldId="42"/>
    <tableColumn id="43" xr3:uid="{E5D590F3-9597-471D-9B89-8924A8E7E9CC}" uniqueName="43" name="Column61" queryTableFieldId="43"/>
    <tableColumn id="44" xr3:uid="{8C522253-7A33-4CCC-9649-E8E4A093E9D2}" uniqueName="44" name="Column62" queryTableFieldId="44"/>
    <tableColumn id="45" xr3:uid="{DB80C8BD-E078-4F5D-87D0-50C05AA7C28F}" uniqueName="45" name="Column63" queryTableFieldId="45"/>
    <tableColumn id="46" xr3:uid="{CD92003B-E12C-41B3-A83A-F097835EA62E}" uniqueName="46" name="Column64" queryTableFieldId="46"/>
    <tableColumn id="135" xr3:uid="{708C75CC-606E-4102-B59E-C24CAFFCF8E2}" uniqueName="135" name="Simple Efektiva Reestructurado" queryTableFieldId="135"/>
    <tableColumn id="48" xr3:uid="{2CD2BCCB-05CD-4963-ACE9-2E26EB1C6D63}" uniqueName="48" name="Column66" queryTableFieldId="48"/>
    <tableColumn id="49" xr3:uid="{CAC48AC8-651B-483B-9995-492CD0995A32}" uniqueName="49" name="Column67" queryTableFieldId="49"/>
    <tableColumn id="50" xr3:uid="{13CEADE2-64F0-450E-BE26-0D69BF107B76}" uniqueName="50" name="Column68" queryTableFieldId="50"/>
    <tableColumn id="51" xr3:uid="{226ED5F5-8A78-4AE5-99CE-2AE15DF883E1}" uniqueName="51" name="Column69" queryTableFieldId="51"/>
    <tableColumn id="52" xr3:uid="{99FDCB51-AEA7-412D-B4CF-8D658E9A046D}" uniqueName="52" name="Column70" queryTableFieldId="52"/>
    <tableColumn id="53" xr3:uid="{22A985E8-0C89-4A07-BF69-E3356EBB93DA}" uniqueName="53" name="Column71" queryTableFieldId="53"/>
    <tableColumn id="54" xr3:uid="{987D34CE-7714-4323-B0EC-778571FB7F4A}" uniqueName="54" name="Column72" queryTableFieldId="54"/>
    <tableColumn id="136" xr3:uid="{16BBB662-6CF8-4925-828D-285A3632796C}" uniqueName="136" name="Tribal Reestructurado" queryTableFieldId="136"/>
    <tableColumn id="56" xr3:uid="{F140BCAE-B44A-4ECB-858A-9A3FA7815BF1}" uniqueName="56" name="Column74" queryTableFieldId="56" dataDxfId="288"/>
    <tableColumn id="57" xr3:uid="{CBD81341-1A08-4CDE-8F84-64737C0CE1D9}" uniqueName="57" name="Column75" queryTableFieldId="57"/>
    <tableColumn id="58" xr3:uid="{52C9D7EC-E189-4DA8-911A-A9D3E8760295}" uniqueName="58" name="Column76" queryTableFieldId="58"/>
    <tableColumn id="59" xr3:uid="{354A1A7B-59B7-4B48-A83F-A6CEEF7F5750}" uniqueName="59" name="Column77" queryTableFieldId="59"/>
    <tableColumn id="60" xr3:uid="{653F69A9-647E-4F0C-B92D-66DAC6120EB9}" uniqueName="60" name="Column78" queryTableFieldId="60"/>
    <tableColumn id="61" xr3:uid="{777BC3E1-8929-44E6-8085-94B738C0D2D4}" uniqueName="61" name="Column79" queryTableFieldId="61"/>
    <tableColumn id="62" xr3:uid="{22C17499-03EE-41FA-B439-6D780D9E7CC9}" uniqueName="62" name="Column80" queryTableFieldId="62"/>
    <tableColumn id="137" xr3:uid="{08B7DADA-3EA5-41DF-BEAB-DA01D58DAFA5}" uniqueName="137" name="Totales" queryTableFieldId="137" dataDxfId="287"/>
    <tableColumn id="64" xr3:uid="{E57F8BD3-5172-425E-AF5C-20197F9E97EA}" uniqueName="64" name="Column82" queryTableFieldId="64"/>
    <tableColumn id="65" xr3:uid="{6DEEE32A-11E8-44F2-BF71-8AA67C5CFCE6}" uniqueName="65" name="Column83" queryTableFieldId="65"/>
    <tableColumn id="66" xr3:uid="{B3B2A455-5BDF-4EFA-B447-04D90868A676}" uniqueName="66" name="Column84" queryTableFieldId="66"/>
    <tableColumn id="67" xr3:uid="{3309D0E9-7DBD-4CE2-827C-008F54C588A1}" uniqueName="67" name="Column85" queryTableFieldId="67"/>
    <tableColumn id="68" xr3:uid="{B14A084C-2BE2-4552-815E-6CD38F25CEC5}" uniqueName="68" name="Column86" queryTableFieldId="68"/>
    <tableColumn id="69" xr3:uid="{2737E7C7-CC85-421B-8851-31EB76AFF417}" uniqueName="69" name="Column87" queryTableFieldId="69"/>
    <tableColumn id="70" xr3:uid="{4E7E3425-A66F-4F09-BCD2-6919B928F389}" uniqueName="70" name="Column88" queryTableFieldId="70"/>
    <tableColumn id="71" xr3:uid="{589E5C43-289D-4CA0-B004-17CB453D60E7}" uniqueName="71" name="Column89" queryTableFieldId="71"/>
    <tableColumn id="72" xr3:uid="{C6F401C8-F38C-4237-A04B-46F6EC225FD0}" uniqueName="72" name="Column90" queryTableFieldId="72"/>
    <tableColumn id="73" xr3:uid="{C0E0A71C-8AAD-4A3A-BF97-CC7C3183294C}" uniqueName="73" name="Column91" queryTableFieldId="73"/>
    <tableColumn id="74" xr3:uid="{13AE2DF0-10E5-442A-B11B-1DA6B99D3230}" uniqueName="74" name="Column92" queryTableFieldId="74"/>
    <tableColumn id="75" xr3:uid="{DC3E918D-D30F-45CE-95AE-9D58C8E2AECE}" uniqueName="75" name="Column93" queryTableFieldId="75"/>
    <tableColumn id="76" xr3:uid="{452FB73C-72AD-41FE-AFCC-B519835851DC}" uniqueName="76" name="Column94" queryTableFieldId="76"/>
    <tableColumn id="77" xr3:uid="{72540F92-5D0B-4563-AA46-E8A0D3522845}" uniqueName="77" name="Column95" queryTableFieldId="77"/>
    <tableColumn id="78" xr3:uid="{B98A33E5-DB59-4EC9-8886-846BD35B80C3}" uniqueName="78" name="Column96" queryTableFieldId="78"/>
    <tableColumn id="79" xr3:uid="{90D41642-4EAF-4809-8073-9CB9D62FDB07}" uniqueName="79" name="Column97" queryTableFieldId="79"/>
    <tableColumn id="80" xr3:uid="{BAFD45C8-E482-485C-BC6E-6FDEDB042FCD}" uniqueName="80" name="Column98" queryTableFieldId="80"/>
    <tableColumn id="81" xr3:uid="{6DD1EEE7-DE4F-4DAC-90CE-31304D05C5A5}" uniqueName="81" name="Column99" queryTableFieldId="81"/>
    <tableColumn id="82" xr3:uid="{ECDBD7D7-C53E-42B3-B4FE-F87C08744450}" uniqueName="82" name="Column100" queryTableFieldId="82"/>
    <tableColumn id="83" xr3:uid="{B7D8BCA4-ABD5-4962-8715-6EFFD89DF975}" uniqueName="83" name="Column101" queryTableFieldId="83"/>
    <tableColumn id="84" xr3:uid="{24425E40-2A45-4483-B677-EE83BE51B48F}" uniqueName="84" name="Column102" queryTableFieldId="84"/>
    <tableColumn id="85" xr3:uid="{478FFA96-70D5-4D39-9D58-BD124D2E24EC}" uniqueName="85" name="Column103" queryTableFieldId="85"/>
    <tableColumn id="86" xr3:uid="{07FE6094-80D4-4D3F-8F4D-92EE3154F151}" uniqueName="86" name="Column104" queryTableFieldId="86"/>
    <tableColumn id="87" xr3:uid="{828A1729-493C-4E9D-8846-7A7B79F9F42F}" uniqueName="87" name="Column105" queryTableFieldId="87"/>
    <tableColumn id="88" xr3:uid="{7BD3FAA5-E293-4674-A29F-882079721F74}" uniqueName="88" name="Column106" queryTableFieldId="88"/>
    <tableColumn id="89" xr3:uid="{117BE479-265B-4CD1-B317-FB0C85D88BEF}" uniqueName="89" name="Column107" queryTableFieldId="89"/>
    <tableColumn id="90" xr3:uid="{D479E302-6CF1-4219-AB13-49F99D57EA14}" uniqueName="90" name="Column108" queryTableFieldId="90"/>
    <tableColumn id="91" xr3:uid="{0A5AC32E-C5BC-4BF1-964F-083775802132}" uniqueName="91" name="Column109" queryTableFieldId="91"/>
    <tableColumn id="92" xr3:uid="{569C4978-2871-4007-A915-EBEB0AD8EA65}" uniqueName="92" name="Column110" queryTableFieldId="92"/>
    <tableColumn id="93" xr3:uid="{9B8394DF-9866-4CEC-ADE8-09B771764032}" uniqueName="93" name="Column111" queryTableFieldId="9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AE12E9-3C69-4A6B-BA10-40B02E40DFAF}" name="ARRENDAMIENTOS" displayName="ARRENDAMIENTOS" ref="A1:KT209" tableType="queryTable" totalsRowShown="0">
  <autoFilter ref="A1:KT209" xr:uid="{06AE12E9-3C69-4A6B-BA10-40B02E40DFAF}"/>
  <tableColumns count="306">
    <tableColumn id="307" xr3:uid="{A8D5A74E-82B7-4CD6-B2EC-8C7F061F571A}" uniqueName="307" name="Arrendamiento 1" queryTableFieldId="307"/>
    <tableColumn id="2" xr3:uid="{0E1FA92A-61C6-4FDB-B247-E6FB9B3D398A}" uniqueName="2" name="Column2" queryTableFieldId="2"/>
    <tableColumn id="308" xr3:uid="{0FF403FF-FC2A-495F-83E8-132194FE231C}" uniqueName="308" name="719091" queryTableFieldId="308"/>
    <tableColumn id="309" xr3:uid="{36FC695B-ADF4-45BA-97DB-F85FC40A5387}" uniqueName="309" name="CONTRATO:  A2010017" queryTableFieldId="309"/>
    <tableColumn id="5" xr3:uid="{6F8D68B5-3A9C-400F-AAB7-78E06A0969FF}" uniqueName="5" name="Column5" queryTableFieldId="5"/>
    <tableColumn id="6" xr3:uid="{4C2C2D53-3AA5-48BC-A63E-161C09F7B16E}" uniqueName="6" name="Column6" queryTableFieldId="6"/>
    <tableColumn id="7" xr3:uid="{63298737-3B83-481E-817A-635A550185C5}" uniqueName="7" name="Column7" queryTableFieldId="7"/>
    <tableColumn id="8" xr3:uid="{347EC268-700F-4550-BEF7-62300A9C39D0}" uniqueName="8" name="Column8" queryTableFieldId="8"/>
    <tableColumn id="9" xr3:uid="{E74A6283-3765-465C-9CFA-8B1EAC8997A9}" uniqueName="9" name="Column9" queryTableFieldId="9"/>
    <tableColumn id="310" xr3:uid="{33FCFABD-B72D-4C11-8774-0B529D185CD6}" uniqueName="310" name="Arrendamiento 2" queryTableFieldId="310"/>
    <tableColumn id="11" xr3:uid="{87C8E413-374D-4ABF-A712-45554E92A853}" uniqueName="11" name="Column11" queryTableFieldId="11"/>
    <tableColumn id="311" xr3:uid="{820130B7-3926-4A05-B309-A4FC94F4CFC6}" uniqueName="311" name="72430" queryTableFieldId="311"/>
    <tableColumn id="312" xr3:uid="{0ADF1E4F-36BB-4EEE-8D7C-AA0B67AF8881}" uniqueName="312" name="CONTRATO A2012015" queryTableFieldId="312"/>
    <tableColumn id="14" xr3:uid="{BE9C9DC3-C409-4BD1-8543-8AAA0E2DA3A1}" uniqueName="14" name="Column14" queryTableFieldId="14"/>
    <tableColumn id="15" xr3:uid="{3E53A6F0-AC27-414C-9C57-9483B69DCC43}" uniqueName="15" name="Column15" queryTableFieldId="15"/>
    <tableColumn id="313" xr3:uid="{6FC4FDF1-0885-40E0-8F78-D9CC6CE16556}" uniqueName="313" name="Tiene seguro" queryTableFieldId="313"/>
    <tableColumn id="17" xr3:uid="{ACA07702-0FCF-4680-AF4C-493E284E7748}" uniqueName="17" name="Column17" queryTableFieldId="17"/>
    <tableColumn id="18" xr3:uid="{D20D907B-56FD-4994-99EB-B3494E7E9AAA}" uniqueName="18" name="Column18" queryTableFieldId="18"/>
    <tableColumn id="314" xr3:uid="{89E30529-97EB-49AE-AB80-62F97A031351}" uniqueName="314" name="Arrendamiento 3" queryTableFieldId="314"/>
    <tableColumn id="20" xr3:uid="{18A62623-63D1-4C78-9D89-5BBA04D0EBCA}" uniqueName="20" name="Column20" queryTableFieldId="20"/>
    <tableColumn id="315" xr3:uid="{7AE0B64C-23B8-4343-BCF8-1CC07ADA81F6}" uniqueName="315" name="72424" queryTableFieldId="315"/>
    <tableColumn id="316" xr3:uid="{8E590331-5A11-4B34-A76D-AF4F85937850}" uniqueName="316" name="CONTRATO:  A2012016" queryTableFieldId="316"/>
    <tableColumn id="23" xr3:uid="{369A6605-8D49-4C9D-A994-AC3DEBEC8DDA}" uniqueName="23" name="Column23" queryTableFieldId="23"/>
    <tableColumn id="24" xr3:uid="{2330FF6D-DF60-42E9-A270-BBF9D86CE3DE}" uniqueName="24" name="Column24" queryTableFieldId="24"/>
    <tableColumn id="317" xr3:uid="{9CB63BBA-F717-4E2A-BFA7-A84F68D6A82E}" uniqueName="317" name="Tiene seguro_1" queryTableFieldId="317"/>
    <tableColumn id="26" xr3:uid="{4801FA0F-4CBD-4742-9477-4B1AA3778277}" uniqueName="26" name="Column26" queryTableFieldId="26"/>
    <tableColumn id="27" xr3:uid="{0FE6D065-912D-4814-9A08-E3911AB445DF}" uniqueName="27" name="Column27" queryTableFieldId="27"/>
    <tableColumn id="318" xr3:uid="{9E46943F-D91B-43E1-B0D7-DCC0CF2060E9}" uniqueName="318" name="Arrendamiento 4" queryTableFieldId="318"/>
    <tableColumn id="29" xr3:uid="{EC3A1DBC-C9E6-4632-9D1D-114BC31E0346}" uniqueName="29" name="Column29" queryTableFieldId="29"/>
    <tableColumn id="319" xr3:uid="{A1648152-2021-40FB-AA3D-75F7AAB2FEA5}" uniqueName="319" name="88501" queryTableFieldId="319"/>
    <tableColumn id="320" xr3:uid="{AB301A89-9FCE-4BD5-A02C-0F35E5DF19C0}" uniqueName="320" name="CONTRATO: A2211006" queryTableFieldId="320"/>
    <tableColumn id="32" xr3:uid="{9BC3AE87-5666-48C6-B559-F4FCBAA17CCB}" uniqueName="32" name="Column32" queryTableFieldId="32"/>
    <tableColumn id="33" xr3:uid="{5F780D98-22B7-4543-90F9-561104F12E82}" uniqueName="33" name="Column33" queryTableFieldId="33"/>
    <tableColumn id="34" xr3:uid="{5D28929B-0121-495C-BD99-7DEF58C2F3B2}" uniqueName="34" name="Column34" queryTableFieldId="34"/>
    <tableColumn id="35" xr3:uid="{EB89DEA9-4078-4F29-A89E-8B9A7C18B349}" uniqueName="35" name="Column35" queryTableFieldId="35"/>
    <tableColumn id="36" xr3:uid="{4C03514C-B76F-4876-A62F-21A626882931}" uniqueName="36" name="Column36" queryTableFieldId="36"/>
    <tableColumn id="321" xr3:uid="{D8C9B8C2-0EF3-4FD7-ADB3-9D7F961F03C1}" uniqueName="321" name="Arrendamiento 5" queryTableFieldId="321"/>
    <tableColumn id="38" xr3:uid="{B7A52336-AAD2-4DEF-88FE-E310A953259F}" uniqueName="38" name="Column38" queryTableFieldId="38"/>
    <tableColumn id="322" xr3:uid="{BFCFF692-8AF5-4CA1-9AB0-B83AC4311096}" uniqueName="322" name="76185" queryTableFieldId="322"/>
    <tableColumn id="323" xr3:uid="{8BD3BD3A-F888-4E0A-87E0-0E003D83173D}" uniqueName="323" name="CONTRATO: A2107045" queryTableFieldId="323"/>
    <tableColumn id="41" xr3:uid="{FECDB027-D089-4C0E-B1F4-6DC98655B1E2}" uniqueName="41" name="Column41" queryTableFieldId="41"/>
    <tableColumn id="42" xr3:uid="{991F0AC8-BF6A-4E7C-B873-8136C92DAFB2}" uniqueName="42" name="Column42" queryTableFieldId="42"/>
    <tableColumn id="43" xr3:uid="{CB575CCB-626C-4DED-A32A-8EE9034FF4CE}" uniqueName="43" name="Column43" queryTableFieldId="43"/>
    <tableColumn id="44" xr3:uid="{9392B568-7AB4-4AC5-9545-8E6D81C15390}" uniqueName="44" name="Column44" queryTableFieldId="44"/>
    <tableColumn id="45" xr3:uid="{9E6D3A2A-20FF-42DD-8671-2FB3D66C2F70}" uniqueName="45" name="Column45" queryTableFieldId="45"/>
    <tableColumn id="324" xr3:uid="{E7F5EB3A-96B4-4733-ABCC-D673C7607E19}" uniqueName="324" name="Arrendamiento 6" queryTableFieldId="324"/>
    <tableColumn id="47" xr3:uid="{73D5EBE6-CC75-4175-A0A8-4A09CE5EDC06}" uniqueName="47" name="Column47" queryTableFieldId="47"/>
    <tableColumn id="325" xr3:uid="{F23A612E-6C4A-439C-A3E9-689A337FF564}" uniqueName="325" name="79436" queryTableFieldId="325"/>
    <tableColumn id="326" xr3:uid="{B4BE9C6A-A794-4C00-B6C3-40C7A61DE2EB}" uniqueName="326" name="CONTRATO:  A2203002" queryTableFieldId="326"/>
    <tableColumn id="50" xr3:uid="{A4FD9500-2741-411B-8016-E9113F20A03D}" uniqueName="50" name="Column50" queryTableFieldId="50"/>
    <tableColumn id="51" xr3:uid="{29378BAA-46FA-4FA0-983C-3C0E49F007C9}" uniqueName="51" name="Column51" queryTableFieldId="51"/>
    <tableColumn id="327" xr3:uid="{CBD86492-B866-42A6-992D-D28535977D9F}" uniqueName="327" name="Tiene seguro_2" queryTableFieldId="327"/>
    <tableColumn id="53" xr3:uid="{0C50FAB9-B24F-47FB-9F7E-13A4FF93E589}" uniqueName="53" name="Column53" queryTableFieldId="53"/>
    <tableColumn id="54" xr3:uid="{A1E11722-FBC7-42DD-A1D7-2AA77B65C344}" uniqueName="54" name="Column54" queryTableFieldId="54"/>
    <tableColumn id="328" xr3:uid="{86F575A0-EA97-44C9-8E94-D5F031A8CE7A}" uniqueName="328" name="Arrendamiento 7" queryTableFieldId="328"/>
    <tableColumn id="56" xr3:uid="{27CADA73-9495-4C3F-B67D-62EA1E52A284}" uniqueName="56" name="Column56" queryTableFieldId="56"/>
    <tableColumn id="329" xr3:uid="{95DE72E3-A542-4D19-86B6-1B31A29029C6}" uniqueName="329" name="79741" queryTableFieldId="329"/>
    <tableColumn id="330" xr3:uid="{673D3AA9-6996-4340-8F9A-17FA84309DD5}" uniqueName="330" name="CONTRATO: A2203032" queryTableFieldId="330"/>
    <tableColumn id="59" xr3:uid="{A3F567AA-97CD-4922-916A-DE415FD786DD}" uniqueName="59" name="Column59" queryTableFieldId="59"/>
    <tableColumn id="60" xr3:uid="{6D35B8BA-8144-482B-803A-1CE65AD32DE4}" uniqueName="60" name="Column60" queryTableFieldId="60"/>
    <tableColumn id="331" xr3:uid="{8479292D-F303-4299-B91F-C9EC8EF52DF6}" uniqueName="331" name="Tiene seguro_3" queryTableFieldId="331"/>
    <tableColumn id="62" xr3:uid="{65EAEAF0-1E9B-4166-B15D-1DEBEDB9969B}" uniqueName="62" name="Column62" queryTableFieldId="62"/>
    <tableColumn id="63" xr3:uid="{CFEAE545-C45F-4001-B57D-EDD189EBB10B}" uniqueName="63" name="Column63" queryTableFieldId="63"/>
    <tableColumn id="332" xr3:uid="{EEEEC078-3A08-427A-A882-EE784F1180C9}" uniqueName="332" name="Arrendamiento 8" queryTableFieldId="332"/>
    <tableColumn id="65" xr3:uid="{21DBCDEB-CF03-46C0-859E-6400C941A394}" uniqueName="65" name="Column65" queryTableFieldId="65"/>
    <tableColumn id="333" xr3:uid="{67986AC4-D96F-4D16-953E-EA5EACEE5085}" uniqueName="333" name="83689" queryTableFieldId="333"/>
    <tableColumn id="334" xr3:uid="{E68AB711-06A5-4661-B4AC-AF80C1D31B56}" uniqueName="334" name="CONTRATO: A2211005" queryTableFieldId="334"/>
    <tableColumn id="68" xr3:uid="{4D9BCA0A-1196-43A3-9E85-D9CEA2A588A4}" uniqueName="68" name="Column68" queryTableFieldId="68"/>
    <tableColumn id="69" xr3:uid="{98E14E6B-F523-4575-A520-38DA287600AF}" uniqueName="69" name="Column69" queryTableFieldId="69"/>
    <tableColumn id="335" xr3:uid="{0029BF46-6105-4A74-A7F0-DFA7A0195799}" uniqueName="335" name="Tiene seguro_4" queryTableFieldId="335"/>
    <tableColumn id="71" xr3:uid="{45457619-A5E4-42CE-A2AD-8722EA864491}" uniqueName="71" name="Column71" queryTableFieldId="71"/>
    <tableColumn id="72" xr3:uid="{3A299583-C928-4C7F-861F-7E298CAFBC73}" uniqueName="72" name="Column72" queryTableFieldId="72"/>
    <tableColumn id="336" xr3:uid="{B7AF8E72-DF8C-4C62-96B8-2582E203BAE6}" uniqueName="336" name="Arrendamiento 9" queryTableFieldId="336"/>
    <tableColumn id="74" xr3:uid="{87F178B5-BAB6-4F2D-A7E1-D4C310207861}" uniqueName="74" name="Column74" queryTableFieldId="74"/>
    <tableColumn id="337" xr3:uid="{D19E491C-E87E-4DC4-9D91-6B711CEA2218}" uniqueName="337" name="83690" queryTableFieldId="337"/>
    <tableColumn id="338" xr3:uid="{0D153EC8-31AA-45F4-A83A-34934720D747}" uniqueName="338" name="CONTRATO: A2211004" queryTableFieldId="338"/>
    <tableColumn id="77" xr3:uid="{B263B6B7-F9C2-4735-B176-46514D3AE651}" uniqueName="77" name="Column77" queryTableFieldId="77"/>
    <tableColumn id="78" xr3:uid="{C168D9CF-E186-49E8-8A48-C24151D568AD}" uniqueName="78" name="Column78" queryTableFieldId="78"/>
    <tableColumn id="339" xr3:uid="{FA044B1F-2072-4F90-9D30-DC546025BB59}" uniqueName="339" name="Tiene seguro_5" queryTableFieldId="339"/>
    <tableColumn id="80" xr3:uid="{D67862B4-623B-4C61-AB1A-CEF78C03DAD7}" uniqueName="80" name="Column80" queryTableFieldId="80"/>
    <tableColumn id="81" xr3:uid="{10647CA0-FE6D-41B9-BD92-4D254F74F5AC}" uniqueName="81" name="Column81" queryTableFieldId="81"/>
    <tableColumn id="340" xr3:uid="{A59557CC-5AAC-4B43-8B8D-92AD7AF5A0B2}" uniqueName="340" name="Arrendamiento 10" queryTableFieldId="340"/>
    <tableColumn id="83" xr3:uid="{31CE3803-9922-4AC1-B51D-7F5E0F00F584}" uniqueName="83" name="Column83" queryTableFieldId="83"/>
    <tableColumn id="341" xr3:uid="{504B8E87-DE8F-4693-AD8F-A14735161C3C}" uniqueName="341" name="88492" queryTableFieldId="341"/>
    <tableColumn id="342" xr3:uid="{9B58EDB6-3005-4C9B-80C3-A0015CDEFB8F}" uniqueName="342" name="CONTRATO A2307022" queryTableFieldId="342"/>
    <tableColumn id="86" xr3:uid="{21F2906B-0748-488C-B34A-3F868D9F44C8}" uniqueName="86" name="Column86" queryTableFieldId="86"/>
    <tableColumn id="87" xr3:uid="{1DBDB379-5AA3-4906-A08C-3B045CB7CE12}" uniqueName="87" name="Column87" queryTableFieldId="87"/>
    <tableColumn id="88" xr3:uid="{9351ED93-4DFB-489C-B8B5-BABE0DE9CCDE}" uniqueName="88" name="Column88" queryTableFieldId="88"/>
    <tableColumn id="89" xr3:uid="{B832AE29-8F93-4E6C-A615-772F83637987}" uniqueName="89" name="Column89" queryTableFieldId="89"/>
    <tableColumn id="90" xr3:uid="{FE24CBA9-122D-4A11-BCD2-BBF2CC658636}" uniqueName="90" name="Column90" queryTableFieldId="90"/>
    <tableColumn id="343" xr3:uid="{3C9A4326-101C-4144-9310-4F4F6CEDD174}" uniqueName="343" name="Arrendamiento 11" queryTableFieldId="343"/>
    <tableColumn id="92" xr3:uid="{A68E05D5-823C-4E66-8EFA-80CBA5A2226D}" uniqueName="92" name="Column92" queryTableFieldId="92"/>
    <tableColumn id="344" xr3:uid="{AA395508-BB94-42DE-86FE-C7A7EDA14882}" uniqueName="344" name="88494" queryTableFieldId="344"/>
    <tableColumn id="345" xr3:uid="{9D7BC075-82B4-4BC4-A711-C8CDDDD754EE}" uniqueName="345" name="CONTRATO A2307021" queryTableFieldId="345"/>
    <tableColumn id="95" xr3:uid="{357BCC35-D2CB-4856-A13C-0B5592D37AA7}" uniqueName="95" name="Column95" queryTableFieldId="95"/>
    <tableColumn id="96" xr3:uid="{F4347136-2178-4EE3-BFC9-0172A933B3AA}" uniqueName="96" name="Column96" queryTableFieldId="96"/>
    <tableColumn id="97" xr3:uid="{BF4EFE3F-D480-4294-82CF-A935DD8EC457}" uniqueName="97" name="Column97" queryTableFieldId="97"/>
    <tableColumn id="98" xr3:uid="{5040AD8A-B201-4652-A7F0-BC1CF5063EBB}" uniqueName="98" name="Column98" queryTableFieldId="98"/>
    <tableColumn id="99" xr3:uid="{7D915983-C7C6-4081-AF59-E8125F4F043B}" uniqueName="99" name="Column99" queryTableFieldId="99"/>
    <tableColumn id="346" xr3:uid="{707BBD8F-9AA4-4E95-BE13-C944A2ED5E38}" uniqueName="346" name="Arrendamiento 12" queryTableFieldId="346"/>
    <tableColumn id="101" xr3:uid="{069FD9E2-ECE8-4E68-AB2D-6908D1DBEED8}" uniqueName="101" name="Column101" queryTableFieldId="101"/>
    <tableColumn id="347" xr3:uid="{A3E70422-5C4F-4F77-B6EE-63FF122597CB}" uniqueName="347" name="88495" queryTableFieldId="347"/>
    <tableColumn id="348" xr3:uid="{52FFCCEE-5312-4AA1-9FA2-FA6A455759EA}" uniqueName="348" name="CONTRATO A2307020" queryTableFieldId="348"/>
    <tableColumn id="104" xr3:uid="{9FC3E2CF-92CD-4E17-80D9-2A52F15F6F5B}" uniqueName="104" name="Column104" queryTableFieldId="104"/>
    <tableColumn id="105" xr3:uid="{52E17C6E-EB16-4B53-8FBF-D69095F954CE}" uniqueName="105" name="Column105" queryTableFieldId="105"/>
    <tableColumn id="106" xr3:uid="{22A03965-C00F-4053-AFBF-33E191718BAD}" uniqueName="106" name="Column106" queryTableFieldId="106"/>
    <tableColumn id="107" xr3:uid="{6416C486-708F-4D30-98C6-88861425FCCF}" uniqueName="107" name="Column107" queryTableFieldId="107"/>
    <tableColumn id="108" xr3:uid="{CA427763-EF38-445A-9DCE-0B51D76DF20D}" uniqueName="108" name="Column108" queryTableFieldId="108"/>
    <tableColumn id="349" xr3:uid="{CD0D9AB3-3ECB-41BF-AADA-B96AB8047A9E}" uniqueName="349" name="Arrendamiento 13 Arrenda+" queryTableFieldId="349"/>
    <tableColumn id="110" xr3:uid="{37AE9455-6F00-4850-ABDA-B498E3FF6128}" uniqueName="110" name="Column110" queryTableFieldId="110"/>
    <tableColumn id="350" xr3:uid="{2A3D3BC5-BC39-4CAE-9ED3-8013F28577D9}" uniqueName="350" name="88496" queryTableFieldId="350"/>
    <tableColumn id="351" xr3:uid="{C0A72E56-7E97-4FC0-9093-A37F91409D50}" uniqueName="351" name="CONTRATO A2307018" queryTableFieldId="351"/>
    <tableColumn id="113" xr3:uid="{28FD170B-6978-4276-A56E-68B7F9AEA030}" uniqueName="113" name="Column113" queryTableFieldId="113"/>
    <tableColumn id="114" xr3:uid="{B87D213D-8D54-4170-A32C-B930E06D7A4B}" uniqueName="114" name="Column114" queryTableFieldId="114"/>
    <tableColumn id="115" xr3:uid="{974F9157-B2DC-4CE7-A757-DF81091AFC96}" uniqueName="115" name="Column115" queryTableFieldId="115"/>
    <tableColumn id="116" xr3:uid="{68F67A5C-203D-4903-8F97-4507EC30AACF}" uniqueName="116" name="Column116" queryTableFieldId="116"/>
    <tableColumn id="117" xr3:uid="{187222CA-61CF-4614-B576-CB1504A8F09D}" uniqueName="117" name="Column117" queryTableFieldId="117"/>
    <tableColumn id="352" xr3:uid="{69B3CF35-6A93-481F-A949-45FDE0796F90}" uniqueName="352" name="Arrendamiento 14 Arrenda+" queryTableFieldId="352"/>
    <tableColumn id="119" xr3:uid="{B634FA8F-5339-4E08-B247-A41006C83A5B}" uniqueName="119" name="Column119" queryTableFieldId="119"/>
    <tableColumn id="353" xr3:uid="{AB2BAAAA-F00C-4ED1-AE6F-AE5209662C45}" uniqueName="353" name="88493" queryTableFieldId="353"/>
    <tableColumn id="354" xr3:uid="{AA394761-E765-47AB-BDF5-C7FC886B4844}" uniqueName="354" name="CONTRATO A2307019" queryTableFieldId="354"/>
    <tableColumn id="122" xr3:uid="{A339BE30-A8A6-4BD7-98DA-B088D86E27A0}" uniqueName="122" name="Column122" queryTableFieldId="122"/>
    <tableColumn id="123" xr3:uid="{64B261B1-75BA-485D-9E56-9300EEEC8AEE}" uniqueName="123" name="Column123" queryTableFieldId="123"/>
    <tableColumn id="124" xr3:uid="{7ED347AB-0ADA-4749-AAE3-ECAFD59CFF27}" uniqueName="124" name="Column124" queryTableFieldId="124"/>
    <tableColumn id="125" xr3:uid="{DC30AB08-B771-4352-8534-FC1C8CDAAE3D}" uniqueName="125" name="Column125" queryTableFieldId="125"/>
    <tableColumn id="126" xr3:uid="{8BAAA399-45D9-4782-9E2E-B13B991B3163}" uniqueName="126" name="Column126" queryTableFieldId="126"/>
    <tableColumn id="355" xr3:uid="{A979300D-64D2-4ABA-8FE1-AB0474FDB6A4}" uniqueName="355" name="Arrendamiento 15 Arrenda+" queryTableFieldId="355"/>
    <tableColumn id="128" xr3:uid="{16BE0EDE-126C-4CB3-9331-3CE881B40FB2}" uniqueName="128" name="Column128" queryTableFieldId="128"/>
    <tableColumn id="356" xr3:uid="{F790306A-988B-48EF-AF77-9C6515655CC1}" uniqueName="356" name="88501_6" queryTableFieldId="356"/>
    <tableColumn id="357" xr3:uid="{5D0FE528-CC7C-478E-8AB2-9416836E7D6B}" uniqueName="357" name="CONTRATO A2307017" queryTableFieldId="357"/>
    <tableColumn id="131" xr3:uid="{4A7F7688-7941-41B2-9947-43A8FC3ABA9F}" uniqueName="131" name="Column131" queryTableFieldId="131"/>
    <tableColumn id="132" xr3:uid="{26F5F098-239C-49F0-8C39-1EEE79BF3272}" uniqueName="132" name="Column132" queryTableFieldId="132"/>
    <tableColumn id="133" xr3:uid="{0C9C07E3-8049-4474-8AF6-1841CAC28F50}" uniqueName="133" name="Column133" queryTableFieldId="133"/>
    <tableColumn id="134" xr3:uid="{7DE50086-3E16-4DD3-9FBF-8F4FFDBF377D}" uniqueName="134" name="Column134" queryTableFieldId="134"/>
    <tableColumn id="135" xr3:uid="{F1E84CF5-50F1-4C91-A788-22A4DEB2C657}" uniqueName="135" name="Column135" queryTableFieldId="135"/>
    <tableColumn id="358" xr3:uid="{3DE850D3-2B8F-401F-8AEB-106922595D24}" uniqueName="358" name="Arrendamiento 16 Xanalab" queryTableFieldId="358"/>
    <tableColumn id="137" xr3:uid="{5BBADD4B-12DB-46F6-91C7-AF1F416A973E}" uniqueName="137" name="Column137" queryTableFieldId="137"/>
    <tableColumn id="359" xr3:uid="{36B55397-F25C-43BB-8F70-D8D8EB1369C9}" uniqueName="359" name="83801" queryTableFieldId="359"/>
    <tableColumn id="360" xr3:uid="{DD718425-A721-450E-8517-5643FCE980D6}" uniqueName="360" name="CONTRATO A2211015" queryTableFieldId="360"/>
    <tableColumn id="140" xr3:uid="{05188642-E095-4DAC-8AA3-474C6B35BA2C}" uniqueName="140" name="Column140" queryTableFieldId="140"/>
    <tableColumn id="141" xr3:uid="{E30EAD7E-29DE-4B96-9D1D-E6D5BAAA71E0}" uniqueName="141" name="Column141" queryTableFieldId="141"/>
    <tableColumn id="142" xr3:uid="{FA782F88-5953-4A1E-83D3-0D44BD9CEBF5}" uniqueName="142" name="Column142" queryTableFieldId="142"/>
    <tableColumn id="143" xr3:uid="{FF889DDF-1F3C-4B51-AE93-DF161C52F7D3}" uniqueName="143" name="Column143" queryTableFieldId="143"/>
    <tableColumn id="144" xr3:uid="{A053ED70-AC88-4F02-A8C3-44CFA95AB122}" uniqueName="144" name="Column144" queryTableFieldId="144"/>
    <tableColumn id="361" xr3:uid="{3B0BD86A-0D37-4E20-BC8E-CB76552B5E1A}" uniqueName="361" name="Arrendamiento 17 Motormexa CONTRATO N.505-01" queryTableFieldId="361"/>
    <tableColumn id="146" xr3:uid="{AEDA111E-885F-416E-B9C8-A0445BD05E75}" uniqueName="146" name="Column146" queryTableFieldId="146"/>
    <tableColumn id="147" xr3:uid="{7A9B73BA-3A5E-4002-BE52-09489B7D4BCB}" uniqueName="147" name="Column147" queryTableFieldId="147"/>
    <tableColumn id="362" xr3:uid="{08EAE405-9E2A-4966-A947-5ED0B0C3CE6C}" uniqueName="362" name="PAGARE 0505-001" queryTableFieldId="362"/>
    <tableColumn id="149" xr3:uid="{868CF7FF-83B2-4D2D-9434-E3B1F175A966}" uniqueName="149" name="Column149" queryTableFieldId="149"/>
    <tableColumn id="150" xr3:uid="{1DA704C4-600D-432E-9F6D-3DE946656783}" uniqueName="150" name="Column150" queryTableFieldId="150"/>
    <tableColumn id="151" xr3:uid="{7AA203E2-CA4F-4B38-A80E-486D2FEE8A44}" uniqueName="151" name="Column151" queryTableFieldId="151"/>
    <tableColumn id="152" xr3:uid="{7FC09F8F-8588-4752-AD21-2DA7977969B5}" uniqueName="152" name="Column152" queryTableFieldId="152"/>
    <tableColumn id="363" xr3:uid="{D96DD69E-FEF5-4292-9948-757BCBBCE71E}" uniqueName="363" name="Arrendamiento 18 Motormexa CONTRATO N.505-02" queryTableFieldId="363"/>
    <tableColumn id="154" xr3:uid="{04C94009-0DB3-4F79-AE38-482655370114}" uniqueName="154" name="Column154" queryTableFieldId="154"/>
    <tableColumn id="155" xr3:uid="{DBF39890-3DFD-43BD-BE35-C184CB44D6C1}" uniqueName="155" name="Column155" queryTableFieldId="155"/>
    <tableColumn id="364" xr3:uid="{90DC1096-5805-45D0-A2C7-12521CEEAC7A}" uniqueName="364" name="PAGARE 0505-002" queryTableFieldId="364"/>
    <tableColumn id="157" xr3:uid="{9BD9BFFF-22C1-49FC-83C6-D1060442993F}" uniqueName="157" name="Column157" queryTableFieldId="157"/>
    <tableColumn id="158" xr3:uid="{857C079E-F5D9-474B-998E-D3AE01285CDC}" uniqueName="158" name="Column158" queryTableFieldId="158"/>
    <tableColumn id="159" xr3:uid="{800A68F9-9874-4900-AD4E-2A9761AA00EE}" uniqueName="159" name="Column159" queryTableFieldId="159"/>
    <tableColumn id="160" xr3:uid="{0C79AC39-29AC-4718-92B8-AB6908CAA704}" uniqueName="160" name="Column160" queryTableFieldId="160"/>
    <tableColumn id="365" xr3:uid="{84580A35-F0A2-47DF-99A8-AE8018764DD9}" uniqueName="365" name="Arrendamiento 19 Motormexa CONTRATO N.505-03" queryTableFieldId="365"/>
    <tableColumn id="162" xr3:uid="{FCF6ABBF-8A7C-430F-A6FB-F8F2A5359327}" uniqueName="162" name="Column162" queryTableFieldId="162"/>
    <tableColumn id="163" xr3:uid="{E0D4698E-66D6-429D-8CCA-B037EF3194E4}" uniqueName="163" name="Column163" queryTableFieldId="163"/>
    <tableColumn id="366" xr3:uid="{F4BA901D-BCA4-48CE-B096-92A682126F3D}" uniqueName="366" name="PAGARE 0505-003" queryTableFieldId="366"/>
    <tableColumn id="165" xr3:uid="{EE1D08FE-3365-430E-857E-9DE878CEB044}" uniqueName="165" name="Column165" queryTableFieldId="165"/>
    <tableColumn id="166" xr3:uid="{47DC325C-2AAE-4C6B-A9E2-4A13F30E5911}" uniqueName="166" name="Column166" queryTableFieldId="166"/>
    <tableColumn id="167" xr3:uid="{C042EF60-3D08-43C8-931F-F5E382920FA4}" uniqueName="167" name="Column167" queryTableFieldId="167"/>
    <tableColumn id="168" xr3:uid="{30F767CD-57C2-4B26-A680-238EBDA423F8}" uniqueName="168" name="Column168" queryTableFieldId="168"/>
    <tableColumn id="367" xr3:uid="{0D93E030-43F0-4D16-BF3C-AF797C9E0333}" uniqueName="367" name="Arrendamiento 20 Motormexa CONTRATO N.505-04" queryTableFieldId="367"/>
    <tableColumn id="170" xr3:uid="{0D25A285-EB2F-4EB9-8E4D-41EFA3F8C5FB}" uniqueName="170" name="Column170" queryTableFieldId="170"/>
    <tableColumn id="171" xr3:uid="{03B660B6-C39D-4904-9D9B-4D0A3C8588CF}" uniqueName="171" name="Column171" queryTableFieldId="171"/>
    <tableColumn id="368" xr3:uid="{07F24956-BE48-4D1F-ADE2-E72542A640AF}" uniqueName="368" name="PAGARE 0505-004" queryTableFieldId="368"/>
    <tableColumn id="173" xr3:uid="{33B5738E-7107-47A9-89D7-8128BD2BD8D3}" uniqueName="173" name="Column173" queryTableFieldId="173"/>
    <tableColumn id="174" xr3:uid="{3808AC56-AB41-4511-B9FF-B031082046B2}" uniqueName="174" name="Column174" queryTableFieldId="174"/>
    <tableColumn id="175" xr3:uid="{066F01D8-BE7E-4A44-9DFF-14F26D8EB2A0}" uniqueName="175" name="Column175" queryTableFieldId="175"/>
    <tableColumn id="176" xr3:uid="{C0ECFD7B-AD67-47A0-9D5D-77A54FAFAA0A}" uniqueName="176" name="Column176" queryTableFieldId="176"/>
    <tableColumn id="369" xr3:uid="{6AFAE6C2-BFEA-4AAC-9E6D-F8FC3820FE81}" uniqueName="369" name="Arrendamiento 21 Motormexa CONTRATO N.505-05" queryTableFieldId="369"/>
    <tableColumn id="178" xr3:uid="{89D2CE19-39A1-4CAA-A7B8-EECD4FF92AED}" uniqueName="178" name="Column178" queryTableFieldId="178"/>
    <tableColumn id="179" xr3:uid="{8CB2028C-9644-4BE3-AA6F-E02883F4EDE5}" uniqueName="179" name="Column179" queryTableFieldId="179"/>
    <tableColumn id="370" xr3:uid="{A27A8CD1-EDD3-4AED-8EA4-697177706E62}" uniqueName="370" name="PAGARE 0505-005" queryTableFieldId="370"/>
    <tableColumn id="181" xr3:uid="{12775FBA-BCEC-4581-B321-DD4E99441850}" uniqueName="181" name="Column181" queryTableFieldId="181"/>
    <tableColumn id="182" xr3:uid="{20EFD4ED-55CF-46D5-8011-AE234DAB9AE3}" uniqueName="182" name="Column182" queryTableFieldId="182"/>
    <tableColumn id="183" xr3:uid="{FC87B852-FF37-4CE9-8C7B-04E79E5BD987}" uniqueName="183" name="Column183" queryTableFieldId="183"/>
    <tableColumn id="184" xr3:uid="{064F28EE-1BA0-4232-AE15-5AE7B6F5DDD6}" uniqueName="184" name="Column184" queryTableFieldId="184"/>
    <tableColumn id="371" xr3:uid="{95D7EE18-4667-4933-A0F9-78473CF611F1}" uniqueName="371" name="Arrendamiento 22 Motormexa CONTRATO N.505-06" queryTableFieldId="371"/>
    <tableColumn id="186" xr3:uid="{A0A8E33F-7886-488A-A9AC-3DC136D76F5F}" uniqueName="186" name="Column186" queryTableFieldId="186"/>
    <tableColumn id="187" xr3:uid="{B87C42C1-C831-42C5-88E1-237AA2A98416}" uniqueName="187" name="Column187" queryTableFieldId="187"/>
    <tableColumn id="372" xr3:uid="{147E2D44-2BF0-4C80-B116-3079CB1F8D27}" uniqueName="372" name="PAGARE 0505-006" queryTableFieldId="372"/>
    <tableColumn id="189" xr3:uid="{E7B76B2D-E6CF-4075-8A1E-84CBF527210A}" uniqueName="189" name="Column189" queryTableFieldId="189"/>
    <tableColumn id="190" xr3:uid="{890C8D62-6D7B-4325-9704-3A3C8B29C97A}" uniqueName="190" name="Column190" queryTableFieldId="190"/>
    <tableColumn id="191" xr3:uid="{04C25C87-1827-458D-931F-787D57A9A3AD}" uniqueName="191" name="Column191" queryTableFieldId="191"/>
    <tableColumn id="192" xr3:uid="{8C9B1014-7125-498A-B3ED-DB031B5E7D4D}" uniqueName="192" name="Column192" queryTableFieldId="192"/>
    <tableColumn id="373" xr3:uid="{167760C2-C8AF-43C0-918F-1BE6B56BD4BA}" uniqueName="373" name="Arrendamiento 23 Motormexa CONTRATO N.505-07" queryTableFieldId="373"/>
    <tableColumn id="194" xr3:uid="{965BC61E-CAE2-4692-9094-E9460DD25883}" uniqueName="194" name="Column194" queryTableFieldId="194"/>
    <tableColumn id="195" xr3:uid="{BFDA7997-22BF-4C07-99E8-CAEEAB280BC7}" uniqueName="195" name="Column195" queryTableFieldId="195"/>
    <tableColumn id="374" xr3:uid="{CEEC9A07-2AA1-4DEA-B63A-8C82ABDDEACF}" uniqueName="374" name="PAGARE 0505-007" queryTableFieldId="374"/>
    <tableColumn id="197" xr3:uid="{EFC5B4AE-8CA2-47B5-BE8B-F385E5782747}" uniqueName="197" name="Column197" queryTableFieldId="197"/>
    <tableColumn id="198" xr3:uid="{E7C5722F-E9E1-403F-8A9B-7987FA098FBA}" uniqueName="198" name="Column198" queryTableFieldId="198"/>
    <tableColumn id="199" xr3:uid="{944D5432-679E-4DAB-9D6F-B3DAB2E34867}" uniqueName="199" name="Column199" queryTableFieldId="199"/>
    <tableColumn id="200" xr3:uid="{E23FCF84-6ACE-4E5C-B01D-7A25279119EC}" uniqueName="200" name="Column200" queryTableFieldId="200"/>
    <tableColumn id="375" xr3:uid="{135B394D-3A56-4102-9D08-DE306113D577}" uniqueName="375" name="Arrendamiento 24 Motormexa CONTRATO N.505-08" queryTableFieldId="375"/>
    <tableColumn id="202" xr3:uid="{2561A8C3-E603-4AF6-B463-83D4EDA0A15E}" uniqueName="202" name="Column202" queryTableFieldId="202"/>
    <tableColumn id="203" xr3:uid="{85CBAC38-A835-4758-860D-359C6246D9D6}" uniqueName="203" name="Column203" queryTableFieldId="203"/>
    <tableColumn id="376" xr3:uid="{8B544E37-5B5C-49C0-943B-58F5957B250B}" uniqueName="376" name="PAGARE 0505-008" queryTableFieldId="376"/>
    <tableColumn id="205" xr3:uid="{8ADB6895-F567-4FE8-A040-4151B5DAC6D6}" uniqueName="205" name="Column205" queryTableFieldId="205"/>
    <tableColumn id="206" xr3:uid="{8888C7DD-B139-4D08-8E2F-486090ADC790}" uniqueName="206" name="Column206" queryTableFieldId="206"/>
    <tableColumn id="207" xr3:uid="{5EE47ADC-EC04-4AA6-965B-0710C590618F}" uniqueName="207" name="Column207" queryTableFieldId="207"/>
    <tableColumn id="208" xr3:uid="{9CBBEA87-A71E-457A-96C5-495550568164}" uniqueName="208" name="Column208" queryTableFieldId="208"/>
    <tableColumn id="377" xr3:uid="{335E8384-60AD-4421-AAFF-76B3042FA158}" uniqueName="377" name="Arrendamiento 25 Motormexa CONTRATO N.505-09" queryTableFieldId="377"/>
    <tableColumn id="210" xr3:uid="{D8ACD86D-C304-4D6E-A802-69F5FCA9B69F}" uniqueName="210" name="Column210" queryTableFieldId="210"/>
    <tableColumn id="211" xr3:uid="{7D42B1B0-48B1-44C1-9293-E57415923513}" uniqueName="211" name="Column211" queryTableFieldId="211"/>
    <tableColumn id="378" xr3:uid="{1AB46598-F45E-46CB-9373-4C10BEF961ED}" uniqueName="378" name="PAGARE 0505-009" queryTableFieldId="378"/>
    <tableColumn id="213" xr3:uid="{066A1A6F-6372-4AAE-90D4-71CBE731FFCA}" uniqueName="213" name="Column213" queryTableFieldId="213"/>
    <tableColumn id="214" xr3:uid="{03D0C6D1-5B71-4949-90EC-EDBB2219AE98}" uniqueName="214" name="Column214" queryTableFieldId="214"/>
    <tableColumn id="215" xr3:uid="{BD0E7A0E-E98D-46C3-AA70-AE23D3556096}" uniqueName="215" name="Column215" queryTableFieldId="215"/>
    <tableColumn id="216" xr3:uid="{C9FB7022-1EBF-4889-8A76-0C3D817FDDCB}" uniqueName="216" name="Column216" queryTableFieldId="216"/>
    <tableColumn id="379" xr3:uid="{925E9717-7DDF-4450-B27D-DE730B4F8FA3}" uniqueName="379" name="Arrendamiento 26 Motormexa CONTRATO N.505-10" queryTableFieldId="379"/>
    <tableColumn id="218" xr3:uid="{1A85310E-B685-41A1-8445-ED4B8EDDC573}" uniqueName="218" name="Column218" queryTableFieldId="218"/>
    <tableColumn id="219" xr3:uid="{05C94652-BF43-400B-BED3-067F2DBC9706}" uniqueName="219" name="Column219" queryTableFieldId="219"/>
    <tableColumn id="380" xr3:uid="{8A2F10B3-4E07-43ED-B586-0F5FDD2DA252}" uniqueName="380" name="PAGARE 0505-010" queryTableFieldId="380"/>
    <tableColumn id="221" xr3:uid="{1636A53F-1C5B-4882-8631-F60BCDFCBA15}" uniqueName="221" name="Column221" queryTableFieldId="221"/>
    <tableColumn id="222" xr3:uid="{5DC195BF-247F-4DBF-A018-83312E84711D}" uniqueName="222" name="Column222" queryTableFieldId="222"/>
    <tableColumn id="223" xr3:uid="{89D775C3-09E3-48D8-AA55-2D613410DA82}" uniqueName="223" name="Column223" queryTableFieldId="223"/>
    <tableColumn id="224" xr3:uid="{E4FBED73-6C0E-4833-87AA-A82FC866096C}" uniqueName="224" name="Column224" queryTableFieldId="224"/>
    <tableColumn id="381" xr3:uid="{970482F2-34B2-41FA-8029-C39B0F9D0B68}" uniqueName="381" name="Arrendamiento 19 Unifin" queryTableFieldId="381"/>
    <tableColumn id="226" xr3:uid="{DFADB7B3-58FB-442E-A3A1-57889BFDB684}" uniqueName="226" name="Column226" queryTableFieldId="226"/>
    <tableColumn id="227" xr3:uid="{05FD9CDA-2D94-4BCE-AA5C-D0A749B63D1E}" uniqueName="227" name="Column227" queryTableFieldId="227"/>
    <tableColumn id="382" xr3:uid="{D30E8B5A-8FF1-4060-8A8E-27EAF43B7CE3}" uniqueName="382" name="CONTRATO: 9945" queryTableFieldId="382"/>
    <tableColumn id="229" xr3:uid="{8CCD85B4-5B6F-4B47-9301-2010F8CD5668}" uniqueName="229" name="Column229" queryTableFieldId="229"/>
    <tableColumn id="230" xr3:uid="{05E7F615-FBBA-41F8-97D5-DDCDC35CF9AE}" uniqueName="230" name="Column230" queryTableFieldId="230"/>
    <tableColumn id="231" xr3:uid="{829B2B3D-4E90-4FC6-AF8D-26623273E4E3}" uniqueName="231" name="Column231" queryTableFieldId="231"/>
    <tableColumn id="232" xr3:uid="{874220FA-7161-4C2C-8975-DECA9E705C9E}" uniqueName="232" name="Column232" queryTableFieldId="232"/>
    <tableColumn id="383" xr3:uid="{0F41E61B-524E-4333-9763-31C5056172D7}" uniqueName="383" name="Arrendamiento 20 Optima" queryTableFieldId="383"/>
    <tableColumn id="234" xr3:uid="{0E5FF11A-2491-4625-A97A-D91BFDE3F145}" uniqueName="234" name="Column234" queryTableFieldId="234"/>
    <tableColumn id="235" xr3:uid="{68A92A72-8417-42A9-977E-A7E11362D674}" uniqueName="235" name="Column235" queryTableFieldId="235"/>
    <tableColumn id="384" xr3:uid="{0A9DA4E6-7CFE-4BF7-9C71-F30DD2578F35}" uniqueName="384" name="CONTRATO: AO2208001" queryTableFieldId="384"/>
    <tableColumn id="237" xr3:uid="{877067D8-2EF9-4E27-A8D5-2BF538158871}" uniqueName="237" name="Column237" queryTableFieldId="237"/>
    <tableColumn id="238" xr3:uid="{87D8628A-A990-4671-BC4B-E35979257100}" uniqueName="238" name="Column238" queryTableFieldId="238"/>
    <tableColumn id="239" xr3:uid="{2C657489-A5CA-498A-BE16-D036CD9CDBA4}" uniqueName="239" name="Column239" queryTableFieldId="239"/>
    <tableColumn id="240" xr3:uid="{F55B3E6B-C923-460F-8F0A-A68CBEE1A7DA}" uniqueName="240" name="Column240" queryTableFieldId="240"/>
    <tableColumn id="385" xr3:uid="{5C7EB30D-D741-49C0-B181-693327C5D956}" uniqueName="385" name="Arrendamiento eq computo 1" queryTableFieldId="385"/>
    <tableColumn id="242" xr3:uid="{5BA307E5-59CA-4638-A654-16374B76FF04}" uniqueName="242" name="Column242" queryTableFieldId="242"/>
    <tableColumn id="386" xr3:uid="{A7AB7243-CFD3-472C-8A5B-D67DBB12D307}" uniqueName="386" name=" " queryTableFieldId="386"/>
    <tableColumn id="387" xr3:uid="{A0EF5822-F4A7-46B3-910F-9924817674C3}" uniqueName="387" name=" _7" queryTableFieldId="387"/>
    <tableColumn id="245" xr3:uid="{0A11BFAB-44E9-4AAC-8124-7563DFDC93BF}" uniqueName="245" name="Column245" queryTableFieldId="245"/>
    <tableColumn id="246" xr3:uid="{489E5D18-0894-4AFD-86E7-227E5023DCAD}" uniqueName="246" name="Column246" queryTableFieldId="246"/>
    <tableColumn id="247" xr3:uid="{179DCF37-E2D3-47DB-8B19-0ABF8E503F59}" uniqueName="247" name="Column247" queryTableFieldId="247"/>
    <tableColumn id="248" xr3:uid="{88B458D6-39E9-45DA-A4EF-22C5612457E2}" uniqueName="248" name="Column248" queryTableFieldId="248"/>
    <tableColumn id="388" xr3:uid="{13BA8E0A-7180-4945-A8E5-8FD3D9415962}" uniqueName="388" name="Arrendamiento eq computo 2" queryTableFieldId="388"/>
    <tableColumn id="250" xr3:uid="{B66F1D7A-F75D-43E7-9971-485AB5545F8A}" uniqueName="250" name="Column250" queryTableFieldId="250"/>
    <tableColumn id="389" xr3:uid="{1B2656B2-CA0A-4632-A7AA-37EB30135753}" uniqueName="389" name=" _8" queryTableFieldId="389"/>
    <tableColumn id="390" xr3:uid="{A6C3BEB8-E514-4A6E-8A14-4DDB1327C19F}" uniqueName="390" name=" _9" queryTableFieldId="390"/>
    <tableColumn id="253" xr3:uid="{D3BDDDB6-C6BF-4F46-89ED-449683A60D54}" uniqueName="253" name="Column253" queryTableFieldId="253"/>
    <tableColumn id="254" xr3:uid="{6D643AF6-CCD5-4871-BF7B-7E52539717E0}" uniqueName="254" name="Column254" queryTableFieldId="254"/>
    <tableColumn id="255" xr3:uid="{003E06A5-BB8C-49FC-8C96-449A7A7B4292}" uniqueName="255" name="Column255" queryTableFieldId="255"/>
    <tableColumn id="256" xr3:uid="{7A0684EB-3AEA-4B4B-9F92-90D9733A87A0}" uniqueName="256" name="Column256" queryTableFieldId="256"/>
    <tableColumn id="391" xr3:uid="{C08C6824-6D9C-4AC5-AD58-B22CCE757D8E}" uniqueName="391" name="Arrendamiento eq computo 3" queryTableFieldId="391"/>
    <tableColumn id="258" xr3:uid="{E091B3B4-5FC7-40A6-A385-45F9A6F51595}" uniqueName="258" name="Column258" queryTableFieldId="258"/>
    <tableColumn id="392" xr3:uid="{4540A7A3-447B-4A81-B7AF-8858DD76AFEC}" uniqueName="392" name=" _10" queryTableFieldId="392"/>
    <tableColumn id="393" xr3:uid="{E8489AD9-4F0E-4A86-B114-3342958CFEE1}" uniqueName="393" name=" _11" queryTableFieldId="393"/>
    <tableColumn id="261" xr3:uid="{374A58B2-EC23-4EBA-BB8F-A1553BCA6F8B}" uniqueName="261" name="Column261" queryTableFieldId="261"/>
    <tableColumn id="262" xr3:uid="{19379996-5F7C-4182-9347-701851824018}" uniqueName="262" name="Column262" queryTableFieldId="262"/>
    <tableColumn id="263" xr3:uid="{D188A3B5-13C8-4FD2-B94F-C892E3BD7836}" uniqueName="263" name="Column263" queryTableFieldId="263"/>
    <tableColumn id="264" xr3:uid="{3D310238-2701-463A-91F7-1B8A477C12FD}" uniqueName="264" name="Column264" queryTableFieldId="264"/>
    <tableColumn id="394" xr3:uid="{E9E98A99-B505-4261-84A9-5B0486021CB9}" uniqueName="394" name="Arrendamiento eq computo 4" queryTableFieldId="394"/>
    <tableColumn id="266" xr3:uid="{0640B2BB-9128-46B8-A459-6177969980BA}" uniqueName="266" name="Column266" queryTableFieldId="266"/>
    <tableColumn id="395" xr3:uid="{1149EA23-150A-4D69-9972-59D6433EF776}" uniqueName="395" name=" _12" queryTableFieldId="395"/>
    <tableColumn id="396" xr3:uid="{1D8F2C22-131D-4BAC-9E44-204D7FDC5E1E}" uniqueName="396" name=" _13" queryTableFieldId="396"/>
    <tableColumn id="269" xr3:uid="{01E371AC-834C-41DB-9265-2336F447D8EC}" uniqueName="269" name="Column269" queryTableFieldId="269"/>
    <tableColumn id="270" xr3:uid="{E2C80182-35FD-4E45-AFC2-203519633E8F}" uniqueName="270" name="Column270" queryTableFieldId="270"/>
    <tableColumn id="271" xr3:uid="{93D77245-BC71-4349-A4F5-F79E1F841F25}" uniqueName="271" name="Column271" queryTableFieldId="271"/>
    <tableColumn id="272" xr3:uid="{F1FF637E-E090-4DF5-993B-F1909DC9A2EE}" uniqueName="272" name="Column272" queryTableFieldId="272"/>
    <tableColumn id="397" xr3:uid="{38BDEA00-7B2C-47EF-9994-96E7A03B81E6}" uniqueName="397" name="Arrendamiento eq computo 5" queryTableFieldId="397"/>
    <tableColumn id="274" xr3:uid="{1B9904B9-3C05-4F69-A541-A9D55DC6FA04}" uniqueName="274" name="Column274" queryTableFieldId="274"/>
    <tableColumn id="398" xr3:uid="{B8644141-38D1-428E-8D5B-99F60186E3B9}" uniqueName="398" name=" _14" queryTableFieldId="398"/>
    <tableColumn id="399" xr3:uid="{35B3FF94-3114-47DD-8916-9EB03D280064}" uniqueName="399" name=" _15" queryTableFieldId="399"/>
    <tableColumn id="277" xr3:uid="{4A9DD410-B0CF-4E0B-B57D-B22348C74A59}" uniqueName="277" name="Column277" queryTableFieldId="277"/>
    <tableColumn id="278" xr3:uid="{F5AA2EAB-3882-4F11-B8DF-64B6331E0291}" uniqueName="278" name="Column278" queryTableFieldId="278"/>
    <tableColumn id="279" xr3:uid="{1840C5A4-DAB6-4582-9CC7-5F04FD730CF5}" uniqueName="279" name="Column279" queryTableFieldId="279"/>
    <tableColumn id="280" xr3:uid="{29FEF84C-323F-4B55-B56B-E31836A4643B}" uniqueName="280" name="Column280" queryTableFieldId="280"/>
    <tableColumn id="400" xr3:uid="{28EB5717-E743-419B-A092-02FF0C20B4A4}" uniqueName="400" name="Arrendamiento eq computo 6" queryTableFieldId="400"/>
    <tableColumn id="282" xr3:uid="{842B97A5-78B2-4E8C-BEEA-E9AA52F2EC2F}" uniqueName="282" name="Column282" queryTableFieldId="282"/>
    <tableColumn id="401" xr3:uid="{59884D08-A895-4C88-970D-F178F82ECFAB}" uniqueName="401" name=" _16" queryTableFieldId="401"/>
    <tableColumn id="402" xr3:uid="{7CCB8E23-9442-40B5-8F22-906B02BA4092}" uniqueName="402" name=" _17" queryTableFieldId="402"/>
    <tableColumn id="285" xr3:uid="{E0435985-96F9-41DC-AC51-EF3FD06F128D}" uniqueName="285" name="Column285" queryTableFieldId="285"/>
    <tableColumn id="286" xr3:uid="{73D4F43F-2F8C-4D0A-B9AC-5B1410A0A020}" uniqueName="286" name="Column286" queryTableFieldId="286"/>
    <tableColumn id="287" xr3:uid="{61EC19D8-AE1D-4061-9FC5-EA9C9F5EB7DA}" uniqueName="287" name="Column287" queryTableFieldId="287"/>
    <tableColumn id="288" xr3:uid="{A9F1D66F-5CD1-4891-9737-F849E8092726}" uniqueName="288" name="Column288" queryTableFieldId="288"/>
    <tableColumn id="403" xr3:uid="{2F806CA6-4AD0-44A6-8A83-61CE12DE0198}" uniqueName="403" name="Total arrendamientos" queryTableFieldId="403"/>
    <tableColumn id="290" xr3:uid="{6EE494F3-D0E1-46DB-B502-BC1B76168B9F}" uniqueName="290" name="Column290" queryTableFieldId="290"/>
    <tableColumn id="291" xr3:uid="{94DCA3A4-EBDA-450E-9F66-F60602EA3827}" uniqueName="291" name="Column291" queryTableFieldId="291"/>
    <tableColumn id="292" xr3:uid="{7E1CB485-B01B-4555-A5C5-D02C419CE8C4}" uniqueName="292" name="Column292" queryTableFieldId="292"/>
    <tableColumn id="293" xr3:uid="{86B81224-EF5A-4AC8-AF10-C02CC204C690}" uniqueName="293" name="Column293" queryTableFieldId="293"/>
    <tableColumn id="294" xr3:uid="{4E1E919C-94E2-4332-BB56-6CBB705833F6}" uniqueName="294" name="Column294" queryTableFieldId="294"/>
    <tableColumn id="295" xr3:uid="{182BDCDB-99E0-4A06-9E34-5CFACD62AFF2}" uniqueName="295" name="Column295" queryTableFieldId="295"/>
    <tableColumn id="296" xr3:uid="{EC58034C-176E-45BA-A47D-088B69AD8A23}" uniqueName="296" name="Column296" queryTableFieldId="296"/>
    <tableColumn id="297" xr3:uid="{996E1F58-BFAC-4730-BD54-14B0CFCC3A6D}" uniqueName="297" name="Column297" queryTableFieldId="297"/>
    <tableColumn id="404" xr3:uid="{73B89CFE-306A-4918-8CE9-18A75FDB7B29}" uniqueName="404" name="Arrendamiento 1_18" queryTableFieldId="404" dataDxfId="286"/>
    <tableColumn id="299" xr3:uid="{5682148A-8982-4062-A12A-EEC36DDD44C5}" uniqueName="299" name="Column299" queryTableFieldId="299"/>
    <tableColumn id="405" xr3:uid="{FFF1915E-E8B0-45EC-9AFC-00ED8627797A}" uniqueName="405" name="719091_19" queryTableFieldId="405"/>
    <tableColumn id="406" xr3:uid="{62A57503-30DD-4193-82E5-EC043DB47A31}" uniqueName="406" name="CONTRATO:  A2010017_20" queryTableFieldId="406" dataDxfId="285"/>
    <tableColumn id="302" xr3:uid="{2A89B7BF-32CE-42DB-BA42-2D2327BE11D9}" uniqueName="302" name="Column302" queryTableFieldId="302"/>
    <tableColumn id="303" xr3:uid="{4A715D73-E30E-40F3-AB89-9724972EDCCA}" uniqueName="303" name="Column303" queryTableFieldId="303" dataDxfId="284"/>
    <tableColumn id="304" xr3:uid="{571F8E85-36F6-4C3C-9935-C50C726AA73A}" uniqueName="304" name="Column304" queryTableFieldId="304" dataDxfId="283"/>
    <tableColumn id="305" xr3:uid="{F9735311-163E-48B9-ADFB-6CEBA44DBC31}" uniqueName="305" name="Column305" queryTableFieldId="305"/>
    <tableColumn id="306" xr3:uid="{7157C390-D0F5-48E9-B28D-385AD2E4EA9D}" uniqueName="306" name="Column306" queryTableFieldId="306" dataDxfId="28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921537-7CE3-4336-AABB-0C9CD1BFD06A}" name="BIOMIRAL_PVT_LBL" displayName="BIOMIRAL_PVT_LBL" ref="A1:CQ42" tableType="queryTable" totalsRowShown="0" dataDxfId="281">
  <autoFilter ref="A1:CQ42" xr:uid="{41921537-7CE3-4336-AABB-0C9CD1BFD06A}"/>
  <tableColumns count="95">
    <tableColumn id="96" xr3:uid="{48909EF8-A185-473C-B91D-2CA2D97C26A6}" uniqueName="96" name="Column1" queryTableFieldId="96" dataDxfId="280"/>
    <tableColumn id="97" xr3:uid="{622C073C-F428-4AA4-860B-03F3739FE281}" uniqueName="97" name="Column2" queryTableFieldId="97" dataDxfId="279"/>
    <tableColumn id="98" xr3:uid="{B57F092A-6926-49AE-9B5C-0E76BBF78C43}" uniqueName="98" name="Column3" queryTableFieldId="98" dataDxfId="278"/>
    <tableColumn id="99" xr3:uid="{82DC4677-C3ED-4ABF-9DBB-A50D491D29A8}" uniqueName="99" name="Column4" queryTableFieldId="99" dataDxfId="277"/>
    <tableColumn id="100" xr3:uid="{7A5E74BA-A9A3-4EE4-9A7A-173A5200301C}" uniqueName="100" name="Column5" queryTableFieldId="100" dataDxfId="276"/>
    <tableColumn id="6" xr3:uid="{26F01BB3-3DCF-4E76-A7D5-EF1DBE5D8532}" uniqueName="6" name="Column6" queryTableFieldId="6" dataDxfId="275"/>
    <tableColumn id="101" xr3:uid="{C7C546B5-82DC-4BDB-BED3-67A8EE794E97}" uniqueName="101" name="Column7" queryTableFieldId="101" dataDxfId="274"/>
    <tableColumn id="102" xr3:uid="{81904F5B-8A9C-4290-B6EB-77C8B3ECE34E}" uniqueName="102" name="Column8" queryTableFieldId="102" dataDxfId="273"/>
    <tableColumn id="103" xr3:uid="{E4528A78-B6FB-491B-AEF0-B351EBE819B4}" uniqueName="103" name="Column9" queryTableFieldId="103" dataDxfId="272"/>
    <tableColumn id="104" xr3:uid="{F7F7AD73-0375-4D70-BBCF-7FCCE6013C3B}" uniqueName="104" name="Column10" queryTableFieldId="104" dataDxfId="271"/>
    <tableColumn id="105" xr3:uid="{91EAA7EB-9D61-4FAE-BD3F-C89247076041}" uniqueName="105" name="Column11" queryTableFieldId="105" dataDxfId="270"/>
    <tableColumn id="106" xr3:uid="{FAB2C9CA-AA7D-4F1B-92FF-D90A09B34388}" uniqueName="106" name="Column12" queryTableFieldId="106" dataDxfId="269"/>
    <tableColumn id="107" xr3:uid="{3B7F0D38-2B43-43B3-8170-5862D7908A69}" uniqueName="107" name="Column13" queryTableFieldId="107" dataDxfId="268"/>
    <tableColumn id="108" xr3:uid="{DFDCF9F5-0134-441A-9C40-58D2D5C2CAD3}" uniqueName="108" name="Column14" queryTableFieldId="108" dataDxfId="267"/>
    <tableColumn id="109" xr3:uid="{B02D6BBD-34CE-44E1-A2F6-815FD35D8FCE}" uniqueName="109" name="Column15" queryTableFieldId="109" dataDxfId="266"/>
    <tableColumn id="110" xr3:uid="{0030BEE4-D4AA-472D-BB6D-AD46E39443A0}" uniqueName="110" name="Column16" queryTableFieldId="110" dataDxfId="265"/>
    <tableColumn id="111" xr3:uid="{697BF98B-8C04-426F-9210-9C471031430F}" uniqueName="111" name="Column17" queryTableFieldId="111" dataDxfId="264"/>
    <tableColumn id="112" xr3:uid="{30F9B606-4AB7-4A1A-957C-C0C9AE452F97}" uniqueName="112" name="Column18" queryTableFieldId="112" dataDxfId="263"/>
    <tableColumn id="113" xr3:uid="{4D49F9D0-85ED-4E60-B1E0-77139C045E13}" uniqueName="113" name="Column19" queryTableFieldId="113" dataDxfId="262"/>
    <tableColumn id="20" xr3:uid="{99EBDE54-E637-4420-9F73-A50B9D8F7432}" uniqueName="20" name="Column20" queryTableFieldId="20" dataDxfId="261"/>
    <tableColumn id="114" xr3:uid="{27B52EA8-76FD-44D5-B399-0993F1DBA1BB}" uniqueName="114" name="Column21" queryTableFieldId="114" dataDxfId="260"/>
    <tableColumn id="115" xr3:uid="{DDC4AF2D-A87F-434C-9D30-B76CF23CE9BD}" uniqueName="115" name="Column22" queryTableFieldId="115" dataDxfId="259"/>
    <tableColumn id="116" xr3:uid="{716D8505-94EE-4AF2-A3B4-1ED850D09CD8}" uniqueName="116" name="Column23" queryTableFieldId="116" dataDxfId="258"/>
    <tableColumn id="117" xr3:uid="{104B6892-C9EE-40FB-A0AF-B6FF5CC4FC0D}" uniqueName="117" name="Column24" queryTableFieldId="117" dataDxfId="257"/>
    <tableColumn id="118" xr3:uid="{209464CE-6A64-469D-9C37-B510FFC1B2FA}" uniqueName="118" name="Column25" queryTableFieldId="118" dataDxfId="256"/>
    <tableColumn id="119" xr3:uid="{013F6E97-A634-4B14-9496-D38686F92D79}" uniqueName="119" name="Column26" queryTableFieldId="119" dataDxfId="255"/>
    <tableColumn id="120" xr3:uid="{48D6E07F-66B5-4DBF-A219-B76A28FE34C2}" uniqueName="120" name="Column27" queryTableFieldId="120" dataDxfId="254"/>
    <tableColumn id="121" xr3:uid="{B3A5C5DC-1FEF-4F09-A5B5-BA97B9B010CB}" uniqueName="121" name="Column28" queryTableFieldId="121" dataDxfId="253"/>
    <tableColumn id="122" xr3:uid="{913D1575-47A0-4527-94AC-12C4D8FF11B0}" uniqueName="122" name="Column29" queryTableFieldId="122" dataDxfId="252"/>
    <tableColumn id="123" xr3:uid="{CA59CF50-A984-48BB-9DBB-74376A2D2181}" uniqueName="123" name="Column30" queryTableFieldId="123" dataDxfId="251"/>
    <tableColumn id="124" xr3:uid="{E5478CD4-888E-4A3B-A613-458449E8AD39}" uniqueName="124" name="Column31" queryTableFieldId="124" dataDxfId="250"/>
    <tableColumn id="125" xr3:uid="{38151731-AFA4-4BDE-ADD9-DF268C821222}" uniqueName="125" name="Column32" queryTableFieldId="125" dataDxfId="249"/>
    <tableColumn id="126" xr3:uid="{ED15FADB-45AE-46F3-B13E-FCC5D9FF5C24}" uniqueName="126" name="Column33" queryTableFieldId="126" dataDxfId="248"/>
    <tableColumn id="34" xr3:uid="{5E8D83F9-1E91-4312-B85F-3458C08479EA}" uniqueName="34" name="Column34" queryTableFieldId="34" dataDxfId="247"/>
    <tableColumn id="127" xr3:uid="{763FDC65-C0D1-44DA-8F86-47A0905CA910}" uniqueName="127" name="Column35" queryTableFieldId="127" dataDxfId="246"/>
    <tableColumn id="128" xr3:uid="{29318C1C-87C1-441D-A3F9-FE4E7572090D}" uniqueName="128" name="Column36" queryTableFieldId="128" dataDxfId="245"/>
    <tableColumn id="129" xr3:uid="{CBC469EC-C768-40E2-BC01-FA6263983584}" uniqueName="129" name="Column37" queryTableFieldId="129" dataDxfId="244"/>
    <tableColumn id="130" xr3:uid="{861093DC-2340-4BF6-A00A-9C7DAE7DE533}" uniqueName="130" name="Column38" queryTableFieldId="130" dataDxfId="243"/>
    <tableColumn id="131" xr3:uid="{914F4B5A-75C2-416C-972D-046ECBFC63DD}" uniqueName="131" name="Column39" queryTableFieldId="131" dataDxfId="242"/>
    <tableColumn id="132" xr3:uid="{DA985AF8-DF4B-4A48-8DAA-6AF77C2B9202}" uniqueName="132" name="Column40" queryTableFieldId="132" dataDxfId="241"/>
    <tableColumn id="133" xr3:uid="{03495C50-70FC-4BBB-ACDB-C94FA56140FD}" uniqueName="133" name="Column41" queryTableFieldId="133" dataDxfId="240"/>
    <tableColumn id="134" xr3:uid="{F7C3958D-AD69-4C13-B0F7-8794EB5455CE}" uniqueName="134" name="Column42" queryTableFieldId="134" dataDxfId="239"/>
    <tableColumn id="135" xr3:uid="{812C1408-3C5B-49A8-9BF1-1D933307E83F}" uniqueName="135" name="Column43" queryTableFieldId="135" dataDxfId="238"/>
    <tableColumn id="136" xr3:uid="{30A625C9-7850-4566-85C1-61CE88AFACB5}" uniqueName="136" name="Column44" queryTableFieldId="136" dataDxfId="237"/>
    <tableColumn id="137" xr3:uid="{78AE6486-E127-40A5-A1E9-A217C67A8AAE}" uniqueName="137" name="Column45" queryTableFieldId="137" dataDxfId="236"/>
    <tableColumn id="138" xr3:uid="{6AD43B50-CB36-4672-BD14-A89371D9D846}" uniqueName="138" name="Column46" queryTableFieldId="138" dataDxfId="235"/>
    <tableColumn id="139" xr3:uid="{E58D96D2-BF54-4E66-8F9F-3CFD4D99E35E}" uniqueName="139" name="Column47" queryTableFieldId="139" dataDxfId="234"/>
    <tableColumn id="48" xr3:uid="{ED4DB156-CE04-4F38-82AB-3FF9F736616F}" uniqueName="48" name="Column48" queryTableFieldId="48" dataDxfId="233"/>
    <tableColumn id="140" xr3:uid="{F71EE3C3-FB8D-4D57-8DB4-5BBAFD533270}" uniqueName="140" name="Column49" queryTableFieldId="140" dataDxfId="232"/>
    <tableColumn id="141" xr3:uid="{66B3E501-D2FF-4A73-956E-E61FB86BBADA}" uniqueName="141" name="Column50" queryTableFieldId="141" dataDxfId="231"/>
    <tableColumn id="142" xr3:uid="{1518B1D4-ACAD-4A87-BF04-482BF49873CD}" uniqueName="142" name="Column51" queryTableFieldId="142" dataDxfId="230"/>
    <tableColumn id="143" xr3:uid="{B1FBD2E4-AF2D-4396-A83E-3899978BCD08}" uniqueName="143" name="Column52" queryTableFieldId="143" dataDxfId="229"/>
    <tableColumn id="144" xr3:uid="{D76D26EF-EC8E-4072-881A-EA9F1572FB0B}" uniqueName="144" name="Column53" queryTableFieldId="144" dataDxfId="228"/>
    <tableColumn id="145" xr3:uid="{561656FC-D410-4385-B42E-C960C78B7EBA}" uniqueName="145" name="Column54" queryTableFieldId="145" dataDxfId="227"/>
    <tableColumn id="146" xr3:uid="{9A8E5B53-034F-443C-96F0-CFE46EA7AAC6}" uniqueName="146" name="Column55" queryTableFieldId="146" dataDxfId="226"/>
    <tableColumn id="147" xr3:uid="{C38BB86D-9899-49C7-8A6C-9DF496D67D23}" uniqueName="147" name="Column56" queryTableFieldId="147" dataDxfId="225"/>
    <tableColumn id="148" xr3:uid="{5DFF6BFD-7D7B-431E-9479-1F545E4EDF3A}" uniqueName="148" name="Column57" queryTableFieldId="148" dataDxfId="224"/>
    <tableColumn id="149" xr3:uid="{AF89DFAE-6F27-4878-B1E4-58D3C8AC7EAB}" uniqueName="149" name="Column58" queryTableFieldId="149" dataDxfId="223"/>
    <tableColumn id="150" xr3:uid="{2DDBB5FE-D30C-4479-B6B4-1BC36311CC54}" uniqueName="150" name="Column59" queryTableFieldId="150" dataDxfId="222"/>
    <tableColumn id="151" xr3:uid="{76C72961-0E31-4EA4-A33B-034A937A2C48}" uniqueName="151" name="Column60" queryTableFieldId="151" dataDxfId="221"/>
    <tableColumn id="152" xr3:uid="{F84BC393-ADA1-458F-9668-A1223FC9F141}" uniqueName="152" name="Column61" queryTableFieldId="152" dataDxfId="220"/>
    <tableColumn id="62" xr3:uid="{952CC03B-42B4-4AE9-A462-CA0546747DA3}" uniqueName="62" name="Column62" queryTableFieldId="62" dataDxfId="219"/>
    <tableColumn id="153" xr3:uid="{BC4366A8-0D18-4E0A-B507-D8E90BDDA115}" uniqueName="153" name="Column63" queryTableFieldId="153" dataDxfId="218"/>
    <tableColumn id="154" xr3:uid="{4A06023F-9AE5-4BBD-A85F-82D576E720D7}" uniqueName="154" name="Column64" queryTableFieldId="154" dataDxfId="217"/>
    <tableColumn id="155" xr3:uid="{EE5E8D4B-1FFF-44A3-A035-7C2FDB1A3CB0}" uniqueName="155" name="Column65" queryTableFieldId="155" dataDxfId="216"/>
    <tableColumn id="156" xr3:uid="{61D7C2FC-855A-4C2C-A33A-52517465A536}" uniqueName="156" name="Column66" queryTableFieldId="156" dataDxfId="215"/>
    <tableColumn id="157" xr3:uid="{FE2525CA-1228-4784-A023-A752B7A086D7}" uniqueName="157" name="Column67" queryTableFieldId="157" dataDxfId="214"/>
    <tableColumn id="158" xr3:uid="{583390CB-78F0-41C6-9991-7EC8E26C26AC}" uniqueName="158" name="Column68" queryTableFieldId="158" dataDxfId="213"/>
    <tableColumn id="159" xr3:uid="{FD5DCF07-5BFC-4027-BD4C-072360586112}" uniqueName="159" name="Column69" queryTableFieldId="159" dataDxfId="212"/>
    <tableColumn id="160" xr3:uid="{013B7E5F-A05D-4EC8-9680-B35E6C37FAB3}" uniqueName="160" name="Column70" queryTableFieldId="160" dataDxfId="211"/>
    <tableColumn id="161" xr3:uid="{F86E562C-E541-4E67-9E7D-1C63A47E5951}" uniqueName="161" name="Column71" queryTableFieldId="161" dataDxfId="210"/>
    <tableColumn id="162" xr3:uid="{6A70F181-4BFC-40F3-823B-4560C47619E5}" uniqueName="162" name="Column72" queryTableFieldId="162" dataDxfId="209"/>
    <tableColumn id="163" xr3:uid="{0F72E1DE-1EFF-4C8E-902A-16C65C37979F}" uniqueName="163" name="Column73" queryTableFieldId="163" dataDxfId="208"/>
    <tableColumn id="164" xr3:uid="{2C2B4C16-53F3-44E4-AF9A-B75F29A39D27}" uniqueName="164" name="Column74" queryTableFieldId="164" dataDxfId="207"/>
    <tableColumn id="165" xr3:uid="{0557C7D1-13C7-4702-8AC2-30284F8EC2DE}" uniqueName="165" name="Column75" queryTableFieldId="165" dataDxfId="206"/>
    <tableColumn id="166" xr3:uid="{5311373E-9BBF-49C3-975B-7860DDF1B0F3}" uniqueName="166" name="Column76" queryTableFieldId="166" dataDxfId="205"/>
    <tableColumn id="167" xr3:uid="{3D53F148-258A-4831-AEAA-33EF787C3A09}" uniqueName="167" name="Column77" queryTableFieldId="167" dataDxfId="204"/>
    <tableColumn id="168" xr3:uid="{252102CF-0EC7-4EB6-8E05-06E1099F08C6}" uniqueName="168" name="Column78" queryTableFieldId="168" dataDxfId="203"/>
    <tableColumn id="169" xr3:uid="{B00A7963-8D16-45EA-946A-5E54BC8CCA28}" uniqueName="169" name="Column79" queryTableFieldId="169" dataDxfId="202"/>
    <tableColumn id="170" xr3:uid="{DD05BE2F-AAED-4BDA-8645-64102032C361}" uniqueName="170" name="Column80" queryTableFieldId="170" dataDxfId="201"/>
    <tableColumn id="81" xr3:uid="{FE3F5BEC-0C29-4A42-B706-15E21B33352A}" uniqueName="81" name="Column81" queryTableFieldId="81" dataDxfId="200"/>
    <tableColumn id="171" xr3:uid="{12FA8C51-D782-451E-8541-08BEC32AB513}" uniqueName="171" name="Column82" queryTableFieldId="171" dataDxfId="199"/>
    <tableColumn id="172" xr3:uid="{DE0324B4-1D95-4D68-B48E-D0D3D89F129D}" uniqueName="172" name="Column83" queryTableFieldId="172" dataDxfId="198"/>
    <tableColumn id="173" xr3:uid="{9F302848-48E3-42D1-B904-F5F27D12C08B}" uniqueName="173" name="Column84" queryTableFieldId="173" dataDxfId="197"/>
    <tableColumn id="174" xr3:uid="{B285FBFD-B081-4EB0-BA35-BE4150BEC52C}" uniqueName="174" name="Column85" queryTableFieldId="174" dataDxfId="196"/>
    <tableColumn id="175" xr3:uid="{02B72949-5F52-4DB3-B6CF-C6EC14F9177B}" uniqueName="175" name="Column86" queryTableFieldId="175" dataDxfId="195"/>
    <tableColumn id="176" xr3:uid="{69B7D314-9553-47E3-8BF2-CF09B16EC4BB}" uniqueName="176" name="Column87" queryTableFieldId="176" dataDxfId="194"/>
    <tableColumn id="177" xr3:uid="{C1AC2A74-CFDE-40F9-B6A9-590068EE9E3C}" uniqueName="177" name="Column88" queryTableFieldId="177" dataDxfId="193"/>
    <tableColumn id="178" xr3:uid="{878A9E63-F5A4-47D4-B56F-7DE798A34AB3}" uniqueName="178" name="Column89" queryTableFieldId="178" dataDxfId="192"/>
    <tableColumn id="179" xr3:uid="{D19B59E4-B1C9-466B-8824-566533E9E177}" uniqueName="179" name="Column90" queryTableFieldId="179" dataDxfId="191"/>
    <tableColumn id="180" xr3:uid="{9B55AF97-3836-4CDB-9654-AE40012D0EC3}" uniqueName="180" name="Column91" queryTableFieldId="180" dataDxfId="190"/>
    <tableColumn id="181" xr3:uid="{BB2A949E-9499-497D-A067-4ACB75F8F2D6}" uniqueName="181" name="Column92" queryTableFieldId="181" dataDxfId="189"/>
    <tableColumn id="182" xr3:uid="{D86E8D09-E2A1-4B2E-844A-8EA7550BCA95}" uniqueName="182" name="Column93" queryTableFieldId="182" dataDxfId="188"/>
    <tableColumn id="183" xr3:uid="{63F339D4-1AFC-4AFB-82AF-4AF7419C25D8}" uniqueName="183" name="Column94" queryTableFieldId="183" dataDxfId="187"/>
    <tableColumn id="184" xr3:uid="{7EE7E029-B3AD-4E81-B217-5FDAC3B6801B}" uniqueName="184" name="Column95" queryTableFieldId="184" dataDxfId="18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8F3CCC-5BAB-4F72-A32D-F8E73E2CA143}" name="Margen__Bruto" displayName="Margen__Bruto" ref="E1:K113" tableType="queryTable" totalsRowShown="0">
  <autoFilter ref="E1:K113" xr:uid="{BE8F3CCC-5BAB-4F72-A32D-F8E73E2CA143}">
    <filterColumn colId="3">
      <filters>
        <filter val="Biomiral"/>
      </filters>
    </filterColumn>
  </autoFilter>
  <tableColumns count="7">
    <tableColumn id="1" xr3:uid="{70EE2DF5-76CC-4412-B91D-5425FA41DFB4}" uniqueName="1" name="Column1" queryTableFieldId="1" dataDxfId="185"/>
    <tableColumn id="2" xr3:uid="{0D1C0CCC-4AB9-43A2-A54C-D92A0379093F}" uniqueName="2" name="Codigo" queryTableFieldId="2" dataDxfId="184"/>
    <tableColumn id="3" xr3:uid="{D64C48DF-403A-4616-B722-7986E8637BB2}" uniqueName="3" name="Producto" queryTableFieldId="3" dataDxfId="183"/>
    <tableColumn id="4" xr3:uid="{E39D75D4-0A29-4A51-A1DB-1F5510F6075F}" uniqueName="4" name="Cliente" queryTableFieldId="4" dataDxfId="182"/>
    <tableColumn id="5" xr3:uid="{7343C63D-1B00-4C84-90D0-26339D158E26}" uniqueName="5" name="Costo" queryTableFieldId="5"/>
    <tableColumn id="6" xr3:uid="{6E3E4813-0FC5-4E33-BF39-66A0F7D5AC1A}" uniqueName="6" name="Valor producto" queryTableFieldId="6"/>
    <tableColumn id="7" xr3:uid="{03EEF1FD-13CF-4E82-A24B-5C2FE7763EEC}" uniqueName="7" name="Margen" queryTableFieldId="7" dataDxfId="18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4DF0D9-F46F-426E-84C5-8A8BA35269D7}" name="Cal_Sueldos_Total_Nominal" displayName="Cal_Sueldos_Total_Nominal" ref="A1:DF219" tableType="queryTable" totalsRowShown="0">
  <autoFilter ref="A1:DF219" xr:uid="{EC4DF0D9-F46F-426E-84C5-8A8BA35269D7}">
    <filterColumn colId="6">
      <filters>
        <filter val="VENTA Y MARKETING"/>
      </filters>
    </filterColumn>
  </autoFilter>
  <sortState xmlns:xlrd2="http://schemas.microsoft.com/office/spreadsheetml/2017/richdata2" ref="A2:DF219">
    <sortCondition descending="1" ref="DE1:DE219"/>
  </sortState>
  <tableColumns count="110">
    <tableColumn id="1" xr3:uid="{D6BBC0AA-2895-4822-90FC-948A1B92B2A8}" uniqueName="1" name="NO." queryTableFieldId="1"/>
    <tableColumn id="2" xr3:uid="{D3916F4E-A90A-4493-8038-294EAAE6250A}" uniqueName="2" name="TURNO" queryTableFieldId="2"/>
    <tableColumn id="3" xr3:uid="{7781D9E8-BC24-4D9E-9508-EF00779388BD}" uniqueName="3" name="Tipo" queryTableFieldId="3" dataDxfId="180"/>
    <tableColumn id="4" xr3:uid="{F9B4F2C6-9B1C-48A2-9513-9CA5A459BCA9}" uniqueName="4" name="Nivel" queryTableFieldId="4" dataDxfId="179"/>
    <tableColumn id="5" xr3:uid="{866B4AFB-D789-4F92-80A5-4F0B9AE7CF47}" uniqueName="5" name="NOMBRE" queryTableFieldId="5" dataDxfId="178"/>
    <tableColumn id="6" xr3:uid="{3C19C35B-1EEC-4D41-B0F9-D560BFFF2D84}" uniqueName="6" name="PUESTO" queryTableFieldId="6" dataDxfId="177"/>
    <tableColumn id="7" xr3:uid="{D8317A4E-18E3-4F7E-B6A4-94102E4B1E5C}" uniqueName="7" name="DEPARTEMENTO2" queryTableFieldId="7" dataDxfId="176"/>
    <tableColumn id="8" xr3:uid="{66C1B025-CD75-40C1-B2C5-38B7253BADFA}" uniqueName="8" name="UBICACIÓN" queryTableFieldId="8" dataDxfId="175"/>
    <tableColumn id="9" xr3:uid="{5FB1A9DA-5ADF-4DD8-AF5E-BF43B09A75AF}" uniqueName="9" name="UBICACIÓN FISICA" queryTableFieldId="9" dataDxfId="174"/>
    <tableColumn id="10" xr3:uid="{9F9877A0-11BD-4B66-98A3-6EA750694B9A}" uniqueName="10" name="FECHA DE INGRESO" queryTableFieldId="10" dataDxfId="173"/>
    <tableColumn id="11" xr3:uid="{2D76FF36-8FAF-48A8-A839-EEA3ADC8CBF2}" uniqueName="11" name="ANTIGÜEDAD" queryTableFieldId="11"/>
    <tableColumn id="12" xr3:uid="{8C5D1771-991C-477C-A872-A6B7390B9852}" uniqueName="12" name="ANTIGÜEDAD2" queryTableFieldId="12"/>
    <tableColumn id="13" xr3:uid="{C81495D3-E04A-4097-9A05-C4F592A07E60}" uniqueName="13" name="CONCATENAR" queryTableFieldId="13" dataDxfId="172"/>
    <tableColumn id="14" xr3:uid="{C21F868B-E380-4743-A3B3-572631461901}" uniqueName="14" name="CONCATENAR3" queryTableFieldId="14" dataDxfId="171"/>
    <tableColumn id="15" xr3:uid="{0C7E2938-8CC5-4B12-8CC0-79AEA2990999}" uniqueName="15" name="FACTOR DE INTEGRACION" queryTableFieldId="15"/>
    <tableColumn id="16" xr3:uid="{878CED30-36EF-497B-B267-FCB7C94831B5}" uniqueName="16" name="SMZ" queryTableFieldId="16"/>
    <tableColumn id="17" xr3:uid="{82D8BEBF-DC20-4B8D-A434-AA0FECFA7726}" uniqueName="17" name="SMDF" queryTableFieldId="17"/>
    <tableColumn id="18" xr3:uid="{5D9A7AFC-EB42-48D0-A6ED-D3808C02A0C2}" uniqueName="18" name="SALARIO  DIARIO  NOMINAL" queryTableFieldId="18"/>
    <tableColumn id="19" xr3:uid="{359C76DD-EE4A-4279-AE97-71B14BAA923A}" uniqueName="19" name="Salario Base de cotización SDI integrada" queryTableFieldId="19"/>
    <tableColumn id="20" xr3:uid="{AE7E1115-1028-487A-8084-CE31D864C23D}" uniqueName="20" name="Variable Enero ( Nov y Dic)" queryTableFieldId="20"/>
    <tableColumn id="21" xr3:uid="{438F6033-8AB3-42DC-8C4D-0B9196826050}" uniqueName="21" name="SALARIO DIARIO INTEGRADO" queryTableFieldId="21"/>
    <tableColumn id="22" xr3:uid="{2424E6A5-5210-4BC7-939F-62CF74701E2D}" uniqueName="22" name="DIAS LABORADOS" queryTableFieldId="22"/>
    <tableColumn id="23" xr3:uid="{42778491-F0A6-4D61-A7A5-B8CB24C636AA}" uniqueName="23" name="SALARIO NOMINAL MENSUAL bruto" queryTableFieldId="23"/>
    <tableColumn id="24" xr3:uid="{43A6AAEF-6682-4094-97C0-E5D9C29F5386}" uniqueName="24" name="Apoyo de Transporte ( REVISAR CON CHRISTIAN" queryTableFieldId="24"/>
    <tableColumn id="25" xr3:uid="{D1D05F7C-804F-46BF-BE78-E0A7B1194B3E}" uniqueName="25" name="Bono Tarde 5%" queryTableFieldId="25"/>
    <tableColumn id="26" xr3:uid="{1BE80377-04DB-40C7-886A-6F8BB7919E9B}" uniqueName="26" name="Bono Nocturno 8 Horas 640" queryTableFieldId="26"/>
    <tableColumn id="27" xr3:uid="{7A91B983-C118-4609-BFC9-3A31CA0A9A00}" uniqueName="27" name="Bono 12 Horas Diurno 2100" queryTableFieldId="27"/>
    <tableColumn id="28" xr3:uid="{9C491205-CD09-4343-977B-7E0A6A81D6AE}" uniqueName="28" name="Bono Nocturno 2900" queryTableFieldId="28"/>
    <tableColumn id="29" xr3:uid="{0AA2D31A-48B9-4DCB-82A5-4CCCEADF7701}" uniqueName="29" name="Bono Mensual 600" queryTableFieldId="29"/>
    <tableColumn id="30" xr3:uid="{6B0D770E-15DC-483A-8195-BC14AB0AE7EC}" uniqueName="30" name="BONOS MENSUALES" queryTableFieldId="30"/>
    <tableColumn id="31" xr3:uid="{45ED9196-C136-4EF8-A9AA-61147E6EAE7C}" uniqueName="31" name="BONO DE CUMPLEAÑOS ( PROVISION MENSUAL)" queryTableFieldId="31"/>
    <tableColumn id="32" xr3:uid="{58050F47-B051-4B63-A916-DCD97DE86169}" uniqueName="32" name="BONO DE ASISTENCIA 150" queryTableFieldId="32"/>
    <tableColumn id="33" xr3:uid="{2C3FDE26-1FFB-4958-B707-2F227FB7CA53}" uniqueName="33" name="BONO DE PUNTUALIDAD 250" queryTableFieldId="33"/>
    <tableColumn id="34" xr3:uid="{C535B0D8-35EA-4841-9877-A31BE4AB91C2}" uniqueName="34" name="FONDO DE AHORRO EMPRESA MENSUAL" queryTableFieldId="34"/>
    <tableColumn id="35" xr3:uid="{E46098DB-B20C-47C5-8784-DABEFCB7D5DB}" uniqueName="35" name="DESPENSA" queryTableFieldId="35"/>
    <tableColumn id="36" xr3:uid="{9302281D-3BE7-47C2-A753-8C2278056249}" uniqueName="36" name="PREV. SOCIAL A" queryTableFieldId="36"/>
    <tableColumn id="37" xr3:uid="{6177450D-D5D1-4E91-A664-104735F9326F}" uniqueName="37" name="PREV. SOCIAL  B" queryTableFieldId="37"/>
    <tableColumn id="38" xr3:uid="{A7986478-16B6-41C0-B1EE-93946C415ECF}" uniqueName="38" name="IMPORTE PREVISION SOCIAL PARA CALCULO DE ISR" queryTableFieldId="38"/>
    <tableColumn id="39" xr3:uid="{7CE2B7A4-C21C-4C8E-A149-59A6EF3EBA4C}" uniqueName="39" name="TOTAL PERCEPCIONES (Sueldo + Prevision Social)" queryTableFieldId="39"/>
    <tableColumn id="40" xr3:uid="{F74DB4FA-0F1F-4958-AB78-E3A9605048E8}" uniqueName="40" name="TOTAL PERCEPCIONES CON BONOS INLCUIDOS EN NOMINA" queryTableFieldId="40"/>
    <tableColumn id="41" xr3:uid="{C88AA8BD-E356-4468-8678-F3CBB99683BC}" uniqueName="41" name="Sueldo con Bonos Integrados a la nomina" queryTableFieldId="41"/>
    <tableColumn id="42" xr3:uid="{97638E94-777F-405D-A25C-72218D21FC83}" uniqueName="42" name="Sueldo con Bonos Extras (no integrados en nomina2" queryTableFieldId="42" dataDxfId="170"/>
    <tableColumn id="43" xr3:uid="{F2F1D0BE-9B03-415F-8501-671FBCA6C2B2}" uniqueName="43" name="Importe para calculo de imss con bonos integrados " queryTableFieldId="43"/>
    <tableColumn id="44" xr3:uid="{57AD0B03-89E2-4CD5-B530-0A45ED28526E}" uniqueName="44" name="TOPE 7 UMA PREVISIÓN SOCIAL  ISR" queryTableFieldId="44"/>
    <tableColumn id="45" xr3:uid="{5CF0AF97-BEFA-44BC-B66E-39D59C136DE6}" uniqueName="45" name="SUMA SUELDO MAS PREV. SOCIAL" queryTableFieldId="45"/>
    <tableColumn id="46" xr3:uid="{9E01FD06-09DE-44E5-8AB8-3DCB57D3D2E0}" uniqueName="46" name="EXCEDENTES A 7SMZ" queryTableFieldId="46"/>
    <tableColumn id="47" xr3:uid="{BED5CE5B-0EAD-41B4-B101-DBA91B5BB4E5}" uniqueName="47" name="TOPE PREVISIÓN SOCIAL ISR" queryTableFieldId="47"/>
    <tableColumn id="48" xr3:uid="{D2EF4F5B-2A68-4075-92A1-E78A7DD33328}" uniqueName="48" name="PREVISION SOCIAL EXENTA ISR" queryTableFieldId="48"/>
    <tableColumn id="49" xr3:uid="{43E73E45-23F1-42AF-8C58-BBB85D7E0855}" uniqueName="49" name="PREVISION SOCIAL GRAVADA ISR" queryTableFieldId="49"/>
    <tableColumn id="50" xr3:uid="{ABDD95FC-B65A-46D8-BFFD-FA0368EFA43F}" uniqueName="50" name="BASE ISR " queryTableFieldId="50"/>
    <tableColumn id="51" xr3:uid="{E47E7470-F003-4272-811F-729484E76698}" uniqueName="51" name="LIMITE INFERIOR" queryTableFieldId="51"/>
    <tableColumn id="52" xr3:uid="{D0DDC978-B40D-4A13-8350-E677358135CF}" uniqueName="52" name="EXCEDENTE" queryTableFieldId="52"/>
    <tableColumn id="53" xr3:uid="{42471FD5-AE56-40C1-8FBE-22A5EDFA8110}" uniqueName="53" name="%" queryTableFieldId="53"/>
    <tableColumn id="54" xr3:uid="{82715A1A-C8BB-4B42-8E8B-3845CEE56A82}" uniqueName="54" name="IMPUESTO MARGINAL" queryTableFieldId="54"/>
    <tableColumn id="55" xr3:uid="{CF5CB7A9-377D-4CB7-9078-96DDDF54D143}" uniqueName="55" name="CUOTA FIJA" queryTableFieldId="55"/>
    <tableColumn id="56" xr3:uid="{8A01F3DB-8A08-43A9-A3E8-11EE1F4A0A45}" uniqueName="56" name="ISR ARTICULO 96" queryTableFieldId="56"/>
    <tableColumn id="57" xr3:uid="{79CA30B4-B7F7-4B7B-AEF6-494C9EB17881}" uniqueName="57" name="SUBSIDIO PARA EL EMPLEO" queryTableFieldId="57"/>
    <tableColumn id="58" xr3:uid="{449717DF-F039-43AF-B68B-9C52A7D526C6}" uniqueName="58" name="ISR   NETO   A RETENER" queryTableFieldId="58"/>
    <tableColumn id="59" xr3:uid="{8CB1B9E4-9597-47FA-BE4F-343ACB7FF9D5}" uniqueName="59" name="PROMEDIO VARIABLES IMSS" queryTableFieldId="59"/>
    <tableColumn id="60" xr3:uid="{B9AA485D-F80E-49AC-B954-BA17D3B9E856}" uniqueName="60" name="EXCEDENTE DE DESPENSA" queryTableFieldId="60"/>
    <tableColumn id="61" xr3:uid="{C4FE498D-353D-4815-AB72-F3E651FE0AF4}" uniqueName="61" name="BASE PARA PREMIOS ASIST Y PUNT." queryTableFieldId="61"/>
    <tableColumn id="62" xr3:uid="{F3BC221B-AE94-4051-A0B2-ADBD3D76875F}" uniqueName="62" name="TOPE PARA PREMIOS ASIST Y PUNT." queryTableFieldId="62"/>
    <tableColumn id="63" xr3:uid="{5E409579-61AD-466F-8263-42DD97DF09B8}" uniqueName="63" name="EXCEDENTE PREMIO ASISTENCIA" queryTableFieldId="63"/>
    <tableColumn id="64" xr3:uid="{ACE2B707-093D-4369-A354-8877D8512CD8}" uniqueName="64" name="EXCEDENTE PREMIO PUNTUALIDAD" queryTableFieldId="64"/>
    <tableColumn id="65" xr3:uid="{77A8A04C-B85B-46B2-8C5D-F2F126CF5A39}" uniqueName="65" name="EXCEDENTE DESPENSA DIARIA" queryTableFieldId="65"/>
    <tableColumn id="66" xr3:uid="{CF7B931D-3088-4328-8FF1-9C52860153CA}" uniqueName="66" name="EXCEDENTE ASIST DIARIA" queryTableFieldId="66"/>
    <tableColumn id="67" xr3:uid="{79D911BA-B726-4D8F-803B-75563C435F8F}" uniqueName="67" name="EXCEDENTE PUNT DIARIA" queryTableFieldId="67"/>
    <tableColumn id="68" xr3:uid="{71A58AAE-6199-4985-944A-A0FC5A728065}" uniqueName="68" name="SDI MAS VARIAB MAS EXCEDENTE DESPENSA" queryTableFieldId="68"/>
    <tableColumn id="69" xr3:uid="{86A305CF-C0F5-407B-A0A9-1417B3D78224}" uniqueName="69" name="SALARIO DIARIO BASE DE COTIZACION TOPE PARA LA EMPRESA" queryTableFieldId="69"/>
    <tableColumn id="70" xr3:uid="{F2C2145B-97DE-4223-A4B6-4DE0C96D60A5}" uniqueName="70" name="CUOTA EXCEDENTE" queryTableFieldId="70"/>
    <tableColumn id="71" xr3:uid="{E14AB353-837D-422D-A8AC-F13834A84284}" uniqueName="71" name="PRESTACIONES  EN DINERO" queryTableFieldId="71"/>
    <tableColumn id="72" xr3:uid="{26815700-A702-4B26-AE9C-058CD17ED0FA}" uniqueName="72" name="GMP" queryTableFieldId="72"/>
    <tableColumn id="73" xr3:uid="{8EF8156D-F0C7-421C-88AD-F6FE18A9B82A}" uniqueName="73" name="INVALIDEZ Y VIDA" queryTableFieldId="73"/>
    <tableColumn id="74" xr3:uid="{C406451D-873E-4B5C-8D64-0B9398E347A8}" uniqueName="74" name="CESANTIA Y VEJEZ" queryTableFieldId="74"/>
    <tableColumn id="75" xr3:uid="{EA40B1F6-804E-4C9A-9DA4-90D828EF5042}" uniqueName="75" name="CUOTA IMSS A RETENER" queryTableFieldId="75"/>
    <tableColumn id="76" xr3:uid="{FDF6D205-30BC-45F3-9FBF-6EBF0CABBC32}" uniqueName="76" name="SALARIO NETO (Sueldo mas Prestaciones menos ISR Menos IMSS) (incluye fondo de ahorro y vales + BONOS)" queryTableFieldId="76"/>
    <tableColumn id="77" xr3:uid="{79CE8121-AA51-4AA9-9EBD-BD3112462163}" uniqueName="77" name="FONDO DE AHORRO" queryTableFieldId="77"/>
    <tableColumn id="78" xr3:uid="{462940F1-9300-4435-9714-CBE79BAA9D85}" uniqueName="78" name="FLUJO  NETO EN NOMINA " queryTableFieldId="78"/>
    <tableColumn id="79" xr3:uid="{566B1429-B68E-407A-85EB-52A89F42B8B1}" uniqueName="79" name="BASE IMPUESTO S NOMINAS" queryTableFieldId="79"/>
    <tableColumn id="80" xr3:uid="{0E0F7175-A3A7-4C4D-853A-3094900F7CA5}" uniqueName="80" name="IMPUESTO ESTATAL NOMINAS " queryTableFieldId="80"/>
    <tableColumn id="81" xr3:uid="{01F40903-BF8B-42FB-A94D-40B9B1C08BEB}" uniqueName="81" name="SALARIO DIARIO BASE DE COTIZACION TOPE4" queryTableFieldId="81"/>
    <tableColumn id="82" xr3:uid="{48506FC5-AF77-4613-8CC2-D91C3E58F033}" uniqueName="82" name="CUOTA    FIJA     20.4%" queryTableFieldId="82"/>
    <tableColumn id="83" xr3:uid="{2BA6F4FF-7400-4A0B-AF5B-A158A038C0BC}" uniqueName="83" name="CUOTA EXCEDENTE     1.1%" queryTableFieldId="83"/>
    <tableColumn id="84" xr3:uid="{36DBA2FA-3F0E-4318-AEA9-FA26113F91A7}" uniqueName="84" name="PRESTACIONES  EN DINERO          0.70%" queryTableFieldId="84"/>
    <tableColumn id="85" xr3:uid="{0DDA028F-E483-4396-95F2-D81C7B9A4D35}" uniqueName="85" name="GMP                    1.05%" queryTableFieldId="85"/>
    <tableColumn id="86" xr3:uid="{AF65E63F-C59B-4F1F-8812-8160C05574CC}" uniqueName="86" name="RIESGOS DE TRABAJO" queryTableFieldId="86"/>
    <tableColumn id="87" xr3:uid="{28565C51-7EE9-48D1-B91E-78E4F55B9E7B}" uniqueName="87" name="INVALIDEZ Y VIDA   1.75%" queryTableFieldId="87"/>
    <tableColumn id="88" xr3:uid="{4A21818B-3336-4D78-9E01-5D58DB8EB05C}" uniqueName="88" name="GUARDERIAS         1%" queryTableFieldId="88"/>
    <tableColumn id="89" xr3:uid="{69E8AE55-4DAC-4FF1-B82E-7278D6B928B7}" uniqueName="89" name="RETIRO 2%" queryTableFieldId="89"/>
    <tableColumn id="90" xr3:uid="{25F0563D-915D-4B7F-A837-F81CC9635DE3}" uniqueName="90" name="CESANTIA Y VEJEZ 3.15%" queryTableFieldId="90"/>
    <tableColumn id="91" xr3:uid="{9245B6B5-CC8A-4354-9512-0C746AEBEDEB}" uniqueName="91" name="CUOTAS IMSS PATRONAL" queryTableFieldId="91"/>
    <tableColumn id="92" xr3:uid="{1DD037C3-946B-462D-8472-07A4BA58BB60}" uniqueName="92" name="INFONAVIT 5%" queryTableFieldId="92"/>
    <tableColumn id="93" xr3:uid="{74D36854-F973-4619-B49E-A198F4742D40}" uniqueName="93" name="CARGA SOCIAL IMSS E INFONAVIT" queryTableFieldId="93"/>
    <tableColumn id="94" xr3:uid="{7B4A58E4-B8AC-46E1-8957-1B15F1A6DF5D}" uniqueName="94" name="." queryTableFieldId="94" dataDxfId="169"/>
    <tableColumn id="95" xr3:uid="{260B2076-D9FC-4D8B-8F9E-E3546D87BFE5}" uniqueName="95" name="Aguinaldo mensual" queryTableFieldId="95"/>
    <tableColumn id="96" xr3:uid="{41A73787-A375-4ECD-BFCF-CA4E43944FFC}" uniqueName="96" name="Prima Vacacional mensual" queryTableFieldId="96"/>
    <tableColumn id="97" xr3:uid="{02ECC02E-9166-4042-AACC-EC3697740B59}" uniqueName="97" name="3% s/nóminas" queryTableFieldId="97"/>
    <tableColumn id="98" xr3:uid="{8CFFBE21-7651-4585-8387-23B3164DDAFE}" uniqueName="98" name="COSTO TOTAL (Nomina + Impuestos Empleado + Impuestos Empresa)" queryTableFieldId="98"/>
    <tableColumn id="99" xr3:uid="{7EF10000-38EE-47F5-9E9D-CB9643E58C23}" uniqueName="99" name="0.2" queryTableFieldId="99"/>
    <tableColumn id="100" xr3:uid="{B384C3F2-8D1A-4F7D-AAF6-6EE733E01BA9}" uniqueName="100" name="SI VALE " queryTableFieldId="100"/>
    <tableColumn id="101" xr3:uid="{F0D48DBB-1E64-4D27-ADC3-1E6BE9545D7A}" uniqueName="101" name="VEHICULO (Renta Mensual)" queryTableFieldId="101"/>
    <tableColumn id="102" xr3:uid="{09713DC4-4B85-497C-AA58-B21EA4394C1D}" uniqueName="102" name="Seguro de Vehiculo" queryTableFieldId="102"/>
    <tableColumn id="103" xr3:uid="{22E6E1D0-D21F-4691-A94C-DA1C870B60DD}" uniqueName="103" name="Gasolina" queryTableFieldId="103"/>
    <tableColumn id="104" xr3:uid="{AF44BD6D-EDDB-4A90-9DCF-E809A78D4B94}" uniqueName="104" name="GMM" queryTableFieldId="104"/>
    <tableColumn id="105" xr3:uid="{D47246F2-2E67-4250-8AAA-408BF88E048A}" uniqueName="105" name="COMEDOR" queryTableFieldId="105"/>
    <tableColumn id="106" xr3:uid="{F75BD406-1B84-40F2-B5F2-38C46A168D58}" uniqueName="106" name="Sueldo + prevision social" queryTableFieldId="106"/>
    <tableColumn id="107" xr3:uid="{C51329D2-08E9-437E-B4E1-9FAB6D709709}" uniqueName="107" name="IMPORTE DEL 35% POR LO QUE LES AJUSTARON/ SE PAGA EN AGUINALDO" queryTableFieldId="107"/>
    <tableColumn id="108" xr3:uid="{9BA27495-4A07-48F5-96DA-4DFFA9D8B2AE}" uniqueName="108" name="OTROS" queryTableFieldId="108"/>
    <tableColumn id="109" xr3:uid="{FCB1A457-7384-4FA0-B661-8BBB24EFAEF6}" uniqueName="109" name="TOTAL GLOBAL" queryTableFieldId="109" dataDxfId="168"/>
    <tableColumn id="110" xr3:uid="{E2E21D36-CEB3-4939-A958-DB98394F069A}" uniqueName="110" name="Column110" queryTableFieldId="1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7" dT="2025-07-01T17:40:25.83" personId="{1B7C894D-61D6-4D5F-98EF-CBE7062E95B7}" id="{2075300B-AFFD-41AF-A110-EEC1C5985815}">
    <text>Revisar estos datos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D70E-48D0-4496-85C0-4C6DBD09B684}">
  <dimension ref="B5:O65"/>
  <sheetViews>
    <sheetView showGridLines="0" zoomScale="80" zoomScaleNormal="80" workbookViewId="0">
      <pane xSplit="6" ySplit="10" topLeftCell="G13" activePane="bottomRight" state="frozen"/>
      <selection pane="topRight" activeCell="G1" sqref="G1"/>
      <selection pane="bottomLeft" activeCell="A12" sqref="A12"/>
      <selection pane="bottomRight" activeCell="G25" sqref="G25"/>
    </sheetView>
  </sheetViews>
  <sheetFormatPr baseColWidth="10" defaultColWidth="8.77734375" defaultRowHeight="12.6" outlineLevelRow="1" x14ac:dyDescent="0.2"/>
  <cols>
    <col min="1" max="6" width="8.77734375" style="355"/>
    <col min="7" max="7" width="16.88671875" style="355" bestFit="1" customWidth="1"/>
    <col min="8" max="13" width="8.77734375" style="355"/>
    <col min="14" max="14" width="11.88671875" style="355" customWidth="1"/>
    <col min="15" max="15" width="16.88671875" style="355" bestFit="1" customWidth="1"/>
    <col min="16" max="16384" width="8.77734375" style="355"/>
  </cols>
  <sheetData>
    <row r="5" spans="2:15" x14ac:dyDescent="0.2">
      <c r="B5" s="356" t="s">
        <v>1905</v>
      </c>
    </row>
    <row r="6" spans="2:15" x14ac:dyDescent="0.2">
      <c r="B6" s="356" t="s">
        <v>1906</v>
      </c>
    </row>
    <row r="7" spans="2:15" x14ac:dyDescent="0.2">
      <c r="B7" s="356" t="s">
        <v>1917</v>
      </c>
    </row>
    <row r="8" spans="2:15" x14ac:dyDescent="0.2">
      <c r="B8" s="356"/>
    </row>
    <row r="10" spans="2:15" x14ac:dyDescent="0.2">
      <c r="B10" s="359" t="s">
        <v>1908</v>
      </c>
      <c r="G10" s="360" t="s">
        <v>1909</v>
      </c>
      <c r="I10" s="359" t="s">
        <v>1914</v>
      </c>
      <c r="J10" s="359"/>
      <c r="O10" s="360" t="s">
        <v>1909</v>
      </c>
    </row>
    <row r="12" spans="2:15" x14ac:dyDescent="0.2">
      <c r="B12" s="358" t="s">
        <v>1907</v>
      </c>
      <c r="I12" s="355" t="s">
        <v>1941</v>
      </c>
    </row>
    <row r="13" spans="2:15" outlineLevel="1" x14ac:dyDescent="0.2"/>
    <row r="14" spans="2:15" outlineLevel="1" x14ac:dyDescent="0.2">
      <c r="B14" s="355" t="s">
        <v>1945</v>
      </c>
      <c r="I14" s="355" t="s">
        <v>1944</v>
      </c>
    </row>
    <row r="15" spans="2:15" outlineLevel="1" x14ac:dyDescent="0.2"/>
    <row r="16" spans="2:15" outlineLevel="1" x14ac:dyDescent="0.2"/>
    <row r="17" spans="2:15" outlineLevel="1" x14ac:dyDescent="0.2"/>
    <row r="18" spans="2:15" outlineLevel="1" x14ac:dyDescent="0.2"/>
    <row r="19" spans="2:15" outlineLevel="1" x14ac:dyDescent="0.2"/>
    <row r="20" spans="2:15" x14ac:dyDescent="0.2">
      <c r="B20" s="358" t="s">
        <v>1910</v>
      </c>
      <c r="G20" s="357">
        <v>41982958.139999986</v>
      </c>
      <c r="I20" s="358" t="s">
        <v>1942</v>
      </c>
      <c r="O20" s="357">
        <v>16383076.104320001</v>
      </c>
    </row>
    <row r="22" spans="2:15" x14ac:dyDescent="0.2">
      <c r="B22" s="358" t="s">
        <v>1911</v>
      </c>
      <c r="I22" s="355" t="s">
        <v>1946</v>
      </c>
    </row>
    <row r="23" spans="2:15" outlineLevel="1" x14ac:dyDescent="0.2">
      <c r="B23" s="358"/>
    </row>
    <row r="24" spans="2:15" outlineLevel="1" x14ac:dyDescent="0.2">
      <c r="B24" s="355" t="s">
        <v>1912</v>
      </c>
      <c r="I24" s="355" t="s">
        <v>1947</v>
      </c>
    </row>
    <row r="25" spans="2:15" outlineLevel="1" x14ac:dyDescent="0.2">
      <c r="B25" s="355" t="s">
        <v>1913</v>
      </c>
    </row>
    <row r="26" spans="2:15" outlineLevel="1" x14ac:dyDescent="0.2">
      <c r="B26" s="355" t="s">
        <v>1612</v>
      </c>
    </row>
    <row r="27" spans="2:15" outlineLevel="1" x14ac:dyDescent="0.2">
      <c r="B27" s="355" t="s">
        <v>1879</v>
      </c>
    </row>
    <row r="28" spans="2:15" outlineLevel="1" x14ac:dyDescent="0.2"/>
    <row r="29" spans="2:15" x14ac:dyDescent="0.2">
      <c r="B29" s="358" t="s">
        <v>1915</v>
      </c>
      <c r="G29" s="357">
        <v>28209329.5</v>
      </c>
      <c r="I29" s="358" t="s">
        <v>1948</v>
      </c>
      <c r="O29" s="357">
        <v>16500000</v>
      </c>
    </row>
    <row r="31" spans="2:15" x14ac:dyDescent="0.2">
      <c r="B31" s="358" t="s">
        <v>1918</v>
      </c>
      <c r="G31" s="373"/>
      <c r="I31" s="355" t="s">
        <v>1953</v>
      </c>
    </row>
    <row r="32" spans="2:15" outlineLevel="1" x14ac:dyDescent="0.2">
      <c r="I32" s="355" t="s">
        <v>1281</v>
      </c>
    </row>
    <row r="33" spans="2:15" outlineLevel="1" x14ac:dyDescent="0.2">
      <c r="B33" s="355" t="s">
        <v>1922</v>
      </c>
    </row>
    <row r="34" spans="2:15" outlineLevel="1" x14ac:dyDescent="0.2">
      <c r="B34" s="355" t="s">
        <v>1923</v>
      </c>
    </row>
    <row r="35" spans="2:15" outlineLevel="1" x14ac:dyDescent="0.2">
      <c r="B35" s="355" t="s">
        <v>1919</v>
      </c>
    </row>
    <row r="36" spans="2:15" outlineLevel="1" x14ac:dyDescent="0.2">
      <c r="B36" s="355" t="s">
        <v>1921</v>
      </c>
    </row>
    <row r="37" spans="2:15" outlineLevel="1" x14ac:dyDescent="0.2">
      <c r="B37" s="355" t="s">
        <v>1924</v>
      </c>
    </row>
    <row r="38" spans="2:15" outlineLevel="1" x14ac:dyDescent="0.2"/>
    <row r="39" spans="2:15" x14ac:dyDescent="0.2">
      <c r="B39" s="358" t="s">
        <v>1920</v>
      </c>
      <c r="G39" s="357">
        <v>46811280.479999997</v>
      </c>
      <c r="I39" s="358" t="s">
        <v>1954</v>
      </c>
      <c r="O39" s="357">
        <f>+SUM(O31:O38)</f>
        <v>0</v>
      </c>
    </row>
    <row r="41" spans="2:15" x14ac:dyDescent="0.2">
      <c r="B41" s="358" t="s">
        <v>1925</v>
      </c>
      <c r="I41" s="355" t="s">
        <v>1943</v>
      </c>
    </row>
    <row r="42" spans="2:15" outlineLevel="1" x14ac:dyDescent="0.2"/>
    <row r="43" spans="2:15" outlineLevel="1" x14ac:dyDescent="0.2">
      <c r="B43" s="355" t="s">
        <v>1927</v>
      </c>
      <c r="I43" s="355" t="s">
        <v>1005</v>
      </c>
    </row>
    <row r="44" spans="2:15" outlineLevel="1" x14ac:dyDescent="0.2">
      <c r="B44" s="355" t="s">
        <v>1928</v>
      </c>
      <c r="I44" s="355" t="s">
        <v>1350</v>
      </c>
    </row>
    <row r="45" spans="2:15" outlineLevel="1" x14ac:dyDescent="0.2">
      <c r="B45" s="355" t="s">
        <v>1929</v>
      </c>
      <c r="I45" s="355" t="s">
        <v>1299</v>
      </c>
    </row>
    <row r="46" spans="2:15" outlineLevel="1" x14ac:dyDescent="0.2">
      <c r="B46" s="355" t="s">
        <v>1930</v>
      </c>
      <c r="I46" s="355" t="s">
        <v>1872</v>
      </c>
    </row>
    <row r="47" spans="2:15" outlineLevel="1" x14ac:dyDescent="0.2">
      <c r="B47" s="355" t="s">
        <v>1931</v>
      </c>
    </row>
    <row r="48" spans="2:15" outlineLevel="1" x14ac:dyDescent="0.2"/>
    <row r="49" spans="2:15" x14ac:dyDescent="0.2">
      <c r="B49" s="358" t="s">
        <v>1926</v>
      </c>
      <c r="G49" s="357">
        <v>15643525.91</v>
      </c>
      <c r="I49" s="358" t="s">
        <v>1940</v>
      </c>
      <c r="O49" s="357">
        <v>84288718.060453326</v>
      </c>
    </row>
    <row r="51" spans="2:15" x14ac:dyDescent="0.2">
      <c r="B51" s="358" t="s">
        <v>1932</v>
      </c>
      <c r="I51" s="355" t="s">
        <v>1949</v>
      </c>
    </row>
    <row r="52" spans="2:15" outlineLevel="1" x14ac:dyDescent="0.2"/>
    <row r="53" spans="2:15" outlineLevel="1" x14ac:dyDescent="0.2">
      <c r="B53" s="355" t="s">
        <v>1933</v>
      </c>
      <c r="I53" s="355" t="s">
        <v>1951</v>
      </c>
    </row>
    <row r="54" spans="2:15" outlineLevel="1" x14ac:dyDescent="0.2">
      <c r="B54" s="355" t="s">
        <v>1934</v>
      </c>
    </row>
    <row r="55" spans="2:15" outlineLevel="1" x14ac:dyDescent="0.2">
      <c r="B55" s="355" t="s">
        <v>1934</v>
      </c>
    </row>
    <row r="56" spans="2:15" outlineLevel="1" x14ac:dyDescent="0.2">
      <c r="B56" s="355" t="s">
        <v>1935</v>
      </c>
    </row>
    <row r="57" spans="2:15" outlineLevel="1" x14ac:dyDescent="0.2">
      <c r="B57" s="355" t="s">
        <v>1936</v>
      </c>
    </row>
    <row r="58" spans="2:15" outlineLevel="1" x14ac:dyDescent="0.2"/>
    <row r="59" spans="2:15" x14ac:dyDescent="0.2">
      <c r="B59" s="358" t="s">
        <v>1937</v>
      </c>
      <c r="G59" s="357">
        <v>24000000</v>
      </c>
      <c r="I59" s="358" t="s">
        <v>1950</v>
      </c>
      <c r="O59" s="357">
        <v>64500000</v>
      </c>
    </row>
    <row r="61" spans="2:15" x14ac:dyDescent="0.2">
      <c r="B61" s="356" t="s">
        <v>1938</v>
      </c>
      <c r="C61" s="356"/>
      <c r="F61" s="361" t="s">
        <v>1939</v>
      </c>
      <c r="G61" s="357">
        <f>+G59+G49+G39+G29+G20</f>
        <v>156647094.02999997</v>
      </c>
      <c r="I61" s="356" t="s">
        <v>1952</v>
      </c>
      <c r="N61" s="361" t="s">
        <v>1939</v>
      </c>
      <c r="O61" s="357">
        <f>+O59+O49+O39+O29+O20</f>
        <v>181671794.16477332</v>
      </c>
    </row>
    <row r="65" spans="2:7" x14ac:dyDescent="0.2">
      <c r="B65" s="356" t="s">
        <v>1916</v>
      </c>
      <c r="C65" s="356"/>
      <c r="F65" s="361" t="s">
        <v>1939</v>
      </c>
      <c r="G65" s="357">
        <f>+G61-O61</f>
        <v>-25024700.134773344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6079-3220-4DBE-AB8A-188821D41147}">
  <dimension ref="A5:L22"/>
  <sheetViews>
    <sheetView showGridLines="0" zoomScale="80" zoomScaleNormal="80" workbookViewId="0">
      <selection activeCell="K22" sqref="K22"/>
    </sheetView>
  </sheetViews>
  <sheetFormatPr baseColWidth="10" defaultColWidth="8.77734375" defaultRowHeight="12.6" x14ac:dyDescent="0.2"/>
  <cols>
    <col min="1" max="5" width="8.77734375" style="355"/>
    <col min="6" max="6" width="20.109375" style="355" customWidth="1"/>
    <col min="7" max="7" width="16.5546875" style="355" customWidth="1"/>
    <col min="8" max="8" width="3.77734375" style="355" customWidth="1"/>
    <col min="9" max="9" width="16.5546875" style="355" customWidth="1"/>
    <col min="10" max="10" width="3.77734375" style="355" customWidth="1"/>
    <col min="11" max="11" width="16.5546875" style="355" customWidth="1"/>
    <col min="12" max="12" width="3.77734375" style="355" customWidth="1"/>
    <col min="13" max="16384" width="8.77734375" style="355"/>
  </cols>
  <sheetData>
    <row r="5" spans="1:12" x14ac:dyDescent="0.2">
      <c r="B5" s="356" t="s">
        <v>1905</v>
      </c>
    </row>
    <row r="6" spans="1:12" x14ac:dyDescent="0.2">
      <c r="B6" s="356" t="s">
        <v>1906</v>
      </c>
    </row>
    <row r="7" spans="1:12" x14ac:dyDescent="0.2">
      <c r="B7" s="356" t="s">
        <v>1955</v>
      </c>
    </row>
    <row r="9" spans="1:12" x14ac:dyDescent="0.2">
      <c r="G9" s="360">
        <v>2025</v>
      </c>
      <c r="I9" s="360">
        <v>2026</v>
      </c>
      <c r="K9" s="360">
        <v>2027</v>
      </c>
    </row>
    <row r="10" spans="1:12" x14ac:dyDescent="0.2">
      <c r="B10" s="356" t="s">
        <v>1956</v>
      </c>
      <c r="G10" s="360" t="s">
        <v>1909</v>
      </c>
      <c r="I10" s="360" t="s">
        <v>1909</v>
      </c>
      <c r="K10" s="360" t="s">
        <v>1909</v>
      </c>
    </row>
    <row r="12" spans="1:12" x14ac:dyDescent="0.2">
      <c r="B12" s="355" t="s">
        <v>1584</v>
      </c>
      <c r="G12" s="366">
        <f ca="1">+SUM('IS (ROLLING)'!P61:AA61)</f>
        <v>19665572.023227271</v>
      </c>
      <c r="H12" s="365"/>
      <c r="I12" s="365">
        <f ca="1">+'IS (ROLLING)'!AP61</f>
        <v>55133516.978831172</v>
      </c>
      <c r="J12" s="365"/>
      <c r="K12" s="365">
        <f ca="1">+'IS (ROLLING)'!BD61</f>
        <v>85011814.781355992</v>
      </c>
      <c r="L12" s="365"/>
    </row>
    <row r="13" spans="1:12" x14ac:dyDescent="0.2">
      <c r="G13" s="365"/>
      <c r="H13" s="365"/>
      <c r="I13" s="365"/>
      <c r="J13" s="365"/>
      <c r="K13" s="365"/>
      <c r="L13" s="365"/>
    </row>
    <row r="14" spans="1:12" x14ac:dyDescent="0.2">
      <c r="A14" s="362" t="s">
        <v>1961</v>
      </c>
      <c r="B14" s="355" t="s">
        <v>1587</v>
      </c>
      <c r="G14" s="366">
        <f>'IS (ROLLING)'!AB64</f>
        <v>14822492.855034163</v>
      </c>
      <c r="H14" s="365"/>
      <c r="I14" s="366">
        <f>'IS (ROLLING)'!AP64</f>
        <v>16508198.129623502</v>
      </c>
      <c r="J14" s="365"/>
      <c r="K14" s="366">
        <f>'IS (ROLLING)'!BD64</f>
        <v>7363493.664183096</v>
      </c>
      <c r="L14" s="365"/>
    </row>
    <row r="15" spans="1:12" x14ac:dyDescent="0.2">
      <c r="A15" s="362" t="s">
        <v>1961</v>
      </c>
      <c r="B15" s="355" t="s">
        <v>31</v>
      </c>
      <c r="G15" s="365"/>
      <c r="H15" s="365"/>
      <c r="I15" s="365"/>
      <c r="J15" s="365"/>
      <c r="K15" s="365"/>
      <c r="L15" s="365"/>
    </row>
    <row r="16" spans="1:12" x14ac:dyDescent="0.2">
      <c r="A16" s="362" t="s">
        <v>1961</v>
      </c>
      <c r="B16" s="355" t="s">
        <v>1957</v>
      </c>
      <c r="G16" s="366">
        <f>'Cashflow (ROLLING) CAP'!N36</f>
        <v>5100000</v>
      </c>
      <c r="H16" s="365"/>
      <c r="I16" s="366">
        <f>'Cashflow (ROLLING) CAP'!AA36</f>
        <v>9000000</v>
      </c>
      <c r="J16" s="365"/>
      <c r="K16" s="366">
        <f>'Cashflow (ROLLING) CAP'!AN36</f>
        <v>3600000</v>
      </c>
      <c r="L16" s="365"/>
    </row>
    <row r="17" spans="1:12" x14ac:dyDescent="0.2">
      <c r="A17" s="362" t="s">
        <v>1961</v>
      </c>
      <c r="B17" s="355" t="s">
        <v>1958</v>
      </c>
      <c r="G17" s="366">
        <f>SUM('Cashflow (ROLLING) CAP'!N48:N52)</f>
        <v>45483743.606387548</v>
      </c>
      <c r="H17" s="365"/>
      <c r="I17" s="366">
        <f>SUM('Cashflow (ROLLING) CAP'!AA48:AA52)</f>
        <v>21061379.389069837</v>
      </c>
      <c r="J17" s="365"/>
      <c r="K17" s="366">
        <f>SUM('Cashflow (ROLLING) CAP'!AN48:AN52)</f>
        <v>14157784.100970725</v>
      </c>
      <c r="L17" s="365"/>
    </row>
    <row r="18" spans="1:12" x14ac:dyDescent="0.2">
      <c r="A18" s="362" t="s">
        <v>1961</v>
      </c>
      <c r="B18" s="355" t="s">
        <v>1959</v>
      </c>
      <c r="G18" s="366">
        <f>SUM('Cashflow (ROLLING) CAP'!N53:N54)</f>
        <v>3891757.7201846326</v>
      </c>
      <c r="H18" s="365"/>
      <c r="I18" s="366">
        <f>'Cashflow (ROLLING) CAP'!AA54</f>
        <v>3694116.360194853</v>
      </c>
      <c r="J18" s="365"/>
      <c r="K18" s="366">
        <f>'Cashflow (ROLLING) CAP'!AN54</f>
        <v>3529152.8547115773</v>
      </c>
      <c r="L18" s="365"/>
    </row>
    <row r="19" spans="1:12" x14ac:dyDescent="0.2">
      <c r="A19" s="362" t="s">
        <v>1961</v>
      </c>
      <c r="B19" s="355" t="s">
        <v>1965</v>
      </c>
      <c r="G19" s="366">
        <f>'Cashflow (ROLLING) CAP'!N47</f>
        <v>7500000</v>
      </c>
      <c r="H19" s="365"/>
      <c r="I19" s="366">
        <f>'Cashflow (ROLLING) CAP'!AA47</f>
        <v>7500000</v>
      </c>
      <c r="J19" s="365"/>
      <c r="K19" s="366">
        <f>'Cashflow (ROLLING) CAP'!AN47</f>
        <v>0</v>
      </c>
      <c r="L19" s="365"/>
    </row>
    <row r="20" spans="1:12" x14ac:dyDescent="0.2">
      <c r="A20" s="362" t="s">
        <v>1961</v>
      </c>
      <c r="B20" s="355" t="s">
        <v>1962</v>
      </c>
      <c r="G20" s="366">
        <f>'Cashflow (ROLLING) CAP'!N37</f>
        <v>650000</v>
      </c>
      <c r="H20" s="365"/>
      <c r="I20" s="366">
        <f>'Cashflow (ROLLING) CAP'!AA37</f>
        <v>300000</v>
      </c>
      <c r="J20" s="365"/>
      <c r="K20" s="366">
        <f>'Cashflow (ROLLING) CAP'!AN37</f>
        <v>0</v>
      </c>
      <c r="L20" s="365"/>
    </row>
    <row r="21" spans="1:12" x14ac:dyDescent="0.2">
      <c r="G21" s="365"/>
      <c r="H21" s="365"/>
      <c r="I21" s="365"/>
      <c r="J21" s="365"/>
      <c r="K21" s="365"/>
      <c r="L21" s="365"/>
    </row>
    <row r="22" spans="1:12" x14ac:dyDescent="0.2">
      <c r="B22" s="356" t="s">
        <v>1960</v>
      </c>
      <c r="G22" s="364">
        <f ca="1">+G12-SUM(G14:G20)</f>
        <v>-57782422.158379078</v>
      </c>
      <c r="H22" s="363"/>
      <c r="I22" s="368">
        <f ca="1">+I12-SUM(I14:I20)</f>
        <v>-2930176.9000570253</v>
      </c>
      <c r="J22" s="363"/>
      <c r="K22" s="364">
        <f ca="1">+K12-SUM(K14:K20)</f>
        <v>56361384.161490597</v>
      </c>
      <c r="L22" s="363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45D6A-39F4-4462-AA16-53DAB97F67D0}">
  <sheetPr codeName="Sheet12"/>
  <dimension ref="A1:AA112"/>
  <sheetViews>
    <sheetView showGridLines="0" zoomScale="87" workbookViewId="0">
      <pane xSplit="1" ySplit="6" topLeftCell="K61" activePane="bottomRight" state="frozen"/>
      <selection pane="topRight" activeCell="B1" sqref="B1"/>
      <selection pane="bottomLeft" activeCell="A7" sqref="A7"/>
      <selection pane="bottomRight" activeCell="K80" sqref="K80"/>
    </sheetView>
  </sheetViews>
  <sheetFormatPr baseColWidth="10" defaultColWidth="11" defaultRowHeight="14.4" x14ac:dyDescent="0.3"/>
  <cols>
    <col min="1" max="1" width="33" customWidth="1"/>
    <col min="2" max="2" width="14" style="183" bestFit="1" customWidth="1"/>
    <col min="3" max="3" width="8.109375" bestFit="1" customWidth="1"/>
    <col min="4" max="4" width="14" bestFit="1" customWidth="1"/>
    <col min="5" max="5" width="9.109375" bestFit="1" customWidth="1"/>
    <col min="6" max="6" width="14" bestFit="1" customWidth="1"/>
    <col min="7" max="7" width="8.109375" customWidth="1"/>
    <col min="8" max="8" width="16.6640625" bestFit="1" customWidth="1"/>
    <col min="9" max="9" width="8.109375" customWidth="1"/>
    <col min="10" max="10" width="5.6640625" style="182" customWidth="1"/>
    <col min="11" max="11" width="54.6640625" bestFit="1" customWidth="1"/>
    <col min="12" max="12" width="13.109375" bestFit="1" customWidth="1"/>
    <col min="13" max="13" width="6.5546875" bestFit="1" customWidth="1"/>
    <col min="14" max="14" width="13.109375" bestFit="1" customWidth="1"/>
    <col min="15" max="15" width="6.5546875" bestFit="1" customWidth="1"/>
    <col min="16" max="16" width="5" customWidth="1"/>
    <col min="17" max="17" width="54.6640625" bestFit="1" customWidth="1"/>
    <col min="18" max="18" width="13.109375" bestFit="1" customWidth="1"/>
    <col min="19" max="19" width="6.5546875" bestFit="1" customWidth="1"/>
    <col min="20" max="20" width="13.109375" bestFit="1" customWidth="1"/>
    <col min="21" max="21" width="6.5546875" bestFit="1" customWidth="1"/>
    <col min="22" max="22" width="4.5546875" customWidth="1"/>
    <col min="23" max="23" width="54.6640625" bestFit="1" customWidth="1"/>
    <col min="24" max="24" width="13.109375" bestFit="1" customWidth="1"/>
    <col min="25" max="25" width="6.5546875" bestFit="1" customWidth="1"/>
    <col min="26" max="26" width="13.88671875" bestFit="1" customWidth="1"/>
    <col min="27" max="27" width="6.5546875" bestFit="1" customWidth="1"/>
  </cols>
  <sheetData>
    <row r="1" spans="1:27" ht="15" x14ac:dyDescent="0.3">
      <c r="A1" s="380" t="s">
        <v>1787</v>
      </c>
      <c r="B1" s="380"/>
      <c r="C1" s="380"/>
      <c r="D1" s="380"/>
      <c r="E1" s="380"/>
      <c r="F1" s="380"/>
      <c r="G1" s="380"/>
      <c r="H1" s="380"/>
      <c r="I1" s="380"/>
      <c r="K1" s="380" t="s">
        <v>1787</v>
      </c>
      <c r="L1" s="380"/>
      <c r="M1" s="380"/>
      <c r="N1" s="380"/>
      <c r="O1" s="380"/>
      <c r="P1" s="182"/>
      <c r="Q1" s="380" t="s">
        <v>1787</v>
      </c>
      <c r="R1" s="380"/>
      <c r="S1" s="380"/>
      <c r="T1" s="380"/>
      <c r="U1" s="380"/>
      <c r="V1" s="182"/>
      <c r="W1" s="380" t="s">
        <v>1787</v>
      </c>
      <c r="X1" s="380"/>
      <c r="Y1" s="380"/>
      <c r="Z1" s="380"/>
      <c r="AA1" s="380"/>
    </row>
    <row r="2" spans="1:27" ht="15" x14ac:dyDescent="0.3">
      <c r="A2" s="380" t="s">
        <v>1786</v>
      </c>
      <c r="B2" s="380"/>
      <c r="C2" s="380"/>
      <c r="D2" s="380"/>
      <c r="E2" s="380"/>
      <c r="F2" s="380"/>
      <c r="G2" s="380"/>
      <c r="H2" s="380"/>
      <c r="I2" s="380"/>
      <c r="K2" s="380" t="s">
        <v>1785</v>
      </c>
      <c r="L2" s="380"/>
      <c r="M2" s="380"/>
      <c r="N2" s="380"/>
      <c r="O2" s="380"/>
      <c r="P2" s="182"/>
      <c r="Q2" s="380" t="s">
        <v>1784</v>
      </c>
      <c r="R2" s="380"/>
      <c r="S2" s="380"/>
      <c r="T2" s="380"/>
      <c r="U2" s="380"/>
      <c r="V2" s="182"/>
      <c r="W2" s="380" t="s">
        <v>1783</v>
      </c>
      <c r="X2" s="380"/>
      <c r="Y2" s="380"/>
      <c r="Z2" s="380"/>
      <c r="AA2" s="380"/>
    </row>
    <row r="3" spans="1:27" x14ac:dyDescent="0.3">
      <c r="A3" s="379"/>
      <c r="B3" s="379"/>
      <c r="C3" s="379"/>
      <c r="D3" s="198"/>
      <c r="E3" s="198"/>
      <c r="F3" s="198"/>
      <c r="G3" s="198"/>
      <c r="H3" s="198"/>
      <c r="I3" s="198"/>
      <c r="K3" s="379"/>
      <c r="L3" s="379"/>
      <c r="M3" s="379"/>
      <c r="N3" s="379"/>
      <c r="O3" s="379"/>
      <c r="P3" s="182"/>
      <c r="Q3" s="379"/>
      <c r="R3" s="379"/>
      <c r="S3" s="379"/>
      <c r="T3" s="379"/>
      <c r="U3" s="379"/>
      <c r="V3" s="182"/>
      <c r="W3" s="379"/>
      <c r="X3" s="379"/>
      <c r="Y3" s="379"/>
      <c r="Z3" s="379"/>
      <c r="AA3" s="379"/>
    </row>
    <row r="4" spans="1:27" x14ac:dyDescent="0.3">
      <c r="A4" s="191"/>
      <c r="B4" s="197" t="s">
        <v>1782</v>
      </c>
      <c r="C4" s="196" t="s">
        <v>202</v>
      </c>
      <c r="D4" s="197" t="s">
        <v>1782</v>
      </c>
      <c r="E4" s="196" t="s">
        <v>202</v>
      </c>
      <c r="F4" s="197" t="s">
        <v>1782</v>
      </c>
      <c r="G4" s="196" t="s">
        <v>202</v>
      </c>
      <c r="H4" s="197" t="s">
        <v>1781</v>
      </c>
      <c r="I4" s="196" t="s">
        <v>202</v>
      </c>
      <c r="K4" s="191"/>
      <c r="L4" s="197" t="s">
        <v>1782</v>
      </c>
      <c r="M4" s="196" t="s">
        <v>202</v>
      </c>
      <c r="N4" s="197" t="s">
        <v>1781</v>
      </c>
      <c r="O4" s="196" t="s">
        <v>202</v>
      </c>
      <c r="P4" s="182"/>
      <c r="Q4" s="191"/>
      <c r="R4" s="197" t="s">
        <v>1782</v>
      </c>
      <c r="S4" s="196" t="s">
        <v>202</v>
      </c>
      <c r="T4" s="197" t="s">
        <v>1781</v>
      </c>
      <c r="U4" s="196" t="s">
        <v>202</v>
      </c>
      <c r="V4" s="182"/>
      <c r="W4" s="191"/>
      <c r="X4" s="197" t="s">
        <v>1782</v>
      </c>
      <c r="Y4" s="196" t="s">
        <v>202</v>
      </c>
      <c r="Z4" s="197" t="s">
        <v>1781</v>
      </c>
      <c r="AA4" s="196" t="s">
        <v>202</v>
      </c>
    </row>
    <row r="5" spans="1:27" x14ac:dyDescent="0.3">
      <c r="A5" s="187"/>
      <c r="B5" s="193"/>
      <c r="C5" s="187"/>
      <c r="D5" s="193"/>
      <c r="E5" s="187"/>
      <c r="F5" s="187"/>
      <c r="G5" s="187"/>
      <c r="H5" s="187"/>
      <c r="I5" s="187"/>
      <c r="K5" s="187"/>
      <c r="L5" s="193"/>
      <c r="M5" s="187"/>
      <c r="N5" s="193"/>
      <c r="O5" s="187"/>
      <c r="P5" s="182"/>
      <c r="Q5" s="187"/>
      <c r="R5" s="193"/>
      <c r="S5" s="187"/>
      <c r="T5" s="193"/>
      <c r="U5" s="187"/>
      <c r="V5" s="182"/>
      <c r="W5" s="187"/>
      <c r="X5" s="193"/>
      <c r="Y5" s="187"/>
      <c r="Z5" s="193"/>
      <c r="AA5" s="187"/>
    </row>
    <row r="6" spans="1:27" x14ac:dyDescent="0.3">
      <c r="A6" s="194" t="s">
        <v>1776</v>
      </c>
      <c r="B6" s="194" t="s">
        <v>1780</v>
      </c>
      <c r="C6" s="194"/>
      <c r="D6" s="194" t="s">
        <v>1779</v>
      </c>
      <c r="E6" s="194"/>
      <c r="F6" s="194" t="s">
        <v>1778</v>
      </c>
      <c r="G6" s="194"/>
      <c r="H6" s="194" t="s">
        <v>1777</v>
      </c>
      <c r="I6" s="191"/>
      <c r="K6" s="194" t="s">
        <v>1776</v>
      </c>
      <c r="L6" s="190"/>
      <c r="M6" s="191"/>
      <c r="N6" s="190"/>
      <c r="O6" s="191"/>
      <c r="P6" s="182"/>
      <c r="Q6" s="194" t="s">
        <v>1776</v>
      </c>
      <c r="R6" s="190"/>
      <c r="S6" s="191"/>
      <c r="T6" s="190"/>
      <c r="U6" s="191"/>
      <c r="V6" s="182"/>
      <c r="W6" s="194" t="s">
        <v>1776</v>
      </c>
      <c r="X6" s="190"/>
      <c r="Y6" s="191"/>
      <c r="Z6" s="190"/>
      <c r="AA6" s="191"/>
    </row>
    <row r="7" spans="1:27" x14ac:dyDescent="0.3">
      <c r="A7" s="191" t="s">
        <v>1224</v>
      </c>
      <c r="B7" s="193"/>
      <c r="C7" s="187"/>
      <c r="D7" s="193"/>
      <c r="E7" s="187"/>
      <c r="F7" s="187"/>
      <c r="G7" s="187"/>
      <c r="H7" s="187"/>
      <c r="I7" s="187"/>
      <c r="K7" s="191" t="s">
        <v>1224</v>
      </c>
      <c r="L7" s="193"/>
      <c r="M7" s="187"/>
      <c r="N7" s="193"/>
      <c r="O7" s="187"/>
      <c r="P7" s="182"/>
      <c r="Q7" s="191" t="s">
        <v>1224</v>
      </c>
      <c r="R7" s="193"/>
      <c r="S7" s="187"/>
      <c r="T7" s="193"/>
      <c r="U7" s="187"/>
      <c r="V7" s="182"/>
      <c r="W7" s="191" t="s">
        <v>1224</v>
      </c>
      <c r="X7" s="193"/>
      <c r="Y7" s="187"/>
      <c r="Z7" s="193"/>
      <c r="AA7" s="187"/>
    </row>
    <row r="8" spans="1:27" x14ac:dyDescent="0.3">
      <c r="A8" s="195" t="s">
        <v>1775</v>
      </c>
      <c r="B8" s="193"/>
      <c r="C8" s="187"/>
      <c r="D8" s="193"/>
      <c r="E8" s="187"/>
      <c r="F8" s="187"/>
      <c r="G8" s="187"/>
      <c r="H8" s="187"/>
      <c r="I8" s="187"/>
      <c r="K8" s="195" t="s">
        <v>1775</v>
      </c>
      <c r="L8" s="193"/>
      <c r="M8" s="187"/>
      <c r="N8" s="193"/>
      <c r="O8" s="187"/>
      <c r="P8" s="182"/>
      <c r="Q8" s="195" t="s">
        <v>1775</v>
      </c>
      <c r="R8" s="193"/>
      <c r="S8" s="187"/>
      <c r="T8" s="193"/>
      <c r="U8" s="187"/>
      <c r="V8" s="182"/>
      <c r="W8" s="195" t="s">
        <v>1775</v>
      </c>
      <c r="X8" s="193"/>
      <c r="Y8" s="187"/>
      <c r="Z8" s="193"/>
      <c r="AA8" s="187"/>
    </row>
    <row r="9" spans="1:27" x14ac:dyDescent="0.3">
      <c r="A9" s="189" t="s">
        <v>11</v>
      </c>
      <c r="B9" s="185">
        <v>10514790.59</v>
      </c>
      <c r="C9" s="185">
        <v>67.199072589593072</v>
      </c>
      <c r="D9" s="185">
        <v>8719962.9600000009</v>
      </c>
      <c r="E9" s="185">
        <v>56.322545421960221</v>
      </c>
      <c r="F9" s="185">
        <v>5524668.4700000007</v>
      </c>
      <c r="G9" s="185">
        <v>46.018345680917186</v>
      </c>
      <c r="H9" s="185">
        <v>24759422.02</v>
      </c>
      <c r="I9" s="185">
        <v>57.400140906447383</v>
      </c>
      <c r="K9" s="189" t="s">
        <v>11</v>
      </c>
      <c r="L9" s="185">
        <v>10514790.59</v>
      </c>
      <c r="M9" s="188">
        <v>67.199072589593072</v>
      </c>
      <c r="N9" s="185">
        <v>10514790.59</v>
      </c>
      <c r="O9" s="188">
        <v>67.199072589593072</v>
      </c>
      <c r="P9" s="182"/>
      <c r="Q9" s="189" t="s">
        <v>11</v>
      </c>
      <c r="R9" s="185">
        <v>8719962.9600000009</v>
      </c>
      <c r="S9" s="188">
        <v>56.322545421960221</v>
      </c>
      <c r="T9" s="185">
        <v>19234753.550000001</v>
      </c>
      <c r="U9" s="188">
        <v>61.789640677729672</v>
      </c>
      <c r="V9" s="182"/>
      <c r="W9" s="189" t="s">
        <v>11</v>
      </c>
      <c r="X9" s="185">
        <v>5524668.4700000007</v>
      </c>
      <c r="Y9" s="188">
        <v>46.018345680917186</v>
      </c>
      <c r="Z9" s="185">
        <v>24759422.02</v>
      </c>
      <c r="AA9" s="188">
        <v>57.400140906447383</v>
      </c>
    </row>
    <row r="10" spans="1:27" x14ac:dyDescent="0.3">
      <c r="A10" s="189" t="s">
        <v>1774</v>
      </c>
      <c r="B10" s="185">
        <v>795925.39</v>
      </c>
      <c r="C10" s="185">
        <v>5.0866869483237309</v>
      </c>
      <c r="D10" s="185">
        <v>4286349.3499999996</v>
      </c>
      <c r="E10" s="185">
        <v>27.68568021070638</v>
      </c>
      <c r="F10" s="185">
        <v>5389707.1200000001</v>
      </c>
      <c r="G10" s="185">
        <v>44.894169978503804</v>
      </c>
      <c r="H10" s="185">
        <v>10388495.77</v>
      </c>
      <c r="I10" s="185">
        <v>24.083806177799971</v>
      </c>
      <c r="K10" s="189" t="s">
        <v>1774</v>
      </c>
      <c r="L10" s="185">
        <v>795925.39</v>
      </c>
      <c r="M10" s="188">
        <v>5.0866869483237309</v>
      </c>
      <c r="N10" s="185">
        <v>795925.39</v>
      </c>
      <c r="O10" s="188">
        <v>5.0866869483237309</v>
      </c>
      <c r="P10" s="182"/>
      <c r="Q10" s="189" t="s">
        <v>1774</v>
      </c>
      <c r="R10" s="185">
        <v>4286349.3499999996</v>
      </c>
      <c r="S10" s="188">
        <v>27.68568021070638</v>
      </c>
      <c r="T10" s="185">
        <v>5082274.74</v>
      </c>
      <c r="U10" s="188">
        <v>16.326277807188333</v>
      </c>
      <c r="V10" s="182"/>
      <c r="W10" s="189" t="s">
        <v>1774</v>
      </c>
      <c r="X10" s="185">
        <v>5389707.1200000001</v>
      </c>
      <c r="Y10" s="188">
        <v>44.894169978503804</v>
      </c>
      <c r="Z10" s="185">
        <v>10388495.77</v>
      </c>
      <c r="AA10" s="188">
        <v>24.083806177799971</v>
      </c>
    </row>
    <row r="11" spans="1:27" x14ac:dyDescent="0.3">
      <c r="A11" s="189" t="s">
        <v>1773</v>
      </c>
      <c r="B11" s="185"/>
      <c r="C11" s="187"/>
      <c r="D11" s="185"/>
      <c r="E11" s="185"/>
      <c r="F11" s="185"/>
      <c r="G11" s="185"/>
      <c r="H11" s="185"/>
      <c r="I11" s="185"/>
      <c r="K11" s="189" t="s">
        <v>1773</v>
      </c>
      <c r="L11" s="185"/>
      <c r="M11" s="187"/>
      <c r="N11" s="185"/>
      <c r="O11" s="187"/>
      <c r="P11" s="182"/>
      <c r="Q11" s="189" t="s">
        <v>1773</v>
      </c>
      <c r="R11" s="185"/>
      <c r="S11" s="187"/>
      <c r="T11" s="185"/>
      <c r="U11" s="187"/>
      <c r="V11" s="182"/>
      <c r="W11" s="189" t="s">
        <v>1773</v>
      </c>
      <c r="X11" s="185"/>
      <c r="Y11" s="187"/>
      <c r="Z11" s="185">
        <v>0</v>
      </c>
      <c r="AA11" s="187"/>
    </row>
    <row r="12" spans="1:27" x14ac:dyDescent="0.3">
      <c r="A12" s="189" t="s">
        <v>1772</v>
      </c>
      <c r="B12" s="185">
        <v>5007487.32</v>
      </c>
      <c r="C12" s="185">
        <v>32.002397102246704</v>
      </c>
      <c r="D12" s="185">
        <v>2933807.53</v>
      </c>
      <c r="E12" s="185">
        <v>18.949565339405282</v>
      </c>
      <c r="F12" s="185">
        <v>2082595.6600000001</v>
      </c>
      <c r="G12" s="185">
        <v>17.347214138888926</v>
      </c>
      <c r="H12" s="185">
        <v>10023890.51</v>
      </c>
      <c r="I12" s="185">
        <v>23.238536313167167</v>
      </c>
      <c r="K12" s="189" t="s">
        <v>1772</v>
      </c>
      <c r="L12" s="185">
        <v>5007487.32</v>
      </c>
      <c r="M12" s="188">
        <v>32.002397102246704</v>
      </c>
      <c r="N12" s="185">
        <v>5007487.32</v>
      </c>
      <c r="O12" s="188">
        <v>32.002397102246704</v>
      </c>
      <c r="P12" s="182"/>
      <c r="Q12" s="189" t="s">
        <v>1772</v>
      </c>
      <c r="R12" s="185">
        <v>2933807.53</v>
      </c>
      <c r="S12" s="188">
        <v>18.949565339405282</v>
      </c>
      <c r="T12" s="185">
        <v>7941294.8499999996</v>
      </c>
      <c r="U12" s="188">
        <v>25.510581875763371</v>
      </c>
      <c r="V12" s="182"/>
      <c r="W12" s="189" t="s">
        <v>1772</v>
      </c>
      <c r="X12" s="185">
        <v>2082595.6600000001</v>
      </c>
      <c r="Y12" s="188">
        <v>17.347214138888926</v>
      </c>
      <c r="Z12" s="185">
        <v>10023890.51</v>
      </c>
      <c r="AA12" s="188">
        <v>23.238536313167167</v>
      </c>
    </row>
    <row r="13" spans="1:27" x14ac:dyDescent="0.3">
      <c r="A13" s="189" t="s">
        <v>1771</v>
      </c>
      <c r="B13" s="185">
        <v>612222.09000000008</v>
      </c>
      <c r="C13" s="185">
        <v>3.9126558265448432</v>
      </c>
      <c r="D13" s="185">
        <v>58624.639999999999</v>
      </c>
      <c r="E13" s="185">
        <v>0.37865859802299728</v>
      </c>
      <c r="F13" s="185">
        <v>105829.02</v>
      </c>
      <c r="G13" s="185">
        <v>0.88151469212643963</v>
      </c>
      <c r="H13" s="185">
        <v>776393.0199999999</v>
      </c>
      <c r="I13" s="185">
        <v>1.79992362950895</v>
      </c>
      <c r="K13" s="189" t="s">
        <v>1771</v>
      </c>
      <c r="L13" s="185">
        <v>612222.09000000008</v>
      </c>
      <c r="M13" s="188">
        <v>3.9126558265448432</v>
      </c>
      <c r="N13" s="185">
        <v>612222.09000000008</v>
      </c>
      <c r="O13" s="188">
        <v>3.9126558265448432</v>
      </c>
      <c r="P13" s="182"/>
      <c r="Q13" s="189" t="s">
        <v>1771</v>
      </c>
      <c r="R13" s="185">
        <v>58624.639999999999</v>
      </c>
      <c r="S13" s="188">
        <v>0.37865859802299728</v>
      </c>
      <c r="T13" s="185">
        <v>670846.73</v>
      </c>
      <c r="U13" s="188">
        <v>2.1550251885878691</v>
      </c>
      <c r="V13" s="182"/>
      <c r="W13" s="189" t="s">
        <v>1771</v>
      </c>
      <c r="X13" s="185">
        <v>105829.02</v>
      </c>
      <c r="Y13" s="188">
        <v>0.88151469212643963</v>
      </c>
      <c r="Z13" s="185">
        <v>776393.0199999999</v>
      </c>
      <c r="AA13" s="188">
        <v>1.79992362950895</v>
      </c>
    </row>
    <row r="14" spans="1:27" x14ac:dyDescent="0.3">
      <c r="A14" s="187"/>
      <c r="B14" s="185"/>
      <c r="C14" s="185"/>
      <c r="D14" s="185"/>
      <c r="E14" s="185"/>
      <c r="F14" s="185"/>
      <c r="G14" s="185"/>
      <c r="H14" s="185"/>
      <c r="I14" s="185"/>
      <c r="K14" s="187"/>
      <c r="L14" s="185"/>
      <c r="M14" s="187"/>
      <c r="N14" s="185"/>
      <c r="O14" s="187"/>
      <c r="P14" s="182"/>
      <c r="Q14" s="187"/>
      <c r="R14" s="185"/>
      <c r="S14" s="187"/>
      <c r="T14" s="185"/>
      <c r="U14" s="187"/>
      <c r="V14" s="182"/>
      <c r="W14" s="187"/>
      <c r="X14" s="185"/>
      <c r="Y14" s="187"/>
      <c r="Z14" s="185"/>
      <c r="AA14" s="187"/>
    </row>
    <row r="15" spans="1:27" x14ac:dyDescent="0.3">
      <c r="A15" s="189" t="s">
        <v>1770</v>
      </c>
      <c r="B15" s="185">
        <v>5619709.4100000001</v>
      </c>
      <c r="C15" s="185">
        <v>35.915052928791546</v>
      </c>
      <c r="D15" s="185">
        <v>2992432.17</v>
      </c>
      <c r="E15" s="185">
        <v>19.328223937428284</v>
      </c>
      <c r="F15" s="185">
        <v>2188424.6800000002</v>
      </c>
      <c r="G15" s="185">
        <v>18.228728831015367</v>
      </c>
      <c r="H15" s="185">
        <v>10800283.530000001</v>
      </c>
      <c r="I15" s="185">
        <v>25.038459942676123</v>
      </c>
      <c r="K15" s="189" t="s">
        <v>1770</v>
      </c>
      <c r="L15" s="185">
        <v>5619709.4100000001</v>
      </c>
      <c r="M15" s="188">
        <v>35.915052928791546</v>
      </c>
      <c r="N15" s="185">
        <v>5619709.4100000001</v>
      </c>
      <c r="O15" s="188">
        <v>35.915052928791546</v>
      </c>
      <c r="P15" s="182"/>
      <c r="Q15" s="189" t="s">
        <v>1770</v>
      </c>
      <c r="R15" s="185">
        <v>2992432.17</v>
      </c>
      <c r="S15" s="188">
        <v>19.328223937428284</v>
      </c>
      <c r="T15" s="185">
        <v>8612141.5800000001</v>
      </c>
      <c r="U15" s="188">
        <v>27.665607064351246</v>
      </c>
      <c r="V15" s="182"/>
      <c r="W15" s="189" t="s">
        <v>1770</v>
      </c>
      <c r="X15" s="185">
        <v>2188424.6800000002</v>
      </c>
      <c r="Y15" s="188">
        <v>18.228728831015367</v>
      </c>
      <c r="Z15" s="185">
        <v>10800283.530000001</v>
      </c>
      <c r="AA15" s="188">
        <v>25.038459942676123</v>
      </c>
    </row>
    <row r="16" spans="1:27" x14ac:dyDescent="0.3">
      <c r="A16" s="191" t="s">
        <v>1224</v>
      </c>
      <c r="B16" s="193"/>
      <c r="C16" s="193"/>
      <c r="D16" s="193"/>
      <c r="E16" s="193"/>
      <c r="F16" s="193"/>
      <c r="G16" s="193"/>
      <c r="H16" s="193"/>
      <c r="I16" s="193"/>
      <c r="K16" s="191" t="s">
        <v>1224</v>
      </c>
      <c r="L16" s="193"/>
      <c r="M16" s="187"/>
      <c r="N16" s="193"/>
      <c r="O16" s="187"/>
      <c r="P16" s="182"/>
      <c r="Q16" s="191" t="s">
        <v>1224</v>
      </c>
      <c r="R16" s="193"/>
      <c r="S16" s="187"/>
      <c r="T16" s="193"/>
      <c r="U16" s="187"/>
      <c r="V16" s="182"/>
      <c r="W16" s="191" t="s">
        <v>1224</v>
      </c>
      <c r="X16" s="193"/>
      <c r="Y16" s="187"/>
      <c r="Z16" s="193"/>
      <c r="AA16" s="187"/>
    </row>
    <row r="17" spans="1:27" x14ac:dyDescent="0.3">
      <c r="A17" s="187"/>
      <c r="B17" s="193"/>
      <c r="C17" s="193"/>
      <c r="D17" s="193"/>
      <c r="E17" s="193"/>
      <c r="F17" s="193"/>
      <c r="G17" s="193"/>
      <c r="H17" s="193"/>
      <c r="I17" s="193"/>
      <c r="K17" s="187"/>
      <c r="L17" s="193"/>
      <c r="M17" s="187"/>
      <c r="N17" s="193"/>
      <c r="O17" s="187"/>
      <c r="P17" s="182"/>
      <c r="Q17" s="187"/>
      <c r="R17" s="193"/>
      <c r="S17" s="187"/>
      <c r="T17" s="193"/>
      <c r="U17" s="187"/>
      <c r="V17" s="182"/>
      <c r="W17" s="187"/>
      <c r="X17" s="193"/>
      <c r="Y17" s="187"/>
      <c r="Z17" s="193"/>
      <c r="AA17" s="187"/>
    </row>
    <row r="18" spans="1:27" x14ac:dyDescent="0.3">
      <c r="A18" s="189" t="s">
        <v>1769</v>
      </c>
      <c r="B18" s="185">
        <v>16930425.390000001</v>
      </c>
      <c r="C18" s="185">
        <v>108.20081246670836</v>
      </c>
      <c r="D18" s="185">
        <v>15998744.48</v>
      </c>
      <c r="E18" s="185">
        <v>103.33644957009489</v>
      </c>
      <c r="F18" s="185">
        <v>13102800.27</v>
      </c>
      <c r="G18" s="185">
        <v>109.14124449043634</v>
      </c>
      <c r="H18" s="185">
        <v>45948201.32</v>
      </c>
      <c r="I18" s="185">
        <v>106.52240702692349</v>
      </c>
      <c r="K18" s="189" t="s">
        <v>1769</v>
      </c>
      <c r="L18" s="185">
        <v>16930425.390000001</v>
      </c>
      <c r="M18" s="188">
        <v>108.20081246670836</v>
      </c>
      <c r="N18" s="185">
        <v>16930425.390000001</v>
      </c>
      <c r="O18" s="188">
        <v>108.20081246670836</v>
      </c>
      <c r="P18" s="182"/>
      <c r="Q18" s="189" t="s">
        <v>1769</v>
      </c>
      <c r="R18" s="185">
        <v>15998744.48</v>
      </c>
      <c r="S18" s="188">
        <v>103.33644957009489</v>
      </c>
      <c r="T18" s="185">
        <v>32929169.869999997</v>
      </c>
      <c r="U18" s="188">
        <v>105.78152554926925</v>
      </c>
      <c r="V18" s="182"/>
      <c r="W18" s="189" t="s">
        <v>1769</v>
      </c>
      <c r="X18" s="185">
        <v>13102800.27</v>
      </c>
      <c r="Y18" s="188">
        <v>109.14124449043634</v>
      </c>
      <c r="Z18" s="185">
        <v>45948201.32</v>
      </c>
      <c r="AA18" s="188">
        <v>106.52240702692349</v>
      </c>
    </row>
    <row r="19" spans="1:27" x14ac:dyDescent="0.3">
      <c r="A19" s="191" t="s">
        <v>1224</v>
      </c>
      <c r="B19" s="193"/>
      <c r="C19" s="193"/>
      <c r="D19" s="193"/>
      <c r="E19" s="193"/>
      <c r="F19" s="193"/>
      <c r="G19" s="193"/>
      <c r="H19" s="193"/>
      <c r="I19" s="193"/>
      <c r="K19" s="191" t="s">
        <v>1224</v>
      </c>
      <c r="L19" s="193"/>
      <c r="M19" s="187"/>
      <c r="N19" s="193"/>
      <c r="O19" s="187"/>
      <c r="P19" s="182"/>
      <c r="Q19" s="191" t="s">
        <v>1224</v>
      </c>
      <c r="R19" s="193"/>
      <c r="S19" s="187"/>
      <c r="T19" s="193"/>
      <c r="U19" s="187"/>
      <c r="V19" s="182"/>
      <c r="W19" s="191" t="s">
        <v>1224</v>
      </c>
      <c r="X19" s="193"/>
      <c r="Y19" s="187"/>
      <c r="Z19" s="193"/>
      <c r="AA19" s="187"/>
    </row>
    <row r="20" spans="1:27" x14ac:dyDescent="0.3">
      <c r="A20" s="189" t="s">
        <v>1768</v>
      </c>
      <c r="B20" s="193"/>
      <c r="C20" s="193"/>
      <c r="D20" s="193"/>
      <c r="E20" s="193"/>
      <c r="F20" s="193"/>
      <c r="G20" s="193"/>
      <c r="H20" s="193"/>
      <c r="I20" s="193"/>
      <c r="K20" s="189" t="s">
        <v>1768</v>
      </c>
      <c r="L20" s="193"/>
      <c r="M20" s="187"/>
      <c r="N20" s="193"/>
      <c r="O20" s="187"/>
      <c r="P20" s="182"/>
      <c r="Q20" s="189" t="s">
        <v>1768</v>
      </c>
      <c r="R20" s="193"/>
      <c r="S20" s="187"/>
      <c r="T20" s="193"/>
      <c r="U20" s="187"/>
      <c r="V20" s="182"/>
      <c r="W20" s="189" t="s">
        <v>1768</v>
      </c>
      <c r="X20" s="193"/>
      <c r="Y20" s="187"/>
      <c r="Z20" s="193"/>
      <c r="AA20" s="187"/>
    </row>
    <row r="21" spans="1:27" x14ac:dyDescent="0.3">
      <c r="A21" s="189" t="s">
        <v>1767</v>
      </c>
      <c r="B21" s="185">
        <v>672752.42</v>
      </c>
      <c r="C21" s="185">
        <v>4.2994996732887296</v>
      </c>
      <c r="D21" s="185">
        <v>130501.52</v>
      </c>
      <c r="E21" s="185">
        <v>0.84291387722074096</v>
      </c>
      <c r="F21" s="185">
        <v>70436.429999999993</v>
      </c>
      <c r="G21" s="185">
        <v>0.58670814400374771</v>
      </c>
      <c r="H21" s="185">
        <v>873690.37</v>
      </c>
      <c r="I21" s="185">
        <v>2.025489541157155</v>
      </c>
      <c r="K21" s="189" t="s">
        <v>1767</v>
      </c>
      <c r="L21" s="185">
        <v>672752.42</v>
      </c>
      <c r="M21" s="188">
        <v>4.2994996732887296</v>
      </c>
      <c r="N21" s="185">
        <v>672752.42</v>
      </c>
      <c r="O21" s="188">
        <v>4.2994996732887296</v>
      </c>
      <c r="P21" s="182"/>
      <c r="Q21" s="189" t="s">
        <v>1767</v>
      </c>
      <c r="R21" s="185">
        <v>130501.52</v>
      </c>
      <c r="S21" s="188">
        <v>0.84291387722074096</v>
      </c>
      <c r="T21" s="185">
        <v>803253.94000000006</v>
      </c>
      <c r="U21" s="188">
        <v>2.5803695480969986</v>
      </c>
      <c r="V21" s="182"/>
      <c r="W21" s="189" t="s">
        <v>1767</v>
      </c>
      <c r="X21" s="185">
        <v>70436.429999999993</v>
      </c>
      <c r="Y21" s="188">
        <v>0.58670814400374771</v>
      </c>
      <c r="Z21" s="185">
        <v>873690.37</v>
      </c>
      <c r="AA21" s="188">
        <v>2.025489541157155</v>
      </c>
    </row>
    <row r="22" spans="1:27" x14ac:dyDescent="0.3">
      <c r="A22" s="189" t="s">
        <v>1766</v>
      </c>
      <c r="B22" s="185">
        <v>225525.47999999998</v>
      </c>
      <c r="C22" s="185">
        <v>1.4413128793773553</v>
      </c>
      <c r="D22" s="185">
        <v>127931.18</v>
      </c>
      <c r="E22" s="185">
        <v>0.82631196135665319</v>
      </c>
      <c r="F22" s="185">
        <v>528110.88</v>
      </c>
      <c r="G22" s="185">
        <v>4.3989588091416048</v>
      </c>
      <c r="H22" s="185">
        <v>881567.54</v>
      </c>
      <c r="I22" s="185">
        <v>2.0437513029857954</v>
      </c>
      <c r="K22" s="189" t="s">
        <v>1766</v>
      </c>
      <c r="L22" s="185">
        <v>225525.47999999998</v>
      </c>
      <c r="M22" s="188">
        <v>1.4413128793773553</v>
      </c>
      <c r="N22" s="185">
        <v>225525.47999999998</v>
      </c>
      <c r="O22" s="188">
        <v>1.4413128793773553</v>
      </c>
      <c r="P22" s="182"/>
      <c r="Q22" s="189" t="s">
        <v>1766</v>
      </c>
      <c r="R22" s="185">
        <v>127931.18</v>
      </c>
      <c r="S22" s="188">
        <v>0.82631196135665319</v>
      </c>
      <c r="T22" s="185">
        <v>353456.66000000003</v>
      </c>
      <c r="U22" s="188">
        <v>1.1354426746242594</v>
      </c>
      <c r="V22" s="182"/>
      <c r="W22" s="189" t="s">
        <v>1766</v>
      </c>
      <c r="X22" s="185">
        <v>528110.88</v>
      </c>
      <c r="Y22" s="188">
        <v>4.3989588091416048</v>
      </c>
      <c r="Z22" s="185">
        <v>881567.54</v>
      </c>
      <c r="AA22" s="188">
        <v>2.0437513029857954</v>
      </c>
    </row>
    <row r="23" spans="1:27" x14ac:dyDescent="0.3">
      <c r="A23" s="189" t="s">
        <v>1765</v>
      </c>
      <c r="B23" s="185">
        <v>142524.59</v>
      </c>
      <c r="C23" s="185">
        <v>0.91086172256446152</v>
      </c>
      <c r="D23" s="185">
        <v>83969.78</v>
      </c>
      <c r="E23" s="185">
        <v>0.54236374280677069</v>
      </c>
      <c r="F23" s="185">
        <v>-2757.34</v>
      </c>
      <c r="G23" s="185">
        <v>-2.2967572799860725E-2</v>
      </c>
      <c r="H23" s="185">
        <v>139968.21</v>
      </c>
      <c r="I23" s="185">
        <v>0.32449040894142883</v>
      </c>
      <c r="K23" s="189" t="s">
        <v>1765</v>
      </c>
      <c r="L23" s="185">
        <v>142524.59</v>
      </c>
      <c r="M23" s="188">
        <v>0.91086172256446152</v>
      </c>
      <c r="N23" s="185">
        <v>142524.59</v>
      </c>
      <c r="O23" s="188">
        <v>0.91086172256446152</v>
      </c>
      <c r="P23" s="182"/>
      <c r="Q23" s="189" t="s">
        <v>1765</v>
      </c>
      <c r="R23" s="185">
        <v>83969.78</v>
      </c>
      <c r="S23" s="188">
        <v>0.54236374280677069</v>
      </c>
      <c r="T23" s="185">
        <v>226494.37</v>
      </c>
      <c r="U23" s="188">
        <v>0.72758955301658934</v>
      </c>
      <c r="V23" s="182"/>
      <c r="W23" s="189" t="s">
        <v>1765</v>
      </c>
      <c r="X23" s="185">
        <v>-2757.34</v>
      </c>
      <c r="Y23" s="188">
        <v>-2.2967572799860725E-2</v>
      </c>
      <c r="Z23" s="185">
        <v>139968.21</v>
      </c>
      <c r="AA23" s="188">
        <v>0.32449040894142883</v>
      </c>
    </row>
    <row r="24" spans="1:27" x14ac:dyDescent="0.3">
      <c r="A24" s="189" t="s">
        <v>1764</v>
      </c>
      <c r="B24" s="185">
        <v>24524</v>
      </c>
      <c r="C24" s="185">
        <v>0.15673065878786852</v>
      </c>
      <c r="D24" s="185">
        <v>56.08</v>
      </c>
      <c r="E24" s="185">
        <v>3.6222267935683168E-4</v>
      </c>
      <c r="F24" s="185">
        <v>1691.53</v>
      </c>
      <c r="G24" s="185">
        <v>1.4089788861057547E-2</v>
      </c>
      <c r="H24" s="185">
        <v>26271.61</v>
      </c>
      <c r="I24" s="185">
        <v>6.0905869071625131E-2</v>
      </c>
      <c r="K24" s="189" t="s">
        <v>1764</v>
      </c>
      <c r="L24" s="185">
        <v>24524</v>
      </c>
      <c r="M24" s="188">
        <v>0.15673065878786852</v>
      </c>
      <c r="N24" s="185">
        <v>24524</v>
      </c>
      <c r="O24" s="188">
        <v>0.15673065878786852</v>
      </c>
      <c r="P24" s="182"/>
      <c r="Q24" s="189" t="s">
        <v>1764</v>
      </c>
      <c r="R24" s="185">
        <v>56.08</v>
      </c>
      <c r="S24" s="188">
        <v>3.6222267935683168E-4</v>
      </c>
      <c r="T24" s="185">
        <v>24580.079999999998</v>
      </c>
      <c r="U24" s="188">
        <v>7.8960944681812653E-2</v>
      </c>
      <c r="V24" s="182"/>
      <c r="W24" s="189" t="s">
        <v>1764</v>
      </c>
      <c r="X24" s="185">
        <v>1691.53</v>
      </c>
      <c r="Y24" s="188">
        <v>1.4089788861057547E-2</v>
      </c>
      <c r="Z24" s="185">
        <v>26271.61</v>
      </c>
      <c r="AA24" s="188">
        <v>6.0905869071625131E-2</v>
      </c>
    </row>
    <row r="25" spans="1:27" x14ac:dyDescent="0.3">
      <c r="A25" s="189" t="s">
        <v>1763</v>
      </c>
      <c r="B25" s="185">
        <v>236.38</v>
      </c>
      <c r="C25" s="185">
        <v>1.5106831318005367E-3</v>
      </c>
      <c r="D25" s="185">
        <v>1169.71</v>
      </c>
      <c r="E25" s="185">
        <v>7.5551977580328028E-3</v>
      </c>
      <c r="F25" s="185">
        <v>257169.66</v>
      </c>
      <c r="G25" s="185">
        <v>2.1421235277352197</v>
      </c>
      <c r="H25" s="185">
        <v>258575.75</v>
      </c>
      <c r="I25" s="185">
        <v>0.59946005496417132</v>
      </c>
      <c r="K25" s="189" t="s">
        <v>1763</v>
      </c>
      <c r="L25" s="185">
        <v>236.38</v>
      </c>
      <c r="M25" s="188">
        <v>1.5106831318005367E-3</v>
      </c>
      <c r="N25" s="185">
        <v>236.38</v>
      </c>
      <c r="O25" s="188">
        <v>1.5106831318005367E-3</v>
      </c>
      <c r="P25" s="182"/>
      <c r="Q25" s="189" t="s">
        <v>1763</v>
      </c>
      <c r="R25" s="185">
        <v>1169.71</v>
      </c>
      <c r="S25" s="188">
        <v>7.5551977580328028E-3</v>
      </c>
      <c r="T25" s="185">
        <v>1406.09</v>
      </c>
      <c r="U25" s="188">
        <v>4.5169175489929219E-3</v>
      </c>
      <c r="V25" s="182"/>
      <c r="W25" s="189" t="s">
        <v>1763</v>
      </c>
      <c r="X25" s="185">
        <v>257169.66</v>
      </c>
      <c r="Y25" s="188">
        <v>2.1421235277352197</v>
      </c>
      <c r="Z25" s="185">
        <v>258575.75</v>
      </c>
      <c r="AA25" s="188">
        <v>0.59946005496417132</v>
      </c>
    </row>
    <row r="26" spans="1:27" x14ac:dyDescent="0.3">
      <c r="A26" s="189" t="s">
        <v>1762</v>
      </c>
      <c r="B26" s="185">
        <v>215833.58000000002</v>
      </c>
      <c r="C26" s="185">
        <v>1.3793728258825693</v>
      </c>
      <c r="D26" s="185">
        <v>131373.67000000001</v>
      </c>
      <c r="E26" s="185">
        <v>0.84854712454244341</v>
      </c>
      <c r="F26" s="185">
        <v>216430.88</v>
      </c>
      <c r="G26" s="185">
        <v>1.8027852903660486</v>
      </c>
      <c r="H26" s="185">
        <v>563638.13</v>
      </c>
      <c r="I26" s="185">
        <v>1.3066907642719889</v>
      </c>
      <c r="K26" s="189" t="s">
        <v>1762</v>
      </c>
      <c r="L26" s="185">
        <v>215833.58000000002</v>
      </c>
      <c r="M26" s="188">
        <v>1.3793728258825693</v>
      </c>
      <c r="N26" s="185">
        <v>215833.58000000002</v>
      </c>
      <c r="O26" s="188">
        <v>1.3793728258825693</v>
      </c>
      <c r="P26" s="182"/>
      <c r="Q26" s="189" t="s">
        <v>1762</v>
      </c>
      <c r="R26" s="185">
        <v>131373.67000000001</v>
      </c>
      <c r="S26" s="188">
        <v>0.84854712454244341</v>
      </c>
      <c r="T26" s="185">
        <v>347207.25</v>
      </c>
      <c r="U26" s="188">
        <v>1.1153670964608047</v>
      </c>
      <c r="V26" s="182"/>
      <c r="W26" s="189" t="s">
        <v>1762</v>
      </c>
      <c r="X26" s="185">
        <v>216430.88</v>
      </c>
      <c r="Y26" s="188">
        <v>1.8027852903660486</v>
      </c>
      <c r="Z26" s="185">
        <v>563638.13</v>
      </c>
      <c r="AA26" s="188">
        <v>1.3066907642719889</v>
      </c>
    </row>
    <row r="27" spans="1:27" x14ac:dyDescent="0.3">
      <c r="A27" s="189" t="s">
        <v>1761</v>
      </c>
      <c r="B27" s="185">
        <v>198.28</v>
      </c>
      <c r="C27" s="185">
        <v>1.2671894888459702E-3</v>
      </c>
      <c r="D27" s="185">
        <v>3990.92</v>
      </c>
      <c r="E27" s="185">
        <v>2.5777491717167738E-2</v>
      </c>
      <c r="F27" s="185">
        <v>9131.35</v>
      </c>
      <c r="G27" s="185">
        <v>7.6060604019093855E-2</v>
      </c>
      <c r="H27" s="185">
        <v>13320.55</v>
      </c>
      <c r="I27" s="185">
        <v>3.0881231651278176E-2</v>
      </c>
      <c r="K27" s="189" t="s">
        <v>1761</v>
      </c>
      <c r="L27" s="185">
        <v>198.28</v>
      </c>
      <c r="M27" s="188">
        <v>1.2671894888459702E-3</v>
      </c>
      <c r="N27" s="185">
        <v>198.28</v>
      </c>
      <c r="O27" s="188">
        <v>1.2671894888459702E-3</v>
      </c>
      <c r="P27" s="182"/>
      <c r="Q27" s="189" t="s">
        <v>1761</v>
      </c>
      <c r="R27" s="185">
        <v>3990.92</v>
      </c>
      <c r="S27" s="188">
        <v>2.5777491717167738E-2</v>
      </c>
      <c r="T27" s="185">
        <v>4189.2</v>
      </c>
      <c r="U27" s="188">
        <v>1.3457368302342775E-2</v>
      </c>
      <c r="V27" s="182"/>
      <c r="W27" s="189" t="s">
        <v>1761</v>
      </c>
      <c r="X27" s="185">
        <v>9131.35</v>
      </c>
      <c r="Y27" s="188">
        <v>7.6060604019093855E-2</v>
      </c>
      <c r="Z27" s="185">
        <v>13320.55</v>
      </c>
      <c r="AA27" s="188">
        <v>3.0881231651278176E-2</v>
      </c>
    </row>
    <row r="28" spans="1:27" x14ac:dyDescent="0.3">
      <c r="A28" s="189" t="s">
        <v>1760</v>
      </c>
      <c r="B28" s="185">
        <v>74404.91</v>
      </c>
      <c r="C28" s="185">
        <v>0.47551502859860001</v>
      </c>
      <c r="D28" s="185">
        <v>35521.1</v>
      </c>
      <c r="E28" s="185">
        <v>0.22943202595759543</v>
      </c>
      <c r="F28" s="185">
        <v>17226</v>
      </c>
      <c r="G28" s="185">
        <v>0.14348589910943185</v>
      </c>
      <c r="H28" s="185">
        <v>127152.01000000001</v>
      </c>
      <c r="I28" s="185">
        <v>0.29477841948985883</v>
      </c>
      <c r="K28" s="189" t="s">
        <v>1760</v>
      </c>
      <c r="L28" s="185">
        <v>74404.91</v>
      </c>
      <c r="M28" s="188">
        <v>0.47551502859860001</v>
      </c>
      <c r="N28" s="185">
        <v>74404.91</v>
      </c>
      <c r="O28" s="188">
        <v>0.47551502859860001</v>
      </c>
      <c r="P28" s="182"/>
      <c r="Q28" s="189" t="s">
        <v>1760</v>
      </c>
      <c r="R28" s="185">
        <v>35521.1</v>
      </c>
      <c r="S28" s="188">
        <v>0.22943202595759543</v>
      </c>
      <c r="T28" s="185">
        <v>109926.01</v>
      </c>
      <c r="U28" s="188">
        <v>0.35312584803232477</v>
      </c>
      <c r="V28" s="182"/>
      <c r="W28" s="189" t="s">
        <v>1760</v>
      </c>
      <c r="X28" s="185">
        <v>17226</v>
      </c>
      <c r="Y28" s="188">
        <v>0.14348589910943185</v>
      </c>
      <c r="Z28" s="185">
        <v>127152.01000000001</v>
      </c>
      <c r="AA28" s="188">
        <v>0.29477841948985883</v>
      </c>
    </row>
    <row r="29" spans="1:27" x14ac:dyDescent="0.3">
      <c r="A29" s="189" t="s">
        <v>1759</v>
      </c>
      <c r="B29" s="185">
        <v>0</v>
      </c>
      <c r="C29" s="185">
        <v>0</v>
      </c>
      <c r="D29" s="185">
        <v>9951.2199999999993</v>
      </c>
      <c r="E29" s="185">
        <v>6.4275277661720573E-2</v>
      </c>
      <c r="F29" s="185">
        <v>0</v>
      </c>
      <c r="G29" s="185">
        <v>0</v>
      </c>
      <c r="H29" s="185">
        <v>9951.2199999999993</v>
      </c>
      <c r="I29" s="185">
        <v>2.3070063175531969E-2</v>
      </c>
      <c r="K29" s="189" t="s">
        <v>1759</v>
      </c>
      <c r="L29" s="185">
        <v>0</v>
      </c>
      <c r="M29" s="188">
        <v>0</v>
      </c>
      <c r="N29" s="185">
        <v>0</v>
      </c>
      <c r="O29" s="188">
        <v>0</v>
      </c>
      <c r="P29" s="182"/>
      <c r="Q29" s="189" t="s">
        <v>1759</v>
      </c>
      <c r="R29" s="185">
        <v>9951.2199999999993</v>
      </c>
      <c r="S29" s="188">
        <v>6.4275277661720573E-2</v>
      </c>
      <c r="T29" s="185">
        <v>9951.2199999999993</v>
      </c>
      <c r="U29" s="188">
        <v>3.1967256898128391E-2</v>
      </c>
      <c r="V29" s="182"/>
      <c r="W29" s="189" t="s">
        <v>1759</v>
      </c>
      <c r="X29" s="185">
        <v>0</v>
      </c>
      <c r="Y29" s="188">
        <v>0</v>
      </c>
      <c r="Z29" s="185">
        <v>9951.2199999999993</v>
      </c>
      <c r="AA29" s="188">
        <v>2.3070063175531969E-2</v>
      </c>
    </row>
    <row r="30" spans="1:27" x14ac:dyDescent="0.3">
      <c r="A30" s="187"/>
      <c r="B30" s="193"/>
      <c r="C30" s="193"/>
      <c r="D30" s="193"/>
      <c r="E30" s="193"/>
      <c r="F30" s="193"/>
      <c r="G30" s="193"/>
      <c r="H30" s="193"/>
      <c r="I30" s="193"/>
      <c r="K30" s="187"/>
      <c r="L30" s="193"/>
      <c r="M30" s="187"/>
      <c r="N30" s="193"/>
      <c r="O30" s="187"/>
      <c r="P30" s="182"/>
      <c r="Q30" s="187"/>
      <c r="R30" s="193"/>
      <c r="S30" s="187"/>
      <c r="T30" s="193"/>
      <c r="U30" s="187"/>
      <c r="V30" s="182"/>
      <c r="W30" s="187"/>
      <c r="X30" s="193"/>
      <c r="Y30" s="187"/>
      <c r="Z30" s="193"/>
      <c r="AA30" s="187"/>
    </row>
    <row r="31" spans="1:27" x14ac:dyDescent="0.3">
      <c r="A31" s="189" t="s">
        <v>1758</v>
      </c>
      <c r="B31" s="185">
        <v>-1355999.64</v>
      </c>
      <c r="C31" s="185">
        <v>-8.6660706611202301</v>
      </c>
      <c r="D31" s="185">
        <v>-524465.17999999993</v>
      </c>
      <c r="E31" s="185">
        <v>-3.387538921700481</v>
      </c>
      <c r="F31" s="185">
        <v>-1097439.3899999999</v>
      </c>
      <c r="G31" s="185">
        <v>-9.1412444904363426</v>
      </c>
      <c r="H31" s="185">
        <v>-2894135.39</v>
      </c>
      <c r="I31" s="185">
        <v>-6.7095176557088338</v>
      </c>
      <c r="K31" s="189" t="s">
        <v>1758</v>
      </c>
      <c r="L31" s="185">
        <v>-1355999.64</v>
      </c>
      <c r="M31" s="188">
        <v>-8.6660706611202301</v>
      </c>
      <c r="N31" s="185">
        <v>-1355999.64</v>
      </c>
      <c r="O31" s="188">
        <v>-8.6660706611202301</v>
      </c>
      <c r="P31" s="182"/>
      <c r="Q31" s="189" t="s">
        <v>1758</v>
      </c>
      <c r="R31" s="185">
        <v>-524465.17999999993</v>
      </c>
      <c r="S31" s="188">
        <v>-3.387538921700481</v>
      </c>
      <c r="T31" s="185">
        <v>-1880464.8199999998</v>
      </c>
      <c r="U31" s="188">
        <v>-6.0407972076622523</v>
      </c>
      <c r="V31" s="182"/>
      <c r="W31" s="189" t="s">
        <v>1758</v>
      </c>
      <c r="X31" s="185">
        <v>-1097439.3899999999</v>
      </c>
      <c r="Y31" s="188">
        <v>-9.1412444904363426</v>
      </c>
      <c r="Z31" s="185">
        <v>-2894135.39</v>
      </c>
      <c r="AA31" s="188">
        <v>-6.7095176557088338</v>
      </c>
    </row>
    <row r="32" spans="1:27" x14ac:dyDescent="0.3">
      <c r="A32" s="191" t="s">
        <v>1224</v>
      </c>
      <c r="B32" s="193"/>
      <c r="C32" s="193"/>
      <c r="D32" s="193"/>
      <c r="E32" s="193"/>
      <c r="F32" s="193"/>
      <c r="G32" s="193"/>
      <c r="H32" s="193"/>
      <c r="I32" s="193"/>
      <c r="K32" s="191" t="s">
        <v>1224</v>
      </c>
      <c r="L32" s="193"/>
      <c r="M32" s="187"/>
      <c r="N32" s="193"/>
      <c r="O32" s="187"/>
      <c r="P32" s="182"/>
      <c r="Q32" s="191" t="s">
        <v>1224</v>
      </c>
      <c r="R32" s="193"/>
      <c r="S32" s="187"/>
      <c r="T32" s="193"/>
      <c r="U32" s="187"/>
      <c r="V32" s="182"/>
      <c r="W32" s="191" t="s">
        <v>1224</v>
      </c>
      <c r="X32" s="193"/>
      <c r="Y32" s="187"/>
      <c r="Z32" s="193"/>
      <c r="AA32" s="187"/>
    </row>
    <row r="33" spans="1:27" x14ac:dyDescent="0.3">
      <c r="A33" s="189" t="s">
        <v>1757</v>
      </c>
      <c r="B33" s="193">
        <f>B31-B35</f>
        <v>-1428799.64</v>
      </c>
      <c r="C33" s="193"/>
      <c r="D33" s="193"/>
      <c r="E33" s="193"/>
      <c r="F33" s="193"/>
      <c r="G33" s="193"/>
      <c r="H33" s="193"/>
      <c r="I33" s="193"/>
      <c r="K33" s="189" t="s">
        <v>1757</v>
      </c>
      <c r="L33" s="193"/>
      <c r="M33" s="187"/>
      <c r="N33" s="193"/>
      <c r="O33" s="187"/>
      <c r="P33" s="182"/>
      <c r="Q33" s="189" t="s">
        <v>1757</v>
      </c>
      <c r="R33" s="193"/>
      <c r="S33" s="187"/>
      <c r="T33" s="193"/>
      <c r="U33" s="187"/>
      <c r="V33" s="182"/>
      <c r="W33" s="189" t="s">
        <v>1757</v>
      </c>
      <c r="X33" s="193"/>
      <c r="Y33" s="187"/>
      <c r="Z33" s="193"/>
      <c r="AA33" s="187"/>
    </row>
    <row r="34" spans="1:27" x14ac:dyDescent="0.3">
      <c r="A34" s="189" t="s">
        <v>1756</v>
      </c>
      <c r="B34" s="185">
        <v>0</v>
      </c>
      <c r="C34" s="185">
        <v>0</v>
      </c>
      <c r="D34" s="185">
        <v>0</v>
      </c>
      <c r="E34" s="185">
        <v>0</v>
      </c>
      <c r="F34" s="185">
        <v>0</v>
      </c>
      <c r="G34" s="185">
        <v>0</v>
      </c>
      <c r="H34" s="185">
        <v>0</v>
      </c>
      <c r="I34" s="185">
        <v>0</v>
      </c>
      <c r="K34" s="189" t="s">
        <v>1756</v>
      </c>
      <c r="L34" s="185">
        <v>0</v>
      </c>
      <c r="M34" s="188">
        <v>0</v>
      </c>
      <c r="N34" s="185">
        <v>0</v>
      </c>
      <c r="O34" s="188">
        <v>0</v>
      </c>
      <c r="P34" s="182"/>
      <c r="Q34" s="189" t="s">
        <v>1756</v>
      </c>
      <c r="R34" s="185">
        <v>0</v>
      </c>
      <c r="S34" s="188">
        <v>0</v>
      </c>
      <c r="T34" s="185">
        <v>0</v>
      </c>
      <c r="U34" s="188">
        <v>0</v>
      </c>
      <c r="V34" s="182"/>
      <c r="W34" s="189" t="s">
        <v>1756</v>
      </c>
      <c r="X34" s="185">
        <v>0</v>
      </c>
      <c r="Y34" s="188">
        <v>0</v>
      </c>
      <c r="Z34" s="185">
        <v>0</v>
      </c>
      <c r="AA34" s="188">
        <v>0</v>
      </c>
    </row>
    <row r="35" spans="1:27" x14ac:dyDescent="0.3">
      <c r="A35" s="189" t="s">
        <v>1755</v>
      </c>
      <c r="B35" s="185">
        <v>72800</v>
      </c>
      <c r="C35" s="185">
        <v>0.46525819441187521</v>
      </c>
      <c r="D35" s="185">
        <v>0</v>
      </c>
      <c r="E35" s="185">
        <v>0</v>
      </c>
      <c r="F35" s="185">
        <v>0</v>
      </c>
      <c r="G35" s="185">
        <v>0</v>
      </c>
      <c r="H35" s="185">
        <v>72800</v>
      </c>
      <c r="I35" s="185">
        <v>0.16877333625211055</v>
      </c>
      <c r="K35" s="189" t="s">
        <v>1755</v>
      </c>
      <c r="L35" s="185">
        <v>72800</v>
      </c>
      <c r="M35" s="188">
        <v>0.46525819441187521</v>
      </c>
      <c r="N35" s="185">
        <v>72800</v>
      </c>
      <c r="O35" s="188">
        <v>0.46525819441187521</v>
      </c>
      <c r="P35" s="182"/>
      <c r="Q35" s="189" t="s">
        <v>1755</v>
      </c>
      <c r="R35" s="185">
        <v>0</v>
      </c>
      <c r="S35" s="188">
        <v>0</v>
      </c>
      <c r="T35" s="185">
        <v>72800</v>
      </c>
      <c r="U35" s="188">
        <v>0.23386241105952305</v>
      </c>
      <c r="V35" s="182"/>
      <c r="W35" s="189" t="s">
        <v>1755</v>
      </c>
      <c r="X35" s="185">
        <v>0</v>
      </c>
      <c r="Y35" s="188">
        <v>0</v>
      </c>
      <c r="Z35" s="185">
        <v>72800</v>
      </c>
      <c r="AA35" s="188">
        <v>0.16877333625211055</v>
      </c>
    </row>
    <row r="36" spans="1:27" x14ac:dyDescent="0.3">
      <c r="A36" s="187"/>
      <c r="B36" s="193"/>
      <c r="C36" s="193"/>
      <c r="D36" s="193"/>
      <c r="E36" s="193"/>
      <c r="F36" s="193"/>
      <c r="G36" s="193"/>
      <c r="H36" s="193"/>
      <c r="I36" s="193"/>
      <c r="K36" s="187"/>
      <c r="L36" s="193"/>
      <c r="M36" s="187"/>
      <c r="N36" s="193"/>
      <c r="O36" s="187"/>
      <c r="P36" s="182"/>
      <c r="Q36" s="187"/>
      <c r="R36" s="193"/>
      <c r="S36" s="187"/>
      <c r="T36" s="193"/>
      <c r="U36" s="187"/>
      <c r="V36" s="182"/>
      <c r="W36" s="187"/>
      <c r="X36" s="193"/>
      <c r="Y36" s="187"/>
      <c r="Z36" s="193"/>
      <c r="AA36" s="187"/>
    </row>
    <row r="37" spans="1:27" x14ac:dyDescent="0.3">
      <c r="A37" s="189" t="s">
        <v>1754</v>
      </c>
      <c r="B37" s="185">
        <v>72800</v>
      </c>
      <c r="C37" s="185">
        <v>0.46525819441187521</v>
      </c>
      <c r="D37" s="185">
        <v>0</v>
      </c>
      <c r="E37" s="185">
        <v>0</v>
      </c>
      <c r="F37" s="185">
        <v>0</v>
      </c>
      <c r="G37" s="185">
        <v>0</v>
      </c>
      <c r="H37" s="185">
        <v>72800</v>
      </c>
      <c r="I37" s="185">
        <v>0.16877333625211055</v>
      </c>
      <c r="K37" s="189" t="s">
        <v>1754</v>
      </c>
      <c r="L37" s="185">
        <v>72800</v>
      </c>
      <c r="M37" s="188">
        <v>0.46525819441187521</v>
      </c>
      <c r="N37" s="185">
        <v>72800</v>
      </c>
      <c r="O37" s="188">
        <v>0.46525819441187521</v>
      </c>
      <c r="P37" s="182"/>
      <c r="Q37" s="189" t="s">
        <v>1754</v>
      </c>
      <c r="R37" s="185">
        <v>0</v>
      </c>
      <c r="S37" s="188">
        <v>0</v>
      </c>
      <c r="T37" s="185">
        <v>72800</v>
      </c>
      <c r="U37" s="188">
        <v>0.23386241105952305</v>
      </c>
      <c r="V37" s="182"/>
      <c r="W37" s="189" t="s">
        <v>1754</v>
      </c>
      <c r="X37" s="185">
        <v>0</v>
      </c>
      <c r="Y37" s="188">
        <v>0</v>
      </c>
      <c r="Z37" s="185">
        <v>72800</v>
      </c>
      <c r="AA37" s="188">
        <v>0.16877333625211055</v>
      </c>
    </row>
    <row r="38" spans="1:27" x14ac:dyDescent="0.3">
      <c r="A38" s="191" t="s">
        <v>1224</v>
      </c>
      <c r="B38" s="193"/>
      <c r="C38" s="193"/>
      <c r="D38" s="193"/>
      <c r="E38" s="193"/>
      <c r="F38" s="193"/>
      <c r="G38" s="193"/>
      <c r="H38" s="193"/>
      <c r="I38" s="193"/>
      <c r="K38" s="191" t="s">
        <v>1224</v>
      </c>
      <c r="L38" s="193"/>
      <c r="M38" s="187"/>
      <c r="N38" s="193"/>
      <c r="O38" s="187"/>
      <c r="P38" s="182"/>
      <c r="Q38" s="191" t="s">
        <v>1224</v>
      </c>
      <c r="R38" s="193"/>
      <c r="S38" s="187"/>
      <c r="T38" s="193"/>
      <c r="U38" s="187"/>
      <c r="V38" s="182"/>
      <c r="W38" s="191" t="s">
        <v>1224</v>
      </c>
      <c r="X38" s="193"/>
      <c r="Y38" s="187"/>
      <c r="Z38" s="193"/>
      <c r="AA38" s="187"/>
    </row>
    <row r="39" spans="1:27" x14ac:dyDescent="0.3">
      <c r="A39" s="187"/>
      <c r="B39" s="193"/>
      <c r="C39" s="193"/>
      <c r="D39" s="193"/>
      <c r="E39" s="193"/>
      <c r="F39" s="193"/>
      <c r="G39" s="193"/>
      <c r="H39" s="193"/>
      <c r="I39" s="193"/>
      <c r="K39" s="187"/>
      <c r="L39" s="193"/>
      <c r="M39" s="187"/>
      <c r="N39" s="193"/>
      <c r="O39" s="187"/>
      <c r="P39" s="182"/>
      <c r="Q39" s="187"/>
      <c r="R39" s="193"/>
      <c r="S39" s="187"/>
      <c r="T39" s="193"/>
      <c r="U39" s="187"/>
      <c r="V39" s="182"/>
      <c r="W39" s="187"/>
      <c r="X39" s="193"/>
      <c r="Y39" s="187"/>
      <c r="Z39" s="193"/>
      <c r="AA39" s="187"/>
    </row>
    <row r="40" spans="1:27" x14ac:dyDescent="0.3">
      <c r="A40" s="194" t="s">
        <v>1753</v>
      </c>
      <c r="B40" s="185">
        <v>15647225.75</v>
      </c>
      <c r="C40" s="185">
        <v>100</v>
      </c>
      <c r="D40" s="185">
        <v>15482189.049999999</v>
      </c>
      <c r="E40" s="185">
        <v>100</v>
      </c>
      <c r="F40" s="185">
        <v>12005360.879999999</v>
      </c>
      <c r="G40" s="185">
        <v>100</v>
      </c>
      <c r="H40" s="185">
        <v>43134775.68</v>
      </c>
      <c r="I40" s="185">
        <v>100</v>
      </c>
      <c r="K40" s="194" t="s">
        <v>1753</v>
      </c>
      <c r="L40" s="185">
        <v>15647225.75</v>
      </c>
      <c r="M40" s="188">
        <v>100</v>
      </c>
      <c r="N40" s="185">
        <v>15647225.75</v>
      </c>
      <c r="O40" s="188">
        <v>100</v>
      </c>
      <c r="P40" s="182"/>
      <c r="Q40" s="194" t="s">
        <v>1753</v>
      </c>
      <c r="R40" s="185">
        <v>15482189.049999999</v>
      </c>
      <c r="S40" s="188">
        <v>100</v>
      </c>
      <c r="T40" s="185">
        <v>31129414.799999997</v>
      </c>
      <c r="U40" s="188">
        <v>100</v>
      </c>
      <c r="V40" s="182"/>
      <c r="W40" s="194" t="s">
        <v>1753</v>
      </c>
      <c r="X40" s="185">
        <v>12005360.879999999</v>
      </c>
      <c r="Y40" s="188">
        <v>100</v>
      </c>
      <c r="Z40" s="185">
        <v>43134775.68</v>
      </c>
      <c r="AA40" s="188">
        <v>100</v>
      </c>
    </row>
    <row r="41" spans="1:27" x14ac:dyDescent="0.3">
      <c r="A41" s="191" t="s">
        <v>1224</v>
      </c>
      <c r="B41" s="193">
        <f>B18+B33</f>
        <v>15501625.75</v>
      </c>
      <c r="C41" s="193"/>
      <c r="D41" s="193">
        <f>D18+D31+D35</f>
        <v>15474279.300000001</v>
      </c>
      <c r="E41" s="193"/>
      <c r="F41" s="193">
        <f>F18+F31+F35</f>
        <v>12005360.879999999</v>
      </c>
      <c r="G41" s="193"/>
      <c r="H41" s="193">
        <f>H18+H31+H35</f>
        <v>43126865.93</v>
      </c>
      <c r="I41" s="193"/>
      <c r="K41" s="191" t="s">
        <v>1224</v>
      </c>
      <c r="L41" s="193"/>
      <c r="M41" s="187"/>
      <c r="N41" s="193"/>
      <c r="O41" s="187"/>
      <c r="P41" s="182"/>
      <c r="Q41" s="191" t="s">
        <v>1224</v>
      </c>
      <c r="R41" s="193"/>
      <c r="S41" s="187"/>
      <c r="T41" s="193"/>
      <c r="U41" s="187"/>
      <c r="V41" s="182"/>
      <c r="W41" s="191" t="s">
        <v>1224</v>
      </c>
      <c r="X41" s="193"/>
      <c r="Y41" s="187"/>
      <c r="Z41" s="193"/>
      <c r="AA41" s="187"/>
    </row>
    <row r="42" spans="1:27" x14ac:dyDescent="0.3">
      <c r="A42" s="194" t="s">
        <v>1752</v>
      </c>
      <c r="B42" s="190"/>
      <c r="C42" s="190"/>
      <c r="D42" s="190"/>
      <c r="E42" s="190"/>
      <c r="F42" s="190"/>
      <c r="G42" s="190"/>
      <c r="H42" s="190"/>
      <c r="I42" s="190"/>
      <c r="K42" s="194" t="s">
        <v>1752</v>
      </c>
      <c r="L42" s="190"/>
      <c r="M42" s="191"/>
      <c r="N42" s="190"/>
      <c r="O42" s="191"/>
      <c r="P42" s="182"/>
      <c r="Q42" s="194" t="s">
        <v>1752</v>
      </c>
      <c r="R42" s="190"/>
      <c r="S42" s="191"/>
      <c r="T42" s="190"/>
      <c r="U42" s="191"/>
      <c r="V42" s="182"/>
      <c r="W42" s="194" t="s">
        <v>1752</v>
      </c>
      <c r="X42" s="190"/>
      <c r="Y42" s="191"/>
      <c r="Z42" s="190"/>
      <c r="AA42" s="191"/>
    </row>
    <row r="43" spans="1:27" x14ac:dyDescent="0.3">
      <c r="A43" s="191" t="s">
        <v>1224</v>
      </c>
      <c r="B43" s="193"/>
      <c r="C43" s="193"/>
      <c r="D43" s="193"/>
      <c r="E43" s="193"/>
      <c r="F43" s="193"/>
      <c r="G43" s="193"/>
      <c r="H43" s="193"/>
      <c r="I43" s="193"/>
      <c r="K43" s="191" t="s">
        <v>1224</v>
      </c>
      <c r="L43" s="193"/>
      <c r="M43" s="187"/>
      <c r="N43" s="193"/>
      <c r="O43" s="187"/>
      <c r="P43" s="182"/>
      <c r="Q43" s="191" t="s">
        <v>1224</v>
      </c>
      <c r="R43" s="193"/>
      <c r="S43" s="187"/>
      <c r="T43" s="193"/>
      <c r="U43" s="187"/>
      <c r="V43" s="182"/>
      <c r="W43" s="191" t="s">
        <v>1224</v>
      </c>
      <c r="X43" s="193"/>
      <c r="Y43" s="187"/>
      <c r="Z43" s="193"/>
      <c r="AA43" s="187"/>
    </row>
    <row r="44" spans="1:27" x14ac:dyDescent="0.3">
      <c r="A44" s="195" t="s">
        <v>1751</v>
      </c>
      <c r="B44" s="193"/>
      <c r="C44" s="193"/>
      <c r="D44" s="193"/>
      <c r="E44" s="193"/>
      <c r="F44" s="193"/>
      <c r="G44" s="193"/>
      <c r="H44" s="193"/>
      <c r="I44" s="193"/>
      <c r="K44" s="195" t="s">
        <v>1751</v>
      </c>
      <c r="L44" s="193"/>
      <c r="M44" s="187"/>
      <c r="N44" s="193"/>
      <c r="O44" s="187"/>
      <c r="P44" s="182"/>
      <c r="Q44" s="195" t="s">
        <v>1751</v>
      </c>
      <c r="R44" s="193"/>
      <c r="S44" s="187"/>
      <c r="T44" s="193"/>
      <c r="U44" s="187"/>
      <c r="V44" s="182"/>
      <c r="W44" s="195" t="s">
        <v>1751</v>
      </c>
      <c r="X44" s="193"/>
      <c r="Y44" s="187"/>
      <c r="Z44" s="193"/>
      <c r="AA44" s="187"/>
    </row>
    <row r="45" spans="1:27" x14ac:dyDescent="0.3">
      <c r="A45" s="189" t="s">
        <v>1607</v>
      </c>
      <c r="B45" s="185">
        <v>6374777.3000000007</v>
      </c>
      <c r="C45" s="185">
        <v>40.740623301865512</v>
      </c>
      <c r="D45" s="185">
        <v>6554330.4000000004</v>
      </c>
      <c r="E45" s="185">
        <v>42.334649052744908</v>
      </c>
      <c r="F45" s="185">
        <v>4958570.59</v>
      </c>
      <c r="G45" s="185">
        <v>41.302969894562644</v>
      </c>
      <c r="H45" s="185">
        <v>17887678.289999999</v>
      </c>
      <c r="I45" s="185">
        <v>41.469273939666863</v>
      </c>
      <c r="K45" s="189" t="s">
        <v>1607</v>
      </c>
      <c r="L45" s="185">
        <v>6374777.3000000007</v>
      </c>
      <c r="M45" s="188">
        <v>40.740623301865512</v>
      </c>
      <c r="N45" s="185">
        <v>6374777.3000000007</v>
      </c>
      <c r="O45" s="188">
        <v>40.740623301865512</v>
      </c>
      <c r="P45" s="182"/>
      <c r="Q45" s="189" t="s">
        <v>1607</v>
      </c>
      <c r="R45" s="185">
        <v>6554330.4000000004</v>
      </c>
      <c r="S45" s="188">
        <v>42.334649052744908</v>
      </c>
      <c r="T45" s="185">
        <v>12929107.700000001</v>
      </c>
      <c r="U45" s="188">
        <v>41.533410708382483</v>
      </c>
      <c r="V45" s="182"/>
      <c r="W45" s="189" t="s">
        <v>1607</v>
      </c>
      <c r="X45" s="185">
        <v>4958570.59</v>
      </c>
      <c r="Y45" s="188">
        <v>41.302969894562644</v>
      </c>
      <c r="Z45" s="185">
        <v>17887678.289999999</v>
      </c>
      <c r="AA45" s="188">
        <v>41.469273939666863</v>
      </c>
    </row>
    <row r="46" spans="1:27" x14ac:dyDescent="0.3">
      <c r="A46" s="189" t="s">
        <v>1750</v>
      </c>
      <c r="B46" s="185">
        <v>0</v>
      </c>
      <c r="C46" s="185">
        <v>0</v>
      </c>
      <c r="D46" s="185">
        <v>0</v>
      </c>
      <c r="E46" s="185">
        <v>0</v>
      </c>
      <c r="F46" s="185">
        <v>0</v>
      </c>
      <c r="G46" s="185">
        <v>0</v>
      </c>
      <c r="H46" s="185">
        <v>0</v>
      </c>
      <c r="I46" s="185">
        <v>0</v>
      </c>
      <c r="K46" s="189" t="s">
        <v>1750</v>
      </c>
      <c r="L46" s="185">
        <v>0</v>
      </c>
      <c r="M46" s="188">
        <v>0</v>
      </c>
      <c r="N46" s="185">
        <v>0</v>
      </c>
      <c r="O46" s="188">
        <v>0</v>
      </c>
      <c r="P46" s="182"/>
      <c r="Q46" s="189" t="s">
        <v>1750</v>
      </c>
      <c r="R46" s="185">
        <v>0</v>
      </c>
      <c r="S46" s="188">
        <v>0</v>
      </c>
      <c r="T46" s="185">
        <v>0</v>
      </c>
      <c r="U46" s="188">
        <v>0</v>
      </c>
      <c r="V46" s="182"/>
      <c r="W46" s="189" t="s">
        <v>1750</v>
      </c>
      <c r="X46" s="185">
        <v>0</v>
      </c>
      <c r="Y46" s="188">
        <v>0</v>
      </c>
      <c r="Z46" s="185">
        <v>0</v>
      </c>
      <c r="AA46" s="188">
        <v>0</v>
      </c>
    </row>
    <row r="47" spans="1:27" x14ac:dyDescent="0.3">
      <c r="A47" s="189" t="s">
        <v>1749</v>
      </c>
      <c r="B47" s="185">
        <v>21135.54</v>
      </c>
      <c r="C47" s="185">
        <v>0.135075318383516</v>
      </c>
      <c r="D47" s="185">
        <v>41265.29</v>
      </c>
      <c r="E47" s="185">
        <v>0.26653394986156692</v>
      </c>
      <c r="F47" s="185">
        <v>111265.59999999999</v>
      </c>
      <c r="G47" s="185">
        <v>0.92679929501627778</v>
      </c>
      <c r="H47" s="185">
        <v>173666.43000000002</v>
      </c>
      <c r="I47" s="185">
        <v>0.40261349980897831</v>
      </c>
      <c r="K47" s="189" t="s">
        <v>1749</v>
      </c>
      <c r="L47" s="185">
        <v>21135.54</v>
      </c>
      <c r="M47" s="188">
        <v>0.135075318383516</v>
      </c>
      <c r="N47" s="185">
        <v>21135.54</v>
      </c>
      <c r="O47" s="188">
        <v>0.135075318383516</v>
      </c>
      <c r="P47" s="182"/>
      <c r="Q47" s="189" t="s">
        <v>1749</v>
      </c>
      <c r="R47" s="185">
        <v>41265.29</v>
      </c>
      <c r="S47" s="188">
        <v>0.26653394986156692</v>
      </c>
      <c r="T47" s="185">
        <v>62400.83</v>
      </c>
      <c r="U47" s="188">
        <v>0.20045616148235465</v>
      </c>
      <c r="V47" s="182"/>
      <c r="W47" s="189" t="s">
        <v>1749</v>
      </c>
      <c r="X47" s="185">
        <v>111265.59999999999</v>
      </c>
      <c r="Y47" s="188">
        <v>0.92679929501627778</v>
      </c>
      <c r="Z47" s="185">
        <v>173666.43000000002</v>
      </c>
      <c r="AA47" s="188">
        <v>0.40261349980897831</v>
      </c>
    </row>
    <row r="48" spans="1:27" x14ac:dyDescent="0.3">
      <c r="A48" s="189" t="s">
        <v>1748</v>
      </c>
      <c r="B48" s="185">
        <v>136080</v>
      </c>
      <c r="C48" s="185">
        <v>0.86967493263142825</v>
      </c>
      <c r="D48" s="185">
        <v>0</v>
      </c>
      <c r="E48" s="185">
        <v>0</v>
      </c>
      <c r="F48" s="185">
        <v>0</v>
      </c>
      <c r="G48" s="185">
        <v>0</v>
      </c>
      <c r="H48" s="185">
        <v>136080</v>
      </c>
      <c r="I48" s="185">
        <v>0.31547631314817587</v>
      </c>
      <c r="K48" s="189" t="s">
        <v>1748</v>
      </c>
      <c r="L48" s="185">
        <v>136080</v>
      </c>
      <c r="M48" s="188">
        <v>0.86967493263142825</v>
      </c>
      <c r="N48" s="185">
        <v>136080</v>
      </c>
      <c r="O48" s="188">
        <v>0.86967493263142825</v>
      </c>
      <c r="P48" s="182"/>
      <c r="Q48" s="189" t="s">
        <v>1748</v>
      </c>
      <c r="R48" s="185">
        <v>0</v>
      </c>
      <c r="S48" s="188">
        <v>0</v>
      </c>
      <c r="T48" s="185">
        <v>136080</v>
      </c>
      <c r="U48" s="188">
        <v>0.43714281451895465</v>
      </c>
      <c r="V48" s="182"/>
      <c r="W48" s="189" t="s">
        <v>1748</v>
      </c>
      <c r="X48" s="185">
        <v>0</v>
      </c>
      <c r="Y48" s="188">
        <v>0</v>
      </c>
      <c r="Z48" s="185">
        <v>136080</v>
      </c>
      <c r="AA48" s="188">
        <v>0.31547631314817587</v>
      </c>
    </row>
    <row r="49" spans="1:27" x14ac:dyDescent="0.3">
      <c r="A49" s="189" t="s">
        <v>1747</v>
      </c>
      <c r="B49" s="185">
        <v>2785345.64</v>
      </c>
      <c r="C49" s="185">
        <v>17.800891253837761</v>
      </c>
      <c r="D49" s="185">
        <v>1656923.72</v>
      </c>
      <c r="E49" s="185">
        <v>10.702128198079329</v>
      </c>
      <c r="F49" s="185">
        <v>1531318.24</v>
      </c>
      <c r="G49" s="185">
        <v>12.75528703640269</v>
      </c>
      <c r="H49" s="185">
        <v>5973587.5999999996</v>
      </c>
      <c r="I49" s="185">
        <v>13.848658085799972</v>
      </c>
      <c r="K49" s="189" t="s">
        <v>1747</v>
      </c>
      <c r="L49" s="185">
        <v>2785345.64</v>
      </c>
      <c r="M49" s="188">
        <v>17.800891253837761</v>
      </c>
      <c r="N49" s="185">
        <v>2785345.64</v>
      </c>
      <c r="O49" s="188">
        <v>17.800891253837761</v>
      </c>
      <c r="P49" s="182"/>
      <c r="Q49" s="189" t="s">
        <v>1747</v>
      </c>
      <c r="R49" s="185">
        <v>1656923.72</v>
      </c>
      <c r="S49" s="188">
        <v>10.702128198079329</v>
      </c>
      <c r="T49" s="185">
        <v>4442269.3600000003</v>
      </c>
      <c r="U49" s="188">
        <v>14.270327240459402</v>
      </c>
      <c r="V49" s="182"/>
      <c r="W49" s="189" t="s">
        <v>1747</v>
      </c>
      <c r="X49" s="185">
        <v>1531318.24</v>
      </c>
      <c r="Y49" s="188">
        <v>12.75528703640269</v>
      </c>
      <c r="Z49" s="185">
        <v>5973587.5999999996</v>
      </c>
      <c r="AA49" s="188">
        <v>13.848658085799972</v>
      </c>
    </row>
    <row r="50" spans="1:27" x14ac:dyDescent="0.3">
      <c r="A50" s="189" t="s">
        <v>1746</v>
      </c>
      <c r="B50" s="185">
        <v>321486.84999999998</v>
      </c>
      <c r="C50" s="185">
        <v>2.0545932878868318</v>
      </c>
      <c r="D50" s="185">
        <v>648536.46</v>
      </c>
      <c r="E50" s="185">
        <v>4.1889196540976226</v>
      </c>
      <c r="F50" s="185">
        <v>151553.91</v>
      </c>
      <c r="G50" s="185">
        <v>1.2623852919946543</v>
      </c>
      <c r="H50" s="185">
        <v>1121577.22</v>
      </c>
      <c r="I50" s="185">
        <v>2.6001693582935075</v>
      </c>
      <c r="K50" s="189" t="s">
        <v>1746</v>
      </c>
      <c r="L50" s="185">
        <v>321486.84999999998</v>
      </c>
      <c r="M50" s="188">
        <v>2.0545932878868318</v>
      </c>
      <c r="N50" s="185">
        <v>321486.84999999998</v>
      </c>
      <c r="O50" s="188">
        <v>2.0545932878868318</v>
      </c>
      <c r="P50" s="182"/>
      <c r="Q50" s="189" t="s">
        <v>1746</v>
      </c>
      <c r="R50" s="185">
        <v>648536.46</v>
      </c>
      <c r="S50" s="188">
        <v>4.1889196540976226</v>
      </c>
      <c r="T50" s="185">
        <v>970023.30999999994</v>
      </c>
      <c r="U50" s="188">
        <v>3.1160987645678451</v>
      </c>
      <c r="V50" s="182"/>
      <c r="W50" s="189" t="s">
        <v>1746</v>
      </c>
      <c r="X50" s="185">
        <v>151553.91</v>
      </c>
      <c r="Y50" s="188">
        <v>1.2623852919946543</v>
      </c>
      <c r="Z50" s="185">
        <v>1121577.22</v>
      </c>
      <c r="AA50" s="188">
        <v>2.6001693582935075</v>
      </c>
    </row>
    <row r="51" spans="1:27" x14ac:dyDescent="0.3">
      <c r="A51" s="189" t="s">
        <v>1745</v>
      </c>
      <c r="B51" s="185">
        <v>126383.45</v>
      </c>
      <c r="C51" s="185">
        <v>0.80770516140856474</v>
      </c>
      <c r="D51" s="185">
        <v>94135</v>
      </c>
      <c r="E51" s="185">
        <v>0.60802125394535211</v>
      </c>
      <c r="F51" s="185">
        <v>105836.74</v>
      </c>
      <c r="G51" s="185">
        <v>0.8815789967323332</v>
      </c>
      <c r="H51" s="185">
        <v>326355.19</v>
      </c>
      <c r="I51" s="185">
        <v>0.75659415136664043</v>
      </c>
      <c r="K51" s="189" t="s">
        <v>1745</v>
      </c>
      <c r="L51" s="185">
        <v>126383.45</v>
      </c>
      <c r="M51" s="188">
        <v>0.80770516140856474</v>
      </c>
      <c r="N51" s="185">
        <v>126383.45</v>
      </c>
      <c r="O51" s="188">
        <v>0.80770516140856474</v>
      </c>
      <c r="P51" s="182"/>
      <c r="Q51" s="189" t="s">
        <v>1745</v>
      </c>
      <c r="R51" s="185">
        <v>94135</v>
      </c>
      <c r="S51" s="188">
        <v>0.60802125394535211</v>
      </c>
      <c r="T51" s="185">
        <v>220518.45</v>
      </c>
      <c r="U51" s="188">
        <v>0.70839253296852867</v>
      </c>
      <c r="V51" s="182"/>
      <c r="W51" s="189" t="s">
        <v>1745</v>
      </c>
      <c r="X51" s="185">
        <v>105836.74</v>
      </c>
      <c r="Y51" s="188">
        <v>0.8815789967323332</v>
      </c>
      <c r="Z51" s="185">
        <v>326355.19</v>
      </c>
      <c r="AA51" s="188">
        <v>0.75659415136664043</v>
      </c>
    </row>
    <row r="52" spans="1:27" x14ac:dyDescent="0.3">
      <c r="A52" s="189" t="s">
        <v>1744</v>
      </c>
      <c r="B52" s="185">
        <v>0</v>
      </c>
      <c r="C52" s="185">
        <v>0</v>
      </c>
      <c r="D52" s="185">
        <v>0</v>
      </c>
      <c r="E52" s="185">
        <v>0</v>
      </c>
      <c r="F52" s="185">
        <v>28585.200000000001</v>
      </c>
      <c r="G52" s="185">
        <v>0.23810362958451942</v>
      </c>
      <c r="H52" s="185">
        <v>28585.200000000001</v>
      </c>
      <c r="I52" s="185">
        <v>6.6269499607607557E-2</v>
      </c>
      <c r="K52" s="189" t="s">
        <v>1744</v>
      </c>
      <c r="L52" s="185">
        <v>0</v>
      </c>
      <c r="M52" s="188">
        <v>0</v>
      </c>
      <c r="N52" s="185">
        <v>0</v>
      </c>
      <c r="O52" s="188">
        <v>0</v>
      </c>
      <c r="P52" s="182"/>
      <c r="Q52" s="189" t="s">
        <v>1744</v>
      </c>
      <c r="R52" s="185">
        <v>0</v>
      </c>
      <c r="S52" s="188">
        <v>0</v>
      </c>
      <c r="T52" s="185">
        <v>0</v>
      </c>
      <c r="U52" s="188">
        <v>0</v>
      </c>
      <c r="V52" s="182"/>
      <c r="W52" s="189" t="s">
        <v>1744</v>
      </c>
      <c r="X52" s="185">
        <v>28585.200000000001</v>
      </c>
      <c r="Y52" s="188">
        <v>0.23810362958451942</v>
      </c>
      <c r="Z52" s="185">
        <v>28585.200000000001</v>
      </c>
      <c r="AA52" s="188">
        <v>6.6269499607607557E-2</v>
      </c>
    </row>
    <row r="53" spans="1:27" x14ac:dyDescent="0.3">
      <c r="A53" s="187"/>
      <c r="B53" s="193">
        <f>SUM(B46:B52)</f>
        <v>3390431.4800000004</v>
      </c>
      <c r="C53" s="193">
        <f t="shared" ref="C53:I53" si="0">SUM(C46:C52)</f>
        <v>21.6679399541481</v>
      </c>
      <c r="D53" s="193">
        <f t="shared" si="0"/>
        <v>2440860.4699999997</v>
      </c>
      <c r="E53" s="193">
        <f t="shared" si="0"/>
        <v>15.76560305598387</v>
      </c>
      <c r="F53" s="193">
        <f t="shared" si="0"/>
        <v>1928559.69</v>
      </c>
      <c r="G53" s="193">
        <f t="shared" si="0"/>
        <v>16.064154249730475</v>
      </c>
      <c r="H53" s="193">
        <f t="shared" si="0"/>
        <v>7759851.6399999997</v>
      </c>
      <c r="I53" s="193">
        <f t="shared" si="0"/>
        <v>17.989780908024883</v>
      </c>
      <c r="K53" s="187"/>
      <c r="L53" s="193"/>
      <c r="M53" s="187"/>
      <c r="N53" s="193"/>
      <c r="O53" s="187"/>
      <c r="P53" s="182"/>
      <c r="Q53" s="187"/>
      <c r="R53" s="193"/>
      <c r="S53" s="187"/>
      <c r="T53" s="193"/>
      <c r="U53" s="187"/>
      <c r="V53" s="182"/>
      <c r="W53" s="187"/>
      <c r="X53" s="193"/>
      <c r="Y53" s="187"/>
      <c r="Z53" s="193"/>
      <c r="AA53" s="187"/>
    </row>
    <row r="54" spans="1:27" x14ac:dyDescent="0.3">
      <c r="A54" s="189" t="s">
        <v>1743</v>
      </c>
      <c r="B54" s="185">
        <v>9765208.7800000012</v>
      </c>
      <c r="C54" s="185">
        <v>62.408563256013615</v>
      </c>
      <c r="D54" s="185">
        <v>8995190.8699999992</v>
      </c>
      <c r="E54" s="185">
        <v>58.100252108728768</v>
      </c>
      <c r="F54" s="185">
        <v>6887130.2799999993</v>
      </c>
      <c r="G54" s="185">
        <v>57.367124144293115</v>
      </c>
      <c r="H54" s="185">
        <v>25647529.93</v>
      </c>
      <c r="I54" s="185">
        <v>59.459054847691753</v>
      </c>
      <c r="K54" s="189" t="s">
        <v>1743</v>
      </c>
      <c r="L54" s="185">
        <v>9765208.7800000012</v>
      </c>
      <c r="M54" s="188">
        <v>62.408563256013615</v>
      </c>
      <c r="N54" s="185">
        <v>9765208.7800000012</v>
      </c>
      <c r="O54" s="188">
        <v>62.408563256013615</v>
      </c>
      <c r="P54" s="182"/>
      <c r="Q54" s="189" t="s">
        <v>1743</v>
      </c>
      <c r="R54" s="185">
        <v>8995190.8699999992</v>
      </c>
      <c r="S54" s="188">
        <v>58.100252108728768</v>
      </c>
      <c r="T54" s="185">
        <v>18760399.649999999</v>
      </c>
      <c r="U54" s="188">
        <v>60.265828222379561</v>
      </c>
      <c r="V54" s="182"/>
      <c r="W54" s="189" t="s">
        <v>1743</v>
      </c>
      <c r="X54" s="185">
        <v>6887130.2799999993</v>
      </c>
      <c r="Y54" s="188">
        <v>57.367124144293115</v>
      </c>
      <c r="Z54" s="185">
        <v>25647529.93</v>
      </c>
      <c r="AA54" s="188">
        <v>59.459054847691753</v>
      </c>
    </row>
    <row r="55" spans="1:27" x14ac:dyDescent="0.3">
      <c r="A55" s="191" t="s">
        <v>1224</v>
      </c>
      <c r="B55" s="193">
        <f>B41-B54</f>
        <v>5736416.9699999988</v>
      </c>
      <c r="C55" s="193"/>
      <c r="D55" s="193">
        <f>D41-D54</f>
        <v>6479088.4300000016</v>
      </c>
      <c r="E55" s="193"/>
      <c r="F55" s="193">
        <f>F41-F54</f>
        <v>5118230.5999999996</v>
      </c>
      <c r="G55" s="193"/>
      <c r="H55" s="193">
        <f>H41-H54</f>
        <v>17479336</v>
      </c>
      <c r="I55" s="193"/>
      <c r="K55" s="191" t="s">
        <v>1224</v>
      </c>
      <c r="L55" s="193"/>
      <c r="M55" s="187"/>
      <c r="N55" s="193"/>
      <c r="O55" s="187"/>
      <c r="P55" s="182"/>
      <c r="Q55" s="191" t="s">
        <v>1224</v>
      </c>
      <c r="R55" s="193"/>
      <c r="S55" s="187"/>
      <c r="T55" s="193"/>
      <c r="U55" s="187"/>
      <c r="V55" s="182"/>
      <c r="W55" s="191" t="s">
        <v>1224</v>
      </c>
      <c r="X55" s="193"/>
      <c r="Y55" s="187"/>
      <c r="Z55" s="193"/>
      <c r="AA55" s="187"/>
    </row>
    <row r="56" spans="1:27" x14ac:dyDescent="0.3">
      <c r="A56" s="189" t="s">
        <v>1659</v>
      </c>
      <c r="B56" s="185">
        <v>0</v>
      </c>
      <c r="C56" s="185">
        <v>0</v>
      </c>
      <c r="D56" s="185">
        <v>0</v>
      </c>
      <c r="E56" s="185">
        <v>0</v>
      </c>
      <c r="F56" s="185">
        <v>0</v>
      </c>
      <c r="G56" s="185">
        <v>0</v>
      </c>
      <c r="H56" s="185">
        <v>0</v>
      </c>
      <c r="I56" s="185">
        <v>0</v>
      </c>
      <c r="K56" s="189" t="s">
        <v>1659</v>
      </c>
      <c r="L56" s="185">
        <v>0</v>
      </c>
      <c r="M56" s="188">
        <v>0</v>
      </c>
      <c r="N56" s="185">
        <v>0</v>
      </c>
      <c r="O56" s="188">
        <v>0</v>
      </c>
      <c r="P56" s="182"/>
      <c r="Q56" s="189" t="s">
        <v>1659</v>
      </c>
      <c r="R56" s="185">
        <v>0</v>
      </c>
      <c r="S56" s="188">
        <v>0</v>
      </c>
      <c r="T56" s="185">
        <v>0</v>
      </c>
      <c r="U56" s="188">
        <v>0</v>
      </c>
      <c r="V56" s="182"/>
      <c r="W56" s="189" t="s">
        <v>1659</v>
      </c>
      <c r="X56" s="185">
        <v>0</v>
      </c>
      <c r="Y56" s="188">
        <v>0</v>
      </c>
      <c r="Z56" s="185">
        <v>0</v>
      </c>
      <c r="AA56" s="188">
        <v>0</v>
      </c>
    </row>
    <row r="57" spans="1:27" x14ac:dyDescent="0.3">
      <c r="A57" s="189" t="s">
        <v>5</v>
      </c>
      <c r="B57" s="185">
        <v>0</v>
      </c>
      <c r="C57" s="185">
        <v>0</v>
      </c>
      <c r="D57" s="185">
        <v>0</v>
      </c>
      <c r="E57" s="185">
        <v>0</v>
      </c>
      <c r="F57" s="185">
        <v>0</v>
      </c>
      <c r="G57" s="185">
        <v>0</v>
      </c>
      <c r="H57" s="185">
        <v>0</v>
      </c>
      <c r="I57" s="185">
        <v>0</v>
      </c>
      <c r="K57" s="189" t="s">
        <v>5</v>
      </c>
      <c r="L57" s="185">
        <v>0</v>
      </c>
      <c r="M57" s="188">
        <v>0</v>
      </c>
      <c r="N57" s="185">
        <v>0</v>
      </c>
      <c r="O57" s="188">
        <v>0</v>
      </c>
      <c r="P57" s="182"/>
      <c r="Q57" s="189" t="s">
        <v>5</v>
      </c>
      <c r="R57" s="185">
        <v>0</v>
      </c>
      <c r="S57" s="188">
        <v>0</v>
      </c>
      <c r="T57" s="185">
        <v>0</v>
      </c>
      <c r="U57" s="188">
        <v>0</v>
      </c>
      <c r="V57" s="182"/>
      <c r="W57" s="189" t="s">
        <v>5</v>
      </c>
      <c r="X57" s="185">
        <v>0</v>
      </c>
      <c r="Y57" s="188">
        <v>0</v>
      </c>
      <c r="Z57" s="185">
        <v>0</v>
      </c>
      <c r="AA57" s="188">
        <v>0</v>
      </c>
    </row>
    <row r="58" spans="1:27" x14ac:dyDescent="0.3">
      <c r="A58" s="195" t="s">
        <v>1742</v>
      </c>
      <c r="B58" s="185"/>
      <c r="C58" s="185"/>
      <c r="D58" s="185"/>
      <c r="E58" s="185"/>
      <c r="F58" s="185"/>
      <c r="G58" s="185"/>
      <c r="H58" s="185"/>
      <c r="I58" s="185"/>
      <c r="K58" s="195" t="s">
        <v>1742</v>
      </c>
      <c r="L58" s="185"/>
      <c r="M58" s="187"/>
      <c r="N58" s="193"/>
      <c r="O58" s="187"/>
      <c r="P58" s="182"/>
      <c r="Q58" s="195" t="s">
        <v>1742</v>
      </c>
      <c r="R58" s="185"/>
      <c r="S58" s="187"/>
      <c r="T58" s="193"/>
      <c r="U58" s="187"/>
      <c r="V58" s="182"/>
      <c r="W58" s="195" t="s">
        <v>1742</v>
      </c>
      <c r="X58" s="185"/>
      <c r="Y58" s="187"/>
      <c r="Z58" s="193"/>
      <c r="AA58" s="187"/>
    </row>
    <row r="59" spans="1:27" x14ac:dyDescent="0.3">
      <c r="A59" s="189" t="s">
        <v>1741</v>
      </c>
      <c r="B59" s="185">
        <v>445712.72</v>
      </c>
      <c r="C59" s="185">
        <v>2.8485095512857925</v>
      </c>
      <c r="D59" s="185">
        <v>266593.34999999998</v>
      </c>
      <c r="E59" s="185">
        <v>1.7219357620491009</v>
      </c>
      <c r="F59" s="185">
        <v>319531.94</v>
      </c>
      <c r="G59" s="185">
        <v>2.6615771336979588</v>
      </c>
      <c r="H59" s="185">
        <v>1031838.01</v>
      </c>
      <c r="I59" s="185">
        <v>2.3921255964208599</v>
      </c>
      <c r="K59" s="189" t="s">
        <v>1741</v>
      </c>
      <c r="L59" s="185">
        <v>445712.72</v>
      </c>
      <c r="M59" s="188">
        <v>2.8485095512857925</v>
      </c>
      <c r="N59" s="185">
        <v>445712.72</v>
      </c>
      <c r="O59" s="188">
        <v>2.8485095512857925</v>
      </c>
      <c r="P59" s="182"/>
      <c r="Q59" s="189" t="s">
        <v>1741</v>
      </c>
      <c r="R59" s="185">
        <v>266593.34999999998</v>
      </c>
      <c r="S59" s="188">
        <v>1.7219357620491009</v>
      </c>
      <c r="T59" s="185">
        <v>712306.07</v>
      </c>
      <c r="U59" s="188">
        <v>2.2882089964633709</v>
      </c>
      <c r="V59" s="182"/>
      <c r="W59" s="189" t="s">
        <v>1741</v>
      </c>
      <c r="X59" s="185">
        <v>319531.94</v>
      </c>
      <c r="Y59" s="188">
        <v>2.6615771336979588</v>
      </c>
      <c r="Z59" s="185">
        <v>1031838.01</v>
      </c>
      <c r="AA59" s="188">
        <v>2.3921255964208599</v>
      </c>
    </row>
    <row r="60" spans="1:27" x14ac:dyDescent="0.3">
      <c r="A60" s="189" t="s">
        <v>1740</v>
      </c>
      <c r="B60" s="185">
        <v>28908</v>
      </c>
      <c r="C60" s="185">
        <v>0.18474840500080342</v>
      </c>
      <c r="D60" s="185">
        <v>88954.66</v>
      </c>
      <c r="E60" s="185">
        <v>0.57456125689151183</v>
      </c>
      <c r="F60" s="185">
        <v>19362.419999999998</v>
      </c>
      <c r="G60" s="185">
        <v>0.1612814491254177</v>
      </c>
      <c r="H60" s="185">
        <v>137225.08000000002</v>
      </c>
      <c r="I60" s="185">
        <v>0.31813096935525786</v>
      </c>
      <c r="K60" s="189" t="s">
        <v>1740</v>
      </c>
      <c r="L60" s="185">
        <v>28908</v>
      </c>
      <c r="M60" s="188">
        <v>0.18474840500080342</v>
      </c>
      <c r="N60" s="185">
        <v>28908</v>
      </c>
      <c r="O60" s="188">
        <v>0.18474840500080342</v>
      </c>
      <c r="P60" s="182"/>
      <c r="Q60" s="189" t="s">
        <v>1740</v>
      </c>
      <c r="R60" s="185">
        <v>88954.66</v>
      </c>
      <c r="S60" s="188">
        <v>0.57456125689151183</v>
      </c>
      <c r="T60" s="185">
        <v>117862.66</v>
      </c>
      <c r="U60" s="188">
        <v>0.3786215088116594</v>
      </c>
      <c r="V60" s="182"/>
      <c r="W60" s="189" t="s">
        <v>1740</v>
      </c>
      <c r="X60" s="185">
        <v>19362.419999999998</v>
      </c>
      <c r="Y60" s="188">
        <v>0.1612814491254177</v>
      </c>
      <c r="Z60" s="185">
        <v>137225.08000000002</v>
      </c>
      <c r="AA60" s="188">
        <v>0.31813096935525786</v>
      </c>
    </row>
    <row r="61" spans="1:27" x14ac:dyDescent="0.3">
      <c r="A61" s="189" t="s">
        <v>1739</v>
      </c>
      <c r="B61" s="185">
        <v>920000.38</v>
      </c>
      <c r="C61" s="185">
        <v>5.8796389513329546</v>
      </c>
      <c r="D61" s="185">
        <v>1195073.97</v>
      </c>
      <c r="E61" s="185">
        <v>7.7190245264444695</v>
      </c>
      <c r="F61" s="185">
        <v>1243395.3399999999</v>
      </c>
      <c r="G61" s="185">
        <v>10.357000946730391</v>
      </c>
      <c r="H61" s="185">
        <v>3358469.69</v>
      </c>
      <c r="I61" s="185">
        <v>7.7859908555342239</v>
      </c>
      <c r="K61" s="189" t="s">
        <v>1739</v>
      </c>
      <c r="L61" s="185">
        <v>920000.38</v>
      </c>
      <c r="M61" s="188">
        <v>5.8796389513329546</v>
      </c>
      <c r="N61" s="185">
        <v>920000.38</v>
      </c>
      <c r="O61" s="188">
        <v>5.8796389513329546</v>
      </c>
      <c r="P61" s="182"/>
      <c r="Q61" s="189" t="s">
        <v>1739</v>
      </c>
      <c r="R61" s="185">
        <v>1195073.97</v>
      </c>
      <c r="S61" s="188">
        <v>7.7190245264444695</v>
      </c>
      <c r="T61" s="185">
        <v>2115074.35</v>
      </c>
      <c r="U61" s="188">
        <v>6.794455866224637</v>
      </c>
      <c r="V61" s="182"/>
      <c r="W61" s="189" t="s">
        <v>1739</v>
      </c>
      <c r="X61" s="185">
        <v>1243395.3399999999</v>
      </c>
      <c r="Y61" s="188">
        <v>10.357000946730391</v>
      </c>
      <c r="Z61" s="185">
        <v>3358469.69</v>
      </c>
      <c r="AA61" s="188">
        <v>7.7859908555342239</v>
      </c>
    </row>
    <row r="62" spans="1:27" x14ac:dyDescent="0.3">
      <c r="A62" s="189" t="s">
        <v>1738</v>
      </c>
      <c r="B62" s="185">
        <v>0</v>
      </c>
      <c r="C62" s="185">
        <v>0</v>
      </c>
      <c r="D62" s="185">
        <v>83797.320000000007</v>
      </c>
      <c r="E62" s="185">
        <v>0.54124981764125923</v>
      </c>
      <c r="F62" s="185">
        <v>144668.54</v>
      </c>
      <c r="G62" s="185">
        <v>1.2050328303000586</v>
      </c>
      <c r="H62" s="185">
        <v>228465.86000000002</v>
      </c>
      <c r="I62" s="185">
        <v>0.52965584357015949</v>
      </c>
      <c r="K62" s="189" t="s">
        <v>1738</v>
      </c>
      <c r="L62" s="185">
        <v>0</v>
      </c>
      <c r="M62" s="188">
        <v>0</v>
      </c>
      <c r="N62" s="185">
        <v>0</v>
      </c>
      <c r="O62" s="188">
        <v>0</v>
      </c>
      <c r="P62" s="182"/>
      <c r="Q62" s="189" t="s">
        <v>1738</v>
      </c>
      <c r="R62" s="185">
        <v>83797.320000000007</v>
      </c>
      <c r="S62" s="188">
        <v>0.54124981764125923</v>
      </c>
      <c r="T62" s="185">
        <v>83797.320000000007</v>
      </c>
      <c r="U62" s="188">
        <v>0.26919015515832961</v>
      </c>
      <c r="V62" s="182"/>
      <c r="W62" s="189" t="s">
        <v>1738</v>
      </c>
      <c r="X62" s="185">
        <v>144668.54</v>
      </c>
      <c r="Y62" s="188">
        <v>1.2050328303000586</v>
      </c>
      <c r="Z62" s="185">
        <v>228465.86000000002</v>
      </c>
      <c r="AA62" s="188">
        <v>0.52965584357015949</v>
      </c>
    </row>
    <row r="63" spans="1:27" x14ac:dyDescent="0.3">
      <c r="A63" s="189" t="s">
        <v>1737</v>
      </c>
      <c r="B63" s="185">
        <v>0</v>
      </c>
      <c r="C63" s="185">
        <v>0</v>
      </c>
      <c r="D63" s="185">
        <v>21318.370000000003</v>
      </c>
      <c r="E63" s="185">
        <v>0.13769609666405672</v>
      </c>
      <c r="F63" s="185">
        <v>10928.24</v>
      </c>
      <c r="G63" s="185">
        <v>9.1028000817581431E-2</v>
      </c>
      <c r="H63" s="185">
        <v>32246.61</v>
      </c>
      <c r="I63" s="185">
        <v>7.4757801545613609E-2</v>
      </c>
      <c r="K63" s="189" t="s">
        <v>1737</v>
      </c>
      <c r="L63" s="185">
        <v>0</v>
      </c>
      <c r="M63" s="188">
        <v>0</v>
      </c>
      <c r="N63" s="185">
        <v>0</v>
      </c>
      <c r="O63" s="188">
        <v>0</v>
      </c>
      <c r="P63" s="182"/>
      <c r="Q63" s="189" t="s">
        <v>1737</v>
      </c>
      <c r="R63" s="185">
        <v>21318.370000000003</v>
      </c>
      <c r="S63" s="188">
        <v>0.13769609666405672</v>
      </c>
      <c r="T63" s="185">
        <v>21318.370000000003</v>
      </c>
      <c r="U63" s="188">
        <v>6.848304131949183E-2</v>
      </c>
      <c r="V63" s="182"/>
      <c r="W63" s="189" t="s">
        <v>1737</v>
      </c>
      <c r="X63" s="185">
        <v>10928.24</v>
      </c>
      <c r="Y63" s="188">
        <v>9.1028000817581431E-2</v>
      </c>
      <c r="Z63" s="185">
        <v>32246.61</v>
      </c>
      <c r="AA63" s="188">
        <v>7.4757801545613609E-2</v>
      </c>
    </row>
    <row r="64" spans="1:27" x14ac:dyDescent="0.3">
      <c r="A64" s="189" t="s">
        <v>1573</v>
      </c>
      <c r="B64" s="185">
        <v>0</v>
      </c>
      <c r="C64" s="185">
        <v>0</v>
      </c>
      <c r="D64" s="185">
        <v>32121.040000000001</v>
      </c>
      <c r="E64" s="185">
        <v>0.20747091962425046</v>
      </c>
      <c r="F64" s="185">
        <v>74160.63</v>
      </c>
      <c r="G64" s="185">
        <v>0.61772928561894269</v>
      </c>
      <c r="H64" s="185">
        <v>106281.67</v>
      </c>
      <c r="I64" s="185">
        <v>0.24639439599376164</v>
      </c>
      <c r="K64" s="189" t="s">
        <v>1573</v>
      </c>
      <c r="L64" s="185">
        <v>0</v>
      </c>
      <c r="M64" s="188">
        <v>0</v>
      </c>
      <c r="N64" s="185">
        <v>0</v>
      </c>
      <c r="O64" s="188">
        <v>0</v>
      </c>
      <c r="P64" s="182"/>
      <c r="Q64" s="189" t="s">
        <v>1573</v>
      </c>
      <c r="R64" s="185">
        <v>32121.040000000001</v>
      </c>
      <c r="S64" s="188">
        <v>0.20747091962425046</v>
      </c>
      <c r="T64" s="185">
        <v>32121.040000000001</v>
      </c>
      <c r="U64" s="188">
        <v>0.10318549258433217</v>
      </c>
      <c r="V64" s="182"/>
      <c r="W64" s="189" t="s">
        <v>1573</v>
      </c>
      <c r="X64" s="185">
        <v>74160.63</v>
      </c>
      <c r="Y64" s="188">
        <v>0.61772928561894269</v>
      </c>
      <c r="Z64" s="185">
        <v>106281.67</v>
      </c>
      <c r="AA64" s="188">
        <v>0.24639439599376164</v>
      </c>
    </row>
    <row r="65" spans="1:27" x14ac:dyDescent="0.3">
      <c r="A65" s="189" t="s">
        <v>1736</v>
      </c>
      <c r="B65" s="185">
        <v>0</v>
      </c>
      <c r="C65" s="185">
        <v>0</v>
      </c>
      <c r="D65" s="185">
        <v>7166.8</v>
      </c>
      <c r="E65" s="185">
        <v>4.6290611597976844E-2</v>
      </c>
      <c r="F65" s="185">
        <v>5248.73</v>
      </c>
      <c r="G65" s="185">
        <v>4.3719885245132255E-2</v>
      </c>
      <c r="H65" s="185">
        <v>12415.53</v>
      </c>
      <c r="I65" s="185">
        <v>2.8783110157117667E-2</v>
      </c>
      <c r="K65" s="189" t="s">
        <v>1736</v>
      </c>
      <c r="L65" s="185">
        <v>0</v>
      </c>
      <c r="M65" s="188">
        <v>0</v>
      </c>
      <c r="N65" s="185">
        <v>0</v>
      </c>
      <c r="O65" s="188">
        <v>0</v>
      </c>
      <c r="P65" s="182"/>
      <c r="Q65" s="189" t="s">
        <v>1736</v>
      </c>
      <c r="R65" s="185">
        <v>7166.8</v>
      </c>
      <c r="S65" s="188">
        <v>4.6290611597976844E-2</v>
      </c>
      <c r="T65" s="185">
        <v>7166.8</v>
      </c>
      <c r="U65" s="188">
        <v>2.3022597906337774E-2</v>
      </c>
      <c r="V65" s="182"/>
      <c r="W65" s="189" t="s">
        <v>1736</v>
      </c>
      <c r="X65" s="185">
        <v>5248.73</v>
      </c>
      <c r="Y65" s="188">
        <v>4.3719885245132255E-2</v>
      </c>
      <c r="Z65" s="185">
        <v>12415.53</v>
      </c>
      <c r="AA65" s="188">
        <v>2.8783110157117667E-2</v>
      </c>
    </row>
    <row r="66" spans="1:27" x14ac:dyDescent="0.3">
      <c r="A66" s="187"/>
      <c r="B66" s="193"/>
      <c r="C66" s="193"/>
      <c r="D66" s="193"/>
      <c r="E66" s="193"/>
      <c r="F66" s="193"/>
      <c r="G66" s="193"/>
      <c r="H66" s="193"/>
      <c r="I66" s="193"/>
      <c r="K66" s="187"/>
      <c r="L66" s="193"/>
      <c r="M66" s="187"/>
      <c r="N66" s="193"/>
      <c r="O66" s="187"/>
      <c r="P66" s="182"/>
      <c r="Q66" s="187"/>
      <c r="R66" s="193"/>
      <c r="S66" s="187"/>
      <c r="T66" s="193"/>
      <c r="U66" s="187"/>
      <c r="V66" s="182"/>
      <c r="W66" s="187"/>
      <c r="X66" s="193"/>
      <c r="Y66" s="187"/>
      <c r="Z66" s="193"/>
      <c r="AA66" s="187"/>
    </row>
    <row r="67" spans="1:27" x14ac:dyDescent="0.3">
      <c r="A67" s="189" t="s">
        <v>1735</v>
      </c>
      <c r="B67" s="185">
        <v>1394621.1</v>
      </c>
      <c r="C67" s="185">
        <v>8.912896907619551</v>
      </c>
      <c r="D67" s="185">
        <v>1695025.51</v>
      </c>
      <c r="E67" s="185">
        <v>10.948228990912625</v>
      </c>
      <c r="F67" s="185">
        <v>1817295.8399999999</v>
      </c>
      <c r="G67" s="185">
        <v>15.137369531535484</v>
      </c>
      <c r="H67" s="185">
        <v>4906942.45</v>
      </c>
      <c r="I67" s="185">
        <v>11.375838572576994</v>
      </c>
      <c r="K67" s="189" t="s">
        <v>1735</v>
      </c>
      <c r="L67" s="185">
        <v>1394621.1</v>
      </c>
      <c r="M67" s="188">
        <v>8.912896907619551</v>
      </c>
      <c r="N67" s="185">
        <v>1394621.1</v>
      </c>
      <c r="O67" s="188">
        <v>8.912896907619551</v>
      </c>
      <c r="P67" s="182"/>
      <c r="Q67" s="189" t="s">
        <v>1735</v>
      </c>
      <c r="R67" s="185">
        <v>1695025.51</v>
      </c>
      <c r="S67" s="188">
        <v>10.948228990912625</v>
      </c>
      <c r="T67" s="185">
        <v>3089646.61</v>
      </c>
      <c r="U67" s="188">
        <v>9.9251676584681583</v>
      </c>
      <c r="V67" s="182"/>
      <c r="W67" s="189" t="s">
        <v>1735</v>
      </c>
      <c r="X67" s="185">
        <v>1817295.8399999999</v>
      </c>
      <c r="Y67" s="188">
        <v>15.137369531535484</v>
      </c>
      <c r="Z67" s="185">
        <v>4906942.45</v>
      </c>
      <c r="AA67" s="188">
        <v>11.375838572576994</v>
      </c>
    </row>
    <row r="68" spans="1:27" x14ac:dyDescent="0.3">
      <c r="A68" s="191" t="s">
        <v>1224</v>
      </c>
      <c r="B68" s="193">
        <f>B55-B67</f>
        <v>4341795.8699999992</v>
      </c>
      <c r="C68" s="193"/>
      <c r="D68" s="193">
        <f>D55-D67</f>
        <v>4784062.9200000018</v>
      </c>
      <c r="E68" s="193"/>
      <c r="F68" s="193">
        <f>F55-F67</f>
        <v>3300934.76</v>
      </c>
      <c r="G68" s="193"/>
      <c r="H68" s="193">
        <f>H55-H67</f>
        <v>12572393.550000001</v>
      </c>
      <c r="I68" s="193"/>
      <c r="K68" s="191" t="s">
        <v>1224</v>
      </c>
      <c r="L68" s="193"/>
      <c r="M68" s="187"/>
      <c r="N68" s="193"/>
      <c r="O68" s="187"/>
      <c r="P68" s="182"/>
      <c r="Q68" s="191" t="s">
        <v>1224</v>
      </c>
      <c r="R68" s="193"/>
      <c r="S68" s="187"/>
      <c r="T68" s="193"/>
      <c r="U68" s="187"/>
      <c r="V68" s="182"/>
      <c r="W68" s="191" t="s">
        <v>1224</v>
      </c>
      <c r="X68" s="193"/>
      <c r="Y68" s="187"/>
      <c r="Z68" s="193"/>
      <c r="AA68" s="187"/>
    </row>
    <row r="69" spans="1:27" x14ac:dyDescent="0.3">
      <c r="A69" s="189" t="s">
        <v>1734</v>
      </c>
      <c r="B69" s="185">
        <v>0</v>
      </c>
      <c r="C69" s="185">
        <v>0</v>
      </c>
      <c r="D69" s="185">
        <v>0</v>
      </c>
      <c r="E69" s="185">
        <v>0</v>
      </c>
      <c r="F69" s="185">
        <v>0</v>
      </c>
      <c r="G69" s="185">
        <v>0</v>
      </c>
      <c r="H69" s="185">
        <v>0</v>
      </c>
      <c r="I69" s="185">
        <v>0</v>
      </c>
      <c r="K69" s="189" t="s">
        <v>1734</v>
      </c>
      <c r="L69" s="185">
        <v>0</v>
      </c>
      <c r="M69" s="188">
        <v>0</v>
      </c>
      <c r="N69" s="185">
        <v>0</v>
      </c>
      <c r="O69" s="188">
        <v>0</v>
      </c>
      <c r="P69" s="182"/>
      <c r="Q69" s="189" t="s">
        <v>1734</v>
      </c>
      <c r="R69" s="185">
        <v>0</v>
      </c>
      <c r="S69" s="188">
        <v>0</v>
      </c>
      <c r="T69" s="185">
        <v>0</v>
      </c>
      <c r="U69" s="188">
        <v>0</v>
      </c>
      <c r="V69" s="182"/>
      <c r="W69" s="189" t="s">
        <v>1734</v>
      </c>
      <c r="X69" s="185">
        <v>0</v>
      </c>
      <c r="Y69" s="188">
        <v>0</v>
      </c>
      <c r="Z69" s="185">
        <v>0</v>
      </c>
      <c r="AA69" s="188">
        <v>0</v>
      </c>
    </row>
    <row r="70" spans="1:27" x14ac:dyDescent="0.3">
      <c r="A70" s="195" t="s">
        <v>1733</v>
      </c>
      <c r="B70" s="193"/>
      <c r="C70" s="193"/>
      <c r="D70" s="193"/>
      <c r="E70" s="193"/>
      <c r="F70" s="193"/>
      <c r="G70" s="193"/>
      <c r="H70" s="193"/>
      <c r="I70" s="193"/>
      <c r="K70" s="195" t="s">
        <v>1733</v>
      </c>
      <c r="L70" s="193"/>
      <c r="M70" s="187"/>
      <c r="N70" s="193"/>
      <c r="O70" s="187"/>
      <c r="P70" s="182"/>
      <c r="Q70" s="195" t="s">
        <v>1733</v>
      </c>
      <c r="R70" s="193"/>
      <c r="S70" s="187"/>
      <c r="T70" s="193"/>
      <c r="U70" s="187"/>
      <c r="V70" s="182"/>
      <c r="W70" s="195" t="s">
        <v>1733</v>
      </c>
      <c r="X70" s="193"/>
      <c r="Y70" s="187"/>
      <c r="Z70" s="193"/>
      <c r="AA70" s="187"/>
    </row>
    <row r="71" spans="1:27" x14ac:dyDescent="0.3">
      <c r="A71" s="189" t="s">
        <v>1732</v>
      </c>
      <c r="B71" s="185">
        <v>1038843.73</v>
      </c>
      <c r="C71" s="185">
        <v>6.6391560178007918</v>
      </c>
      <c r="D71" s="185">
        <v>1567534.9700000002</v>
      </c>
      <c r="E71" s="185">
        <v>10.124763138711321</v>
      </c>
      <c r="F71" s="185">
        <v>1453615.13</v>
      </c>
      <c r="G71" s="185">
        <v>12.108050266290704</v>
      </c>
      <c r="H71" s="185">
        <v>4059993.83</v>
      </c>
      <c r="I71" s="185">
        <v>9.4123448331330231</v>
      </c>
      <c r="K71" s="189" t="s">
        <v>1732</v>
      </c>
      <c r="L71" s="185">
        <v>1038843.73</v>
      </c>
      <c r="M71" s="188">
        <v>6.6391560178007918</v>
      </c>
      <c r="N71" s="185">
        <v>1038843.73</v>
      </c>
      <c r="O71" s="188">
        <v>6.6391560178007918</v>
      </c>
      <c r="P71" s="182"/>
      <c r="Q71" s="189" t="s">
        <v>1732</v>
      </c>
      <c r="R71" s="185">
        <v>1567534.9700000002</v>
      </c>
      <c r="S71" s="188">
        <v>10.124763138711321</v>
      </c>
      <c r="T71" s="185">
        <v>2606378.7000000002</v>
      </c>
      <c r="U71" s="188">
        <v>8.3727198752223266</v>
      </c>
      <c r="V71" s="182"/>
      <c r="W71" s="189" t="s">
        <v>1732</v>
      </c>
      <c r="X71" s="185">
        <v>1453615.13</v>
      </c>
      <c r="Y71" s="188">
        <v>12.108050266290704</v>
      </c>
      <c r="Z71" s="185">
        <v>4059993.83</v>
      </c>
      <c r="AA71" s="188">
        <v>9.4123448331330231</v>
      </c>
    </row>
    <row r="72" spans="1:27" x14ac:dyDescent="0.3">
      <c r="A72" s="189" t="s">
        <v>1731</v>
      </c>
      <c r="B72" s="185">
        <v>1297260.95</v>
      </c>
      <c r="C72" s="185">
        <v>8.2906770230499163</v>
      </c>
      <c r="D72" s="185">
        <v>740995.55999999994</v>
      </c>
      <c r="E72" s="185">
        <v>4.7861162113893707</v>
      </c>
      <c r="F72" s="185">
        <v>1116550.6800000002</v>
      </c>
      <c r="G72" s="185">
        <v>9.3004341240594197</v>
      </c>
      <c r="H72" s="185">
        <v>3154807.1900000004</v>
      </c>
      <c r="I72" s="185">
        <v>7.3138370149511811</v>
      </c>
      <c r="K72" s="189" t="s">
        <v>1731</v>
      </c>
      <c r="L72" s="185">
        <v>1297260.95</v>
      </c>
      <c r="M72" s="188">
        <v>8.2906770230499163</v>
      </c>
      <c r="N72" s="185">
        <v>1297260.95</v>
      </c>
      <c r="O72" s="188">
        <v>8.2906770230499163</v>
      </c>
      <c r="P72" s="182"/>
      <c r="Q72" s="189" t="s">
        <v>1731</v>
      </c>
      <c r="R72" s="185">
        <v>740995.55999999994</v>
      </c>
      <c r="S72" s="188">
        <v>4.7861162113893707</v>
      </c>
      <c r="T72" s="185">
        <v>2038256.5099999998</v>
      </c>
      <c r="U72" s="188">
        <v>6.547686562999572</v>
      </c>
      <c r="V72" s="182"/>
      <c r="W72" s="189" t="s">
        <v>1731</v>
      </c>
      <c r="X72" s="185">
        <v>1116550.6800000002</v>
      </c>
      <c r="Y72" s="188">
        <v>9.3004341240594197</v>
      </c>
      <c r="Z72" s="185">
        <v>3154807.1900000004</v>
      </c>
      <c r="AA72" s="188">
        <v>7.3138370149511811</v>
      </c>
    </row>
    <row r="73" spans="1:27" x14ac:dyDescent="0.3">
      <c r="A73" s="189" t="s">
        <v>1730</v>
      </c>
      <c r="B73" s="185">
        <v>566716.52</v>
      </c>
      <c r="C73" s="185">
        <v>3.6218338576728208</v>
      </c>
      <c r="D73" s="185">
        <v>450290.05000000005</v>
      </c>
      <c r="E73" s="185">
        <v>2.908439165455095</v>
      </c>
      <c r="F73" s="185">
        <v>342612.51</v>
      </c>
      <c r="G73" s="185">
        <v>2.8538293302849889</v>
      </c>
      <c r="H73" s="185">
        <v>1359619.08</v>
      </c>
      <c r="I73" s="185">
        <v>3.1520253868629835</v>
      </c>
      <c r="K73" s="189" t="s">
        <v>1730</v>
      </c>
      <c r="L73" s="185">
        <v>566716.52</v>
      </c>
      <c r="M73" s="188">
        <v>3.6218338576728208</v>
      </c>
      <c r="N73" s="185">
        <v>566716.52</v>
      </c>
      <c r="O73" s="188">
        <v>3.6218338576728208</v>
      </c>
      <c r="P73" s="182"/>
      <c r="Q73" s="189" t="s">
        <v>1730</v>
      </c>
      <c r="R73" s="185">
        <v>450290.05000000005</v>
      </c>
      <c r="S73" s="188">
        <v>2.908439165455095</v>
      </c>
      <c r="T73" s="185">
        <v>1017006.57</v>
      </c>
      <c r="U73" s="188">
        <v>3.2670275896095551</v>
      </c>
      <c r="V73" s="182"/>
      <c r="W73" s="189" t="s">
        <v>1730</v>
      </c>
      <c r="X73" s="185">
        <v>342612.51</v>
      </c>
      <c r="Y73" s="188">
        <v>2.8538293302849889</v>
      </c>
      <c r="Z73" s="185">
        <v>1359619.08</v>
      </c>
      <c r="AA73" s="188">
        <v>3.1520253868629835</v>
      </c>
    </row>
    <row r="74" spans="1:27" x14ac:dyDescent="0.3">
      <c r="A74" s="189" t="s">
        <v>1729</v>
      </c>
      <c r="B74" s="185">
        <v>169679.14</v>
      </c>
      <c r="C74" s="185">
        <v>1.0844039877164808</v>
      </c>
      <c r="D74" s="185">
        <v>191455.83000000002</v>
      </c>
      <c r="E74" s="185">
        <v>1.2366198951691527</v>
      </c>
      <c r="F74" s="185">
        <v>197448.62</v>
      </c>
      <c r="G74" s="185">
        <v>1.6446704266002872</v>
      </c>
      <c r="H74" s="185">
        <v>558583.59000000008</v>
      </c>
      <c r="I74" s="185">
        <v>1.2949727480766628</v>
      </c>
      <c r="K74" s="189" t="s">
        <v>1729</v>
      </c>
      <c r="L74" s="185">
        <v>169679.14</v>
      </c>
      <c r="M74" s="188">
        <v>1.0844039877164808</v>
      </c>
      <c r="N74" s="185">
        <v>169679.14</v>
      </c>
      <c r="O74" s="188">
        <v>1.0844039877164808</v>
      </c>
      <c r="P74" s="182"/>
      <c r="Q74" s="189" t="s">
        <v>1729</v>
      </c>
      <c r="R74" s="185">
        <v>191455.83000000002</v>
      </c>
      <c r="S74" s="188">
        <v>1.2366198951691527</v>
      </c>
      <c r="T74" s="185">
        <v>361134.97</v>
      </c>
      <c r="U74" s="188">
        <v>1.1601084450839083</v>
      </c>
      <c r="V74" s="182"/>
      <c r="W74" s="189" t="s">
        <v>1729</v>
      </c>
      <c r="X74" s="185">
        <v>197448.62</v>
      </c>
      <c r="Y74" s="188">
        <v>1.6446704266002872</v>
      </c>
      <c r="Z74" s="185">
        <v>558583.59000000008</v>
      </c>
      <c r="AA74" s="188">
        <v>1.2949727480766628</v>
      </c>
    </row>
    <row r="75" spans="1:27" x14ac:dyDescent="0.3">
      <c r="A75" s="189" t="s">
        <v>1728</v>
      </c>
      <c r="B75" s="185">
        <v>253774.22</v>
      </c>
      <c r="C75" s="185">
        <v>1.6218480135368405</v>
      </c>
      <c r="D75" s="185">
        <v>210297.05</v>
      </c>
      <c r="E75" s="185">
        <v>1.3583159934350499</v>
      </c>
      <c r="F75" s="185">
        <v>198676.11000000002</v>
      </c>
      <c r="G75" s="185">
        <v>1.6548949422335071</v>
      </c>
      <c r="H75" s="185">
        <v>662747.38</v>
      </c>
      <c r="I75" s="185">
        <v>1.536457230974523</v>
      </c>
      <c r="K75" s="189" t="s">
        <v>1728</v>
      </c>
      <c r="L75" s="185">
        <v>253774.22</v>
      </c>
      <c r="M75" s="188">
        <v>1.6218480135368405</v>
      </c>
      <c r="N75" s="185">
        <v>253774.22</v>
      </c>
      <c r="O75" s="188">
        <v>1.6218480135368405</v>
      </c>
      <c r="P75" s="182"/>
      <c r="Q75" s="189" t="s">
        <v>1728</v>
      </c>
      <c r="R75" s="185">
        <v>210297.05</v>
      </c>
      <c r="S75" s="188">
        <v>1.3583159934350499</v>
      </c>
      <c r="T75" s="185">
        <v>464071.27</v>
      </c>
      <c r="U75" s="188">
        <v>1.4907805783743808</v>
      </c>
      <c r="V75" s="182"/>
      <c r="W75" s="189" t="s">
        <v>1728</v>
      </c>
      <c r="X75" s="185">
        <v>198676.11000000002</v>
      </c>
      <c r="Y75" s="188">
        <v>1.6548949422335071</v>
      </c>
      <c r="Z75" s="185">
        <v>662747.38</v>
      </c>
      <c r="AA75" s="188">
        <v>1.536457230974523</v>
      </c>
    </row>
    <row r="76" spans="1:27" x14ac:dyDescent="0.3">
      <c r="A76" s="189" t="s">
        <v>1727</v>
      </c>
      <c r="B76" s="185">
        <v>540732.18999999994</v>
      </c>
      <c r="C76" s="185">
        <v>3.4557703623596017</v>
      </c>
      <c r="D76" s="185">
        <v>382277.69</v>
      </c>
      <c r="E76" s="185">
        <v>2.4691449559582792</v>
      </c>
      <c r="F76" s="185">
        <v>372318.32</v>
      </c>
      <c r="G76" s="185">
        <v>3.1012672065548106</v>
      </c>
      <c r="H76" s="185">
        <v>1295328.2</v>
      </c>
      <c r="I76" s="185">
        <v>3.002978871640674</v>
      </c>
      <c r="K76" s="189" t="s">
        <v>1727</v>
      </c>
      <c r="L76" s="185">
        <v>540732.18999999994</v>
      </c>
      <c r="M76" s="188">
        <v>3.4557703623596017</v>
      </c>
      <c r="N76" s="185">
        <v>540732.18999999994</v>
      </c>
      <c r="O76" s="188">
        <v>3.4557703623596017</v>
      </c>
      <c r="P76" s="182"/>
      <c r="Q76" s="189" t="s">
        <v>1727</v>
      </c>
      <c r="R76" s="185">
        <v>382277.69</v>
      </c>
      <c r="S76" s="188">
        <v>2.4691449559582792</v>
      </c>
      <c r="T76" s="185">
        <v>923009.88</v>
      </c>
      <c r="U76" s="188">
        <v>2.9650730215461683</v>
      </c>
      <c r="V76" s="182"/>
      <c r="W76" s="189" t="s">
        <v>1727</v>
      </c>
      <c r="X76" s="185">
        <v>372318.32</v>
      </c>
      <c r="Y76" s="188">
        <v>3.1012672065548106</v>
      </c>
      <c r="Z76" s="185">
        <v>1295328.2</v>
      </c>
      <c r="AA76" s="188">
        <v>3.002978871640674</v>
      </c>
    </row>
    <row r="77" spans="1:27" x14ac:dyDescent="0.3">
      <c r="A77" s="189" t="s">
        <v>1726</v>
      </c>
      <c r="B77" s="185">
        <v>0</v>
      </c>
      <c r="C77" s="185">
        <v>0</v>
      </c>
      <c r="D77" s="185">
        <v>0</v>
      </c>
      <c r="E77" s="185">
        <v>0</v>
      </c>
      <c r="F77" s="185">
        <v>0</v>
      </c>
      <c r="G77" s="185">
        <v>0</v>
      </c>
      <c r="H77" s="185">
        <v>0</v>
      </c>
      <c r="I77" s="185">
        <v>0</v>
      </c>
      <c r="K77" s="189" t="s">
        <v>1726</v>
      </c>
      <c r="L77" s="185">
        <v>0</v>
      </c>
      <c r="M77" s="188">
        <v>0</v>
      </c>
      <c r="N77" s="185">
        <v>0</v>
      </c>
      <c r="O77" s="188">
        <v>0</v>
      </c>
      <c r="P77" s="182"/>
      <c r="Q77" s="189" t="s">
        <v>1726</v>
      </c>
      <c r="R77" s="185">
        <v>0</v>
      </c>
      <c r="S77" s="188">
        <v>0</v>
      </c>
      <c r="T77" s="185">
        <v>0</v>
      </c>
      <c r="U77" s="188">
        <v>0</v>
      </c>
      <c r="V77" s="182"/>
      <c r="W77" s="189" t="s">
        <v>1726</v>
      </c>
      <c r="X77" s="185">
        <v>0</v>
      </c>
      <c r="Y77" s="188">
        <v>0</v>
      </c>
      <c r="Z77" s="185">
        <v>0</v>
      </c>
      <c r="AA77" s="188">
        <v>0</v>
      </c>
    </row>
    <row r="78" spans="1:27" x14ac:dyDescent="0.3">
      <c r="A78" s="189" t="s">
        <v>1725</v>
      </c>
      <c r="B78" s="185">
        <v>0</v>
      </c>
      <c r="C78" s="185">
        <v>0</v>
      </c>
      <c r="D78" s="185">
        <v>0</v>
      </c>
      <c r="E78" s="185">
        <v>0</v>
      </c>
      <c r="F78" s="185">
        <v>0</v>
      </c>
      <c r="G78" s="185">
        <v>0</v>
      </c>
      <c r="H78" s="185">
        <v>0</v>
      </c>
      <c r="I78" s="185">
        <v>0</v>
      </c>
      <c r="K78" s="189" t="s">
        <v>1725</v>
      </c>
      <c r="L78" s="185">
        <v>0</v>
      </c>
      <c r="M78" s="188">
        <v>0</v>
      </c>
      <c r="N78" s="185">
        <v>0</v>
      </c>
      <c r="O78" s="188">
        <v>0</v>
      </c>
      <c r="P78" s="182"/>
      <c r="Q78" s="189" t="s">
        <v>1725</v>
      </c>
      <c r="R78" s="185">
        <v>0</v>
      </c>
      <c r="S78" s="188">
        <v>0</v>
      </c>
      <c r="T78" s="185">
        <v>0</v>
      </c>
      <c r="U78" s="188">
        <v>0</v>
      </c>
      <c r="V78" s="182"/>
      <c r="W78" s="189" t="s">
        <v>1725</v>
      </c>
      <c r="X78" s="185">
        <v>0</v>
      </c>
      <c r="Y78" s="188">
        <v>0</v>
      </c>
      <c r="Z78" s="185">
        <v>0</v>
      </c>
      <c r="AA78" s="188">
        <v>0</v>
      </c>
    </row>
    <row r="79" spans="1:27" x14ac:dyDescent="0.3">
      <c r="A79" s="189" t="s">
        <v>1724</v>
      </c>
      <c r="B79" s="185">
        <v>0</v>
      </c>
      <c r="C79" s="185">
        <v>0</v>
      </c>
      <c r="D79" s="185">
        <v>0</v>
      </c>
      <c r="E79" s="185">
        <v>0</v>
      </c>
      <c r="F79" s="185">
        <v>0</v>
      </c>
      <c r="G79" s="185">
        <v>0</v>
      </c>
      <c r="H79" s="185">
        <v>0</v>
      </c>
      <c r="I79" s="185">
        <v>0</v>
      </c>
      <c r="K79" s="189" t="s">
        <v>1724</v>
      </c>
      <c r="L79" s="185">
        <v>0</v>
      </c>
      <c r="M79" s="188">
        <v>0</v>
      </c>
      <c r="N79" s="185">
        <v>0</v>
      </c>
      <c r="O79" s="188">
        <v>0</v>
      </c>
      <c r="P79" s="182"/>
      <c r="Q79" s="189" t="s">
        <v>1724</v>
      </c>
      <c r="R79" s="185">
        <v>0</v>
      </c>
      <c r="S79" s="188">
        <v>0</v>
      </c>
      <c r="T79" s="185">
        <v>0</v>
      </c>
      <c r="U79" s="188">
        <v>0</v>
      </c>
      <c r="V79" s="182"/>
      <c r="W79" s="189" t="s">
        <v>1724</v>
      </c>
      <c r="X79" s="185">
        <v>0</v>
      </c>
      <c r="Y79" s="188">
        <v>0</v>
      </c>
      <c r="Z79" s="185">
        <v>0</v>
      </c>
      <c r="AA79" s="188">
        <v>0</v>
      </c>
    </row>
    <row r="80" spans="1:27" x14ac:dyDescent="0.3">
      <c r="A80" s="189" t="s">
        <v>1723</v>
      </c>
      <c r="B80" s="185">
        <v>0</v>
      </c>
      <c r="C80" s="185">
        <v>0</v>
      </c>
      <c r="D80" s="185">
        <v>0</v>
      </c>
      <c r="E80" s="185">
        <v>0</v>
      </c>
      <c r="F80" s="185">
        <v>0</v>
      </c>
      <c r="G80" s="185">
        <v>0</v>
      </c>
      <c r="H80" s="185">
        <v>0</v>
      </c>
      <c r="I80" s="185">
        <v>0</v>
      </c>
      <c r="K80" s="189" t="s">
        <v>1723</v>
      </c>
      <c r="L80" s="185">
        <v>0</v>
      </c>
      <c r="M80" s="188">
        <v>0</v>
      </c>
      <c r="N80" s="185">
        <v>0</v>
      </c>
      <c r="O80" s="188">
        <v>0</v>
      </c>
      <c r="P80" s="182"/>
      <c r="Q80" s="189" t="s">
        <v>1723</v>
      </c>
      <c r="R80" s="185">
        <v>0</v>
      </c>
      <c r="S80" s="188">
        <v>0</v>
      </c>
      <c r="T80" s="185">
        <v>0</v>
      </c>
      <c r="U80" s="188">
        <v>0</v>
      </c>
      <c r="V80" s="182"/>
      <c r="W80" s="189" t="s">
        <v>1723</v>
      </c>
      <c r="X80" s="185">
        <v>0</v>
      </c>
      <c r="Y80" s="188">
        <v>0</v>
      </c>
      <c r="Z80" s="185">
        <v>0</v>
      </c>
      <c r="AA80" s="188">
        <v>0</v>
      </c>
    </row>
    <row r="81" spans="1:27" x14ac:dyDescent="0.3">
      <c r="A81" s="189" t="s">
        <v>1722</v>
      </c>
      <c r="B81" s="185">
        <v>0</v>
      </c>
      <c r="C81" s="185">
        <v>0</v>
      </c>
      <c r="D81" s="185">
        <v>0</v>
      </c>
      <c r="E81" s="185">
        <v>0</v>
      </c>
      <c r="F81" s="185">
        <v>0</v>
      </c>
      <c r="G81" s="185">
        <v>0</v>
      </c>
      <c r="H81" s="185">
        <v>0</v>
      </c>
      <c r="I81" s="185">
        <v>0</v>
      </c>
      <c r="K81" s="189" t="s">
        <v>1722</v>
      </c>
      <c r="L81" s="185">
        <v>0</v>
      </c>
      <c r="M81" s="188">
        <v>0</v>
      </c>
      <c r="N81" s="185">
        <v>0</v>
      </c>
      <c r="O81" s="188">
        <v>0</v>
      </c>
      <c r="P81" s="182"/>
      <c r="Q81" s="189" t="s">
        <v>1722</v>
      </c>
      <c r="R81" s="185">
        <v>0</v>
      </c>
      <c r="S81" s="188">
        <v>0</v>
      </c>
      <c r="T81" s="185">
        <v>0</v>
      </c>
      <c r="U81" s="188">
        <v>0</v>
      </c>
      <c r="V81" s="182"/>
      <c r="W81" s="189" t="s">
        <v>1722</v>
      </c>
      <c r="X81" s="185">
        <v>0</v>
      </c>
      <c r="Y81" s="188">
        <v>0</v>
      </c>
      <c r="Z81" s="185">
        <v>0</v>
      </c>
      <c r="AA81" s="188">
        <v>0</v>
      </c>
    </row>
    <row r="82" spans="1:27" x14ac:dyDescent="0.3">
      <c r="A82" s="189" t="s">
        <v>1721</v>
      </c>
      <c r="B82" s="185">
        <v>0</v>
      </c>
      <c r="C82" s="185">
        <v>0</v>
      </c>
      <c r="D82" s="185">
        <v>0</v>
      </c>
      <c r="E82" s="185">
        <v>0</v>
      </c>
      <c r="F82" s="185">
        <v>0</v>
      </c>
      <c r="G82" s="185">
        <v>0</v>
      </c>
      <c r="H82" s="185">
        <v>0</v>
      </c>
      <c r="I82" s="185">
        <v>0</v>
      </c>
      <c r="K82" s="189" t="s">
        <v>1721</v>
      </c>
      <c r="L82" s="185">
        <v>0</v>
      </c>
      <c r="M82" s="188">
        <v>0</v>
      </c>
      <c r="N82" s="185">
        <v>0</v>
      </c>
      <c r="O82" s="188">
        <v>0</v>
      </c>
      <c r="P82" s="182"/>
      <c r="Q82" s="189" t="s">
        <v>1721</v>
      </c>
      <c r="R82" s="185">
        <v>0</v>
      </c>
      <c r="S82" s="188">
        <v>0</v>
      </c>
      <c r="T82" s="185">
        <v>0</v>
      </c>
      <c r="U82" s="188">
        <v>0</v>
      </c>
      <c r="V82" s="182"/>
      <c r="W82" s="189" t="s">
        <v>1721</v>
      </c>
      <c r="X82" s="185">
        <v>0</v>
      </c>
      <c r="Y82" s="188">
        <v>0</v>
      </c>
      <c r="Z82" s="185">
        <v>0</v>
      </c>
      <c r="AA82" s="188">
        <v>0</v>
      </c>
    </row>
    <row r="83" spans="1:27" x14ac:dyDescent="0.3">
      <c r="A83" s="189" t="s">
        <v>1720</v>
      </c>
      <c r="B83" s="185">
        <v>548247.02</v>
      </c>
      <c r="C83" s="185">
        <v>3.5037969590232318</v>
      </c>
      <c r="D83" s="185">
        <v>565406.04</v>
      </c>
      <c r="E83" s="185">
        <v>3.6519773668569178</v>
      </c>
      <c r="F83" s="185">
        <v>533458.37</v>
      </c>
      <c r="G83" s="185">
        <v>4.4435013268838945</v>
      </c>
      <c r="H83" s="185">
        <v>1647111.43</v>
      </c>
      <c r="I83" s="185">
        <v>3.8185232310451185</v>
      </c>
      <c r="K83" s="189" t="s">
        <v>1720</v>
      </c>
      <c r="L83" s="185">
        <v>548247.02</v>
      </c>
      <c r="M83" s="188">
        <v>3.5037969590232318</v>
      </c>
      <c r="N83" s="185">
        <v>548247.02</v>
      </c>
      <c r="O83" s="188">
        <v>3.5037969590232318</v>
      </c>
      <c r="P83" s="182"/>
      <c r="Q83" s="189" t="s">
        <v>1720</v>
      </c>
      <c r="R83" s="185">
        <v>565406.04</v>
      </c>
      <c r="S83" s="188">
        <v>3.6519773668569178</v>
      </c>
      <c r="T83" s="185">
        <v>1113653.06</v>
      </c>
      <c r="U83" s="188">
        <v>3.5774943639480181</v>
      </c>
      <c r="V83" s="182"/>
      <c r="W83" s="189" t="s">
        <v>1720</v>
      </c>
      <c r="X83" s="185">
        <v>533458.37</v>
      </c>
      <c r="Y83" s="188">
        <v>4.4435013268838945</v>
      </c>
      <c r="Z83" s="185">
        <v>1647111.43</v>
      </c>
      <c r="AA83" s="188">
        <v>3.8185232310451185</v>
      </c>
    </row>
    <row r="84" spans="1:27" x14ac:dyDescent="0.3">
      <c r="A84" s="187"/>
      <c r="B84" s="193">
        <f>B68-SUM(B71:B83)</f>
        <v>-73457.900000000373</v>
      </c>
      <c r="C84" s="193"/>
      <c r="D84" s="193">
        <f>D68-SUM(D71:D83)</f>
        <v>675805.73000000184</v>
      </c>
      <c r="E84" s="193"/>
      <c r="F84" s="193">
        <f>F68-SUM(F71:F83)</f>
        <v>-913744.98000000045</v>
      </c>
      <c r="G84" s="193"/>
      <c r="H84" s="193">
        <f>H68-SUM(H71:H83)</f>
        <v>-165797.15000000037</v>
      </c>
      <c r="I84" s="193"/>
      <c r="K84" s="187"/>
      <c r="L84" s="193"/>
      <c r="M84" s="187"/>
      <c r="N84" s="193"/>
      <c r="O84" s="187"/>
      <c r="P84" s="182"/>
      <c r="Q84" s="187"/>
      <c r="R84" s="193"/>
      <c r="S84" s="187"/>
      <c r="T84" s="193"/>
      <c r="U84" s="187"/>
      <c r="V84" s="182"/>
      <c r="W84" s="187"/>
      <c r="X84" s="193"/>
      <c r="Y84" s="187"/>
      <c r="Z84" s="193"/>
      <c r="AA84" s="187"/>
    </row>
    <row r="85" spans="1:27" x14ac:dyDescent="0.3">
      <c r="A85" s="189" t="s">
        <v>1719</v>
      </c>
      <c r="B85" s="185">
        <v>7372286.5599999996</v>
      </c>
      <c r="C85" s="185">
        <v>47.11561447242493</v>
      </c>
      <c r="D85" s="185">
        <v>6408702.3200000003</v>
      </c>
      <c r="E85" s="185">
        <v>41.3940321959833</v>
      </c>
      <c r="F85" s="185">
        <v>6720684.6699999999</v>
      </c>
      <c r="G85" s="185">
        <v>55.980696766859708</v>
      </c>
      <c r="H85" s="185">
        <v>20501673.550000001</v>
      </c>
      <c r="I85" s="185">
        <v>47.529338513532295</v>
      </c>
      <c r="K85" s="189" t="s">
        <v>1719</v>
      </c>
      <c r="L85" s="185">
        <v>7372286.5599999996</v>
      </c>
      <c r="M85" s="188">
        <v>47.11561447242493</v>
      </c>
      <c r="N85" s="185">
        <v>7372286.5599999996</v>
      </c>
      <c r="O85" s="188">
        <v>47.11561447242493</v>
      </c>
      <c r="P85" s="182"/>
      <c r="Q85" s="189" t="s">
        <v>1719</v>
      </c>
      <c r="R85" s="185">
        <v>6408702.3200000003</v>
      </c>
      <c r="S85" s="188">
        <v>41.3940321959833</v>
      </c>
      <c r="T85" s="185">
        <v>13780988.879999999</v>
      </c>
      <c r="U85" s="188">
        <v>44.269990195896646</v>
      </c>
      <c r="V85" s="182"/>
      <c r="W85" s="189" t="s">
        <v>1719</v>
      </c>
      <c r="X85" s="185">
        <v>6720684.6699999999</v>
      </c>
      <c r="Y85" s="188">
        <v>55.980696766859708</v>
      </c>
      <c r="Z85" s="185">
        <v>20501673.550000001</v>
      </c>
      <c r="AA85" s="188">
        <v>47.529338513532295</v>
      </c>
    </row>
    <row r="86" spans="1:27" x14ac:dyDescent="0.3">
      <c r="A86" s="191" t="s">
        <v>1224</v>
      </c>
      <c r="B86" s="193"/>
      <c r="C86" s="193"/>
      <c r="D86" s="193"/>
      <c r="E86" s="193"/>
      <c r="F86" s="193"/>
      <c r="G86" s="193"/>
      <c r="H86" s="193"/>
      <c r="I86" s="193"/>
      <c r="K86" s="191" t="s">
        <v>1224</v>
      </c>
      <c r="L86" s="193"/>
      <c r="M86" s="187"/>
      <c r="N86" s="193"/>
      <c r="O86" s="187"/>
      <c r="P86" s="182"/>
      <c r="Q86" s="191" t="s">
        <v>1224</v>
      </c>
      <c r="R86" s="193"/>
      <c r="S86" s="187"/>
      <c r="T86" s="193"/>
      <c r="U86" s="187"/>
      <c r="V86" s="182"/>
      <c r="W86" s="191" t="s">
        <v>1224</v>
      </c>
      <c r="X86" s="193"/>
      <c r="Y86" s="187"/>
      <c r="Z86" s="193"/>
      <c r="AA86" s="187"/>
    </row>
    <row r="87" spans="1:27" x14ac:dyDescent="0.3">
      <c r="A87" s="195" t="s">
        <v>1718</v>
      </c>
      <c r="B87" s="193"/>
      <c r="C87" s="193"/>
      <c r="D87" s="193"/>
      <c r="E87" s="193"/>
      <c r="F87" s="193"/>
      <c r="G87" s="193"/>
      <c r="H87" s="193"/>
      <c r="I87" s="193"/>
      <c r="K87" s="195" t="s">
        <v>1718</v>
      </c>
      <c r="L87" s="193"/>
      <c r="M87" s="187"/>
      <c r="N87" s="193"/>
      <c r="O87" s="187"/>
      <c r="P87" s="182"/>
      <c r="Q87" s="195" t="s">
        <v>1718</v>
      </c>
      <c r="R87" s="193"/>
      <c r="S87" s="187"/>
      <c r="T87" s="193"/>
      <c r="U87" s="187"/>
      <c r="V87" s="182"/>
      <c r="W87" s="195" t="s">
        <v>1718</v>
      </c>
      <c r="X87" s="193"/>
      <c r="Y87" s="187"/>
      <c r="Z87" s="193"/>
      <c r="AA87" s="187"/>
    </row>
    <row r="88" spans="1:27" x14ac:dyDescent="0.3">
      <c r="A88" s="189" t="s">
        <v>1717</v>
      </c>
      <c r="B88" s="185">
        <v>1344503.99</v>
      </c>
      <c r="C88" s="185">
        <v>8.5926030050406865</v>
      </c>
      <c r="D88" s="185">
        <v>1290476.5</v>
      </c>
      <c r="E88" s="185">
        <v>8.3352328009455494</v>
      </c>
      <c r="F88" s="185">
        <v>1077857.9500000002</v>
      </c>
      <c r="G88" s="185">
        <v>8.9781386896551183</v>
      </c>
      <c r="H88" s="185">
        <v>3712838.44</v>
      </c>
      <c r="I88" s="185">
        <v>8.607529264888484</v>
      </c>
      <c r="K88" s="189" t="s">
        <v>1717</v>
      </c>
      <c r="L88" s="185">
        <v>1344503.99</v>
      </c>
      <c r="M88" s="188">
        <v>8.5926030050406865</v>
      </c>
      <c r="N88" s="185">
        <v>1344503.99</v>
      </c>
      <c r="O88" s="188">
        <v>8.5926030050406865</v>
      </c>
      <c r="P88" s="182"/>
      <c r="Q88" s="189" t="s">
        <v>1717</v>
      </c>
      <c r="R88" s="185">
        <v>1290476.5</v>
      </c>
      <c r="S88" s="188">
        <v>8.3352328009455494</v>
      </c>
      <c r="T88" s="185">
        <v>2634980.4900000002</v>
      </c>
      <c r="U88" s="188">
        <v>8.4646001440412579</v>
      </c>
      <c r="V88" s="182"/>
      <c r="W88" s="189" t="s">
        <v>1717</v>
      </c>
      <c r="X88" s="185">
        <v>1077857.9500000002</v>
      </c>
      <c r="Y88" s="188">
        <v>8.9781386896551183</v>
      </c>
      <c r="Z88" s="185">
        <v>3712838.44</v>
      </c>
      <c r="AA88" s="188">
        <v>8.607529264888484</v>
      </c>
    </row>
    <row r="89" spans="1:27" x14ac:dyDescent="0.3">
      <c r="A89" s="189" t="s">
        <v>1716</v>
      </c>
      <c r="B89" s="185">
        <v>-83163.19</v>
      </c>
      <c r="C89" s="185">
        <v>-0.53148840138642472</v>
      </c>
      <c r="D89" s="185">
        <v>-13739.15</v>
      </c>
      <c r="E89" s="185">
        <v>-8.8741649876701384E-2</v>
      </c>
      <c r="F89" s="185">
        <v>-90942.7</v>
      </c>
      <c r="G89" s="185">
        <v>-0.7575174200011221</v>
      </c>
      <c r="H89" s="185">
        <v>-187845.03999999998</v>
      </c>
      <c r="I89" s="185">
        <v>-0.43548398487927403</v>
      </c>
      <c r="K89" s="189" t="s">
        <v>1716</v>
      </c>
      <c r="L89" s="185">
        <v>-83163.19</v>
      </c>
      <c r="M89" s="188">
        <v>-0.53148840138642472</v>
      </c>
      <c r="N89" s="185">
        <v>-83163.19</v>
      </c>
      <c r="O89" s="188">
        <v>-0.53148840138642472</v>
      </c>
      <c r="P89" s="182"/>
      <c r="Q89" s="189" t="s">
        <v>1716</v>
      </c>
      <c r="R89" s="185">
        <v>-13739.15</v>
      </c>
      <c r="S89" s="188">
        <v>-8.8741649876701384E-2</v>
      </c>
      <c r="T89" s="185">
        <v>-96902.34</v>
      </c>
      <c r="U89" s="188">
        <v>-0.31128866579271514</v>
      </c>
      <c r="V89" s="182"/>
      <c r="W89" s="189" t="s">
        <v>1716</v>
      </c>
      <c r="X89" s="185">
        <v>-90942.7</v>
      </c>
      <c r="Y89" s="188">
        <v>-0.7575174200011221</v>
      </c>
      <c r="Z89" s="185">
        <v>-187845.03999999998</v>
      </c>
      <c r="AA89" s="188">
        <v>-0.43548398487927403</v>
      </c>
    </row>
    <row r="90" spans="1:27" x14ac:dyDescent="0.3">
      <c r="A90" s="189" t="s">
        <v>1715</v>
      </c>
      <c r="B90" s="185">
        <v>0</v>
      </c>
      <c r="C90" s="185">
        <v>0</v>
      </c>
      <c r="D90" s="185">
        <v>0</v>
      </c>
      <c r="E90" s="185">
        <v>0</v>
      </c>
      <c r="F90" s="185">
        <v>0</v>
      </c>
      <c r="G90" s="185">
        <v>0</v>
      </c>
      <c r="H90" s="185">
        <v>0</v>
      </c>
      <c r="I90" s="185">
        <v>0</v>
      </c>
      <c r="K90" s="189" t="s">
        <v>1715</v>
      </c>
      <c r="L90" s="185">
        <v>0</v>
      </c>
      <c r="M90" s="188">
        <v>0</v>
      </c>
      <c r="N90" s="185">
        <v>0</v>
      </c>
      <c r="O90" s="188">
        <v>0</v>
      </c>
      <c r="P90" s="182"/>
      <c r="Q90" s="189" t="s">
        <v>1715</v>
      </c>
      <c r="R90" s="185">
        <v>0</v>
      </c>
      <c r="S90" s="188">
        <v>0</v>
      </c>
      <c r="T90" s="185">
        <v>0</v>
      </c>
      <c r="U90" s="188">
        <v>0</v>
      </c>
      <c r="V90" s="182"/>
      <c r="W90" s="189" t="s">
        <v>1715</v>
      </c>
      <c r="X90" s="185">
        <v>0</v>
      </c>
      <c r="Y90" s="188">
        <v>0</v>
      </c>
      <c r="Z90" s="185">
        <v>0</v>
      </c>
      <c r="AA90" s="188">
        <v>0</v>
      </c>
    </row>
    <row r="91" spans="1:27" x14ac:dyDescent="0.3">
      <c r="A91" s="189" t="s">
        <v>1714</v>
      </c>
      <c r="B91" s="185">
        <v>0</v>
      </c>
      <c r="C91" s="185">
        <v>0</v>
      </c>
      <c r="D91" s="185">
        <v>0</v>
      </c>
      <c r="E91" s="185">
        <v>0</v>
      </c>
      <c r="F91" s="185">
        <v>0</v>
      </c>
      <c r="G91" s="185">
        <v>0</v>
      </c>
      <c r="H91" s="185">
        <v>0</v>
      </c>
      <c r="I91" s="185">
        <v>0</v>
      </c>
      <c r="K91" s="189" t="s">
        <v>1714</v>
      </c>
      <c r="L91" s="185">
        <v>0</v>
      </c>
      <c r="M91" s="188">
        <v>0</v>
      </c>
      <c r="N91" s="185">
        <v>0</v>
      </c>
      <c r="O91" s="188">
        <v>0</v>
      </c>
      <c r="P91" s="182"/>
      <c r="Q91" s="189" t="s">
        <v>1714</v>
      </c>
      <c r="R91" s="185">
        <v>0</v>
      </c>
      <c r="S91" s="188">
        <v>0</v>
      </c>
      <c r="T91" s="185">
        <v>0</v>
      </c>
      <c r="U91" s="188">
        <v>0</v>
      </c>
      <c r="V91" s="182"/>
      <c r="W91" s="189" t="s">
        <v>1714</v>
      </c>
      <c r="X91" s="185">
        <v>0</v>
      </c>
      <c r="Y91" s="188">
        <v>0</v>
      </c>
      <c r="Z91" s="185">
        <v>0</v>
      </c>
      <c r="AA91" s="188">
        <v>0</v>
      </c>
    </row>
    <row r="92" spans="1:27" x14ac:dyDescent="0.3">
      <c r="A92" s="187"/>
      <c r="B92" s="193"/>
      <c r="C92" s="193"/>
      <c r="D92" s="193"/>
      <c r="E92" s="193"/>
      <c r="F92" s="193"/>
      <c r="G92" s="193"/>
      <c r="H92" s="193"/>
      <c r="I92" s="193"/>
      <c r="K92" s="187"/>
      <c r="L92" s="193"/>
      <c r="M92" s="187"/>
      <c r="N92" s="193"/>
      <c r="O92" s="187"/>
      <c r="P92" s="182"/>
      <c r="Q92" s="187"/>
      <c r="R92" s="193"/>
      <c r="S92" s="187"/>
      <c r="T92" s="193"/>
      <c r="U92" s="187"/>
      <c r="V92" s="182"/>
      <c r="W92" s="187"/>
      <c r="X92" s="193"/>
      <c r="Y92" s="187"/>
      <c r="Z92" s="193"/>
      <c r="AA92" s="187"/>
    </row>
    <row r="93" spans="1:27" x14ac:dyDescent="0.3">
      <c r="A93" s="189" t="s">
        <v>1713</v>
      </c>
      <c r="B93" s="185">
        <v>1261340.8</v>
      </c>
      <c r="C93" s="185">
        <v>8.0611146036542607</v>
      </c>
      <c r="D93" s="185">
        <v>1276737.3500000001</v>
      </c>
      <c r="E93" s="185">
        <v>8.2464911510688488</v>
      </c>
      <c r="F93" s="185">
        <v>986915.25</v>
      </c>
      <c r="G93" s="185">
        <v>8.2206212696539946</v>
      </c>
      <c r="H93" s="185">
        <v>3524993.4</v>
      </c>
      <c r="I93" s="185">
        <v>8.1720452800092094</v>
      </c>
      <c r="K93" s="189" t="s">
        <v>1713</v>
      </c>
      <c r="L93" s="185">
        <v>1261340.8</v>
      </c>
      <c r="M93" s="188">
        <v>8.0611146036542607</v>
      </c>
      <c r="N93" s="185">
        <v>1261340.8</v>
      </c>
      <c r="O93" s="188">
        <v>8.0611146036542607</v>
      </c>
      <c r="P93" s="182"/>
      <c r="Q93" s="189" t="s">
        <v>1713</v>
      </c>
      <c r="R93" s="185">
        <v>1276737.3500000001</v>
      </c>
      <c r="S93" s="188">
        <v>8.2464911510688488</v>
      </c>
      <c r="T93" s="185">
        <v>2538078.1500000004</v>
      </c>
      <c r="U93" s="188">
        <v>8.1533114782485434</v>
      </c>
      <c r="V93" s="182"/>
      <c r="W93" s="189" t="s">
        <v>1713</v>
      </c>
      <c r="X93" s="185">
        <v>986915.25</v>
      </c>
      <c r="Y93" s="188">
        <v>8.2206212696539946</v>
      </c>
      <c r="Z93" s="185">
        <v>3524993.4</v>
      </c>
      <c r="AA93" s="188">
        <v>8.1720452800092094</v>
      </c>
    </row>
    <row r="94" spans="1:27" x14ac:dyDescent="0.3">
      <c r="A94" s="191" t="s">
        <v>1224</v>
      </c>
      <c r="B94" s="193"/>
      <c r="C94" s="193"/>
      <c r="D94" s="193"/>
      <c r="E94" s="193"/>
      <c r="F94" s="193"/>
      <c r="G94" s="193"/>
      <c r="H94" s="193"/>
      <c r="I94" s="193"/>
      <c r="K94" s="191" t="s">
        <v>1224</v>
      </c>
      <c r="L94" s="193"/>
      <c r="M94" s="187"/>
      <c r="N94" s="193"/>
      <c r="O94" s="187"/>
      <c r="P94" s="182"/>
      <c r="Q94" s="191" t="s">
        <v>1224</v>
      </c>
      <c r="R94" s="193"/>
      <c r="S94" s="187"/>
      <c r="T94" s="193"/>
      <c r="U94" s="187"/>
      <c r="V94" s="182"/>
      <c r="W94" s="191" t="s">
        <v>1224</v>
      </c>
      <c r="X94" s="193"/>
      <c r="Y94" s="187"/>
      <c r="Z94" s="193"/>
      <c r="AA94" s="187"/>
    </row>
    <row r="95" spans="1:27" x14ac:dyDescent="0.3">
      <c r="A95" s="187"/>
      <c r="B95" s="193"/>
      <c r="C95" s="193"/>
      <c r="D95" s="193"/>
      <c r="E95" s="193"/>
      <c r="F95" s="193"/>
      <c r="G95" s="193"/>
      <c r="H95" s="193"/>
      <c r="I95" s="193"/>
      <c r="K95" s="187"/>
      <c r="L95" s="193"/>
      <c r="M95" s="187"/>
      <c r="N95" s="193"/>
      <c r="O95" s="187"/>
      <c r="P95" s="182"/>
      <c r="Q95" s="187"/>
      <c r="R95" s="193"/>
      <c r="S95" s="187"/>
      <c r="T95" s="193"/>
      <c r="U95" s="187"/>
      <c r="V95" s="182"/>
      <c r="W95" s="187"/>
      <c r="X95" s="193"/>
      <c r="Y95" s="187"/>
      <c r="Z95" s="193"/>
      <c r="AA95" s="187"/>
    </row>
    <row r="96" spans="1:27" x14ac:dyDescent="0.3">
      <c r="A96" s="194" t="s">
        <v>1712</v>
      </c>
      <c r="B96" s="185">
        <v>19793457.240000002</v>
      </c>
      <c r="C96" s="185">
        <v>126.49818923971236</v>
      </c>
      <c r="D96" s="185">
        <v>18375656.050000001</v>
      </c>
      <c r="E96" s="185">
        <v>118.68900444669354</v>
      </c>
      <c r="F96" s="185">
        <v>16412026.039999999</v>
      </c>
      <c r="G96" s="185">
        <v>136.7058117123423</v>
      </c>
      <c r="H96" s="185">
        <v>54581139.329999998</v>
      </c>
      <c r="I96" s="185">
        <v>126.53627721381025</v>
      </c>
      <c r="K96" s="194" t="s">
        <v>1712</v>
      </c>
      <c r="L96" s="185">
        <v>19793457.240000002</v>
      </c>
      <c r="M96" s="188">
        <v>126.49818923971236</v>
      </c>
      <c r="N96" s="185">
        <v>19793457.240000002</v>
      </c>
      <c r="O96" s="188">
        <v>126.49818923971236</v>
      </c>
      <c r="P96" s="182"/>
      <c r="Q96" s="194" t="s">
        <v>1712</v>
      </c>
      <c r="R96" s="185">
        <v>18375656.050000001</v>
      </c>
      <c r="S96" s="188">
        <v>118.68900444669354</v>
      </c>
      <c r="T96" s="185">
        <v>38169113.289999999</v>
      </c>
      <c r="U96" s="188">
        <v>122.61429755499292</v>
      </c>
      <c r="V96" s="182"/>
      <c r="W96" s="194" t="s">
        <v>1712</v>
      </c>
      <c r="X96" s="185">
        <v>16412026.039999999</v>
      </c>
      <c r="Y96" s="188">
        <v>136.7058117123423</v>
      </c>
      <c r="Z96" s="185">
        <v>54581139.329999998</v>
      </c>
      <c r="AA96" s="188">
        <v>126.53627721381025</v>
      </c>
    </row>
    <row r="97" spans="1:27" x14ac:dyDescent="0.3">
      <c r="A97" s="191" t="s">
        <v>1224</v>
      </c>
      <c r="B97" s="193"/>
      <c r="C97" s="193"/>
      <c r="D97" s="193"/>
      <c r="E97" s="193"/>
      <c r="F97" s="193"/>
      <c r="G97" s="193"/>
      <c r="H97" s="193"/>
      <c r="I97" s="193"/>
      <c r="K97" s="191" t="s">
        <v>1224</v>
      </c>
      <c r="L97" s="193"/>
      <c r="M97" s="187"/>
      <c r="N97" s="193"/>
      <c r="O97" s="187"/>
      <c r="P97" s="182"/>
      <c r="Q97" s="191" t="s">
        <v>1224</v>
      </c>
      <c r="R97" s="193"/>
      <c r="S97" s="187"/>
      <c r="T97" s="193"/>
      <c r="U97" s="187"/>
      <c r="V97" s="182"/>
      <c r="W97" s="191" t="s">
        <v>1224</v>
      </c>
      <c r="X97" s="193"/>
      <c r="Y97" s="187"/>
      <c r="Z97" s="193"/>
      <c r="AA97" s="187"/>
    </row>
    <row r="98" spans="1:27" x14ac:dyDescent="0.3">
      <c r="A98" s="191" t="s">
        <v>1224</v>
      </c>
      <c r="B98" s="193"/>
      <c r="C98" s="193"/>
      <c r="D98" s="193"/>
      <c r="E98" s="193"/>
      <c r="F98" s="193"/>
      <c r="G98" s="193"/>
      <c r="H98" s="193"/>
      <c r="I98" s="193"/>
      <c r="K98" s="191" t="s">
        <v>1224</v>
      </c>
      <c r="L98" s="193"/>
      <c r="M98" s="187"/>
      <c r="N98" s="193"/>
      <c r="O98" s="187"/>
      <c r="P98" s="182"/>
      <c r="Q98" s="191" t="s">
        <v>1224</v>
      </c>
      <c r="R98" s="193"/>
      <c r="S98" s="187"/>
      <c r="T98" s="193"/>
      <c r="U98" s="187"/>
      <c r="V98" s="182"/>
      <c r="W98" s="191" t="s">
        <v>1224</v>
      </c>
      <c r="X98" s="193"/>
      <c r="Y98" s="187"/>
      <c r="Z98" s="193"/>
      <c r="AA98" s="187"/>
    </row>
    <row r="99" spans="1:27" x14ac:dyDescent="0.3">
      <c r="A99" s="187"/>
      <c r="B99" s="193"/>
      <c r="C99" s="193"/>
      <c r="D99" s="193"/>
      <c r="E99" s="193"/>
      <c r="F99" s="193"/>
      <c r="G99" s="193"/>
      <c r="H99" s="193"/>
      <c r="I99" s="193"/>
      <c r="K99" s="187"/>
      <c r="L99" s="193"/>
      <c r="M99" s="187"/>
      <c r="N99" s="193"/>
      <c r="O99" s="187"/>
      <c r="P99" s="182"/>
      <c r="Q99" s="187"/>
      <c r="R99" s="193"/>
      <c r="S99" s="187"/>
      <c r="T99" s="193"/>
      <c r="U99" s="187"/>
      <c r="V99" s="182"/>
      <c r="W99" s="187"/>
      <c r="X99" s="193"/>
      <c r="Y99" s="187"/>
      <c r="Z99" s="193"/>
      <c r="AA99" s="187"/>
    </row>
    <row r="100" spans="1:27" x14ac:dyDescent="0.3">
      <c r="A100" s="194" t="s">
        <v>1711</v>
      </c>
      <c r="B100" s="185">
        <v>-4146231.4899999998</v>
      </c>
      <c r="C100" s="185">
        <v>-26.49818923971235</v>
      </c>
      <c r="D100" s="185">
        <v>-2893467</v>
      </c>
      <c r="E100" s="185">
        <v>-18.689004446693538</v>
      </c>
      <c r="F100" s="185">
        <v>-4406665.16</v>
      </c>
      <c r="G100" s="185">
        <v>-36.705811712342303</v>
      </c>
      <c r="H100" s="185">
        <v>-11446363.65</v>
      </c>
      <c r="I100" s="185">
        <v>-26.536277213810237</v>
      </c>
      <c r="K100" s="194" t="s">
        <v>1711</v>
      </c>
      <c r="L100" s="185">
        <v>-4146231.4899999998</v>
      </c>
      <c r="M100" s="188">
        <v>-26.49818923971235</v>
      </c>
      <c r="N100" s="185">
        <v>1684826.77</v>
      </c>
      <c r="O100" s="188">
        <v>10.767575012458678</v>
      </c>
      <c r="P100" s="182"/>
      <c r="Q100" s="194" t="s">
        <v>1711</v>
      </c>
      <c r="R100" s="185">
        <v>-2893467</v>
      </c>
      <c r="S100" s="188">
        <v>-18.689004446693538</v>
      </c>
      <c r="T100" s="185">
        <v>-7039698.4899999993</v>
      </c>
      <c r="U100" s="188">
        <v>-22.614297554992906</v>
      </c>
      <c r="V100" s="182"/>
      <c r="W100" s="194" t="s">
        <v>1711</v>
      </c>
      <c r="X100" s="185">
        <v>-4406665.16</v>
      </c>
      <c r="Y100" s="188">
        <v>-36.705811712342303</v>
      </c>
      <c r="Z100" s="185">
        <v>-11446363.65</v>
      </c>
      <c r="AA100" s="188">
        <v>-26.536277213810237</v>
      </c>
    </row>
    <row r="101" spans="1:27" x14ac:dyDescent="0.3">
      <c r="A101" s="187"/>
      <c r="B101" s="193"/>
      <c r="C101" s="188"/>
      <c r="D101" s="193"/>
      <c r="E101" s="188"/>
      <c r="F101" s="188"/>
      <c r="G101" s="188"/>
      <c r="H101" s="188"/>
      <c r="I101" s="188"/>
      <c r="K101" s="187"/>
      <c r="L101" s="193"/>
      <c r="M101" s="188"/>
      <c r="N101" s="193"/>
      <c r="O101" s="188"/>
      <c r="P101" s="182"/>
      <c r="Q101" s="187"/>
      <c r="R101" s="193"/>
      <c r="S101" s="188"/>
      <c r="T101" s="193"/>
      <c r="U101" s="188"/>
      <c r="V101" s="182"/>
      <c r="W101" s="187"/>
      <c r="X101" s="193"/>
      <c r="Y101" s="188"/>
      <c r="Z101" s="193"/>
      <c r="AA101" s="188"/>
    </row>
    <row r="102" spans="1:27" x14ac:dyDescent="0.3">
      <c r="A102" s="191" t="s">
        <v>1224</v>
      </c>
      <c r="B102" s="192" t="s">
        <v>1224</v>
      </c>
      <c r="C102" s="191" t="s">
        <v>1224</v>
      </c>
      <c r="D102" s="192" t="s">
        <v>1224</v>
      </c>
      <c r="E102" s="191" t="s">
        <v>1224</v>
      </c>
      <c r="F102" s="191" t="s">
        <v>1224</v>
      </c>
      <c r="G102" s="191" t="s">
        <v>1224</v>
      </c>
      <c r="H102" s="191" t="s">
        <v>1224</v>
      </c>
      <c r="I102" s="191" t="s">
        <v>1224</v>
      </c>
      <c r="K102" s="191" t="s">
        <v>1224</v>
      </c>
      <c r="L102" s="192" t="s">
        <v>1224</v>
      </c>
      <c r="M102" s="188" t="s">
        <v>1224</v>
      </c>
      <c r="N102" s="190" t="s">
        <v>1224</v>
      </c>
      <c r="O102" s="188" t="s">
        <v>1224</v>
      </c>
      <c r="P102" s="182"/>
      <c r="Q102" s="191" t="s">
        <v>1224</v>
      </c>
      <c r="R102" s="192" t="s">
        <v>1224</v>
      </c>
      <c r="S102" s="188" t="s">
        <v>1224</v>
      </c>
      <c r="T102" s="190" t="s">
        <v>1224</v>
      </c>
      <c r="U102" s="188" t="s">
        <v>1224</v>
      </c>
      <c r="V102" s="182"/>
      <c r="W102" s="191" t="s">
        <v>1224</v>
      </c>
      <c r="X102" s="192" t="s">
        <v>1224</v>
      </c>
      <c r="Y102" s="191" t="s">
        <v>1224</v>
      </c>
      <c r="Z102" s="190" t="s">
        <v>1224</v>
      </c>
      <c r="AA102" s="188" t="s">
        <v>1224</v>
      </c>
    </row>
    <row r="103" spans="1:27" x14ac:dyDescent="0.3">
      <c r="A103" s="189" t="s">
        <v>1710</v>
      </c>
      <c r="B103" s="185">
        <v>2083410.76</v>
      </c>
      <c r="C103" s="185">
        <v>13.314889126591659</v>
      </c>
      <c r="D103" s="185">
        <v>2097712.58</v>
      </c>
      <c r="E103" s="185">
        <v>13.549198845366123</v>
      </c>
      <c r="F103" s="185">
        <v>2322379</v>
      </c>
      <c r="G103" s="185">
        <v>19.34451636409284</v>
      </c>
      <c r="H103" s="185">
        <v>6503502.3399999999</v>
      </c>
      <c r="I103" s="185">
        <v>15.077167407214393</v>
      </c>
      <c r="K103" s="189" t="s">
        <v>1710</v>
      </c>
      <c r="L103" s="185">
        <v>2083410.76</v>
      </c>
      <c r="M103" s="188">
        <v>13.314889126591659</v>
      </c>
      <c r="N103" s="185">
        <v>2083410.76</v>
      </c>
      <c r="O103" s="188">
        <v>13.314889126591659</v>
      </c>
      <c r="P103" s="182"/>
      <c r="Q103" s="189" t="s">
        <v>1710</v>
      </c>
      <c r="R103" s="185">
        <v>2097712.58</v>
      </c>
      <c r="S103" s="188">
        <v>13.549198845366123</v>
      </c>
      <c r="T103" s="185">
        <v>4181123.34</v>
      </c>
      <c r="U103" s="188">
        <v>13.431422874033599</v>
      </c>
      <c r="V103" s="182"/>
      <c r="W103" s="189" t="s">
        <v>1710</v>
      </c>
      <c r="X103" s="185">
        <v>2322379</v>
      </c>
      <c r="Y103" s="188">
        <v>19.34451636409284</v>
      </c>
      <c r="Z103" s="185">
        <v>6503502.3399999999</v>
      </c>
      <c r="AA103" s="188">
        <v>15.077167407214393</v>
      </c>
    </row>
    <row r="104" spans="1:27" x14ac:dyDescent="0.3">
      <c r="A104" s="189" t="s">
        <v>1709</v>
      </c>
      <c r="B104" s="185">
        <v>873622.03</v>
      </c>
      <c r="C104" s="185">
        <v>5.583239124673586</v>
      </c>
      <c r="D104" s="185">
        <v>202732.55</v>
      </c>
      <c r="E104" s="185">
        <v>1.3094566236419909</v>
      </c>
      <c r="F104" s="185">
        <v>183625.93</v>
      </c>
      <c r="G104" s="185">
        <v>1.5295327798592591</v>
      </c>
      <c r="H104" s="185">
        <v>1259980.51</v>
      </c>
      <c r="I104" s="185">
        <v>2.9210317896337328</v>
      </c>
      <c r="K104" s="189" t="s">
        <v>1709</v>
      </c>
      <c r="L104" s="185">
        <v>873622.03</v>
      </c>
      <c r="M104" s="188">
        <v>5.583239124673586</v>
      </c>
      <c r="N104" s="185">
        <v>873622.03</v>
      </c>
      <c r="O104" s="188">
        <v>5.583239124673586</v>
      </c>
      <c r="P104" s="182"/>
      <c r="Q104" s="189" t="s">
        <v>1709</v>
      </c>
      <c r="R104" s="185">
        <v>202732.55</v>
      </c>
      <c r="S104" s="188">
        <v>1.3094566236419909</v>
      </c>
      <c r="T104" s="185">
        <v>1076354.58</v>
      </c>
      <c r="U104" s="188">
        <v>3.4576768850791249</v>
      </c>
      <c r="V104" s="182"/>
      <c r="W104" s="189" t="s">
        <v>1709</v>
      </c>
      <c r="X104" s="185">
        <v>183625.93</v>
      </c>
      <c r="Y104" s="188">
        <v>1.5295327798592591</v>
      </c>
      <c r="Z104" s="185">
        <v>1259980.51</v>
      </c>
      <c r="AA104" s="188">
        <v>2.9210317896337328</v>
      </c>
    </row>
    <row r="105" spans="1:27" x14ac:dyDescent="0.3">
      <c r="B105" s="183">
        <f>SUM(B103:B104)</f>
        <v>2957032.79</v>
      </c>
      <c r="D105" s="183">
        <f>SUM(D103:D104)</f>
        <v>2300445.13</v>
      </c>
      <c r="F105" s="183">
        <f>SUM(F103:F104)</f>
        <v>2506004.9300000002</v>
      </c>
      <c r="H105" s="183">
        <f>SUM(H103:H104)</f>
        <v>7763482.8499999996</v>
      </c>
      <c r="L105" s="183"/>
      <c r="M105" s="187"/>
      <c r="N105" s="183"/>
      <c r="O105" s="187"/>
      <c r="P105" s="182"/>
      <c r="R105" s="183"/>
      <c r="T105" s="183"/>
      <c r="U105" s="187"/>
      <c r="V105" s="182"/>
      <c r="X105" s="183"/>
      <c r="Z105" s="183"/>
      <c r="AA105" s="187"/>
    </row>
    <row r="106" spans="1:27" x14ac:dyDescent="0.3">
      <c r="D106" s="183"/>
      <c r="L106" s="183"/>
      <c r="N106" s="183"/>
      <c r="P106" s="182"/>
      <c r="R106" s="183"/>
      <c r="T106" s="183"/>
      <c r="V106" s="182"/>
      <c r="X106" s="185"/>
      <c r="Z106" s="183"/>
    </row>
    <row r="107" spans="1:27" x14ac:dyDescent="0.3">
      <c r="A107" s="186" t="s">
        <v>1708</v>
      </c>
      <c r="B107" s="185">
        <v>-1189198.6999999997</v>
      </c>
      <c r="C107" s="184">
        <v>-7.6000609884471046</v>
      </c>
      <c r="D107" s="185">
        <v>-593021.86999999988</v>
      </c>
      <c r="E107" s="184">
        <v>-3.8303489776854245</v>
      </c>
      <c r="F107" s="185">
        <v>-1900660.2300000002</v>
      </c>
      <c r="G107" s="184">
        <v>-15.831762568390204</v>
      </c>
      <c r="H107" s="185">
        <v>-3682880.8000000007</v>
      </c>
      <c r="I107" s="185">
        <v>-8.5380780169621104</v>
      </c>
      <c r="K107" s="186" t="s">
        <v>1708</v>
      </c>
      <c r="L107" s="185">
        <v>-1189198.6999999997</v>
      </c>
      <c r="M107" s="184">
        <v>-7.6000609884471046</v>
      </c>
      <c r="N107" s="185">
        <v>-1189198.6999999997</v>
      </c>
      <c r="O107" s="184">
        <v>29.665703263723923</v>
      </c>
      <c r="P107" s="182"/>
      <c r="Q107" s="186" t="s">
        <v>1708</v>
      </c>
      <c r="R107" s="185">
        <v>-593021.86999999988</v>
      </c>
      <c r="S107" s="184">
        <v>-3.8303489776854245</v>
      </c>
      <c r="T107" s="185">
        <v>-1782220.5699999998</v>
      </c>
      <c r="U107" s="184">
        <v>-5.7251977958801819</v>
      </c>
      <c r="V107" s="182"/>
      <c r="W107" s="186" t="s">
        <v>1708</v>
      </c>
      <c r="X107" s="185">
        <v>-1900660.2300000002</v>
      </c>
      <c r="Y107" s="184">
        <v>-15.831762568390204</v>
      </c>
      <c r="Z107" s="185">
        <v>-3682880.8000000007</v>
      </c>
      <c r="AA107" s="184">
        <v>-8.5380780169621104</v>
      </c>
    </row>
    <row r="108" spans="1:27" x14ac:dyDescent="0.3">
      <c r="D108" s="183"/>
      <c r="L108" s="183"/>
      <c r="N108" s="183"/>
      <c r="P108" s="182"/>
      <c r="R108" s="183"/>
      <c r="T108" s="183"/>
      <c r="V108" s="182"/>
      <c r="X108" s="183"/>
      <c r="Z108" s="183"/>
    </row>
    <row r="109" spans="1:27" x14ac:dyDescent="0.3">
      <c r="D109" s="183"/>
      <c r="L109" s="183"/>
      <c r="N109" s="183"/>
      <c r="P109" s="182"/>
      <c r="R109" s="183"/>
      <c r="T109" s="183"/>
      <c r="V109" s="182"/>
      <c r="X109" s="183"/>
      <c r="Z109" s="183"/>
    </row>
    <row r="110" spans="1:27" x14ac:dyDescent="0.3">
      <c r="D110" s="183"/>
      <c r="L110" s="183"/>
      <c r="N110" s="183"/>
      <c r="P110" s="182"/>
      <c r="R110" s="183"/>
      <c r="T110" s="183"/>
      <c r="V110" s="182"/>
      <c r="X110" s="183"/>
      <c r="Z110" s="183"/>
    </row>
    <row r="111" spans="1:27" x14ac:dyDescent="0.3">
      <c r="D111" s="183"/>
    </row>
    <row r="112" spans="1:27" x14ac:dyDescent="0.3">
      <c r="D112" s="183"/>
    </row>
  </sheetData>
  <mergeCells count="12">
    <mergeCell ref="K3:O3"/>
    <mergeCell ref="Q3:U3"/>
    <mergeCell ref="W3:AA3"/>
    <mergeCell ref="A3:C3"/>
    <mergeCell ref="A1:I1"/>
    <mergeCell ref="A2:I2"/>
    <mergeCell ref="K1:O1"/>
    <mergeCell ref="Q1:U1"/>
    <mergeCell ref="W1:AA1"/>
    <mergeCell ref="K2:O2"/>
    <mergeCell ref="Q2:U2"/>
    <mergeCell ref="W2:AA2"/>
  </mergeCells>
  <pageMargins left="0.7" right="0.7" top="0.75" bottom="0.75" header="0.3" footer="0.3"/>
  <headerFooter>
    <oddHeader>&amp;R&amp;"Calibri"&amp;10&amp;K000000 Confidencial&amp;1#_x000D_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F0E8-EE5E-4655-84A3-500D954AF41A}">
  <sheetPr>
    <tabColor rgb="FF0066FF"/>
  </sheetPr>
  <dimension ref="B2:BC67"/>
  <sheetViews>
    <sheetView showGridLines="0" zoomScale="85" zoomScaleNormal="60" workbookViewId="0">
      <pane xSplit="3" ySplit="15" topLeftCell="D41" activePane="bottomRight" state="frozen"/>
      <selection pane="topRight" activeCell="D1" sqref="D1"/>
      <selection pane="bottomLeft" activeCell="A16" sqref="A16"/>
      <selection pane="bottomRight" activeCell="E45" sqref="E45"/>
    </sheetView>
  </sheetViews>
  <sheetFormatPr baseColWidth="10" defaultColWidth="8.88671875" defaultRowHeight="14.4" x14ac:dyDescent="0.3"/>
  <cols>
    <col min="3" max="3" width="46" bestFit="1" customWidth="1"/>
    <col min="4" max="4" width="12" bestFit="1" customWidth="1"/>
    <col min="5" max="5" width="14.6640625" bestFit="1" customWidth="1"/>
    <col min="6" max="6" width="15.77734375" bestFit="1" customWidth="1"/>
    <col min="7" max="9" width="16.109375" bestFit="1" customWidth="1"/>
    <col min="10" max="11" width="17.109375" bestFit="1" customWidth="1"/>
    <col min="12" max="12" width="16.33203125" bestFit="1" customWidth="1"/>
    <col min="13" max="13" width="16.77734375" bestFit="1" customWidth="1"/>
    <col min="14" max="14" width="17.6640625" bestFit="1" customWidth="1"/>
    <col min="15" max="16" width="17.109375" bestFit="1" customWidth="1"/>
    <col min="17" max="17" width="16.77734375" bestFit="1" customWidth="1"/>
    <col min="18" max="19" width="17.6640625" bestFit="1" customWidth="1"/>
    <col min="20" max="21" width="17.109375" bestFit="1" customWidth="1"/>
    <col min="22" max="25" width="17.6640625" bestFit="1" customWidth="1"/>
    <col min="26" max="26" width="17.109375" bestFit="1" customWidth="1"/>
    <col min="27" max="28" width="17.6640625" bestFit="1" customWidth="1"/>
    <col min="29" max="29" width="17.109375" bestFit="1" customWidth="1"/>
    <col min="30" max="30" width="16.77734375" bestFit="1" customWidth="1"/>
    <col min="31" max="32" width="17.6640625" bestFit="1" customWidth="1"/>
    <col min="33" max="35" width="18.44140625" bestFit="1" customWidth="1"/>
    <col min="36" max="37" width="17.44140625" bestFit="1" customWidth="1"/>
  </cols>
  <sheetData>
    <row r="2" spans="2:55" x14ac:dyDescent="0.3">
      <c r="C2" s="5" t="s">
        <v>932</v>
      </c>
      <c r="D2" s="284">
        <v>65000000</v>
      </c>
    </row>
    <row r="3" spans="2:55" x14ac:dyDescent="0.3">
      <c r="C3" s="5" t="s">
        <v>1859</v>
      </c>
      <c r="D3" s="226">
        <v>0.13500000000000001</v>
      </c>
    </row>
    <row r="4" spans="2:55" x14ac:dyDescent="0.3">
      <c r="C4" s="4" t="s">
        <v>1860</v>
      </c>
      <c r="D4" s="285"/>
    </row>
    <row r="5" spans="2:55" x14ac:dyDescent="0.3">
      <c r="C5" s="5" t="s">
        <v>1704</v>
      </c>
      <c r="D5" s="284">
        <f>D2*0.3</f>
        <v>19500000</v>
      </c>
    </row>
    <row r="6" spans="2:55" x14ac:dyDescent="0.3">
      <c r="C6" s="5" t="s">
        <v>1850</v>
      </c>
      <c r="D6" s="284">
        <f>D2*0.7</f>
        <v>45500000</v>
      </c>
    </row>
    <row r="10" spans="2:55" x14ac:dyDescent="0.3">
      <c r="C10" s="59"/>
      <c r="D10" s="59">
        <v>6</v>
      </c>
      <c r="E10" s="59">
        <v>7</v>
      </c>
      <c r="F10" s="59">
        <v>8</v>
      </c>
      <c r="G10" s="59">
        <v>9</v>
      </c>
      <c r="H10" s="59">
        <v>10</v>
      </c>
      <c r="I10" s="59">
        <v>11</v>
      </c>
      <c r="J10" s="59">
        <v>12</v>
      </c>
      <c r="K10" s="303">
        <v>2025</v>
      </c>
      <c r="L10" s="59">
        <v>1</v>
      </c>
      <c r="M10" s="59">
        <v>2</v>
      </c>
      <c r="N10" s="59">
        <v>3</v>
      </c>
      <c r="O10" s="59">
        <v>4</v>
      </c>
      <c r="P10" s="59">
        <v>5</v>
      </c>
      <c r="Q10" s="59">
        <v>6</v>
      </c>
      <c r="R10" s="59">
        <v>7</v>
      </c>
      <c r="S10" s="59">
        <v>8</v>
      </c>
      <c r="T10" s="59">
        <v>9</v>
      </c>
      <c r="U10" s="59">
        <v>10</v>
      </c>
      <c r="V10" s="59">
        <v>11</v>
      </c>
      <c r="W10" s="59">
        <v>12</v>
      </c>
      <c r="X10" s="303">
        <v>2026</v>
      </c>
      <c r="Y10" s="59">
        <v>1</v>
      </c>
      <c r="Z10" s="59">
        <v>2</v>
      </c>
      <c r="AA10" s="59">
        <v>3</v>
      </c>
      <c r="AB10" s="59">
        <v>4</v>
      </c>
      <c r="AC10" s="59">
        <v>5</v>
      </c>
      <c r="AD10" s="59">
        <v>6</v>
      </c>
      <c r="AE10" s="59">
        <v>7</v>
      </c>
      <c r="AF10" s="59">
        <v>8</v>
      </c>
      <c r="AG10" s="59">
        <v>9</v>
      </c>
      <c r="AH10" s="59">
        <v>10</v>
      </c>
      <c r="AI10" s="59">
        <v>11</v>
      </c>
      <c r="AJ10" s="59">
        <v>12</v>
      </c>
      <c r="AK10" s="303">
        <v>2027</v>
      </c>
    </row>
    <row r="11" spans="2:55" hidden="1" x14ac:dyDescent="0.3">
      <c r="B11" t="s">
        <v>1005</v>
      </c>
      <c r="C11" s="182" t="s">
        <v>1861</v>
      </c>
      <c r="D11" s="2">
        <f>'[1]Interest Ex Comp'!C6</f>
        <v>26325913.43</v>
      </c>
      <c r="K11" s="298"/>
      <c r="X11" s="298"/>
      <c r="AK11" s="298"/>
    </row>
    <row r="12" spans="2:55" hidden="1" x14ac:dyDescent="0.3">
      <c r="B12" t="s">
        <v>1005</v>
      </c>
      <c r="C12" s="182" t="s">
        <v>1862</v>
      </c>
      <c r="D12" s="2">
        <f>3621046.2-2000000+564540.69-265771.23</f>
        <v>1919815.6600000001</v>
      </c>
      <c r="E12" s="2">
        <f>9279261.66+2223775.68</f>
        <v>11503037.34</v>
      </c>
      <c r="F12" s="2">
        <f>8584220.4+2111385.96</f>
        <v>10695606.359999999</v>
      </c>
      <c r="G12" s="2">
        <f>1040155.47+832701.4</f>
        <v>1872856.87</v>
      </c>
      <c r="K12" s="298"/>
      <c r="M12" s="2"/>
      <c r="X12" s="298"/>
      <c r="AK12" s="298"/>
    </row>
    <row r="13" spans="2:55" hidden="1" x14ac:dyDescent="0.3">
      <c r="B13" t="s">
        <v>1005</v>
      </c>
      <c r="C13" s="182" t="s">
        <v>1863</v>
      </c>
      <c r="D13" s="2">
        <f>8869900-400000</f>
        <v>8469900</v>
      </c>
      <c r="E13" s="2">
        <f>10937625+3000000</f>
        <v>13937625</v>
      </c>
      <c r="F13" s="2">
        <f>7452000+3000000</f>
        <v>10452000</v>
      </c>
      <c r="G13" s="2">
        <f>5490600+3000000</f>
        <v>8490600</v>
      </c>
      <c r="H13" s="2">
        <v>3615100</v>
      </c>
      <c r="I13" s="2">
        <v>6540100</v>
      </c>
      <c r="J13" s="2">
        <v>4591100</v>
      </c>
      <c r="K13" s="304"/>
      <c r="X13" s="304"/>
      <c r="AK13" s="304"/>
    </row>
    <row r="14" spans="2:55" hidden="1" x14ac:dyDescent="0.3">
      <c r="B14" t="s">
        <v>1005</v>
      </c>
      <c r="C14" s="182" t="s">
        <v>1864</v>
      </c>
      <c r="D14" s="2"/>
      <c r="E14" s="2"/>
      <c r="F14" s="2"/>
      <c r="G14" s="2">
        <f>(D13+E13)/2</f>
        <v>11203762.5</v>
      </c>
      <c r="H14" s="2">
        <f>(E13+F13)/2</f>
        <v>12194812.5</v>
      </c>
      <c r="I14" s="2">
        <f>(F13+G13)/2</f>
        <v>9471300</v>
      </c>
      <c r="J14" s="2">
        <f>(G13+H13)/2</f>
        <v>6052850</v>
      </c>
      <c r="K14" s="304"/>
      <c r="X14" s="304"/>
      <c r="AD14" s="286"/>
      <c r="AE14" s="286"/>
      <c r="AF14" s="286"/>
      <c r="AG14" s="286"/>
      <c r="AH14" s="286"/>
      <c r="AI14" s="286"/>
      <c r="AJ14" s="286"/>
      <c r="AK14" s="304"/>
      <c r="AL14" s="286"/>
      <c r="AM14" s="286"/>
      <c r="AN14" s="286"/>
      <c r="AO14" s="286"/>
      <c r="AP14" s="286"/>
      <c r="AQ14" s="286"/>
      <c r="AR14" s="286"/>
      <c r="AS14" s="286"/>
      <c r="AT14" s="286"/>
      <c r="AU14" s="286"/>
      <c r="AV14" s="286"/>
      <c r="AW14" s="286"/>
      <c r="AX14" s="286"/>
      <c r="AY14" s="286"/>
      <c r="AZ14" s="286"/>
      <c r="BA14" s="286"/>
      <c r="BB14" s="286"/>
      <c r="BC14" s="286"/>
    </row>
    <row r="15" spans="2:55" hidden="1" x14ac:dyDescent="0.3">
      <c r="C15" s="182"/>
      <c r="D15" s="2"/>
      <c r="E15" s="2"/>
      <c r="F15" s="2"/>
      <c r="G15" s="2"/>
      <c r="H15" s="2"/>
      <c r="I15" s="2"/>
      <c r="J15" s="2"/>
      <c r="K15" s="304"/>
      <c r="X15" s="304"/>
      <c r="AD15" s="286"/>
      <c r="AE15" s="286"/>
      <c r="AF15" s="286"/>
      <c r="AG15" s="286"/>
      <c r="AH15" s="286"/>
      <c r="AI15" s="286"/>
      <c r="AJ15" s="286"/>
      <c r="AK15" s="304"/>
      <c r="AL15" s="286"/>
      <c r="AM15" s="286"/>
      <c r="AN15" s="286"/>
      <c r="AO15" s="286"/>
      <c r="AP15" s="286"/>
      <c r="AQ15" s="286"/>
      <c r="AR15" s="286"/>
      <c r="AS15" s="286"/>
      <c r="AT15" s="286"/>
      <c r="AU15" s="286"/>
      <c r="AV15" s="286"/>
      <c r="AW15" s="286"/>
      <c r="AX15" s="286"/>
      <c r="AY15" s="286"/>
      <c r="AZ15" s="286"/>
      <c r="BA15" s="286"/>
      <c r="BB15" s="286"/>
      <c r="BC15" s="286"/>
    </row>
    <row r="16" spans="2:55" x14ac:dyDescent="0.3">
      <c r="C16" s="317" t="s">
        <v>1890</v>
      </c>
      <c r="D16" s="2"/>
      <c r="E16" s="2"/>
      <c r="F16" s="2"/>
      <c r="G16" s="2"/>
      <c r="H16" s="2"/>
      <c r="I16" s="2"/>
      <c r="J16" s="2"/>
      <c r="K16" s="304"/>
      <c r="X16" s="304"/>
      <c r="AD16" s="286"/>
      <c r="AE16" s="286"/>
      <c r="AF16" s="286"/>
      <c r="AG16" s="286"/>
      <c r="AH16" s="286"/>
      <c r="AI16" s="286"/>
      <c r="AJ16" s="286"/>
      <c r="AK16" s="304"/>
      <c r="AL16" s="286"/>
      <c r="AM16" s="286"/>
      <c r="AN16" s="286"/>
      <c r="AO16" s="286"/>
      <c r="AP16" s="286"/>
      <c r="AQ16" s="286"/>
      <c r="AR16" s="286"/>
      <c r="AS16" s="286"/>
      <c r="AT16" s="286"/>
      <c r="AU16" s="286"/>
      <c r="AV16" s="286"/>
      <c r="AW16" s="286"/>
      <c r="AX16" s="286"/>
      <c r="AY16" s="286"/>
      <c r="AZ16" s="286"/>
      <c r="BA16" s="286"/>
      <c r="BB16" s="286"/>
      <c r="BC16" s="286"/>
    </row>
    <row r="17" spans="2:37" x14ac:dyDescent="0.3">
      <c r="C17" t="s">
        <v>1865</v>
      </c>
      <c r="D17" s="209">
        <f>'Cashflow (ROLLING) CAP'!G25</f>
        <v>-1272887.1107211802</v>
      </c>
      <c r="E17" s="209">
        <f>'Cashflow (ROLLING) CAP'!H25</f>
        <v>-58721.610721174628</v>
      </c>
      <c r="F17" s="209">
        <f ca="1">'Cashflow (ROLLING) CAP'!I25</f>
        <v>3028285.660067223</v>
      </c>
      <c r="G17" s="209">
        <f ca="1">'Cashflow (ROLLING) CAP'!J25</f>
        <v>1986246.5154974908</v>
      </c>
      <c r="H17" s="209">
        <f ca="1">'Cashflow (ROLLING) CAP'!K25</f>
        <v>4019526.4211920388</v>
      </c>
      <c r="I17" s="209">
        <f ca="1">'Cashflow (ROLLING) CAP'!L25</f>
        <v>5088108.9000759162</v>
      </c>
      <c r="J17" s="209">
        <f ca="1">'Cashflow (ROLLING) CAP'!M25</f>
        <v>3904674.7611571252</v>
      </c>
      <c r="K17" s="314">
        <f ca="1">SUM(D17:J17)</f>
        <v>16695233.536547439</v>
      </c>
      <c r="L17" s="313">
        <f ca="1">'Cashflow (ROLLING) CAP'!O25</f>
        <v>3109617.4793549515</v>
      </c>
      <c r="M17" s="313">
        <f ca="1">'Cashflow (ROLLING) CAP'!P25</f>
        <v>2190048.1531480737</v>
      </c>
      <c r="N17" s="313">
        <f ca="1">'Cashflow (ROLLING) CAP'!L25</f>
        <v>5088108.9000759162</v>
      </c>
      <c r="O17" s="313">
        <f>'Cashflow (ROLLING) CAP'!R25</f>
        <v>4468012.060418196</v>
      </c>
      <c r="P17" s="313">
        <f>'Cashflow (ROLLING) CAP'!S25</f>
        <v>2174583.7002931908</v>
      </c>
      <c r="Q17" s="313">
        <f>'Cashflow (ROLLING) CAP'!T25</f>
        <v>-241120.18806162849</v>
      </c>
      <c r="R17" s="313">
        <f>'Cashflow (ROLLING) CAP'!U25</f>
        <v>3306471.4726008661</v>
      </c>
      <c r="S17" s="313">
        <f ca="1">'Cashflow (ROLLING) CAP'!V25</f>
        <v>4979840.5929817297</v>
      </c>
      <c r="T17" s="313">
        <f ca="1">'Cashflow (ROLLING) CAP'!W25</f>
        <v>2864018.6501711085</v>
      </c>
      <c r="U17" s="313">
        <f ca="1">'Cashflow (ROLLING) CAP'!X25</f>
        <v>6295349.519064825</v>
      </c>
      <c r="V17" s="313">
        <f ca="1">'Cashflow (ROLLING) CAP'!Y25</f>
        <v>7627057.6297707558</v>
      </c>
      <c r="W17" s="313">
        <f ca="1">'Cashflow (ROLLING) CAP'!Z25</f>
        <v>6268728.4028006345</v>
      </c>
      <c r="X17" s="314">
        <f ca="1">SUM(L17:W17)</f>
        <v>48130716.372618616</v>
      </c>
      <c r="Y17" s="313">
        <f ca="1">'Cashflow (ROLLING) CAP'!AB25</f>
        <v>5389307.6651852988</v>
      </c>
      <c r="Z17" s="313">
        <f ca="1">'Cashflow (ROLLING) CAP'!AC25</f>
        <v>4243540.9925854504</v>
      </c>
      <c r="AA17" s="313">
        <f>'Cashflow (ROLLING) CAP'!AD25</f>
        <v>6253589.0503829718</v>
      </c>
      <c r="AB17" s="313">
        <f>'Cashflow (ROLLING) CAP'!AE25</f>
        <v>7205504.2056588605</v>
      </c>
      <c r="AC17" s="313">
        <f>'Cashflow (ROLLING) CAP'!AF25</f>
        <v>4311318.1561886035</v>
      </c>
      <c r="AD17" s="313">
        <f>'Cashflow (ROLLING) CAP'!AG25</f>
        <v>1247348.4375091046</v>
      </c>
      <c r="AE17" s="313">
        <f>'Cashflow (ROLLING) CAP'!AH25</f>
        <v>5229713.4458899871</v>
      </c>
      <c r="AF17" s="313">
        <f ca="1">'Cashflow (ROLLING) CAP'!AI25</f>
        <v>7465391.6675737239</v>
      </c>
      <c r="AG17" s="313">
        <f ca="1">'Cashflow (ROLLING) CAP'!AJ25</f>
        <v>4894626.3663686663</v>
      </c>
      <c r="AH17" s="313">
        <f ca="1">'Cashflow (ROLLING) CAP'!AK25</f>
        <v>8917392.7990147509</v>
      </c>
      <c r="AI17" s="313">
        <f ca="1">'Cashflow (ROLLING) CAP'!AL25</f>
        <v>10582844.787072465</v>
      </c>
      <c r="AJ17" s="313">
        <f ca="1">'Cashflow (ROLLING) CAP'!AM25</f>
        <v>8948999.5421865545</v>
      </c>
      <c r="AK17" s="314">
        <f ca="1">SUM(Y17:AJ17)</f>
        <v>74689577.115616441</v>
      </c>
    </row>
    <row r="18" spans="2:37" x14ac:dyDescent="0.3">
      <c r="B18" t="s">
        <v>1704</v>
      </c>
      <c r="C18" s="182" t="s">
        <v>1866</v>
      </c>
      <c r="D18" s="2"/>
      <c r="E18" s="2">
        <v>7308875.2000000011</v>
      </c>
      <c r="F18" s="2">
        <v>6103092.9999999991</v>
      </c>
      <c r="G18" s="2">
        <v>1517615.3999999985</v>
      </c>
      <c r="H18" s="2">
        <v>0</v>
      </c>
      <c r="I18" s="2">
        <v>0</v>
      </c>
      <c r="J18" s="2">
        <v>0</v>
      </c>
      <c r="K18" s="304"/>
      <c r="X18" s="304"/>
      <c r="AK18" s="304"/>
    </row>
    <row r="19" spans="2:37" x14ac:dyDescent="0.3">
      <c r="B19" t="s">
        <v>1704</v>
      </c>
      <c r="C19" t="s">
        <v>1885</v>
      </c>
      <c r="E19" s="2">
        <f>(D18*0.4)*(100/30)</f>
        <v>0</v>
      </c>
      <c r="F19" s="2">
        <f>(E18*0.4)</f>
        <v>2923550.0800000005</v>
      </c>
      <c r="G19" s="2">
        <f>(F18*0.4)</f>
        <v>2441237.1999999997</v>
      </c>
      <c r="H19" s="2">
        <f>(G18*0.4)</f>
        <v>607046.15999999945</v>
      </c>
      <c r="I19" s="2">
        <f>(H18*0.4)*(100/30)</f>
        <v>0</v>
      </c>
      <c r="J19" s="2">
        <f>(J18*0.4)*(100/30)</f>
        <v>0</v>
      </c>
      <c r="K19" s="314">
        <f>SUM(D19:J19)</f>
        <v>5971833.4399999995</v>
      </c>
      <c r="X19" s="304"/>
      <c r="AK19" s="304"/>
    </row>
    <row r="20" spans="2:37" s="4" customFormat="1" x14ac:dyDescent="0.3">
      <c r="C20" s="317" t="s">
        <v>1896</v>
      </c>
      <c r="D20" s="150">
        <f>D17-D19</f>
        <v>-1272887.1107211802</v>
      </c>
      <c r="E20" s="150">
        <f t="shared" ref="E20:J20" si="0">E17-E19</f>
        <v>-58721.610721174628</v>
      </c>
      <c r="F20" s="150">
        <f t="shared" ca="1" si="0"/>
        <v>104735.58006722247</v>
      </c>
      <c r="G20" s="150">
        <f t="shared" ca="1" si="0"/>
        <v>-454990.68450250896</v>
      </c>
      <c r="H20" s="150">
        <f t="shared" ca="1" si="0"/>
        <v>3412480.2611920396</v>
      </c>
      <c r="I20" s="150">
        <f t="shared" ca="1" si="0"/>
        <v>5088108.9000759162</v>
      </c>
      <c r="J20" s="150">
        <f t="shared" ca="1" si="0"/>
        <v>3904674.7611571252</v>
      </c>
      <c r="K20" s="315">
        <f ca="1">SUM(D20:J20)</f>
        <v>10723400.09654744</v>
      </c>
      <c r="L20" s="150">
        <f t="shared" ref="L20:W20" ca="1" si="1">L17-L19</f>
        <v>3109617.4793549515</v>
      </c>
      <c r="M20" s="150">
        <f t="shared" ca="1" si="1"/>
        <v>2190048.1531480737</v>
      </c>
      <c r="N20" s="150">
        <f t="shared" ca="1" si="1"/>
        <v>5088108.9000759162</v>
      </c>
      <c r="O20" s="150">
        <f t="shared" si="1"/>
        <v>4468012.060418196</v>
      </c>
      <c r="P20" s="150">
        <f t="shared" si="1"/>
        <v>2174583.7002931908</v>
      </c>
      <c r="Q20" s="150">
        <f t="shared" si="1"/>
        <v>-241120.18806162849</v>
      </c>
      <c r="R20" s="150">
        <f t="shared" si="1"/>
        <v>3306471.4726008661</v>
      </c>
      <c r="S20" s="150">
        <f t="shared" ca="1" si="1"/>
        <v>4979840.5929817297</v>
      </c>
      <c r="T20" s="150">
        <f t="shared" ca="1" si="1"/>
        <v>2864018.6501711085</v>
      </c>
      <c r="U20" s="150">
        <f t="shared" ca="1" si="1"/>
        <v>6295349.519064825</v>
      </c>
      <c r="V20" s="150">
        <f t="shared" ca="1" si="1"/>
        <v>7627057.6297707558</v>
      </c>
      <c r="W20" s="150">
        <f t="shared" ca="1" si="1"/>
        <v>6268728.4028006345</v>
      </c>
      <c r="X20" s="318"/>
      <c r="Y20" s="150">
        <f t="shared" ref="Y20:AJ20" ca="1" si="2">Y17-Y19</f>
        <v>5389307.6651852988</v>
      </c>
      <c r="Z20" s="150">
        <f t="shared" ca="1" si="2"/>
        <v>4243540.9925854504</v>
      </c>
      <c r="AA20" s="150">
        <f t="shared" si="2"/>
        <v>6253589.0503829718</v>
      </c>
      <c r="AB20" s="150">
        <f t="shared" si="2"/>
        <v>7205504.2056588605</v>
      </c>
      <c r="AC20" s="150">
        <f t="shared" si="2"/>
        <v>4311318.1561886035</v>
      </c>
      <c r="AD20" s="150">
        <f t="shared" si="2"/>
        <v>1247348.4375091046</v>
      </c>
      <c r="AE20" s="150">
        <f t="shared" si="2"/>
        <v>5229713.4458899871</v>
      </c>
      <c r="AF20" s="150">
        <f t="shared" ca="1" si="2"/>
        <v>7465391.6675737239</v>
      </c>
      <c r="AG20" s="150">
        <f t="shared" ca="1" si="2"/>
        <v>4894626.3663686663</v>
      </c>
      <c r="AH20" s="150">
        <f t="shared" ca="1" si="2"/>
        <v>8917392.7990147509</v>
      </c>
      <c r="AI20" s="150">
        <f t="shared" ca="1" si="2"/>
        <v>10582844.787072465</v>
      </c>
      <c r="AJ20" s="150">
        <f t="shared" ca="1" si="2"/>
        <v>8948999.5421865545</v>
      </c>
      <c r="AK20" s="318"/>
    </row>
    <row r="21" spans="2:37" x14ac:dyDescent="0.3">
      <c r="D21" s="313"/>
      <c r="E21" s="313"/>
      <c r="F21" s="313"/>
      <c r="G21" s="313"/>
      <c r="H21" s="313"/>
      <c r="I21" s="313"/>
      <c r="J21" s="313"/>
      <c r="K21" s="314"/>
      <c r="L21" s="313"/>
      <c r="M21" s="313"/>
      <c r="N21" s="313"/>
      <c r="O21" s="313"/>
      <c r="P21" s="313"/>
      <c r="Q21" s="313"/>
      <c r="R21" s="313"/>
      <c r="S21" s="313"/>
      <c r="T21" s="313"/>
      <c r="U21" s="313"/>
      <c r="V21" s="313"/>
      <c r="W21" s="313"/>
      <c r="X21" s="314"/>
      <c r="Y21" s="313"/>
      <c r="Z21" s="313"/>
      <c r="AA21" s="313"/>
      <c r="AB21" s="313"/>
      <c r="AC21" s="313"/>
      <c r="AD21" s="313"/>
      <c r="AE21" s="313"/>
      <c r="AF21" s="313"/>
      <c r="AG21" s="313"/>
      <c r="AH21" s="313"/>
      <c r="AI21" s="313"/>
      <c r="AJ21" s="313"/>
      <c r="AK21" s="314"/>
    </row>
    <row r="22" spans="2:37" x14ac:dyDescent="0.3">
      <c r="C22" s="4" t="s">
        <v>1891</v>
      </c>
      <c r="D22" s="313"/>
      <c r="E22" s="313"/>
      <c r="F22" s="313"/>
      <c r="G22" s="313"/>
      <c r="H22" s="313"/>
      <c r="I22" s="313"/>
      <c r="J22" s="313"/>
      <c r="K22" s="314"/>
      <c r="L22" s="313"/>
      <c r="M22" s="313"/>
      <c r="N22" s="313"/>
      <c r="O22" s="313"/>
      <c r="P22" s="313"/>
      <c r="Q22" s="313"/>
      <c r="R22" s="313"/>
      <c r="S22" s="313"/>
      <c r="T22" s="313"/>
      <c r="U22" s="313"/>
      <c r="V22" s="313"/>
      <c r="W22" s="313"/>
      <c r="X22" s="314"/>
      <c r="Y22" s="313"/>
      <c r="Z22" s="313"/>
      <c r="AA22" s="313"/>
      <c r="AB22" s="313"/>
      <c r="AC22" s="313"/>
      <c r="AD22" s="313"/>
      <c r="AE22" s="313"/>
      <c r="AF22" s="313"/>
      <c r="AG22" s="313"/>
      <c r="AH22" s="313"/>
      <c r="AI22" s="313"/>
      <c r="AJ22" s="313"/>
      <c r="AK22" s="314"/>
    </row>
    <row r="23" spans="2:37" x14ac:dyDescent="0.3">
      <c r="C23" t="s">
        <v>1892</v>
      </c>
      <c r="D23" s="313">
        <v>1200000</v>
      </c>
      <c r="E23" s="313">
        <f>'Interest Expense'!R31</f>
        <v>860955.61069720425</v>
      </c>
      <c r="F23" s="313">
        <f>'Interest Expense'!S31</f>
        <v>1267197.2057774886</v>
      </c>
      <c r="G23" s="313">
        <f>'Interest Expense'!T31</f>
        <v>1435839.2742233332</v>
      </c>
      <c r="H23" s="313">
        <f>'Interest Expense'!U31</f>
        <v>1503784.3074408663</v>
      </c>
      <c r="I23" s="313">
        <f>'Interest Expense'!V31</f>
        <v>1497283.339934729</v>
      </c>
      <c r="J23" s="313">
        <f>'Interest Expense'!W31</f>
        <v>1490677.1576577767</v>
      </c>
      <c r="K23" s="314">
        <f>SUM(D23:J23)</f>
        <v>9255736.895731397</v>
      </c>
      <c r="L23" s="313">
        <f>'Interest Expense'!Y31</f>
        <v>1483963.3997116764</v>
      </c>
      <c r="M23" s="313">
        <f>'Interest Expense'!Z31</f>
        <v>1477139.6517664865</v>
      </c>
      <c r="N23" s="313">
        <f>'Interest Expense'!AA31</f>
        <v>1456401.361507769</v>
      </c>
      <c r="O23" s="313">
        <f>'Interest Expense'!AB31</f>
        <v>1430517.0537656141</v>
      </c>
      <c r="P23" s="313">
        <f>'Interest Expense'!AC31</f>
        <v>1409801.9860672113</v>
      </c>
      <c r="Q23" s="313">
        <f>'Interest Expense'!AD31</f>
        <v>1385909.1955772755</v>
      </c>
      <c r="R23" s="313">
        <f>'Interest Expense'!AE31</f>
        <v>1365318.4346950862</v>
      </c>
      <c r="S23" s="313">
        <f>'Interest Expense'!AF31</f>
        <v>1341888.3136444513</v>
      </c>
      <c r="T23" s="313">
        <f>'Interest Expense'!AG31</f>
        <v>1320143.2743857214</v>
      </c>
      <c r="U23" s="313">
        <f>'Interest Expense'!AH31</f>
        <v>1299614.8241818422</v>
      </c>
      <c r="V23" s="313">
        <f>'Interest Expense'!AI31</f>
        <v>1278977.2380678821</v>
      </c>
      <c r="W23" s="313">
        <f>'Interest Expense'!AJ31</f>
        <v>1258523.3962524862</v>
      </c>
      <c r="X23" s="314">
        <f>SUM(L23:W23)</f>
        <v>16508198.129623502</v>
      </c>
      <c r="Y23" s="313">
        <f>'Interest Expense'!AL31</f>
        <v>725835.34434498253</v>
      </c>
      <c r="Z23" s="313">
        <f>'Interest Expense'!AM31</f>
        <v>705709.12168226484</v>
      </c>
      <c r="AA23" s="313">
        <f>'Interest Expense'!AN31</f>
        <v>685472.38456463651</v>
      </c>
      <c r="AB23" s="313">
        <f>'Interest Expense'!AO31</f>
        <v>665122.73851224105</v>
      </c>
      <c r="AC23" s="313">
        <f>'Interest Expense'!AP31</f>
        <v>644657.73716482567</v>
      </c>
      <c r="AD23" s="313">
        <f>'Interest Expense'!AQ31</f>
        <v>624074.88115766447</v>
      </c>
      <c r="AE23" s="313">
        <f>'Interest Expense'!AR31</f>
        <v>603371.6169731298</v>
      </c>
      <c r="AF23" s="313">
        <f>'Interest Expense'!AS31</f>
        <v>582545.33576737856</v>
      </c>
      <c r="AG23" s="313">
        <f>'Interest Expense'!AT31</f>
        <v>561593.3696182844</v>
      </c>
      <c r="AH23" s="313">
        <f>'Interest Expense'!AU31</f>
        <v>541736.47269373026</v>
      </c>
      <c r="AI23" s="313">
        <f>'Interest Expense'!AV31</f>
        <v>521748.38814136648</v>
      </c>
      <c r="AJ23" s="313">
        <f>'Interest Expense'!AW31</f>
        <v>501626.27356259036</v>
      </c>
      <c r="AK23" s="314">
        <f>SUM(Y23:AJ23)</f>
        <v>7363493.664183096</v>
      </c>
    </row>
    <row r="24" spans="2:37" x14ac:dyDescent="0.3">
      <c r="C24" t="s">
        <v>1893</v>
      </c>
      <c r="D24" s="313">
        <f>'Interest Expense'!Q43</f>
        <v>1188520.6151010252</v>
      </c>
      <c r="E24" s="313">
        <f>'Interest Expense'!R43</f>
        <v>1712746.6608524243</v>
      </c>
      <c r="F24" s="313">
        <f>'Interest Expense'!S43</f>
        <v>1886689.484134635</v>
      </c>
      <c r="G24" s="313">
        <f ca="1">'Interest Expense'!T43</f>
        <v>1964133.2675805152</v>
      </c>
      <c r="H24" s="313">
        <f ca="1">'Interest Expense'!U43</f>
        <v>2029898.272327072</v>
      </c>
      <c r="I24" s="313">
        <f ca="1">'Interest Expense'!V43</f>
        <v>2004383.4721755041</v>
      </c>
      <c r="J24" s="313">
        <f ca="1">'Interest Expense'!W43</f>
        <v>2010277.289898552</v>
      </c>
      <c r="K24" s="314">
        <f ca="1">SUM(D24:J24)</f>
        <v>12796649.062069729</v>
      </c>
      <c r="L24" s="313">
        <f ca="1">'Interest Expense'!Y43</f>
        <v>2003563.5319524514</v>
      </c>
      <c r="M24" s="313">
        <f ca="1">'Interest Expense'!Z43</f>
        <v>1996739.7840072617</v>
      </c>
      <c r="N24" s="313">
        <f ca="1">'Interest Expense'!AA43</f>
        <v>1989803.5770818773</v>
      </c>
      <c r="O24" s="313">
        <f ca="1">'Interest Expense'!AB43</f>
        <v>1977721.3526730558</v>
      </c>
      <c r="P24" s="313">
        <f ca="1">'Interest Expense'!AC43</f>
        <v>1970808.3683079863</v>
      </c>
      <c r="Q24" s="313">
        <f ca="1">'Interest Expense'!AD43</f>
        <v>1960717.6611513838</v>
      </c>
      <c r="R24" s="313">
        <f ca="1">'Interest Expense'!AE43</f>
        <v>1953928.983602528</v>
      </c>
      <c r="S24" s="313">
        <f ca="1">'Interest Expense'!AF43</f>
        <v>1944300.9458852264</v>
      </c>
      <c r="T24" s="313">
        <f ca="1">'Interest Expense'!AG43</f>
        <v>1936357.9899598295</v>
      </c>
      <c r="U24" s="313">
        <f ca="1">'Interest Expense'!AH43</f>
        <v>1929631.6230892837</v>
      </c>
      <c r="V24" s="313">
        <f ca="1">'Interest Expense'!AI43</f>
        <v>1922796.1203086569</v>
      </c>
      <c r="W24" s="313">
        <f ca="1">'Interest Expense'!AJ43</f>
        <v>1916144.3618265945</v>
      </c>
      <c r="X24" s="314">
        <f ca="1">SUM(L24:W24)</f>
        <v>23502514.299846131</v>
      </c>
      <c r="Y24" s="313">
        <f ca="1">'Interest Expense'!AL43</f>
        <v>1076611.1301212432</v>
      </c>
      <c r="Z24" s="313">
        <f ca="1">'Interest Expense'!AM43</f>
        <v>1070286.9907918586</v>
      </c>
      <c r="AA24" s="313">
        <f ca="1">'Interest Expense'!AN43</f>
        <v>1063852.3370075636</v>
      </c>
      <c r="AB24" s="313">
        <f ca="1">'Interest Expense'!AO43</f>
        <v>1057304.7742885016</v>
      </c>
      <c r="AC24" s="313">
        <f ca="1">'Interest Expense'!AP43</f>
        <v>1050641.8562744195</v>
      </c>
      <c r="AD24" s="313">
        <f ca="1">'Interest Expense'!AQ43</f>
        <v>1043861.0836005916</v>
      </c>
      <c r="AE24" s="313">
        <f ca="1">'Interest Expense'!AR43</f>
        <v>1036959.9027493903</v>
      </c>
      <c r="AF24" s="313">
        <f>'Interest Expense'!AS43</f>
        <v>0</v>
      </c>
      <c r="AG24" s="313">
        <f>'Interest Expense'!AT43</f>
        <v>0</v>
      </c>
      <c r="AH24" s="313">
        <f>'Interest Expense'!AU43</f>
        <v>0</v>
      </c>
      <c r="AI24" s="313">
        <f>'Interest Expense'!AV43</f>
        <v>0</v>
      </c>
      <c r="AJ24" s="313">
        <f>'Interest Expense'!AW43</f>
        <v>0</v>
      </c>
      <c r="AK24" s="314"/>
    </row>
    <row r="25" spans="2:37" x14ac:dyDescent="0.3">
      <c r="D25" s="313"/>
      <c r="E25" s="313"/>
      <c r="F25" s="313"/>
      <c r="G25" s="313"/>
      <c r="H25" s="313"/>
      <c r="I25" s="313"/>
      <c r="J25" s="313"/>
      <c r="K25" s="314"/>
      <c r="L25" s="313"/>
      <c r="M25" s="313"/>
      <c r="N25" s="313"/>
      <c r="O25" s="313"/>
      <c r="P25" s="313"/>
      <c r="Q25" s="313"/>
      <c r="R25" s="313"/>
      <c r="S25" s="313"/>
      <c r="T25" s="313"/>
      <c r="U25" s="313"/>
      <c r="V25" s="313"/>
      <c r="W25" s="313"/>
      <c r="X25" s="314"/>
      <c r="Y25" s="313"/>
      <c r="Z25" s="313"/>
      <c r="AA25" s="313"/>
      <c r="AB25" s="313"/>
      <c r="AC25" s="313"/>
      <c r="AD25" s="313"/>
      <c r="AE25" s="313"/>
      <c r="AF25" s="313"/>
      <c r="AG25" s="313"/>
      <c r="AH25" s="313"/>
      <c r="AI25" s="313"/>
      <c r="AJ25" s="313"/>
      <c r="AK25" s="314"/>
    </row>
    <row r="26" spans="2:37" x14ac:dyDescent="0.3">
      <c r="D26" s="313"/>
      <c r="E26" s="313"/>
      <c r="F26" s="313"/>
      <c r="G26" s="313"/>
      <c r="H26" s="313"/>
      <c r="I26" s="313"/>
      <c r="J26" s="313"/>
      <c r="K26" s="314"/>
      <c r="L26" s="313"/>
      <c r="M26" s="313"/>
      <c r="N26" s="313"/>
      <c r="O26" s="313"/>
      <c r="P26" s="313"/>
      <c r="Q26" s="313"/>
      <c r="R26" s="313"/>
      <c r="S26" s="313"/>
      <c r="T26" s="313"/>
      <c r="U26" s="313"/>
      <c r="V26" s="313"/>
      <c r="W26" s="313"/>
      <c r="X26" s="314"/>
      <c r="Y26" s="313"/>
      <c r="Z26" s="313"/>
      <c r="AA26" s="313"/>
      <c r="AB26" s="313"/>
      <c r="AC26" s="313"/>
      <c r="AD26" s="313"/>
      <c r="AE26" s="313"/>
      <c r="AF26" s="313"/>
      <c r="AG26" s="313"/>
      <c r="AH26" s="313"/>
      <c r="AI26" s="313"/>
      <c r="AJ26" s="313"/>
      <c r="AK26" s="314"/>
    </row>
    <row r="27" spans="2:37" s="4" customFormat="1" x14ac:dyDescent="0.3">
      <c r="C27" s="4" t="s">
        <v>1894</v>
      </c>
      <c r="D27" s="313">
        <f t="shared" ref="D27:J27" si="3">D20-D23</f>
        <v>-2472887.1107211802</v>
      </c>
      <c r="E27" s="313">
        <f t="shared" si="3"/>
        <v>-919677.22141837887</v>
      </c>
      <c r="F27" s="313">
        <f t="shared" ca="1" si="3"/>
        <v>-1162461.6257102662</v>
      </c>
      <c r="G27" s="313">
        <f t="shared" ca="1" si="3"/>
        <v>-1890829.9587258422</v>
      </c>
      <c r="H27" s="313">
        <f t="shared" ca="1" si="3"/>
        <v>1908695.9537511733</v>
      </c>
      <c r="I27" s="313">
        <f t="shared" ca="1" si="3"/>
        <v>3590825.5601411872</v>
      </c>
      <c r="J27" s="313">
        <f t="shared" ca="1" si="3"/>
        <v>2413997.6034993483</v>
      </c>
      <c r="K27" s="315">
        <f ca="1">SUM(D27:J27)</f>
        <v>1467663.2008160418</v>
      </c>
      <c r="L27" s="313">
        <f ca="1">L20-L23</f>
        <v>1625654.0796432751</v>
      </c>
      <c r="M27" s="313">
        <f t="shared" ref="M27:V27" ca="1" si="4">M20-M23</f>
        <v>712908.50138158724</v>
      </c>
      <c r="N27" s="313">
        <f t="shared" ca="1" si="4"/>
        <v>3631707.5385681475</v>
      </c>
      <c r="O27" s="313">
        <f t="shared" si="4"/>
        <v>3037495.006652582</v>
      </c>
      <c r="P27" s="313">
        <f t="shared" si="4"/>
        <v>764781.71422597952</v>
      </c>
      <c r="Q27" s="313">
        <f t="shared" si="4"/>
        <v>-1627029.383638904</v>
      </c>
      <c r="R27" s="313">
        <f t="shared" si="4"/>
        <v>1941153.0379057799</v>
      </c>
      <c r="S27" s="313">
        <f t="shared" ca="1" si="4"/>
        <v>3637952.2793372786</v>
      </c>
      <c r="T27" s="313">
        <f t="shared" ca="1" si="4"/>
        <v>1543875.3757853871</v>
      </c>
      <c r="U27" s="313">
        <f t="shared" ca="1" si="4"/>
        <v>4995734.6948829833</v>
      </c>
      <c r="V27" s="313">
        <f t="shared" ca="1" si="4"/>
        <v>6348080.3917028736</v>
      </c>
      <c r="W27" s="313">
        <f ca="1">W20-W23</f>
        <v>5010205.0065481486</v>
      </c>
      <c r="X27" s="315">
        <f ca="1">SUM(L27:W27)</f>
        <v>31622518.242995124</v>
      </c>
      <c r="Y27" s="313">
        <f ca="1">Y20-Y23</f>
        <v>4663472.3208403159</v>
      </c>
      <c r="Z27" s="313">
        <f t="shared" ref="Z27:AJ27" ca="1" si="5">Z20-Z23</f>
        <v>3537831.8709031856</v>
      </c>
      <c r="AA27" s="313">
        <f t="shared" si="5"/>
        <v>5568116.6658183355</v>
      </c>
      <c r="AB27" s="313">
        <f t="shared" si="5"/>
        <v>6540381.4671466192</v>
      </c>
      <c r="AC27" s="313">
        <f t="shared" si="5"/>
        <v>3666660.4190237778</v>
      </c>
      <c r="AD27" s="313">
        <f t="shared" si="5"/>
        <v>623273.55635144014</v>
      </c>
      <c r="AE27" s="313">
        <f t="shared" si="5"/>
        <v>4626341.828916857</v>
      </c>
      <c r="AF27" s="313">
        <f t="shared" ca="1" si="5"/>
        <v>6882846.3318063449</v>
      </c>
      <c r="AG27" s="313">
        <f t="shared" ca="1" si="5"/>
        <v>4333032.9967503818</v>
      </c>
      <c r="AH27" s="313">
        <f t="shared" ca="1" si="5"/>
        <v>8375656.3263210207</v>
      </c>
      <c r="AI27" s="313">
        <f t="shared" ca="1" si="5"/>
        <v>10061096.398931099</v>
      </c>
      <c r="AJ27" s="313">
        <f t="shared" ca="1" si="5"/>
        <v>8447373.2686239649</v>
      </c>
      <c r="AK27" s="315">
        <f ca="1">SUM(Y27:AJ27)</f>
        <v>67326083.451433361</v>
      </c>
    </row>
    <row r="28" spans="2:37" x14ac:dyDescent="0.3">
      <c r="C28" t="s">
        <v>1880</v>
      </c>
      <c r="D28" s="150">
        <f>D27</f>
        <v>-2472887.1107211802</v>
      </c>
      <c r="E28" s="150">
        <f t="shared" ref="E28:J28" si="6">E27+D28</f>
        <v>-3392564.3321395591</v>
      </c>
      <c r="F28" s="150">
        <f t="shared" ca="1" si="6"/>
        <v>-4555025.9578498248</v>
      </c>
      <c r="G28" s="150">
        <f t="shared" ca="1" si="6"/>
        <v>-6445855.9165756665</v>
      </c>
      <c r="H28" s="150">
        <f t="shared" ca="1" si="6"/>
        <v>-4537159.9628244936</v>
      </c>
      <c r="I28" s="150">
        <f t="shared" ca="1" si="6"/>
        <v>-946334.40268330649</v>
      </c>
      <c r="J28" s="150">
        <f t="shared" ca="1" si="6"/>
        <v>1467663.2008160418</v>
      </c>
      <c r="K28" s="305">
        <f ca="1">J28</f>
        <v>1467663.2008160418</v>
      </c>
      <c r="L28" s="150">
        <f ca="1">L27+K28</f>
        <v>3093317.2804593169</v>
      </c>
      <c r="M28" s="150">
        <f t="shared" ref="M28:W28" ca="1" si="7">M27+L28</f>
        <v>3806225.7818409042</v>
      </c>
      <c r="N28" s="150">
        <f t="shared" ca="1" si="7"/>
        <v>7437933.3204090521</v>
      </c>
      <c r="O28" s="150">
        <f t="shared" ca="1" si="7"/>
        <v>10475428.327061635</v>
      </c>
      <c r="P28" s="150">
        <f t="shared" ca="1" si="7"/>
        <v>11240210.041287614</v>
      </c>
      <c r="Q28" s="150">
        <f t="shared" ca="1" si="7"/>
        <v>9613180.6576487105</v>
      </c>
      <c r="R28" s="150">
        <f t="shared" ca="1" si="7"/>
        <v>11554333.695554491</v>
      </c>
      <c r="S28" s="150">
        <f t="shared" ca="1" si="7"/>
        <v>15192285.974891771</v>
      </c>
      <c r="T28" s="150">
        <f t="shared" ca="1" si="7"/>
        <v>16736161.350677159</v>
      </c>
      <c r="U28" s="150">
        <f t="shared" ca="1" si="7"/>
        <v>21731896.045560144</v>
      </c>
      <c r="V28" s="150">
        <f t="shared" ca="1" si="7"/>
        <v>28079976.437263019</v>
      </c>
      <c r="W28" s="150">
        <f t="shared" ca="1" si="7"/>
        <v>33090181.443811167</v>
      </c>
      <c r="X28" s="305">
        <f ca="1">W28</f>
        <v>33090181.443811167</v>
      </c>
      <c r="Y28" s="150">
        <f t="shared" ref="Y28:AJ28" ca="1" si="8">Y27+X28</f>
        <v>37753653.764651485</v>
      </c>
      <c r="Z28" s="150">
        <f t="shared" ca="1" si="8"/>
        <v>41291485.635554671</v>
      </c>
      <c r="AA28" s="150">
        <f t="shared" ca="1" si="8"/>
        <v>46859602.301373005</v>
      </c>
      <c r="AB28" s="150">
        <f t="shared" ca="1" si="8"/>
        <v>53399983.768519625</v>
      </c>
      <c r="AC28" s="150">
        <f t="shared" ca="1" si="8"/>
        <v>57066644.1875434</v>
      </c>
      <c r="AD28" s="150">
        <f t="shared" ca="1" si="8"/>
        <v>57689917.743894838</v>
      </c>
      <c r="AE28" s="150">
        <f t="shared" ca="1" si="8"/>
        <v>62316259.572811693</v>
      </c>
      <c r="AF28" s="150">
        <f t="shared" ca="1" si="8"/>
        <v>69199105.90461804</v>
      </c>
      <c r="AG28" s="150">
        <f t="shared" ca="1" si="8"/>
        <v>73532138.901368424</v>
      </c>
      <c r="AH28" s="150">
        <f t="shared" ca="1" si="8"/>
        <v>81907795.227689445</v>
      </c>
      <c r="AI28" s="150">
        <f t="shared" ca="1" si="8"/>
        <v>91968891.626620546</v>
      </c>
      <c r="AJ28" s="150">
        <f t="shared" ca="1" si="8"/>
        <v>100416264.89524451</v>
      </c>
      <c r="AK28" s="305">
        <f ca="1">AJ28</f>
        <v>100416264.89524451</v>
      </c>
    </row>
    <row r="29" spans="2:37" x14ac:dyDescent="0.3">
      <c r="D29" s="150"/>
      <c r="E29" s="150"/>
      <c r="F29" s="150"/>
      <c r="G29" s="150"/>
      <c r="H29" s="150"/>
      <c r="I29" s="150"/>
      <c r="J29" s="150"/>
      <c r="K29" s="305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305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  <c r="AK29" s="305"/>
    </row>
    <row r="30" spans="2:37" x14ac:dyDescent="0.3">
      <c r="C30" s="4" t="s">
        <v>1895</v>
      </c>
      <c r="D30" s="2">
        <f>D20-D24</f>
        <v>-2461407.7258222057</v>
      </c>
      <c r="E30" s="2">
        <f t="shared" ref="E30:J30" si="9">E20-E24</f>
        <v>-1771468.271573599</v>
      </c>
      <c r="F30" s="2">
        <f t="shared" ca="1" si="9"/>
        <v>-1781953.9040674125</v>
      </c>
      <c r="G30" s="2">
        <f t="shared" ca="1" si="9"/>
        <v>-2419123.9520830242</v>
      </c>
      <c r="H30" s="2">
        <f t="shared" ca="1" si="9"/>
        <v>1382581.9888649676</v>
      </c>
      <c r="I30" s="2">
        <f t="shared" ca="1" si="9"/>
        <v>3083725.4279004121</v>
      </c>
      <c r="J30" s="2">
        <f t="shared" ca="1" si="9"/>
        <v>1894397.4712585732</v>
      </c>
      <c r="K30" s="315">
        <f ca="1">SUM(D30:J30)</f>
        <v>-2073248.9655222865</v>
      </c>
      <c r="L30" s="2">
        <f ca="1">L20-L24</f>
        <v>1106053.9474025001</v>
      </c>
      <c r="M30" s="2">
        <f t="shared" ref="M30:W30" ca="1" si="10">M20-M24</f>
        <v>193308.36914081196</v>
      </c>
      <c r="N30" s="2">
        <f t="shared" ca="1" si="10"/>
        <v>3098305.3229940389</v>
      </c>
      <c r="O30" s="2">
        <f t="shared" ca="1" si="10"/>
        <v>2490290.7077451404</v>
      </c>
      <c r="P30" s="2">
        <f t="shared" ca="1" si="10"/>
        <v>203775.33198520448</v>
      </c>
      <c r="Q30" s="2">
        <f t="shared" ca="1" si="10"/>
        <v>-2201837.8492130125</v>
      </c>
      <c r="R30" s="2">
        <f t="shared" ca="1" si="10"/>
        <v>1352542.4889983381</v>
      </c>
      <c r="S30" s="2">
        <f t="shared" ca="1" si="10"/>
        <v>3035539.6470965035</v>
      </c>
      <c r="T30" s="2">
        <f t="shared" ca="1" si="10"/>
        <v>927660.66021127906</v>
      </c>
      <c r="U30" s="2">
        <f t="shared" ca="1" si="10"/>
        <v>4365717.8959755413</v>
      </c>
      <c r="V30" s="2">
        <f t="shared" ca="1" si="10"/>
        <v>5704261.5094620986</v>
      </c>
      <c r="W30" s="2">
        <f t="shared" ca="1" si="10"/>
        <v>4352584.0409740396</v>
      </c>
      <c r="X30" s="315">
        <f ca="1">SUM(L30:W30)</f>
        <v>24628202.072772484</v>
      </c>
      <c r="Y30" s="2">
        <f t="shared" ref="Y30:AJ30" ca="1" si="11">Y20-Y24</f>
        <v>4312696.5350640556</v>
      </c>
      <c r="Z30" s="2">
        <f t="shared" ca="1" si="11"/>
        <v>3173254.0017935918</v>
      </c>
      <c r="AA30" s="2">
        <f t="shared" ca="1" si="11"/>
        <v>5189736.7133754082</v>
      </c>
      <c r="AB30" s="2">
        <f t="shared" ca="1" si="11"/>
        <v>6148199.4313703589</v>
      </c>
      <c r="AC30" s="2">
        <f t="shared" ca="1" si="11"/>
        <v>3260676.299914184</v>
      </c>
      <c r="AD30" s="2">
        <f t="shared" ca="1" si="11"/>
        <v>203487.35390851297</v>
      </c>
      <c r="AE30" s="2">
        <f t="shared" ca="1" si="11"/>
        <v>4192753.5431405967</v>
      </c>
      <c r="AF30" s="2">
        <f t="shared" ca="1" si="11"/>
        <v>7465391.6675737239</v>
      </c>
      <c r="AG30" s="2">
        <f t="shared" ca="1" si="11"/>
        <v>4894626.3663686663</v>
      </c>
      <c r="AH30" s="2">
        <f t="shared" ca="1" si="11"/>
        <v>8917392.7990147509</v>
      </c>
      <c r="AI30" s="2">
        <f t="shared" ca="1" si="11"/>
        <v>10582844.787072465</v>
      </c>
      <c r="AJ30" s="2">
        <f t="shared" ca="1" si="11"/>
        <v>8948999.5421865545</v>
      </c>
      <c r="AK30" s="315">
        <f ca="1">SUM(Y30:AJ30)</f>
        <v>67290059.040782869</v>
      </c>
    </row>
    <row r="31" spans="2:37" x14ac:dyDescent="0.3">
      <c r="C31" t="s">
        <v>1897</v>
      </c>
      <c r="D31" s="150">
        <f>D30</f>
        <v>-2461407.7258222057</v>
      </c>
      <c r="E31" s="150">
        <f t="shared" ref="E31:J31" si="12">E30+D31</f>
        <v>-4232875.9973958042</v>
      </c>
      <c r="F31" s="150">
        <f t="shared" ca="1" si="12"/>
        <v>-6014829.9014632162</v>
      </c>
      <c r="G31" s="150">
        <f t="shared" ca="1" si="12"/>
        <v>-8433953.8535462394</v>
      </c>
      <c r="H31" s="150">
        <f t="shared" ca="1" si="12"/>
        <v>-7051371.8646812718</v>
      </c>
      <c r="I31" s="150">
        <f t="shared" ca="1" si="12"/>
        <v>-3967646.4367808597</v>
      </c>
      <c r="J31" s="150">
        <f t="shared" ca="1" si="12"/>
        <v>-2073248.9655222865</v>
      </c>
      <c r="K31" s="305">
        <f ca="1">J31</f>
        <v>-2073248.9655222865</v>
      </c>
      <c r="L31" s="150">
        <f ca="1">L30+K31</f>
        <v>-967195.0181197864</v>
      </c>
      <c r="M31" s="150">
        <f t="shared" ref="M31:W31" ca="1" si="13">M30+L31</f>
        <v>-773886.64897897444</v>
      </c>
      <c r="N31" s="150">
        <f t="shared" ca="1" si="13"/>
        <v>2324418.6740150647</v>
      </c>
      <c r="O31" s="150">
        <f t="shared" ca="1" si="13"/>
        <v>4814709.3817602051</v>
      </c>
      <c r="P31" s="150">
        <f t="shared" ca="1" si="13"/>
        <v>5018484.7137454096</v>
      </c>
      <c r="Q31" s="150">
        <f t="shared" ca="1" si="13"/>
        <v>2816646.8645323971</v>
      </c>
      <c r="R31" s="150">
        <f t="shared" ca="1" si="13"/>
        <v>4169189.3535307352</v>
      </c>
      <c r="S31" s="150">
        <f t="shared" ca="1" si="13"/>
        <v>7204729.0006272383</v>
      </c>
      <c r="T31" s="150">
        <f t="shared" ca="1" si="13"/>
        <v>8132389.6608385174</v>
      </c>
      <c r="U31" s="150">
        <f t="shared" ca="1" si="13"/>
        <v>12498107.55681406</v>
      </c>
      <c r="V31" s="150">
        <f t="shared" ca="1" si="13"/>
        <v>18202369.066276159</v>
      </c>
      <c r="W31" s="150">
        <f t="shared" ca="1" si="13"/>
        <v>22554953.107250199</v>
      </c>
      <c r="X31" s="305">
        <f ca="1">W31</f>
        <v>22554953.107250199</v>
      </c>
      <c r="Y31" s="150">
        <f t="shared" ref="Y31:AJ31" ca="1" si="14">Y30+X31</f>
        <v>26867649.642314255</v>
      </c>
      <c r="Z31" s="150">
        <f t="shared" ca="1" si="14"/>
        <v>30040903.644107848</v>
      </c>
      <c r="AA31" s="150">
        <f t="shared" ca="1" si="14"/>
        <v>35230640.357483253</v>
      </c>
      <c r="AB31" s="150">
        <f t="shared" ca="1" si="14"/>
        <v>41378839.788853616</v>
      </c>
      <c r="AC31" s="150">
        <f t="shared" ca="1" si="14"/>
        <v>44639516.088767797</v>
      </c>
      <c r="AD31" s="150">
        <f t="shared" ca="1" si="14"/>
        <v>44843003.442676313</v>
      </c>
      <c r="AE31" s="150">
        <f t="shared" ca="1" si="14"/>
        <v>49035756.985816911</v>
      </c>
      <c r="AF31" s="150">
        <f t="shared" ca="1" si="14"/>
        <v>56501148.653390631</v>
      </c>
      <c r="AG31" s="150">
        <f t="shared" ca="1" si="14"/>
        <v>61395775.019759297</v>
      </c>
      <c r="AH31" s="150">
        <f t="shared" ca="1" si="14"/>
        <v>70313167.818774045</v>
      </c>
      <c r="AI31" s="150">
        <f t="shared" ca="1" si="14"/>
        <v>80896012.605846509</v>
      </c>
      <c r="AJ31" s="150">
        <f t="shared" ca="1" si="14"/>
        <v>89845012.148033068</v>
      </c>
      <c r="AK31" s="305">
        <f ca="1">AJ31</f>
        <v>89845012.148033068</v>
      </c>
    </row>
    <row r="32" spans="2:37" x14ac:dyDescent="0.3">
      <c r="E32" s="2"/>
      <c r="F32" s="2"/>
      <c r="G32" s="2"/>
      <c r="H32" s="2"/>
      <c r="I32" s="2"/>
      <c r="J32" s="2"/>
      <c r="K32" s="304"/>
      <c r="X32" s="304"/>
      <c r="AK32" s="304"/>
    </row>
    <row r="33" spans="3:37" x14ac:dyDescent="0.3">
      <c r="E33" s="2"/>
      <c r="F33" s="2"/>
      <c r="G33" s="2"/>
      <c r="H33" s="2"/>
      <c r="I33" s="2"/>
      <c r="J33" s="2"/>
      <c r="K33" s="304"/>
      <c r="X33" s="304"/>
      <c r="AK33" s="304"/>
    </row>
    <row r="34" spans="3:37" x14ac:dyDescent="0.3">
      <c r="E34" s="2"/>
      <c r="F34" s="2"/>
      <c r="G34" s="2"/>
      <c r="H34" s="2"/>
      <c r="I34" s="2"/>
      <c r="J34" s="2"/>
      <c r="K34" s="304"/>
      <c r="X34" s="304"/>
      <c r="AK34" s="304"/>
    </row>
    <row r="35" spans="3:37" x14ac:dyDescent="0.3">
      <c r="K35" s="298"/>
      <c r="X35" s="298"/>
      <c r="AK35" s="298"/>
    </row>
    <row r="36" spans="3:37" x14ac:dyDescent="0.3">
      <c r="C36" s="4" t="s">
        <v>1860</v>
      </c>
      <c r="D36" s="2"/>
      <c r="E36" s="2"/>
      <c r="F36" s="2"/>
      <c r="G36" s="2"/>
      <c r="H36" s="2"/>
      <c r="I36" s="2"/>
      <c r="J36" s="2"/>
      <c r="K36" s="304"/>
      <c r="X36" s="304"/>
      <c r="AK36" s="304"/>
    </row>
    <row r="37" spans="3:37" x14ac:dyDescent="0.3">
      <c r="C37" s="71" t="s">
        <v>1704</v>
      </c>
      <c r="D37" s="336">
        <f t="shared" ref="D37:J37" si="15">IF(D27&lt;0,-D27,0)</f>
        <v>2472887.1107211802</v>
      </c>
      <c r="E37" s="336">
        <f t="shared" si="15"/>
        <v>919677.22141837887</v>
      </c>
      <c r="F37" s="336">
        <f t="shared" ca="1" si="15"/>
        <v>1162461.6257102662</v>
      </c>
      <c r="G37" s="336">
        <f t="shared" ca="1" si="15"/>
        <v>1890829.9587258422</v>
      </c>
      <c r="H37" s="1">
        <f t="shared" ca="1" si="15"/>
        <v>0</v>
      </c>
      <c r="I37" s="1">
        <f t="shared" ca="1" si="15"/>
        <v>0</v>
      </c>
      <c r="J37" s="1">
        <f t="shared" ca="1" si="15"/>
        <v>0</v>
      </c>
      <c r="K37" s="305">
        <f ca="1">SUM(D37:J37)</f>
        <v>6445855.9165756665</v>
      </c>
      <c r="X37" s="305">
        <f>SUM(L37:W37)</f>
        <v>0</v>
      </c>
      <c r="AK37" s="305">
        <f>SUM(Y37:AJ37)</f>
        <v>0</v>
      </c>
    </row>
    <row r="38" spans="3:37" x14ac:dyDescent="0.3">
      <c r="C38" s="302" t="s">
        <v>1623</v>
      </c>
      <c r="D38" s="199"/>
      <c r="E38" s="215">
        <v>750000</v>
      </c>
      <c r="F38" s="215">
        <v>750000</v>
      </c>
      <c r="G38" s="215">
        <v>750000</v>
      </c>
      <c r="H38" s="215">
        <v>750000</v>
      </c>
      <c r="I38" s="215">
        <v>750000</v>
      </c>
      <c r="J38" s="215">
        <v>750000</v>
      </c>
      <c r="K38" s="306">
        <f>SUM(D38:J38)</f>
        <v>4500000</v>
      </c>
      <c r="L38" s="215">
        <v>750000</v>
      </c>
      <c r="M38" s="215">
        <v>750000</v>
      </c>
      <c r="N38" s="215">
        <v>750000</v>
      </c>
      <c r="O38" s="215">
        <v>750000</v>
      </c>
      <c r="P38" s="215">
        <v>750000</v>
      </c>
      <c r="Q38" s="215">
        <v>750000</v>
      </c>
      <c r="R38" s="215">
        <v>750000</v>
      </c>
      <c r="S38" s="215">
        <v>750000</v>
      </c>
      <c r="T38" s="215">
        <v>750000</v>
      </c>
      <c r="U38" s="215">
        <v>750000</v>
      </c>
      <c r="V38" s="215">
        <v>750000</v>
      </c>
      <c r="W38" s="215">
        <v>750000</v>
      </c>
      <c r="X38" s="305">
        <f>SUM(L38:W38)</f>
        <v>9000000</v>
      </c>
      <c r="AK38" s="305">
        <f>SUM(Y38:AJ38)</f>
        <v>0</v>
      </c>
    </row>
    <row r="39" spans="3:37" x14ac:dyDescent="0.3">
      <c r="C39" s="109" t="s">
        <v>1867</v>
      </c>
      <c r="D39" s="295">
        <f>SUM(D37:D38)</f>
        <v>2472887.1107211802</v>
      </c>
      <c r="E39" s="98">
        <f t="shared" ref="E39:J39" si="16">SUM(E37:E38)</f>
        <v>1669677.2214183789</v>
      </c>
      <c r="F39" s="295">
        <f t="shared" ca="1" si="16"/>
        <v>1912461.6257102662</v>
      </c>
      <c r="G39" s="295">
        <f t="shared" ca="1" si="16"/>
        <v>2640829.9587258422</v>
      </c>
      <c r="H39" s="295">
        <f t="shared" ca="1" si="16"/>
        <v>750000</v>
      </c>
      <c r="I39" s="295">
        <f t="shared" ca="1" si="16"/>
        <v>750000</v>
      </c>
      <c r="J39" s="295">
        <f t="shared" ca="1" si="16"/>
        <v>750000</v>
      </c>
      <c r="K39" s="305">
        <f ca="1">SUM(D39:J39)</f>
        <v>10945855.916575667</v>
      </c>
      <c r="X39" s="305">
        <f>SUM(L39:W39)</f>
        <v>0</v>
      </c>
      <c r="AK39" s="305">
        <f>SUM(Y39:AJ39)</f>
        <v>0</v>
      </c>
    </row>
    <row r="40" spans="3:37" x14ac:dyDescent="0.3">
      <c r="C40" s="109" t="s">
        <v>1868</v>
      </c>
      <c r="D40" s="295">
        <f>D39</f>
        <v>2472887.1107211802</v>
      </c>
      <c r="E40" s="295">
        <f t="shared" ref="E40:J40" si="17">E39+D40</f>
        <v>4142564.3321395591</v>
      </c>
      <c r="F40" s="295">
        <f t="shared" ca="1" si="17"/>
        <v>6055025.9578498248</v>
      </c>
      <c r="G40" s="295">
        <f t="shared" ca="1" si="17"/>
        <v>8695855.9165756665</v>
      </c>
      <c r="H40" s="295">
        <f t="shared" ca="1" si="17"/>
        <v>9445855.9165756665</v>
      </c>
      <c r="I40" s="295">
        <f t="shared" ca="1" si="17"/>
        <v>10195855.916575667</v>
      </c>
      <c r="J40" s="295">
        <f t="shared" ca="1" si="17"/>
        <v>10945855.916575667</v>
      </c>
      <c r="K40" s="307">
        <f ca="1">J40</f>
        <v>10945855.916575667</v>
      </c>
      <c r="X40" s="310">
        <f>W40</f>
        <v>0</v>
      </c>
      <c r="AK40" s="310">
        <f>AJ40</f>
        <v>0</v>
      </c>
    </row>
    <row r="41" spans="3:37" x14ac:dyDescent="0.3">
      <c r="C41" s="109" t="s">
        <v>1869</v>
      </c>
      <c r="D41" s="301">
        <f>D40/$D$5</f>
        <v>0.12681472362672719</v>
      </c>
      <c r="E41" s="301">
        <f t="shared" ref="E41:J41" si="18">E40/$D$5</f>
        <v>0.21243919651997739</v>
      </c>
      <c r="F41" s="301">
        <f t="shared" ca="1" si="18"/>
        <v>0.31051415168460639</v>
      </c>
      <c r="G41" s="301">
        <f t="shared" ca="1" si="18"/>
        <v>0.44594132905516237</v>
      </c>
      <c r="H41" s="301">
        <f t="shared" ca="1" si="18"/>
        <v>0.48440286751670086</v>
      </c>
      <c r="I41" s="301">
        <f t="shared" ca="1" si="18"/>
        <v>0.52286440597823935</v>
      </c>
      <c r="J41" s="301">
        <f t="shared" ca="1" si="18"/>
        <v>0.56132594443977779</v>
      </c>
      <c r="K41" s="308">
        <f ca="1">J41</f>
        <v>0.56132594443977779</v>
      </c>
      <c r="X41" s="309">
        <f>W41</f>
        <v>0</v>
      </c>
      <c r="AK41" s="309">
        <f>AJ41</f>
        <v>0</v>
      </c>
    </row>
    <row r="42" spans="3:37" x14ac:dyDescent="0.3">
      <c r="C42" s="109"/>
      <c r="D42" s="287"/>
      <c r="E42" s="287"/>
      <c r="F42" s="287"/>
      <c r="G42" s="287"/>
      <c r="H42" s="287"/>
      <c r="I42" s="287"/>
      <c r="J42" s="287"/>
      <c r="K42" s="309"/>
      <c r="X42" s="309"/>
      <c r="AK42" s="309"/>
    </row>
    <row r="43" spans="3:37" x14ac:dyDescent="0.3">
      <c r="C43" s="71" t="s">
        <v>1005</v>
      </c>
      <c r="D43" s="1">
        <f t="shared" ref="D43:J43" si="19">D12</f>
        <v>1919815.6600000001</v>
      </c>
      <c r="E43" s="61">
        <f t="shared" si="19"/>
        <v>11503037.34</v>
      </c>
      <c r="F43" s="61">
        <f t="shared" si="19"/>
        <v>10695606.359999999</v>
      </c>
      <c r="G43" s="1">
        <f t="shared" si="19"/>
        <v>1872856.87</v>
      </c>
      <c r="H43" s="1">
        <f t="shared" si="19"/>
        <v>0</v>
      </c>
      <c r="I43" s="1">
        <f t="shared" si="19"/>
        <v>0</v>
      </c>
      <c r="J43" s="1">
        <f t="shared" si="19"/>
        <v>0</v>
      </c>
      <c r="K43" s="316">
        <f>SUM(D43:J43)</f>
        <v>25991316.23</v>
      </c>
      <c r="L43" s="85" t="s">
        <v>1900</v>
      </c>
      <c r="X43" s="305">
        <f>SUM(L43:W43)</f>
        <v>0</v>
      </c>
      <c r="AK43" s="305">
        <f>SUM(Y43:AJ43)</f>
        <v>0</v>
      </c>
    </row>
    <row r="44" spans="3:37" x14ac:dyDescent="0.3">
      <c r="C44" s="71" t="s">
        <v>1870</v>
      </c>
      <c r="D44" s="1"/>
      <c r="E44" s="61"/>
      <c r="F44" s="61"/>
      <c r="G44" s="1"/>
      <c r="H44" s="1"/>
      <c r="I44" s="1"/>
      <c r="J44" s="1"/>
      <c r="K44" s="305">
        <f>SUM(D44:J44)</f>
        <v>0</v>
      </c>
      <c r="L44" s="1"/>
      <c r="X44" s="305">
        <f>SUM(L44:W44)</f>
        <v>0</v>
      </c>
      <c r="AK44" s="305">
        <f>SUM(Y44:AJ44)</f>
        <v>0</v>
      </c>
    </row>
    <row r="45" spans="3:37" x14ac:dyDescent="0.3">
      <c r="C45" s="71" t="s">
        <v>1871</v>
      </c>
      <c r="D45" s="1"/>
      <c r="E45" s="61">
        <v>13500000</v>
      </c>
      <c r="F45" s="1"/>
      <c r="H45" s="1"/>
      <c r="I45" s="1"/>
      <c r="J45" s="1"/>
      <c r="K45" s="305">
        <f>SUM(D45:J45)</f>
        <v>13500000</v>
      </c>
      <c r="L45" s="1"/>
      <c r="X45" s="305">
        <f>SUM(L45:W45)</f>
        <v>0</v>
      </c>
      <c r="AK45" s="305">
        <f>SUM(Y45:AJ45)</f>
        <v>0</v>
      </c>
    </row>
    <row r="46" spans="3:37" x14ac:dyDescent="0.3">
      <c r="C46" s="302" t="s">
        <v>1872</v>
      </c>
      <c r="D46" s="199"/>
      <c r="E46" s="215">
        <v>0</v>
      </c>
      <c r="F46" s="199"/>
      <c r="G46" s="199">
        <v>1000000</v>
      </c>
      <c r="H46" s="199">
        <v>1000000</v>
      </c>
      <c r="I46" s="199"/>
      <c r="J46" s="199"/>
      <c r="K46" s="306">
        <f>SUM(D46:J46)</f>
        <v>2000000</v>
      </c>
      <c r="L46" s="1"/>
      <c r="X46" s="305">
        <f>SUM(L46:W46)</f>
        <v>0</v>
      </c>
      <c r="AK46" s="305">
        <f>SUM(Y46:AJ46)</f>
        <v>0</v>
      </c>
    </row>
    <row r="47" spans="3:37" x14ac:dyDescent="0.3">
      <c r="C47" s="109" t="s">
        <v>1873</v>
      </c>
      <c r="D47" s="295">
        <f>SUM(D43:D46)</f>
        <v>1919815.6600000001</v>
      </c>
      <c r="E47" s="98">
        <f>SUM(E43:E46)</f>
        <v>25003037.34</v>
      </c>
      <c r="F47" s="295">
        <f>SUM(F43:F46)</f>
        <v>10695606.359999999</v>
      </c>
      <c r="G47" s="295">
        <f>SUM(G43:G46)</f>
        <v>2872856.87</v>
      </c>
      <c r="H47" s="295">
        <f>SUM(H43:H46)</f>
        <v>1000000</v>
      </c>
      <c r="I47" s="295"/>
      <c r="J47" s="295"/>
      <c r="K47" s="305">
        <f>SUM(D47:J47)</f>
        <v>41491316.229999997</v>
      </c>
      <c r="L47" s="1"/>
      <c r="X47" s="305">
        <f>SUM(L47:W47)</f>
        <v>0</v>
      </c>
      <c r="AK47" s="305">
        <f>SUM(Y47:AJ47)</f>
        <v>0</v>
      </c>
    </row>
    <row r="48" spans="3:37" x14ac:dyDescent="0.3">
      <c r="C48" s="109" t="s">
        <v>1874</v>
      </c>
      <c r="D48" s="295">
        <f>D47</f>
        <v>1919815.6600000001</v>
      </c>
      <c r="E48" s="98">
        <f t="shared" ref="E48:J48" si="20">E47+D48</f>
        <v>26922853</v>
      </c>
      <c r="F48" s="98">
        <f t="shared" si="20"/>
        <v>37618459.359999999</v>
      </c>
      <c r="G48" s="295">
        <f t="shared" si="20"/>
        <v>40491316.229999997</v>
      </c>
      <c r="H48" s="295">
        <f t="shared" si="20"/>
        <v>41491316.229999997</v>
      </c>
      <c r="I48" s="295">
        <f t="shared" si="20"/>
        <v>41491316.229999997</v>
      </c>
      <c r="J48" s="295">
        <f t="shared" si="20"/>
        <v>41491316.229999997</v>
      </c>
      <c r="K48" s="307">
        <f>J48</f>
        <v>41491316.229999997</v>
      </c>
      <c r="L48" s="1"/>
      <c r="X48" s="310">
        <f>W48</f>
        <v>0</v>
      </c>
      <c r="AK48" s="310">
        <f>AJ48</f>
        <v>0</v>
      </c>
    </row>
    <row r="49" spans="3:37" x14ac:dyDescent="0.3">
      <c r="C49" s="109" t="s">
        <v>1875</v>
      </c>
      <c r="D49" s="301">
        <f t="shared" ref="D49:J49" si="21">D48/$D$6</f>
        <v>4.2193750769230771E-2</v>
      </c>
      <c r="E49" s="301">
        <f t="shared" si="21"/>
        <v>0.59171105494505494</v>
      </c>
      <c r="F49" s="301">
        <f t="shared" si="21"/>
        <v>0.82677932659340658</v>
      </c>
      <c r="G49" s="301">
        <f t="shared" si="21"/>
        <v>0.88991903802197792</v>
      </c>
      <c r="H49" s="301">
        <f t="shared" si="21"/>
        <v>0.91189705999999993</v>
      </c>
      <c r="I49" s="301">
        <f t="shared" si="21"/>
        <v>0.91189705999999993</v>
      </c>
      <c r="J49" s="301">
        <f t="shared" si="21"/>
        <v>0.91189705999999993</v>
      </c>
      <c r="K49" s="308">
        <f>J49</f>
        <v>0.91189705999999993</v>
      </c>
      <c r="L49" s="1"/>
      <c r="X49" s="309">
        <f>W49</f>
        <v>0</v>
      </c>
      <c r="AK49" s="309">
        <f>AJ49</f>
        <v>0</v>
      </c>
    </row>
    <row r="50" spans="3:37" x14ac:dyDescent="0.3">
      <c r="C50" s="109"/>
      <c r="D50" s="60"/>
      <c r="E50" s="60"/>
      <c r="F50" s="60"/>
      <c r="G50" s="60"/>
      <c r="H50" s="60"/>
      <c r="I50" s="60"/>
      <c r="J50" s="60"/>
      <c r="K50" s="310"/>
      <c r="L50" s="1"/>
      <c r="X50" s="310"/>
      <c r="AK50" s="310"/>
    </row>
    <row r="51" spans="3:37" x14ac:dyDescent="0.3">
      <c r="C51" s="109" t="s">
        <v>1876</v>
      </c>
      <c r="D51" s="209"/>
      <c r="E51" s="209">
        <v>36000000</v>
      </c>
      <c r="F51" s="209">
        <v>12794983.453672772</v>
      </c>
      <c r="G51" s="209">
        <v>5000000</v>
      </c>
      <c r="H51" s="209">
        <f ca="1">H47+H39</f>
        <v>1750000</v>
      </c>
      <c r="I51" s="209">
        <f ca="1">I47+I39</f>
        <v>750000</v>
      </c>
      <c r="J51" s="209">
        <f ca="1">J47+J39</f>
        <v>750000</v>
      </c>
      <c r="K51" s="305">
        <f ca="1">SUM(D51:J51)</f>
        <v>57044983.453672774</v>
      </c>
      <c r="X51" s="305">
        <f>SUM(L51:W51)</f>
        <v>0</v>
      </c>
      <c r="AK51" s="305">
        <f>SUM(Y51:AJ51)</f>
        <v>0</v>
      </c>
    </row>
    <row r="52" spans="3:37" x14ac:dyDescent="0.3">
      <c r="C52" s="109" t="s">
        <v>1877</v>
      </c>
      <c r="D52" s="2">
        <f>SUM($D51:D51)</f>
        <v>0</v>
      </c>
      <c r="E52" s="2">
        <f>SUM($D51:E51)</f>
        <v>36000000</v>
      </c>
      <c r="F52" s="2">
        <f>SUM($D51:F51)</f>
        <v>48794983.453672774</v>
      </c>
      <c r="G52" s="2">
        <f>SUM($D51:G51)</f>
        <v>53794983.453672774</v>
      </c>
      <c r="H52" s="2">
        <f ca="1">SUM($D51:H51)</f>
        <v>55544983.453672774</v>
      </c>
      <c r="I52" s="2">
        <f ca="1">SUM($D51:I51)</f>
        <v>56294983.453672774</v>
      </c>
      <c r="J52" s="2">
        <f ca="1">SUM($D51:J51)</f>
        <v>57044983.453672774</v>
      </c>
      <c r="K52" s="304">
        <f ca="1">J52</f>
        <v>57044983.453672774</v>
      </c>
      <c r="X52" s="304">
        <f>W52</f>
        <v>0</v>
      </c>
      <c r="AK52" s="304">
        <f>AJ52</f>
        <v>0</v>
      </c>
    </row>
    <row r="53" spans="3:37" x14ac:dyDescent="0.3">
      <c r="C53" s="109" t="s">
        <v>1878</v>
      </c>
      <c r="D53" s="92">
        <f>D52/$D$2</f>
        <v>0</v>
      </c>
      <c r="E53" s="92">
        <f t="shared" ref="E53:J53" si="22">E52/$D$2</f>
        <v>0.55384615384615388</v>
      </c>
      <c r="F53" s="92">
        <f t="shared" si="22"/>
        <v>0.75069205313342724</v>
      </c>
      <c r="G53" s="92">
        <f t="shared" si="22"/>
        <v>0.82761513005650422</v>
      </c>
      <c r="H53" s="92">
        <f t="shared" ca="1" si="22"/>
        <v>0.85453820697958116</v>
      </c>
      <c r="I53" s="92">
        <f t="shared" ca="1" si="22"/>
        <v>0.86607666851804266</v>
      </c>
      <c r="J53" s="92">
        <f t="shared" ca="1" si="22"/>
        <v>0.87761513005650427</v>
      </c>
      <c r="K53" s="311">
        <f ca="1">J53</f>
        <v>0.87761513005650427</v>
      </c>
      <c r="X53" s="311">
        <f>W53</f>
        <v>0</v>
      </c>
      <c r="AK53" s="311">
        <f>AJ53</f>
        <v>0</v>
      </c>
    </row>
    <row r="54" spans="3:37" x14ac:dyDescent="0.3">
      <c r="C54" s="109"/>
      <c r="D54" s="92"/>
      <c r="E54" s="92"/>
      <c r="F54" s="92"/>
      <c r="G54" s="92"/>
      <c r="H54" s="92"/>
      <c r="I54" s="92"/>
      <c r="J54" s="92"/>
      <c r="K54" s="311"/>
      <c r="X54" s="311"/>
      <c r="AK54" s="311"/>
    </row>
    <row r="55" spans="3:37" x14ac:dyDescent="0.3">
      <c r="C55" t="s">
        <v>1002</v>
      </c>
      <c r="D55" s="160">
        <v>28732.667946143909</v>
      </c>
      <c r="E55" s="160">
        <v>478766.83802114398</v>
      </c>
      <c r="F55" s="160">
        <v>622710.40187496273</v>
      </c>
      <c r="G55" s="160">
        <v>643780.04166246264</v>
      </c>
      <c r="H55" s="160">
        <v>643780.04166246264</v>
      </c>
      <c r="I55" s="160">
        <v>643780.04166246264</v>
      </c>
      <c r="J55" s="160">
        <v>643780.04166246264</v>
      </c>
      <c r="K55" s="312"/>
      <c r="X55" s="312"/>
      <c r="AK55" s="312"/>
    </row>
    <row r="56" spans="3:37" x14ac:dyDescent="0.3">
      <c r="C56" s="8" t="s">
        <v>1881</v>
      </c>
      <c r="K56" s="298"/>
      <c r="X56" s="298"/>
      <c r="AK56" s="298"/>
    </row>
    <row r="57" spans="3:37" x14ac:dyDescent="0.3">
      <c r="C57" s="71" t="s">
        <v>1870</v>
      </c>
      <c r="D57" s="299"/>
      <c r="E57" s="299"/>
      <c r="F57" s="299"/>
      <c r="G57" s="299"/>
      <c r="H57" s="300"/>
      <c r="I57" s="300"/>
      <c r="J57" s="300"/>
      <c r="K57" s="305">
        <f>SUM(D57:J57)</f>
        <v>0</v>
      </c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5">
        <f>SUM(L57:W57)</f>
        <v>0</v>
      </c>
      <c r="Y57" s="297"/>
      <c r="Z57" s="297"/>
      <c r="AA57" s="297"/>
      <c r="AB57" s="297"/>
      <c r="AC57" s="297"/>
      <c r="AD57" s="297"/>
      <c r="AE57" s="297"/>
      <c r="AF57" s="297"/>
      <c r="AG57" s="297"/>
      <c r="AH57" s="297"/>
      <c r="AI57" s="297"/>
      <c r="AJ57" s="297"/>
      <c r="AK57" s="305">
        <f>SUM(Y57:AJ57)</f>
        <v>0</v>
      </c>
    </row>
    <row r="58" spans="3:37" x14ac:dyDescent="0.3">
      <c r="C58" s="71" t="s">
        <v>1871</v>
      </c>
      <c r="D58" s="299"/>
      <c r="E58" s="299"/>
      <c r="F58" s="299"/>
      <c r="G58" s="299"/>
      <c r="H58" s="300"/>
      <c r="I58" s="300"/>
      <c r="J58" s="300"/>
      <c r="K58" s="305">
        <f>SUM(D58:J58)</f>
        <v>0</v>
      </c>
      <c r="L58" s="300"/>
      <c r="M58" s="300"/>
      <c r="N58" s="300"/>
      <c r="O58" s="300"/>
      <c r="P58" s="300"/>
      <c r="Q58" s="300"/>
      <c r="R58" s="300"/>
      <c r="S58" s="300"/>
      <c r="T58" s="300"/>
      <c r="U58" s="300"/>
      <c r="V58" s="300"/>
      <c r="W58" s="300"/>
      <c r="X58" s="305">
        <f>SUM(L58:W58)</f>
        <v>0</v>
      </c>
      <c r="Y58" s="297"/>
      <c r="Z58" s="297"/>
      <c r="AA58" s="297"/>
      <c r="AB58" s="297"/>
      <c r="AC58" s="297"/>
      <c r="AD58" s="297"/>
      <c r="AE58" s="297"/>
      <c r="AF58" s="297"/>
      <c r="AG58" s="297"/>
      <c r="AH58" s="297"/>
      <c r="AI58" s="297"/>
      <c r="AJ58" s="297"/>
      <c r="AK58" s="305">
        <f>SUM(Y58:AJ58)</f>
        <v>0</v>
      </c>
    </row>
    <row r="59" spans="3:37" x14ac:dyDescent="0.3">
      <c r="C59" s="71" t="s">
        <v>1872</v>
      </c>
      <c r="D59" s="299"/>
      <c r="E59" s="299"/>
      <c r="F59" s="299"/>
      <c r="G59" s="299"/>
      <c r="H59" s="300"/>
      <c r="I59" s="300"/>
      <c r="J59" s="300"/>
      <c r="K59" s="305">
        <f>SUM(D59:J59)</f>
        <v>0</v>
      </c>
      <c r="L59" s="300">
        <v>1000000</v>
      </c>
      <c r="M59" s="300">
        <v>1000000</v>
      </c>
      <c r="N59" s="300">
        <v>1000000</v>
      </c>
      <c r="O59" s="300">
        <v>1000000</v>
      </c>
      <c r="P59" s="300">
        <v>1000000</v>
      </c>
      <c r="Q59" s="300">
        <v>1000000</v>
      </c>
      <c r="R59" s="300">
        <v>1000000</v>
      </c>
      <c r="S59" s="300">
        <v>1000000</v>
      </c>
      <c r="T59" s="300">
        <v>1000000</v>
      </c>
      <c r="U59" s="300">
        <v>1000000</v>
      </c>
      <c r="V59" s="300">
        <v>1000000</v>
      </c>
      <c r="W59" s="300">
        <v>1000000</v>
      </c>
      <c r="X59" s="353">
        <f>SUM(L59:W59)</f>
        <v>12000000</v>
      </c>
      <c r="Y59" s="300">
        <v>1000000</v>
      </c>
      <c r="Z59" s="300">
        <v>1000000</v>
      </c>
      <c r="AA59" s="300">
        <v>1000000</v>
      </c>
      <c r="AB59" s="300">
        <v>1000000</v>
      </c>
      <c r="AC59" s="300">
        <v>1000000</v>
      </c>
      <c r="AD59" s="300">
        <v>1000000</v>
      </c>
      <c r="AE59" s="300">
        <v>1000000</v>
      </c>
      <c r="AF59" s="300">
        <v>1000000</v>
      </c>
      <c r="AG59" s="300">
        <v>1000000</v>
      </c>
      <c r="AH59" s="300">
        <v>1000000</v>
      </c>
      <c r="AI59" s="300">
        <v>1000000</v>
      </c>
      <c r="AJ59" s="300">
        <v>748000</v>
      </c>
      <c r="AK59" s="305">
        <f>SUM(Y59:AJ59)</f>
        <v>11748000</v>
      </c>
    </row>
    <row r="60" spans="3:37" x14ac:dyDescent="0.3">
      <c r="C60" s="71" t="s">
        <v>1884</v>
      </c>
      <c r="D60" s="299"/>
      <c r="E60" s="299"/>
      <c r="F60" s="299"/>
      <c r="G60" s="299"/>
      <c r="H60" s="300"/>
      <c r="I60" s="300"/>
      <c r="J60" s="300"/>
      <c r="K60" s="305">
        <f>SUM(D60:J60)</f>
        <v>0</v>
      </c>
      <c r="L60" s="300">
        <v>1000000</v>
      </c>
      <c r="M60" s="300">
        <v>1000000</v>
      </c>
      <c r="N60" s="300">
        <v>1000000</v>
      </c>
      <c r="O60" s="300">
        <v>2000000</v>
      </c>
      <c r="P60" s="300">
        <v>2000000</v>
      </c>
      <c r="Q60" s="300">
        <v>2000000</v>
      </c>
      <c r="R60" s="300">
        <v>2000000</v>
      </c>
      <c r="S60" s="300">
        <v>2000000</v>
      </c>
      <c r="T60" s="300">
        <v>2000000</v>
      </c>
      <c r="U60" s="300">
        <v>2000000</v>
      </c>
      <c r="V60" s="300">
        <v>2000000</v>
      </c>
      <c r="W60" s="300">
        <v>2000000</v>
      </c>
      <c r="X60" s="354">
        <f>SUM(L60:W60)</f>
        <v>21000000</v>
      </c>
      <c r="Y60" s="300">
        <v>2000000</v>
      </c>
      <c r="Z60" s="300">
        <v>2000000</v>
      </c>
      <c r="AA60" s="300">
        <v>2000000</v>
      </c>
      <c r="AB60" s="300">
        <v>2000000</v>
      </c>
      <c r="AC60" s="300">
        <v>2000000</v>
      </c>
      <c r="AD60" s="300">
        <v>2000000</v>
      </c>
      <c r="AE60" s="300">
        <v>2000000</v>
      </c>
      <c r="AF60" s="300">
        <v>2000000</v>
      </c>
      <c r="AG60" s="300">
        <v>2000000</v>
      </c>
      <c r="AH60" s="300">
        <v>2000000</v>
      </c>
      <c r="AI60" s="300">
        <v>2000000</v>
      </c>
      <c r="AJ60" s="300">
        <v>2000000</v>
      </c>
      <c r="AK60" s="305">
        <f>SUM(Y60:AJ60)</f>
        <v>24000000</v>
      </c>
    </row>
    <row r="61" spans="3:37" x14ac:dyDescent="0.3">
      <c r="C61" s="8" t="s">
        <v>1882</v>
      </c>
      <c r="D61" s="2">
        <f t="shared" ref="D61:J61" si="23">D27-SUM(D57:D60)</f>
        <v>-2472887.1107211802</v>
      </c>
      <c r="E61" s="2">
        <f>E27-SUM(E57:E60)</f>
        <v>-919677.22141837887</v>
      </c>
      <c r="F61" s="2">
        <f t="shared" ca="1" si="23"/>
        <v>-1162461.6257102662</v>
      </c>
      <c r="G61" s="2">
        <f t="shared" ca="1" si="23"/>
        <v>-1890829.9587258422</v>
      </c>
      <c r="H61" s="2">
        <f t="shared" ca="1" si="23"/>
        <v>1908695.9537511733</v>
      </c>
      <c r="I61" s="2">
        <f t="shared" ca="1" si="23"/>
        <v>3590825.5601411872</v>
      </c>
      <c r="J61" s="2">
        <f t="shared" ca="1" si="23"/>
        <v>2413997.6034993483</v>
      </c>
      <c r="K61" s="305">
        <f ca="1">SUM(D61:J61)</f>
        <v>1467663.2008160418</v>
      </c>
      <c r="L61" s="2">
        <f t="shared" ref="L61:W61" ca="1" si="24">L27-SUM(L57:L60)</f>
        <v>-374345.92035672488</v>
      </c>
      <c r="M61" s="2">
        <f t="shared" ca="1" si="24"/>
        <v>-1287091.4986184128</v>
      </c>
      <c r="N61" s="2">
        <f t="shared" ca="1" si="24"/>
        <v>1631707.5385681475</v>
      </c>
      <c r="O61" s="2">
        <f t="shared" si="24"/>
        <v>37495.006652581971</v>
      </c>
      <c r="P61" s="2">
        <f t="shared" si="24"/>
        <v>-2235218.2857740205</v>
      </c>
      <c r="Q61" s="2">
        <f t="shared" si="24"/>
        <v>-4627029.3836389035</v>
      </c>
      <c r="R61" s="2">
        <f t="shared" si="24"/>
        <v>-1058846.9620942201</v>
      </c>
      <c r="S61" s="2">
        <f t="shared" ca="1" si="24"/>
        <v>637952.27933727857</v>
      </c>
      <c r="T61" s="2">
        <f t="shared" ca="1" si="24"/>
        <v>-1456124.6242146129</v>
      </c>
      <c r="U61" s="2">
        <f t="shared" ca="1" si="24"/>
        <v>1995734.6948829833</v>
      </c>
      <c r="V61" s="2">
        <f t="shared" ca="1" si="24"/>
        <v>3348080.3917028736</v>
      </c>
      <c r="W61" s="2">
        <f t="shared" ca="1" si="24"/>
        <v>2010205.0065481486</v>
      </c>
      <c r="X61" s="305">
        <f ca="1">SUM(L61:W61)</f>
        <v>-1377481.7570048822</v>
      </c>
      <c r="Y61" s="2">
        <f t="shared" ref="Y61:AJ61" ca="1" si="25">Y27-SUM(Y57:Y60)</f>
        <v>1663472.3208403159</v>
      </c>
      <c r="Z61" s="2">
        <f t="shared" ca="1" si="25"/>
        <v>537831.87090318557</v>
      </c>
      <c r="AA61" s="2">
        <f t="shared" si="25"/>
        <v>2568116.6658183355</v>
      </c>
      <c r="AB61" s="2">
        <f t="shared" si="25"/>
        <v>3540381.4671466192</v>
      </c>
      <c r="AC61" s="2">
        <f t="shared" si="25"/>
        <v>666660.41902377782</v>
      </c>
      <c r="AD61" s="2">
        <f t="shared" si="25"/>
        <v>-2376726.44364856</v>
      </c>
      <c r="AE61" s="2">
        <f t="shared" si="25"/>
        <v>1626341.828916857</v>
      </c>
      <c r="AF61" s="2">
        <f t="shared" ca="1" si="25"/>
        <v>3882846.3318063449</v>
      </c>
      <c r="AG61" s="2">
        <f t="shared" ca="1" si="25"/>
        <v>1333032.9967503818</v>
      </c>
      <c r="AH61" s="2">
        <f t="shared" ca="1" si="25"/>
        <v>5375656.3263210207</v>
      </c>
      <c r="AI61" s="2">
        <f t="shared" ca="1" si="25"/>
        <v>7061096.3989310991</v>
      </c>
      <c r="AJ61" s="2">
        <f t="shared" ca="1" si="25"/>
        <v>5699373.2686239649</v>
      </c>
      <c r="AK61" s="305">
        <f ca="1">SUM(Y61:AJ61)</f>
        <v>31578083.451433338</v>
      </c>
    </row>
    <row r="62" spans="3:37" x14ac:dyDescent="0.3">
      <c r="C62" s="8" t="s">
        <v>1883</v>
      </c>
      <c r="D62" s="150">
        <f>D61</f>
        <v>-2472887.1107211802</v>
      </c>
      <c r="E62" s="150">
        <f t="shared" ref="E62:J62" si="26">E61+D62</f>
        <v>-3392564.3321395591</v>
      </c>
      <c r="F62" s="150">
        <f t="shared" ca="1" si="26"/>
        <v>-4555025.9578498248</v>
      </c>
      <c r="G62" s="150">
        <f t="shared" ca="1" si="26"/>
        <v>-6445855.9165756665</v>
      </c>
      <c r="H62" s="150">
        <f t="shared" ca="1" si="26"/>
        <v>-4537159.9628244936</v>
      </c>
      <c r="I62" s="150">
        <f t="shared" ca="1" si="26"/>
        <v>-946334.40268330649</v>
      </c>
      <c r="J62" s="150">
        <f t="shared" ca="1" si="26"/>
        <v>1467663.2008160418</v>
      </c>
      <c r="K62" s="305">
        <f ca="1">J62</f>
        <v>1467663.2008160418</v>
      </c>
      <c r="L62" s="150">
        <f ca="1">L61+J62</f>
        <v>1093317.2804593169</v>
      </c>
      <c r="M62" s="150">
        <f t="shared" ref="M62:W62" ca="1" si="27">M61+L62</f>
        <v>-193774.21815909585</v>
      </c>
      <c r="N62" s="150">
        <f t="shared" ca="1" si="27"/>
        <v>1437933.3204090516</v>
      </c>
      <c r="O62" s="150">
        <f t="shared" ca="1" si="27"/>
        <v>1475428.3270616336</v>
      </c>
      <c r="P62" s="150">
        <f t="shared" ca="1" si="27"/>
        <v>-759789.9587123869</v>
      </c>
      <c r="Q62" s="150">
        <f t="shared" ca="1" si="27"/>
        <v>-5386819.3423512904</v>
      </c>
      <c r="R62" s="150">
        <f t="shared" ca="1" si="27"/>
        <v>-6445666.3044455107</v>
      </c>
      <c r="S62" s="150">
        <f t="shared" ca="1" si="27"/>
        <v>-5807714.0251082322</v>
      </c>
      <c r="T62" s="150">
        <f t="shared" ca="1" si="27"/>
        <v>-7263838.649322845</v>
      </c>
      <c r="U62" s="150">
        <f t="shared" ca="1" si="27"/>
        <v>-5268103.9544398617</v>
      </c>
      <c r="V62" s="150">
        <f t="shared" ca="1" si="27"/>
        <v>-1920023.5627369881</v>
      </c>
      <c r="W62" s="150">
        <f t="shared" ca="1" si="27"/>
        <v>90181.443811160512</v>
      </c>
      <c r="X62" s="305">
        <f ca="1">W62</f>
        <v>90181.443811160512</v>
      </c>
      <c r="Y62" s="150">
        <f t="shared" ref="Y62:AJ62" ca="1" si="28">Y61+X62</f>
        <v>1753653.7646514764</v>
      </c>
      <c r="Z62" s="150">
        <f t="shared" ca="1" si="28"/>
        <v>2291485.635554662</v>
      </c>
      <c r="AA62" s="150">
        <f t="shared" ca="1" si="28"/>
        <v>4859602.3013729975</v>
      </c>
      <c r="AB62" s="150">
        <f t="shared" ca="1" si="28"/>
        <v>8399983.7685196176</v>
      </c>
      <c r="AC62" s="150">
        <f t="shared" ca="1" si="28"/>
        <v>9066644.1875433959</v>
      </c>
      <c r="AD62" s="150">
        <f t="shared" ca="1" si="28"/>
        <v>6689917.7438948359</v>
      </c>
      <c r="AE62" s="150">
        <f t="shared" ca="1" si="28"/>
        <v>8316259.572811693</v>
      </c>
      <c r="AF62" s="150">
        <f t="shared" ca="1" si="28"/>
        <v>12199105.904618038</v>
      </c>
      <c r="AG62" s="150">
        <f t="shared" ca="1" si="28"/>
        <v>13532138.901368421</v>
      </c>
      <c r="AH62" s="150">
        <f t="shared" ca="1" si="28"/>
        <v>18907795.227689441</v>
      </c>
      <c r="AI62" s="150">
        <f t="shared" ca="1" si="28"/>
        <v>25968891.626620539</v>
      </c>
      <c r="AJ62" s="150">
        <f t="shared" ca="1" si="28"/>
        <v>31668264.895244502</v>
      </c>
      <c r="AK62" s="305">
        <f ca="1">AJ62</f>
        <v>31668264.895244502</v>
      </c>
    </row>
    <row r="63" spans="3:37" x14ac:dyDescent="0.3">
      <c r="C63" s="4"/>
      <c r="K63" s="298"/>
      <c r="X63" s="298"/>
      <c r="AK63" s="298"/>
    </row>
    <row r="64" spans="3:37" x14ac:dyDescent="0.3">
      <c r="C64" t="s">
        <v>1886</v>
      </c>
      <c r="D64" s="2">
        <f>D52-D60</f>
        <v>0</v>
      </c>
      <c r="E64" s="2">
        <f t="shared" ref="E64:J64" si="29">D64+E51-E60</f>
        <v>36000000</v>
      </c>
      <c r="F64" s="2">
        <f t="shared" si="29"/>
        <v>48794983.453672774</v>
      </c>
      <c r="G64" s="2">
        <f t="shared" si="29"/>
        <v>53794983.453672774</v>
      </c>
      <c r="H64" s="2">
        <f t="shared" ca="1" si="29"/>
        <v>55544983.453672774</v>
      </c>
      <c r="I64" s="2">
        <f t="shared" ca="1" si="29"/>
        <v>56294983.453672774</v>
      </c>
      <c r="J64" s="2">
        <f t="shared" ca="1" si="29"/>
        <v>57044983.453672774</v>
      </c>
      <c r="K64" s="305">
        <f ca="1">J64</f>
        <v>57044983.453672774</v>
      </c>
      <c r="L64" s="2">
        <f ca="1">K64+L51-L60</f>
        <v>56044983.453672774</v>
      </c>
      <c r="M64" s="2">
        <f ca="1">L64+M51-M60</f>
        <v>55044983.453672774</v>
      </c>
      <c r="N64" s="2">
        <f t="shared" ref="N64:W64" ca="1" si="30">M64+N51-N60</f>
        <v>54044983.453672774</v>
      </c>
      <c r="O64" s="2">
        <f t="shared" ca="1" si="30"/>
        <v>52044983.453672774</v>
      </c>
      <c r="P64" s="2">
        <f t="shared" ca="1" si="30"/>
        <v>50044983.453672774</v>
      </c>
      <c r="Q64" s="2">
        <f t="shared" ca="1" si="30"/>
        <v>48044983.453672774</v>
      </c>
      <c r="R64" s="2">
        <f t="shared" ca="1" si="30"/>
        <v>46044983.453672774</v>
      </c>
      <c r="S64" s="2">
        <f t="shared" ca="1" si="30"/>
        <v>44044983.453672774</v>
      </c>
      <c r="T64" s="2">
        <f t="shared" ca="1" si="30"/>
        <v>42044983.453672774</v>
      </c>
      <c r="U64" s="2">
        <f t="shared" ca="1" si="30"/>
        <v>40044983.453672774</v>
      </c>
      <c r="V64" s="2">
        <f t="shared" ca="1" si="30"/>
        <v>38044983.453672774</v>
      </c>
      <c r="W64" s="2">
        <f t="shared" ca="1" si="30"/>
        <v>36044983.453672774</v>
      </c>
      <c r="X64" s="305">
        <f ca="1">W64</f>
        <v>36044983.453672774</v>
      </c>
      <c r="Y64" s="2">
        <f ca="1">X64+Y51-Y60</f>
        <v>34044983.453672774</v>
      </c>
      <c r="Z64" s="2">
        <f t="shared" ref="Z64:AJ64" ca="1" si="31">Y64+Z51-Z60</f>
        <v>32044983.453672774</v>
      </c>
      <c r="AA64" s="2">
        <f t="shared" ca="1" si="31"/>
        <v>30044983.453672774</v>
      </c>
      <c r="AB64" s="2">
        <f t="shared" ca="1" si="31"/>
        <v>28044983.453672774</v>
      </c>
      <c r="AC64" s="2">
        <f t="shared" ca="1" si="31"/>
        <v>26044983.453672774</v>
      </c>
      <c r="AD64" s="2">
        <f t="shared" ca="1" si="31"/>
        <v>24044983.453672774</v>
      </c>
      <c r="AE64" s="2">
        <f t="shared" ca="1" si="31"/>
        <v>22044983.453672774</v>
      </c>
      <c r="AF64" s="2">
        <f t="shared" ca="1" si="31"/>
        <v>20044983.453672774</v>
      </c>
      <c r="AG64" s="2">
        <f t="shared" ca="1" si="31"/>
        <v>18044983.453672774</v>
      </c>
      <c r="AH64" s="2">
        <f t="shared" ca="1" si="31"/>
        <v>16044983.453672774</v>
      </c>
      <c r="AI64" s="2">
        <f t="shared" ca="1" si="31"/>
        <v>14044983.453672774</v>
      </c>
      <c r="AJ64" s="2">
        <f t="shared" ca="1" si="31"/>
        <v>12044983.453672774</v>
      </c>
      <c r="AK64" s="305">
        <f ca="1">AJ64</f>
        <v>12044983.453672774</v>
      </c>
    </row>
    <row r="65" spans="3:37" x14ac:dyDescent="0.3">
      <c r="C65" t="s">
        <v>1887</v>
      </c>
      <c r="D65" s="2">
        <f>'Interest Expense'!C23-D59</f>
        <v>26748000</v>
      </c>
      <c r="E65" s="2">
        <f>D65-E59</f>
        <v>26748000</v>
      </c>
      <c r="F65" s="2">
        <f t="shared" ref="F65:AJ65" si="32">E65-F59</f>
        <v>26748000</v>
      </c>
      <c r="G65" s="2">
        <f t="shared" si="32"/>
        <v>26748000</v>
      </c>
      <c r="H65" s="2">
        <f t="shared" si="32"/>
        <v>26748000</v>
      </c>
      <c r="I65" s="2">
        <f t="shared" si="32"/>
        <v>26748000</v>
      </c>
      <c r="J65" s="2">
        <f t="shared" si="32"/>
        <v>26748000</v>
      </c>
      <c r="K65" s="305">
        <f>J65</f>
        <v>26748000</v>
      </c>
      <c r="L65" s="2">
        <f t="shared" si="32"/>
        <v>25748000</v>
      </c>
      <c r="M65" s="2">
        <f t="shared" si="32"/>
        <v>24748000</v>
      </c>
      <c r="N65" s="2">
        <f t="shared" si="32"/>
        <v>23748000</v>
      </c>
      <c r="O65" s="2">
        <f t="shared" si="32"/>
        <v>22748000</v>
      </c>
      <c r="P65" s="2">
        <f t="shared" si="32"/>
        <v>21748000</v>
      </c>
      <c r="Q65" s="2">
        <f t="shared" si="32"/>
        <v>20748000</v>
      </c>
      <c r="R65" s="2">
        <f t="shared" si="32"/>
        <v>19748000</v>
      </c>
      <c r="S65" s="2">
        <f t="shared" si="32"/>
        <v>18748000</v>
      </c>
      <c r="T65" s="2">
        <f t="shared" si="32"/>
        <v>17748000</v>
      </c>
      <c r="U65" s="2">
        <f t="shared" si="32"/>
        <v>16748000</v>
      </c>
      <c r="V65" s="2">
        <f t="shared" si="32"/>
        <v>15748000</v>
      </c>
      <c r="W65" s="2">
        <f t="shared" si="32"/>
        <v>14748000</v>
      </c>
      <c r="X65" s="305">
        <f>W65</f>
        <v>14748000</v>
      </c>
      <c r="Y65" s="2">
        <f t="shared" si="32"/>
        <v>13748000</v>
      </c>
      <c r="Z65" s="2">
        <f t="shared" si="32"/>
        <v>12748000</v>
      </c>
      <c r="AA65" s="2">
        <f t="shared" si="32"/>
        <v>11748000</v>
      </c>
      <c r="AB65" s="2">
        <f t="shared" si="32"/>
        <v>10748000</v>
      </c>
      <c r="AC65" s="2">
        <f t="shared" si="32"/>
        <v>9748000</v>
      </c>
      <c r="AD65" s="2">
        <f t="shared" si="32"/>
        <v>8748000</v>
      </c>
      <c r="AE65" s="2">
        <f t="shared" si="32"/>
        <v>7748000</v>
      </c>
      <c r="AF65" s="2">
        <f t="shared" si="32"/>
        <v>6748000</v>
      </c>
      <c r="AG65" s="2">
        <f t="shared" si="32"/>
        <v>5748000</v>
      </c>
      <c r="AH65" s="2">
        <f t="shared" si="32"/>
        <v>4748000</v>
      </c>
      <c r="AI65" s="2">
        <f t="shared" si="32"/>
        <v>3748000</v>
      </c>
      <c r="AJ65" s="2">
        <f t="shared" si="32"/>
        <v>3000000</v>
      </c>
      <c r="AK65" s="305">
        <f>AJ65</f>
        <v>3000000</v>
      </c>
    </row>
    <row r="67" spans="3:37" x14ac:dyDescent="0.3">
      <c r="C67" t="s">
        <v>1889</v>
      </c>
      <c r="D67" s="2"/>
      <c r="E67" s="2">
        <f>'Interest Expense'!S43-'Linea Sesajal'!E23</f>
        <v>1025733.8734374307</v>
      </c>
      <c r="F67" s="2">
        <f ca="1">'Interest Expense'!T43-'Linea Sesajal'!F23</f>
        <v>696936.06180302659</v>
      </c>
      <c r="G67" s="2">
        <f ca="1">'Interest Expense'!U43-'Linea Sesajal'!G23</f>
        <v>594058.99810373876</v>
      </c>
      <c r="H67" s="2">
        <f ca="1">'Interest Expense'!V43-'Linea Sesajal'!H23</f>
        <v>500599.16473463783</v>
      </c>
      <c r="I67" s="2">
        <f ca="1">'Interest Expense'!W43-'Linea Sesajal'!I23</f>
        <v>512993.94996382296</v>
      </c>
      <c r="J67" s="2">
        <f ca="1">'Interest Expense'!Y43-'Linea Sesajal'!J23</f>
        <v>512886.37429467472</v>
      </c>
      <c r="K67" s="305">
        <f ca="1">SUM(D67:J67)</f>
        <v>3843208.4223373318</v>
      </c>
    </row>
  </sheetData>
  <pageMargins left="0.7" right="0.7" top="0.75" bottom="0.75" header="0.3" footer="0.3"/>
  <headerFooter>
    <oddHeader>&amp;R&amp;"Calibri"&amp;10&amp;K000000 Confidencial&amp;1#_x000D_</oddHead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1BCE-760B-4CB5-8817-BA6263C7AE8C}">
  <sheetPr codeName="Sheet18">
    <tabColor rgb="FF0066FF"/>
    <pageSetUpPr autoPageBreaks="0"/>
  </sheetPr>
  <dimension ref="A1:AT214"/>
  <sheetViews>
    <sheetView zoomScale="84" zoomScaleNormal="60" workbookViewId="0">
      <pane xSplit="1" ySplit="4" topLeftCell="O145" activePane="bottomRight" state="frozen"/>
      <selection pane="topRight" activeCell="B1" sqref="B1"/>
      <selection pane="bottomLeft" activeCell="A5" sqref="A5"/>
      <selection pane="bottomRight" activeCell="Z61" sqref="Z61"/>
    </sheetView>
  </sheetViews>
  <sheetFormatPr baseColWidth="10" defaultColWidth="11" defaultRowHeight="14.4" x14ac:dyDescent="0.3"/>
  <cols>
    <col min="1" max="1" width="37.109375" customWidth="1"/>
    <col min="2" max="2" width="12" customWidth="1"/>
    <col min="3" max="4" width="11.44140625" customWidth="1"/>
    <col min="5" max="6" width="12" customWidth="1"/>
    <col min="7" max="7" width="13.5546875" customWidth="1"/>
    <col min="8" max="9" width="13.5546875" bestFit="1" customWidth="1"/>
    <col min="10" max="13" width="12" bestFit="1" customWidth="1"/>
    <col min="14" max="14" width="12.33203125" bestFit="1" customWidth="1"/>
    <col min="15" max="19" width="12" bestFit="1" customWidth="1"/>
    <col min="20" max="20" width="11.88671875" bestFit="1" customWidth="1"/>
    <col min="21" max="26" width="11.88671875" customWidth="1"/>
    <col min="27" max="27" width="12.33203125" bestFit="1" customWidth="1"/>
    <col min="28" max="39" width="12.33203125" customWidth="1"/>
    <col min="40" max="40" width="12.33203125" bestFit="1" customWidth="1"/>
    <col min="41" max="42" width="0.88671875" customWidth="1"/>
    <col min="43" max="44" width="12.109375" bestFit="1" customWidth="1"/>
    <col min="45" max="45" width="11" bestFit="1" customWidth="1"/>
    <col min="46" max="46" width="12" customWidth="1"/>
  </cols>
  <sheetData>
    <row r="1" spans="1:46" ht="25.8" x14ac:dyDescent="0.5">
      <c r="A1" s="77">
        <v>2025</v>
      </c>
      <c r="G1" s="2"/>
    </row>
    <row r="2" spans="1:46" x14ac:dyDescent="0.3">
      <c r="A2" s="78" t="s">
        <v>1591</v>
      </c>
      <c r="B2" s="79">
        <f>'[2]P&amp;L CONSOLIDADO Mensual'!$C$94</f>
        <v>19.017099999999999</v>
      </c>
      <c r="C2" s="79">
        <f>'[2]P&amp;L CONSOLIDADO Mensual'!$F$94</f>
        <v>18.622199999999999</v>
      </c>
      <c r="D2" s="79">
        <f>'[2]P&amp;L CONSOLIDADO Mensual'!$I$94</f>
        <v>18.3887</v>
      </c>
      <c r="E2" s="79">
        <f>'[2]P&amp;L CONSOLIDADO Mensual'!$L$94</f>
        <v>18.087900000000001</v>
      </c>
      <c r="F2" s="79">
        <f>'[2]P&amp;L CONSOLIDADO Mensual'!$O$94</f>
        <v>17.748899999999999</v>
      </c>
      <c r="G2" s="79">
        <f>'[2]P&amp;L CONSOLIDADO Mensual'!$R$94</f>
        <v>17.268799999999999</v>
      </c>
      <c r="H2" s="79">
        <f>'[2]P&amp;L CONSOLIDADO Mensual'!$U$94</f>
        <v>0</v>
      </c>
      <c r="I2" s="79">
        <f>'[2]P&amp;L CONSOLIDADO Mensual'!$X$94</f>
        <v>0</v>
      </c>
      <c r="J2" s="79">
        <f>'[2]P&amp;L CONSOLIDADO Mensual'!$AA$94</f>
        <v>0</v>
      </c>
      <c r="K2" s="79">
        <f>'[2]P&amp;L CONSOLIDADO Mensual'!$AD$94</f>
        <v>0</v>
      </c>
      <c r="L2" s="79">
        <f>'[2]P&amp;L CONSOLIDADO Mensual'!$AG$94</f>
        <v>0</v>
      </c>
      <c r="M2" s="79">
        <f>'[2]P&amp;L CONSOLIDADO Mensual'!$AJ$94</f>
        <v>0</v>
      </c>
      <c r="N2" s="79">
        <f>'[2]P&amp;L CONSOLIDADO Mensual'!$AN$94</f>
        <v>0</v>
      </c>
      <c r="O2" s="79"/>
      <c r="P2" s="263">
        <f>687500</f>
        <v>687500</v>
      </c>
      <c r="Q2" s="264">
        <v>0.27500000000000002</v>
      </c>
      <c r="R2" s="263">
        <f>(Q2/365)*80*S2</f>
        <v>687500</v>
      </c>
      <c r="S2" s="263">
        <v>11406250</v>
      </c>
      <c r="T2" s="263">
        <f>P2-R2</f>
        <v>0</v>
      </c>
      <c r="U2" s="263"/>
      <c r="V2" s="263"/>
      <c r="W2" s="263"/>
      <c r="X2" s="263"/>
      <c r="Y2" s="263"/>
      <c r="Z2" s="263"/>
      <c r="AA2" s="79">
        <f>'[2]P&amp;L CONSOLIDADO Mensual'!$AN$94</f>
        <v>0</v>
      </c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>
        <f>'[2]P&amp;L CONSOLIDADO Mensual'!$AN$94</f>
        <v>0</v>
      </c>
      <c r="AO2" s="80"/>
      <c r="AP2" s="80"/>
      <c r="AQ2" s="80"/>
    </row>
    <row r="3" spans="1:46" ht="15" thickBot="1" x14ac:dyDescent="0.35">
      <c r="A3" s="78">
        <f>'[2]P&amp;L CONSOLIDADO Mensual'!B95</f>
        <v>19.361499999999999</v>
      </c>
      <c r="B3" s="79">
        <f>'[2]P&amp;L CONSOLIDADO Mensual'!$C$95</f>
        <v>18.779299999999999</v>
      </c>
      <c r="C3" s="79">
        <f>'[2]P&amp;L CONSOLIDADO Mensual'!$F$95</f>
        <v>18.407699999999998</v>
      </c>
      <c r="D3" s="79">
        <f>'[2]P&amp;L CONSOLIDADO Mensual'!$I$95</f>
        <v>18.0932</v>
      </c>
      <c r="E3" s="79">
        <f>'[2]P&amp;L CONSOLIDADO Mensual'!$L$95</f>
        <v>18.072299999999998</v>
      </c>
      <c r="F3" s="79">
        <f>'[2]P&amp;L CONSOLIDADO Mensual'!$O$95</f>
        <v>17.653199999999998</v>
      </c>
      <c r="G3" s="79">
        <f>'[2]P&amp;L CONSOLIDADO Mensual'!$R$95</f>
        <v>17.1187</v>
      </c>
      <c r="H3" s="79">
        <f>'[2]P&amp;L CONSOLIDADO Mensual'!$U$95</f>
        <v>17</v>
      </c>
      <c r="I3" s="79">
        <f>'[2]P&amp;L CONSOLIDADO Mensual'!$X$95</f>
        <v>17</v>
      </c>
      <c r="J3" s="79">
        <f>'[2]P&amp;L CONSOLIDADO Mensual'!$AA$95</f>
        <v>17</v>
      </c>
      <c r="K3" s="79">
        <f>'[2]P&amp;L CONSOLIDADO Mensual'!$AD$95</f>
        <v>17.5</v>
      </c>
      <c r="L3" s="79">
        <f>'[2]P&amp;L CONSOLIDADO Mensual'!$AG$95</f>
        <v>17.5</v>
      </c>
      <c r="M3" s="79">
        <f>'[2]P&amp;L CONSOLIDADO Mensual'!$AJ$95</f>
        <v>17.5</v>
      </c>
      <c r="N3" s="79">
        <f>'[2]P&amp;L CONSOLIDADO Mensual'!$AN$95</f>
        <v>17.635366666666666</v>
      </c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>
        <f>'[2]P&amp;L CONSOLIDADO Mensual'!$AN$95</f>
        <v>17.635366666666666</v>
      </c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>
        <f>'[2]P&amp;L CONSOLIDADO Mensual'!$AN$95</f>
        <v>17.635366666666666</v>
      </c>
      <c r="AO3" s="79"/>
      <c r="AP3" s="79"/>
    </row>
    <row r="4" spans="1:46" ht="18.600000000000001" thickBot="1" x14ac:dyDescent="0.4">
      <c r="A4" s="81"/>
      <c r="B4" s="154" t="s">
        <v>1592</v>
      </c>
      <c r="C4" s="154" t="s">
        <v>1593</v>
      </c>
      <c r="D4" s="154" t="s">
        <v>1594</v>
      </c>
      <c r="E4" s="82" t="s">
        <v>1687</v>
      </c>
      <c r="F4" s="82" t="s">
        <v>1688</v>
      </c>
      <c r="G4" s="82" t="s">
        <v>1689</v>
      </c>
      <c r="H4" s="82" t="s">
        <v>1595</v>
      </c>
      <c r="I4" s="82" t="s">
        <v>1596</v>
      </c>
      <c r="J4" s="82" t="s">
        <v>1597</v>
      </c>
      <c r="K4" s="82" t="s">
        <v>1598</v>
      </c>
      <c r="L4" s="82" t="s">
        <v>1599</v>
      </c>
      <c r="M4" s="82" t="s">
        <v>1600</v>
      </c>
      <c r="N4" s="82" t="s">
        <v>1601</v>
      </c>
      <c r="O4" s="82" t="s">
        <v>1698</v>
      </c>
      <c r="P4" s="82" t="s">
        <v>1822</v>
      </c>
      <c r="Q4" s="82" t="s">
        <v>1823</v>
      </c>
      <c r="R4" s="82" t="s">
        <v>1687</v>
      </c>
      <c r="S4" s="82" t="s">
        <v>1688</v>
      </c>
      <c r="T4" s="82" t="s">
        <v>1689</v>
      </c>
      <c r="U4" s="82" t="s">
        <v>1595</v>
      </c>
      <c r="V4" s="82" t="s">
        <v>1596</v>
      </c>
      <c r="W4" s="82" t="s">
        <v>1597</v>
      </c>
      <c r="X4" s="82" t="s">
        <v>1598</v>
      </c>
      <c r="Y4" s="82" t="s">
        <v>1599</v>
      </c>
      <c r="Z4" s="82" t="s">
        <v>1600</v>
      </c>
      <c r="AA4" s="82" t="s">
        <v>1601</v>
      </c>
      <c r="AB4" s="82" t="s">
        <v>1698</v>
      </c>
      <c r="AC4" s="82" t="s">
        <v>1822</v>
      </c>
      <c r="AD4" s="82" t="s">
        <v>1823</v>
      </c>
      <c r="AE4" s="82" t="s">
        <v>1687</v>
      </c>
      <c r="AF4" s="82" t="s">
        <v>1688</v>
      </c>
      <c r="AG4" s="82" t="s">
        <v>1689</v>
      </c>
      <c r="AH4" s="82" t="s">
        <v>1595</v>
      </c>
      <c r="AI4" s="82" t="s">
        <v>1596</v>
      </c>
      <c r="AJ4" s="82" t="s">
        <v>1597</v>
      </c>
      <c r="AK4" s="82" t="s">
        <v>1598</v>
      </c>
      <c r="AL4" s="82" t="s">
        <v>1599</v>
      </c>
      <c r="AM4" s="82" t="s">
        <v>1600</v>
      </c>
      <c r="AN4" s="82" t="s">
        <v>1601</v>
      </c>
      <c r="AO4" s="83"/>
      <c r="AP4" s="83"/>
    </row>
    <row r="5" spans="1:46" x14ac:dyDescent="0.3">
      <c r="A5" s="70"/>
      <c r="B5" s="84"/>
      <c r="C5" s="84"/>
      <c r="D5" s="84"/>
      <c r="E5" s="85"/>
      <c r="F5" s="85"/>
      <c r="G5" s="84"/>
      <c r="H5" s="84"/>
      <c r="I5" s="84"/>
      <c r="J5" s="84"/>
      <c r="K5" s="84"/>
      <c r="L5" s="84"/>
      <c r="M5" s="86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7"/>
      <c r="AP5" s="87"/>
    </row>
    <row r="6" spans="1:46" ht="15.6" x14ac:dyDescent="0.3">
      <c r="A6" s="88" t="s">
        <v>1602</v>
      </c>
      <c r="B6" s="153"/>
      <c r="C6" s="153"/>
      <c r="D6" s="153"/>
      <c r="E6" s="153"/>
      <c r="F6" s="153">
        <f>(C158+D158)/2</f>
        <v>14260344.79999999</v>
      </c>
      <c r="G6" s="153">
        <f t="shared" ref="G6:M6" si="0">(D158+E158)/2</f>
        <v>14870117.424999995</v>
      </c>
      <c r="H6" s="153">
        <f t="shared" si="0"/>
        <v>19009320.774999991</v>
      </c>
      <c r="I6" s="153">
        <f t="shared" si="0"/>
        <v>19040749.829999991</v>
      </c>
      <c r="J6" s="153">
        <f t="shared" si="0"/>
        <v>20273981.399999999</v>
      </c>
      <c r="K6" s="153">
        <f t="shared" ca="1" si="0"/>
        <v>24100482.969169278</v>
      </c>
      <c r="L6" s="153">
        <f t="shared" ca="1" si="0"/>
        <v>23696498.362561949</v>
      </c>
      <c r="M6" s="153">
        <f t="shared" ca="1" si="0"/>
        <v>22301534.709052444</v>
      </c>
      <c r="N6" s="153">
        <f ca="1">SUM(B6,C6,D6,E6,F6,G6,H6,I6,J6,K6,L6,M6)</f>
        <v>157553030.27078363</v>
      </c>
      <c r="O6" s="153">
        <f ca="1">(K158+L158)/2</f>
        <v>21006409.921839666</v>
      </c>
      <c r="P6" s="153">
        <f ca="1">(L158+M158)/2</f>
        <v>20598557.512459785</v>
      </c>
      <c r="Q6" s="153">
        <f>(M158+O158)/2</f>
        <v>22155402.268154893</v>
      </c>
      <c r="R6" s="153">
        <f>(O158+P158)/2</f>
        <v>21548104.251624994</v>
      </c>
      <c r="S6" s="153">
        <f t="shared" ref="S6:Z6" si="1">(P158+Q158)/2</f>
        <v>18095931.794499986</v>
      </c>
      <c r="T6" s="153">
        <f t="shared" si="1"/>
        <v>19012085.994999997</v>
      </c>
      <c r="U6" s="153">
        <f t="shared" si="1"/>
        <v>23924451.947374992</v>
      </c>
      <c r="V6" s="153">
        <f t="shared" si="1"/>
        <v>23903384.121749986</v>
      </c>
      <c r="W6" s="153">
        <f t="shared" si="1"/>
        <v>25450154.589999992</v>
      </c>
      <c r="X6" s="153">
        <f t="shared" ca="1" si="1"/>
        <v>30085459.473086596</v>
      </c>
      <c r="Y6" s="153">
        <f t="shared" ca="1" si="1"/>
        <v>29620622.953202434</v>
      </c>
      <c r="Z6" s="153">
        <f t="shared" ca="1" si="1"/>
        <v>27876918.386315554</v>
      </c>
      <c r="AA6" s="153">
        <f ca="1">SUM(O6,P6,Q6,R6,S6,T6,U6,V6,W6,X6,Y6,Z6)</f>
        <v>283277483.2153089</v>
      </c>
      <c r="AB6" s="153">
        <f ca="1">(X158+Y158)/2</f>
        <v>26258012.402299583</v>
      </c>
      <c r="AC6" s="153">
        <f ca="1">(Y158+Z158)/2</f>
        <v>25748196.890574731</v>
      </c>
      <c r="AD6" s="153">
        <f>(Z158+AB158)/2</f>
        <v>27675385.904287364</v>
      </c>
      <c r="AE6" s="153">
        <f>(AB158+AC158)/2</f>
        <v>26915921.438962497</v>
      </c>
      <c r="AF6" s="153">
        <f t="shared" ref="AF6:AM6" si="2">(AC158+AD158)/2</f>
        <v>22692720.547874987</v>
      </c>
      <c r="AG6" s="153">
        <f t="shared" si="2"/>
        <v>23589175.389237493</v>
      </c>
      <c r="AH6" s="153">
        <f t="shared" si="2"/>
        <v>29564239.707668744</v>
      </c>
      <c r="AI6" s="153">
        <f t="shared" si="2"/>
        <v>29777183.223506231</v>
      </c>
      <c r="AJ6" s="153">
        <f t="shared" si="2"/>
        <v>31540656.81742499</v>
      </c>
      <c r="AK6" s="153">
        <f t="shared" ca="1" si="2"/>
        <v>37088171.455600075</v>
      </c>
      <c r="AL6" s="153">
        <f t="shared" ca="1" si="2"/>
        <v>36560233.113538168</v>
      </c>
      <c r="AM6" s="153">
        <f t="shared" ca="1" si="2"/>
        <v>34531058.914572731</v>
      </c>
      <c r="AN6" s="153">
        <f ca="1">SUM(AB6,AC6,AD6,AE6,AF6,AG6,AH6,AI6,AJ6,AK6,AL6,AM6)</f>
        <v>351940955.80554754</v>
      </c>
      <c r="AO6" s="87"/>
      <c r="AP6" s="87"/>
      <c r="AQ6" s="4"/>
    </row>
    <row r="7" spans="1:46" hidden="1" x14ac:dyDescent="0.3">
      <c r="A7" s="71" t="s">
        <v>1603</v>
      </c>
      <c r="B7" s="90"/>
      <c r="C7" s="90"/>
      <c r="D7" s="90"/>
      <c r="E7" s="90"/>
      <c r="F7" s="90">
        <f t="shared" ref="F7:M8" si="3">F6*$AQ7</f>
        <v>10970093.027433237</v>
      </c>
      <c r="G7" s="90">
        <f t="shared" si="3"/>
        <v>11439174.421722682</v>
      </c>
      <c r="H7" s="90">
        <f t="shared" si="3"/>
        <v>14623350.291647179</v>
      </c>
      <c r="I7" s="90">
        <f t="shared" si="3"/>
        <v>14647527.803618301</v>
      </c>
      <c r="J7" s="90">
        <f t="shared" si="3"/>
        <v>15596219.103653882</v>
      </c>
      <c r="K7" s="90">
        <f t="shared" ca="1" si="3"/>
        <v>18539842.050513223</v>
      </c>
      <c r="L7" s="90">
        <f t="shared" ca="1" si="3"/>
        <v>18229067.747487012</v>
      </c>
      <c r="M7" s="90">
        <f t="shared" ca="1" si="3"/>
        <v>17155960.381325193</v>
      </c>
      <c r="N7" s="90">
        <f ca="1">SUM(B7,C7,D7,E7,F7,G7,H7,I7,J7,K7,L7,M7)</f>
        <v>121201234.82740071</v>
      </c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90">
        <f>SUM(O7,P7,Q7,R7,S7,T7,U7,V7,W7,X7,Y7,Z7)</f>
        <v>0</v>
      </c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90">
        <f>SUM(AB7,AC7,AD7,AE7,AF7,AG7,AH7,AI7,AJ7,AK7,AL7,AM7)</f>
        <v>0</v>
      </c>
      <c r="AO7" s="91"/>
      <c r="AP7" s="91"/>
      <c r="AQ7" s="92">
        <v>0.76927263549989655</v>
      </c>
      <c r="AR7" s="92">
        <f ca="1">N7/($N$7+$N$8)</f>
        <v>0.81252763921941362</v>
      </c>
    </row>
    <row r="8" spans="1:46" hidden="1" x14ac:dyDescent="0.3">
      <c r="A8" s="71" t="s">
        <v>1604</v>
      </c>
      <c r="B8" s="90"/>
      <c r="C8" s="90"/>
      <c r="D8" s="90"/>
      <c r="E8" s="90"/>
      <c r="F8" s="90">
        <f t="shared" si="3"/>
        <v>2531100.652540633</v>
      </c>
      <c r="G8" s="90">
        <f t="shared" si="3"/>
        <v>2639330.5663810708</v>
      </c>
      <c r="H8" s="90">
        <f t="shared" si="3"/>
        <v>3374007.0729535744</v>
      </c>
      <c r="I8" s="90">
        <f t="shared" si="3"/>
        <v>3379585.4865708412</v>
      </c>
      <c r="J8" s="90">
        <f t="shared" si="3"/>
        <v>3598474.5299522276</v>
      </c>
      <c r="K8" s="90">
        <f t="shared" ca="1" si="3"/>
        <v>4277648.8945631115</v>
      </c>
      <c r="L8" s="90">
        <f t="shared" ca="1" si="3"/>
        <v>4205944.7586715175</v>
      </c>
      <c r="M8" s="90">
        <f t="shared" ca="1" si="3"/>
        <v>3958349.5242513535</v>
      </c>
      <c r="N8" s="90">
        <f ca="1">SUM(B8,C8,D8,E8,F8,G8,H8,I8,J8,K8,L8,M8)</f>
        <v>27964441.485884331</v>
      </c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90">
        <f>SUM(O8,P8,Q8,R8,S8,T8,U8,V8,W8,X8,Y8,Z8)</f>
        <v>0</v>
      </c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90">
        <f>SUM(AB8,AC8,AD8,AE8,AF8,AG8,AH8,AI8,AJ8,AK8,AL8,AM8)</f>
        <v>0</v>
      </c>
      <c r="AO8" s="91"/>
      <c r="AP8" s="91"/>
      <c r="AQ8" s="92">
        <v>0.23072736450010356</v>
      </c>
      <c r="AR8" s="92">
        <f ca="1">N8/($N$7+$N$8)</f>
        <v>0.18747236078058629</v>
      </c>
    </row>
    <row r="9" spans="1:46" hidden="1" x14ac:dyDescent="0.3">
      <c r="A9" s="71" t="s">
        <v>1605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9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90"/>
      <c r="AO9" s="91"/>
      <c r="AP9" s="91"/>
      <c r="AQ9" s="92"/>
      <c r="AR9" s="92"/>
    </row>
    <row r="10" spans="1:46" hidden="1" x14ac:dyDescent="0.3">
      <c r="A10" s="70"/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3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3"/>
      <c r="AO10" s="87"/>
      <c r="AP10" s="87"/>
    </row>
    <row r="11" spans="1:46" ht="15.6" x14ac:dyDescent="0.3">
      <c r="A11" s="88" t="s">
        <v>1606</v>
      </c>
      <c r="B11" s="89"/>
      <c r="C11" s="89"/>
      <c r="D11" s="89"/>
      <c r="E11" s="89"/>
      <c r="F11" s="89">
        <f t="shared" ref="F11:T11" si="4">+F13+F16+F18</f>
        <v>15405064.225721162</v>
      </c>
      <c r="G11" s="89">
        <f t="shared" si="4"/>
        <v>16143004.535721175</v>
      </c>
      <c r="H11" s="89">
        <f t="shared" si="4"/>
        <v>19068042.385721166</v>
      </c>
      <c r="I11" s="89">
        <f t="shared" ca="1" si="4"/>
        <v>16012464.169932768</v>
      </c>
      <c r="J11" s="89">
        <f t="shared" ca="1" si="4"/>
        <v>18287734.884502508</v>
      </c>
      <c r="K11" s="89">
        <f t="shared" ca="1" si="4"/>
        <v>20080956.547977239</v>
      </c>
      <c r="L11" s="89">
        <f t="shared" ca="1" si="4"/>
        <v>18608389.462486032</v>
      </c>
      <c r="M11" s="89">
        <f t="shared" ca="1" si="4"/>
        <v>18396859.947895318</v>
      </c>
      <c r="N11" s="89">
        <f t="shared" ca="1" si="4"/>
        <v>208623620.44567853</v>
      </c>
      <c r="O11" s="89">
        <f t="shared" ca="1" si="4"/>
        <v>17896792.442484714</v>
      </c>
      <c r="P11" s="89">
        <f t="shared" si="4"/>
        <v>18408509.359311711</v>
      </c>
      <c r="Q11" s="89">
        <f t="shared" si="4"/>
        <v>18426282.119774301</v>
      </c>
      <c r="R11" s="89">
        <f t="shared" si="4"/>
        <v>17080092.191206798</v>
      </c>
      <c r="S11" s="89">
        <f t="shared" si="4"/>
        <v>15921348.094206795</v>
      </c>
      <c r="T11" s="153">
        <f t="shared" si="4"/>
        <v>19253206.183061626</v>
      </c>
      <c r="U11" s="153">
        <f t="shared" ref="U11:AA11" si="5">+U13+U16+U18</f>
        <v>20617980.474774126</v>
      </c>
      <c r="V11" s="153">
        <f t="shared" ca="1" si="5"/>
        <v>18923543.528768256</v>
      </c>
      <c r="W11" s="153">
        <f t="shared" ca="1" si="5"/>
        <v>22586135.939828884</v>
      </c>
      <c r="X11" s="153">
        <f t="shared" ca="1" si="5"/>
        <v>23790109.954021771</v>
      </c>
      <c r="Y11" s="153">
        <f t="shared" ca="1" si="5"/>
        <v>21993565.323431678</v>
      </c>
      <c r="Z11" s="153">
        <f t="shared" ca="1" si="5"/>
        <v>21608189.98351492</v>
      </c>
      <c r="AA11" s="89">
        <f t="shared" ca="1" si="5"/>
        <v>236505755.59438556</v>
      </c>
      <c r="AB11" s="153">
        <f t="shared" ref="AB11:AN11" ca="1" si="6">+AB13+AB16+AB18</f>
        <v>20868704.737114284</v>
      </c>
      <c r="AC11" s="153">
        <f t="shared" si="6"/>
        <v>21504655.897989281</v>
      </c>
      <c r="AD11" s="153">
        <f t="shared" si="6"/>
        <v>21421796.853904393</v>
      </c>
      <c r="AE11" s="153">
        <f t="shared" si="6"/>
        <v>19710417.233303636</v>
      </c>
      <c r="AF11" s="153">
        <f t="shared" si="6"/>
        <v>18381402.391686384</v>
      </c>
      <c r="AG11" s="153">
        <f t="shared" si="6"/>
        <v>22341826.951728389</v>
      </c>
      <c r="AH11" s="153">
        <f t="shared" si="6"/>
        <v>24334526.261778757</v>
      </c>
      <c r="AI11" s="153">
        <f t="shared" ca="1" si="6"/>
        <v>22311791.555932507</v>
      </c>
      <c r="AJ11" s="153">
        <f t="shared" ca="1" si="6"/>
        <v>26646030.451056324</v>
      </c>
      <c r="AK11" s="153">
        <f t="shared" ca="1" si="6"/>
        <v>28170778.656585325</v>
      </c>
      <c r="AL11" s="153">
        <f t="shared" ca="1" si="6"/>
        <v>25977388.326465704</v>
      </c>
      <c r="AM11" s="153">
        <f t="shared" ca="1" si="6"/>
        <v>25582059.372386176</v>
      </c>
      <c r="AN11" s="89">
        <f t="shared" ca="1" si="6"/>
        <v>277251378.68993121</v>
      </c>
      <c r="AO11" s="87"/>
      <c r="AP11" s="87"/>
    </row>
    <row r="12" spans="1:46" x14ac:dyDescent="0.3">
      <c r="A12" s="70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3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3"/>
      <c r="AO12" s="87"/>
      <c r="AP12" s="87"/>
    </row>
    <row r="13" spans="1:46" x14ac:dyDescent="0.3">
      <c r="A13" s="4" t="s">
        <v>1607</v>
      </c>
      <c r="B13" s="155">
        <f>B14+B15</f>
        <v>7018326.9942788193</v>
      </c>
      <c r="C13" s="94">
        <f>C14+C15</f>
        <v>6012174.0042788172</v>
      </c>
      <c r="D13" s="94">
        <f>D14+D15</f>
        <v>4998330.9542788202</v>
      </c>
      <c r="E13" s="155">
        <f t="shared" ref="E13:M13" si="7">C159</f>
        <v>6015156.4000000004</v>
      </c>
      <c r="F13" s="155">
        <f t="shared" si="7"/>
        <v>5001313.3499999996</v>
      </c>
      <c r="G13" s="155">
        <f t="shared" si="7"/>
        <v>6747553.1200000001</v>
      </c>
      <c r="H13" s="155">
        <f t="shared" si="7"/>
        <v>9012876.0499999989</v>
      </c>
      <c r="I13" s="155">
        <f t="shared" si="7"/>
        <v>7262528.1799999997</v>
      </c>
      <c r="J13" s="155">
        <f t="shared" si="7"/>
        <v>10160675.45999999</v>
      </c>
      <c r="K13" s="155">
        <f t="shared" ca="1" si="7"/>
        <v>11742138.746890638</v>
      </c>
      <c r="L13" s="155">
        <f t="shared" ca="1" si="7"/>
        <v>10489663.151934197</v>
      </c>
      <c r="M13" s="155">
        <f t="shared" ca="1" si="7"/>
        <v>10119141.892560793</v>
      </c>
      <c r="N13" s="153">
        <f ca="1">SUM(B13,C13,D13,E13,F13,G13,H13,I13,J13,K13,L13,M13)</f>
        <v>94579878.304222062</v>
      </c>
      <c r="O13" s="155">
        <f ca="1">L159</f>
        <v>9023722.1765729114</v>
      </c>
      <c r="P13" s="155">
        <f>M159</f>
        <v>9812380.4773749113</v>
      </c>
      <c r="Q13" s="155">
        <f>O159</f>
        <v>10128671.0260875</v>
      </c>
      <c r="R13" s="155">
        <f>P159</f>
        <v>8834817.5621949937</v>
      </c>
      <c r="S13" s="155">
        <f>Q159</f>
        <v>6800166.5146949952</v>
      </c>
      <c r="T13" s="155">
        <f>R159</f>
        <v>10450621.093204999</v>
      </c>
      <c r="U13" s="155">
        <f t="shared" ref="U13:Z13" si="8">S159</f>
        <v>11722359.524492497</v>
      </c>
      <c r="V13" s="155">
        <f t="shared" si="8"/>
        <v>9736100.7754424941</v>
      </c>
      <c r="W13" s="155">
        <f t="shared" si="8"/>
        <v>13679303.7543575</v>
      </c>
      <c r="X13" s="155">
        <f t="shared" ca="1" si="8"/>
        <v>14677673.433613298</v>
      </c>
      <c r="Y13" s="155">
        <f t="shared" ca="1" si="8"/>
        <v>13112078.939917747</v>
      </c>
      <c r="Z13" s="155">
        <f t="shared" ca="1" si="8"/>
        <v>12648927.365700992</v>
      </c>
      <c r="AA13" s="153">
        <f ca="1">SUM(O13,P13,Q13,R13,S13,T13,U13,V13,W13,X13,Y13,Z13)</f>
        <v>130626822.64365484</v>
      </c>
      <c r="AB13" s="155">
        <f ca="1">Y159</f>
        <v>11279652.720716139</v>
      </c>
      <c r="AC13" s="155">
        <f>Z159</f>
        <v>12265475.596718637</v>
      </c>
      <c r="AD13" s="155">
        <f t="shared" ref="AD13:AM13" si="9">AB159</f>
        <v>12550599.098178752</v>
      </c>
      <c r="AE13" s="155">
        <f t="shared" si="9"/>
        <v>10961009.817325493</v>
      </c>
      <c r="AF13" s="155">
        <f t="shared" si="9"/>
        <v>8498859.4781819936</v>
      </c>
      <c r="AG13" s="155">
        <f t="shared" si="9"/>
        <v>12755106.740877749</v>
      </c>
      <c r="AH13" s="155">
        <f t="shared" si="9"/>
        <v>14470090.754713116</v>
      </c>
      <c r="AI13" s="155">
        <f t="shared" si="9"/>
        <v>12076273.379069492</v>
      </c>
      <c r="AJ13" s="155">
        <f t="shared" si="9"/>
        <v>16756796.167929001</v>
      </c>
      <c r="AK13" s="155">
        <f t="shared" ca="1" si="9"/>
        <v>18002605.598619785</v>
      </c>
      <c r="AL13" s="155">
        <f t="shared" ca="1" si="9"/>
        <v>16098838.171208071</v>
      </c>
      <c r="AM13" s="155">
        <f t="shared" ca="1" si="9"/>
        <v>15612480.114468541</v>
      </c>
      <c r="AN13" s="153">
        <f ca="1">SUM(AB13,AC13,AD13,AE13,AF13,AG13,AH13,AI13,AJ13,AK13,AL13,AM13)</f>
        <v>161327787.63800681</v>
      </c>
      <c r="AO13" s="87"/>
      <c r="AP13" s="87"/>
      <c r="AQ13" s="95">
        <f ca="1">SUM(B13,C13,D13,E13,F13:M13)</f>
        <v>94579878.304222062</v>
      </c>
      <c r="AR13" s="95"/>
      <c r="AS13" s="96" t="s">
        <v>1608</v>
      </c>
      <c r="AT13" s="96" t="s">
        <v>1609</v>
      </c>
    </row>
    <row r="14" spans="1:46" x14ac:dyDescent="0.3">
      <c r="A14" s="71" t="s">
        <v>1610</v>
      </c>
      <c r="B14" s="114">
        <f t="shared" ref="B14:M15" si="10">(B$141-B$16)*$AR14</f>
        <v>4765471.479131192</v>
      </c>
      <c r="C14" s="90">
        <f t="shared" si="10"/>
        <v>4082289.6636648867</v>
      </c>
      <c r="D14" s="90">
        <f t="shared" si="10"/>
        <v>3393886.2673812932</v>
      </c>
      <c r="E14" s="90">
        <f t="shared" si="10"/>
        <v>4579589.9010881912</v>
      </c>
      <c r="F14" s="90">
        <f t="shared" si="10"/>
        <v>6117753.0306683592</v>
      </c>
      <c r="G14" s="90">
        <f t="shared" si="10"/>
        <v>4929259.9809939004</v>
      </c>
      <c r="H14" s="90">
        <f t="shared" si="10"/>
        <v>6897113.3193208314</v>
      </c>
      <c r="I14" s="90">
        <f t="shared" ca="1" si="10"/>
        <v>7970933.0765242176</v>
      </c>
      <c r="J14" s="90">
        <f t="shared" ca="1" si="10"/>
        <v>7120497.2488777889</v>
      </c>
      <c r="K14" s="90">
        <f t="shared" ca="1" si="10"/>
        <v>6868911.8645839114</v>
      </c>
      <c r="L14" s="90">
        <f t="shared" ca="1" si="10"/>
        <v>6125117.5930326385</v>
      </c>
      <c r="M14" s="114">
        <f t="shared" si="10"/>
        <v>6660619.663870276</v>
      </c>
      <c r="N14" s="90">
        <f ca="1">SUM(B14,C14,D14,E14,F14,G14,H14,I14,J14,K14,L14,M14)</f>
        <v>69511443.089137495</v>
      </c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90">
        <f>SUM(O14,P14,Q14,R14,S14,T14,U14,V14,W14,X14,Y14,Z14)</f>
        <v>0</v>
      </c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90">
        <f>SUM(AB14,AC14,AD14,AE14,AF14,AG14,AH14,AI14,AJ14,AK14,AL14,AM14)</f>
        <v>0</v>
      </c>
      <c r="AO14" s="91"/>
      <c r="AP14" s="91"/>
      <c r="AQ14" s="95">
        <f ca="1">SUM(B14,C14,D14,E14,F14:M14)</f>
        <v>69511443.089137495</v>
      </c>
      <c r="AR14" s="254">
        <v>0.67900391119078607</v>
      </c>
      <c r="AS14" s="97">
        <f ca="1">N13+N16</f>
        <v>94615667.052876249</v>
      </c>
      <c r="AT14" s="97">
        <f ca="1">N159</f>
        <v>102408458.39533344</v>
      </c>
    </row>
    <row r="15" spans="1:46" x14ac:dyDescent="0.3">
      <c r="A15" s="71" t="s">
        <v>1611</v>
      </c>
      <c r="B15" s="114">
        <f t="shared" si="10"/>
        <v>2252855.5151476273</v>
      </c>
      <c r="C15" s="90">
        <f t="shared" si="10"/>
        <v>1929884.3406139305</v>
      </c>
      <c r="D15" s="90">
        <f t="shared" si="10"/>
        <v>1604444.6868975272</v>
      </c>
      <c r="E15" s="90">
        <f t="shared" si="10"/>
        <v>2164980.8231906286</v>
      </c>
      <c r="F15" s="90">
        <f t="shared" si="10"/>
        <v>2892140.6236104555</v>
      </c>
      <c r="G15" s="90">
        <f t="shared" si="10"/>
        <v>2330285.803284918</v>
      </c>
      <c r="H15" s="90">
        <f t="shared" si="10"/>
        <v>3260579.7449579765</v>
      </c>
      <c r="I15" s="90">
        <f t="shared" ca="1" si="10"/>
        <v>3768223.2746452382</v>
      </c>
      <c r="J15" s="90">
        <f t="shared" ca="1" si="10"/>
        <v>3366183.5073352284</v>
      </c>
      <c r="K15" s="90">
        <f t="shared" ca="1" si="10"/>
        <v>3247247.6322557013</v>
      </c>
      <c r="L15" s="90">
        <f t="shared" ca="1" si="10"/>
        <v>2895622.1878190907</v>
      </c>
      <c r="M15" s="90">
        <f t="shared" si="10"/>
        <v>3148778.4177834531</v>
      </c>
      <c r="N15" s="90">
        <f ca="1">SUM(B15,C15,D15,E15,F15,G15,H15,I15,J15,K15,L15,M15)</f>
        <v>32861226.557541776</v>
      </c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90">
        <f>SUM(O15,P15,Q15,R15,S15,T15,U15,V15,W15,X15,Y15,Z15)</f>
        <v>0</v>
      </c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90">
        <f>SUM(AB15,AC15,AD15,AE15,AF15,AG15,AH15,AI15,AJ15,AK15,AL15,AM15)</f>
        <v>0</v>
      </c>
      <c r="AO15" s="91"/>
      <c r="AP15" s="91"/>
      <c r="AQ15" s="95">
        <f ca="1">SUM(B15,C15,D15,E15,F15:M15)</f>
        <v>32861226.557541776</v>
      </c>
      <c r="AR15" s="15">
        <v>0.32099608880921393</v>
      </c>
      <c r="AT15" s="92"/>
    </row>
    <row r="16" spans="1:46" x14ac:dyDescent="0.3">
      <c r="A16" s="71" t="s">
        <v>1612</v>
      </c>
      <c r="B16" s="90">
        <v>2982.3957211816751</v>
      </c>
      <c r="C16" s="90">
        <v>2982.3957211816751</v>
      </c>
      <c r="D16" s="90">
        <v>2982.3957211816751</v>
      </c>
      <c r="E16" s="90">
        <v>2982.3957211816751</v>
      </c>
      <c r="F16" s="90">
        <v>2982.3957211816751</v>
      </c>
      <c r="G16" s="90">
        <v>2982.3957211816751</v>
      </c>
      <c r="H16" s="90">
        <v>2982.3957211816751</v>
      </c>
      <c r="I16" s="90">
        <v>2982.3957211816751</v>
      </c>
      <c r="J16" s="90">
        <v>2982.3957211816751</v>
      </c>
      <c r="K16" s="90">
        <v>2982.3957211816751</v>
      </c>
      <c r="L16" s="90">
        <v>2982.3957211816751</v>
      </c>
      <c r="M16" s="90">
        <v>2982.3957211816751</v>
      </c>
      <c r="N16" s="90">
        <f>SUM(B16,C16,D16,E16,F16,G16,H16,I16,J16,K16,L16,M16)</f>
        <v>35788.748654180097</v>
      </c>
      <c r="O16" s="60"/>
      <c r="P16" s="60"/>
      <c r="Q16" s="60"/>
      <c r="R16" s="60"/>
      <c r="S16" s="60"/>
      <c r="T16" s="125"/>
      <c r="U16" s="125"/>
      <c r="V16" s="125"/>
      <c r="W16" s="125"/>
      <c r="X16" s="125"/>
      <c r="Y16" s="125"/>
      <c r="Z16" s="125"/>
      <c r="AA16" s="90">
        <f>SUM(O16,P16,Q16,R16,S16,T16,U16,V16,W16,X16,Y16,Z16)</f>
        <v>0</v>
      </c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90">
        <f>SUM(AB16,AC16,AD16,AE16,AF16,AG16,AH16,AI16,AJ16,AK16,AL16,AM16)</f>
        <v>0</v>
      </c>
      <c r="AO16" s="91"/>
      <c r="AP16" s="91"/>
      <c r="AQ16" s="95">
        <f>SUM(B16,C16,D16,E16,F16:M16)</f>
        <v>35788.748654180097</v>
      </c>
      <c r="AR16" s="92"/>
      <c r="AT16" s="92"/>
    </row>
    <row r="17" spans="1:46" x14ac:dyDescent="0.3">
      <c r="A17" s="70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3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3"/>
      <c r="AO17" s="87"/>
      <c r="AP17" s="87"/>
    </row>
    <row r="18" spans="1:46" x14ac:dyDescent="0.3">
      <c r="A18" s="4" t="s">
        <v>1613</v>
      </c>
      <c r="B18" s="94">
        <f t="shared" ref="B18:T18" si="11">SUM(B19:B23)</f>
        <v>12019046.289999994</v>
      </c>
      <c r="C18" s="94">
        <f t="shared" si="11"/>
        <v>10041523.159999987</v>
      </c>
      <c r="D18" s="94">
        <f t="shared" si="11"/>
        <v>10835221.569999997</v>
      </c>
      <c r="E18" s="94">
        <f t="shared" si="11"/>
        <v>9669395.3299999852</v>
      </c>
      <c r="F18" s="94">
        <f t="shared" si="11"/>
        <v>10400768.479999982</v>
      </c>
      <c r="G18" s="94">
        <f t="shared" si="11"/>
        <v>9392469.019999994</v>
      </c>
      <c r="H18" s="94">
        <f t="shared" si="11"/>
        <v>10052183.939999985</v>
      </c>
      <c r="I18" s="94">
        <f t="shared" ca="1" si="11"/>
        <v>8746953.5942115877</v>
      </c>
      <c r="J18" s="94">
        <f t="shared" ca="1" si="11"/>
        <v>8124077.0287813377</v>
      </c>
      <c r="K18" s="94">
        <f t="shared" ca="1" si="11"/>
        <v>8335835.4053654196</v>
      </c>
      <c r="L18" s="94">
        <f t="shared" ca="1" si="11"/>
        <v>8115743.914830653</v>
      </c>
      <c r="M18" s="94">
        <f t="shared" ca="1" si="11"/>
        <v>8274735.659613342</v>
      </c>
      <c r="N18" s="153">
        <f t="shared" ref="N18:N23" ca="1" si="12">SUM(B18,C18,D18,E18,F18,G18,H18,I18,J18,K18,L18,M18)</f>
        <v>114007953.39280228</v>
      </c>
      <c r="O18" s="94">
        <f t="shared" si="11"/>
        <v>8873070.2659118008</v>
      </c>
      <c r="P18" s="94">
        <f t="shared" si="11"/>
        <v>8596128.8819367997</v>
      </c>
      <c r="Q18" s="94">
        <f t="shared" si="11"/>
        <v>8297611.0936867995</v>
      </c>
      <c r="R18" s="94">
        <f t="shared" si="11"/>
        <v>8245274.6290118024</v>
      </c>
      <c r="S18" s="94">
        <f t="shared" si="11"/>
        <v>9121181.5795117989</v>
      </c>
      <c r="T18" s="155">
        <f t="shared" si="11"/>
        <v>8802585.0898566265</v>
      </c>
      <c r="U18" s="155">
        <f t="shared" ref="U18:Z18" si="13">SUM(U19:U23)</f>
        <v>8895620.9502816293</v>
      </c>
      <c r="V18" s="155">
        <f t="shared" ca="1" si="13"/>
        <v>9187442.7533257622</v>
      </c>
      <c r="W18" s="155">
        <f t="shared" ca="1" si="13"/>
        <v>8906832.1854713839</v>
      </c>
      <c r="X18" s="155">
        <f t="shared" ca="1" si="13"/>
        <v>9112436.520408472</v>
      </c>
      <c r="Y18" s="155">
        <f t="shared" ca="1" si="13"/>
        <v>8881486.3835139293</v>
      </c>
      <c r="Z18" s="155">
        <f t="shared" si="13"/>
        <v>8959262.6178139299</v>
      </c>
      <c r="AA18" s="153">
        <f t="shared" ref="AA18:AA23" ca="1" si="14">SUM(O18,P18,Q18,R18,S18,T18,U18,V18,W18,X18,Y18,Z18)</f>
        <v>105878932.95073073</v>
      </c>
      <c r="AB18" s="155">
        <f t="shared" ref="AB18:AM18" si="15">SUM(AB19:AB23)</f>
        <v>9589052.0163981449</v>
      </c>
      <c r="AC18" s="155">
        <f t="shared" si="15"/>
        <v>9239180.3012706432</v>
      </c>
      <c r="AD18" s="155">
        <f t="shared" si="15"/>
        <v>8871197.7557256408</v>
      </c>
      <c r="AE18" s="155">
        <f t="shared" si="15"/>
        <v>8749407.415978143</v>
      </c>
      <c r="AF18" s="155">
        <f t="shared" si="15"/>
        <v>9882542.91350439</v>
      </c>
      <c r="AG18" s="155">
        <f t="shared" si="15"/>
        <v>9586720.2108506411</v>
      </c>
      <c r="AH18" s="155">
        <f t="shared" si="15"/>
        <v>9864435.5070656426</v>
      </c>
      <c r="AI18" s="155">
        <f t="shared" ca="1" si="15"/>
        <v>10235518.176863015</v>
      </c>
      <c r="AJ18" s="155">
        <f t="shared" ca="1" si="15"/>
        <v>9889234.2831273247</v>
      </c>
      <c r="AK18" s="155">
        <f t="shared" ca="1" si="15"/>
        <v>10168173.057965539</v>
      </c>
      <c r="AL18" s="155">
        <f t="shared" ca="1" si="15"/>
        <v>9878550.1552576348</v>
      </c>
      <c r="AM18" s="155">
        <f t="shared" si="15"/>
        <v>9969579.2579176351</v>
      </c>
      <c r="AN18" s="153">
        <f t="shared" ref="AN18:AN23" ca="1" si="16">SUM(AB18,AC18,AD18,AE18,AF18,AG18,AH18,AI18,AJ18,AK18,AL18,AM18)</f>
        <v>115923591.05192441</v>
      </c>
      <c r="AO18" s="98"/>
      <c r="AP18" s="98"/>
      <c r="AQ18" s="4"/>
      <c r="AR18" s="4"/>
      <c r="AS18" s="4"/>
      <c r="AT18" s="4"/>
    </row>
    <row r="19" spans="1:46" x14ac:dyDescent="0.3">
      <c r="A19" s="71" t="s">
        <v>1614</v>
      </c>
      <c r="B19" s="90">
        <f t="shared" ref="B19:M19" si="17">B163</f>
        <v>494367.55999999901</v>
      </c>
      <c r="C19" s="90">
        <f t="shared" si="17"/>
        <v>396171.07</v>
      </c>
      <c r="D19" s="90">
        <f t="shared" si="17"/>
        <v>343227.86</v>
      </c>
      <c r="E19" s="114">
        <f t="shared" si="17"/>
        <v>535156.62</v>
      </c>
      <c r="F19" s="90">
        <f t="shared" si="17"/>
        <v>519993.989999999</v>
      </c>
      <c r="G19" s="90">
        <f t="shared" si="17"/>
        <v>560717.71999999904</v>
      </c>
      <c r="H19" s="90">
        <f t="shared" si="17"/>
        <v>570275.00999999896</v>
      </c>
      <c r="I19" s="90">
        <f t="shared" ca="1" si="17"/>
        <v>764149.51311240462</v>
      </c>
      <c r="J19" s="90">
        <f t="shared" ca="1" si="17"/>
        <v>686656.50908526569</v>
      </c>
      <c r="K19" s="90">
        <f t="shared" ca="1" si="17"/>
        <v>678743.57514243503</v>
      </c>
      <c r="L19" s="90">
        <f t="shared" ca="1" si="17"/>
        <v>607363.15476611583</v>
      </c>
      <c r="M19" s="114">
        <f t="shared" si="17"/>
        <v>653773.01946611586</v>
      </c>
      <c r="N19" s="90">
        <f t="shared" ca="1" si="12"/>
        <v>6810595.601572332</v>
      </c>
      <c r="O19" s="114">
        <f t="shared" ref="O19:T19" si="18">O163</f>
        <v>702680.18062499992</v>
      </c>
      <c r="P19" s="114">
        <f t="shared" si="18"/>
        <v>616591.50824999961</v>
      </c>
      <c r="Q19" s="114">
        <f t="shared" si="18"/>
        <v>491322.68324999959</v>
      </c>
      <c r="R19" s="114">
        <f t="shared" si="18"/>
        <v>672682.58175000001</v>
      </c>
      <c r="S19" s="114">
        <f t="shared" si="18"/>
        <v>792079.7823749996</v>
      </c>
      <c r="T19" s="114">
        <f t="shared" si="18"/>
        <v>671392.7148749996</v>
      </c>
      <c r="U19" s="114">
        <f t="shared" ref="U19:Z19" si="19">U163</f>
        <v>886780.01512499992</v>
      </c>
      <c r="V19" s="114">
        <f t="shared" ca="1" si="19"/>
        <v>955186.89139050583</v>
      </c>
      <c r="W19" s="114">
        <f t="shared" ca="1" si="19"/>
        <v>858320.63635658205</v>
      </c>
      <c r="X19" s="114">
        <f t="shared" ca="1" si="19"/>
        <v>848429.46892804385</v>
      </c>
      <c r="Y19" s="114">
        <f t="shared" ca="1" si="19"/>
        <v>759203.94345764478</v>
      </c>
      <c r="Z19" s="114">
        <f t="shared" si="19"/>
        <v>817216.27433264465</v>
      </c>
      <c r="AA19" s="90">
        <f t="shared" ca="1" si="14"/>
        <v>9071886.6807154194</v>
      </c>
      <c r="AB19" s="114">
        <f t="shared" ref="AB19:AM19" si="20">AB163</f>
        <v>877195.10756250005</v>
      </c>
      <c r="AC19" s="114">
        <f t="shared" si="20"/>
        <v>770718.44992499962</v>
      </c>
      <c r="AD19" s="114">
        <f t="shared" si="20"/>
        <v>618631.7876999994</v>
      </c>
      <c r="AE19" s="114">
        <f t="shared" si="20"/>
        <v>825603.44021250005</v>
      </c>
      <c r="AF19" s="114">
        <f t="shared" si="20"/>
        <v>984452.0520937494</v>
      </c>
      <c r="AG19" s="114">
        <f t="shared" si="20"/>
        <v>838640.7983249994</v>
      </c>
      <c r="AH19" s="114">
        <f t="shared" si="20"/>
        <v>1092419.8231500001</v>
      </c>
      <c r="AI19" s="114">
        <f t="shared" ca="1" si="20"/>
        <v>1178284.5516826576</v>
      </c>
      <c r="AJ19" s="114">
        <f t="shared" ca="1" si="20"/>
        <v>1060097.0675135567</v>
      </c>
      <c r="AK19" s="114">
        <f t="shared" ca="1" si="20"/>
        <v>1054049.3966439571</v>
      </c>
      <c r="AL19" s="114">
        <f t="shared" ca="1" si="20"/>
        <v>944722.84949493816</v>
      </c>
      <c r="AM19" s="114">
        <f t="shared" si="20"/>
        <v>1013921.5540449382</v>
      </c>
      <c r="AN19" s="90">
        <f t="shared" ca="1" si="16"/>
        <v>11258736.878348794</v>
      </c>
      <c r="AO19" s="91"/>
      <c r="AP19" s="91"/>
      <c r="AQ19" s="95">
        <f ca="1">SUM(B19,C19,D19,E19,F19:M19)</f>
        <v>6810595.601572332</v>
      </c>
      <c r="AR19" s="92">
        <f ca="1">N19/N$18</f>
        <v>5.9737898970145961E-2</v>
      </c>
    </row>
    <row r="20" spans="1:46" x14ac:dyDescent="0.3">
      <c r="A20" s="71" t="s">
        <v>1615</v>
      </c>
      <c r="B20" s="90">
        <f t="shared" ref="B20:M21" si="21">B160</f>
        <v>3242912.49</v>
      </c>
      <c r="C20" s="90">
        <f t="shared" si="21"/>
        <v>2305460.1800000002</v>
      </c>
      <c r="D20" s="90">
        <f t="shared" si="21"/>
        <v>1787305.32</v>
      </c>
      <c r="E20" s="114">
        <f t="shared" si="21"/>
        <v>2025485.98</v>
      </c>
      <c r="F20" s="90">
        <f t="shared" si="21"/>
        <v>2081617.45999999</v>
      </c>
      <c r="G20" s="90">
        <f t="shared" si="21"/>
        <v>2047912.43</v>
      </c>
      <c r="H20" s="90">
        <f t="shared" si="21"/>
        <v>1940260.8999999899</v>
      </c>
      <c r="I20" s="90">
        <f t="shared" si="21"/>
        <v>1795060.8717747501</v>
      </c>
      <c r="J20" s="90">
        <f t="shared" si="21"/>
        <v>1388185.8717747501</v>
      </c>
      <c r="K20" s="90">
        <f t="shared" si="21"/>
        <v>1388185.8717747501</v>
      </c>
      <c r="L20" s="90">
        <f t="shared" si="21"/>
        <v>1388185.8717747501</v>
      </c>
      <c r="M20" s="90">
        <f t="shared" si="21"/>
        <v>1388185.8717747501</v>
      </c>
      <c r="N20" s="90">
        <f t="shared" si="12"/>
        <v>22778759.118873738</v>
      </c>
      <c r="O20" s="90">
        <f t="shared" ref="O20:T21" si="22">O160</f>
        <v>1388185.8717747501</v>
      </c>
      <c r="P20" s="90">
        <f t="shared" si="22"/>
        <v>1388185.8717747501</v>
      </c>
      <c r="Q20" s="90">
        <f t="shared" si="22"/>
        <v>1388185.8717747501</v>
      </c>
      <c r="R20" s="90">
        <f t="shared" si="22"/>
        <v>1388185.8717747501</v>
      </c>
      <c r="S20" s="90">
        <f t="shared" si="22"/>
        <v>1388185.8717747501</v>
      </c>
      <c r="T20" s="90">
        <f t="shared" si="22"/>
        <v>1388185.8717747501</v>
      </c>
      <c r="U20" s="90">
        <f t="shared" ref="U20:Z20" si="23">U160</f>
        <v>1388185.8717747501</v>
      </c>
      <c r="V20" s="90">
        <f t="shared" si="23"/>
        <v>1388185.8717747501</v>
      </c>
      <c r="W20" s="90">
        <f t="shared" si="23"/>
        <v>1388185.8717747501</v>
      </c>
      <c r="X20" s="90">
        <f t="shared" si="23"/>
        <v>1388185.8717747501</v>
      </c>
      <c r="Y20" s="90">
        <f t="shared" si="23"/>
        <v>1388185.8717747501</v>
      </c>
      <c r="Z20" s="90">
        <f t="shared" si="23"/>
        <v>1388185.8717747501</v>
      </c>
      <c r="AA20" s="90">
        <f t="shared" si="14"/>
        <v>16658230.461297</v>
      </c>
      <c r="AB20" s="90">
        <f t="shared" ref="AB20:AM20" si="24">AB160</f>
        <v>1388185.8717747501</v>
      </c>
      <c r="AC20" s="90">
        <f t="shared" si="24"/>
        <v>1388185.8717747501</v>
      </c>
      <c r="AD20" s="90">
        <f t="shared" si="24"/>
        <v>1388185.8717747501</v>
      </c>
      <c r="AE20" s="90">
        <f t="shared" si="24"/>
        <v>1388185.8717747501</v>
      </c>
      <c r="AF20" s="90">
        <f t="shared" si="24"/>
        <v>1388185.8717747501</v>
      </c>
      <c r="AG20" s="90">
        <f t="shared" si="24"/>
        <v>1388185.8717747501</v>
      </c>
      <c r="AH20" s="90">
        <f t="shared" si="24"/>
        <v>1388185.8717747501</v>
      </c>
      <c r="AI20" s="90">
        <f t="shared" si="24"/>
        <v>1388185.8717747501</v>
      </c>
      <c r="AJ20" s="90">
        <f t="shared" si="24"/>
        <v>1388185.8717747501</v>
      </c>
      <c r="AK20" s="90">
        <f t="shared" si="24"/>
        <v>1388185.8717747501</v>
      </c>
      <c r="AL20" s="90">
        <f t="shared" si="24"/>
        <v>1388185.8717747501</v>
      </c>
      <c r="AM20" s="90">
        <f t="shared" si="24"/>
        <v>1388185.8717747501</v>
      </c>
      <c r="AN20" s="90">
        <f t="shared" si="16"/>
        <v>16658230.461297</v>
      </c>
      <c r="AO20" s="91"/>
      <c r="AP20" s="91"/>
      <c r="AQ20" s="95">
        <f>SUM(B20,C20,D20,E20,F20:M20)</f>
        <v>22778759.118873738</v>
      </c>
      <c r="AR20" s="92">
        <f ca="1">N20/N$18</f>
        <v>0.1997997371323029</v>
      </c>
    </row>
    <row r="21" spans="1:46" x14ac:dyDescent="0.3">
      <c r="A21" s="71" t="s">
        <v>7</v>
      </c>
      <c r="B21" s="90">
        <f t="shared" si="21"/>
        <v>2217469.0799999963</v>
      </c>
      <c r="C21" s="90">
        <f t="shared" si="21"/>
        <v>2265220.0599999977</v>
      </c>
      <c r="D21" s="114">
        <f t="shared" si="21"/>
        <v>2320283.319999997</v>
      </c>
      <c r="E21" s="114">
        <f t="shared" si="21"/>
        <v>2494447.6399999987</v>
      </c>
      <c r="F21" s="90">
        <f t="shared" si="21"/>
        <v>2406419.3599999947</v>
      </c>
      <c r="G21" s="90">
        <f t="shared" si="21"/>
        <v>2922932.399999998</v>
      </c>
      <c r="H21" s="90">
        <f t="shared" si="21"/>
        <v>2546500.9999999981</v>
      </c>
      <c r="I21" s="90">
        <f t="shared" ca="1" si="21"/>
        <v>2776624.5345460479</v>
      </c>
      <c r="J21" s="90">
        <f t="shared" ca="1" si="21"/>
        <v>2726972.2244348736</v>
      </c>
      <c r="K21" s="90">
        <f t="shared" ca="1" si="21"/>
        <v>2755277.7889111326</v>
      </c>
      <c r="L21" s="90">
        <f t="shared" ca="1" si="21"/>
        <v>2677462.3930074056</v>
      </c>
      <c r="M21" s="90">
        <f t="shared" si="21"/>
        <v>2714790.3417280247</v>
      </c>
      <c r="N21" s="90">
        <f t="shared" ca="1" si="12"/>
        <v>30824400.14262747</v>
      </c>
      <c r="O21" s="90">
        <f t="shared" si="22"/>
        <v>2911984.976982282</v>
      </c>
      <c r="P21" s="90">
        <f t="shared" si="22"/>
        <v>2851722.9063197817</v>
      </c>
      <c r="Q21" s="90">
        <f t="shared" si="22"/>
        <v>2764034.7288197819</v>
      </c>
      <c r="R21" s="90">
        <f t="shared" si="22"/>
        <v>2890986.657769782</v>
      </c>
      <c r="S21" s="90">
        <f t="shared" si="22"/>
        <v>3006239.698207282</v>
      </c>
      <c r="T21" s="90">
        <f t="shared" si="22"/>
        <v>2856384.0613021092</v>
      </c>
      <c r="U21" s="90">
        <f t="shared" ref="U21:Z21" si="25">U161</f>
        <v>3007155.1714771097</v>
      </c>
      <c r="V21" s="90">
        <f t="shared" ca="1" si="25"/>
        <v>3055039.9848629637</v>
      </c>
      <c r="W21" s="90">
        <f t="shared" ca="1" si="25"/>
        <v>2974957.6063392172</v>
      </c>
      <c r="X21" s="90">
        <f t="shared" ca="1" si="25"/>
        <v>2968033.7891392405</v>
      </c>
      <c r="Y21" s="90">
        <f t="shared" ca="1" si="25"/>
        <v>2905575.921309961</v>
      </c>
      <c r="Z21" s="90">
        <f t="shared" si="25"/>
        <v>2946184.5529224612</v>
      </c>
      <c r="AA21" s="90">
        <f t="shared" ca="1" si="14"/>
        <v>35138300.055451974</v>
      </c>
      <c r="AB21" s="90">
        <f t="shared" ref="AB21:AM21" si="26">AB161</f>
        <v>3082509.7321974118</v>
      </c>
      <c r="AC21" s="90">
        <f t="shared" si="26"/>
        <v>3007976.0718511613</v>
      </c>
      <c r="AD21" s="90">
        <f t="shared" si="26"/>
        <v>2901515.4082936612</v>
      </c>
      <c r="AE21" s="90">
        <f t="shared" si="26"/>
        <v>3046395.565052412</v>
      </c>
      <c r="AF21" s="90">
        <f t="shared" si="26"/>
        <v>3191481.843369286</v>
      </c>
      <c r="AG21" s="90">
        <f t="shared" si="26"/>
        <v>3102917.5657311613</v>
      </c>
      <c r="AH21" s="90">
        <f t="shared" si="26"/>
        <v>3280562.8831086615</v>
      </c>
      <c r="AI21" s="90">
        <f t="shared" ca="1" si="26"/>
        <v>3340668.1930815219</v>
      </c>
      <c r="AJ21" s="90">
        <f t="shared" ca="1" si="26"/>
        <v>3244433.3541631512</v>
      </c>
      <c r="AK21" s="90">
        <f t="shared" ca="1" si="26"/>
        <v>3240199.9845544314</v>
      </c>
      <c r="AL21" s="90">
        <f t="shared" ca="1" si="26"/>
        <v>3163671.4015501183</v>
      </c>
      <c r="AM21" s="90">
        <f t="shared" si="26"/>
        <v>3212110.4947351185</v>
      </c>
      <c r="AN21" s="90">
        <f t="shared" ca="1" si="16"/>
        <v>37814442.4976881</v>
      </c>
      <c r="AO21" s="91"/>
      <c r="AP21" s="91"/>
      <c r="AQ21" s="95">
        <f ca="1">SUM(B21,C21,D21,E21,F21:M21)</f>
        <v>30824400.14262747</v>
      </c>
      <c r="AR21" s="92">
        <f ca="1">N21/N$18</f>
        <v>0.27037061209602875</v>
      </c>
    </row>
    <row r="22" spans="1:46" x14ac:dyDescent="0.3">
      <c r="A22" s="71" t="s">
        <v>1616</v>
      </c>
      <c r="B22" s="114">
        <f t="shared" ref="B22:M23" si="27">B164</f>
        <v>1160984.1099999989</v>
      </c>
      <c r="C22" s="90">
        <f t="shared" si="27"/>
        <v>1314802.3399999999</v>
      </c>
      <c r="D22" s="90">
        <f t="shared" si="27"/>
        <v>1630274.21</v>
      </c>
      <c r="E22" s="114">
        <f t="shared" si="27"/>
        <v>1744545.4399999981</v>
      </c>
      <c r="F22" s="90">
        <f t="shared" si="27"/>
        <v>2118876.5899999989</v>
      </c>
      <c r="G22" s="90">
        <f t="shared" si="27"/>
        <v>1773434.42</v>
      </c>
      <c r="H22" s="90">
        <f t="shared" si="27"/>
        <v>2415689.6599999988</v>
      </c>
      <c r="I22" s="90">
        <f t="shared" ca="1" si="27"/>
        <v>1507233.9455927538</v>
      </c>
      <c r="J22" s="90">
        <f t="shared" ca="1" si="27"/>
        <v>1431293.1949720064</v>
      </c>
      <c r="K22" s="90">
        <f t="shared" ca="1" si="27"/>
        <v>1623977.7633464653</v>
      </c>
      <c r="L22" s="90">
        <f t="shared" ca="1" si="27"/>
        <v>1564978.8258211315</v>
      </c>
      <c r="M22" s="90">
        <f t="shared" ca="1" si="27"/>
        <v>1632497.7797332006</v>
      </c>
      <c r="N22" s="90">
        <f t="shared" ca="1" si="12"/>
        <v>19918588.279465552</v>
      </c>
      <c r="O22" s="90">
        <f t="shared" ref="O22:T23" si="28">O164</f>
        <v>1797219.0191597696</v>
      </c>
      <c r="P22" s="90">
        <f t="shared" si="28"/>
        <v>1680976.4902847693</v>
      </c>
      <c r="Q22" s="90">
        <f t="shared" si="28"/>
        <v>1616293.8420347681</v>
      </c>
      <c r="R22" s="90">
        <f t="shared" si="28"/>
        <v>1225418.9001597695</v>
      </c>
      <c r="S22" s="90">
        <f t="shared" si="28"/>
        <v>1846776.0761597683</v>
      </c>
      <c r="T22" s="90">
        <f t="shared" si="28"/>
        <v>1818836.8021597678</v>
      </c>
      <c r="U22" s="90">
        <f t="shared" ref="U22:Z22" si="29">U164</f>
        <v>1669816.3687847694</v>
      </c>
      <c r="V22" s="90">
        <f t="shared" ca="1" si="29"/>
        <v>1833945.336133291</v>
      </c>
      <c r="W22" s="90">
        <f t="shared" ca="1" si="29"/>
        <v>1746427.7776755705</v>
      </c>
      <c r="X22" s="90">
        <f t="shared" ca="1" si="29"/>
        <v>1970495.6251459303</v>
      </c>
      <c r="Y22" s="90">
        <f t="shared" ca="1" si="29"/>
        <v>1906099.8024628004</v>
      </c>
      <c r="Z22" s="90">
        <f t="shared" si="29"/>
        <v>1875586.3524628007</v>
      </c>
      <c r="AA22" s="90">
        <f t="shared" ca="1" si="14"/>
        <v>20987892.392623775</v>
      </c>
      <c r="AB22" s="90">
        <f t="shared" ref="AB22:AM22" si="30">AB164</f>
        <v>2231079.6630197032</v>
      </c>
      <c r="AC22" s="90">
        <f t="shared" si="30"/>
        <v>2079964.3754822034</v>
      </c>
      <c r="AD22" s="90">
        <f t="shared" si="30"/>
        <v>1995876.9327572011</v>
      </c>
      <c r="AE22" s="90">
        <f t="shared" si="30"/>
        <v>1487739.5083197034</v>
      </c>
      <c r="AF22" s="90">
        <f t="shared" si="30"/>
        <v>2290465.3470009514</v>
      </c>
      <c r="AG22" s="90">
        <f t="shared" si="30"/>
        <v>2253320.0513822017</v>
      </c>
      <c r="AH22" s="90">
        <f t="shared" si="30"/>
        <v>2057314.5012572033</v>
      </c>
      <c r="AI22" s="90">
        <f t="shared" ca="1" si="30"/>
        <v>2268116.3444602815</v>
      </c>
      <c r="AJ22" s="90">
        <f t="shared" ca="1" si="30"/>
        <v>2155952.6878402447</v>
      </c>
      <c r="AK22" s="90">
        <f t="shared" ca="1" si="30"/>
        <v>2446180.4483017125</v>
      </c>
      <c r="AL22" s="90">
        <f t="shared" ca="1" si="30"/>
        <v>2360633.7669386435</v>
      </c>
      <c r="AM22" s="90">
        <f t="shared" si="30"/>
        <v>2322491.9544386435</v>
      </c>
      <c r="AN22" s="90">
        <f t="shared" ca="1" si="16"/>
        <v>25949135.581198692</v>
      </c>
      <c r="AO22" s="91"/>
      <c r="AP22" s="91"/>
      <c r="AQ22" s="95">
        <f ca="1">SUM(B22,C22,D22,E22,F22:M22)</f>
        <v>19918588.279465552</v>
      </c>
      <c r="AR22" s="92">
        <f ca="1">N22/N$18</f>
        <v>0.17471226951016455</v>
      </c>
    </row>
    <row r="23" spans="1:46" x14ac:dyDescent="0.3">
      <c r="A23" s="71" t="s">
        <v>1617</v>
      </c>
      <c r="B23" s="90">
        <f t="shared" si="27"/>
        <v>4903313.0499999989</v>
      </c>
      <c r="C23" s="90">
        <f t="shared" si="27"/>
        <v>3759869.5099999895</v>
      </c>
      <c r="D23" s="90">
        <f t="shared" si="27"/>
        <v>4754130.8600000003</v>
      </c>
      <c r="E23" s="114">
        <f t="shared" si="27"/>
        <v>2869759.6499999887</v>
      </c>
      <c r="F23" s="90">
        <f t="shared" si="27"/>
        <v>3273861.0799999991</v>
      </c>
      <c r="G23" s="90">
        <f t="shared" si="27"/>
        <v>2087472.0499999968</v>
      </c>
      <c r="H23" s="90">
        <f t="shared" si="27"/>
        <v>2579457.3699999987</v>
      </c>
      <c r="I23" s="90">
        <f t="shared" ca="1" si="27"/>
        <v>1903884.7291856317</v>
      </c>
      <c r="J23" s="90">
        <f t="shared" ca="1" si="27"/>
        <v>1890969.228514442</v>
      </c>
      <c r="K23" s="90">
        <f t="shared" ca="1" si="27"/>
        <v>1889650.4061906368</v>
      </c>
      <c r="L23" s="90">
        <f t="shared" ca="1" si="27"/>
        <v>1877753.6694612501</v>
      </c>
      <c r="M23" s="90">
        <f t="shared" si="27"/>
        <v>1885488.6469112502</v>
      </c>
      <c r="N23" s="90">
        <f t="shared" ca="1" si="12"/>
        <v>33675610.250263184</v>
      </c>
      <c r="O23" s="90">
        <f t="shared" si="28"/>
        <v>2073000.21737</v>
      </c>
      <c r="P23" s="90">
        <f t="shared" si="28"/>
        <v>2058652.1053074999</v>
      </c>
      <c r="Q23" s="90">
        <f t="shared" si="28"/>
        <v>2037773.9678074999</v>
      </c>
      <c r="R23" s="90">
        <f t="shared" si="28"/>
        <v>2068000.6175575</v>
      </c>
      <c r="S23" s="90">
        <f t="shared" si="28"/>
        <v>2087900.1509949998</v>
      </c>
      <c r="T23" s="90">
        <f t="shared" si="28"/>
        <v>2067785.6397449998</v>
      </c>
      <c r="U23" s="90">
        <f t="shared" ref="U23:Z23" si="31">U165</f>
        <v>1943683.52312</v>
      </c>
      <c r="V23" s="90">
        <f t="shared" ca="1" si="31"/>
        <v>1955084.6691642511</v>
      </c>
      <c r="W23" s="90">
        <f t="shared" ca="1" si="31"/>
        <v>1938940.2933252635</v>
      </c>
      <c r="X23" s="90">
        <f t="shared" ca="1" si="31"/>
        <v>1937291.7654205072</v>
      </c>
      <c r="Y23" s="90">
        <f t="shared" ca="1" si="31"/>
        <v>1922420.8445087741</v>
      </c>
      <c r="Z23" s="90">
        <f t="shared" si="31"/>
        <v>1932089.5663212743</v>
      </c>
      <c r="AA23" s="90">
        <f t="shared" ca="1" si="14"/>
        <v>24022623.360642575</v>
      </c>
      <c r="AB23" s="90">
        <f t="shared" ref="AB23:AM23" si="32">AB165</f>
        <v>2010081.6418437783</v>
      </c>
      <c r="AC23" s="90">
        <f t="shared" si="32"/>
        <v>1992335.5322375281</v>
      </c>
      <c r="AD23" s="90">
        <f t="shared" si="32"/>
        <v>1966987.7552000282</v>
      </c>
      <c r="AE23" s="90">
        <f t="shared" si="32"/>
        <v>2001483.0306187782</v>
      </c>
      <c r="AF23" s="90">
        <f t="shared" si="32"/>
        <v>2027957.7992656531</v>
      </c>
      <c r="AG23" s="90">
        <f t="shared" si="32"/>
        <v>2003655.9236375282</v>
      </c>
      <c r="AH23" s="90">
        <f t="shared" si="32"/>
        <v>2045952.4277750279</v>
      </c>
      <c r="AI23" s="90">
        <f t="shared" ca="1" si="32"/>
        <v>2060263.2158638046</v>
      </c>
      <c r="AJ23" s="90">
        <f t="shared" ca="1" si="32"/>
        <v>2040565.301835621</v>
      </c>
      <c r="AK23" s="90">
        <f t="shared" ca="1" si="32"/>
        <v>2039557.3566906874</v>
      </c>
      <c r="AL23" s="90">
        <f t="shared" ca="1" si="32"/>
        <v>2021336.2654991846</v>
      </c>
      <c r="AM23" s="90">
        <f t="shared" si="32"/>
        <v>2032869.3829241844</v>
      </c>
      <c r="AN23" s="90">
        <f t="shared" ca="1" si="16"/>
        <v>24243045.633391805</v>
      </c>
      <c r="AO23" s="91"/>
      <c r="AP23" s="91"/>
      <c r="AQ23" s="95">
        <f ca="1">SUM(B23,C23,D23,E23,F23:M23)</f>
        <v>33675610.250263184</v>
      </c>
      <c r="AR23" s="92">
        <f ca="1">N23/N$18</f>
        <v>0.2953794822913578</v>
      </c>
    </row>
    <row r="24" spans="1:46" x14ac:dyDescent="0.3">
      <c r="A24" s="70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3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3"/>
      <c r="AO24" s="87"/>
      <c r="AP24" s="87"/>
    </row>
    <row r="25" spans="1:46" x14ac:dyDescent="0.3">
      <c r="A25" s="4" t="s">
        <v>1618</v>
      </c>
      <c r="B25" s="153">
        <f t="shared" ref="B25:T25" si="33">+B6-B11</f>
        <v>0</v>
      </c>
      <c r="C25" s="153">
        <f t="shared" si="33"/>
        <v>0</v>
      </c>
      <c r="D25" s="153">
        <f t="shared" si="33"/>
        <v>0</v>
      </c>
      <c r="E25" s="153">
        <f t="shared" si="33"/>
        <v>0</v>
      </c>
      <c r="F25" s="153">
        <f t="shared" si="33"/>
        <v>-1144719.4257211722</v>
      </c>
      <c r="G25" s="153">
        <f t="shared" si="33"/>
        <v>-1272887.1107211802</v>
      </c>
      <c r="H25" s="153">
        <f t="shared" si="33"/>
        <v>-58721.610721174628</v>
      </c>
      <c r="I25" s="89">
        <f t="shared" ca="1" si="33"/>
        <v>3028285.660067223</v>
      </c>
      <c r="J25" s="89">
        <f t="shared" ca="1" si="33"/>
        <v>1986246.5154974908</v>
      </c>
      <c r="K25" s="153">
        <f t="shared" ca="1" si="33"/>
        <v>4019526.4211920388</v>
      </c>
      <c r="L25" s="153">
        <f t="shared" ca="1" si="33"/>
        <v>5088108.9000759162</v>
      </c>
      <c r="M25" s="153">
        <f ca="1">+M6-M11</f>
        <v>3904674.7611571252</v>
      </c>
      <c r="N25" s="153">
        <f ca="1">SUM(B25,C25,D25,E25,F25,G25,H25,I25,J25,K25,L25,M25)</f>
        <v>15550514.110826267</v>
      </c>
      <c r="O25" s="89">
        <f t="shared" ca="1" si="33"/>
        <v>3109617.4793549515</v>
      </c>
      <c r="P25" s="89">
        <f t="shared" ca="1" si="33"/>
        <v>2190048.1531480737</v>
      </c>
      <c r="Q25" s="89">
        <f t="shared" si="33"/>
        <v>3729120.1483805925</v>
      </c>
      <c r="R25" s="89">
        <f t="shared" si="33"/>
        <v>4468012.060418196</v>
      </c>
      <c r="S25" s="89">
        <f t="shared" si="33"/>
        <v>2174583.7002931908</v>
      </c>
      <c r="T25" s="89">
        <f t="shared" si="33"/>
        <v>-241120.18806162849</v>
      </c>
      <c r="U25" s="89">
        <f t="shared" ref="U25:Z25" si="34">+U6-U11</f>
        <v>3306471.4726008661</v>
      </c>
      <c r="V25" s="89">
        <f t="shared" ca="1" si="34"/>
        <v>4979840.5929817297</v>
      </c>
      <c r="W25" s="89">
        <f t="shared" ca="1" si="34"/>
        <v>2864018.6501711085</v>
      </c>
      <c r="X25" s="89">
        <f t="shared" ca="1" si="34"/>
        <v>6295349.519064825</v>
      </c>
      <c r="Y25" s="89">
        <f t="shared" ca="1" si="34"/>
        <v>7627057.6297707558</v>
      </c>
      <c r="Z25" s="153">
        <f t="shared" ca="1" si="34"/>
        <v>6268728.4028006345</v>
      </c>
      <c r="AA25" s="153">
        <f ca="1">SUM(O25,P25,Q25,R25,S25,T25,U25,V25,W25,X25,Y25,Z25)</f>
        <v>46771727.620923296</v>
      </c>
      <c r="AB25" s="153">
        <f t="shared" ref="AB25:AM25" ca="1" si="35">+AB6-AB11</f>
        <v>5389307.6651852988</v>
      </c>
      <c r="AC25" s="89">
        <f t="shared" ca="1" si="35"/>
        <v>4243540.9925854504</v>
      </c>
      <c r="AD25" s="89">
        <f t="shared" si="35"/>
        <v>6253589.0503829718</v>
      </c>
      <c r="AE25" s="89">
        <f t="shared" si="35"/>
        <v>7205504.2056588605</v>
      </c>
      <c r="AF25" s="89">
        <f t="shared" si="35"/>
        <v>4311318.1561886035</v>
      </c>
      <c r="AG25" s="89">
        <f t="shared" si="35"/>
        <v>1247348.4375091046</v>
      </c>
      <c r="AH25" s="89">
        <f t="shared" si="35"/>
        <v>5229713.4458899871</v>
      </c>
      <c r="AI25" s="89">
        <f t="shared" ca="1" si="35"/>
        <v>7465391.6675737239</v>
      </c>
      <c r="AJ25" s="89">
        <f t="shared" ca="1" si="35"/>
        <v>4894626.3663686663</v>
      </c>
      <c r="AK25" s="89">
        <f t="shared" ca="1" si="35"/>
        <v>8917392.7990147509</v>
      </c>
      <c r="AL25" s="89">
        <f t="shared" ca="1" si="35"/>
        <v>10582844.787072465</v>
      </c>
      <c r="AM25" s="89">
        <f t="shared" ca="1" si="35"/>
        <v>8948999.5421865545</v>
      </c>
      <c r="AN25" s="153">
        <f ca="1">SUM(AB25,AC25,AD25,AE25,AF25,AG25,AH25,AI25,AJ25,AK25,AL25,AM25)</f>
        <v>74689577.115616441</v>
      </c>
      <c r="AO25" s="91"/>
      <c r="AP25" s="91"/>
    </row>
    <row r="26" spans="1:46" x14ac:dyDescent="0.3">
      <c r="A26" s="71" t="s">
        <v>1587</v>
      </c>
      <c r="B26" s="90"/>
      <c r="C26" s="90"/>
      <c r="D26" s="90"/>
      <c r="E26" s="114"/>
      <c r="F26" s="265">
        <v>1645386.8199999998</v>
      </c>
      <c r="G26" s="265">
        <v>1200000</v>
      </c>
      <c r="H26" s="265">
        <f>'Interest Expense'!R31</f>
        <v>860955.61069720425</v>
      </c>
      <c r="I26" s="265">
        <f>'Interest Expense'!S31</f>
        <v>1267197.2057774886</v>
      </c>
      <c r="J26" s="265">
        <f>'Interest Expense'!T31</f>
        <v>1435839.2742233332</v>
      </c>
      <c r="K26" s="265">
        <f>'Interest Expense'!U31</f>
        <v>1503784.3074408663</v>
      </c>
      <c r="L26" s="265">
        <f>'Interest Expense'!V31</f>
        <v>1497283.339934729</v>
      </c>
      <c r="M26" s="265">
        <f>'Interest Expense'!W31</f>
        <v>1490677.1576577767</v>
      </c>
      <c r="N26" s="266">
        <f>SUM(B26,C26,D26,E26,F26,G26,H26,I26,J26,K26,L26,M26)</f>
        <v>10901123.715731397</v>
      </c>
      <c r="O26" s="265">
        <f>'Interest Expense'!Y31</f>
        <v>1483963.3997116764</v>
      </c>
      <c r="P26" s="265">
        <f>'Interest Expense'!Z31</f>
        <v>1477139.6517664865</v>
      </c>
      <c r="Q26" s="265">
        <f>'Interest Expense'!AA31</f>
        <v>1456401.361507769</v>
      </c>
      <c r="R26" s="265">
        <f>'Interest Expense'!AB31</f>
        <v>1430517.0537656141</v>
      </c>
      <c r="S26" s="265">
        <f>'Interest Expense'!AC31</f>
        <v>1409801.9860672113</v>
      </c>
      <c r="T26" s="265">
        <f>'Interest Expense'!AD31</f>
        <v>1385909.1955772755</v>
      </c>
      <c r="U26" s="265">
        <f>'Interest Expense'!AE31</f>
        <v>1365318.4346950862</v>
      </c>
      <c r="V26" s="265">
        <f>'Interest Expense'!AF31</f>
        <v>1341888.3136444513</v>
      </c>
      <c r="W26" s="265">
        <f>'Interest Expense'!AG31</f>
        <v>1320143.2743857214</v>
      </c>
      <c r="X26" s="265">
        <f>'Interest Expense'!AH31</f>
        <v>1299614.8241818422</v>
      </c>
      <c r="Y26" s="265">
        <f>'Interest Expense'!AI31</f>
        <v>1278977.2380678821</v>
      </c>
      <c r="Z26" s="265">
        <f>'Interest Expense'!AJ31</f>
        <v>1258523.3962524862</v>
      </c>
      <c r="AA26" s="266">
        <f>SUM(O26,P26,Q26,R26,S26,T26,U26,V26,W26,X26,Y26,Z26)</f>
        <v>16508198.129623502</v>
      </c>
      <c r="AB26" s="265">
        <f>'Interest Expense'!AM31</f>
        <v>705709.12168226484</v>
      </c>
      <c r="AC26" s="265">
        <f>'Interest Expense'!AN31</f>
        <v>685472.38456463651</v>
      </c>
      <c r="AD26" s="265">
        <f>'Interest Expense'!AO31</f>
        <v>665122.73851224105</v>
      </c>
      <c r="AE26" s="265">
        <f>'Interest Expense'!AP31</f>
        <v>644657.73716482567</v>
      </c>
      <c r="AF26" s="265">
        <f>'Interest Expense'!AQ31</f>
        <v>624074.88115766447</v>
      </c>
      <c r="AG26" s="265">
        <f>'Interest Expense'!AR31</f>
        <v>603371.6169731298</v>
      </c>
      <c r="AH26" s="265">
        <f>'Interest Expense'!AS31</f>
        <v>582545.33576737856</v>
      </c>
      <c r="AI26" s="265">
        <f>'Interest Expense'!AT31</f>
        <v>561593.3696182844</v>
      </c>
      <c r="AJ26" s="265">
        <f>'Interest Expense'!AU31</f>
        <v>541736.47269373026</v>
      </c>
      <c r="AK26" s="265">
        <f>'Interest Expense'!AV31</f>
        <v>521748.38814136648</v>
      </c>
      <c r="AL26" s="265">
        <f>'Interest Expense'!AW31</f>
        <v>501626.27356259036</v>
      </c>
      <c r="AM26" s="265">
        <f>'Interest Expense'!AY31</f>
        <v>481367.22497349622</v>
      </c>
      <c r="AN26" s="266">
        <f>SUM(AB26,AC26,AD26,AE26,AF26,AG26,AH26,AI26,AJ26,AK26,AL26,AM26)</f>
        <v>7119025.5448116092</v>
      </c>
      <c r="AO26" s="91"/>
      <c r="AP26" s="91"/>
      <c r="AQ26" s="95">
        <f>SUM(B26,C26,D26,E26,F26:M26)</f>
        <v>10901123.715731397</v>
      </c>
      <c r="AR26" s="4">
        <v>0</v>
      </c>
    </row>
    <row r="27" spans="1:46" hidden="1" x14ac:dyDescent="0.3">
      <c r="A27" s="4" t="s">
        <v>31</v>
      </c>
      <c r="B27" s="94">
        <f t="shared" ref="B27:N27" si="36">+B28-B29-B30-B31</f>
        <v>0</v>
      </c>
      <c r="C27" s="94">
        <f t="shared" si="36"/>
        <v>0</v>
      </c>
      <c r="D27" s="94">
        <f t="shared" si="36"/>
        <v>0</v>
      </c>
      <c r="E27" s="94">
        <f t="shared" si="36"/>
        <v>0</v>
      </c>
      <c r="F27" s="155">
        <f t="shared" si="36"/>
        <v>0</v>
      </c>
      <c r="G27" s="94">
        <f t="shared" si="36"/>
        <v>0</v>
      </c>
      <c r="H27" s="94">
        <f t="shared" si="36"/>
        <v>0</v>
      </c>
      <c r="I27" s="94">
        <f t="shared" si="36"/>
        <v>0</v>
      </c>
      <c r="J27" s="94">
        <f t="shared" si="36"/>
        <v>0</v>
      </c>
      <c r="K27" s="94">
        <f t="shared" si="36"/>
        <v>0</v>
      </c>
      <c r="L27" s="94">
        <f t="shared" si="36"/>
        <v>0</v>
      </c>
      <c r="M27" s="94">
        <f t="shared" si="36"/>
        <v>0</v>
      </c>
      <c r="N27" s="155">
        <f t="shared" si="36"/>
        <v>0</v>
      </c>
      <c r="O27" s="238"/>
      <c r="P27" s="238"/>
      <c r="Q27" s="238"/>
      <c r="R27" s="238"/>
      <c r="S27" s="238"/>
      <c r="T27" s="238"/>
      <c r="U27" s="238"/>
      <c r="V27" s="238"/>
      <c r="W27" s="238"/>
      <c r="X27" s="238"/>
      <c r="Y27" s="238"/>
      <c r="Z27" s="238"/>
      <c r="AA27" s="155">
        <f t="shared" ref="AA27" si="37">+AA28-AA29-AA30-AA31</f>
        <v>0</v>
      </c>
      <c r="AB27" s="238"/>
      <c r="AC27" s="238"/>
      <c r="AD27" s="238"/>
      <c r="AE27" s="238"/>
      <c r="AF27" s="238"/>
      <c r="AG27" s="238"/>
      <c r="AH27" s="238"/>
      <c r="AI27" s="238"/>
      <c r="AJ27" s="238"/>
      <c r="AK27" s="238"/>
      <c r="AL27" s="238"/>
      <c r="AM27" s="238"/>
      <c r="AN27" s="155">
        <f t="shared" ref="AN27" si="38">+AN28-AN29-AN30-AN31</f>
        <v>0</v>
      </c>
      <c r="AO27" s="98"/>
      <c r="AP27" s="98"/>
    </row>
    <row r="28" spans="1:46" hidden="1" x14ac:dyDescent="0.3">
      <c r="A28" s="71" t="s">
        <v>1619</v>
      </c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>
        <f>SUM(B28,C28,D28,E28,F28,G28,H28,I28,J28,K28,L28,M28)</f>
        <v>0</v>
      </c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90">
        <f>SUM(O28,P28,Q28,R28,S28,T28,U28,V28,W28,X28,Y28,Z28)</f>
        <v>0</v>
      </c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90">
        <f>SUM(AB28,AC28,AD28,AE28,AF28,AG28,AH28,AI28,AJ28,AK28,AL28,AM28)</f>
        <v>0</v>
      </c>
      <c r="AQ28" s="95">
        <f>SUM(B28,C28,D28,E28,F28:M28)</f>
        <v>0</v>
      </c>
    </row>
    <row r="29" spans="1:46" hidden="1" x14ac:dyDescent="0.3">
      <c r="A29" s="71" t="s">
        <v>1620</v>
      </c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>
        <f>SUM(B29,C29,D29,E29,F29,G29,H29,I29,J29,K29,L29,M29)</f>
        <v>0</v>
      </c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90">
        <f>SUM(O29,P29,Q29,R29,S29,T29,U29,V29,W29,X29,Y29,Z29)</f>
        <v>0</v>
      </c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90">
        <f>SUM(AB29,AC29,AD29,AE29,AF29,AG29,AH29,AI29,AJ29,AK29,AL29,AM29)</f>
        <v>0</v>
      </c>
      <c r="AO29" s="91"/>
      <c r="AP29" s="91"/>
      <c r="AQ29" s="95">
        <f>SUM(B29,C29,D29,E29,F29:M29)</f>
        <v>0</v>
      </c>
    </row>
    <row r="30" spans="1:46" hidden="1" x14ac:dyDescent="0.3">
      <c r="A30" s="71" t="s">
        <v>1621</v>
      </c>
      <c r="B30" s="90"/>
      <c r="C30" s="90"/>
      <c r="D30" s="90"/>
      <c r="E30" s="90">
        <f>'Cashflow (ROLLING) CAP'!E172</f>
        <v>0</v>
      </c>
      <c r="F30" s="90">
        <f>'Cashflow (ROLLING) CAP'!F172</f>
        <v>0</v>
      </c>
      <c r="G30" s="90">
        <f>'Cashflow (ROLLING) CAP'!G172</f>
        <v>0</v>
      </c>
      <c r="H30" s="90">
        <f>'Cashflow (ROLLING) CAP'!H172</f>
        <v>0</v>
      </c>
      <c r="I30" s="90">
        <f>'Cashflow (ROLLING) CAP'!I172</f>
        <v>0</v>
      </c>
      <c r="J30" s="90">
        <f>'Cashflow (ROLLING) CAP'!J172</f>
        <v>0</v>
      </c>
      <c r="K30" s="90">
        <f>'Cashflow (ROLLING) CAP'!K172</f>
        <v>0</v>
      </c>
      <c r="L30" s="90">
        <f>'Cashflow (ROLLING) CAP'!L172</f>
        <v>0</v>
      </c>
      <c r="M30" s="90">
        <f>'Cashflow (ROLLING) CAP'!M172</f>
        <v>0</v>
      </c>
      <c r="N30" s="90">
        <f>SUM(B30,C30,D30,E30,F30,G30,H30,I30,J30,K30,L30,M30)</f>
        <v>0</v>
      </c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90">
        <f>SUM(O30,P30,Q30,R30,S30,T30,U30,V30,W30,X30,Y30,Z30)</f>
        <v>0</v>
      </c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90">
        <f>SUM(AB30,AC30,AD30,AE30,AF30,AG30,AH30,AI30,AJ30,AK30,AL30,AM30)</f>
        <v>0</v>
      </c>
      <c r="AO30" s="91"/>
      <c r="AP30" s="91"/>
      <c r="AQ30" s="95">
        <f>SUM(B30,C30,D30,E30,F30:M30)</f>
        <v>0</v>
      </c>
    </row>
    <row r="31" spans="1:46" hidden="1" x14ac:dyDescent="0.3">
      <c r="A31" s="71" t="s">
        <v>1690</v>
      </c>
      <c r="B31" s="90">
        <v>0</v>
      </c>
      <c r="C31" s="90">
        <v>0</v>
      </c>
      <c r="D31" s="90">
        <v>0</v>
      </c>
      <c r="E31" s="90"/>
      <c r="F31" s="90"/>
      <c r="G31" s="90"/>
      <c r="H31" s="90"/>
      <c r="I31" s="90"/>
      <c r="J31" s="90"/>
      <c r="K31" s="90"/>
      <c r="L31" s="90"/>
      <c r="M31" s="90"/>
      <c r="N31" s="90">
        <f>SUM(B31,C31,D31,E31,F31,G31,H31,I31,J31,K31,L31,M31)</f>
        <v>0</v>
      </c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90">
        <f>SUM(O31,P31,Q31,R31,S31,T31,U31,V31,W31,X31,Y31,Z31)</f>
        <v>0</v>
      </c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90">
        <f>SUM(AB31,AC31,AD31,AE31,AF31,AG31,AH31,AI31,AJ31,AK31,AL31,AM31)</f>
        <v>0</v>
      </c>
      <c r="AO31" s="1"/>
      <c r="AP31" s="1"/>
      <c r="AQ31" s="95">
        <f>SUM(B31,C31,D31,E31,F31:M31)</f>
        <v>0</v>
      </c>
    </row>
    <row r="33" spans="1:43" x14ac:dyDescent="0.3">
      <c r="A33" s="70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3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3"/>
      <c r="AO33" s="87"/>
      <c r="AP33" s="87"/>
    </row>
    <row r="34" spans="1:43" ht="15.6" x14ac:dyDescent="0.3">
      <c r="A34" s="88" t="s">
        <v>1622</v>
      </c>
      <c r="B34" s="89">
        <f t="shared" ref="B34:AM34" si="39">+B25-B26+B27</f>
        <v>0</v>
      </c>
      <c r="C34" s="89">
        <f t="shared" si="39"/>
        <v>0</v>
      </c>
      <c r="D34" s="89">
        <f t="shared" si="39"/>
        <v>0</v>
      </c>
      <c r="E34" s="89">
        <f t="shared" si="39"/>
        <v>0</v>
      </c>
      <c r="F34" s="153">
        <f t="shared" si="39"/>
        <v>-2790106.2457211721</v>
      </c>
      <c r="G34" s="153">
        <f t="shared" si="39"/>
        <v>-2472887.1107211802</v>
      </c>
      <c r="H34" s="153">
        <f t="shared" si="39"/>
        <v>-919677.22141837887</v>
      </c>
      <c r="I34" s="153">
        <f t="shared" ca="1" si="39"/>
        <v>1761088.4542897344</v>
      </c>
      <c r="J34" s="153">
        <f t="shared" ca="1" si="39"/>
        <v>550407.24127415754</v>
      </c>
      <c r="K34" s="153">
        <f t="shared" ca="1" si="39"/>
        <v>2515742.1137511726</v>
      </c>
      <c r="L34" s="153">
        <f t="shared" ca="1" si="39"/>
        <v>3590825.5601411872</v>
      </c>
      <c r="M34" s="153">
        <f t="shared" ca="1" si="39"/>
        <v>2413997.6034993483</v>
      </c>
      <c r="N34" s="153">
        <f t="shared" ca="1" si="39"/>
        <v>4649390.3950948697</v>
      </c>
      <c r="O34" s="153">
        <f t="shared" ca="1" si="39"/>
        <v>1625654.0796432751</v>
      </c>
      <c r="P34" s="153">
        <f t="shared" ca="1" si="39"/>
        <v>712908.50138158724</v>
      </c>
      <c r="Q34" s="153">
        <f t="shared" si="39"/>
        <v>2272718.7868728237</v>
      </c>
      <c r="R34" s="153">
        <f t="shared" si="39"/>
        <v>3037495.006652582</v>
      </c>
      <c r="S34" s="153">
        <f t="shared" si="39"/>
        <v>764781.71422597952</v>
      </c>
      <c r="T34" s="153">
        <f t="shared" si="39"/>
        <v>-1627029.383638904</v>
      </c>
      <c r="U34" s="153">
        <f t="shared" si="39"/>
        <v>1941153.0379057799</v>
      </c>
      <c r="V34" s="153">
        <f t="shared" ca="1" si="39"/>
        <v>3637952.2793372786</v>
      </c>
      <c r="W34" s="153">
        <f t="shared" ca="1" si="39"/>
        <v>1543875.3757853871</v>
      </c>
      <c r="X34" s="153">
        <f t="shared" ca="1" si="39"/>
        <v>4995734.6948829833</v>
      </c>
      <c r="Y34" s="153">
        <f t="shared" ca="1" si="39"/>
        <v>6348080.3917028736</v>
      </c>
      <c r="Z34" s="153">
        <f t="shared" ca="1" si="39"/>
        <v>5010205.0065481486</v>
      </c>
      <c r="AA34" s="153">
        <f t="shared" ref="AA34" ca="1" si="40">+AA25-AA26+AA27</f>
        <v>30263529.491299793</v>
      </c>
      <c r="AB34" s="153">
        <f t="shared" ca="1" si="39"/>
        <v>4683598.5435030339</v>
      </c>
      <c r="AC34" s="153">
        <f t="shared" ca="1" si="39"/>
        <v>3558068.6080208141</v>
      </c>
      <c r="AD34" s="153">
        <f t="shared" si="39"/>
        <v>5588466.3118707305</v>
      </c>
      <c r="AE34" s="153">
        <f t="shared" si="39"/>
        <v>6560846.4684940353</v>
      </c>
      <c r="AF34" s="153">
        <f t="shared" si="39"/>
        <v>3687243.2750309389</v>
      </c>
      <c r="AG34" s="153">
        <f t="shared" si="39"/>
        <v>643976.82053597481</v>
      </c>
      <c r="AH34" s="153">
        <f t="shared" si="39"/>
        <v>4647168.110122608</v>
      </c>
      <c r="AI34" s="153">
        <f t="shared" ca="1" si="39"/>
        <v>6903798.2979554394</v>
      </c>
      <c r="AJ34" s="153">
        <f t="shared" ca="1" si="39"/>
        <v>4352889.8936749361</v>
      </c>
      <c r="AK34" s="153">
        <f t="shared" ca="1" si="39"/>
        <v>8395644.4108733851</v>
      </c>
      <c r="AL34" s="153">
        <f t="shared" ca="1" si="39"/>
        <v>10081218.513509875</v>
      </c>
      <c r="AM34" s="153">
        <f t="shared" ca="1" si="39"/>
        <v>8467632.3172130585</v>
      </c>
      <c r="AN34" s="153">
        <f t="shared" ref="AN34" ca="1" si="41">+AN25-AN26+AN27</f>
        <v>67570551.570804834</v>
      </c>
      <c r="AO34" s="91"/>
      <c r="AP34" s="91"/>
      <c r="AQ34" s="4"/>
    </row>
    <row r="35" spans="1:43" x14ac:dyDescent="0.3">
      <c r="A35" s="70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3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3"/>
      <c r="AO35" s="87"/>
      <c r="AP35" s="87"/>
    </row>
    <row r="36" spans="1:43" x14ac:dyDescent="0.3">
      <c r="A36" s="71" t="s">
        <v>1623</v>
      </c>
      <c r="B36" s="90"/>
      <c r="C36" s="90"/>
      <c r="D36" s="90"/>
      <c r="E36" s="90">
        <v>200000</v>
      </c>
      <c r="F36" s="90">
        <v>200000</v>
      </c>
      <c r="G36" s="90">
        <v>200000</v>
      </c>
      <c r="H36" s="90">
        <v>750000</v>
      </c>
      <c r="I36" s="90">
        <v>750000</v>
      </c>
      <c r="J36" s="90">
        <v>750000</v>
      </c>
      <c r="K36" s="90">
        <v>750000</v>
      </c>
      <c r="L36" s="90">
        <v>750000</v>
      </c>
      <c r="M36" s="90">
        <v>750000</v>
      </c>
      <c r="N36" s="93">
        <f>SUM(B36,C36,D36,E36,F36,G36,H36,I36,J36,K36,L36,M36)</f>
        <v>5100000</v>
      </c>
      <c r="O36" s="90">
        <v>750000</v>
      </c>
      <c r="P36" s="114">
        <v>750000</v>
      </c>
      <c r="Q36" s="90">
        <v>750000</v>
      </c>
      <c r="R36" s="90">
        <v>750000</v>
      </c>
      <c r="S36" s="90">
        <v>750000</v>
      </c>
      <c r="T36" s="90">
        <v>750000</v>
      </c>
      <c r="U36" s="90">
        <v>750000</v>
      </c>
      <c r="V36" s="90">
        <v>750000</v>
      </c>
      <c r="W36" s="90">
        <v>750000</v>
      </c>
      <c r="X36" s="90">
        <v>750000</v>
      </c>
      <c r="Y36" s="90">
        <v>750000</v>
      </c>
      <c r="Z36" s="90">
        <v>750000</v>
      </c>
      <c r="AA36" s="267">
        <f>SUM(O36,P36,Q36,R36,S36,T36,U36,V36,W36,X36,Y36,Z36)</f>
        <v>9000000</v>
      </c>
      <c r="AB36" s="90">
        <v>300000</v>
      </c>
      <c r="AC36" s="90">
        <v>300000</v>
      </c>
      <c r="AD36" s="90">
        <v>300000</v>
      </c>
      <c r="AE36" s="90">
        <v>300000</v>
      </c>
      <c r="AF36" s="90">
        <v>300000</v>
      </c>
      <c r="AG36" s="90">
        <v>300000</v>
      </c>
      <c r="AH36" s="90">
        <v>300000</v>
      </c>
      <c r="AI36" s="90">
        <v>300000</v>
      </c>
      <c r="AJ36" s="90">
        <v>300000</v>
      </c>
      <c r="AK36" s="90">
        <v>300000</v>
      </c>
      <c r="AL36" s="90">
        <v>300000</v>
      </c>
      <c r="AM36" s="90">
        <v>300000</v>
      </c>
      <c r="AN36" s="267">
        <f>SUM(AB36,AC36,AD36,AE36,AF36,AG36,AH36,AI36,AJ36,AK36,AL36,AM36)</f>
        <v>3600000</v>
      </c>
      <c r="AO36" s="91"/>
      <c r="AP36" s="91"/>
      <c r="AQ36" s="95">
        <f>SUM(B36,C36,D36,E36,F36:M36)</f>
        <v>5100000</v>
      </c>
    </row>
    <row r="37" spans="1:43" x14ac:dyDescent="0.3">
      <c r="A37" s="71" t="s">
        <v>1691</v>
      </c>
      <c r="B37" s="90"/>
      <c r="C37" s="90"/>
      <c r="D37" s="90"/>
      <c r="E37" s="90"/>
      <c r="F37" s="90"/>
      <c r="G37" s="90">
        <v>150000</v>
      </c>
      <c r="H37" s="90">
        <v>150000</v>
      </c>
      <c r="I37" s="90">
        <v>150000</v>
      </c>
      <c r="J37" s="90">
        <v>50000</v>
      </c>
      <c r="K37" s="90">
        <v>50000</v>
      </c>
      <c r="L37" s="90">
        <v>50000</v>
      </c>
      <c r="M37" s="90">
        <v>50000</v>
      </c>
      <c r="N37" s="93">
        <f>SUM(B37,C37,D37,E37,F37,G37,H37,I37,J37,K37,L37,M37)</f>
        <v>650000</v>
      </c>
      <c r="O37" s="90">
        <v>25000</v>
      </c>
      <c r="P37" s="90">
        <v>25000</v>
      </c>
      <c r="Q37" s="90">
        <v>25000</v>
      </c>
      <c r="R37" s="90">
        <v>25000</v>
      </c>
      <c r="S37" s="90">
        <v>25000</v>
      </c>
      <c r="T37" s="90">
        <v>25000</v>
      </c>
      <c r="U37" s="90">
        <v>25000</v>
      </c>
      <c r="V37" s="90">
        <v>25000</v>
      </c>
      <c r="W37" s="90">
        <v>25000</v>
      </c>
      <c r="X37" s="90">
        <v>25000</v>
      </c>
      <c r="Y37" s="90">
        <v>25000</v>
      </c>
      <c r="Z37" s="90">
        <v>25000</v>
      </c>
      <c r="AA37" s="267">
        <f>SUM(O37,P37,Q37,R37,S37,T37,U37,V37,W37,X37,Y37,Z37)</f>
        <v>300000</v>
      </c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267">
        <f>SUM(AB37,AC37,AD37,AE37,AF37,AG37,AH37,AI37,AJ37,AK37,AL37,AM37)</f>
        <v>0</v>
      </c>
      <c r="AO37" s="91"/>
      <c r="AP37" s="91"/>
      <c r="AQ37" s="95">
        <f>SUM(B37,C37,D37,E37,F37:M37)</f>
        <v>650000</v>
      </c>
    </row>
    <row r="38" spans="1:43" x14ac:dyDescent="0.3">
      <c r="A38" s="70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3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3"/>
      <c r="AO38" s="87"/>
      <c r="AP38" s="87"/>
    </row>
    <row r="39" spans="1:43" ht="15.6" x14ac:dyDescent="0.3">
      <c r="A39" s="88" t="s">
        <v>1624</v>
      </c>
      <c r="B39" s="99">
        <f>-B36-B37</f>
        <v>0</v>
      </c>
      <c r="C39" s="99">
        <f>-C36-C37</f>
        <v>0</v>
      </c>
      <c r="D39" s="99">
        <f>-D36-D37</f>
        <v>0</v>
      </c>
      <c r="E39" s="99">
        <f>-E36-E37</f>
        <v>-200000</v>
      </c>
      <c r="F39" s="99">
        <f>-F36-F37</f>
        <v>-200000</v>
      </c>
      <c r="G39" s="255">
        <f t="shared" ref="G39:T39" si="42">-G36-G37</f>
        <v>-350000</v>
      </c>
      <c r="H39" s="99">
        <f t="shared" si="42"/>
        <v>-900000</v>
      </c>
      <c r="I39" s="99">
        <f t="shared" si="42"/>
        <v>-900000</v>
      </c>
      <c r="J39" s="99">
        <f t="shared" si="42"/>
        <v>-800000</v>
      </c>
      <c r="K39" s="99">
        <f t="shared" si="42"/>
        <v>-800000</v>
      </c>
      <c r="L39" s="99">
        <f t="shared" si="42"/>
        <v>-800000</v>
      </c>
      <c r="M39" s="99">
        <f t="shared" si="42"/>
        <v>-800000</v>
      </c>
      <c r="N39" s="99">
        <f t="shared" si="42"/>
        <v>-5750000</v>
      </c>
      <c r="O39" s="99">
        <f t="shared" si="42"/>
        <v>-775000</v>
      </c>
      <c r="P39" s="99">
        <f t="shared" si="42"/>
        <v>-775000</v>
      </c>
      <c r="Q39" s="99">
        <f t="shared" si="42"/>
        <v>-775000</v>
      </c>
      <c r="R39" s="99">
        <f t="shared" si="42"/>
        <v>-775000</v>
      </c>
      <c r="S39" s="99">
        <f t="shared" si="42"/>
        <v>-775000</v>
      </c>
      <c r="T39" s="99">
        <f t="shared" si="42"/>
        <v>-775000</v>
      </c>
      <c r="U39" s="99"/>
      <c r="V39" s="99"/>
      <c r="W39" s="99"/>
      <c r="X39" s="99"/>
      <c r="Y39" s="99"/>
      <c r="Z39" s="99"/>
      <c r="AA39" s="99">
        <f t="shared" ref="AA39" si="43">-AA36-AA37</f>
        <v>-9300000</v>
      </c>
      <c r="AB39" s="290"/>
      <c r="AC39" s="290"/>
      <c r="AD39" s="290"/>
      <c r="AE39" s="290"/>
      <c r="AF39" s="290"/>
      <c r="AG39" s="290"/>
      <c r="AH39" s="290"/>
      <c r="AI39" s="290"/>
      <c r="AJ39" s="290"/>
      <c r="AK39" s="290"/>
      <c r="AL39" s="290"/>
      <c r="AM39" s="290"/>
      <c r="AN39" s="99">
        <f t="shared" ref="AN39" si="44">-AN36-AN37</f>
        <v>-3600000</v>
      </c>
      <c r="AO39" s="91"/>
      <c r="AP39" s="91"/>
      <c r="AQ39" s="4"/>
    </row>
    <row r="41" spans="1:43" x14ac:dyDescent="0.3">
      <c r="A41" s="70"/>
      <c r="B41" s="93"/>
      <c r="C41" s="93"/>
      <c r="D41" s="93"/>
      <c r="E41" s="93">
        <v>30000000</v>
      </c>
      <c r="F41" s="93"/>
      <c r="G41" s="93"/>
      <c r="H41" s="93"/>
      <c r="I41" s="93"/>
      <c r="J41" s="93"/>
      <c r="K41" s="93"/>
      <c r="L41" s="93"/>
      <c r="M41" s="93"/>
      <c r="N41" s="93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3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3"/>
      <c r="AO41" s="87"/>
      <c r="AP41" s="87"/>
    </row>
    <row r="42" spans="1:43" x14ac:dyDescent="0.3">
      <c r="A42" s="71"/>
      <c r="B42" s="93"/>
      <c r="C42" s="93"/>
      <c r="D42" s="93"/>
      <c r="E42" s="93"/>
      <c r="F42" s="100"/>
      <c r="G42" s="100"/>
      <c r="H42" s="100"/>
      <c r="I42" s="100"/>
      <c r="J42" s="100"/>
      <c r="K42" s="100"/>
      <c r="L42" s="100"/>
      <c r="M42" s="100"/>
      <c r="N42" s="100"/>
      <c r="O42" s="239"/>
      <c r="P42" s="239"/>
      <c r="Q42" s="239"/>
      <c r="R42" s="239"/>
      <c r="S42" s="239"/>
      <c r="T42" s="239"/>
      <c r="U42" s="239"/>
      <c r="V42" s="239"/>
      <c r="W42" s="239"/>
      <c r="X42" s="239"/>
      <c r="Y42" s="239"/>
      <c r="Z42" s="239"/>
      <c r="AA42" s="100"/>
      <c r="AB42" s="239"/>
      <c r="AC42" s="239"/>
      <c r="AD42" s="239"/>
      <c r="AE42" s="239"/>
      <c r="AF42" s="239"/>
      <c r="AG42" s="239"/>
      <c r="AH42" s="239"/>
      <c r="AI42" s="239"/>
      <c r="AJ42" s="239"/>
      <c r="AK42" s="239"/>
      <c r="AL42" s="239"/>
      <c r="AM42" s="239"/>
      <c r="AN42" s="100"/>
      <c r="AO42" s="87"/>
      <c r="AP42" s="87"/>
    </row>
    <row r="43" spans="1:43" x14ac:dyDescent="0.3">
      <c r="A43" s="70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3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3"/>
      <c r="AO43" s="87"/>
      <c r="AP43" s="87"/>
    </row>
    <row r="44" spans="1:43" x14ac:dyDescent="0.3">
      <c r="B44" s="125"/>
      <c r="C44" s="125"/>
      <c r="D44" s="125"/>
      <c r="E44" s="125"/>
      <c r="F44" s="125"/>
      <c r="G44" s="239"/>
      <c r="K44" s="125"/>
      <c r="L44" s="125"/>
      <c r="M44" s="125"/>
      <c r="N44" s="239">
        <f>SUM(B44,C44,D44,E44,F44,G44,H48,I48,J48,K44,L44,M44)</f>
        <v>24071500.57</v>
      </c>
      <c r="O44" s="239"/>
      <c r="P44" s="239"/>
      <c r="Q44" s="239"/>
      <c r="R44" s="239"/>
      <c r="S44" s="239"/>
      <c r="T44" s="239"/>
      <c r="U44" s="239"/>
      <c r="V44" s="239"/>
      <c r="W44" s="239"/>
      <c r="X44" s="239"/>
      <c r="Y44" s="239"/>
      <c r="Z44" s="239"/>
      <c r="AA44" s="239">
        <f>SUM(O44,P44,Q44,R44,S44,T44,U48,V48,W48,X44,Y44,Z44)</f>
        <v>0</v>
      </c>
      <c r="AB44" s="239"/>
      <c r="AC44" s="239"/>
      <c r="AD44" s="239"/>
      <c r="AE44" s="239"/>
      <c r="AF44" s="239"/>
      <c r="AG44" s="239"/>
      <c r="AH44" s="239"/>
      <c r="AI44" s="239"/>
      <c r="AJ44" s="239"/>
      <c r="AK44" s="239"/>
      <c r="AL44" s="239"/>
      <c r="AM44" s="239"/>
      <c r="AN44" s="239">
        <f>SUM(AB44,AC44,AD44,AE44,AF44,AG44,AH48,AI48,AJ48,AK44,AL44,AM44)</f>
        <v>0</v>
      </c>
      <c r="AO44" s="91"/>
      <c r="AP44" s="91"/>
      <c r="AQ44" s="4"/>
    </row>
    <row r="45" spans="1:43" x14ac:dyDescent="0.3">
      <c r="A45" s="109" t="s">
        <v>1626</v>
      </c>
      <c r="B45" s="90"/>
      <c r="C45" s="90"/>
      <c r="D45" s="90"/>
      <c r="E45" s="200"/>
      <c r="F45" s="200"/>
      <c r="G45" s="90"/>
      <c r="H45" s="90">
        <v>33000000</v>
      </c>
      <c r="I45" s="90">
        <v>14000000</v>
      </c>
      <c r="J45" s="90">
        <v>6000000</v>
      </c>
      <c r="K45" s="90"/>
      <c r="L45" s="90"/>
      <c r="M45" s="90"/>
      <c r="N45" s="267">
        <f>SUM(B45,C45,D45,E45,F45,G45,H45,I45,J45,K45,L45,M45)</f>
        <v>53000000</v>
      </c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267">
        <f>SUM(O45,P45,Q45,R45,S45,T45,U45,V45,W45,X45,Y45,Z45)</f>
        <v>0</v>
      </c>
      <c r="AB45" s="295"/>
      <c r="AC45" s="295"/>
      <c r="AD45" s="295"/>
      <c r="AE45" s="295"/>
      <c r="AF45" s="295"/>
      <c r="AG45" s="295"/>
      <c r="AH45" s="295"/>
      <c r="AI45" s="295"/>
      <c r="AJ45" s="295"/>
      <c r="AK45" s="295"/>
      <c r="AL45" s="295"/>
      <c r="AM45" s="295"/>
      <c r="AN45" s="267">
        <f>SUM(AB45,AC45,AD45,AE45,AF45,AG45,AH45,AI45,AJ45,AK45,AL45,AM45)</f>
        <v>0</v>
      </c>
      <c r="AO45" s="91"/>
      <c r="AP45" s="91"/>
      <c r="AQ45" s="4"/>
    </row>
    <row r="46" spans="1:43" x14ac:dyDescent="0.3">
      <c r="A46" s="109" t="s">
        <v>1625</v>
      </c>
      <c r="B46" s="90"/>
      <c r="C46" s="90"/>
      <c r="D46" s="90"/>
      <c r="E46" s="200"/>
      <c r="F46" s="200"/>
      <c r="G46" s="90"/>
      <c r="H46" s="90"/>
      <c r="I46" s="90"/>
      <c r="J46" s="90"/>
      <c r="K46" s="90"/>
      <c r="L46" s="90"/>
      <c r="M46" s="90"/>
      <c r="N46" s="267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267"/>
      <c r="AB46" s="295"/>
      <c r="AC46" s="295"/>
      <c r="AD46" s="295"/>
      <c r="AE46" s="295"/>
      <c r="AF46" s="295"/>
      <c r="AG46" s="295"/>
      <c r="AH46" s="295"/>
      <c r="AI46" s="295"/>
      <c r="AJ46" s="295"/>
      <c r="AK46" s="295"/>
      <c r="AL46" s="295"/>
      <c r="AM46" s="295"/>
      <c r="AN46" s="267"/>
      <c r="AO46" s="91"/>
      <c r="AP46" s="91"/>
      <c r="AQ46" s="4"/>
    </row>
    <row r="47" spans="1:43" x14ac:dyDescent="0.3">
      <c r="A47" s="71" t="s">
        <v>1281</v>
      </c>
      <c r="B47" s="90"/>
      <c r="C47" s="90"/>
      <c r="D47" s="90"/>
      <c r="E47" s="90"/>
      <c r="F47" s="100"/>
      <c r="G47" s="100"/>
      <c r="H47" s="100"/>
      <c r="I47" s="100">
        <v>1500000</v>
      </c>
      <c r="J47" s="100">
        <v>1500000</v>
      </c>
      <c r="K47" s="100">
        <v>1500000</v>
      </c>
      <c r="L47" s="100">
        <v>1500000</v>
      </c>
      <c r="M47" s="100">
        <v>1500000</v>
      </c>
      <c r="N47" s="93">
        <f>SUM(B47,C47,D47,E47,F47,G47,H47,I47,J47,K47,L47,M47)</f>
        <v>7500000</v>
      </c>
      <c r="O47" s="100">
        <v>1500000</v>
      </c>
      <c r="P47" s="100">
        <v>1500000</v>
      </c>
      <c r="Q47" s="100">
        <v>1500000</v>
      </c>
      <c r="R47" s="100">
        <v>1500000</v>
      </c>
      <c r="S47" s="100">
        <v>1500000</v>
      </c>
      <c r="T47" s="239"/>
      <c r="U47" s="239"/>
      <c r="V47" s="239"/>
      <c r="W47" s="239"/>
      <c r="X47" s="239"/>
      <c r="Y47" s="239"/>
      <c r="Z47" s="239"/>
      <c r="AA47" s="93">
        <f>SUM(O47,P47,Q47,R47,S47,T47,U47,V47,W47,X47,Y47,Z47)</f>
        <v>7500000</v>
      </c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3">
        <f>SUM(AB47,AC47,AD47,AE47,AF47,AG47,AH47,AI47,AJ47,AK47,AL47,AM47)</f>
        <v>0</v>
      </c>
      <c r="AO47" s="91"/>
      <c r="AP47" s="91"/>
      <c r="AQ47" s="4"/>
    </row>
    <row r="48" spans="1:43" x14ac:dyDescent="0.3">
      <c r="A48" s="71" t="s">
        <v>1005</v>
      </c>
      <c r="B48" s="90"/>
      <c r="C48" s="90"/>
      <c r="D48" s="90"/>
      <c r="E48" s="90"/>
      <c r="F48" s="100"/>
      <c r="G48" s="100"/>
      <c r="H48" s="100">
        <f>'Linea Sesajal'!E43</f>
        <v>11503037.34</v>
      </c>
      <c r="I48" s="100">
        <f>'Linea Sesajal'!F43</f>
        <v>10695606.359999999</v>
      </c>
      <c r="J48" s="100">
        <f>'Linea Sesajal'!G43</f>
        <v>1872856.87</v>
      </c>
      <c r="K48" s="100"/>
      <c r="L48" s="100"/>
      <c r="M48" s="100"/>
      <c r="N48" s="93">
        <f>SUM(B48,C48,D48,E48,F48,G48,H48,I48,J48,K48,L48,M48)</f>
        <v>24071500.57</v>
      </c>
      <c r="O48" s="100"/>
      <c r="P48" s="100"/>
      <c r="Q48" s="100"/>
      <c r="R48" s="239"/>
      <c r="S48" s="239"/>
      <c r="T48" s="239"/>
      <c r="U48" s="239"/>
      <c r="V48" s="239"/>
      <c r="W48" s="239"/>
      <c r="X48" s="239"/>
      <c r="Y48" s="239"/>
      <c r="Z48" s="239"/>
      <c r="AA48" s="93">
        <f t="shared" ref="AA48:AA55" si="45">SUM(O48,P48,Q48,R48,S48,T48,U48,V48,W48,X48,Y48,Z48)</f>
        <v>0</v>
      </c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3">
        <f t="shared" ref="AN48:AN55" si="46">SUM(AB48,AC48,AD48,AE48,AF48,AG48,AH48,AI48,AJ48,AK48,AL48,AM48)</f>
        <v>0</v>
      </c>
      <c r="AO48" s="91"/>
      <c r="AP48" s="91"/>
      <c r="AQ48" s="4"/>
    </row>
    <row r="49" spans="1:43" x14ac:dyDescent="0.3">
      <c r="A49" s="71" t="s">
        <v>1872</v>
      </c>
      <c r="B49" s="90"/>
      <c r="C49" s="90"/>
      <c r="D49" s="90"/>
      <c r="E49" s="90"/>
      <c r="F49" s="100"/>
      <c r="G49" s="100"/>
      <c r="H49" s="100"/>
      <c r="I49" s="100"/>
      <c r="J49" s="100"/>
      <c r="K49" s="100">
        <v>500000</v>
      </c>
      <c r="L49" s="100">
        <v>500000</v>
      </c>
      <c r="M49" s="100">
        <v>500000</v>
      </c>
      <c r="N49" s="93">
        <f>SUM(B49,C49,D49,E49,F49,G49,H49,I49,J49,K49,L49,M49)</f>
        <v>1500000</v>
      </c>
      <c r="O49" s="100">
        <v>500000</v>
      </c>
      <c r="P49" s="100">
        <v>500000</v>
      </c>
      <c r="Q49" s="100">
        <v>500000</v>
      </c>
      <c r="R49" s="100">
        <v>500000</v>
      </c>
      <c r="S49" s="100">
        <v>500000</v>
      </c>
      <c r="T49" s="100">
        <v>500000</v>
      </c>
      <c r="U49" s="100">
        <v>500000</v>
      </c>
      <c r="V49" s="100">
        <v>500000</v>
      </c>
      <c r="W49" s="100">
        <v>500000</v>
      </c>
      <c r="X49" s="100">
        <v>500000</v>
      </c>
      <c r="Y49" s="100">
        <v>500000</v>
      </c>
      <c r="Z49" s="100">
        <v>500000</v>
      </c>
      <c r="AA49" s="93">
        <f t="shared" si="45"/>
        <v>6000000</v>
      </c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3">
        <f t="shared" si="46"/>
        <v>0</v>
      </c>
      <c r="AO49" s="91"/>
      <c r="AP49" s="91"/>
      <c r="AQ49" s="4"/>
    </row>
    <row r="50" spans="1:43" x14ac:dyDescent="0.3">
      <c r="A50" s="71" t="s">
        <v>1871</v>
      </c>
      <c r="B50" s="90"/>
      <c r="C50" s="90"/>
      <c r="D50" s="90"/>
      <c r="E50" s="90"/>
      <c r="F50" s="100"/>
      <c r="G50" s="100"/>
      <c r="H50" s="100">
        <v>16000000</v>
      </c>
      <c r="I50" s="100"/>
      <c r="J50" s="100"/>
      <c r="K50" s="100"/>
      <c r="L50" s="100"/>
      <c r="M50" s="100"/>
      <c r="N50" s="93">
        <f>SUM(B50,C50,D50,E50,F50,G50,H50,I50,J50,K50,L50,M50)</f>
        <v>16000000</v>
      </c>
      <c r="O50" s="239"/>
      <c r="P50" s="239"/>
      <c r="Q50" s="239"/>
      <c r="R50" s="239"/>
      <c r="S50" s="239"/>
      <c r="T50" s="239"/>
      <c r="U50" s="239"/>
      <c r="V50" s="239"/>
      <c r="W50" s="239"/>
      <c r="X50" s="239"/>
      <c r="Y50" s="239"/>
      <c r="Z50" s="239"/>
      <c r="AA50" s="93">
        <f t="shared" si="45"/>
        <v>0</v>
      </c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3">
        <f t="shared" si="46"/>
        <v>0</v>
      </c>
      <c r="AO50" s="91"/>
      <c r="AP50" s="91"/>
      <c r="AQ50" s="4"/>
    </row>
    <row r="51" spans="1:43" x14ac:dyDescent="0.3">
      <c r="A51" s="71" t="s">
        <v>1884</v>
      </c>
      <c r="B51" s="90"/>
      <c r="C51" s="90"/>
      <c r="D51" s="90"/>
      <c r="E51" s="90"/>
      <c r="F51" s="100"/>
      <c r="G51" s="100"/>
      <c r="H51" s="100"/>
      <c r="I51" s="100"/>
      <c r="J51" s="100"/>
      <c r="K51" s="100"/>
      <c r="L51" s="100"/>
      <c r="M51" s="100"/>
      <c r="N51" s="93">
        <f>SUM(B51,C51,D51,E51,F51,G51,H51,I51,J51,K51,L51,M51)</f>
        <v>0</v>
      </c>
      <c r="O51" s="239">
        <v>1105000</v>
      </c>
      <c r="P51" s="239">
        <v>1105000</v>
      </c>
      <c r="Q51" s="239">
        <v>1105000</v>
      </c>
      <c r="R51" s="239">
        <v>1105000</v>
      </c>
      <c r="S51" s="239">
        <v>1105000</v>
      </c>
      <c r="T51" s="239">
        <v>1105000</v>
      </c>
      <c r="U51" s="239">
        <v>1105000</v>
      </c>
      <c r="V51" s="239">
        <v>1105000</v>
      </c>
      <c r="W51" s="239">
        <v>1105000</v>
      </c>
      <c r="X51" s="239">
        <v>1105000</v>
      </c>
      <c r="Y51" s="239">
        <v>1105000</v>
      </c>
      <c r="Z51" s="239">
        <v>1105000</v>
      </c>
      <c r="AA51" s="93">
        <f t="shared" si="45"/>
        <v>13260000</v>
      </c>
      <c r="AB51" s="239">
        <v>1105000</v>
      </c>
      <c r="AC51" s="239">
        <v>1105000</v>
      </c>
      <c r="AD51" s="239">
        <v>1105000</v>
      </c>
      <c r="AE51" s="239">
        <v>1105000</v>
      </c>
      <c r="AF51" s="239">
        <v>1105000</v>
      </c>
      <c r="AG51" s="239">
        <v>1105000</v>
      </c>
      <c r="AH51" s="239">
        <v>1105000</v>
      </c>
      <c r="AI51" s="239">
        <v>1105000</v>
      </c>
      <c r="AJ51" s="239">
        <v>1105000</v>
      </c>
      <c r="AK51" s="239">
        <v>1105000</v>
      </c>
      <c r="AL51" s="239">
        <v>1105000</v>
      </c>
      <c r="AM51" s="239">
        <v>1105000</v>
      </c>
      <c r="AN51" s="93">
        <f t="shared" si="46"/>
        <v>13260000</v>
      </c>
      <c r="AO51" s="91"/>
      <c r="AP51" s="91"/>
      <c r="AQ51" s="4"/>
    </row>
    <row r="52" spans="1:43" x14ac:dyDescent="0.3">
      <c r="A52" s="71" t="s">
        <v>1963</v>
      </c>
      <c r="B52" s="114" cm="1">
        <f t="array" ref="B52:M52">TRANSPOSE('CREDITOS'!CF56:CF67)</f>
        <v>709985.63015671575</v>
      </c>
      <c r="C52" s="114">
        <v>651234.49798577826</v>
      </c>
      <c r="D52" s="114">
        <v>651362.66320880339</v>
      </c>
      <c r="E52" s="114">
        <v>651493.62534499413</v>
      </c>
      <c r="F52" s="100">
        <v>165660.05456080244</v>
      </c>
      <c r="G52" s="100">
        <v>165796.65232628651</v>
      </c>
      <c r="H52" s="100">
        <v>152417.85144335605</v>
      </c>
      <c r="I52" s="100">
        <v>152560.51607462874</v>
      </c>
      <c r="J52" s="100">
        <v>152706.27177291238</v>
      </c>
      <c r="K52" s="100">
        <v>152855.18551132549</v>
      </c>
      <c r="L52" s="100">
        <v>153007.32571407087</v>
      </c>
      <c r="M52" s="100">
        <v>153162.76228787572</v>
      </c>
      <c r="N52" s="93">
        <f t="shared" ref="N52:N55" si="47">SUM(B52,C52,D52,E52,F52,G52,H52,I52,J52,K52,L52,M52)</f>
        <v>3912243.0363875488</v>
      </c>
      <c r="O52" s="100" cm="1">
        <f t="array" ref="O52:Z52">TRANSPOSE('CREDITOS'!CF68:CF79)</f>
        <v>153321.56665411303</v>
      </c>
      <c r="P52" s="239">
        <v>153483.81178161883</v>
      </c>
      <c r="Q52" s="239">
        <v>153649.57222022058</v>
      </c>
      <c r="R52" s="239">
        <v>153818.924134992</v>
      </c>
      <c r="S52" s="239">
        <v>153991.94534125016</v>
      </c>
      <c r="T52" s="239">
        <v>154168.71534031059</v>
      </c>
      <c r="U52" s="239">
        <v>154349.31535601732</v>
      </c>
      <c r="V52" s="239">
        <v>154533.82837206437</v>
      </c>
      <c r="W52" s="239">
        <v>154722.33917012575</v>
      </c>
      <c r="X52" s="239">
        <v>154914.93436881181</v>
      </c>
      <c r="Y52" s="239">
        <v>155111.70246346941</v>
      </c>
      <c r="Z52" s="239">
        <v>105312.73386684456</v>
      </c>
      <c r="AA52" s="93">
        <f t="shared" si="45"/>
        <v>1801379.3890698382</v>
      </c>
      <c r="AB52" s="239" cm="1">
        <f t="array" ref="AB52:AM52">TRANSPOSE('CREDITOS'!CF80:CF91)</f>
        <v>105518.12095062619</v>
      </c>
      <c r="AC52" s="239">
        <v>105727.95808788975</v>
      </c>
      <c r="AD52" s="239">
        <v>105942.3416964607</v>
      </c>
      <c r="AE52" s="239">
        <v>106161.37028321734</v>
      </c>
      <c r="AF52" s="239">
        <v>106385.14448935373</v>
      </c>
      <c r="AG52" s="239">
        <v>106613.76713662304</v>
      </c>
      <c r="AH52" s="239">
        <v>106847.34327458324</v>
      </c>
      <c r="AI52" s="239">
        <v>107085.98022886584</v>
      </c>
      <c r="AJ52" s="239">
        <v>11496.457650491284</v>
      </c>
      <c r="AK52" s="239">
        <v>11745.547566251927</v>
      </c>
      <c r="AL52" s="239">
        <v>12000.034430187388</v>
      </c>
      <c r="AM52" s="239">
        <v>12260.035176174781</v>
      </c>
      <c r="AN52" s="93">
        <f t="shared" si="46"/>
        <v>897784.1009707253</v>
      </c>
      <c r="AO52" s="91"/>
      <c r="AP52" s="91"/>
      <c r="AQ52" s="4"/>
    </row>
    <row r="53" spans="1:43" x14ac:dyDescent="0.3">
      <c r="A53" s="71" t="s">
        <v>1870</v>
      </c>
      <c r="B53" s="114"/>
      <c r="C53" s="114"/>
      <c r="D53" s="114"/>
      <c r="E53" s="114"/>
      <c r="F53" s="100"/>
      <c r="G53" s="100"/>
      <c r="H53" s="100"/>
      <c r="I53" s="100">
        <f>344458.36+183627.17+207227.31</f>
        <v>735312.84000000008</v>
      </c>
      <c r="J53" s="100"/>
      <c r="K53" s="100"/>
      <c r="L53" s="100"/>
      <c r="M53" s="100"/>
      <c r="N53" s="93">
        <f t="shared" si="47"/>
        <v>735312.84000000008</v>
      </c>
      <c r="O53" s="239"/>
      <c r="P53" s="239"/>
      <c r="Q53" s="239"/>
      <c r="R53" s="239"/>
      <c r="S53" s="239"/>
      <c r="T53" s="239"/>
      <c r="U53" s="239"/>
      <c r="V53" s="239"/>
      <c r="W53" s="239"/>
      <c r="X53" s="239"/>
      <c r="Y53" s="239"/>
      <c r="Z53" s="239"/>
      <c r="AA53" s="93"/>
      <c r="AB53" s="239"/>
      <c r="AC53" s="239"/>
      <c r="AD53" s="239"/>
      <c r="AE53" s="239"/>
      <c r="AF53" s="239"/>
      <c r="AG53" s="239"/>
      <c r="AH53" s="239"/>
      <c r="AI53" s="239"/>
      <c r="AJ53" s="239"/>
      <c r="AK53" s="239"/>
      <c r="AL53" s="239"/>
      <c r="AM53" s="239"/>
      <c r="AN53" s="93"/>
      <c r="AO53" s="91"/>
      <c r="AP53" s="91"/>
      <c r="AQ53" s="4"/>
    </row>
    <row r="54" spans="1:43" x14ac:dyDescent="0.3">
      <c r="A54" s="71" t="s">
        <v>1295</v>
      </c>
      <c r="B54" s="114" cm="1">
        <f t="array" ref="B54:M54">TRANSPOSE(ARRENDAMIENTOS!KF57:KF68)</f>
        <v>237459.19812367056</v>
      </c>
      <c r="C54" s="114">
        <v>277409.44291000755</v>
      </c>
      <c r="D54" s="114">
        <v>418800.84798098123</v>
      </c>
      <c r="E54" s="114">
        <v>225124.11160587889</v>
      </c>
      <c r="F54" s="100">
        <v>229400.3192337428</v>
      </c>
      <c r="G54" s="100">
        <v>233770.93115862689</v>
      </c>
      <c r="H54" s="100">
        <v>271383.61519012187</v>
      </c>
      <c r="I54" s="100">
        <v>238809.70965831607</v>
      </c>
      <c r="J54" s="100">
        <v>243402.50236613807</v>
      </c>
      <c r="K54" s="100">
        <v>277247.12060237891</v>
      </c>
      <c r="L54" s="100">
        <v>249398.01896207561</v>
      </c>
      <c r="M54" s="100">
        <v>254239.06239269453</v>
      </c>
      <c r="N54" s="93">
        <f t="shared" si="47"/>
        <v>3156444.8801846327</v>
      </c>
      <c r="O54" s="239" cm="1">
        <f t="array" ref="O54:Z54">TRANSPOSE(ARRENDAMIENTOS!KF69:KF80)</f>
        <v>259187.68149246171</v>
      </c>
      <c r="P54" s="239">
        <v>264246.29059131787</v>
      </c>
      <c r="Q54" s="239">
        <v>269417.3586703692</v>
      </c>
      <c r="R54" s="239">
        <v>449311.08216533466</v>
      </c>
      <c r="S54" s="239">
        <v>270498.92768262769</v>
      </c>
      <c r="T54" s="239">
        <v>392739.30635246303</v>
      </c>
      <c r="U54" s="239">
        <v>265542.84504024725</v>
      </c>
      <c r="V54" s="239">
        <v>372847.976684038</v>
      </c>
      <c r="W54" s="239">
        <v>377681.74633508985</v>
      </c>
      <c r="X54" s="239">
        <v>259686.72004897427</v>
      </c>
      <c r="Y54" s="239">
        <v>254034.90254741511</v>
      </c>
      <c r="Z54" s="239">
        <v>258921.5225845142</v>
      </c>
      <c r="AA54" s="93">
        <f t="shared" si="45"/>
        <v>3694116.360194853</v>
      </c>
      <c r="AB54" s="239" cm="1">
        <f t="array" ref="AB54:AM54">TRANSPOSE(ARRENDAMIENTOS!KF81:KF92)</f>
        <v>263914.0189790178</v>
      </c>
      <c r="AC54" s="239">
        <v>269014.6861287356</v>
      </c>
      <c r="AD54" s="239">
        <v>274225.86773336394</v>
      </c>
      <c r="AE54" s="239">
        <v>279549.95827275922</v>
      </c>
      <c r="AF54" s="239">
        <v>284989.40410717472</v>
      </c>
      <c r="AG54" s="239">
        <v>290546.70460133598</v>
      </c>
      <c r="AH54" s="239">
        <v>296224.41327287065</v>
      </c>
      <c r="AI54" s="239">
        <v>302025.13896562188</v>
      </c>
      <c r="AJ54" s="239">
        <v>307951.54704838281</v>
      </c>
      <c r="AK54" s="239">
        <v>314006.36063960346</v>
      </c>
      <c r="AL54" s="239">
        <v>320192.3618586341</v>
      </c>
      <c r="AM54" s="239">
        <v>326512.39310407679</v>
      </c>
      <c r="AN54" s="93">
        <f t="shared" si="46"/>
        <v>3529152.8547115773</v>
      </c>
      <c r="AO54" s="91"/>
      <c r="AP54" s="91"/>
      <c r="AQ54" s="4"/>
    </row>
    <row r="55" spans="1:43" x14ac:dyDescent="0.3">
      <c r="A55" s="369" t="s">
        <v>1964</v>
      </c>
      <c r="B55" s="200">
        <f>SUM(B47:B52)</f>
        <v>709985.63015671575</v>
      </c>
      <c r="C55" s="200">
        <f t="shared" ref="C55" si="48">SUM(C47:C52)</f>
        <v>651234.49798577826</v>
      </c>
      <c r="D55" s="200">
        <f>SUM(D47:D54)</f>
        <v>1070163.5111897846</v>
      </c>
      <c r="E55" s="200">
        <f t="shared" ref="E55:M55" si="49">SUM(E47:E54)</f>
        <v>876617.73695087305</v>
      </c>
      <c r="F55" s="200">
        <f t="shared" si="49"/>
        <v>395060.37379454524</v>
      </c>
      <c r="G55" s="200">
        <f t="shared" si="49"/>
        <v>399567.5834849134</v>
      </c>
      <c r="H55" s="200">
        <f>SUM(H47:H54)</f>
        <v>27926838.80663348</v>
      </c>
      <c r="I55" s="200">
        <f t="shared" si="49"/>
        <v>13322289.425732944</v>
      </c>
      <c r="J55" s="200">
        <f t="shared" si="49"/>
        <v>3768965.6441390505</v>
      </c>
      <c r="K55" s="200">
        <f t="shared" si="49"/>
        <v>2430102.3061137046</v>
      </c>
      <c r="L55" s="200">
        <f t="shared" si="49"/>
        <v>2402405.3446761463</v>
      </c>
      <c r="M55" s="200">
        <f t="shared" si="49"/>
        <v>2407401.82468057</v>
      </c>
      <c r="N55" s="370">
        <f t="shared" si="47"/>
        <v>56360632.685538501</v>
      </c>
      <c r="O55" s="259"/>
      <c r="P55" s="259"/>
      <c r="Q55" s="259"/>
      <c r="R55" s="259"/>
      <c r="S55" s="259"/>
      <c r="T55" s="259"/>
      <c r="U55" s="259"/>
      <c r="V55" s="259"/>
      <c r="W55" s="259"/>
      <c r="X55" s="259"/>
      <c r="Y55" s="259"/>
      <c r="Z55" s="259"/>
      <c r="AA55" s="180">
        <f t="shared" si="45"/>
        <v>0</v>
      </c>
      <c r="AB55" s="296"/>
      <c r="AC55" s="296"/>
      <c r="AD55" s="296"/>
      <c r="AE55" s="296"/>
      <c r="AF55" s="296"/>
      <c r="AG55" s="296"/>
      <c r="AH55" s="296"/>
      <c r="AI55" s="296"/>
      <c r="AJ55" s="296"/>
      <c r="AK55" s="296"/>
      <c r="AL55" s="296"/>
      <c r="AM55" s="296"/>
      <c r="AN55" s="180">
        <f t="shared" si="46"/>
        <v>0</v>
      </c>
      <c r="AO55" s="91"/>
      <c r="AP55" s="91"/>
      <c r="AQ55" s="4"/>
    </row>
    <row r="56" spans="1:43" x14ac:dyDescent="0.3">
      <c r="A56" s="70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3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3"/>
      <c r="AO56" s="87"/>
      <c r="AP56" s="87"/>
    </row>
    <row r="57" spans="1:43" ht="15.6" x14ac:dyDescent="0.3">
      <c r="A57" s="88" t="s">
        <v>1628</v>
      </c>
      <c r="B57" s="89"/>
      <c r="C57" s="89"/>
      <c r="D57" s="89"/>
      <c r="E57" s="89"/>
      <c r="F57" s="89"/>
      <c r="G57" s="89"/>
      <c r="H57" s="89">
        <f>H45-H55</f>
        <v>5073161.1933665201</v>
      </c>
      <c r="I57" s="89">
        <f t="shared" ref="I57:Z57" si="50">I45-I55</f>
        <v>677710.57426705584</v>
      </c>
      <c r="J57" s="89">
        <f t="shared" si="50"/>
        <v>2231034.3558609495</v>
      </c>
      <c r="K57" s="89">
        <f t="shared" si="50"/>
        <v>-2430102.3061137046</v>
      </c>
      <c r="L57" s="89">
        <f t="shared" si="50"/>
        <v>-2402405.3446761463</v>
      </c>
      <c r="M57" s="89">
        <f t="shared" si="50"/>
        <v>-2407401.82468057</v>
      </c>
      <c r="N57" s="89">
        <f>SUM(B57,C57,D57,E57,F57,G57,H57,I57,J57,K57,L57,M57)</f>
        <v>741996.648024105</v>
      </c>
      <c r="O57" s="89">
        <f t="shared" si="50"/>
        <v>0</v>
      </c>
      <c r="P57" s="89">
        <f t="shared" si="50"/>
        <v>0</v>
      </c>
      <c r="Q57" s="89">
        <f t="shared" si="50"/>
        <v>0</v>
      </c>
      <c r="R57" s="89">
        <f t="shared" si="50"/>
        <v>0</v>
      </c>
      <c r="S57" s="89">
        <f t="shared" si="50"/>
        <v>0</v>
      </c>
      <c r="T57" s="89">
        <f t="shared" si="50"/>
        <v>0</v>
      </c>
      <c r="U57" s="89">
        <f t="shared" si="50"/>
        <v>0</v>
      </c>
      <c r="V57" s="89">
        <f t="shared" si="50"/>
        <v>0</v>
      </c>
      <c r="W57" s="89">
        <f t="shared" si="50"/>
        <v>0</v>
      </c>
      <c r="X57" s="89">
        <f t="shared" si="50"/>
        <v>0</v>
      </c>
      <c r="Y57" s="89">
        <f t="shared" si="50"/>
        <v>0</v>
      </c>
      <c r="Z57" s="89">
        <f t="shared" si="50"/>
        <v>0</v>
      </c>
      <c r="AA57" s="89">
        <f>SUM(O57,P57,Q57,R57,S57,T57,U57,V57,W57,X57,Y57,Z57)</f>
        <v>0</v>
      </c>
      <c r="AB57" s="237"/>
      <c r="AC57" s="237"/>
      <c r="AD57" s="237"/>
      <c r="AE57" s="237"/>
      <c r="AF57" s="237"/>
      <c r="AG57" s="237"/>
      <c r="AH57" s="237"/>
      <c r="AI57" s="237"/>
      <c r="AJ57" s="237"/>
      <c r="AK57" s="237"/>
      <c r="AL57" s="237"/>
      <c r="AM57" s="237"/>
      <c r="AN57" s="89">
        <f>SUM(AB57,AC57,AD57,AE57,AF57,AG57,AH57,AI57,AJ57,AK57,AL57,AM57)</f>
        <v>0</v>
      </c>
      <c r="AO57" s="91"/>
      <c r="AP57" s="91"/>
      <c r="AQ57" s="4"/>
    </row>
    <row r="58" spans="1:43" x14ac:dyDescent="0.3">
      <c r="A58" s="70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3"/>
      <c r="AB58" s="98"/>
      <c r="AC58" s="98"/>
      <c r="AD58" s="98"/>
      <c r="AE58" s="98"/>
      <c r="AF58" s="98"/>
      <c r="AG58" s="98"/>
      <c r="AH58" s="98"/>
      <c r="AI58" s="98"/>
      <c r="AJ58" s="98"/>
      <c r="AK58" s="98"/>
      <c r="AL58" s="98"/>
      <c r="AM58" s="98"/>
      <c r="AN58" s="93"/>
      <c r="AO58" s="87"/>
      <c r="AP58" s="87"/>
    </row>
    <row r="59" spans="1:43" ht="15.6" x14ac:dyDescent="0.3">
      <c r="A59" s="72" t="s">
        <v>1629</v>
      </c>
      <c r="B59" s="101"/>
      <c r="C59" s="101"/>
      <c r="D59" s="101">
        <v>0</v>
      </c>
      <c r="E59" s="101"/>
      <c r="F59" s="101"/>
      <c r="G59" s="256"/>
      <c r="H59" s="256">
        <f t="shared" ref="H59:M59" si="51">+H34+H39+H57</f>
        <v>3253483.9719481412</v>
      </c>
      <c r="I59" s="101">
        <f t="shared" ca="1" si="51"/>
        <v>1538799.0285567902</v>
      </c>
      <c r="J59" s="101">
        <f t="shared" ca="1" si="51"/>
        <v>1981441.597135107</v>
      </c>
      <c r="K59" s="101">
        <f t="shared" ca="1" si="51"/>
        <v>-714360.19236253202</v>
      </c>
      <c r="L59" s="101">
        <f t="shared" ca="1" si="51"/>
        <v>388420.21546504088</v>
      </c>
      <c r="M59" s="101">
        <f t="shared" ca="1" si="51"/>
        <v>-793404.22118122177</v>
      </c>
      <c r="N59" s="101">
        <f ca="1">SUM(B59,C59,D59,E59,F59,G59,H59,I59,J59,K59,L59,M59)</f>
        <v>5654380.3995613251</v>
      </c>
      <c r="O59" s="101">
        <f t="shared" ref="O59:Z59" ca="1" si="52">+O34+O39+O57</f>
        <v>850654.07964327512</v>
      </c>
      <c r="P59" s="101">
        <f t="shared" ca="1" si="52"/>
        <v>-62091.498618412763</v>
      </c>
      <c r="Q59" s="101">
        <f t="shared" si="52"/>
        <v>1497718.7868728237</v>
      </c>
      <c r="R59" s="101">
        <f t="shared" si="52"/>
        <v>2262495.006652582</v>
      </c>
      <c r="S59" s="101">
        <f t="shared" si="52"/>
        <v>-10218.285774020478</v>
      </c>
      <c r="T59" s="101">
        <f t="shared" si="52"/>
        <v>-2402029.383638904</v>
      </c>
      <c r="U59" s="101">
        <f t="shared" si="52"/>
        <v>1941153.0379057799</v>
      </c>
      <c r="V59" s="101">
        <f t="shared" ca="1" si="52"/>
        <v>3637952.2793372786</v>
      </c>
      <c r="W59" s="101">
        <f t="shared" ca="1" si="52"/>
        <v>1543875.3757853871</v>
      </c>
      <c r="X59" s="101">
        <f t="shared" ca="1" si="52"/>
        <v>4995734.6948829833</v>
      </c>
      <c r="Y59" s="101">
        <f t="shared" ca="1" si="52"/>
        <v>6348080.3917028736</v>
      </c>
      <c r="Z59" s="101">
        <f t="shared" ca="1" si="52"/>
        <v>5010205.0065481486</v>
      </c>
      <c r="AA59" s="101"/>
      <c r="AB59" s="291"/>
      <c r="AC59" s="291"/>
      <c r="AD59" s="291"/>
      <c r="AE59" s="291"/>
      <c r="AF59" s="291"/>
      <c r="AG59" s="291"/>
      <c r="AH59" s="291"/>
      <c r="AI59" s="291"/>
      <c r="AJ59" s="291"/>
      <c r="AK59" s="291"/>
      <c r="AL59" s="291"/>
      <c r="AM59" s="291"/>
      <c r="AN59" s="101"/>
      <c r="AO59" s="102"/>
      <c r="AP59" s="102"/>
      <c r="AQ59" s="103"/>
    </row>
    <row r="60" spans="1:43" x14ac:dyDescent="0.3">
      <c r="A60" s="70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8"/>
      <c r="AC60" s="98"/>
      <c r="AD60" s="98"/>
      <c r="AE60" s="98"/>
      <c r="AF60" s="98"/>
      <c r="AG60" s="98"/>
      <c r="AH60" s="98"/>
      <c r="AI60" s="98"/>
      <c r="AJ60" s="98"/>
      <c r="AK60" s="98"/>
      <c r="AL60" s="98"/>
      <c r="AM60" s="98"/>
      <c r="AN60" s="93"/>
      <c r="AO60" s="87"/>
      <c r="AP60" s="87"/>
    </row>
    <row r="61" spans="1:43" ht="15.6" x14ac:dyDescent="0.3">
      <c r="A61" s="72" t="s">
        <v>1630</v>
      </c>
      <c r="B61" s="104"/>
      <c r="C61" s="104"/>
      <c r="D61" s="232">
        <f t="shared" ref="D61:T61" si="53">C63</f>
        <v>0</v>
      </c>
      <c r="E61" s="232"/>
      <c r="F61" s="232">
        <f t="shared" si="53"/>
        <v>0</v>
      </c>
      <c r="G61" s="232">
        <f t="shared" si="53"/>
        <v>0</v>
      </c>
      <c r="H61" s="232">
        <f>G63</f>
        <v>0</v>
      </c>
      <c r="I61" s="104">
        <f t="shared" si="53"/>
        <v>3253483.9719481412</v>
      </c>
      <c r="J61" s="104">
        <f t="shared" ca="1" si="53"/>
        <v>4792283.0005049314</v>
      </c>
      <c r="K61" s="104">
        <f t="shared" ca="1" si="53"/>
        <v>6773724.5976400385</v>
      </c>
      <c r="L61" s="104">
        <f t="shared" ca="1" si="53"/>
        <v>6059364.4052775064</v>
      </c>
      <c r="M61" s="104">
        <f t="shared" ca="1" si="53"/>
        <v>6447784.6207425473</v>
      </c>
      <c r="N61" s="104"/>
      <c r="O61" s="104">
        <f ca="1">M63</f>
        <v>5654380.3995613251</v>
      </c>
      <c r="P61" s="104">
        <f t="shared" ca="1" si="53"/>
        <v>6505034.4792046007</v>
      </c>
      <c r="Q61" s="104">
        <f t="shared" ca="1" si="53"/>
        <v>6442942.9805861879</v>
      </c>
      <c r="R61" s="104">
        <f t="shared" ca="1" si="53"/>
        <v>7940661.7674590116</v>
      </c>
      <c r="S61" s="104">
        <f t="shared" ca="1" si="53"/>
        <v>10203156.774111593</v>
      </c>
      <c r="T61" s="104">
        <f t="shared" ca="1" si="53"/>
        <v>10192938.488337573</v>
      </c>
      <c r="U61" s="104">
        <f t="shared" ref="U61" ca="1" si="54">T63</f>
        <v>7790909.1046986692</v>
      </c>
      <c r="V61" s="104">
        <f t="shared" ref="V61" ca="1" si="55">U63</f>
        <v>9732062.1426044498</v>
      </c>
      <c r="W61" s="104">
        <f t="shared" ref="W61" ca="1" si="56">V63</f>
        <v>13370014.421941727</v>
      </c>
      <c r="X61" s="104">
        <f t="shared" ref="X61" ca="1" si="57">W63</f>
        <v>14913889.797727115</v>
      </c>
      <c r="Y61" s="104">
        <f t="shared" ref="Y61" ca="1" si="58">X63</f>
        <v>19909624.492610097</v>
      </c>
      <c r="Z61" s="104">
        <f t="shared" ref="Z61" ca="1" si="59">Y63</f>
        <v>26257704.884312972</v>
      </c>
      <c r="AA61" s="104"/>
      <c r="AB61" s="292"/>
      <c r="AC61" s="292"/>
      <c r="AD61" s="292"/>
      <c r="AE61" s="292"/>
      <c r="AF61" s="292"/>
      <c r="AG61" s="292"/>
      <c r="AH61" s="292"/>
      <c r="AI61" s="292"/>
      <c r="AJ61" s="292"/>
      <c r="AK61" s="292"/>
      <c r="AL61" s="292"/>
      <c r="AM61" s="292"/>
      <c r="AN61" s="104"/>
      <c r="AO61" s="102"/>
      <c r="AP61" s="102"/>
      <c r="AQ61" s="105"/>
    </row>
    <row r="62" spans="1:43" x14ac:dyDescent="0.3">
      <c r="A62" s="70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8"/>
      <c r="AC62" s="98"/>
      <c r="AD62" s="98"/>
      <c r="AE62" s="98"/>
      <c r="AF62" s="98"/>
      <c r="AG62" s="98"/>
      <c r="AH62" s="98"/>
      <c r="AI62" s="98"/>
      <c r="AJ62" s="98"/>
      <c r="AK62" s="98"/>
      <c r="AL62" s="98"/>
      <c r="AM62" s="98"/>
      <c r="AN62" s="93"/>
      <c r="AO62" s="87"/>
      <c r="AP62" s="87"/>
    </row>
    <row r="63" spans="1:43" ht="15.6" x14ac:dyDescent="0.3">
      <c r="A63" s="72" t="s">
        <v>1631</v>
      </c>
      <c r="B63" s="104"/>
      <c r="C63" s="104"/>
      <c r="D63" s="104">
        <f>+D59+D61</f>
        <v>0</v>
      </c>
      <c r="E63" s="232"/>
      <c r="F63" s="349">
        <f>+F59+F61</f>
        <v>0</v>
      </c>
      <c r="G63" s="349">
        <f>+G59+G61</f>
        <v>0</v>
      </c>
      <c r="H63" s="349">
        <f t="shared" ref="H63:Z63" si="60">+H59+H61</f>
        <v>3253483.9719481412</v>
      </c>
      <c r="I63" s="349">
        <f t="shared" ca="1" si="60"/>
        <v>4792283.0005049314</v>
      </c>
      <c r="J63" s="349">
        <f t="shared" ca="1" si="60"/>
        <v>6773724.5976400385</v>
      </c>
      <c r="K63" s="349">
        <f t="shared" ca="1" si="60"/>
        <v>6059364.4052775064</v>
      </c>
      <c r="L63" s="349">
        <f t="shared" ca="1" si="60"/>
        <v>6447784.6207425473</v>
      </c>
      <c r="M63" s="349">
        <f t="shared" ca="1" si="60"/>
        <v>5654380.3995613251</v>
      </c>
      <c r="N63" s="104"/>
      <c r="O63" s="232">
        <f t="shared" ca="1" si="60"/>
        <v>6505034.4792046007</v>
      </c>
      <c r="P63" s="232">
        <f t="shared" ca="1" si="60"/>
        <v>6442942.9805861879</v>
      </c>
      <c r="Q63" s="232">
        <f t="shared" ca="1" si="60"/>
        <v>7940661.7674590116</v>
      </c>
      <c r="R63" s="232">
        <f t="shared" ca="1" si="60"/>
        <v>10203156.774111593</v>
      </c>
      <c r="S63" s="232">
        <f t="shared" ca="1" si="60"/>
        <v>10192938.488337573</v>
      </c>
      <c r="T63" s="232">
        <f t="shared" ca="1" si="60"/>
        <v>7790909.1046986692</v>
      </c>
      <c r="U63" s="232">
        <f t="shared" ca="1" si="60"/>
        <v>9732062.1426044498</v>
      </c>
      <c r="V63" s="232">
        <f t="shared" ca="1" si="60"/>
        <v>13370014.421941727</v>
      </c>
      <c r="W63" s="232">
        <f t="shared" ca="1" si="60"/>
        <v>14913889.797727115</v>
      </c>
      <c r="X63" s="232">
        <f t="shared" ca="1" si="60"/>
        <v>19909624.492610097</v>
      </c>
      <c r="Y63" s="232">
        <f t="shared" ca="1" si="60"/>
        <v>26257704.884312972</v>
      </c>
      <c r="Z63" s="232">
        <f t="shared" ca="1" si="60"/>
        <v>31267909.89086112</v>
      </c>
      <c r="AA63" s="104"/>
      <c r="AB63" s="292"/>
      <c r="AC63" s="292"/>
      <c r="AD63" s="292"/>
      <c r="AE63" s="292"/>
      <c r="AF63" s="292"/>
      <c r="AG63" s="292"/>
      <c r="AH63" s="292"/>
      <c r="AI63" s="292"/>
      <c r="AJ63" s="292"/>
      <c r="AK63" s="292"/>
      <c r="AL63" s="292"/>
      <c r="AM63" s="292"/>
      <c r="AN63" s="104"/>
      <c r="AO63" s="102"/>
      <c r="AP63" s="102"/>
      <c r="AQ63" s="105"/>
    </row>
    <row r="64" spans="1:43" x14ac:dyDescent="0.3">
      <c r="A64" s="70"/>
      <c r="B64" s="60"/>
      <c r="C64" s="60"/>
      <c r="D64" s="60"/>
      <c r="E64" s="60"/>
      <c r="F64" s="351" t="s">
        <v>1904</v>
      </c>
      <c r="G64" s="350"/>
      <c r="H64" s="350"/>
      <c r="I64" s="350"/>
      <c r="J64" s="350"/>
      <c r="K64" s="350"/>
      <c r="L64" s="350"/>
      <c r="M64" s="35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87"/>
      <c r="AP64" s="87"/>
    </row>
    <row r="65" spans="1:42" x14ac:dyDescent="0.3">
      <c r="A65" s="70" t="s">
        <v>1843</v>
      </c>
      <c r="B65" s="60">
        <v>221000000</v>
      </c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87"/>
      <c r="AP65" s="87"/>
    </row>
    <row r="66" spans="1:42" x14ac:dyDescent="0.3">
      <c r="A66" s="70" t="s">
        <v>1844</v>
      </c>
      <c r="B66" s="60">
        <v>94000000</v>
      </c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87"/>
      <c r="AP66" s="87"/>
    </row>
    <row r="67" spans="1:42" x14ac:dyDescent="0.3">
      <c r="A67" s="70"/>
      <c r="B67" s="60"/>
      <c r="C67" s="60"/>
      <c r="D67" s="60"/>
      <c r="E67" s="60"/>
      <c r="F67" s="60">
        <f>(F68/$B$65)*365</f>
        <v>61.108597285067866</v>
      </c>
      <c r="G67">
        <v>65</v>
      </c>
      <c r="H67" s="60">
        <v>70</v>
      </c>
      <c r="I67" s="60">
        <v>75</v>
      </c>
      <c r="J67" s="60">
        <v>75</v>
      </c>
      <c r="K67" s="60">
        <v>75</v>
      </c>
      <c r="L67" s="60">
        <v>75</v>
      </c>
      <c r="M67" s="60">
        <v>75</v>
      </c>
      <c r="N67" s="60"/>
      <c r="O67" s="60">
        <v>75</v>
      </c>
      <c r="P67" s="60">
        <v>75</v>
      </c>
      <c r="Q67" s="60">
        <v>75</v>
      </c>
      <c r="R67" s="60">
        <v>75</v>
      </c>
      <c r="S67" s="60">
        <v>75</v>
      </c>
      <c r="T67" s="60">
        <v>75</v>
      </c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87"/>
      <c r="AP67" s="87"/>
    </row>
    <row r="68" spans="1:42" x14ac:dyDescent="0.3">
      <c r="A68" s="70" t="s">
        <v>1834</v>
      </c>
      <c r="B68" s="60"/>
      <c r="C68" s="60"/>
      <c r="D68" s="60"/>
      <c r="E68" s="60"/>
      <c r="F68" s="60">
        <v>37000000</v>
      </c>
      <c r="G68" s="60">
        <f>(G67/365)*($B$65-($B$65/12)+F158)</f>
        <v>39775658.125251137</v>
      </c>
      <c r="H68" s="60">
        <f t="shared" ref="H68:M68" si="61">(H67/365)*($B$65-($B$65/12)+G158)</f>
        <v>42171173.516803652</v>
      </c>
      <c r="I68" s="60">
        <f t="shared" si="61"/>
        <v>46401797.639041096</v>
      </c>
      <c r="J68" s="60">
        <f t="shared" ca="1" si="61"/>
        <v>46755935.088014774</v>
      </c>
      <c r="K68" s="60">
        <f t="shared" ca="1" si="61"/>
        <v>46235776.567832604</v>
      </c>
      <c r="L68" s="60">
        <f t="shared" ca="1" si="61"/>
        <v>46182662.353695802</v>
      </c>
      <c r="M68" s="60">
        <f t="shared" ca="1" si="61"/>
        <v>45703533.504594475</v>
      </c>
      <c r="N68" s="60"/>
      <c r="O68" s="60">
        <f t="shared" ref="O68:T68" si="62">(O67/365)*($B$65-($B$65/12)+O158)</f>
        <v>46343332.719263703</v>
      </c>
      <c r="P68" s="60">
        <f t="shared" si="62"/>
        <v>45765477.247157529</v>
      </c>
      <c r="Q68" s="60">
        <f t="shared" si="62"/>
        <v>44924631.709486298</v>
      </c>
      <c r="R68" s="60">
        <f t="shared" si="62"/>
        <v>46141978.973390415</v>
      </c>
      <c r="S68" s="60">
        <f t="shared" si="62"/>
        <v>46943412.237859584</v>
      </c>
      <c r="T68" s="60">
        <f t="shared" si="62"/>
        <v>46133320.962859586</v>
      </c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87"/>
      <c r="AP68" s="87"/>
    </row>
    <row r="69" spans="1:42" x14ac:dyDescent="0.3">
      <c r="A69" s="70" t="s">
        <v>1836</v>
      </c>
      <c r="B69" s="60"/>
      <c r="C69" s="60"/>
      <c r="D69" s="60"/>
      <c r="E69" s="60"/>
      <c r="F69" s="60">
        <f t="shared" ref="F69:M69" si="63">F70-F68</f>
        <v>2775658.1252511367</v>
      </c>
      <c r="G69" s="60">
        <f t="shared" si="63"/>
        <v>2395515.3915525153</v>
      </c>
      <c r="H69" s="60">
        <f t="shared" si="63"/>
        <v>4230624.1222374439</v>
      </c>
      <c r="I69" s="60">
        <f t="shared" ca="1" si="63"/>
        <v>354137.44897367805</v>
      </c>
      <c r="J69" s="60">
        <f t="shared" ca="1" si="63"/>
        <v>-520158.52018216997</v>
      </c>
      <c r="K69" s="60">
        <f t="shared" ca="1" si="63"/>
        <v>-53114.21413680166</v>
      </c>
      <c r="L69" s="60">
        <f t="shared" ca="1" si="63"/>
        <v>-479128.84910132736</v>
      </c>
      <c r="M69" s="60">
        <f t="shared" ca="1" si="63"/>
        <v>639799.2146692276</v>
      </c>
      <c r="N69" s="60"/>
      <c r="O69" s="60">
        <f t="shared" ref="O69:T69" si="64">O70-O68</f>
        <v>-577855.47210617363</v>
      </c>
      <c r="P69" s="60">
        <f t="shared" si="64"/>
        <v>-840845.53767123073</v>
      </c>
      <c r="Q69" s="60">
        <f t="shared" si="64"/>
        <v>1217347.263904117</v>
      </c>
      <c r="R69" s="60">
        <f t="shared" si="64"/>
        <v>801433.26446916908</v>
      </c>
      <c r="S69" s="60">
        <f t="shared" si="64"/>
        <v>-810091.27499999851</v>
      </c>
      <c r="T69" s="60">
        <f t="shared" si="64"/>
        <v>507192.91946917772</v>
      </c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87"/>
      <c r="AP69" s="87"/>
    </row>
    <row r="70" spans="1:42" x14ac:dyDescent="0.3">
      <c r="A70" s="70" t="s">
        <v>1835</v>
      </c>
      <c r="B70" s="60"/>
      <c r="C70" s="60"/>
      <c r="D70" s="60"/>
      <c r="E70" s="60"/>
      <c r="F70" s="60">
        <f t="shared" ref="F70:L70" si="65">G68</f>
        <v>39775658.125251137</v>
      </c>
      <c r="G70" s="60">
        <f t="shared" si="65"/>
        <v>42171173.516803652</v>
      </c>
      <c r="H70" s="60">
        <f t="shared" si="65"/>
        <v>46401797.639041096</v>
      </c>
      <c r="I70" s="60">
        <f t="shared" ca="1" si="65"/>
        <v>46755935.088014774</v>
      </c>
      <c r="J70" s="60">
        <f t="shared" ca="1" si="65"/>
        <v>46235776.567832604</v>
      </c>
      <c r="K70" s="60">
        <f t="shared" ca="1" si="65"/>
        <v>46182662.353695802</v>
      </c>
      <c r="L70" s="60">
        <f t="shared" ca="1" si="65"/>
        <v>45703533.504594475</v>
      </c>
      <c r="M70" s="60">
        <f>O68</f>
        <v>46343332.719263703</v>
      </c>
      <c r="N70" s="60"/>
      <c r="O70" s="60">
        <f>P68</f>
        <v>45765477.247157529</v>
      </c>
      <c r="P70" s="60">
        <f>Q68</f>
        <v>44924631.709486298</v>
      </c>
      <c r="Q70" s="60">
        <f>R68</f>
        <v>46141978.973390415</v>
      </c>
      <c r="R70" s="60">
        <f>S68</f>
        <v>46943412.237859584</v>
      </c>
      <c r="S70" s="60">
        <f>T68</f>
        <v>46133320.962859586</v>
      </c>
      <c r="T70" s="60">
        <v>46640513.882328764</v>
      </c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87"/>
      <c r="AP70" s="87"/>
    </row>
    <row r="71" spans="1:42" x14ac:dyDescent="0.3">
      <c r="A71" s="70"/>
      <c r="B71" s="60"/>
      <c r="C71" s="60"/>
      <c r="D71" s="60"/>
      <c r="E71" s="60"/>
      <c r="F71" s="60">
        <f>(F72/$B$66)*365</f>
        <v>104.06382978723406</v>
      </c>
      <c r="G71" s="60">
        <v>100</v>
      </c>
      <c r="H71" s="60">
        <v>100</v>
      </c>
      <c r="I71" s="60">
        <v>100</v>
      </c>
      <c r="J71" s="60">
        <v>100</v>
      </c>
      <c r="K71" s="60">
        <v>100</v>
      </c>
      <c r="L71" s="60">
        <v>100</v>
      </c>
      <c r="M71" s="60">
        <v>100</v>
      </c>
      <c r="N71" s="60"/>
      <c r="O71" s="60">
        <v>100</v>
      </c>
      <c r="P71" s="60">
        <v>100</v>
      </c>
      <c r="Q71" s="60">
        <v>100</v>
      </c>
      <c r="R71" s="60">
        <v>100</v>
      </c>
      <c r="S71" s="60">
        <v>100</v>
      </c>
      <c r="T71" s="60">
        <v>100</v>
      </c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87"/>
      <c r="AP71" s="87"/>
    </row>
    <row r="72" spans="1:42" x14ac:dyDescent="0.3">
      <c r="A72" s="70" t="s">
        <v>1840</v>
      </c>
      <c r="B72" s="60"/>
      <c r="C72" s="60"/>
      <c r="D72" s="60"/>
      <c r="E72" s="60"/>
      <c r="F72" s="60">
        <v>26800000</v>
      </c>
      <c r="G72" s="60">
        <f>(G71/365)*($B$66-($B$66/12)+G$159)</f>
        <v>25597039.684018262</v>
      </c>
      <c r="H72" s="60">
        <f t="shared" ref="H72:M72" si="66">(H71/365)*($B$66-($B$66/12)+H$159)</f>
        <v>26391052.63744292</v>
      </c>
      <c r="I72" s="60">
        <f t="shared" ca="1" si="66"/>
        <v>26824330.250289671</v>
      </c>
      <c r="J72" s="60">
        <f t="shared" ca="1" si="66"/>
        <v>26481186.251671467</v>
      </c>
      <c r="K72" s="60">
        <f t="shared" ca="1" si="66"/>
        <v>26379673.577870537</v>
      </c>
      <c r="L72" s="60">
        <f t="shared" ca="1" si="66"/>
        <v>26079558.587188922</v>
      </c>
      <c r="M72" s="60">
        <f t="shared" si="66"/>
        <v>26295629.35453194</v>
      </c>
      <c r="N72" s="60"/>
      <c r="O72" s="60">
        <f t="shared" ref="O72:T72" si="67">(O71/365)*($B$66-($B$66/12)+O$159)</f>
        <v>26382284.299384706</v>
      </c>
      <c r="P72" s="60">
        <f t="shared" si="67"/>
        <v>26027803.898318261</v>
      </c>
      <c r="Q72" s="60">
        <f t="shared" si="67"/>
        <v>25470365.255167577</v>
      </c>
      <c r="R72" s="60">
        <f t="shared" si="67"/>
        <v>26470489.797225114</v>
      </c>
      <c r="S72" s="60">
        <f t="shared" si="67"/>
        <v>26818911.285249088</v>
      </c>
      <c r="T72" s="60">
        <f t="shared" si="67"/>
        <v>26274730.806057304</v>
      </c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87"/>
      <c r="AP72" s="87"/>
    </row>
    <row r="73" spans="1:42" x14ac:dyDescent="0.3">
      <c r="A73" s="70" t="s">
        <v>1841</v>
      </c>
      <c r="B73" s="60"/>
      <c r="C73" s="60"/>
      <c r="D73" s="60"/>
      <c r="E73" s="60"/>
      <c r="F73" s="60">
        <f t="shared" ref="F73:M73" si="68">F74-F72</f>
        <v>-1202960.3159817383</v>
      </c>
      <c r="G73" s="60">
        <f t="shared" si="68"/>
        <v>794012.95342465863</v>
      </c>
      <c r="H73" s="60">
        <f t="shared" ca="1" si="68"/>
        <v>433277.61284675077</v>
      </c>
      <c r="I73" s="60">
        <f t="shared" ca="1" si="68"/>
        <v>-343143.99861820415</v>
      </c>
      <c r="J73" s="60">
        <f t="shared" ca="1" si="68"/>
        <v>-101512.67380093038</v>
      </c>
      <c r="K73" s="60">
        <f t="shared" ca="1" si="68"/>
        <v>-300114.99068161473</v>
      </c>
      <c r="L73" s="60">
        <f t="shared" ca="1" si="68"/>
        <v>216070.7673430182</v>
      </c>
      <c r="M73" s="60">
        <f t="shared" si="68"/>
        <v>86654.94485276565</v>
      </c>
      <c r="N73" s="60"/>
      <c r="O73" s="60">
        <f t="shared" ref="O73:T73" si="69">O74-O72</f>
        <v>-354480.40106644481</v>
      </c>
      <c r="P73" s="60">
        <f t="shared" si="69"/>
        <v>-557438.64315068349</v>
      </c>
      <c r="Q73" s="60">
        <f t="shared" si="69"/>
        <v>1000124.5420575365</v>
      </c>
      <c r="R73" s="60">
        <f t="shared" si="69"/>
        <v>348421.488023974</v>
      </c>
      <c r="S73" s="60">
        <f t="shared" si="69"/>
        <v>-544180.47919178382</v>
      </c>
      <c r="T73" s="60">
        <f t="shared" si="69"/>
        <v>2269250.6949255392</v>
      </c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87"/>
      <c r="AP73" s="87"/>
    </row>
    <row r="74" spans="1:42" x14ac:dyDescent="0.3">
      <c r="A74" s="70" t="s">
        <v>1842</v>
      </c>
      <c r="B74" s="60"/>
      <c r="C74" s="60"/>
      <c r="D74" s="60"/>
      <c r="E74" s="60"/>
      <c r="F74" s="60">
        <f t="shared" ref="F74:L74" si="70">G72</f>
        <v>25597039.684018262</v>
      </c>
      <c r="G74" s="60">
        <f t="shared" si="70"/>
        <v>26391052.63744292</v>
      </c>
      <c r="H74" s="60">
        <f t="shared" ca="1" si="70"/>
        <v>26824330.250289671</v>
      </c>
      <c r="I74" s="60">
        <f t="shared" ca="1" si="70"/>
        <v>26481186.251671467</v>
      </c>
      <c r="J74" s="60">
        <f t="shared" ca="1" si="70"/>
        <v>26379673.577870537</v>
      </c>
      <c r="K74" s="60">
        <f t="shared" ca="1" si="70"/>
        <v>26079558.587188922</v>
      </c>
      <c r="L74" s="60">
        <f t="shared" si="70"/>
        <v>26295629.35453194</v>
      </c>
      <c r="M74" s="60">
        <f>O72</f>
        <v>26382284.299384706</v>
      </c>
      <c r="N74" s="60"/>
      <c r="O74" s="60">
        <f>P72</f>
        <v>26027803.898318261</v>
      </c>
      <c r="P74" s="60">
        <f>Q72</f>
        <v>25470365.255167577</v>
      </c>
      <c r="Q74" s="60">
        <f>R72</f>
        <v>26470489.797225114</v>
      </c>
      <c r="R74" s="60">
        <f>S72</f>
        <v>26818911.285249088</v>
      </c>
      <c r="S74" s="60">
        <f>T72</f>
        <v>26274730.806057304</v>
      </c>
      <c r="T74" s="60">
        <v>28543981.500982843</v>
      </c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87"/>
      <c r="AP74" s="87"/>
    </row>
    <row r="75" spans="1:42" x14ac:dyDescent="0.3">
      <c r="A75" s="70"/>
      <c r="B75" s="60"/>
      <c r="C75" s="60"/>
      <c r="D75" s="60"/>
      <c r="E75" s="60"/>
      <c r="F75" s="60">
        <f>(F76/$B$66)*365</f>
        <v>80.183510638297875</v>
      </c>
      <c r="G75" s="125">
        <v>80.183510638297875</v>
      </c>
      <c r="H75" s="60">
        <v>80.183510638297875</v>
      </c>
      <c r="I75" s="60">
        <v>80.183510638297875</v>
      </c>
      <c r="J75" s="60">
        <v>80.183510638297875</v>
      </c>
      <c r="K75" s="60">
        <v>80.183510638297875</v>
      </c>
      <c r="L75" s="60">
        <v>80.183510638297875</v>
      </c>
      <c r="M75" s="60">
        <v>80.183510638297875</v>
      </c>
      <c r="N75" s="60"/>
      <c r="O75" s="60">
        <v>80.183510638297875</v>
      </c>
      <c r="P75" s="60">
        <v>80.183510638297875</v>
      </c>
      <c r="Q75" s="60">
        <v>80.183510638297875</v>
      </c>
      <c r="R75" s="60">
        <v>80.183510638297875</v>
      </c>
      <c r="S75" s="60">
        <v>80.183510638297875</v>
      </c>
      <c r="T75" s="60">
        <v>80.183510638297875</v>
      </c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87"/>
      <c r="AP75" s="87"/>
    </row>
    <row r="76" spans="1:42" x14ac:dyDescent="0.3">
      <c r="A76" s="70" t="s">
        <v>1837</v>
      </c>
      <c r="C76" s="60"/>
      <c r="D76" s="60"/>
      <c r="F76" s="60">
        <v>20650000</v>
      </c>
      <c r="G76" s="125">
        <f>(G75/365)*($B$66-($B$66/12)+G$159)</f>
        <v>20524605.038124114</v>
      </c>
      <c r="H76" s="60">
        <f t="shared" ref="H76:T76" si="71">(H75/365)*($B$66-($B$66/12)+H$159)</f>
        <v>21161272.499102835</v>
      </c>
      <c r="I76" s="60">
        <f t="shared" ca="1" si="71"/>
        <v>21508689.699893173</v>
      </c>
      <c r="J76" s="60">
        <f t="shared" ca="1" si="71"/>
        <v>21233544.795256466</v>
      </c>
      <c r="K76" s="60">
        <f t="shared" ca="1" si="71"/>
        <v>21152148.369660076</v>
      </c>
      <c r="L76" s="60">
        <f t="shared" ca="1" si="71"/>
        <v>20911505.634179756</v>
      </c>
      <c r="M76" s="60">
        <f t="shared" si="71"/>
        <v>21084758.760898497</v>
      </c>
      <c r="N76" s="60"/>
      <c r="O76" s="60">
        <f t="shared" si="71"/>
        <v>21154241.737823125</v>
      </c>
      <c r="P76" s="60">
        <f t="shared" si="71"/>
        <v>20870006.907723334</v>
      </c>
      <c r="Q76" s="60">
        <f t="shared" si="71"/>
        <v>20423033.033990622</v>
      </c>
      <c r="R76" s="60">
        <f t="shared" si="71"/>
        <v>21224968.002567556</v>
      </c>
      <c r="S76" s="60">
        <f t="shared" si="71"/>
        <v>21504344.583483372</v>
      </c>
      <c r="T76" s="60">
        <f t="shared" si="71"/>
        <v>21068001.571059089</v>
      </c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87"/>
      <c r="AP76" s="87"/>
    </row>
    <row r="77" spans="1:42" x14ac:dyDescent="0.3">
      <c r="A77" s="70" t="s">
        <v>1838</v>
      </c>
      <c r="B77" s="60"/>
      <c r="C77" s="60"/>
      <c r="D77" s="60"/>
      <c r="E77" s="60"/>
      <c r="F77" s="60">
        <f t="shared" ref="F77:M77" si="72">F78-F76</f>
        <v>-125394.96187588573</v>
      </c>
      <c r="G77" s="60">
        <f t="shared" si="72"/>
        <v>636667.46097872034</v>
      </c>
      <c r="H77" s="60">
        <f t="shared" ca="1" si="72"/>
        <v>347417.20079033822</v>
      </c>
      <c r="I77" s="60">
        <f t="shared" ca="1" si="72"/>
        <v>-275144.90463670716</v>
      </c>
      <c r="J77" s="60">
        <f t="shared" ca="1" si="72"/>
        <v>-81396.42559638992</v>
      </c>
      <c r="K77" s="60">
        <f t="shared" ca="1" si="72"/>
        <v>-240642.73548031971</v>
      </c>
      <c r="L77" s="60">
        <f t="shared" ca="1" si="72"/>
        <v>173253.12671874091</v>
      </c>
      <c r="M77" s="60">
        <f t="shared" si="72"/>
        <v>69482.976924628019</v>
      </c>
      <c r="N77" s="60"/>
      <c r="O77" s="60">
        <f t="shared" ref="O77:T77" si="73">O78-O76</f>
        <v>-284234.83009979129</v>
      </c>
      <c r="P77" s="60">
        <f t="shared" si="73"/>
        <v>-446973.87373271212</v>
      </c>
      <c r="Q77" s="60">
        <f t="shared" si="73"/>
        <v>801934.96857693419</v>
      </c>
      <c r="R77" s="60">
        <f t="shared" si="73"/>
        <v>279376.58091581613</v>
      </c>
      <c r="S77" s="60">
        <f t="shared" si="73"/>
        <v>-436343.01242428273</v>
      </c>
      <c r="T77" s="60">
        <f t="shared" si="73"/>
        <v>1819564.8723752685</v>
      </c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87"/>
      <c r="AP77" s="87"/>
    </row>
    <row r="78" spans="1:42" x14ac:dyDescent="0.3">
      <c r="A78" s="70" t="s">
        <v>1839</v>
      </c>
      <c r="B78" s="60"/>
      <c r="C78" s="60"/>
      <c r="D78" s="60"/>
      <c r="E78" s="60"/>
      <c r="F78" s="60">
        <f t="shared" ref="F78:L78" si="74">G76</f>
        <v>20524605.038124114</v>
      </c>
      <c r="G78" s="60">
        <f t="shared" si="74"/>
        <v>21161272.499102835</v>
      </c>
      <c r="H78" s="60">
        <f t="shared" ca="1" si="74"/>
        <v>21508689.699893173</v>
      </c>
      <c r="I78" s="60">
        <f t="shared" ca="1" si="74"/>
        <v>21233544.795256466</v>
      </c>
      <c r="J78" s="60">
        <f t="shared" ca="1" si="74"/>
        <v>21152148.369660076</v>
      </c>
      <c r="K78" s="60">
        <f t="shared" ca="1" si="74"/>
        <v>20911505.634179756</v>
      </c>
      <c r="L78" s="60">
        <f t="shared" si="74"/>
        <v>21084758.760898497</v>
      </c>
      <c r="M78" s="60">
        <f>O76</f>
        <v>21154241.737823125</v>
      </c>
      <c r="N78" s="60"/>
      <c r="O78" s="60">
        <f>P76</f>
        <v>20870006.907723334</v>
      </c>
      <c r="P78" s="60">
        <f>Q76</f>
        <v>20423033.033990622</v>
      </c>
      <c r="Q78" s="60">
        <f>R76</f>
        <v>21224968.002567556</v>
      </c>
      <c r="R78" s="60">
        <f>S76</f>
        <v>21504344.583483372</v>
      </c>
      <c r="S78" s="60">
        <f>T76</f>
        <v>21068001.571059089</v>
      </c>
      <c r="T78" s="60">
        <v>22887566.443434358</v>
      </c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87"/>
      <c r="AP78" s="87"/>
    </row>
    <row r="79" spans="1:42" x14ac:dyDescent="0.3">
      <c r="A79" s="7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87"/>
      <c r="AP79" s="87"/>
    </row>
    <row r="80" spans="1:42" x14ac:dyDescent="0.3">
      <c r="A80" s="70" t="s">
        <v>1845</v>
      </c>
      <c r="B80" s="60"/>
      <c r="C80" s="60"/>
      <c r="D80" s="60"/>
      <c r="E80" s="60"/>
      <c r="F80" s="60">
        <f>F69+F73-F77</f>
        <v>1698092.7711452842</v>
      </c>
      <c r="G80" s="60">
        <f t="shared" ref="G80:T80" si="75">G69+G73-G77</f>
        <v>2552860.8839984536</v>
      </c>
      <c r="H80" s="60">
        <f t="shared" ca="1" si="75"/>
        <v>4316484.5342938565</v>
      </c>
      <c r="I80" s="60">
        <f t="shared" ca="1" si="75"/>
        <v>286138.35499218106</v>
      </c>
      <c r="J80" s="60">
        <f t="shared" ca="1" si="75"/>
        <v>-540274.76838671044</v>
      </c>
      <c r="K80" s="60">
        <f t="shared" ca="1" si="75"/>
        <v>-112586.46933809668</v>
      </c>
      <c r="L80" s="60">
        <f t="shared" ca="1" si="75"/>
        <v>-436311.20847705007</v>
      </c>
      <c r="M80" s="60">
        <f t="shared" ca="1" si="75"/>
        <v>656971.18259736523</v>
      </c>
      <c r="N80" s="60"/>
      <c r="O80" s="60">
        <f t="shared" si="75"/>
        <v>-648101.04307282716</v>
      </c>
      <c r="P80" s="60">
        <f t="shared" si="75"/>
        <v>-951310.30708920211</v>
      </c>
      <c r="Q80" s="60">
        <f t="shared" si="75"/>
        <v>1415536.8373847194</v>
      </c>
      <c r="R80" s="60">
        <f t="shared" si="75"/>
        <v>870478.17157732695</v>
      </c>
      <c r="S80" s="60">
        <f t="shared" si="75"/>
        <v>-917928.7417674996</v>
      </c>
      <c r="T80" s="60">
        <f t="shared" si="75"/>
        <v>956878.74201944843</v>
      </c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87"/>
      <c r="AP80" s="87"/>
    </row>
    <row r="81" spans="1:42" x14ac:dyDescent="0.3">
      <c r="A81" s="7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87"/>
      <c r="AP81" s="87"/>
    </row>
    <row r="82" spans="1:42" x14ac:dyDescent="0.3">
      <c r="A82" s="70" t="s">
        <v>1846</v>
      </c>
      <c r="B82" s="60"/>
      <c r="C82" s="60"/>
      <c r="D82" s="60"/>
      <c r="E82" s="60"/>
      <c r="F82" s="125">
        <f>F166-F80</f>
        <v>-339451.93114527874</v>
      </c>
      <c r="G82" s="60">
        <f t="shared" ref="G82:M82" si="76">G166-G80</f>
        <v>-1898643.7939984554</v>
      </c>
      <c r="H82" s="60">
        <f t="shared" ca="1" si="76"/>
        <v>-1290595.4242938287</v>
      </c>
      <c r="I82" s="60">
        <f t="shared" ca="1" si="76"/>
        <v>4186986.7322441479</v>
      </c>
      <c r="J82" s="60">
        <f t="shared" ca="1" si="76"/>
        <v>4357313.884456519</v>
      </c>
      <c r="K82" s="60">
        <f t="shared" ca="1" si="76"/>
        <v>3829899.2927314322</v>
      </c>
      <c r="L82" s="60">
        <f t="shared" ca="1" si="76"/>
        <v>3137374.8394332696</v>
      </c>
      <c r="M82" s="60">
        <f t="shared" ca="1" si="76"/>
        <v>2612497.9829741679</v>
      </c>
      <c r="N82" s="60"/>
      <c r="O82" s="60">
        <f t="shared" ref="O82:T82" si="77">O166-O80</f>
        <v>4600578.9848235259</v>
      </c>
      <c r="P82" s="60">
        <f t="shared" si="77"/>
        <v>3662353.1324573951</v>
      </c>
      <c r="Q82" s="60">
        <f t="shared" si="77"/>
        <v>-463440.12626652722</v>
      </c>
      <c r="R82" s="60">
        <f t="shared" si="77"/>
        <v>2407923.7767058746</v>
      </c>
      <c r="S82" s="60">
        <f t="shared" si="77"/>
        <v>5948993.8620131891</v>
      </c>
      <c r="T82" s="60">
        <f t="shared" si="77"/>
        <v>2436597.4119314188</v>
      </c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>
        <f>AO166-AO80</f>
        <v>0</v>
      </c>
      <c r="AP82" s="87"/>
    </row>
    <row r="83" spans="1:42" x14ac:dyDescent="0.3">
      <c r="A83" s="7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87"/>
    </row>
    <row r="84" spans="1:42" x14ac:dyDescent="0.3">
      <c r="A84" s="70" t="s">
        <v>1847</v>
      </c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87"/>
    </row>
    <row r="85" spans="1:42" x14ac:dyDescent="0.3">
      <c r="A85" s="7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87"/>
    </row>
    <row r="86" spans="1:42" x14ac:dyDescent="0.3">
      <c r="A86" s="7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87"/>
      <c r="AP86" s="87"/>
    </row>
    <row r="87" spans="1:42" ht="18" x14ac:dyDescent="0.35">
      <c r="A87" s="81" t="s">
        <v>1632</v>
      </c>
    </row>
    <row r="88" spans="1:42" ht="5.25" customHeight="1" x14ac:dyDescent="0.3">
      <c r="A88" s="70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3"/>
      <c r="AB88" s="98"/>
      <c r="AC88" s="98"/>
      <c r="AD88" s="98"/>
      <c r="AE88" s="98"/>
      <c r="AF88" s="98"/>
      <c r="AG88" s="98"/>
      <c r="AH88" s="98"/>
      <c r="AI88" s="98"/>
      <c r="AJ88" s="98"/>
      <c r="AK88" s="98"/>
      <c r="AL88" s="98"/>
      <c r="AM88" s="98"/>
      <c r="AN88" s="93"/>
      <c r="AO88" s="87"/>
      <c r="AP88" s="87"/>
    </row>
    <row r="89" spans="1:42" x14ac:dyDescent="0.3">
      <c r="A89" s="8" t="s">
        <v>1633</v>
      </c>
      <c r="B89" s="89">
        <v>75534.164590097716</v>
      </c>
      <c r="C89" s="89">
        <f>B94</f>
        <v>76337.787242822567</v>
      </c>
      <c r="D89" s="89">
        <f t="shared" ref="D89:M89" si="78">C94</f>
        <v>77100.294585943921</v>
      </c>
      <c r="E89" s="89">
        <f t="shared" si="78"/>
        <v>77767.651533316937</v>
      </c>
      <c r="F89" s="89">
        <f t="shared" si="78"/>
        <v>77814.325883708385</v>
      </c>
      <c r="G89" s="89">
        <f t="shared" si="78"/>
        <v>78688.649725199139</v>
      </c>
      <c r="H89" s="89">
        <f t="shared" si="78"/>
        <v>79935.719636612324</v>
      </c>
      <c r="I89" s="89">
        <f t="shared" si="78"/>
        <v>99000</v>
      </c>
      <c r="J89" s="89">
        <f t="shared" si="78"/>
        <v>3403393.6400000006</v>
      </c>
      <c r="K89" s="89">
        <f t="shared" si="78"/>
        <v>7530536.7700000005</v>
      </c>
      <c r="L89" s="89">
        <f t="shared" si="78"/>
        <v>7530536.7700000005</v>
      </c>
      <c r="M89" s="89">
        <f t="shared" si="78"/>
        <v>7530536.7700000005</v>
      </c>
      <c r="N89" s="89">
        <f>B89</f>
        <v>75534.164590097716</v>
      </c>
      <c r="O89" s="237"/>
      <c r="P89" s="237"/>
      <c r="Q89" s="237"/>
      <c r="R89" s="237"/>
      <c r="S89" s="237"/>
      <c r="T89" s="237"/>
      <c r="U89" s="237"/>
      <c r="V89" s="237"/>
      <c r="W89" s="237"/>
      <c r="X89" s="237"/>
      <c r="Y89" s="237"/>
      <c r="Z89" s="237"/>
      <c r="AA89" s="89">
        <f>O89</f>
        <v>0</v>
      </c>
      <c r="AB89" s="237"/>
      <c r="AC89" s="237"/>
      <c r="AD89" s="237"/>
      <c r="AE89" s="237"/>
      <c r="AF89" s="237"/>
      <c r="AG89" s="237"/>
      <c r="AH89" s="237"/>
      <c r="AI89" s="237"/>
      <c r="AJ89" s="237"/>
      <c r="AK89" s="237"/>
      <c r="AL89" s="237"/>
      <c r="AM89" s="237"/>
      <c r="AN89" s="89">
        <f>AB89</f>
        <v>0</v>
      </c>
      <c r="AO89" s="91"/>
      <c r="AP89" s="91"/>
    </row>
    <row r="90" spans="1:42" x14ac:dyDescent="0.3">
      <c r="A90" s="71" t="s">
        <v>1634</v>
      </c>
      <c r="B90" s="90">
        <f t="shared" ref="B90:M90" si="79">+B45</f>
        <v>0</v>
      </c>
      <c r="C90" s="90">
        <f t="shared" si="79"/>
        <v>0</v>
      </c>
      <c r="D90" s="90">
        <f t="shared" si="79"/>
        <v>0</v>
      </c>
      <c r="E90" s="90">
        <f t="shared" si="79"/>
        <v>0</v>
      </c>
      <c r="F90" s="90">
        <f t="shared" si="79"/>
        <v>0</v>
      </c>
      <c r="G90" s="90">
        <f t="shared" si="79"/>
        <v>0</v>
      </c>
      <c r="H90" s="90">
        <f t="shared" si="79"/>
        <v>33000000</v>
      </c>
      <c r="I90" s="90">
        <f t="shared" si="79"/>
        <v>14000000</v>
      </c>
      <c r="J90" s="90">
        <f t="shared" si="79"/>
        <v>6000000</v>
      </c>
      <c r="K90" s="90">
        <f t="shared" si="79"/>
        <v>0</v>
      </c>
      <c r="L90" s="90">
        <f t="shared" si="79"/>
        <v>0</v>
      </c>
      <c r="M90" s="90">
        <f t="shared" si="79"/>
        <v>0</v>
      </c>
      <c r="N90" s="90">
        <f>SUM(B90,C90,D90,E90,F90,G90,H90,I90,J90,K90,L90,M90)</f>
        <v>53000000</v>
      </c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90">
        <f>SUM(O90,P90,Q90,R90,S90,T90,U90,V90,W90,X90,Y90,Z90)</f>
        <v>0</v>
      </c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90">
        <f>SUM(AB90,AC90,AD90,AE90,AF90,AG90,AH90,AI90,AJ90,AK90,AL90,AM90)</f>
        <v>0</v>
      </c>
      <c r="AO90" s="91"/>
      <c r="AP90" s="91"/>
    </row>
    <row r="91" spans="1:42" x14ac:dyDescent="0.3">
      <c r="A91" s="71" t="s">
        <v>1282</v>
      </c>
      <c r="B91" s="114">
        <f t="shared" ref="B91:G91" si="80">+B44</f>
        <v>0</v>
      </c>
      <c r="C91" s="114">
        <f t="shared" si="80"/>
        <v>0</v>
      </c>
      <c r="D91" s="114">
        <f t="shared" si="80"/>
        <v>0</v>
      </c>
      <c r="E91" s="114">
        <f t="shared" si="80"/>
        <v>0</v>
      </c>
      <c r="F91" s="114">
        <f t="shared" si="80"/>
        <v>0</v>
      </c>
      <c r="G91" s="114">
        <f t="shared" si="80"/>
        <v>0</v>
      </c>
      <c r="H91" s="90">
        <f>+H48</f>
        <v>11503037.34</v>
      </c>
      <c r="I91" s="90">
        <f>+I48</f>
        <v>10695606.359999999</v>
      </c>
      <c r="J91" s="90">
        <f>+J48</f>
        <v>1872856.87</v>
      </c>
      <c r="K91" s="114">
        <f>+K44</f>
        <v>0</v>
      </c>
      <c r="L91" s="114">
        <f>+L44</f>
        <v>0</v>
      </c>
      <c r="M91" s="114">
        <f>+M44</f>
        <v>0</v>
      </c>
      <c r="N91" s="90">
        <f>SUM(B91,C91,D91,E91,F91,G91,H91,I91,J91,K91,L91,M91)</f>
        <v>24071500.57</v>
      </c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90">
        <f>SUM(O91,P91,Q91,R91,S91,T91,U91,V91,W91,X91,Y91,Z91)</f>
        <v>0</v>
      </c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90">
        <f>SUM(AB91,AC91,AD91,AE91,AF91,AG91,AH91,AI91,AJ91,AK91,AL91,AM91)</f>
        <v>0</v>
      </c>
      <c r="AO91" s="91"/>
      <c r="AP91" s="91"/>
    </row>
    <row r="92" spans="1:42" x14ac:dyDescent="0.3">
      <c r="A92" s="71" t="s">
        <v>1635</v>
      </c>
      <c r="B92" s="90">
        <v>-803.62265272485274</v>
      </c>
      <c r="C92" s="90">
        <v>-762.50734312134944</v>
      </c>
      <c r="D92" s="90">
        <v>-667.35694737301412</v>
      </c>
      <c r="E92" s="90">
        <v>-46.674350391453132</v>
      </c>
      <c r="F92" s="90">
        <f>-915456.469696268/1000--41.1326282055088</f>
        <v>-874.32384149075915</v>
      </c>
      <c r="G92" s="90">
        <f>-1247069.91141318/1000</f>
        <v>-1247.0699114131799</v>
      </c>
      <c r="H92" s="90"/>
      <c r="I92" s="90"/>
      <c r="J92" s="90"/>
      <c r="K92" s="90"/>
      <c r="L92" s="90"/>
      <c r="M92" s="90"/>
      <c r="N92" s="90">
        <f>SUM(B92,C92,D92,E92,F92,G92,H92,I92,J92,K92,L92,M92)</f>
        <v>-4401.555046514608</v>
      </c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90">
        <f>SUM(O92,P92,Q92,R92,S92,T92,U92,V92,W92,X92,Y92,Z92)</f>
        <v>0</v>
      </c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90">
        <f>SUM(AB92,AC92,AD92,AE92,AF92,AG92,AH92,AI92,AJ92,AK92,AL92,AM92)</f>
        <v>0</v>
      </c>
      <c r="AO92" s="91"/>
      <c r="AP92" s="91"/>
    </row>
    <row r="93" spans="1:42" x14ac:dyDescent="0.3">
      <c r="A93" s="70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3"/>
      <c r="AB93" s="98"/>
      <c r="AC93" s="98"/>
      <c r="AD93" s="98"/>
      <c r="AE93" s="98"/>
      <c r="AF93" s="98"/>
      <c r="AG93" s="98"/>
      <c r="AH93" s="98"/>
      <c r="AI93" s="98"/>
      <c r="AJ93" s="98"/>
      <c r="AK93" s="98"/>
      <c r="AL93" s="98"/>
      <c r="AM93" s="98"/>
      <c r="AN93" s="93"/>
      <c r="AO93" s="87"/>
      <c r="AP93" s="87"/>
    </row>
    <row r="94" spans="1:42" x14ac:dyDescent="0.3">
      <c r="A94" s="8" t="s">
        <v>1636</v>
      </c>
      <c r="B94" s="89">
        <f t="shared" ref="B94:N94" si="81">+B89+B90-B91-B92</f>
        <v>76337.787242822567</v>
      </c>
      <c r="C94" s="89">
        <f t="shared" si="81"/>
        <v>77100.294585943921</v>
      </c>
      <c r="D94" s="89">
        <f t="shared" si="81"/>
        <v>77767.651533316937</v>
      </c>
      <c r="E94" s="89">
        <f t="shared" si="81"/>
        <v>77814.325883708385</v>
      </c>
      <c r="F94" s="153">
        <f>+F89+F90-F91-F92</f>
        <v>78688.649725199139</v>
      </c>
      <c r="G94" s="89">
        <f>+G89+G90-G91-G92</f>
        <v>79935.719636612324</v>
      </c>
      <c r="H94" s="89">
        <v>99000</v>
      </c>
      <c r="I94" s="89">
        <f t="shared" si="81"/>
        <v>3403393.6400000006</v>
      </c>
      <c r="J94" s="89">
        <f>+J89+J90-J91-J92</f>
        <v>7530536.7700000005</v>
      </c>
      <c r="K94" s="89">
        <f t="shared" si="81"/>
        <v>7530536.7700000005</v>
      </c>
      <c r="L94" s="89">
        <f t="shared" si="81"/>
        <v>7530536.7700000005</v>
      </c>
      <c r="M94" s="89">
        <f>+M89+M90-M91-M92</f>
        <v>7530536.7700000005</v>
      </c>
      <c r="N94" s="89">
        <f t="shared" si="81"/>
        <v>29008435.149636611</v>
      </c>
      <c r="O94" s="237"/>
      <c r="P94" s="237"/>
      <c r="Q94" s="237"/>
      <c r="R94" s="237"/>
      <c r="S94" s="237"/>
      <c r="T94" s="237"/>
      <c r="U94" s="237"/>
      <c r="V94" s="237"/>
      <c r="W94" s="237"/>
      <c r="X94" s="237"/>
      <c r="Y94" s="237"/>
      <c r="Z94" s="237"/>
      <c r="AA94" s="89">
        <f t="shared" ref="AA94" si="82">+AA89+AA90-AA91-AA92</f>
        <v>0</v>
      </c>
      <c r="AB94" s="237"/>
      <c r="AC94" s="237"/>
      <c r="AD94" s="237"/>
      <c r="AE94" s="237"/>
      <c r="AF94" s="237"/>
      <c r="AG94" s="237"/>
      <c r="AH94" s="237"/>
      <c r="AI94" s="237"/>
      <c r="AJ94" s="237"/>
      <c r="AK94" s="237"/>
      <c r="AL94" s="237"/>
      <c r="AM94" s="237"/>
      <c r="AN94" s="89">
        <f t="shared" ref="AN94" si="83">+AN89+AN90-AN91-AN92</f>
        <v>0</v>
      </c>
      <c r="AO94" s="91"/>
      <c r="AP94" s="91"/>
    </row>
    <row r="95" spans="1:42" x14ac:dyDescent="0.3">
      <c r="A95" s="70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87"/>
      <c r="M95" s="87">
        <f>G94-M94</f>
        <v>-7450601.0503633879</v>
      </c>
    </row>
    <row r="96" spans="1:42" x14ac:dyDescent="0.3">
      <c r="A96" s="71" t="s">
        <v>1295</v>
      </c>
      <c r="B96" s="100">
        <v>3733</v>
      </c>
      <c r="C96" s="100">
        <v>3733</v>
      </c>
      <c r="D96" s="100">
        <v>3900</v>
      </c>
      <c r="E96" s="100">
        <v>3733</v>
      </c>
      <c r="F96" s="100">
        <v>3733</v>
      </c>
      <c r="G96" s="100">
        <f>2050+2071</f>
        <v>4121</v>
      </c>
      <c r="H96" s="100">
        <f>G96</f>
        <v>4121</v>
      </c>
      <c r="I96" s="100">
        <f t="shared" ref="I96:N96" si="84">H96</f>
        <v>4121</v>
      </c>
      <c r="J96" s="100">
        <f t="shared" si="84"/>
        <v>4121</v>
      </c>
      <c r="K96" s="100">
        <f t="shared" si="84"/>
        <v>4121</v>
      </c>
      <c r="L96" s="100">
        <f t="shared" si="84"/>
        <v>4121</v>
      </c>
      <c r="M96" s="100">
        <f t="shared" si="84"/>
        <v>4121</v>
      </c>
      <c r="N96" s="100">
        <f t="shared" si="84"/>
        <v>4121</v>
      </c>
      <c r="O96" s="239"/>
      <c r="P96" s="239"/>
      <c r="Q96" s="239"/>
      <c r="R96" s="239"/>
      <c r="S96" s="239"/>
      <c r="T96" s="239"/>
      <c r="U96" s="239"/>
      <c r="V96" s="239"/>
      <c r="W96" s="239"/>
      <c r="X96" s="239"/>
      <c r="Y96" s="239"/>
      <c r="Z96" s="239"/>
      <c r="AA96" s="100">
        <f t="shared" ref="AA96" si="85">Z96</f>
        <v>0</v>
      </c>
      <c r="AB96" s="239"/>
      <c r="AC96" s="239"/>
      <c r="AD96" s="239"/>
      <c r="AE96" s="239"/>
      <c r="AF96" s="239"/>
      <c r="AG96" s="239"/>
      <c r="AH96" s="239"/>
      <c r="AI96" s="239"/>
      <c r="AJ96" s="239"/>
      <c r="AK96" s="239"/>
      <c r="AL96" s="239"/>
      <c r="AM96" s="239"/>
      <c r="AN96" s="100">
        <f t="shared" ref="AN96" si="86">AM96</f>
        <v>0</v>
      </c>
      <c r="AO96" s="2"/>
      <c r="AP96" s="2"/>
    </row>
    <row r="97" spans="1:44" x14ac:dyDescent="0.3">
      <c r="A97" s="71" t="s">
        <v>1637</v>
      </c>
      <c r="B97" s="106">
        <v>10000</v>
      </c>
      <c r="C97" s="106">
        <v>10000</v>
      </c>
      <c r="D97" s="106">
        <v>12500</v>
      </c>
      <c r="E97" s="106">
        <f>D97</f>
        <v>12500</v>
      </c>
      <c r="F97" s="106">
        <f>E97</f>
        <v>12500</v>
      </c>
      <c r="G97" s="106">
        <f>10818333.37/1000</f>
        <v>10818.333369999998</v>
      </c>
      <c r="H97" s="106">
        <f t="shared" ref="H97:M97" si="87">G97</f>
        <v>10818.333369999998</v>
      </c>
      <c r="I97" s="106">
        <f t="shared" si="87"/>
        <v>10818.333369999998</v>
      </c>
      <c r="J97" s="106">
        <f t="shared" si="87"/>
        <v>10818.333369999998</v>
      </c>
      <c r="K97" s="106">
        <f t="shared" si="87"/>
        <v>10818.333369999998</v>
      </c>
      <c r="L97" s="106">
        <f t="shared" si="87"/>
        <v>10818.333369999998</v>
      </c>
      <c r="M97" s="106">
        <f t="shared" si="87"/>
        <v>10818.333369999998</v>
      </c>
      <c r="N97" s="106">
        <f>M97</f>
        <v>10818.333369999998</v>
      </c>
      <c r="O97" s="240"/>
      <c r="P97" s="240"/>
      <c r="Q97" s="240"/>
      <c r="R97" s="240"/>
      <c r="S97" s="240"/>
      <c r="T97" s="240"/>
      <c r="U97" s="240"/>
      <c r="V97" s="240"/>
      <c r="W97" s="240"/>
      <c r="X97" s="240"/>
      <c r="Y97" s="240"/>
      <c r="Z97" s="240"/>
      <c r="AA97" s="106">
        <f>Z97</f>
        <v>0</v>
      </c>
      <c r="AB97" s="240"/>
      <c r="AC97" s="240"/>
      <c r="AD97" s="240"/>
      <c r="AE97" s="240"/>
      <c r="AF97" s="240"/>
      <c r="AG97" s="240"/>
      <c r="AH97" s="240"/>
      <c r="AI97" s="240"/>
      <c r="AJ97" s="240"/>
      <c r="AK97" s="240"/>
      <c r="AL97" s="240"/>
      <c r="AM97" s="240"/>
      <c r="AN97" s="106">
        <f>AM97</f>
        <v>0</v>
      </c>
    </row>
    <row r="98" spans="1:44" x14ac:dyDescent="0.3">
      <c r="A98" s="8" t="s">
        <v>1638</v>
      </c>
      <c r="B98" s="93">
        <f t="shared" ref="B98:N98" si="88">+B94+B96+B97</f>
        <v>90070.787242822567</v>
      </c>
      <c r="C98" s="93">
        <f t="shared" si="88"/>
        <v>90833.294585943921</v>
      </c>
      <c r="D98" s="93">
        <f t="shared" si="88"/>
        <v>94167.651533316937</v>
      </c>
      <c r="E98" s="93">
        <f t="shared" si="88"/>
        <v>94047.325883708385</v>
      </c>
      <c r="F98" s="93">
        <f t="shared" si="88"/>
        <v>94921.649725199139</v>
      </c>
      <c r="G98" s="93">
        <f t="shared" si="88"/>
        <v>94875.053006612317</v>
      </c>
      <c r="H98" s="93">
        <f t="shared" si="88"/>
        <v>113939.33336999999</v>
      </c>
      <c r="I98" s="93">
        <f t="shared" si="88"/>
        <v>3418332.9733700007</v>
      </c>
      <c r="J98" s="93">
        <f t="shared" si="88"/>
        <v>7545476.1033700006</v>
      </c>
      <c r="K98" s="93">
        <f t="shared" si="88"/>
        <v>7545476.1033700006</v>
      </c>
      <c r="L98" s="93">
        <f t="shared" si="88"/>
        <v>7545476.1033700006</v>
      </c>
      <c r="M98" s="93">
        <f t="shared" si="88"/>
        <v>7545476.1033700006</v>
      </c>
      <c r="N98" s="93">
        <f t="shared" si="88"/>
        <v>29023374.483006611</v>
      </c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3">
        <f t="shared" ref="AA98" si="89">+AA94+AA96+AA97</f>
        <v>0</v>
      </c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  <c r="AM98" s="98"/>
      <c r="AN98" s="93">
        <f t="shared" ref="AN98" si="90">+AN94+AN96+AN97</f>
        <v>0</v>
      </c>
    </row>
    <row r="99" spans="1:44" x14ac:dyDescent="0.3">
      <c r="B99" s="107"/>
      <c r="C99" s="107"/>
      <c r="D99" s="108">
        <f>D100*D113</f>
        <v>90198.835155869194</v>
      </c>
      <c r="E99" s="108"/>
      <c r="F99" s="108"/>
      <c r="G99" s="108">
        <f>G100*G113</f>
        <v>133250.00464881249</v>
      </c>
      <c r="I99" s="108"/>
      <c r="J99" s="108">
        <f>J100*J113</f>
        <v>122686.99234049294</v>
      </c>
      <c r="K99" s="108"/>
      <c r="L99" s="108"/>
      <c r="M99" s="108">
        <f>M100*M113</f>
        <v>136357.17593936488</v>
      </c>
      <c r="N99" s="107"/>
      <c r="AA99" s="107"/>
      <c r="AN99" s="107"/>
    </row>
    <row r="100" spans="1:44" x14ac:dyDescent="0.3">
      <c r="A100" s="109" t="s">
        <v>1639</v>
      </c>
      <c r="B100" s="107"/>
      <c r="C100" s="107"/>
      <c r="D100" s="90">
        <f>+D102+D101+D103+($M$106-D106)+($M$108-D108)+($M$107-D107)</f>
        <v>18039.76703117384</v>
      </c>
      <c r="E100" s="90"/>
      <c r="F100" s="90"/>
      <c r="G100" s="90">
        <f>+G102+G101+G103+($M$106-G106)+($M$108-G108)+($M$107-G107)</f>
        <v>26650.000929762497</v>
      </c>
      <c r="H100" s="110">
        <f>G98/G113</f>
        <v>18975.010601322465</v>
      </c>
      <c r="I100" s="111">
        <f>+G98/21000</f>
        <v>4.517859666981539</v>
      </c>
      <c r="J100" s="90">
        <f>+J102+J101+J103+($M$106-J106)+($M$108-J108)+($M$107-J107)</f>
        <v>30671.748085123236</v>
      </c>
      <c r="K100" s="112">
        <f>+J98/J113</f>
        <v>1886369.0258425002</v>
      </c>
      <c r="L100" s="90"/>
      <c r="M100" s="90">
        <f>+M102+M101+M103+($M$106-M106)+($M$108-M108)+($M$107-M107)</f>
        <v>35883.467352464446</v>
      </c>
      <c r="N100" s="112">
        <f>+M98/M113</f>
        <v>1985651.6061500004</v>
      </c>
      <c r="O100" s="241"/>
      <c r="P100" s="241"/>
      <c r="Q100" s="241"/>
      <c r="R100" s="241"/>
      <c r="S100" s="241"/>
      <c r="T100" s="241"/>
      <c r="U100" s="241"/>
      <c r="V100" s="241"/>
      <c r="W100" s="241"/>
      <c r="X100" s="241"/>
      <c r="Y100" s="241"/>
      <c r="Z100" s="241"/>
      <c r="AA100" s="112" t="e">
        <f>+Z98/Z113</f>
        <v>#DIV/0!</v>
      </c>
      <c r="AB100" s="241"/>
      <c r="AC100" s="241"/>
      <c r="AD100" s="241"/>
      <c r="AE100" s="241"/>
      <c r="AF100" s="241"/>
      <c r="AG100" s="241"/>
      <c r="AH100" s="241"/>
      <c r="AI100" s="241"/>
      <c r="AJ100" s="241"/>
      <c r="AK100" s="241"/>
      <c r="AL100" s="241"/>
      <c r="AM100" s="241"/>
      <c r="AN100" s="112" t="e">
        <f>+AM98/AM113</f>
        <v>#DIV/0!</v>
      </c>
      <c r="AO100" s="4"/>
      <c r="AP100" s="4"/>
    </row>
    <row r="101" spans="1:44" x14ac:dyDescent="0.3">
      <c r="A101" s="71" t="s">
        <v>1640</v>
      </c>
      <c r="B101" s="107"/>
      <c r="C101" s="107"/>
      <c r="D101" s="90">
        <v>400</v>
      </c>
      <c r="E101" s="90"/>
      <c r="F101" s="90"/>
      <c r="G101" s="90">
        <v>7237</v>
      </c>
      <c r="H101" s="112">
        <f>+G101-D101</f>
        <v>6837</v>
      </c>
      <c r="I101" s="90"/>
      <c r="J101" s="90">
        <f>(83000/J3)+G101</f>
        <v>12119.35294117647</v>
      </c>
      <c r="K101" s="112">
        <f>J101-G101</f>
        <v>4882.3529411764703</v>
      </c>
      <c r="L101" s="90"/>
      <c r="M101" s="90">
        <f>(83000/M3)+J101</f>
        <v>16862.210084033613</v>
      </c>
      <c r="N101" s="112">
        <f>M101-J101</f>
        <v>4742.8571428571431</v>
      </c>
      <c r="O101" s="241"/>
      <c r="P101" s="241"/>
      <c r="Q101" s="241"/>
      <c r="R101" s="241"/>
      <c r="S101" s="241"/>
      <c r="T101" s="241"/>
      <c r="U101" s="241"/>
      <c r="V101" s="241"/>
      <c r="W101" s="241"/>
      <c r="X101" s="241"/>
      <c r="Y101" s="241"/>
      <c r="Z101" s="241"/>
      <c r="AA101" s="112">
        <f>Z101-W101</f>
        <v>0</v>
      </c>
      <c r="AB101" s="241"/>
      <c r="AC101" s="241"/>
      <c r="AD101" s="241"/>
      <c r="AE101" s="241"/>
      <c r="AF101" s="241"/>
      <c r="AG101" s="241"/>
      <c r="AH101" s="241"/>
      <c r="AI101" s="241"/>
      <c r="AJ101" s="241"/>
      <c r="AK101" s="241"/>
      <c r="AL101" s="241"/>
      <c r="AM101" s="241"/>
      <c r="AN101" s="112">
        <f>AM101-AJ101</f>
        <v>0</v>
      </c>
      <c r="AQ101" s="85"/>
    </row>
    <row r="102" spans="1:44" x14ac:dyDescent="0.3">
      <c r="A102" s="71" t="s">
        <v>1641</v>
      </c>
      <c r="B102" s="107"/>
      <c r="C102" s="107"/>
      <c r="D102" s="90">
        <v>4000</v>
      </c>
      <c r="E102" s="90"/>
      <c r="F102" s="113"/>
      <c r="G102" s="114">
        <f>8242856.92430608/1000</f>
        <v>8242.8569243060792</v>
      </c>
      <c r="H102" s="112">
        <f>G102-D102</f>
        <v>4242.8569243060792</v>
      </c>
      <c r="I102" s="113"/>
      <c r="J102" s="115">
        <f>0+G102</f>
        <v>8242.8569243060792</v>
      </c>
      <c r="K102" s="90">
        <f>J102-G102</f>
        <v>0</v>
      </c>
      <c r="L102" s="113"/>
      <c r="M102" s="115">
        <f>2827+J102</f>
        <v>11069.856924306079</v>
      </c>
      <c r="N102" s="90">
        <f>M102-J102</f>
        <v>2827</v>
      </c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90">
        <f>Z102-W102</f>
        <v>0</v>
      </c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90">
        <f>AM102-AJ102</f>
        <v>0</v>
      </c>
      <c r="AQ102" s="116"/>
      <c r="AR102" s="117"/>
    </row>
    <row r="103" spans="1:44" x14ac:dyDescent="0.3">
      <c r="A103" s="71" t="s">
        <v>1642</v>
      </c>
      <c r="B103" s="107"/>
      <c r="C103" s="107"/>
      <c r="D103" s="90">
        <v>1911</v>
      </c>
      <c r="E103" s="90"/>
      <c r="F103" s="114"/>
      <c r="G103" s="114">
        <v>3840.4003441247555</v>
      </c>
      <c r="H103" s="112">
        <f>+G103-D103</f>
        <v>1929.4003441247555</v>
      </c>
      <c r="I103" s="90"/>
      <c r="J103" s="115">
        <f>1592+G103</f>
        <v>5432.4003441247551</v>
      </c>
      <c r="K103" s="112">
        <f>+J103-G103</f>
        <v>1591.9999999999995</v>
      </c>
      <c r="L103" s="90"/>
      <c r="M103" s="115">
        <f>2519+J103</f>
        <v>7951.4003441247551</v>
      </c>
      <c r="N103" s="112">
        <f>+M103-J103</f>
        <v>2519</v>
      </c>
      <c r="O103" s="241"/>
      <c r="P103" s="241"/>
      <c r="Q103" s="241"/>
      <c r="R103" s="241"/>
      <c r="S103" s="241"/>
      <c r="T103" s="241"/>
      <c r="U103" s="241"/>
      <c r="V103" s="241"/>
      <c r="W103" s="241"/>
      <c r="X103" s="241"/>
      <c r="Y103" s="241"/>
      <c r="Z103" s="241"/>
      <c r="AA103" s="112">
        <f>+Z103-W103</f>
        <v>0</v>
      </c>
      <c r="AB103" s="241"/>
      <c r="AC103" s="241"/>
      <c r="AD103" s="241"/>
      <c r="AE103" s="241"/>
      <c r="AF103" s="241"/>
      <c r="AG103" s="241"/>
      <c r="AH103" s="241"/>
      <c r="AI103" s="241"/>
      <c r="AJ103" s="241"/>
      <c r="AK103" s="241"/>
      <c r="AL103" s="241"/>
      <c r="AM103" s="241"/>
      <c r="AN103" s="112">
        <f>+AM103-AJ103</f>
        <v>0</v>
      </c>
      <c r="AQ103" s="118"/>
    </row>
    <row r="104" spans="1:44" ht="5.25" customHeight="1" x14ac:dyDescent="0.3">
      <c r="A104" s="71"/>
      <c r="B104" s="107"/>
      <c r="C104" s="107"/>
      <c r="D104" s="90"/>
      <c r="E104" s="90"/>
      <c r="F104" s="90"/>
      <c r="G104" s="90"/>
      <c r="H104" s="108"/>
      <c r="I104" s="90"/>
      <c r="J104" s="90"/>
      <c r="K104" s="108"/>
      <c r="L104" s="90"/>
      <c r="M104" s="90"/>
      <c r="N104" s="108"/>
      <c r="O104" s="242"/>
      <c r="P104" s="242"/>
      <c r="Q104" s="242"/>
      <c r="R104" s="242"/>
      <c r="S104" s="242"/>
      <c r="T104" s="242"/>
      <c r="U104" s="242"/>
      <c r="V104" s="242"/>
      <c r="W104" s="242"/>
      <c r="X104" s="242"/>
      <c r="Y104" s="242"/>
      <c r="Z104" s="242"/>
      <c r="AA104" s="108"/>
      <c r="AB104" s="242"/>
      <c r="AC104" s="242"/>
      <c r="AD104" s="242"/>
      <c r="AE104" s="242"/>
      <c r="AF104" s="242"/>
      <c r="AG104" s="242"/>
      <c r="AH104" s="242"/>
      <c r="AI104" s="242"/>
      <c r="AJ104" s="242"/>
      <c r="AK104" s="242"/>
      <c r="AL104" s="242"/>
      <c r="AM104" s="242"/>
      <c r="AN104" s="108"/>
    </row>
    <row r="105" spans="1:44" ht="5.25" customHeight="1" x14ac:dyDescent="0.3">
      <c r="A105" s="71"/>
      <c r="B105" s="107"/>
      <c r="C105" s="107"/>
      <c r="D105" s="90"/>
      <c r="E105" s="90"/>
      <c r="F105" s="90"/>
      <c r="G105" s="90"/>
      <c r="H105" s="108"/>
      <c r="I105" s="90"/>
      <c r="J105" s="90"/>
      <c r="K105" s="108"/>
      <c r="L105" s="90"/>
      <c r="M105" s="90"/>
      <c r="N105" s="108"/>
      <c r="O105" s="242"/>
      <c r="P105" s="242"/>
      <c r="Q105" s="242"/>
      <c r="R105" s="242"/>
      <c r="S105" s="242"/>
      <c r="T105" s="242"/>
      <c r="U105" s="242"/>
      <c r="V105" s="242"/>
      <c r="W105" s="242"/>
      <c r="X105" s="242"/>
      <c r="Y105" s="242"/>
      <c r="Z105" s="242"/>
      <c r="AA105" s="108"/>
      <c r="AB105" s="242"/>
      <c r="AC105" s="242"/>
      <c r="AD105" s="242"/>
      <c r="AE105" s="242"/>
      <c r="AF105" s="242"/>
      <c r="AG105" s="242"/>
      <c r="AH105" s="242"/>
      <c r="AI105" s="242"/>
      <c r="AJ105" s="242"/>
      <c r="AK105" s="242"/>
      <c r="AL105" s="242"/>
      <c r="AM105" s="242"/>
      <c r="AN105" s="108"/>
    </row>
    <row r="106" spans="1:44" x14ac:dyDescent="0.3">
      <c r="A106" s="71" t="s">
        <v>1643</v>
      </c>
      <c r="B106" s="107"/>
      <c r="C106" s="107"/>
      <c r="D106" s="114">
        <f>5512-7381-1890+2267+250-D107</f>
        <v>-1971</v>
      </c>
      <c r="E106" s="90"/>
      <c r="F106" s="90"/>
      <c r="G106" s="114">
        <f>17552-13768-4562+2680+510-G107</f>
        <v>1461</v>
      </c>
      <c r="H106" s="90">
        <f>+G106-D106</f>
        <v>3432</v>
      </c>
      <c r="I106" s="90"/>
      <c r="J106" s="114">
        <f>24518-21335-5381+5455+766-J107</f>
        <v>4292</v>
      </c>
      <c r="K106" s="90">
        <f>+J106-G106</f>
        <v>2831</v>
      </c>
      <c r="L106" s="90"/>
      <c r="M106" s="114">
        <f>35723-28351-6696+8332+1029-M107-2106</f>
        <v>2645</v>
      </c>
      <c r="N106" s="90">
        <f>+M106-J106</f>
        <v>-1647</v>
      </c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90">
        <f>+Z106-W106</f>
        <v>0</v>
      </c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90">
        <f>+AM106-AJ106</f>
        <v>0</v>
      </c>
      <c r="AQ106" s="115">
        <f>M106+M107</f>
        <v>7931</v>
      </c>
    </row>
    <row r="107" spans="1:44" x14ac:dyDescent="0.3">
      <c r="A107" s="71" t="s">
        <v>1644</v>
      </c>
      <c r="B107" s="107"/>
      <c r="C107" s="107"/>
      <c r="D107" s="114">
        <f>1114-650+265</f>
        <v>729</v>
      </c>
      <c r="E107" s="90"/>
      <c r="F107" s="90"/>
      <c r="G107" s="114">
        <f>1320-934+565</f>
        <v>951</v>
      </c>
      <c r="H107" s="90">
        <f>+G107-D107</f>
        <v>222</v>
      </c>
      <c r="I107" s="90"/>
      <c r="J107" s="114">
        <f>134-1245+842</f>
        <v>-269</v>
      </c>
      <c r="K107" s="90">
        <f>+J107-G107</f>
        <v>-1220</v>
      </c>
      <c r="L107" s="90"/>
      <c r="M107" s="114">
        <f>5363-1602+1525</f>
        <v>5286</v>
      </c>
      <c r="N107" s="90">
        <f>+M107-J107</f>
        <v>5555</v>
      </c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90">
        <f>+Z107-W107</f>
        <v>0</v>
      </c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90">
        <f>+AM107-AJ107</f>
        <v>0</v>
      </c>
      <c r="AQ107" s="2"/>
    </row>
    <row r="108" spans="1:44" x14ac:dyDescent="0.3">
      <c r="A108" s="71" t="s">
        <v>1645</v>
      </c>
      <c r="B108" s="107"/>
      <c r="C108" s="107"/>
      <c r="D108" s="114">
        <f>(29787-18865-2545+5295)/20.5127</f>
        <v>666.51391576925516</v>
      </c>
      <c r="E108" s="90"/>
      <c r="F108" s="90"/>
      <c r="G108" s="114">
        <f>(62333-36318-7674+10283)/20.2786</f>
        <v>1411.5372856114327</v>
      </c>
      <c r="H108" s="90">
        <f>+G108-D108</f>
        <v>745.02336984217754</v>
      </c>
      <c r="I108" s="90"/>
      <c r="J108" s="114">
        <f>(93338-52553-13186+18065)/20.2668</f>
        <v>2253.1430714271619</v>
      </c>
      <c r="K108" s="90">
        <f>+J108-G108</f>
        <v>841.60578581572918</v>
      </c>
      <c r="L108" s="90"/>
      <c r="M108" s="114">
        <v>3222.280946943094</v>
      </c>
      <c r="N108" s="90">
        <f>+M108-J108</f>
        <v>969.13787551593214</v>
      </c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90">
        <f>+Z108-W108</f>
        <v>0</v>
      </c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90">
        <f>+AM108-AJ108</f>
        <v>0</v>
      </c>
      <c r="AQ108" s="2"/>
    </row>
    <row r="109" spans="1:44" ht="5.25" customHeight="1" x14ac:dyDescent="0.3">
      <c r="A109" s="71"/>
      <c r="B109" s="107"/>
      <c r="C109" s="107"/>
      <c r="D109" s="107"/>
      <c r="E109" s="107"/>
      <c r="F109" s="107"/>
      <c r="G109" s="107"/>
      <c r="H109" s="107"/>
      <c r="I109" s="107"/>
      <c r="J109" s="107"/>
      <c r="K109" s="119"/>
      <c r="L109" s="107"/>
      <c r="M109" s="107"/>
      <c r="N109" s="119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119"/>
      <c r="AB109" s="243"/>
      <c r="AC109" s="243"/>
      <c r="AD109" s="243"/>
      <c r="AE109" s="243"/>
      <c r="AF109" s="243"/>
      <c r="AG109" s="243"/>
      <c r="AH109" s="243"/>
      <c r="AI109" s="243"/>
      <c r="AJ109" s="243"/>
      <c r="AK109" s="243"/>
      <c r="AL109" s="243"/>
      <c r="AM109" s="243"/>
      <c r="AN109" s="119"/>
    </row>
    <row r="110" spans="1:44" x14ac:dyDescent="0.3">
      <c r="A110" s="8" t="s">
        <v>1646</v>
      </c>
      <c r="B110" s="107"/>
      <c r="C110" s="107"/>
      <c r="D110" s="120">
        <f>D98/D100</f>
        <v>5.2200037489724433</v>
      </c>
      <c r="E110" s="120"/>
      <c r="F110" s="120"/>
      <c r="G110" s="120">
        <f>G98/G100</f>
        <v>3.5600393882409458</v>
      </c>
      <c r="H110" s="120"/>
      <c r="I110" s="120"/>
      <c r="J110" s="120">
        <f>J98/J100</f>
        <v>246.00737077094718</v>
      </c>
      <c r="K110" s="120"/>
      <c r="L110" s="120"/>
      <c r="M110" s="120">
        <f>M98/M100</f>
        <v>210.2772296014416</v>
      </c>
      <c r="N110" s="107"/>
      <c r="AA110" s="107"/>
      <c r="AN110" s="107"/>
    </row>
    <row r="111" spans="1:44" x14ac:dyDescent="0.3">
      <c r="A111" s="8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AA111" s="107"/>
      <c r="AN111" s="107"/>
    </row>
    <row r="112" spans="1:44" x14ac:dyDescent="0.3">
      <c r="A112" s="71" t="s">
        <v>1647</v>
      </c>
      <c r="B112" s="107"/>
      <c r="C112" s="107"/>
      <c r="D112" s="121">
        <f>D98/D113</f>
        <v>18833.530306663386</v>
      </c>
      <c r="E112" s="107"/>
      <c r="F112" s="107"/>
      <c r="G112" s="121">
        <f>G98/G113</f>
        <v>18975.010601322465</v>
      </c>
      <c r="H112" s="107"/>
      <c r="I112" s="107">
        <f>29*3.5</f>
        <v>101.5</v>
      </c>
      <c r="J112" s="121">
        <f>J98/J113</f>
        <v>1886369.0258425002</v>
      </c>
      <c r="K112" s="107"/>
      <c r="L112" s="107"/>
      <c r="M112" s="121">
        <f>M98/M113</f>
        <v>1985651.6061500004</v>
      </c>
      <c r="N112" s="107"/>
      <c r="AA112" s="107"/>
      <c r="AN112" s="107"/>
    </row>
    <row r="113" spans="1:43" x14ac:dyDescent="0.3">
      <c r="A113" s="122" t="s">
        <v>1648</v>
      </c>
      <c r="B113" s="107"/>
      <c r="C113" s="107"/>
      <c r="D113" s="123">
        <v>5</v>
      </c>
      <c r="E113" s="123"/>
      <c r="F113" s="123"/>
      <c r="G113" s="123">
        <v>5</v>
      </c>
      <c r="H113" s="123"/>
      <c r="I113" s="123"/>
      <c r="J113" s="123">
        <v>4</v>
      </c>
      <c r="K113" s="123"/>
      <c r="L113" s="123"/>
      <c r="M113" s="123">
        <v>3.8</v>
      </c>
      <c r="N113" s="107"/>
      <c r="AA113" s="107"/>
      <c r="AN113" s="107"/>
    </row>
    <row r="114" spans="1:43" x14ac:dyDescent="0.3">
      <c r="A114" s="8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AA114" s="107"/>
      <c r="AN114" s="107"/>
    </row>
    <row r="115" spans="1:43" x14ac:dyDescent="0.3">
      <c r="A115" s="8" t="s">
        <v>1649</v>
      </c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AA115" s="107"/>
      <c r="AN115" s="107"/>
    </row>
    <row r="116" spans="1:43" x14ac:dyDescent="0.3">
      <c r="A116" s="8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AA116" s="107"/>
      <c r="AN116" s="107"/>
    </row>
    <row r="117" spans="1:43" x14ac:dyDescent="0.3">
      <c r="A117" s="71" t="s">
        <v>1650</v>
      </c>
      <c r="B117" s="111"/>
      <c r="C117" s="111"/>
      <c r="D117" s="114">
        <f>400+12769.6194212088</f>
        <v>13169.619421208799</v>
      </c>
      <c r="E117" s="114"/>
      <c r="F117" s="114"/>
      <c r="G117" s="114">
        <f>400+12100.9944512088</f>
        <v>12500.9944512088</v>
      </c>
      <c r="H117" s="114"/>
      <c r="I117" s="114"/>
      <c r="J117" s="114">
        <f>400+11869.8694812088</f>
        <v>12269.8694812088</v>
      </c>
      <c r="K117" s="114"/>
      <c r="L117" s="114"/>
      <c r="M117" s="114">
        <f>400+13915.530231685</f>
        <v>14315.530231684999</v>
      </c>
      <c r="N117" s="111"/>
      <c r="O117" s="244"/>
      <c r="P117" s="244"/>
      <c r="Q117" s="244"/>
      <c r="R117" s="244"/>
      <c r="S117" s="244"/>
      <c r="T117" s="244"/>
      <c r="U117" s="244"/>
      <c r="V117" s="244"/>
      <c r="W117" s="244"/>
      <c r="X117" s="244"/>
      <c r="Y117" s="244"/>
      <c r="Z117" s="244"/>
      <c r="AA117" s="111"/>
      <c r="AB117" s="244"/>
      <c r="AC117" s="244"/>
      <c r="AD117" s="244"/>
      <c r="AE117" s="244"/>
      <c r="AF117" s="244"/>
      <c r="AG117" s="244"/>
      <c r="AH117" s="244"/>
      <c r="AI117" s="244"/>
      <c r="AJ117" s="244"/>
      <c r="AK117" s="244"/>
      <c r="AL117" s="244"/>
      <c r="AM117" s="244"/>
      <c r="AN117" s="111"/>
    </row>
    <row r="118" spans="1:43" x14ac:dyDescent="0.3">
      <c r="A118" s="71" t="s">
        <v>1651</v>
      </c>
      <c r="B118" s="107"/>
      <c r="C118" s="107"/>
      <c r="D118" s="90">
        <f>+D119+D120+$M$121-D121</f>
        <v>8694.2216666666664</v>
      </c>
      <c r="E118" s="90"/>
      <c r="F118" s="90"/>
      <c r="G118" s="90">
        <f>+G119+G120+$M$121-G121</f>
        <v>9255.7216666666664</v>
      </c>
      <c r="H118" s="90"/>
      <c r="I118" s="90"/>
      <c r="J118" s="90">
        <f>+J119+J120+$M$121-J121</f>
        <v>8634.6784227859462</v>
      </c>
      <c r="K118" s="90"/>
      <c r="L118" s="90"/>
      <c r="M118" s="90">
        <f>+M119+M120+$M$121-M121</f>
        <v>8097.9895589995813</v>
      </c>
      <c r="N118" s="107"/>
      <c r="AA118" s="107"/>
      <c r="AN118" s="107"/>
    </row>
    <row r="119" spans="1:43" x14ac:dyDescent="0.3">
      <c r="A119" s="124" t="s">
        <v>1652</v>
      </c>
      <c r="B119" s="107"/>
      <c r="C119" s="107"/>
      <c r="D119" s="90">
        <f>10000*6.9%*90/360</f>
        <v>172.50000000000003</v>
      </c>
      <c r="E119" s="90"/>
      <c r="F119" s="90"/>
      <c r="G119" s="90">
        <f>10000*6.9%*180/360</f>
        <v>345.00000000000006</v>
      </c>
      <c r="H119" s="90"/>
      <c r="I119" s="90"/>
      <c r="J119" s="90">
        <f>10000*6.9%*270/360</f>
        <v>517.50000000000011</v>
      </c>
      <c r="K119" s="90"/>
      <c r="L119" s="90"/>
      <c r="M119" s="90">
        <f>10000*6.9%*360/360</f>
        <v>690.00000000000011</v>
      </c>
      <c r="N119" s="107"/>
      <c r="AA119" s="107"/>
      <c r="AN119" s="107"/>
    </row>
    <row r="120" spans="1:43" x14ac:dyDescent="0.3">
      <c r="A120" s="124" t="s">
        <v>1653</v>
      </c>
      <c r="B120" s="107"/>
      <c r="C120" s="107"/>
      <c r="D120" s="90">
        <v>2198</v>
      </c>
      <c r="E120" s="90"/>
      <c r="F120" s="90"/>
      <c r="G120" s="90">
        <v>4252</v>
      </c>
      <c r="H120" s="90"/>
      <c r="I120" s="90"/>
      <c r="J120" s="90">
        <v>5828.4567561192807</v>
      </c>
      <c r="K120" s="90"/>
      <c r="L120" s="90"/>
      <c r="M120" s="90">
        <v>7407.9895589995813</v>
      </c>
      <c r="N120" s="107"/>
      <c r="AA120" s="107"/>
      <c r="AN120" s="107"/>
    </row>
    <row r="121" spans="1:43" x14ac:dyDescent="0.3">
      <c r="A121" s="124" t="s">
        <v>1654</v>
      </c>
      <c r="B121" s="107"/>
      <c r="C121" s="107"/>
      <c r="D121" s="90">
        <v>1348</v>
      </c>
      <c r="E121" s="90"/>
      <c r="F121" s="90"/>
      <c r="G121" s="90">
        <v>3013</v>
      </c>
      <c r="H121" s="90"/>
      <c r="I121" s="90"/>
      <c r="J121" s="90">
        <v>5383</v>
      </c>
      <c r="K121" s="90"/>
      <c r="L121" s="90"/>
      <c r="M121" s="90">
        <f>7052+((75000+12800)*8.47%*30/360)</f>
        <v>7671.7216666666664</v>
      </c>
      <c r="N121" s="107"/>
      <c r="AA121" s="107"/>
      <c r="AN121" s="107"/>
    </row>
    <row r="122" spans="1:43" x14ac:dyDescent="0.3">
      <c r="A122" s="71" t="s">
        <v>1655</v>
      </c>
      <c r="B122" s="107"/>
      <c r="C122" s="107"/>
      <c r="D122" s="111">
        <f>D100/(D117+D118)</f>
        <v>0.82509596363549054</v>
      </c>
      <c r="E122" s="111"/>
      <c r="F122" s="111"/>
      <c r="G122" s="111">
        <f>G100/(G117+G118)</f>
        <v>1.2249091630085973</v>
      </c>
      <c r="H122" s="111"/>
      <c r="I122" s="111"/>
      <c r="J122" s="111">
        <f>J100/(J117+J118)</f>
        <v>1.4672284818588222</v>
      </c>
      <c r="K122" s="111"/>
      <c r="L122" s="111"/>
      <c r="M122" s="111">
        <f>M100/(M117+M118)</f>
        <v>1.6009742194699021</v>
      </c>
      <c r="N122" s="107"/>
      <c r="AA122" s="107"/>
      <c r="AN122" s="107"/>
    </row>
    <row r="123" spans="1:43" x14ac:dyDescent="0.3">
      <c r="A123" s="8" t="s">
        <v>1656</v>
      </c>
      <c r="B123" s="107"/>
      <c r="C123" s="107"/>
      <c r="D123" s="111">
        <v>1</v>
      </c>
      <c r="E123" s="111"/>
      <c r="F123" s="111"/>
      <c r="G123" s="111">
        <v>1.25</v>
      </c>
      <c r="H123" s="111"/>
      <c r="I123" s="111"/>
      <c r="J123" s="111">
        <v>1.25</v>
      </c>
      <c r="K123" s="111"/>
      <c r="L123" s="111"/>
      <c r="M123" s="111">
        <v>1.25</v>
      </c>
      <c r="N123" s="107"/>
      <c r="AA123" s="107"/>
      <c r="AN123" s="107"/>
    </row>
    <row r="124" spans="1:43" ht="18" x14ac:dyDescent="0.35">
      <c r="A124" s="81" t="s">
        <v>1657</v>
      </c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3"/>
      <c r="AB124" s="98"/>
      <c r="AC124" s="98"/>
      <c r="AD124" s="98"/>
      <c r="AE124" s="98"/>
      <c r="AF124" s="98"/>
      <c r="AG124" s="98"/>
      <c r="AH124" s="98"/>
      <c r="AI124" s="98"/>
      <c r="AJ124" s="98"/>
      <c r="AK124" s="98"/>
      <c r="AL124" s="98"/>
      <c r="AM124" s="98"/>
      <c r="AN124" s="93"/>
      <c r="AO124" s="91"/>
      <c r="AP124" s="91"/>
    </row>
    <row r="125" spans="1:43" x14ac:dyDescent="0.3">
      <c r="A125" s="70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3"/>
      <c r="AB125" s="98"/>
      <c r="AC125" s="98"/>
      <c r="AD125" s="98"/>
      <c r="AE125" s="98"/>
      <c r="AF125" s="98"/>
      <c r="AG125" s="98"/>
      <c r="AH125" s="98"/>
      <c r="AI125" s="98"/>
      <c r="AJ125" s="98"/>
      <c r="AK125" s="98"/>
      <c r="AL125" s="98"/>
      <c r="AM125" s="98"/>
      <c r="AN125" s="93"/>
      <c r="AO125" s="87"/>
      <c r="AP125" s="87"/>
    </row>
    <row r="126" spans="1:43" ht="15.6" x14ac:dyDescent="0.3">
      <c r="A126" s="88" t="s">
        <v>1658</v>
      </c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AA126" s="107"/>
      <c r="AN126" s="107"/>
    </row>
    <row r="127" spans="1:43" x14ac:dyDescent="0.3">
      <c r="A127" s="4" t="s">
        <v>1633</v>
      </c>
      <c r="B127" s="153">
        <v>24000000</v>
      </c>
      <c r="C127" s="153">
        <v>24000000</v>
      </c>
      <c r="D127" s="153">
        <v>24000000</v>
      </c>
      <c r="E127" s="153">
        <v>24000000</v>
      </c>
      <c r="F127" s="153">
        <v>24000000</v>
      </c>
      <c r="G127" s="153">
        <v>24000000</v>
      </c>
      <c r="H127" s="153">
        <v>24000000</v>
      </c>
      <c r="I127" s="153">
        <v>24000000</v>
      </c>
      <c r="J127" s="153">
        <v>24000000</v>
      </c>
      <c r="K127" s="153">
        <v>24000000</v>
      </c>
      <c r="L127" s="153">
        <v>24000000</v>
      </c>
      <c r="M127" s="153">
        <v>24000000</v>
      </c>
      <c r="N127" s="153">
        <v>24000000</v>
      </c>
      <c r="O127" s="236"/>
      <c r="P127" s="236"/>
      <c r="Q127" s="236"/>
      <c r="R127" s="236"/>
      <c r="S127" s="236"/>
      <c r="T127" s="236"/>
      <c r="U127" s="236"/>
      <c r="V127" s="236"/>
      <c r="W127" s="236"/>
      <c r="X127" s="236"/>
      <c r="Y127" s="236"/>
      <c r="Z127" s="236"/>
      <c r="AA127" s="153">
        <v>24000000</v>
      </c>
      <c r="AB127" s="236"/>
      <c r="AC127" s="236"/>
      <c r="AD127" s="236"/>
      <c r="AE127" s="236"/>
      <c r="AF127" s="236"/>
      <c r="AG127" s="236"/>
      <c r="AH127" s="236"/>
      <c r="AI127" s="236"/>
      <c r="AJ127" s="236"/>
      <c r="AK127" s="236"/>
      <c r="AL127" s="236"/>
      <c r="AM127" s="236"/>
      <c r="AN127" s="153">
        <v>24000000</v>
      </c>
      <c r="AO127" s="91"/>
      <c r="AP127" s="91"/>
      <c r="AQ127" s="2">
        <f>B127</f>
        <v>24000000</v>
      </c>
    </row>
    <row r="128" spans="1:43" x14ac:dyDescent="0.3">
      <c r="A128" s="71" t="s">
        <v>1659</v>
      </c>
      <c r="B128" s="100">
        <f>+B130-B127+B129</f>
        <v>7021309.3899999997</v>
      </c>
      <c r="C128" s="100">
        <f t="shared" ref="C128:N128" si="91">+C130-C127+C129</f>
        <v>6015156.4000000004</v>
      </c>
      <c r="D128" s="100">
        <f t="shared" si="91"/>
        <v>5001313.3499999996</v>
      </c>
      <c r="E128" s="100">
        <f t="shared" si="91"/>
        <v>6747553.1200000001</v>
      </c>
      <c r="F128" s="100">
        <f t="shared" si="91"/>
        <v>9012876.0499999989</v>
      </c>
      <c r="G128" s="100">
        <f t="shared" si="91"/>
        <v>7262528.1799999997</v>
      </c>
      <c r="H128" s="100">
        <f t="shared" si="91"/>
        <v>10160675.45999999</v>
      </c>
      <c r="I128" s="100">
        <f t="shared" ca="1" si="91"/>
        <v>11742138.746890638</v>
      </c>
      <c r="J128" s="100">
        <f t="shared" ca="1" si="91"/>
        <v>10489663.151934197</v>
      </c>
      <c r="K128" s="100">
        <f t="shared" ca="1" si="91"/>
        <v>10119141.892560793</v>
      </c>
      <c r="L128" s="100">
        <f t="shared" ca="1" si="91"/>
        <v>9023722.1765729114</v>
      </c>
      <c r="M128" s="100">
        <f t="shared" si="91"/>
        <v>9812380.4773749113</v>
      </c>
      <c r="N128" s="100">
        <f t="shared" ca="1" si="91"/>
        <v>102408458.39533344</v>
      </c>
      <c r="O128" s="239"/>
      <c r="P128" s="239"/>
      <c r="Q128" s="239"/>
      <c r="R128" s="239"/>
      <c r="S128" s="239"/>
      <c r="T128" s="239"/>
      <c r="U128" s="239"/>
      <c r="V128" s="239"/>
      <c r="W128" s="239"/>
      <c r="X128" s="239"/>
      <c r="Y128" s="239"/>
      <c r="Z128" s="239"/>
      <c r="AA128" s="100">
        <f t="shared" ref="AA128" ca="1" si="92">+AA130-AA127+AA129</f>
        <v>135335848.30714178</v>
      </c>
      <c r="AB128" s="239"/>
      <c r="AC128" s="239"/>
      <c r="AD128" s="239"/>
      <c r="AE128" s="239"/>
      <c r="AF128" s="239"/>
      <c r="AG128" s="239"/>
      <c r="AH128" s="239"/>
      <c r="AI128" s="239"/>
      <c r="AJ128" s="239"/>
      <c r="AK128" s="239"/>
      <c r="AL128" s="239"/>
      <c r="AM128" s="239"/>
      <c r="AN128" s="100">
        <f t="shared" ref="AN128" ca="1" si="93">+AN130-AN127+AN129</f>
        <v>166849998.85944694</v>
      </c>
      <c r="AO128" s="125"/>
      <c r="AP128" s="125"/>
      <c r="AQ128" s="95">
        <f ca="1">SUM(B128,C128,D128,E128,F128,G128,H128,I128,J128,K128,L128,M128)</f>
        <v>102408458.39533344</v>
      </c>
    </row>
    <row r="129" spans="1:44" x14ac:dyDescent="0.3">
      <c r="A129" s="71" t="s">
        <v>1660</v>
      </c>
      <c r="B129" s="114">
        <f>+B159</f>
        <v>7021309.3899999997</v>
      </c>
      <c r="C129" s="114">
        <f t="shared" ref="C129:N129" si="94">+C159</f>
        <v>6015156.4000000004</v>
      </c>
      <c r="D129" s="114">
        <f t="shared" si="94"/>
        <v>5001313.3499999996</v>
      </c>
      <c r="E129" s="114">
        <f t="shared" si="94"/>
        <v>6747553.1200000001</v>
      </c>
      <c r="F129" s="114">
        <f t="shared" si="94"/>
        <v>9012876.0499999989</v>
      </c>
      <c r="G129" s="114">
        <f t="shared" si="94"/>
        <v>7262528.1799999997</v>
      </c>
      <c r="H129" s="114">
        <f t="shared" si="94"/>
        <v>10160675.45999999</v>
      </c>
      <c r="I129" s="114">
        <f t="shared" ca="1" si="94"/>
        <v>11742138.746890638</v>
      </c>
      <c r="J129" s="114">
        <f t="shared" ca="1" si="94"/>
        <v>10489663.151934197</v>
      </c>
      <c r="K129" s="114">
        <f t="shared" ca="1" si="94"/>
        <v>10119141.892560793</v>
      </c>
      <c r="L129" s="114">
        <f t="shared" ca="1" si="94"/>
        <v>9023722.1765729114</v>
      </c>
      <c r="M129" s="114">
        <f t="shared" si="94"/>
        <v>9812380.4773749113</v>
      </c>
      <c r="N129" s="114">
        <f t="shared" ca="1" si="94"/>
        <v>102408458.39533344</v>
      </c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14">
        <f t="shared" ref="AA129" ca="1" si="95">+AA159</f>
        <v>135335848.30714178</v>
      </c>
      <c r="AB129" s="125"/>
      <c r="AC129" s="125"/>
      <c r="AD129" s="125"/>
      <c r="AE129" s="125"/>
      <c r="AF129" s="125"/>
      <c r="AG129" s="125"/>
      <c r="AH129" s="125"/>
      <c r="AI129" s="125"/>
      <c r="AJ129" s="125"/>
      <c r="AK129" s="125"/>
      <c r="AL129" s="125"/>
      <c r="AM129" s="125"/>
      <c r="AN129" s="114">
        <f t="shared" ref="AN129" ca="1" si="96">+AN159</f>
        <v>166849998.85944694</v>
      </c>
      <c r="AO129" s="125"/>
      <c r="AP129" s="125"/>
      <c r="AQ129" s="95">
        <f ca="1">SUM(B129,C129,D129,E129,F129,G129,H129,I129,J129,K129,L129,M129)</f>
        <v>102408458.39533344</v>
      </c>
    </row>
    <row r="130" spans="1:44" x14ac:dyDescent="0.3">
      <c r="A130" s="4" t="s">
        <v>1661</v>
      </c>
      <c r="B130" s="153">
        <v>24000000</v>
      </c>
      <c r="C130" s="153">
        <v>24000000</v>
      </c>
      <c r="D130" s="153">
        <v>24000000</v>
      </c>
      <c r="E130" s="153">
        <v>24000000</v>
      </c>
      <c r="F130" s="153">
        <v>24000000</v>
      </c>
      <c r="G130" s="153">
        <v>24000000</v>
      </c>
      <c r="H130" s="153">
        <v>24000000</v>
      </c>
      <c r="I130" s="153">
        <v>24000000</v>
      </c>
      <c r="J130" s="153">
        <v>24000000</v>
      </c>
      <c r="K130" s="153">
        <v>24000000</v>
      </c>
      <c r="L130" s="153">
        <v>24000000</v>
      </c>
      <c r="M130" s="153">
        <v>24000000</v>
      </c>
      <c r="N130" s="153">
        <v>24000000</v>
      </c>
      <c r="O130" s="236"/>
      <c r="P130" s="236"/>
      <c r="Q130" s="236"/>
      <c r="R130" s="236"/>
      <c r="S130" s="236"/>
      <c r="T130" s="236"/>
      <c r="U130" s="236"/>
      <c r="V130" s="236"/>
      <c r="W130" s="236"/>
      <c r="X130" s="236"/>
      <c r="Y130" s="236"/>
      <c r="Z130" s="236"/>
      <c r="AA130" s="153">
        <v>24000000</v>
      </c>
      <c r="AB130" s="236"/>
      <c r="AC130" s="236"/>
      <c r="AD130" s="236"/>
      <c r="AE130" s="236"/>
      <c r="AF130" s="236"/>
      <c r="AG130" s="236"/>
      <c r="AH130" s="236"/>
      <c r="AI130" s="236"/>
      <c r="AJ130" s="236"/>
      <c r="AK130" s="236"/>
      <c r="AL130" s="236"/>
      <c r="AM130" s="236"/>
      <c r="AN130" s="153">
        <v>24000000</v>
      </c>
      <c r="AO130" s="91"/>
      <c r="AP130" s="91"/>
      <c r="AQ130" s="2">
        <f>M130</f>
        <v>24000000</v>
      </c>
      <c r="AR130" s="2">
        <f>AQ130-AQ127</f>
        <v>0</v>
      </c>
    </row>
    <row r="131" spans="1:44" x14ac:dyDescent="0.3">
      <c r="A131" s="70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3"/>
      <c r="AB131" s="98"/>
      <c r="AC131" s="98"/>
      <c r="AD131" s="98"/>
      <c r="AE131" s="98"/>
      <c r="AF131" s="98"/>
      <c r="AG131" s="98"/>
      <c r="AH131" s="98"/>
      <c r="AI131" s="98"/>
      <c r="AJ131" s="98"/>
      <c r="AK131" s="98"/>
      <c r="AL131" s="98"/>
      <c r="AM131" s="98"/>
      <c r="AN131" s="93"/>
      <c r="AO131" s="87"/>
      <c r="AP131" s="87"/>
    </row>
    <row r="132" spans="1:44" ht="15.6" x14ac:dyDescent="0.3">
      <c r="A132" s="88" t="s">
        <v>1662</v>
      </c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AA132" s="107"/>
      <c r="AN132" s="107"/>
      <c r="AQ132" s="2"/>
    </row>
    <row r="133" spans="1:44" x14ac:dyDescent="0.3">
      <c r="A133" s="4" t="s">
        <v>1633</v>
      </c>
      <c r="B133" s="153">
        <v>24000000</v>
      </c>
      <c r="C133" s="153">
        <v>24000000</v>
      </c>
      <c r="D133" s="153">
        <v>24000000</v>
      </c>
      <c r="E133" s="153">
        <v>24000000</v>
      </c>
      <c r="F133" s="153">
        <v>24000000</v>
      </c>
      <c r="G133" s="153">
        <v>24000000</v>
      </c>
      <c r="H133" s="153">
        <v>24000000</v>
      </c>
      <c r="I133" s="153">
        <v>24000000</v>
      </c>
      <c r="J133" s="153">
        <v>24000000</v>
      </c>
      <c r="K133" s="153">
        <v>24000000</v>
      </c>
      <c r="L133" s="153">
        <v>24000000</v>
      </c>
      <c r="M133" s="153">
        <v>24000000</v>
      </c>
      <c r="N133" s="153">
        <v>24000000</v>
      </c>
      <c r="O133" s="236"/>
      <c r="P133" s="236"/>
      <c r="Q133" s="236"/>
      <c r="R133" s="236"/>
      <c r="S133" s="236"/>
      <c r="T133" s="236"/>
      <c r="U133" s="236"/>
      <c r="V133" s="236"/>
      <c r="W133" s="236"/>
      <c r="X133" s="236"/>
      <c r="Y133" s="236"/>
      <c r="Z133" s="236"/>
      <c r="AA133" s="153">
        <v>24000000</v>
      </c>
      <c r="AB133" s="236"/>
      <c r="AC133" s="236"/>
      <c r="AD133" s="236"/>
      <c r="AE133" s="236"/>
      <c r="AF133" s="236"/>
      <c r="AG133" s="236"/>
      <c r="AH133" s="236"/>
      <c r="AI133" s="236"/>
      <c r="AJ133" s="236"/>
      <c r="AK133" s="236"/>
      <c r="AL133" s="236"/>
      <c r="AM133" s="236"/>
      <c r="AN133" s="153">
        <v>24000000</v>
      </c>
      <c r="AO133" s="91"/>
      <c r="AP133" s="91"/>
      <c r="AQ133" s="2">
        <f>B133</f>
        <v>24000000</v>
      </c>
    </row>
    <row r="134" spans="1:44" x14ac:dyDescent="0.3">
      <c r="A134" s="71" t="s">
        <v>1616</v>
      </c>
      <c r="B134" s="114"/>
      <c r="C134" s="90"/>
      <c r="D134" s="90"/>
      <c r="E134" s="90">
        <f t="shared" ref="E134:N134" si="97">+E158</f>
        <v>17246356.18</v>
      </c>
      <c r="F134" s="90">
        <f t="shared" si="97"/>
        <v>20772285.369999986</v>
      </c>
      <c r="G134" s="90">
        <f t="shared" si="97"/>
        <v>17309214.289999992</v>
      </c>
      <c r="H134" s="90">
        <f t="shared" si="97"/>
        <v>23238748.510000002</v>
      </c>
      <c r="I134" s="90">
        <f t="shared" ca="1" si="97"/>
        <v>24962217.428338554</v>
      </c>
      <c r="J134" s="90">
        <f t="shared" ca="1" si="97"/>
        <v>22430779.296785343</v>
      </c>
      <c r="K134" s="90">
        <f t="shared" ca="1" si="97"/>
        <v>22172290.121319547</v>
      </c>
      <c r="L134" s="90">
        <f t="shared" ca="1" si="97"/>
        <v>19840529.722359784</v>
      </c>
      <c r="M134" s="90">
        <f t="shared" si="97"/>
        <v>21356585.302559786</v>
      </c>
      <c r="N134" s="90">
        <f t="shared" ca="1" si="97"/>
        <v>235453665.61136299</v>
      </c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90">
        <f t="shared" ref="AA134" ca="1" si="98">+AA158</f>
        <v>296348298.23670375</v>
      </c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90">
        <f t="shared" ref="AN134" ca="1" si="99">+AN158</f>
        <v>367785404.69272739</v>
      </c>
      <c r="AO134" s="125"/>
      <c r="AP134" s="125"/>
      <c r="AQ134" s="95">
        <f ca="1">SUM(B134,C134,D134,E134,F134,G134,H134,I134,J134,K134,L134,M134)</f>
        <v>189329006.22136301</v>
      </c>
    </row>
    <row r="135" spans="1:44" x14ac:dyDescent="0.3">
      <c r="A135" s="71" t="s">
        <v>1663</v>
      </c>
      <c r="B135" s="114"/>
      <c r="C135" s="90"/>
      <c r="D135" s="90"/>
      <c r="E135" s="90">
        <f t="shared" ref="E135:N135" si="100">E133+E134-E136</f>
        <v>17246356.18</v>
      </c>
      <c r="F135" s="90">
        <f t="shared" si="100"/>
        <v>20772285.36999999</v>
      </c>
      <c r="G135" s="90">
        <f t="shared" si="100"/>
        <v>17309214.289999992</v>
      </c>
      <c r="H135" s="90">
        <f t="shared" si="100"/>
        <v>23238748.510000005</v>
      </c>
      <c r="I135" s="90">
        <f t="shared" ca="1" si="100"/>
        <v>24962217.428338557</v>
      </c>
      <c r="J135" s="90">
        <f t="shared" ca="1" si="100"/>
        <v>22430779.29678534</v>
      </c>
      <c r="K135" s="90">
        <f t="shared" ca="1" si="100"/>
        <v>22172290.121319547</v>
      </c>
      <c r="L135" s="90">
        <f t="shared" ca="1" si="100"/>
        <v>19840529.722359784</v>
      </c>
      <c r="M135" s="90">
        <f t="shared" si="100"/>
        <v>21356585.302559786</v>
      </c>
      <c r="N135" s="90">
        <f t="shared" ca="1" si="100"/>
        <v>235453665.61136299</v>
      </c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90">
        <f t="shared" ref="AA135" ca="1" si="101">AA133+AA134-AA136</f>
        <v>296348298.23670375</v>
      </c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90">
        <f t="shared" ref="AN135" ca="1" si="102">AN133+AN134-AN136</f>
        <v>367785404.69272739</v>
      </c>
      <c r="AO135" s="125"/>
      <c r="AP135" s="125"/>
      <c r="AQ135" s="95">
        <f ca="1">SUM(B135,C135,D135,E135,F135,G135,H135,I135,J135,K135,L135,M135)</f>
        <v>189329006.22136301</v>
      </c>
    </row>
    <row r="136" spans="1:44" x14ac:dyDescent="0.3">
      <c r="A136" s="4" t="s">
        <v>1664</v>
      </c>
      <c r="B136" s="153">
        <v>24000000</v>
      </c>
      <c r="C136" s="153">
        <v>24000000</v>
      </c>
      <c r="D136" s="153">
        <v>24000000</v>
      </c>
      <c r="E136" s="153">
        <v>24000000</v>
      </c>
      <c r="F136" s="153">
        <v>24000000</v>
      </c>
      <c r="G136" s="153">
        <v>24000000</v>
      </c>
      <c r="H136" s="153">
        <v>24000000</v>
      </c>
      <c r="I136" s="153">
        <v>24000000</v>
      </c>
      <c r="J136" s="153">
        <v>24000000</v>
      </c>
      <c r="K136" s="153">
        <v>24000000</v>
      </c>
      <c r="L136" s="153">
        <v>24000000</v>
      </c>
      <c r="M136" s="153">
        <v>24000000</v>
      </c>
      <c r="N136" s="153">
        <v>24000000</v>
      </c>
      <c r="O136" s="236"/>
      <c r="P136" s="236"/>
      <c r="Q136" s="236"/>
      <c r="R136" s="236"/>
      <c r="S136" s="236"/>
      <c r="T136" s="236"/>
      <c r="U136" s="236"/>
      <c r="V136" s="236"/>
      <c r="W136" s="236"/>
      <c r="X136" s="236"/>
      <c r="Y136" s="236"/>
      <c r="Z136" s="236"/>
      <c r="AA136" s="153">
        <v>24000000</v>
      </c>
      <c r="AB136" s="236"/>
      <c r="AC136" s="236"/>
      <c r="AD136" s="236"/>
      <c r="AE136" s="236"/>
      <c r="AF136" s="236"/>
      <c r="AG136" s="236"/>
      <c r="AH136" s="236"/>
      <c r="AI136" s="236"/>
      <c r="AJ136" s="236"/>
      <c r="AK136" s="236"/>
      <c r="AL136" s="236"/>
      <c r="AM136" s="236"/>
      <c r="AN136" s="153">
        <v>24000000</v>
      </c>
      <c r="AO136" s="91"/>
      <c r="AP136" s="91"/>
      <c r="AQ136" s="2">
        <f>M136</f>
        <v>24000000</v>
      </c>
      <c r="AR136" s="2">
        <f>AQ136-AQ133</f>
        <v>0</v>
      </c>
    </row>
    <row r="137" spans="1:44" x14ac:dyDescent="0.3">
      <c r="A137" s="70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3"/>
      <c r="AB137" s="98"/>
      <c r="AC137" s="98"/>
      <c r="AD137" s="98"/>
      <c r="AE137" s="98"/>
      <c r="AF137" s="98"/>
      <c r="AG137" s="98"/>
      <c r="AH137" s="98"/>
      <c r="AI137" s="98"/>
      <c r="AJ137" s="98"/>
      <c r="AK137" s="98"/>
      <c r="AL137" s="98"/>
      <c r="AM137" s="98"/>
      <c r="AN137" s="93"/>
      <c r="AO137" s="87"/>
      <c r="AP137" s="87"/>
      <c r="AQ137" s="2"/>
    </row>
    <row r="138" spans="1:44" ht="15.6" x14ac:dyDescent="0.3">
      <c r="A138" s="88" t="s">
        <v>1665</v>
      </c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9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90"/>
      <c r="AO138" s="125"/>
      <c r="AP138" s="125"/>
    </row>
    <row r="139" spans="1:44" x14ac:dyDescent="0.3">
      <c r="A139" s="4" t="s">
        <v>1633</v>
      </c>
      <c r="B139" s="89">
        <v>16000000</v>
      </c>
      <c r="C139" s="89">
        <v>16000000</v>
      </c>
      <c r="D139" s="89">
        <v>16000000</v>
      </c>
      <c r="E139" s="89">
        <v>16000000</v>
      </c>
      <c r="F139" s="89">
        <v>16000000</v>
      </c>
      <c r="G139" s="89">
        <v>16000000</v>
      </c>
      <c r="H139" s="89">
        <v>16000000</v>
      </c>
      <c r="I139" s="89">
        <v>16000000</v>
      </c>
      <c r="J139" s="89">
        <v>16000000</v>
      </c>
      <c r="K139" s="89">
        <v>16000000</v>
      </c>
      <c r="L139" s="89">
        <v>16000000</v>
      </c>
      <c r="M139" s="89">
        <v>16000000</v>
      </c>
      <c r="N139" s="89">
        <v>16000000</v>
      </c>
      <c r="O139" s="237"/>
      <c r="P139" s="237"/>
      <c r="Q139" s="237"/>
      <c r="R139" s="237"/>
      <c r="S139" s="237"/>
      <c r="T139" s="237"/>
      <c r="U139" s="237"/>
      <c r="V139" s="237"/>
      <c r="W139" s="237"/>
      <c r="X139" s="237"/>
      <c r="Y139" s="237"/>
      <c r="Z139" s="237"/>
      <c r="AA139" s="89">
        <v>16000000</v>
      </c>
      <c r="AB139" s="237"/>
      <c r="AC139" s="237"/>
      <c r="AD139" s="237"/>
      <c r="AE139" s="237"/>
      <c r="AF139" s="237"/>
      <c r="AG139" s="237"/>
      <c r="AH139" s="237"/>
      <c r="AI139" s="237"/>
      <c r="AJ139" s="237"/>
      <c r="AK139" s="237"/>
      <c r="AL139" s="237"/>
      <c r="AM139" s="237"/>
      <c r="AN139" s="89">
        <v>16000000</v>
      </c>
      <c r="AO139" s="91"/>
      <c r="AP139" s="91"/>
      <c r="AQ139" s="2">
        <f>B139</f>
        <v>16000000</v>
      </c>
    </row>
    <row r="140" spans="1:44" x14ac:dyDescent="0.3">
      <c r="A140" s="71" t="s">
        <v>1659</v>
      </c>
      <c r="B140" s="114">
        <f>B128</f>
        <v>7021309.3899999997</v>
      </c>
      <c r="C140" s="90">
        <f t="shared" ref="C140:N140" si="103">C128</f>
        <v>6015156.4000000004</v>
      </c>
      <c r="D140" s="90">
        <f t="shared" si="103"/>
        <v>5001313.3499999996</v>
      </c>
      <c r="E140" s="90">
        <f t="shared" si="103"/>
        <v>6747553.1200000001</v>
      </c>
      <c r="F140" s="90">
        <f t="shared" si="103"/>
        <v>9012876.0499999989</v>
      </c>
      <c r="G140" s="90">
        <f t="shared" si="103"/>
        <v>7262528.1799999997</v>
      </c>
      <c r="H140" s="90">
        <f t="shared" si="103"/>
        <v>10160675.45999999</v>
      </c>
      <c r="I140" s="90">
        <f t="shared" ca="1" si="103"/>
        <v>11742138.746890638</v>
      </c>
      <c r="J140" s="90">
        <f t="shared" ca="1" si="103"/>
        <v>10489663.151934197</v>
      </c>
      <c r="K140" s="90">
        <f t="shared" ca="1" si="103"/>
        <v>10119141.892560793</v>
      </c>
      <c r="L140" s="90">
        <f t="shared" ca="1" si="103"/>
        <v>9023722.1765729114</v>
      </c>
      <c r="M140" s="90">
        <f t="shared" si="103"/>
        <v>9812380.4773749113</v>
      </c>
      <c r="N140" s="90">
        <f t="shared" ca="1" si="103"/>
        <v>102408458.39533344</v>
      </c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90">
        <f t="shared" ref="AA140" ca="1" si="104">AA128</f>
        <v>135335848.30714178</v>
      </c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90">
        <f t="shared" ref="AN140" ca="1" si="105">AN128</f>
        <v>166849998.85944694</v>
      </c>
      <c r="AO140" s="125"/>
      <c r="AP140" s="125"/>
      <c r="AQ140" s="95">
        <f ca="1">SUM(B140,C140,D140,E140,F140,G140,H140,I140,J140,K140,L140,M140)</f>
        <v>102408458.39533344</v>
      </c>
    </row>
    <row r="141" spans="1:44" x14ac:dyDescent="0.3">
      <c r="A141" s="71" t="s">
        <v>1666</v>
      </c>
      <c r="B141" s="90">
        <f>B139+B140-B142</f>
        <v>7021309.3900000006</v>
      </c>
      <c r="C141" s="90">
        <f t="shared" ref="C141:N141" si="106">C139+C140-C142</f>
        <v>6015156.3999999985</v>
      </c>
      <c r="D141" s="90">
        <f t="shared" si="106"/>
        <v>5001313.3500000015</v>
      </c>
      <c r="E141" s="90">
        <f t="shared" si="106"/>
        <v>6747553.120000001</v>
      </c>
      <c r="F141" s="90">
        <f t="shared" si="106"/>
        <v>9012876.049999997</v>
      </c>
      <c r="G141" s="90">
        <f t="shared" si="106"/>
        <v>7262528.1799999997</v>
      </c>
      <c r="H141" s="90">
        <f t="shared" si="106"/>
        <v>10160675.45999999</v>
      </c>
      <c r="I141" s="90">
        <f t="shared" ca="1" si="106"/>
        <v>11742138.746890638</v>
      </c>
      <c r="J141" s="90">
        <f t="shared" ca="1" si="106"/>
        <v>10489663.151934199</v>
      </c>
      <c r="K141" s="90">
        <f t="shared" ca="1" si="106"/>
        <v>10119141.892560795</v>
      </c>
      <c r="L141" s="90">
        <f t="shared" ca="1" si="106"/>
        <v>9023722.1765729114</v>
      </c>
      <c r="M141" s="90">
        <f t="shared" si="106"/>
        <v>9812380.4773749113</v>
      </c>
      <c r="N141" s="90">
        <f t="shared" ca="1" si="106"/>
        <v>102408458.39533344</v>
      </c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90">
        <f t="shared" ref="AA141" ca="1" si="107">AA139+AA140-AA142</f>
        <v>135335848.30714178</v>
      </c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90">
        <f t="shared" ref="AN141" ca="1" si="108">AN139+AN140-AN142</f>
        <v>166849998.85944694</v>
      </c>
      <c r="AO141" s="125"/>
      <c r="AP141" s="125"/>
      <c r="AQ141" s="95">
        <f ca="1">SUM(B141,C141,D141,E141,F141,G141,H141,I141,J141,K141,L141,M141)</f>
        <v>102408458.39533344</v>
      </c>
    </row>
    <row r="142" spans="1:44" x14ac:dyDescent="0.3">
      <c r="A142" s="4" t="s">
        <v>1667</v>
      </c>
      <c r="B142" s="89">
        <v>16000000</v>
      </c>
      <c r="C142" s="89">
        <v>16000000</v>
      </c>
      <c r="D142" s="89">
        <v>16000000</v>
      </c>
      <c r="E142" s="89">
        <v>16000000</v>
      </c>
      <c r="F142" s="89">
        <v>16000000</v>
      </c>
      <c r="G142" s="89">
        <v>16000000</v>
      </c>
      <c r="H142" s="89">
        <v>16000000</v>
      </c>
      <c r="I142" s="89">
        <v>16000000</v>
      </c>
      <c r="J142" s="89">
        <v>16000000</v>
      </c>
      <c r="K142" s="89">
        <v>16000000</v>
      </c>
      <c r="L142" s="89">
        <v>16000000</v>
      </c>
      <c r="M142" s="89">
        <v>16000000</v>
      </c>
      <c r="N142" s="89">
        <v>16000000</v>
      </c>
      <c r="O142" s="237"/>
      <c r="P142" s="237"/>
      <c r="Q142" s="237"/>
      <c r="R142" s="237"/>
      <c r="S142" s="237"/>
      <c r="T142" s="237"/>
      <c r="U142" s="237"/>
      <c r="V142" s="237"/>
      <c r="W142" s="237"/>
      <c r="X142" s="237"/>
      <c r="Y142" s="237"/>
      <c r="Z142" s="237"/>
      <c r="AA142" s="89">
        <v>16000000</v>
      </c>
      <c r="AB142" s="237"/>
      <c r="AC142" s="237"/>
      <c r="AD142" s="237"/>
      <c r="AE142" s="237"/>
      <c r="AF142" s="237"/>
      <c r="AG142" s="237"/>
      <c r="AH142" s="237"/>
      <c r="AI142" s="237"/>
      <c r="AJ142" s="237"/>
      <c r="AK142" s="237"/>
      <c r="AL142" s="237"/>
      <c r="AM142" s="237"/>
      <c r="AN142" s="89">
        <v>16000000</v>
      </c>
      <c r="AO142" s="91"/>
      <c r="AP142" s="91"/>
      <c r="AQ142" s="2">
        <f>M142</f>
        <v>16000000</v>
      </c>
      <c r="AR142" s="2">
        <f>AQ142-AQ139</f>
        <v>0</v>
      </c>
    </row>
    <row r="143" spans="1:44" x14ac:dyDescent="0.3">
      <c r="A143" s="70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3"/>
      <c r="AB143" s="98"/>
      <c r="AC143" s="98"/>
      <c r="AD143" s="98"/>
      <c r="AE143" s="98"/>
      <c r="AF143" s="98"/>
      <c r="AG143" s="98"/>
      <c r="AH143" s="98"/>
      <c r="AI143" s="98"/>
      <c r="AJ143" s="98"/>
      <c r="AK143" s="98"/>
      <c r="AL143" s="98"/>
      <c r="AM143" s="98"/>
      <c r="AN143" s="93"/>
      <c r="AO143" s="87"/>
      <c r="AP143" s="87"/>
    </row>
    <row r="144" spans="1:44" ht="15.6" x14ac:dyDescent="0.3">
      <c r="A144" s="70"/>
      <c r="B144" s="126">
        <f>+B127+B133-B139</f>
        <v>32000000</v>
      </c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>
        <f>+N127+N133-N139</f>
        <v>32000000</v>
      </c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  <c r="AA144" s="126">
        <f>+AA127+AA133-AA139</f>
        <v>32000000</v>
      </c>
      <c r="AB144" s="245"/>
      <c r="AC144" s="245"/>
      <c r="AD144" s="245"/>
      <c r="AE144" s="245"/>
      <c r="AF144" s="245"/>
      <c r="AG144" s="245"/>
      <c r="AH144" s="245"/>
      <c r="AI144" s="245"/>
      <c r="AJ144" s="245"/>
      <c r="AK144" s="245"/>
      <c r="AL144" s="245"/>
      <c r="AM144" s="245"/>
      <c r="AN144" s="126">
        <f>+AN127+AN133-AN139</f>
        <v>32000000</v>
      </c>
      <c r="AO144" s="87"/>
      <c r="AP144" s="87"/>
      <c r="AQ144" s="2"/>
    </row>
    <row r="145" spans="1:44" ht="15.6" x14ac:dyDescent="0.3">
      <c r="A145" s="72" t="s">
        <v>1668</v>
      </c>
      <c r="B145" s="126">
        <f t="shared" ref="B145:N145" si="109">+B130+B136-B142</f>
        <v>32000000</v>
      </c>
      <c r="C145" s="126">
        <f t="shared" si="109"/>
        <v>32000000</v>
      </c>
      <c r="D145" s="126">
        <f t="shared" si="109"/>
        <v>32000000</v>
      </c>
      <c r="E145" s="126">
        <f t="shared" si="109"/>
        <v>32000000</v>
      </c>
      <c r="F145" s="126">
        <f t="shared" si="109"/>
        <v>32000000</v>
      </c>
      <c r="G145" s="126">
        <f t="shared" si="109"/>
        <v>32000000</v>
      </c>
      <c r="H145" s="126">
        <f t="shared" si="109"/>
        <v>32000000</v>
      </c>
      <c r="I145" s="126">
        <f t="shared" si="109"/>
        <v>32000000</v>
      </c>
      <c r="J145" s="126">
        <f t="shared" si="109"/>
        <v>32000000</v>
      </c>
      <c r="K145" s="126">
        <f t="shared" si="109"/>
        <v>32000000</v>
      </c>
      <c r="L145" s="126">
        <f t="shared" si="109"/>
        <v>32000000</v>
      </c>
      <c r="M145" s="126">
        <f t="shared" si="109"/>
        <v>32000000</v>
      </c>
      <c r="N145" s="126">
        <f t="shared" si="109"/>
        <v>32000000</v>
      </c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  <c r="AA145" s="126">
        <f t="shared" ref="AA145" si="110">+AA130+AA136-AA142</f>
        <v>32000000</v>
      </c>
      <c r="AB145" s="245"/>
      <c r="AC145" s="245"/>
      <c r="AD145" s="245"/>
      <c r="AE145" s="245"/>
      <c r="AF145" s="245"/>
      <c r="AG145" s="245"/>
      <c r="AH145" s="245"/>
      <c r="AI145" s="245"/>
      <c r="AJ145" s="245"/>
      <c r="AK145" s="245"/>
      <c r="AL145" s="245"/>
      <c r="AM145" s="245"/>
      <c r="AN145" s="126">
        <f t="shared" ref="AN145" si="111">+AN130+AN136-AN142</f>
        <v>32000000</v>
      </c>
      <c r="AO145" s="102"/>
      <c r="AP145" s="102"/>
    </row>
    <row r="146" spans="1:44" ht="15.6" x14ac:dyDescent="0.3">
      <c r="A146" s="72" t="s">
        <v>1669</v>
      </c>
      <c r="B146" s="127">
        <f>B145-B144</f>
        <v>0</v>
      </c>
      <c r="C146" s="127">
        <f t="shared" ref="C146:M146" si="112">C145-B145</f>
        <v>0</v>
      </c>
      <c r="D146" s="127">
        <f t="shared" si="112"/>
        <v>0</v>
      </c>
      <c r="E146" s="127">
        <f t="shared" si="112"/>
        <v>0</v>
      </c>
      <c r="F146" s="127">
        <f t="shared" si="112"/>
        <v>0</v>
      </c>
      <c r="G146" s="127">
        <f t="shared" si="112"/>
        <v>0</v>
      </c>
      <c r="H146" s="127">
        <f t="shared" si="112"/>
        <v>0</v>
      </c>
      <c r="I146" s="127">
        <f t="shared" si="112"/>
        <v>0</v>
      </c>
      <c r="J146" s="127">
        <f t="shared" si="112"/>
        <v>0</v>
      </c>
      <c r="K146" s="127">
        <f t="shared" si="112"/>
        <v>0</v>
      </c>
      <c r="L146" s="127">
        <f t="shared" si="112"/>
        <v>0</v>
      </c>
      <c r="M146" s="127">
        <f t="shared" si="112"/>
        <v>0</v>
      </c>
      <c r="N146" s="127">
        <f>N145-B144</f>
        <v>0</v>
      </c>
      <c r="O146" s="246"/>
      <c r="P146" s="246"/>
      <c r="Q146" s="246"/>
      <c r="R146" s="246"/>
      <c r="S146" s="246"/>
      <c r="T146" s="246"/>
      <c r="U146" s="246"/>
      <c r="V146" s="246"/>
      <c r="W146" s="246"/>
      <c r="X146" s="246"/>
      <c r="Y146" s="246"/>
      <c r="Z146" s="246"/>
      <c r="AA146" s="127">
        <f>AA145-O144</f>
        <v>32000000</v>
      </c>
      <c r="AB146" s="246"/>
      <c r="AC146" s="246"/>
      <c r="AD146" s="246"/>
      <c r="AE146" s="246"/>
      <c r="AF146" s="246"/>
      <c r="AG146" s="246"/>
      <c r="AH146" s="246"/>
      <c r="AI146" s="246"/>
      <c r="AJ146" s="246"/>
      <c r="AK146" s="246"/>
      <c r="AL146" s="246"/>
      <c r="AM146" s="246"/>
      <c r="AN146" s="127">
        <f>AN145-AB144</f>
        <v>32000000</v>
      </c>
      <c r="AO146" s="102"/>
      <c r="AP146" s="102"/>
      <c r="AR146" s="127">
        <f>AR130+AR136-AR142</f>
        <v>0</v>
      </c>
    </row>
    <row r="147" spans="1:44" x14ac:dyDescent="0.3">
      <c r="A147" s="70"/>
      <c r="B147" s="93"/>
      <c r="C147" s="93">
        <f t="shared" ref="C147:M147" si="113">B145+C146</f>
        <v>32000000</v>
      </c>
      <c r="D147" s="93">
        <f t="shared" si="113"/>
        <v>32000000</v>
      </c>
      <c r="E147" s="93">
        <f t="shared" si="113"/>
        <v>32000000</v>
      </c>
      <c r="F147" s="93">
        <f t="shared" si="113"/>
        <v>32000000</v>
      </c>
      <c r="G147" s="93">
        <f t="shared" si="113"/>
        <v>32000000</v>
      </c>
      <c r="H147" s="93">
        <f t="shared" si="113"/>
        <v>32000000</v>
      </c>
      <c r="I147" s="93">
        <f t="shared" si="113"/>
        <v>32000000</v>
      </c>
      <c r="J147" s="93">
        <f t="shared" si="113"/>
        <v>32000000</v>
      </c>
      <c r="K147" s="93">
        <f t="shared" si="113"/>
        <v>32000000</v>
      </c>
      <c r="L147" s="93">
        <f t="shared" si="113"/>
        <v>32000000</v>
      </c>
      <c r="M147" s="93">
        <f t="shared" si="113"/>
        <v>32000000</v>
      </c>
      <c r="N147" s="93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3"/>
      <c r="AB147" s="98"/>
      <c r="AC147" s="98"/>
      <c r="AD147" s="98"/>
      <c r="AE147" s="98"/>
      <c r="AF147" s="98"/>
      <c r="AG147" s="98"/>
      <c r="AH147" s="98"/>
      <c r="AI147" s="98"/>
      <c r="AJ147" s="98"/>
      <c r="AK147" s="98"/>
      <c r="AL147" s="98"/>
      <c r="AM147" s="98"/>
      <c r="AN147" s="93"/>
      <c r="AO147" s="87"/>
      <c r="AP147" s="87"/>
    </row>
    <row r="148" spans="1:44" x14ac:dyDescent="0.3">
      <c r="A148" s="71" t="s">
        <v>1670</v>
      </c>
      <c r="B148" s="179">
        <f t="shared" ref="B148:N148" ca="1" si="114">(B130*B3)/($N$156*$N$180/360)</f>
        <v>50202.576444987346</v>
      </c>
      <c r="C148" s="128">
        <f t="shared" ca="1" si="114"/>
        <v>49209.180663091458</v>
      </c>
      <c r="D148" s="128">
        <f t="shared" ca="1" si="114"/>
        <v>48368.429927337282</v>
      </c>
      <c r="E148" s="128">
        <f t="shared" ca="1" si="114"/>
        <v>48312.558097838824</v>
      </c>
      <c r="F148" s="128">
        <f t="shared" ca="1" si="114"/>
        <v>47192.18088526465</v>
      </c>
      <c r="G148" s="128">
        <f t="shared" ca="1" si="114"/>
        <v>45763.305628474161</v>
      </c>
      <c r="H148" s="128">
        <f t="shared" ca="1" si="114"/>
        <v>45445.985716442301</v>
      </c>
      <c r="I148" s="128">
        <f t="shared" ca="1" si="114"/>
        <v>45445.985716442301</v>
      </c>
      <c r="J148" s="128">
        <f t="shared" ca="1" si="114"/>
        <v>45445.985716442301</v>
      </c>
      <c r="K148" s="128">
        <f t="shared" ca="1" si="114"/>
        <v>46782.632355161193</v>
      </c>
      <c r="L148" s="128">
        <f t="shared" ca="1" si="114"/>
        <v>46782.632355161193</v>
      </c>
      <c r="M148" s="128">
        <f t="shared" ca="1" si="114"/>
        <v>46782.632355161193</v>
      </c>
      <c r="N148" s="128">
        <f t="shared" ca="1" si="114"/>
        <v>47144.50715515035</v>
      </c>
      <c r="O148" s="247"/>
      <c r="P148" s="247"/>
      <c r="Q148" s="247"/>
      <c r="R148" s="247"/>
      <c r="S148" s="247"/>
      <c r="T148" s="247"/>
      <c r="U148" s="247"/>
      <c r="V148" s="247"/>
      <c r="W148" s="247"/>
      <c r="X148" s="247"/>
      <c r="Y148" s="247"/>
      <c r="Z148" s="247"/>
      <c r="AA148" s="128">
        <f ca="1">(AA130*AA3)/($N$156*$N$180/360)</f>
        <v>47144.50715515035</v>
      </c>
      <c r="AB148" s="247"/>
      <c r="AC148" s="247"/>
      <c r="AD148" s="247"/>
      <c r="AE148" s="247"/>
      <c r="AF148" s="247"/>
      <c r="AG148" s="247"/>
      <c r="AH148" s="247"/>
      <c r="AI148" s="247"/>
      <c r="AJ148" s="247"/>
      <c r="AK148" s="247"/>
      <c r="AL148" s="247"/>
      <c r="AM148" s="247"/>
      <c r="AN148" s="128">
        <f ca="1">(AN130*AN3)/($N$156*$N$180/360)</f>
        <v>47144.50715515035</v>
      </c>
      <c r="AO148" s="129"/>
      <c r="AP148" s="129"/>
    </row>
    <row r="149" spans="1:44" x14ac:dyDescent="0.3">
      <c r="A149" s="130" t="s">
        <v>1671</v>
      </c>
      <c r="B149" s="131">
        <f>'[2]P&amp;L CONSOLIDADO Mensual'!$AN$44</f>
        <v>121.11864230285606</v>
      </c>
      <c r="C149" s="131">
        <f>'[2]P&amp;L CONSOLIDADO Mensual'!$AN$44</f>
        <v>121.11864230285606</v>
      </c>
      <c r="D149" s="131">
        <f>'[2]P&amp;L CONSOLIDADO Mensual'!$AN$44</f>
        <v>121.11864230285606</v>
      </c>
      <c r="E149" s="131">
        <f>'[2]P&amp;L CONSOLIDADO Mensual'!$AN$44</f>
        <v>121.11864230285606</v>
      </c>
      <c r="F149" s="131">
        <f>'[2]P&amp;L CONSOLIDADO Mensual'!$AN$44</f>
        <v>121.11864230285606</v>
      </c>
      <c r="G149" s="131">
        <f>'[2]P&amp;L CONSOLIDADO Mensual'!$AN$44</f>
        <v>121.11864230285606</v>
      </c>
      <c r="H149" s="131">
        <f>'[2]P&amp;L CONSOLIDADO Mensual'!$AN$44</f>
        <v>121.11864230285606</v>
      </c>
      <c r="I149" s="131">
        <f>'[2]P&amp;L CONSOLIDADO Mensual'!$AN$44</f>
        <v>121.11864230285606</v>
      </c>
      <c r="J149" s="131">
        <f>'[2]P&amp;L CONSOLIDADO Mensual'!$AN$44</f>
        <v>121.11864230285606</v>
      </c>
      <c r="K149" s="131">
        <f>'[2]P&amp;L CONSOLIDADO Mensual'!$AN$44</f>
        <v>121.11864230285606</v>
      </c>
      <c r="L149" s="131">
        <f>'[2]P&amp;L CONSOLIDADO Mensual'!$AN$44</f>
        <v>121.11864230285606</v>
      </c>
      <c r="M149" s="131">
        <f>'[2]P&amp;L CONSOLIDADO Mensual'!$AN$44</f>
        <v>121.11864230285606</v>
      </c>
      <c r="N149" s="131">
        <f>'[2]P&amp;L CONSOLIDADO Mensual'!$AN$44</f>
        <v>121.11864230285606</v>
      </c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  <c r="AA149" s="131">
        <f>'[2]P&amp;L CONSOLIDADO Mensual'!$AN$44</f>
        <v>121.11864230285606</v>
      </c>
      <c r="AB149" s="134"/>
      <c r="AC149" s="134"/>
      <c r="AD149" s="134"/>
      <c r="AE149" s="134"/>
      <c r="AF149" s="134"/>
      <c r="AG149" s="134"/>
      <c r="AH149" s="134"/>
      <c r="AI149" s="134"/>
      <c r="AJ149" s="134"/>
      <c r="AK149" s="134"/>
      <c r="AL149" s="134"/>
      <c r="AM149" s="134"/>
      <c r="AN149" s="131">
        <f>'[2]P&amp;L CONSOLIDADO Mensual'!$AN$44</f>
        <v>121.11864230285606</v>
      </c>
      <c r="AO149" s="129"/>
      <c r="AP149" s="129"/>
    </row>
    <row r="150" spans="1:44" x14ac:dyDescent="0.3">
      <c r="A150" s="71" t="s">
        <v>1672</v>
      </c>
      <c r="B150" s="132">
        <f t="shared" ref="B150:N150" ca="1" si="115">+B148/30</f>
        <v>1673.4192148329116</v>
      </c>
      <c r="C150" s="132">
        <f t="shared" ca="1" si="115"/>
        <v>1640.3060221030487</v>
      </c>
      <c r="D150" s="132">
        <f t="shared" ca="1" si="115"/>
        <v>1612.2809975779094</v>
      </c>
      <c r="E150" s="132">
        <f t="shared" ca="1" si="115"/>
        <v>1610.418603261294</v>
      </c>
      <c r="F150" s="132">
        <f t="shared" ca="1" si="115"/>
        <v>1573.0726961754883</v>
      </c>
      <c r="G150" s="132">
        <f t="shared" ca="1" si="115"/>
        <v>1525.4435209491387</v>
      </c>
      <c r="H150" s="132">
        <f t="shared" ca="1" si="115"/>
        <v>1514.8661905480767</v>
      </c>
      <c r="I150" s="132">
        <f t="shared" ca="1" si="115"/>
        <v>1514.8661905480767</v>
      </c>
      <c r="J150" s="132">
        <f t="shared" ca="1" si="115"/>
        <v>1514.8661905480767</v>
      </c>
      <c r="K150" s="132">
        <f t="shared" ca="1" si="115"/>
        <v>1559.4210785053731</v>
      </c>
      <c r="L150" s="132">
        <f t="shared" ca="1" si="115"/>
        <v>1559.4210785053731</v>
      </c>
      <c r="M150" s="132">
        <f t="shared" ca="1" si="115"/>
        <v>1559.4210785053731</v>
      </c>
      <c r="N150" s="132">
        <f t="shared" ca="1" si="115"/>
        <v>1571.4835718383449</v>
      </c>
      <c r="O150" s="248"/>
      <c r="P150" s="248"/>
      <c r="Q150" s="248"/>
      <c r="R150" s="248"/>
      <c r="S150" s="248"/>
      <c r="T150" s="248"/>
      <c r="U150" s="248"/>
      <c r="V150" s="248"/>
      <c r="W150" s="248"/>
      <c r="X150" s="248"/>
      <c r="Y150" s="248"/>
      <c r="Z150" s="248"/>
      <c r="AA150" s="132">
        <f t="shared" ref="AA150" ca="1" si="116">+AA148/30</f>
        <v>1571.4835718383449</v>
      </c>
      <c r="AB150" s="248"/>
      <c r="AC150" s="248"/>
      <c r="AD150" s="248"/>
      <c r="AE150" s="248"/>
      <c r="AF150" s="248"/>
      <c r="AG150" s="248"/>
      <c r="AH150" s="248"/>
      <c r="AI150" s="248"/>
      <c r="AJ150" s="248"/>
      <c r="AK150" s="248"/>
      <c r="AL150" s="248"/>
      <c r="AM150" s="248"/>
      <c r="AN150" s="132">
        <f t="shared" ref="AN150" ca="1" si="117">+AN148/30</f>
        <v>1571.4835718383449</v>
      </c>
      <c r="AO150" s="133"/>
      <c r="AP150" s="133"/>
    </row>
    <row r="151" spans="1:44" x14ac:dyDescent="0.3">
      <c r="A151" s="71" t="s">
        <v>1673</v>
      </c>
      <c r="B151" s="128">
        <f t="shared" ref="B151:N151" si="118">(+B136*B3)/($N$156/360)</f>
        <v>21608.461880618252</v>
      </c>
      <c r="C151" s="128">
        <f t="shared" si="118"/>
        <v>21180.879146712417</v>
      </c>
      <c r="D151" s="128">
        <f t="shared" si="118"/>
        <v>20818.998711261982</v>
      </c>
      <c r="E151" s="128">
        <f t="shared" si="118"/>
        <v>20794.950059112809</v>
      </c>
      <c r="F151" s="128">
        <f t="shared" si="118"/>
        <v>20312.71129759523</v>
      </c>
      <c r="G151" s="128">
        <f t="shared" si="118"/>
        <v>19697.687155311414</v>
      </c>
      <c r="H151" s="128">
        <f t="shared" si="118"/>
        <v>19561.104618942682</v>
      </c>
      <c r="I151" s="128">
        <f t="shared" si="118"/>
        <v>19561.104618942682</v>
      </c>
      <c r="J151" s="128">
        <f t="shared" si="118"/>
        <v>19561.104618942682</v>
      </c>
      <c r="K151" s="128">
        <f t="shared" si="118"/>
        <v>20136.43122538217</v>
      </c>
      <c r="L151" s="128">
        <f t="shared" si="118"/>
        <v>20136.43122538217</v>
      </c>
      <c r="M151" s="128">
        <f t="shared" si="118"/>
        <v>20136.43122538217</v>
      </c>
      <c r="N151" s="128">
        <f t="shared" si="118"/>
        <v>20292.191315298889</v>
      </c>
      <c r="O151" s="247"/>
      <c r="P151" s="247"/>
      <c r="Q151" s="247"/>
      <c r="R151" s="247"/>
      <c r="S151" s="247"/>
      <c r="T151" s="247"/>
      <c r="U151" s="247"/>
      <c r="V151" s="247"/>
      <c r="W151" s="247"/>
      <c r="X151" s="247"/>
      <c r="Y151" s="247"/>
      <c r="Z151" s="247"/>
      <c r="AA151" s="128">
        <f>(+AA136*AA3)/($N$156/360)</f>
        <v>20292.191315298889</v>
      </c>
      <c r="AB151" s="247"/>
      <c r="AC151" s="247"/>
      <c r="AD151" s="247"/>
      <c r="AE151" s="247"/>
      <c r="AF151" s="247"/>
      <c r="AG151" s="247"/>
      <c r="AH151" s="247"/>
      <c r="AI151" s="247"/>
      <c r="AJ151" s="247"/>
      <c r="AK151" s="247"/>
      <c r="AL151" s="247"/>
      <c r="AM151" s="247"/>
      <c r="AN151" s="128">
        <f>(+AN136*AN3)/($N$156/360)</f>
        <v>20292.191315298889</v>
      </c>
      <c r="AO151" s="129"/>
      <c r="AP151" s="129"/>
    </row>
    <row r="152" spans="1:44" x14ac:dyDescent="0.3">
      <c r="A152" s="130" t="s">
        <v>1671</v>
      </c>
      <c r="B152" s="131">
        <f>'[2]P&amp;L CONSOLIDADO Mensual'!$AN$42</f>
        <v>36.83009031576416</v>
      </c>
      <c r="C152" s="131">
        <f>'[2]P&amp;L CONSOLIDADO Mensual'!$AN$42</f>
        <v>36.83009031576416</v>
      </c>
      <c r="D152" s="131">
        <f>'[2]P&amp;L CONSOLIDADO Mensual'!$AN$42</f>
        <v>36.83009031576416</v>
      </c>
      <c r="E152" s="131">
        <f>'[2]P&amp;L CONSOLIDADO Mensual'!$AN$42</f>
        <v>36.83009031576416</v>
      </c>
      <c r="F152" s="131">
        <f>'[2]P&amp;L CONSOLIDADO Mensual'!$AN$42</f>
        <v>36.83009031576416</v>
      </c>
      <c r="G152" s="131">
        <f>'[2]P&amp;L CONSOLIDADO Mensual'!$AN$42</f>
        <v>36.83009031576416</v>
      </c>
      <c r="H152" s="131">
        <f>'[2]P&amp;L CONSOLIDADO Mensual'!$AN$42</f>
        <v>36.83009031576416</v>
      </c>
      <c r="I152" s="131">
        <f>'[2]P&amp;L CONSOLIDADO Mensual'!$AN$42</f>
        <v>36.83009031576416</v>
      </c>
      <c r="J152" s="131">
        <f>'[2]P&amp;L CONSOLIDADO Mensual'!$AN$42</f>
        <v>36.83009031576416</v>
      </c>
      <c r="K152" s="131">
        <f>'[2]P&amp;L CONSOLIDADO Mensual'!$AN$42</f>
        <v>36.83009031576416</v>
      </c>
      <c r="L152" s="131">
        <f>'[2]P&amp;L CONSOLIDADO Mensual'!$AN$42</f>
        <v>36.83009031576416</v>
      </c>
      <c r="M152" s="131">
        <f>'[2]P&amp;L CONSOLIDADO Mensual'!$AN$42</f>
        <v>36.83009031576416</v>
      </c>
      <c r="N152" s="131">
        <f>'[2]P&amp;L CONSOLIDADO Mensual'!$AN$42</f>
        <v>36.83009031576416</v>
      </c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1">
        <f>'[2]P&amp;L CONSOLIDADO Mensual'!$AN$42</f>
        <v>36.83009031576416</v>
      </c>
      <c r="AB152" s="134"/>
      <c r="AC152" s="134"/>
      <c r="AD152" s="134"/>
      <c r="AE152" s="134"/>
      <c r="AF152" s="134"/>
      <c r="AG152" s="134"/>
      <c r="AH152" s="134"/>
      <c r="AI152" s="134"/>
      <c r="AJ152" s="134"/>
      <c r="AK152" s="134"/>
      <c r="AL152" s="134"/>
      <c r="AM152" s="134"/>
      <c r="AN152" s="131">
        <f>'[2]P&amp;L CONSOLIDADO Mensual'!$AN$42</f>
        <v>36.83009031576416</v>
      </c>
      <c r="AO152" s="129"/>
      <c r="AP152" s="129"/>
    </row>
    <row r="153" spans="1:44" x14ac:dyDescent="0.3">
      <c r="A153" s="71" t="s">
        <v>1674</v>
      </c>
      <c r="B153" s="128">
        <f t="shared" ref="B153:N153" ca="1" si="119">(B142*B3)/($AQ$128*$N$3/360)</f>
        <v>59.893757654511496</v>
      </c>
      <c r="C153" s="128">
        <f t="shared" ca="1" si="119"/>
        <v>58.708595249926852</v>
      </c>
      <c r="D153" s="128">
        <f t="shared" ca="1" si="119"/>
        <v>57.705544721827088</v>
      </c>
      <c r="E153" s="128">
        <f t="shared" ca="1" si="119"/>
        <v>57.638887309943826</v>
      </c>
      <c r="F153" s="128">
        <f t="shared" ca="1" si="119"/>
        <v>56.302230787442682</v>
      </c>
      <c r="G153" s="128">
        <f t="shared" ca="1" si="119"/>
        <v>54.597523292150719</v>
      </c>
      <c r="H153" s="128">
        <f t="shared" ca="1" si="119"/>
        <v>54.218947464852015</v>
      </c>
      <c r="I153" s="128">
        <f t="shared" ca="1" si="119"/>
        <v>54.218947464852015</v>
      </c>
      <c r="J153" s="128">
        <f t="shared" ca="1" si="119"/>
        <v>54.218947464852015</v>
      </c>
      <c r="K153" s="128">
        <f t="shared" ca="1" si="119"/>
        <v>55.813622390288842</v>
      </c>
      <c r="L153" s="128">
        <f t="shared" ca="1" si="119"/>
        <v>55.813622390288842</v>
      </c>
      <c r="M153" s="128">
        <f t="shared" ca="1" si="119"/>
        <v>55.813622390288842</v>
      </c>
      <c r="N153" s="128">
        <f t="shared" ca="1" si="119"/>
        <v>56.245354048435438</v>
      </c>
      <c r="O153" s="247"/>
      <c r="P153" s="247"/>
      <c r="Q153" s="247"/>
      <c r="R153" s="247"/>
      <c r="S153" s="247"/>
      <c r="T153" s="247"/>
      <c r="U153" s="247"/>
      <c r="V153" s="247"/>
      <c r="W153" s="247"/>
      <c r="X153" s="247"/>
      <c r="Y153" s="247"/>
      <c r="Z153" s="247"/>
      <c r="AA153" s="128">
        <f ca="1">(AA142*AA3)/($AQ$128*$N$3/360)</f>
        <v>56.245354048435438</v>
      </c>
      <c r="AB153" s="247"/>
      <c r="AC153" s="247"/>
      <c r="AD153" s="247"/>
      <c r="AE153" s="247"/>
      <c r="AF153" s="247"/>
      <c r="AG153" s="247"/>
      <c r="AH153" s="247"/>
      <c r="AI153" s="247"/>
      <c r="AJ153" s="247"/>
      <c r="AK153" s="247"/>
      <c r="AL153" s="247"/>
      <c r="AM153" s="247"/>
      <c r="AN153" s="128">
        <f ca="1">(AN142*AN3)/($AQ$128*$N$3/360)</f>
        <v>56.245354048435438</v>
      </c>
      <c r="AO153" s="129"/>
      <c r="AP153" s="129"/>
    </row>
    <row r="154" spans="1:44" x14ac:dyDescent="0.3">
      <c r="A154" s="130" t="s">
        <v>1671</v>
      </c>
      <c r="B154" s="131">
        <f>'[2]P&amp;L CONSOLIDADO Mensual'!$AN$43</f>
        <v>29.063337072535958</v>
      </c>
      <c r="C154" s="131">
        <f>'[2]P&amp;L CONSOLIDADO Mensual'!$AN$43</f>
        <v>29.063337072535958</v>
      </c>
      <c r="D154" s="131">
        <f>'[2]P&amp;L CONSOLIDADO Mensual'!$AN$43</f>
        <v>29.063337072535958</v>
      </c>
      <c r="E154" s="131">
        <f>'[2]P&amp;L CONSOLIDADO Mensual'!$AN$43</f>
        <v>29.063337072535958</v>
      </c>
      <c r="F154" s="131">
        <f>'[2]P&amp;L CONSOLIDADO Mensual'!$AN$43</f>
        <v>29.063337072535958</v>
      </c>
      <c r="G154" s="131">
        <f>'[2]P&amp;L CONSOLIDADO Mensual'!$AN$43</f>
        <v>29.063337072535958</v>
      </c>
      <c r="H154" s="131">
        <f>'[2]P&amp;L CONSOLIDADO Mensual'!$AN$43</f>
        <v>29.063337072535958</v>
      </c>
      <c r="I154" s="131">
        <f>'[2]P&amp;L CONSOLIDADO Mensual'!$AN$43</f>
        <v>29.063337072535958</v>
      </c>
      <c r="J154" s="131">
        <f>'[2]P&amp;L CONSOLIDADO Mensual'!$AN$43</f>
        <v>29.063337072535958</v>
      </c>
      <c r="K154" s="131">
        <f>'[2]P&amp;L CONSOLIDADO Mensual'!$AN$43</f>
        <v>29.063337072535958</v>
      </c>
      <c r="L154" s="131">
        <f>'[2]P&amp;L CONSOLIDADO Mensual'!$AN$43</f>
        <v>29.063337072535958</v>
      </c>
      <c r="M154" s="131">
        <f>'[2]P&amp;L CONSOLIDADO Mensual'!$AN$43</f>
        <v>29.063337072535958</v>
      </c>
      <c r="N154" s="131">
        <f>'[2]P&amp;L CONSOLIDADO Mensual'!$AN$43</f>
        <v>29.063337072535958</v>
      </c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  <c r="AA154" s="131">
        <f>'[2]P&amp;L CONSOLIDADO Mensual'!$AN$43</f>
        <v>29.063337072535958</v>
      </c>
      <c r="AB154" s="134"/>
      <c r="AC154" s="134"/>
      <c r="AD154" s="134"/>
      <c r="AE154" s="134"/>
      <c r="AF154" s="134"/>
      <c r="AG154" s="134"/>
      <c r="AH154" s="134"/>
      <c r="AI154" s="134"/>
      <c r="AJ154" s="134"/>
      <c r="AK154" s="134"/>
      <c r="AL154" s="134"/>
      <c r="AM154" s="134"/>
      <c r="AN154" s="131">
        <f>'[2]P&amp;L CONSOLIDADO Mensual'!$AN$43</f>
        <v>29.063337072535958</v>
      </c>
      <c r="AO154" s="134"/>
      <c r="AP154" s="134"/>
    </row>
    <row r="155" spans="1:44" x14ac:dyDescent="0.3">
      <c r="A155" s="70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35"/>
      <c r="O155" s="249"/>
      <c r="P155" s="249"/>
      <c r="Q155" s="249"/>
      <c r="R155" s="249"/>
      <c r="S155" s="249"/>
      <c r="T155" s="249"/>
      <c r="U155" s="249"/>
      <c r="V155" s="249"/>
      <c r="W155" s="249"/>
      <c r="X155" s="249"/>
      <c r="Y155" s="249"/>
      <c r="Z155" s="249"/>
      <c r="AA155" s="135"/>
      <c r="AB155" s="249"/>
      <c r="AC155" s="249"/>
      <c r="AD155" s="249"/>
      <c r="AE155" s="249"/>
      <c r="AF155" s="249"/>
      <c r="AG155" s="249"/>
      <c r="AH155" s="249"/>
      <c r="AI155" s="249"/>
      <c r="AJ155" s="249"/>
      <c r="AK155" s="249"/>
      <c r="AL155" s="249"/>
      <c r="AM155" s="249"/>
      <c r="AN155" s="135"/>
      <c r="AO155" s="87"/>
      <c r="AP155" s="87"/>
    </row>
    <row r="156" spans="1:44" ht="18" x14ac:dyDescent="0.35">
      <c r="A156" s="81" t="s">
        <v>1675</v>
      </c>
      <c r="B156" s="136">
        <f>'[2]P&amp;L CONSOLIDADO Mensual'!$C$8</f>
        <v>552356.32105132553</v>
      </c>
      <c r="C156" s="136">
        <f>'[2]P&amp;L CONSOLIDADO Mensual'!$F$8</f>
        <v>611195.64604420704</v>
      </c>
      <c r="D156" s="136">
        <f>'[2]P&amp;L CONSOLIDADO Mensual'!$I$8</f>
        <v>655582.42836229037</v>
      </c>
      <c r="E156" s="136">
        <f>'[2]P&amp;L CONSOLIDADO Mensual'!$L$8</f>
        <v>649240.22959262133</v>
      </c>
      <c r="F156" s="136">
        <f>'[2]P&amp;L CONSOLIDADO Mensual'!$O$8</f>
        <v>684294.28473040985</v>
      </c>
      <c r="G156" s="136">
        <f>'[2]P&amp;L CONSOLIDADO Mensual'!$R$8</f>
        <v>677966.42227962671</v>
      </c>
      <c r="H156" s="136">
        <f>'[2]P&amp;L CONSOLIDADO Mensual'!$U$8</f>
        <v>633479.10003273387</v>
      </c>
      <c r="I156" s="136">
        <f>'[2]P&amp;L CONSOLIDADO Mensual'!$X$8</f>
        <v>674547.63802615297</v>
      </c>
      <c r="J156" s="136">
        <f>'[2]P&amp;L CONSOLIDADO Mensual'!$AA$8</f>
        <v>720482.21282809786</v>
      </c>
      <c r="K156" s="136">
        <f>'[2]P&amp;L CONSOLIDADO Mensual'!$AD$8</f>
        <v>383549.01471550495</v>
      </c>
      <c r="L156" s="136">
        <f>'[2]P&amp;L CONSOLIDADO Mensual'!$AG$8</f>
        <v>636677.78067545989</v>
      </c>
      <c r="M156" s="136">
        <f>'[2]P&amp;L CONSOLIDADO Mensual'!$AJ$8</f>
        <v>629407.32969500998</v>
      </c>
      <c r="N156" s="178">
        <f>'[2]P&amp;L CONSOLIDADO Mensual'!$AN$8</f>
        <v>7508778.4080334408</v>
      </c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78">
        <f>'[2]P&amp;L CONSOLIDADO Mensual'!$AN$8</f>
        <v>7508778.4080334408</v>
      </c>
      <c r="AB156" s="137"/>
      <c r="AC156" s="137"/>
      <c r="AD156" s="137"/>
      <c r="AE156" s="137"/>
      <c r="AF156" s="137"/>
      <c r="AG156" s="137"/>
      <c r="AH156" s="137"/>
      <c r="AI156" s="137"/>
      <c r="AJ156" s="137"/>
      <c r="AK156" s="137"/>
      <c r="AL156" s="137"/>
      <c r="AM156" s="137"/>
      <c r="AN156" s="178">
        <f>'[2]P&amp;L CONSOLIDADO Mensual'!$AN$8</f>
        <v>7508778.4080334408</v>
      </c>
      <c r="AO156" s="137"/>
      <c r="AP156" s="137"/>
      <c r="AQ156" s="95">
        <f>SUM(B156,C156,D156,E156,F156:M156)</f>
        <v>7508778.408033439</v>
      </c>
    </row>
    <row r="157" spans="1:44" x14ac:dyDescent="0.3">
      <c r="A157" s="70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93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3"/>
      <c r="AB157" s="98"/>
      <c r="AC157" s="98"/>
      <c r="AD157" s="98"/>
      <c r="AE157" s="98"/>
      <c r="AF157" s="98"/>
      <c r="AG157" s="98"/>
      <c r="AH157" s="98"/>
      <c r="AI157" s="98"/>
      <c r="AJ157" s="98"/>
      <c r="AK157" s="98"/>
      <c r="AL157" s="98"/>
      <c r="AM157" s="98"/>
      <c r="AN157" s="93"/>
      <c r="AO157" s="87"/>
      <c r="AP157" s="87"/>
      <c r="AQ157" s="138"/>
    </row>
    <row r="158" spans="1:44" x14ac:dyDescent="0.3">
      <c r="A158" s="70" t="s">
        <v>1576</v>
      </c>
      <c r="B158" s="139">
        <f>'AUX MODELO SESAJAL (ROLLING)'!D4</f>
        <v>17603969.789999999</v>
      </c>
      <c r="C158" s="139">
        <f>'AUX MODELO SESAJAL (ROLLING)'!E4</f>
        <v>16026810.92999999</v>
      </c>
      <c r="D158" s="139">
        <f>'AUX MODELO SESAJAL (ROLLING)'!F4</f>
        <v>12493878.669999991</v>
      </c>
      <c r="E158" s="139">
        <v>17246356.18</v>
      </c>
      <c r="F158" s="139">
        <f>'AUX MODELO SESAJAL (ROLLING)'!H4</f>
        <v>20772285.369999986</v>
      </c>
      <c r="G158" s="139">
        <f>'AUX MODELO SESAJAL (ROLLING)'!I4</f>
        <v>17309214.289999992</v>
      </c>
      <c r="H158" s="139">
        <f>'AUX MODELO SESAJAL (ROLLING)'!J4</f>
        <v>23238748.510000002</v>
      </c>
      <c r="I158" s="139">
        <f ca="1">'AUX MODELO SESAJAL (ROLLING)'!K4</f>
        <v>24962217.428338554</v>
      </c>
      <c r="J158" s="139">
        <f ca="1">'AUX MODELO SESAJAL (ROLLING)'!L4</f>
        <v>22430779.296785343</v>
      </c>
      <c r="K158" s="139">
        <f ca="1">'AUX MODELO SESAJAL (ROLLING)'!M4</f>
        <v>22172290.121319547</v>
      </c>
      <c r="L158" s="139">
        <f ca="1">'AUX MODELO SESAJAL (ROLLING)'!N4</f>
        <v>19840529.722359784</v>
      </c>
      <c r="M158" s="139">
        <f>'AUX MODELO SESAJAL (ROLLING)'!O4</f>
        <v>21356585.302559786</v>
      </c>
      <c r="N158" s="153">
        <f ca="1">SUM(B158,C158,D158,E158,F158,G158,H158,I158,J158,K158,L158,M158)</f>
        <v>235453665.61136299</v>
      </c>
      <c r="O158" s="139">
        <f>'AUX MODELO SESAJAL (ROLLING)'!Q4</f>
        <v>22954219.233750001</v>
      </c>
      <c r="P158" s="139">
        <f>'AUX MODELO SESAJAL (ROLLING)'!R4</f>
        <v>20141989.269499987</v>
      </c>
      <c r="Q158" s="139">
        <f>'AUX MODELO SESAJAL (ROLLING)'!S4</f>
        <v>16049874.319499988</v>
      </c>
      <c r="R158" s="139">
        <f>'AUX MODELO SESAJAL (ROLLING)'!T4</f>
        <v>21974297.670500003</v>
      </c>
      <c r="S158" s="139">
        <f>'AUX MODELO SESAJAL (ROLLING)'!U4</f>
        <v>25874606.224249985</v>
      </c>
      <c r="T158" s="139">
        <f>'AUX MODELO SESAJAL (ROLLING)'!V4</f>
        <v>21932162.019249987</v>
      </c>
      <c r="U158" s="139">
        <f>'AUX MODELO SESAJAL (ROLLING)'!W4</f>
        <v>28968147.160749998</v>
      </c>
      <c r="V158" s="139">
        <f ca="1">'AUX MODELO SESAJAL (ROLLING)'!X4</f>
        <v>31202771.785423193</v>
      </c>
      <c r="W158" s="139">
        <f ca="1">'AUX MODELO SESAJAL (ROLLING)'!Y4</f>
        <v>28038474.120981678</v>
      </c>
      <c r="X158" s="139">
        <f ca="1">'AUX MODELO SESAJAL (ROLLING)'!Z4</f>
        <v>27715362.65164943</v>
      </c>
      <c r="Y158" s="139">
        <f ca="1">'AUX MODELO SESAJAL (ROLLING)'!AA4</f>
        <v>24800662.152949732</v>
      </c>
      <c r="Z158" s="139">
        <f>'AUX MODELO SESAJAL (ROLLING)'!AB4</f>
        <v>26695731.628199726</v>
      </c>
      <c r="AA158" s="153">
        <f ca="1">SUM(O158,P158,Q158,R158,S158,T158,U158,V158,W158,X158,Y158,Z158)</f>
        <v>296348298.23670375</v>
      </c>
      <c r="AB158" s="139">
        <f>'AUX MODELO SESAJAL (ROLLING)'!AD4</f>
        <v>28655040.180375002</v>
      </c>
      <c r="AC158" s="139">
        <f>'AUX MODELO SESAJAL (ROLLING)'!AE4</f>
        <v>25176802.697549988</v>
      </c>
      <c r="AD158" s="139">
        <f>'AUX MODELO SESAJAL (ROLLING)'!AF4</f>
        <v>20208638.398199983</v>
      </c>
      <c r="AE158" s="139">
        <f>'AUX MODELO SESAJAL (ROLLING)'!AG4</f>
        <v>26969712.380275004</v>
      </c>
      <c r="AF158" s="139">
        <f>'AUX MODELO SESAJAL (ROLLING)'!AH4</f>
        <v>32158767.035062481</v>
      </c>
      <c r="AG158" s="139">
        <f>'AUX MODELO SESAJAL (ROLLING)'!AI4</f>
        <v>27395599.411949981</v>
      </c>
      <c r="AH158" s="139">
        <f>'AUX MODELO SESAJAL (ROLLING)'!AJ4</f>
        <v>35685714.222900003</v>
      </c>
      <c r="AI158" s="139">
        <f ca="1">'AUX MODELO SESAJAL (ROLLING)'!AK4</f>
        <v>38490628.688300148</v>
      </c>
      <c r="AJ158" s="139">
        <f ca="1">'AUX MODELO SESAJAL (ROLLING)'!AL4</f>
        <v>34629837.538776189</v>
      </c>
      <c r="AK158" s="139">
        <f ca="1">'AUX MODELO SESAJAL (ROLLING)'!AM4</f>
        <v>34432280.290369265</v>
      </c>
      <c r="AL158" s="139">
        <f ca="1">'AUX MODELO SESAJAL (ROLLING)'!AN4</f>
        <v>30860946.416834649</v>
      </c>
      <c r="AM158" s="139">
        <f>'AUX MODELO SESAJAL (ROLLING)'!AO4</f>
        <v>33121437.432134647</v>
      </c>
      <c r="AN158" s="153">
        <f ca="1">SUM(AB158,AC158,AD158,AE158,AF158,AG158,AH158,AI158,AJ158,AK158,AL158,AM158)</f>
        <v>367785404.69272739</v>
      </c>
      <c r="AO158" s="98"/>
      <c r="AP158" s="98"/>
      <c r="AQ158" s="95">
        <f ca="1">SUM(B158,C158,D158,E158,F158:M158)</f>
        <v>235453665.61136299</v>
      </c>
    </row>
    <row r="159" spans="1:44" x14ac:dyDescent="0.3">
      <c r="A159" s="71" t="s">
        <v>1577</v>
      </c>
      <c r="B159" s="114">
        <f>'AUX MODELO SESAJAL (ROLLING)'!D5</f>
        <v>7021309.3899999997</v>
      </c>
      <c r="C159" s="114">
        <f>'AUX MODELO SESAJAL (ROLLING)'!E5</f>
        <v>6015156.4000000004</v>
      </c>
      <c r="D159" s="114">
        <f>'AUX MODELO SESAJAL (ROLLING)'!F5</f>
        <v>5001313.3499999996</v>
      </c>
      <c r="E159" s="114">
        <f>'AUX MODELO SESAJAL (ROLLING)'!G5</f>
        <v>6747553.1200000001</v>
      </c>
      <c r="F159" s="114">
        <f>'AUX MODELO SESAJAL (ROLLING)'!H5</f>
        <v>9012876.0499999989</v>
      </c>
      <c r="G159" s="114">
        <f>'AUX MODELO SESAJAL (ROLLING)'!I5</f>
        <v>7262528.1799999997</v>
      </c>
      <c r="H159" s="114">
        <f>'AUX MODELO SESAJAL (ROLLING)'!J5</f>
        <v>10160675.45999999</v>
      </c>
      <c r="I159" s="114">
        <f ca="1">'AUX MODELO SESAJAL (ROLLING)'!K5</f>
        <v>11742138.746890638</v>
      </c>
      <c r="J159" s="114">
        <f ca="1">'AUX MODELO SESAJAL (ROLLING)'!L5</f>
        <v>10489663.151934197</v>
      </c>
      <c r="K159" s="114">
        <f ca="1">'AUX MODELO SESAJAL (ROLLING)'!M5</f>
        <v>10119141.892560793</v>
      </c>
      <c r="L159" s="114">
        <f ca="1">'AUX MODELO SESAJAL (ROLLING)'!N5</f>
        <v>9023722.1765729114</v>
      </c>
      <c r="M159" s="114">
        <f>'AUX MODELO SESAJAL (ROLLING)'!O5</f>
        <v>9812380.4773749113</v>
      </c>
      <c r="N159" s="114">
        <f ca="1">SUM(B159,C159,D159,E159,F159,G159,H159,I159,J159,K159,L159,M159)</f>
        <v>102408458.39533344</v>
      </c>
      <c r="O159" s="114">
        <f>'AUX MODELO SESAJAL (ROLLING)'!Q5</f>
        <v>10128671.0260875</v>
      </c>
      <c r="P159" s="114">
        <f>'AUX MODELO SESAJAL (ROLLING)'!R5</f>
        <v>8834817.5621949937</v>
      </c>
      <c r="Q159" s="114">
        <f>'AUX MODELO SESAJAL (ROLLING)'!S5</f>
        <v>6800166.5146949952</v>
      </c>
      <c r="R159" s="114">
        <f>'AUX MODELO SESAJAL (ROLLING)'!T5</f>
        <v>10450621.093204999</v>
      </c>
      <c r="S159" s="114">
        <f>'AUX MODELO SESAJAL (ROLLING)'!U5</f>
        <v>11722359.524492497</v>
      </c>
      <c r="T159" s="114">
        <f>'AUX MODELO SESAJAL (ROLLING)'!V5</f>
        <v>9736100.7754424941</v>
      </c>
      <c r="U159" s="114">
        <f>'AUX MODELO SESAJAL (ROLLING)'!W5</f>
        <v>13679303.7543575</v>
      </c>
      <c r="V159" s="114">
        <f ca="1">'AUX MODELO SESAJAL (ROLLING)'!X5</f>
        <v>14677673.433613298</v>
      </c>
      <c r="W159" s="114">
        <f ca="1">'AUX MODELO SESAJAL (ROLLING)'!Y5</f>
        <v>13112078.939917747</v>
      </c>
      <c r="X159" s="114">
        <f ca="1">'AUX MODELO SESAJAL (ROLLING)'!Z5</f>
        <v>12648927.365700992</v>
      </c>
      <c r="Y159" s="114">
        <f ca="1">'AUX MODELO SESAJAL (ROLLING)'!AA5</f>
        <v>11279652.720716139</v>
      </c>
      <c r="Z159" s="114">
        <f>'AUX MODELO SESAJAL (ROLLING)'!AB5</f>
        <v>12265475.596718637</v>
      </c>
      <c r="AA159" s="114">
        <f ca="1">SUM(O159,P159,Q159,R159,S159,T159,U159,V159,W159,X159,Y159,Z159)</f>
        <v>135335848.30714178</v>
      </c>
      <c r="AB159" s="114">
        <f>'AUX MODELO SESAJAL (ROLLING)'!AD5</f>
        <v>12550599.098178752</v>
      </c>
      <c r="AC159" s="114">
        <f>'AUX MODELO SESAJAL (ROLLING)'!AE5</f>
        <v>10961009.817325493</v>
      </c>
      <c r="AD159" s="114">
        <f>'AUX MODELO SESAJAL (ROLLING)'!AF5</f>
        <v>8498859.4781819936</v>
      </c>
      <c r="AE159" s="114">
        <f>'AUX MODELO SESAJAL (ROLLING)'!AG5</f>
        <v>12755106.740877749</v>
      </c>
      <c r="AF159" s="114">
        <f>'AUX MODELO SESAJAL (ROLLING)'!AH5</f>
        <v>14470090.754713116</v>
      </c>
      <c r="AG159" s="114">
        <f>'AUX MODELO SESAJAL (ROLLING)'!AI5</f>
        <v>12076273.379069492</v>
      </c>
      <c r="AH159" s="114">
        <f>'AUX MODELO SESAJAL (ROLLING)'!AJ5</f>
        <v>16756796.167929001</v>
      </c>
      <c r="AI159" s="114">
        <f ca="1">'AUX MODELO SESAJAL (ROLLING)'!AK5</f>
        <v>18002605.598619785</v>
      </c>
      <c r="AJ159" s="114">
        <f ca="1">'AUX MODELO SESAJAL (ROLLING)'!AL5</f>
        <v>16098838.171208071</v>
      </c>
      <c r="AK159" s="114">
        <f ca="1">'AUX MODELO SESAJAL (ROLLING)'!AM5</f>
        <v>15612480.114468541</v>
      </c>
      <c r="AL159" s="114">
        <f ca="1">'AUX MODELO SESAJAL (ROLLING)'!AN5</f>
        <v>13945711.44311098</v>
      </c>
      <c r="AM159" s="114">
        <f>'AUX MODELO SESAJAL (ROLLING)'!AO5</f>
        <v>15121628.095763979</v>
      </c>
      <c r="AN159" s="114">
        <f ca="1">SUM(AB159,AC159,AD159,AE159,AF159,AG159,AH159,AI159,AJ159,AK159,AL159,AM159)</f>
        <v>166849998.85944694</v>
      </c>
      <c r="AO159" s="125"/>
      <c r="AP159" s="125"/>
      <c r="AQ159" s="95">
        <f ca="1">SUM(B159,C159,D159,E159,F159:M159)</f>
        <v>102408458.39533344</v>
      </c>
    </row>
    <row r="160" spans="1:44" x14ac:dyDescent="0.3">
      <c r="A160" s="71" t="s">
        <v>1578</v>
      </c>
      <c r="B160" s="114">
        <f>'AUX MODELO SESAJAL (ROLLING)'!D6</f>
        <v>3242912.49</v>
      </c>
      <c r="C160" s="114">
        <f>'AUX MODELO SESAJAL (ROLLING)'!E6</f>
        <v>2305460.1800000002</v>
      </c>
      <c r="D160" s="114">
        <f>'AUX MODELO SESAJAL (ROLLING)'!F6</f>
        <v>1787305.32</v>
      </c>
      <c r="E160" s="114">
        <f>'AUX MODELO SESAJAL (ROLLING)'!G6</f>
        <v>2025485.98</v>
      </c>
      <c r="F160" s="114">
        <f>'AUX MODELO SESAJAL (ROLLING)'!H6</f>
        <v>2081617.45999999</v>
      </c>
      <c r="G160" s="114">
        <f>'AUX MODELO SESAJAL (ROLLING)'!I6</f>
        <v>2047912.43</v>
      </c>
      <c r="H160" s="114">
        <f>'AUX MODELO SESAJAL (ROLLING)'!J6</f>
        <v>1940260.8999999899</v>
      </c>
      <c r="I160" s="114">
        <f>'AUX MODELO SESAJAL (ROLLING)'!K6</f>
        <v>1795060.8717747501</v>
      </c>
      <c r="J160" s="114">
        <f>'AUX MODELO SESAJAL (ROLLING)'!L6</f>
        <v>1388185.8717747501</v>
      </c>
      <c r="K160" s="114">
        <f>'AUX MODELO SESAJAL (ROLLING)'!M6</f>
        <v>1388185.8717747501</v>
      </c>
      <c r="L160" s="114">
        <f>'AUX MODELO SESAJAL (ROLLING)'!N6</f>
        <v>1388185.8717747501</v>
      </c>
      <c r="M160" s="114">
        <f>'AUX MODELO SESAJAL (ROLLING)'!O6</f>
        <v>1388185.8717747501</v>
      </c>
      <c r="N160" s="114">
        <f>SUM(B160,C160,D160,E160,F160,G160,H160,I160,J160,K160,L160,M160)</f>
        <v>22778759.118873738</v>
      </c>
      <c r="O160" s="114">
        <f>'AUX MODELO SESAJAL (ROLLING)'!Q6</f>
        <v>1388185.8717747501</v>
      </c>
      <c r="P160" s="114">
        <f>'AUX MODELO SESAJAL (ROLLING)'!R6</f>
        <v>1388185.8717747501</v>
      </c>
      <c r="Q160" s="114">
        <f>'AUX MODELO SESAJAL (ROLLING)'!S6</f>
        <v>1388185.8717747501</v>
      </c>
      <c r="R160" s="114">
        <f>'AUX MODELO SESAJAL (ROLLING)'!T6</f>
        <v>1388185.8717747501</v>
      </c>
      <c r="S160" s="114">
        <f>'AUX MODELO SESAJAL (ROLLING)'!U6</f>
        <v>1388185.8717747501</v>
      </c>
      <c r="T160" s="114">
        <f>'AUX MODELO SESAJAL (ROLLING)'!V6</f>
        <v>1388185.8717747501</v>
      </c>
      <c r="U160" s="114">
        <f>'AUX MODELO SESAJAL (ROLLING)'!W6</f>
        <v>1388185.8717747501</v>
      </c>
      <c r="V160" s="114">
        <f>'AUX MODELO SESAJAL (ROLLING)'!X6</f>
        <v>1388185.8717747501</v>
      </c>
      <c r="W160" s="114">
        <f>'AUX MODELO SESAJAL (ROLLING)'!Y6</f>
        <v>1388185.8717747501</v>
      </c>
      <c r="X160" s="114">
        <f>'AUX MODELO SESAJAL (ROLLING)'!Z6</f>
        <v>1388185.8717747501</v>
      </c>
      <c r="Y160" s="114">
        <f>'AUX MODELO SESAJAL (ROLLING)'!AA6</f>
        <v>1388185.8717747501</v>
      </c>
      <c r="Z160" s="114">
        <f>'AUX MODELO SESAJAL (ROLLING)'!AB6</f>
        <v>1388185.8717747501</v>
      </c>
      <c r="AA160" s="114">
        <f>SUM(O160,P160,Q160,R160,S160,T160,U160,V160,W160,X160,Y160,Z160)</f>
        <v>16658230.461297</v>
      </c>
      <c r="AB160" s="114">
        <f>'AUX MODELO SESAJAL (ROLLING)'!AD6</f>
        <v>1388185.8717747501</v>
      </c>
      <c r="AC160" s="114">
        <f>'AUX MODELO SESAJAL (ROLLING)'!AE6</f>
        <v>1388185.8717747501</v>
      </c>
      <c r="AD160" s="114">
        <f>'AUX MODELO SESAJAL (ROLLING)'!AF6</f>
        <v>1388185.8717747501</v>
      </c>
      <c r="AE160" s="114">
        <f>'AUX MODELO SESAJAL (ROLLING)'!AG6</f>
        <v>1388185.8717747501</v>
      </c>
      <c r="AF160" s="114">
        <f>'AUX MODELO SESAJAL (ROLLING)'!AH6</f>
        <v>1388185.8717747501</v>
      </c>
      <c r="AG160" s="114">
        <f>'AUX MODELO SESAJAL (ROLLING)'!AI6</f>
        <v>1388185.8717747501</v>
      </c>
      <c r="AH160" s="114">
        <f>'AUX MODELO SESAJAL (ROLLING)'!AJ6</f>
        <v>1388185.8717747501</v>
      </c>
      <c r="AI160" s="114">
        <f>'AUX MODELO SESAJAL (ROLLING)'!AK6</f>
        <v>1388185.8717747501</v>
      </c>
      <c r="AJ160" s="114">
        <f>'AUX MODELO SESAJAL (ROLLING)'!AL6</f>
        <v>1388185.8717747501</v>
      </c>
      <c r="AK160" s="114">
        <f>'AUX MODELO SESAJAL (ROLLING)'!AM6</f>
        <v>1388185.8717747501</v>
      </c>
      <c r="AL160" s="114">
        <f>'AUX MODELO SESAJAL (ROLLING)'!AN6</f>
        <v>1388185.8717747501</v>
      </c>
      <c r="AM160" s="114">
        <f>'AUX MODELO SESAJAL (ROLLING)'!AO6</f>
        <v>1388185.8717747501</v>
      </c>
      <c r="AN160" s="114">
        <f>SUM(AB160,AC160,AD160,AE160,AF160,AG160,AH160,AI160,AJ160,AK160,AL160,AM160)</f>
        <v>16658230.461297</v>
      </c>
      <c r="AO160" s="125"/>
      <c r="AP160" s="125"/>
      <c r="AQ160" s="95">
        <f>SUM(B160,C160,D160,E160,F160:M160)</f>
        <v>22778759.118873738</v>
      </c>
    </row>
    <row r="161" spans="1:43" x14ac:dyDescent="0.3">
      <c r="A161" s="71" t="s">
        <v>1579</v>
      </c>
      <c r="B161" s="114">
        <f>'AUX MODELO SESAJAL (ROLLING)'!D7</f>
        <v>2217469.0799999963</v>
      </c>
      <c r="C161" s="114">
        <f>'AUX MODELO SESAJAL (ROLLING)'!E7</f>
        <v>2265220.0599999977</v>
      </c>
      <c r="D161" s="114">
        <f>'AUX MODELO SESAJAL (ROLLING)'!F7</f>
        <v>2320283.319999997</v>
      </c>
      <c r="E161" s="114">
        <f>'AUX MODELO SESAJAL (ROLLING)'!G7</f>
        <v>2494447.6399999987</v>
      </c>
      <c r="F161" s="114">
        <f>'AUX MODELO SESAJAL (ROLLING)'!H7</f>
        <v>2406419.3599999947</v>
      </c>
      <c r="G161" s="114">
        <f>'AUX MODELO SESAJAL (ROLLING)'!I7</f>
        <v>2922932.399999998</v>
      </c>
      <c r="H161" s="114">
        <f>'AUX MODELO SESAJAL (ROLLING)'!J7</f>
        <v>2546500.9999999981</v>
      </c>
      <c r="I161" s="114">
        <f ca="1">'AUX MODELO SESAJAL (ROLLING)'!K7</f>
        <v>2776624.5345460479</v>
      </c>
      <c r="J161" s="114">
        <f ca="1">'AUX MODELO SESAJAL (ROLLING)'!L7</f>
        <v>2726972.2244348736</v>
      </c>
      <c r="K161" s="114">
        <f ca="1">'AUX MODELO SESAJAL (ROLLING)'!M7</f>
        <v>2755277.7889111326</v>
      </c>
      <c r="L161" s="114">
        <f ca="1">'AUX MODELO SESAJAL (ROLLING)'!N7</f>
        <v>2677462.3930074056</v>
      </c>
      <c r="M161" s="114">
        <f>'AUX MODELO SESAJAL (ROLLING)'!O7</f>
        <v>2714790.3417280247</v>
      </c>
      <c r="N161" s="114">
        <f ca="1">SUM(B161,C161,D161,E161,F161,G161,H161,I161,J161,K161,L161,M161)</f>
        <v>30824400.14262747</v>
      </c>
      <c r="O161" s="114">
        <f>'AUX MODELO SESAJAL (ROLLING)'!Q7</f>
        <v>2911984.976982282</v>
      </c>
      <c r="P161" s="114">
        <f>'AUX MODELO SESAJAL (ROLLING)'!R7</f>
        <v>2851722.9063197817</v>
      </c>
      <c r="Q161" s="114">
        <f>'AUX MODELO SESAJAL (ROLLING)'!S7</f>
        <v>2764034.7288197819</v>
      </c>
      <c r="R161" s="114">
        <f>'AUX MODELO SESAJAL (ROLLING)'!T7</f>
        <v>2890986.657769782</v>
      </c>
      <c r="S161" s="114">
        <f>'AUX MODELO SESAJAL (ROLLING)'!U7</f>
        <v>3006239.698207282</v>
      </c>
      <c r="T161" s="114">
        <f>'AUX MODELO SESAJAL (ROLLING)'!V7</f>
        <v>2856384.0613021092</v>
      </c>
      <c r="U161" s="114">
        <f>'AUX MODELO SESAJAL (ROLLING)'!W7</f>
        <v>3007155.1714771097</v>
      </c>
      <c r="V161" s="114">
        <f ca="1">'AUX MODELO SESAJAL (ROLLING)'!X7</f>
        <v>3055039.9848629637</v>
      </c>
      <c r="W161" s="114">
        <f ca="1">'AUX MODELO SESAJAL (ROLLING)'!Y7</f>
        <v>2974957.6063392172</v>
      </c>
      <c r="X161" s="114">
        <f ca="1">'AUX MODELO SESAJAL (ROLLING)'!Z7</f>
        <v>2968033.7891392405</v>
      </c>
      <c r="Y161" s="114">
        <f ca="1">'AUX MODELO SESAJAL (ROLLING)'!AA7</f>
        <v>2905575.921309961</v>
      </c>
      <c r="Z161" s="114">
        <f>'AUX MODELO SESAJAL (ROLLING)'!AB7</f>
        <v>2946184.5529224612</v>
      </c>
      <c r="AA161" s="114">
        <f ca="1">SUM(O161,P161,Q161,R161,S161,T161,U161,V161,W161,X161,Y161,Z161)</f>
        <v>35138300.055451974</v>
      </c>
      <c r="AB161" s="114">
        <f>'AUX MODELO SESAJAL (ROLLING)'!AD7</f>
        <v>3082509.7321974118</v>
      </c>
      <c r="AC161" s="114">
        <f>'AUX MODELO SESAJAL (ROLLING)'!AE7</f>
        <v>3007976.0718511613</v>
      </c>
      <c r="AD161" s="114">
        <f>'AUX MODELO SESAJAL (ROLLING)'!AF7</f>
        <v>2901515.4082936612</v>
      </c>
      <c r="AE161" s="114">
        <f>'AUX MODELO SESAJAL (ROLLING)'!AG7</f>
        <v>3046395.565052412</v>
      </c>
      <c r="AF161" s="114">
        <f>'AUX MODELO SESAJAL (ROLLING)'!AH7</f>
        <v>3191481.843369286</v>
      </c>
      <c r="AG161" s="114">
        <f>'AUX MODELO SESAJAL (ROLLING)'!AI7</f>
        <v>3102917.5657311613</v>
      </c>
      <c r="AH161" s="114">
        <f>'AUX MODELO SESAJAL (ROLLING)'!AJ7</f>
        <v>3280562.8831086615</v>
      </c>
      <c r="AI161" s="114">
        <f ca="1">'AUX MODELO SESAJAL (ROLLING)'!AK7</f>
        <v>3340668.1930815219</v>
      </c>
      <c r="AJ161" s="114">
        <f ca="1">'AUX MODELO SESAJAL (ROLLING)'!AL7</f>
        <v>3244433.3541631512</v>
      </c>
      <c r="AK161" s="114">
        <f ca="1">'AUX MODELO SESAJAL (ROLLING)'!AM7</f>
        <v>3240199.9845544314</v>
      </c>
      <c r="AL161" s="114">
        <f ca="1">'AUX MODELO SESAJAL (ROLLING)'!AN7</f>
        <v>3163671.4015501183</v>
      </c>
      <c r="AM161" s="114">
        <f>'AUX MODELO SESAJAL (ROLLING)'!AO7</f>
        <v>3212110.4947351185</v>
      </c>
      <c r="AN161" s="114">
        <f ca="1">SUM(AB161,AC161,AD161,AE161,AF161,AG161,AH161,AI161,AJ161,AK161,AL161,AM161)</f>
        <v>37814442.4976881</v>
      </c>
      <c r="AO161" s="125"/>
      <c r="AP161" s="125"/>
      <c r="AQ161" s="95">
        <f ca="1">SUM(B161,C161,D161,E161,F161:M161)</f>
        <v>30824400.14262747</v>
      </c>
    </row>
    <row r="162" spans="1:43" x14ac:dyDescent="0.3">
      <c r="A162" s="70" t="s">
        <v>1580</v>
      </c>
      <c r="B162" s="139">
        <f>'AUX MODELO SESAJAL (ROLLING)'!D8</f>
        <v>5122278.8300000019</v>
      </c>
      <c r="C162" s="89">
        <f>'AUX MODELO SESAJAL (ROLLING)'!E8</f>
        <v>5440974.2899999926</v>
      </c>
      <c r="D162" s="89">
        <f>'AUX MODELO SESAJAL (ROLLING)'!F8</f>
        <v>3384976.6799999936</v>
      </c>
      <c r="E162" s="89">
        <f>'AUX MODELO SESAJAL (ROLLING)'!G8</f>
        <v>6231366.3499999996</v>
      </c>
      <c r="F162" s="89">
        <f>'AUX MODELO SESAJAL (ROLLING)'!H8</f>
        <v>7271372.5000000028</v>
      </c>
      <c r="G162" s="89">
        <f>'AUX MODELO SESAJAL (ROLLING)'!I8</f>
        <v>5075841.2799999937</v>
      </c>
      <c r="H162" s="89">
        <f>'AUX MODELO SESAJAL (ROLLING)'!J8</f>
        <v>8591311.1500000246</v>
      </c>
      <c r="I162" s="89">
        <f ca="1">'AUX MODELO SESAJAL (ROLLING)'!K8</f>
        <v>8648393.2751271185</v>
      </c>
      <c r="J162" s="89">
        <f ca="1">'AUX MODELO SESAJAL (ROLLING)'!L8</f>
        <v>7825958.0486415233</v>
      </c>
      <c r="K162" s="89">
        <f ca="1">'AUX MODELO SESAJAL (ROLLING)'!M8</f>
        <v>7909684.5680728722</v>
      </c>
      <c r="L162" s="89">
        <f ca="1">'AUX MODELO SESAJAL (ROLLING)'!N8</f>
        <v>6751159.2810047176</v>
      </c>
      <c r="M162" s="89">
        <f>'AUX MODELO SESAJAL (ROLLING)'!O8</f>
        <v>7441228.6116821002</v>
      </c>
      <c r="N162" s="89">
        <f ca="1">SUM(B162,C162,D162,E162,F162,G162,H162,I162,J162,K162,L162,M162)</f>
        <v>79694544.864528343</v>
      </c>
      <c r="O162" s="89">
        <f>'AUX MODELO SESAJAL (ROLLING)'!Q8</f>
        <v>8525377.3589054681</v>
      </c>
      <c r="P162" s="89">
        <f>'AUX MODELO SESAJAL (ROLLING)'!R8</f>
        <v>7067262.9292104617</v>
      </c>
      <c r="Q162" s="89">
        <f>'AUX MODELO SESAJAL (ROLLING)'!S8</f>
        <v>5097487.2042104602</v>
      </c>
      <c r="R162" s="89">
        <f>'AUX MODELO SESAJAL (ROLLING)'!T8</f>
        <v>7244504.0477504712</v>
      </c>
      <c r="S162" s="89">
        <f>'AUX MODELO SESAJAL (ROLLING)'!U8</f>
        <v>9757821.1297754571</v>
      </c>
      <c r="T162" s="89">
        <f>'AUX MODELO SESAJAL (ROLLING)'!V8</f>
        <v>7951491.3107306343</v>
      </c>
      <c r="U162" s="89">
        <f>'AUX MODELO SESAJAL (ROLLING)'!W8</f>
        <v>10893502.363140639</v>
      </c>
      <c r="V162" s="89">
        <f ca="1">'AUX MODELO SESAJAL (ROLLING)'!X8</f>
        <v>12081872.49517218</v>
      </c>
      <c r="W162" s="89">
        <f ca="1">'AUX MODELO SESAJAL (ROLLING)'!Y8</f>
        <v>10563251.702949964</v>
      </c>
      <c r="X162" s="89">
        <f ca="1">'AUX MODELO SESAJAL (ROLLING)'!Z8</f>
        <v>10710215.625034448</v>
      </c>
      <c r="Y162" s="89">
        <f ca="1">'AUX MODELO SESAJAL (ROLLING)'!AA8</f>
        <v>9227247.6391488817</v>
      </c>
      <c r="Z162" s="89">
        <f>'AUX MODELO SESAJAL (ROLLING)'!AB8</f>
        <v>10095885.606783878</v>
      </c>
      <c r="AA162" s="89">
        <f ca="1">SUM(O162,P162,Q162,R162,S162,T162,U162,V162,W162,X162,Y162,Z162)</f>
        <v>109215919.41281295</v>
      </c>
      <c r="AB162" s="89">
        <f>'AUX MODELO SESAJAL (ROLLING)'!AD8</f>
        <v>11633745.478224089</v>
      </c>
      <c r="AC162" s="89">
        <f>'AUX MODELO SESAJAL (ROLLING)'!AE8</f>
        <v>9819630.9365985841</v>
      </c>
      <c r="AD162" s="89">
        <f>'AUX MODELO SESAJAL (ROLLING)'!AF8</f>
        <v>7420077.6399495788</v>
      </c>
      <c r="AE162" s="89">
        <f>'AUX MODELO SESAJAL (ROLLING)'!AG8</f>
        <v>9780024.2025700919</v>
      </c>
      <c r="AF162" s="89">
        <f>'AUX MODELO SESAJAL (ROLLING)'!AH8</f>
        <v>13109008.56520533</v>
      </c>
      <c r="AG162" s="89">
        <f>'AUX MODELO SESAJAL (ROLLING)'!AI8</f>
        <v>10828222.595374577</v>
      </c>
      <c r="AH162" s="89">
        <f>'AUX MODELO SESAJAL (ROLLING)'!AJ8</f>
        <v>14260169.30008759</v>
      </c>
      <c r="AI162" s="89">
        <f ca="1">'AUX MODELO SESAJAL (ROLLING)'!AK8</f>
        <v>15759169.024824088</v>
      </c>
      <c r="AJ162" s="89">
        <f ca="1">'AUX MODELO SESAJAL (ROLLING)'!AL8</f>
        <v>13898380.141630217</v>
      </c>
      <c r="AK162" s="89">
        <f ca="1">'AUX MODELO SESAJAL (ROLLING)'!AM8</f>
        <v>14191414.31957154</v>
      </c>
      <c r="AL162" s="89">
        <f ca="1">'AUX MODELO SESAJAL (ROLLING)'!AN8</f>
        <v>12363377.700398801</v>
      </c>
      <c r="AM162" s="89">
        <f>'AUX MODELO SESAJAL (ROLLING)'!AO8</f>
        <v>13399512.969860801</v>
      </c>
      <c r="AN162" s="89">
        <f ca="1">SUM(AB162,AC162,AD162,AE162,AF162,AG162,AH162,AI162,AJ162,AK162,AL162,AM162)</f>
        <v>146462732.87429529</v>
      </c>
      <c r="AO162" s="98"/>
      <c r="AP162" s="98"/>
    </row>
    <row r="163" spans="1:43" x14ac:dyDescent="0.3">
      <c r="A163" s="71" t="s">
        <v>1581</v>
      </c>
      <c r="B163" s="114">
        <f>'AUX MODELO SESAJAL (ROLLING)'!D9</f>
        <v>494367.55999999901</v>
      </c>
      <c r="C163" s="114">
        <f>'AUX MODELO SESAJAL (ROLLING)'!E9</f>
        <v>396171.07</v>
      </c>
      <c r="D163" s="114">
        <f>'AUX MODELO SESAJAL (ROLLING)'!F9</f>
        <v>343227.86</v>
      </c>
      <c r="E163" s="114">
        <f>'AUX MODELO SESAJAL (ROLLING)'!G9</f>
        <v>535156.62</v>
      </c>
      <c r="F163" s="114">
        <f>'AUX MODELO SESAJAL (ROLLING)'!H9</f>
        <v>519993.989999999</v>
      </c>
      <c r="G163" s="114">
        <f>'AUX MODELO SESAJAL (ROLLING)'!I9</f>
        <v>560717.71999999904</v>
      </c>
      <c r="H163" s="114">
        <f>'AUX MODELO SESAJAL (ROLLING)'!J9</f>
        <v>570275.00999999896</v>
      </c>
      <c r="I163" s="114">
        <f ca="1">'AUX MODELO SESAJAL (ROLLING)'!K9</f>
        <v>764149.51311240462</v>
      </c>
      <c r="J163" s="114">
        <f ca="1">'AUX MODELO SESAJAL (ROLLING)'!L9</f>
        <v>686656.50908526569</v>
      </c>
      <c r="K163" s="114">
        <f ca="1">'AUX MODELO SESAJAL (ROLLING)'!M9</f>
        <v>678743.57514243503</v>
      </c>
      <c r="L163" s="114">
        <f ca="1">'AUX MODELO SESAJAL (ROLLING)'!N9</f>
        <v>607363.15476611583</v>
      </c>
      <c r="M163" s="114">
        <f>'AUX MODELO SESAJAL (ROLLING)'!O9</f>
        <v>653773.01946611586</v>
      </c>
      <c r="N163" s="114">
        <f ca="1">SUM(B163,C163,D163,E163,F163:M163)</f>
        <v>6810595.601572332</v>
      </c>
      <c r="O163" s="114">
        <f>'AUX MODELO SESAJAL (ROLLING)'!Q9</f>
        <v>702680.18062499992</v>
      </c>
      <c r="P163" s="114">
        <f>'AUX MODELO SESAJAL (ROLLING)'!R9</f>
        <v>616591.50824999961</v>
      </c>
      <c r="Q163" s="114">
        <f>'AUX MODELO SESAJAL (ROLLING)'!S9</f>
        <v>491322.68324999959</v>
      </c>
      <c r="R163" s="114">
        <f>'AUX MODELO SESAJAL (ROLLING)'!T9</f>
        <v>672682.58175000001</v>
      </c>
      <c r="S163" s="114">
        <f>'AUX MODELO SESAJAL (ROLLING)'!U9</f>
        <v>792079.7823749996</v>
      </c>
      <c r="T163" s="114">
        <f>'AUX MODELO SESAJAL (ROLLING)'!V9</f>
        <v>671392.7148749996</v>
      </c>
      <c r="U163" s="114">
        <f>'AUX MODELO SESAJAL (ROLLING)'!W9</f>
        <v>886780.01512499992</v>
      </c>
      <c r="V163" s="114">
        <f ca="1">'AUX MODELO SESAJAL (ROLLING)'!X9</f>
        <v>955186.89139050583</v>
      </c>
      <c r="W163" s="114">
        <f ca="1">'AUX MODELO SESAJAL (ROLLING)'!Y9</f>
        <v>858320.63635658205</v>
      </c>
      <c r="X163" s="114">
        <f ca="1">'AUX MODELO SESAJAL (ROLLING)'!Z9</f>
        <v>848429.46892804385</v>
      </c>
      <c r="Y163" s="114">
        <f ca="1">'AUX MODELO SESAJAL (ROLLING)'!AA9</f>
        <v>759203.94345764478</v>
      </c>
      <c r="Z163" s="114">
        <f>'AUX MODELO SESAJAL (ROLLING)'!AB9</f>
        <v>817216.27433264465</v>
      </c>
      <c r="AA163" s="114">
        <f ca="1">SUM(O163,P163,Q163,R163,S163:Z163)</f>
        <v>9071886.6807154194</v>
      </c>
      <c r="AB163" s="114">
        <f>'AUX MODELO SESAJAL (ROLLING)'!AD9</f>
        <v>877195.10756250005</v>
      </c>
      <c r="AC163" s="114">
        <f>'AUX MODELO SESAJAL (ROLLING)'!AE9</f>
        <v>770718.44992499962</v>
      </c>
      <c r="AD163" s="114">
        <f>'AUX MODELO SESAJAL (ROLLING)'!AF9</f>
        <v>618631.7876999994</v>
      </c>
      <c r="AE163" s="114">
        <f>'AUX MODELO SESAJAL (ROLLING)'!AG9</f>
        <v>825603.44021250005</v>
      </c>
      <c r="AF163" s="114">
        <f>'AUX MODELO SESAJAL (ROLLING)'!AH9</f>
        <v>984452.0520937494</v>
      </c>
      <c r="AG163" s="114">
        <f>'AUX MODELO SESAJAL (ROLLING)'!AI9</f>
        <v>838640.7983249994</v>
      </c>
      <c r="AH163" s="114">
        <f>'AUX MODELO SESAJAL (ROLLING)'!AJ9</f>
        <v>1092419.8231500001</v>
      </c>
      <c r="AI163" s="114">
        <f ca="1">'AUX MODELO SESAJAL (ROLLING)'!AK9</f>
        <v>1178284.5516826576</v>
      </c>
      <c r="AJ163" s="114">
        <f ca="1">'AUX MODELO SESAJAL (ROLLING)'!AL9</f>
        <v>1060097.0675135567</v>
      </c>
      <c r="AK163" s="114">
        <f ca="1">'AUX MODELO SESAJAL (ROLLING)'!AM9</f>
        <v>1054049.3966439571</v>
      </c>
      <c r="AL163" s="114">
        <f ca="1">'AUX MODELO SESAJAL (ROLLING)'!AN9</f>
        <v>944722.84949493816</v>
      </c>
      <c r="AM163" s="114">
        <f>'AUX MODELO SESAJAL (ROLLING)'!AO9</f>
        <v>1013921.5540449382</v>
      </c>
      <c r="AN163" s="114">
        <f ca="1">SUM(AB163,AC163,AD163,AE163,AF163:AM163)</f>
        <v>11258736.878348794</v>
      </c>
      <c r="AO163" s="125"/>
      <c r="AP163" s="125"/>
    </row>
    <row r="164" spans="1:43" x14ac:dyDescent="0.3">
      <c r="A164" s="71" t="s">
        <v>1582</v>
      </c>
      <c r="B164" s="114">
        <f>'AUX MODELO SESAJAL (ROLLING)'!D10</f>
        <v>1160984.1099999989</v>
      </c>
      <c r="C164" s="114">
        <f>'AUX MODELO SESAJAL (ROLLING)'!E10</f>
        <v>1314802.3399999999</v>
      </c>
      <c r="D164" s="114">
        <f>'AUX MODELO SESAJAL (ROLLING)'!F10</f>
        <v>1630274.21</v>
      </c>
      <c r="E164" s="114">
        <f>'AUX MODELO SESAJAL (ROLLING)'!G10</f>
        <v>1744545.4399999981</v>
      </c>
      <c r="F164" s="114">
        <f>'AUX MODELO SESAJAL (ROLLING)'!H10</f>
        <v>2118876.5899999989</v>
      </c>
      <c r="G164" s="114">
        <f>'AUX MODELO SESAJAL (ROLLING)'!I10</f>
        <v>1773434.42</v>
      </c>
      <c r="H164" s="114">
        <f>'AUX MODELO SESAJAL (ROLLING)'!J10</f>
        <v>2415689.6599999988</v>
      </c>
      <c r="I164" s="114">
        <f ca="1">'AUX MODELO SESAJAL (ROLLING)'!K10</f>
        <v>1507233.9455927538</v>
      </c>
      <c r="J164" s="114">
        <f ca="1">'AUX MODELO SESAJAL (ROLLING)'!L10</f>
        <v>1431293.1949720064</v>
      </c>
      <c r="K164" s="114">
        <f ca="1">'AUX MODELO SESAJAL (ROLLING)'!M10</f>
        <v>1623977.7633464653</v>
      </c>
      <c r="L164" s="114">
        <f ca="1">'AUX MODELO SESAJAL (ROLLING)'!N10</f>
        <v>1564978.8258211315</v>
      </c>
      <c r="M164" s="114">
        <f ca="1">'AUX MODELO SESAJAL (ROLLING)'!O10</f>
        <v>1632497.7797332006</v>
      </c>
      <c r="N164" s="114">
        <f t="shared" ref="N164:N173" ca="1" si="120">SUM(B164,C164,D164,E164,F164,G164,H164,I164,J164,K164,L164,M164)</f>
        <v>19918588.279465552</v>
      </c>
      <c r="O164" s="114">
        <f>'AUX MODELO SESAJAL (ROLLING)'!Q10</f>
        <v>1797219.0191597696</v>
      </c>
      <c r="P164" s="114">
        <f>'AUX MODELO SESAJAL (ROLLING)'!R10</f>
        <v>1680976.4902847693</v>
      </c>
      <c r="Q164" s="114">
        <f>'AUX MODELO SESAJAL (ROLLING)'!S10</f>
        <v>1616293.8420347681</v>
      </c>
      <c r="R164" s="114">
        <f>'AUX MODELO SESAJAL (ROLLING)'!T10</f>
        <v>1225418.9001597695</v>
      </c>
      <c r="S164" s="114">
        <f>'AUX MODELO SESAJAL (ROLLING)'!U10</f>
        <v>1846776.0761597683</v>
      </c>
      <c r="T164" s="114">
        <f>'AUX MODELO SESAJAL (ROLLING)'!V10</f>
        <v>1818836.8021597678</v>
      </c>
      <c r="U164" s="114">
        <f>'AUX MODELO SESAJAL (ROLLING)'!W10</f>
        <v>1669816.3687847694</v>
      </c>
      <c r="V164" s="114">
        <f ca="1">'AUX MODELO SESAJAL (ROLLING)'!X10</f>
        <v>1833945.336133291</v>
      </c>
      <c r="W164" s="114">
        <f ca="1">'AUX MODELO SESAJAL (ROLLING)'!Y10</f>
        <v>1746427.7776755705</v>
      </c>
      <c r="X164" s="114">
        <f ca="1">'AUX MODELO SESAJAL (ROLLING)'!Z10</f>
        <v>1970495.6251459303</v>
      </c>
      <c r="Y164" s="114">
        <f ca="1">'AUX MODELO SESAJAL (ROLLING)'!AA10</f>
        <v>1906099.8024628004</v>
      </c>
      <c r="Z164" s="114">
        <f>'AUX MODELO SESAJAL (ROLLING)'!AB10</f>
        <v>1875586.3524628007</v>
      </c>
      <c r="AA164" s="114">
        <f t="shared" ref="AA164:AA173" ca="1" si="121">SUM(O164,P164,Q164,R164,S164,T164,U164,V164,W164,X164,Y164,Z164)</f>
        <v>20987892.392623775</v>
      </c>
      <c r="AB164" s="114">
        <f>'AUX MODELO SESAJAL (ROLLING)'!AD10</f>
        <v>2231079.6630197032</v>
      </c>
      <c r="AC164" s="114">
        <f>'AUX MODELO SESAJAL (ROLLING)'!AE10</f>
        <v>2079964.3754822034</v>
      </c>
      <c r="AD164" s="114">
        <f>'AUX MODELO SESAJAL (ROLLING)'!AF10</f>
        <v>1995876.9327572011</v>
      </c>
      <c r="AE164" s="114">
        <f>'AUX MODELO SESAJAL (ROLLING)'!AG10</f>
        <v>1487739.5083197034</v>
      </c>
      <c r="AF164" s="114">
        <f>'AUX MODELO SESAJAL (ROLLING)'!AH10</f>
        <v>2290465.3470009514</v>
      </c>
      <c r="AG164" s="114">
        <f>'AUX MODELO SESAJAL (ROLLING)'!AI10</f>
        <v>2253320.0513822017</v>
      </c>
      <c r="AH164" s="114">
        <f>'AUX MODELO SESAJAL (ROLLING)'!AJ10</f>
        <v>2057314.5012572033</v>
      </c>
      <c r="AI164" s="114">
        <f ca="1">'AUX MODELO SESAJAL (ROLLING)'!AK10</f>
        <v>2268116.3444602815</v>
      </c>
      <c r="AJ164" s="114">
        <f ca="1">'AUX MODELO SESAJAL (ROLLING)'!AL10</f>
        <v>2155952.6878402447</v>
      </c>
      <c r="AK164" s="114">
        <f ca="1">'AUX MODELO SESAJAL (ROLLING)'!AM10</f>
        <v>2446180.4483017125</v>
      </c>
      <c r="AL164" s="114">
        <f ca="1">'AUX MODELO SESAJAL (ROLLING)'!AN10</f>
        <v>2360633.7669386435</v>
      </c>
      <c r="AM164" s="114">
        <f>'AUX MODELO SESAJAL (ROLLING)'!AO10</f>
        <v>2322491.9544386435</v>
      </c>
      <c r="AN164" s="114">
        <f t="shared" ref="AN164:AN173" ca="1" si="122">SUM(AB164,AC164,AD164,AE164,AF164,AG164,AH164,AI164,AJ164,AK164,AL164,AM164)</f>
        <v>25949135.581198692</v>
      </c>
      <c r="AO164" s="125"/>
      <c r="AP164" s="125"/>
    </row>
    <row r="165" spans="1:43" x14ac:dyDescent="0.3">
      <c r="A165" s="71" t="s">
        <v>1583</v>
      </c>
      <c r="B165" s="114">
        <f>'AUX MODELO SESAJAL (ROLLING)'!D11</f>
        <v>4903313.0499999989</v>
      </c>
      <c r="C165" s="114">
        <f>'AUX MODELO SESAJAL (ROLLING)'!E11</f>
        <v>3759869.5099999895</v>
      </c>
      <c r="D165" s="114">
        <f>'AUX MODELO SESAJAL (ROLLING)'!F11</f>
        <v>4754130.8600000003</v>
      </c>
      <c r="E165" s="114">
        <f>'AUX MODELO SESAJAL (ROLLING)'!G11</f>
        <v>2869759.6499999887</v>
      </c>
      <c r="F165" s="114">
        <f>'AUX MODELO SESAJAL (ROLLING)'!H11</f>
        <v>3273861.0799999991</v>
      </c>
      <c r="G165" s="114">
        <f>'AUX MODELO SESAJAL (ROLLING)'!I11</f>
        <v>2087472.0499999968</v>
      </c>
      <c r="H165" s="114">
        <f>'AUX MODELO SESAJAL (ROLLING)'!J11</f>
        <v>2579457.3699999987</v>
      </c>
      <c r="I165" s="114">
        <f ca="1">'AUX MODELO SESAJAL (ROLLING)'!K11</f>
        <v>1903884.7291856317</v>
      </c>
      <c r="J165" s="114">
        <f ca="1">'AUX MODELO SESAJAL (ROLLING)'!L11</f>
        <v>1890969.228514442</v>
      </c>
      <c r="K165" s="114">
        <f ca="1">'AUX MODELO SESAJAL (ROLLING)'!M11</f>
        <v>1889650.4061906368</v>
      </c>
      <c r="L165" s="114">
        <f ca="1">'AUX MODELO SESAJAL (ROLLING)'!N11</f>
        <v>1877753.6694612501</v>
      </c>
      <c r="M165" s="114">
        <f>'AUX MODELO SESAJAL (ROLLING)'!O11</f>
        <v>1885488.6469112502</v>
      </c>
      <c r="N165" s="114">
        <f t="shared" ca="1" si="120"/>
        <v>33675610.250263184</v>
      </c>
      <c r="O165" s="114">
        <f>'AUX MODELO SESAJAL (ROLLING)'!Q11</f>
        <v>2073000.21737</v>
      </c>
      <c r="P165" s="114">
        <f>'AUX MODELO SESAJAL (ROLLING)'!R11</f>
        <v>2058652.1053074999</v>
      </c>
      <c r="Q165" s="114">
        <f>'AUX MODELO SESAJAL (ROLLING)'!S11</f>
        <v>2037773.9678074999</v>
      </c>
      <c r="R165" s="114">
        <f>'AUX MODELO SESAJAL (ROLLING)'!T11</f>
        <v>2068000.6175575</v>
      </c>
      <c r="S165" s="114">
        <f>'AUX MODELO SESAJAL (ROLLING)'!U11</f>
        <v>2087900.1509949998</v>
      </c>
      <c r="T165" s="114">
        <f>'AUX MODELO SESAJAL (ROLLING)'!V11</f>
        <v>2067785.6397449998</v>
      </c>
      <c r="U165" s="114">
        <f>'AUX MODELO SESAJAL (ROLLING)'!W11</f>
        <v>1943683.52312</v>
      </c>
      <c r="V165" s="114">
        <f ca="1">'AUX MODELO SESAJAL (ROLLING)'!X11</f>
        <v>1955084.6691642511</v>
      </c>
      <c r="W165" s="114">
        <f ca="1">'AUX MODELO SESAJAL (ROLLING)'!Y11</f>
        <v>1938940.2933252635</v>
      </c>
      <c r="X165" s="114">
        <f ca="1">'AUX MODELO SESAJAL (ROLLING)'!Z11</f>
        <v>1937291.7654205072</v>
      </c>
      <c r="Y165" s="114">
        <f ca="1">'AUX MODELO SESAJAL (ROLLING)'!AA11</f>
        <v>1922420.8445087741</v>
      </c>
      <c r="Z165" s="114">
        <f>'AUX MODELO SESAJAL (ROLLING)'!AB11</f>
        <v>1932089.5663212743</v>
      </c>
      <c r="AA165" s="114">
        <f t="shared" ca="1" si="121"/>
        <v>24022623.360642575</v>
      </c>
      <c r="AB165" s="114">
        <f>'AUX MODELO SESAJAL (ROLLING)'!AD11</f>
        <v>2010081.6418437783</v>
      </c>
      <c r="AC165" s="114">
        <f>'AUX MODELO SESAJAL (ROLLING)'!AE11</f>
        <v>1992335.5322375281</v>
      </c>
      <c r="AD165" s="114">
        <f>'AUX MODELO SESAJAL (ROLLING)'!AF11</f>
        <v>1966987.7552000282</v>
      </c>
      <c r="AE165" s="114">
        <f>'AUX MODELO SESAJAL (ROLLING)'!AG11</f>
        <v>2001483.0306187782</v>
      </c>
      <c r="AF165" s="114">
        <f>'AUX MODELO SESAJAL (ROLLING)'!AH11</f>
        <v>2027957.7992656531</v>
      </c>
      <c r="AG165" s="114">
        <f>'AUX MODELO SESAJAL (ROLLING)'!AI11</f>
        <v>2003655.9236375282</v>
      </c>
      <c r="AH165" s="114">
        <f>'AUX MODELO SESAJAL (ROLLING)'!AJ11</f>
        <v>2045952.4277750279</v>
      </c>
      <c r="AI165" s="114">
        <f ca="1">'AUX MODELO SESAJAL (ROLLING)'!AK11</f>
        <v>2060263.2158638046</v>
      </c>
      <c r="AJ165" s="114">
        <f ca="1">'AUX MODELO SESAJAL (ROLLING)'!AL11</f>
        <v>2040565.301835621</v>
      </c>
      <c r="AK165" s="114">
        <f ca="1">'AUX MODELO SESAJAL (ROLLING)'!AM11</f>
        <v>2039557.3566906874</v>
      </c>
      <c r="AL165" s="114">
        <f ca="1">'AUX MODELO SESAJAL (ROLLING)'!AN11</f>
        <v>2021336.2654991846</v>
      </c>
      <c r="AM165" s="114">
        <f>'AUX MODELO SESAJAL (ROLLING)'!AO11</f>
        <v>2032869.3829241844</v>
      </c>
      <c r="AN165" s="114">
        <f t="shared" ca="1" si="122"/>
        <v>24243045.633391805</v>
      </c>
      <c r="AO165" s="125"/>
      <c r="AP165" s="125"/>
      <c r="AQ165" s="95">
        <f ca="1">SUM(B165,C165,D165,E165,F165:M165)</f>
        <v>33675610.250263184</v>
      </c>
    </row>
    <row r="166" spans="1:43" x14ac:dyDescent="0.3">
      <c r="A166" s="70" t="s">
        <v>1584</v>
      </c>
      <c r="B166" s="89">
        <f>'AUX MODELO SESAJAL (ROLLING)'!D12</f>
        <v>-1436385.8899999945</v>
      </c>
      <c r="C166" s="89">
        <f>'AUX MODELO SESAJAL (ROLLING)'!E12</f>
        <v>-29868.629999997094</v>
      </c>
      <c r="D166" s="89">
        <f>'AUX MODELO SESAJAL (ROLLING)'!F12</f>
        <v>-3342656.2500000065</v>
      </c>
      <c r="E166" s="89">
        <f>'AUX MODELO SESAJAL (ROLLING)'!G12</f>
        <v>1081904.6400000127</v>
      </c>
      <c r="F166" s="153">
        <f>'AUX MODELO SESAJAL (ROLLING)'!H12</f>
        <v>1358640.8400000054</v>
      </c>
      <c r="G166" s="89">
        <f>'AUX MODELO SESAJAL (ROLLING)'!I12</f>
        <v>654217.08999999822</v>
      </c>
      <c r="H166" s="89">
        <f>'AUX MODELO SESAJAL (ROLLING)'!J12</f>
        <v>3025889.1100000278</v>
      </c>
      <c r="I166" s="89">
        <f ca="1">'AUX MODELO SESAJAL (ROLLING)'!K12</f>
        <v>4473125.087236329</v>
      </c>
      <c r="J166" s="89">
        <f ca="1">'AUX MODELO SESAJAL (ROLLING)'!L12</f>
        <v>3817039.1160698086</v>
      </c>
      <c r="K166" s="89">
        <f ca="1">'AUX MODELO SESAJAL (ROLLING)'!M12</f>
        <v>3717312.8233933356</v>
      </c>
      <c r="L166" s="89">
        <f ca="1">'AUX MODELO SESAJAL (ROLLING)'!N12</f>
        <v>2701063.6309562195</v>
      </c>
      <c r="M166" s="89">
        <f ca="1">'AUX MODELO SESAJAL (ROLLING)'!O12</f>
        <v>3269469.1655715331</v>
      </c>
      <c r="N166" s="89">
        <f t="shared" ca="1" si="120"/>
        <v>19289750.733227272</v>
      </c>
      <c r="O166" s="89">
        <f>'AUX MODELO SESAJAL (ROLLING)'!Q12</f>
        <v>3952477.9417506987</v>
      </c>
      <c r="P166" s="89">
        <f>'AUX MODELO SESAJAL (ROLLING)'!R12</f>
        <v>2711042.825368193</v>
      </c>
      <c r="Q166" s="89">
        <f>'AUX MODELO SESAJAL (ROLLING)'!S12</f>
        <v>952096.71111819218</v>
      </c>
      <c r="R166" s="89">
        <f>'AUX MODELO SESAJAL (ROLLING)'!T12</f>
        <v>3278401.9482832015</v>
      </c>
      <c r="S166" s="89">
        <f>'AUX MODELO SESAJAL (ROLLING)'!U12</f>
        <v>5031065.1202456895</v>
      </c>
      <c r="T166" s="89">
        <f>'AUX MODELO SESAJAL (ROLLING)'!V12</f>
        <v>3393476.1539508672</v>
      </c>
      <c r="U166" s="89">
        <f>'AUX MODELO SESAJAL (ROLLING)'!W12</f>
        <v>6393222.4561108705</v>
      </c>
      <c r="V166" s="89">
        <f ca="1">'AUX MODELO SESAJAL (ROLLING)'!X12</f>
        <v>7337655.5984841324</v>
      </c>
      <c r="W166" s="89">
        <f ca="1">'AUX MODELO SESAJAL (ROLLING)'!Y12</f>
        <v>6019562.9955925457</v>
      </c>
      <c r="X166" s="89">
        <f ca="1">'AUX MODELO SESAJAL (ROLLING)'!Z12</f>
        <v>5953998.7655399647</v>
      </c>
      <c r="Y166" s="89">
        <f ca="1">'AUX MODELO SESAJAL (ROLLING)'!AA12</f>
        <v>4639523.0487196632</v>
      </c>
      <c r="Z166" s="89">
        <f>'AUX MODELO SESAJAL (ROLLING)'!AB12</f>
        <v>5470993.4136671592</v>
      </c>
      <c r="AA166" s="89">
        <f t="shared" ca="1" si="121"/>
        <v>55133516.978831172</v>
      </c>
      <c r="AB166" s="89">
        <f>'AUX MODELO SESAJAL (ROLLING)'!AD12</f>
        <v>6515389.0657981085</v>
      </c>
      <c r="AC166" s="89">
        <f>'AUX MODELO SESAJAL (ROLLING)'!AE12</f>
        <v>4976612.5789538529</v>
      </c>
      <c r="AD166" s="89">
        <f>'AUX MODELO SESAJAL (ROLLING)'!AF12</f>
        <v>2838581.1642923504</v>
      </c>
      <c r="AE166" s="89">
        <f>'AUX MODELO SESAJAL (ROLLING)'!AG12</f>
        <v>5465198.2234191103</v>
      </c>
      <c r="AF166" s="89">
        <f>'AUX MODELO SESAJAL (ROLLING)'!AH12</f>
        <v>7806133.3668449763</v>
      </c>
      <c r="AG166" s="89">
        <f>'AUX MODELO SESAJAL (ROLLING)'!AI12</f>
        <v>5732605.8220298486</v>
      </c>
      <c r="AH166" s="89">
        <f>'AUX MODELO SESAJAL (ROLLING)'!AJ12</f>
        <v>9064482.5479053594</v>
      </c>
      <c r="AI166" s="89">
        <f ca="1">'AUX MODELO SESAJAL (ROLLING)'!AK12</f>
        <v>10252504.912817344</v>
      </c>
      <c r="AJ166" s="89">
        <f ca="1">'AUX MODELO SESAJAL (ROLLING)'!AL12</f>
        <v>8641765.0844407957</v>
      </c>
      <c r="AK166" s="89">
        <f ca="1">'AUX MODELO SESAJAL (ROLLING)'!AM12</f>
        <v>8651627.1179351825</v>
      </c>
      <c r="AL166" s="89">
        <f ca="1">'AUX MODELO SESAJAL (ROLLING)'!AN12</f>
        <v>7036684.8184660347</v>
      </c>
      <c r="AM166" s="89">
        <f>'AUX MODELO SESAJAL (ROLLING)'!AO12</f>
        <v>8030230.078453036</v>
      </c>
      <c r="AN166" s="89">
        <f t="shared" ca="1" si="122"/>
        <v>85011814.781356007</v>
      </c>
      <c r="AO166" s="98"/>
      <c r="AP166" s="98"/>
      <c r="AQ166" s="95">
        <f ca="1">SUM(B166,C166,D166,E166,F166:M166)</f>
        <v>19289750.733227272</v>
      </c>
    </row>
    <row r="167" spans="1:43" x14ac:dyDescent="0.3">
      <c r="A167" s="71" t="s">
        <v>1585</v>
      </c>
      <c r="B167" s="114">
        <f>'AUX MODELO SESAJAL (ROLLING)'!D13</f>
        <v>0</v>
      </c>
      <c r="C167" s="114">
        <f>'AUX MODELO SESAJAL (ROLLING)'!E13</f>
        <v>0</v>
      </c>
      <c r="D167" s="114">
        <f>'AUX MODELO SESAJAL (ROLLING)'!F13</f>
        <v>0</v>
      </c>
      <c r="E167" s="114">
        <f>'AUX MODELO SESAJAL (ROLLING)'!G13</f>
        <v>0</v>
      </c>
      <c r="F167" s="114">
        <f>'AUX MODELO SESAJAL (ROLLING)'!H13</f>
        <v>0</v>
      </c>
      <c r="G167" s="114">
        <f>'AUX MODELO SESAJAL (ROLLING)'!I13</f>
        <v>0</v>
      </c>
      <c r="H167" s="114">
        <f>'AUX MODELO SESAJAL (ROLLING)'!J13</f>
        <v>0</v>
      </c>
      <c r="I167" s="114">
        <f>'AUX MODELO SESAJAL (ROLLING)'!K13</f>
        <v>0</v>
      </c>
      <c r="J167" s="114">
        <f>'AUX MODELO SESAJAL (ROLLING)'!L13</f>
        <v>0</v>
      </c>
      <c r="K167" s="114">
        <f>'AUX MODELO SESAJAL (ROLLING)'!M13</f>
        <v>0</v>
      </c>
      <c r="L167" s="114">
        <f>'AUX MODELO SESAJAL (ROLLING)'!N13</f>
        <v>0</v>
      </c>
      <c r="M167" s="114">
        <f>'AUX MODELO SESAJAL (ROLLING)'!O13</f>
        <v>0</v>
      </c>
      <c r="N167" s="114">
        <f t="shared" si="120"/>
        <v>0</v>
      </c>
      <c r="O167" s="114">
        <f>'AUX MODELO SESAJAL (ROLLING)'!Q13</f>
        <v>0</v>
      </c>
      <c r="P167" s="114">
        <f>'AUX MODELO SESAJAL (ROLLING)'!R13</f>
        <v>0</v>
      </c>
      <c r="Q167" s="114">
        <f>'AUX MODELO SESAJAL (ROLLING)'!S13</f>
        <v>0</v>
      </c>
      <c r="R167" s="114">
        <f>'AUX MODELO SESAJAL (ROLLING)'!T13</f>
        <v>0</v>
      </c>
      <c r="S167" s="114">
        <f>'AUX MODELO SESAJAL (ROLLING)'!U13</f>
        <v>0</v>
      </c>
      <c r="T167" s="114">
        <f>'AUX MODELO SESAJAL (ROLLING)'!V13</f>
        <v>0</v>
      </c>
      <c r="U167" s="114">
        <f>'AUX MODELO SESAJAL (ROLLING)'!W13</f>
        <v>0</v>
      </c>
      <c r="V167" s="114">
        <f>'AUX MODELO SESAJAL (ROLLING)'!X13</f>
        <v>0</v>
      </c>
      <c r="W167" s="114">
        <f>'AUX MODELO SESAJAL (ROLLING)'!Y13</f>
        <v>0</v>
      </c>
      <c r="X167" s="114">
        <f>'AUX MODELO SESAJAL (ROLLING)'!Z13</f>
        <v>0</v>
      </c>
      <c r="Y167" s="114">
        <f>'AUX MODELO SESAJAL (ROLLING)'!AA13</f>
        <v>0</v>
      </c>
      <c r="Z167" s="114">
        <f>'AUX MODELO SESAJAL (ROLLING)'!AB13</f>
        <v>0</v>
      </c>
      <c r="AA167" s="114">
        <f t="shared" si="121"/>
        <v>0</v>
      </c>
      <c r="AB167" s="114">
        <f>'AUX MODELO SESAJAL (ROLLING)'!AD13</f>
        <v>0</v>
      </c>
      <c r="AC167" s="114">
        <f>'AUX MODELO SESAJAL (ROLLING)'!AE13</f>
        <v>0</v>
      </c>
      <c r="AD167" s="114">
        <f>'AUX MODELO SESAJAL (ROLLING)'!AF13</f>
        <v>0</v>
      </c>
      <c r="AE167" s="114">
        <f>'AUX MODELO SESAJAL (ROLLING)'!AG13</f>
        <v>0</v>
      </c>
      <c r="AF167" s="114">
        <f>'AUX MODELO SESAJAL (ROLLING)'!AH13</f>
        <v>0</v>
      </c>
      <c r="AG167" s="114">
        <f>'AUX MODELO SESAJAL (ROLLING)'!AI13</f>
        <v>0</v>
      </c>
      <c r="AH167" s="114">
        <f>'AUX MODELO SESAJAL (ROLLING)'!AJ13</f>
        <v>0</v>
      </c>
      <c r="AI167" s="114">
        <f>'AUX MODELO SESAJAL (ROLLING)'!AK13</f>
        <v>0</v>
      </c>
      <c r="AJ167" s="114">
        <f>'AUX MODELO SESAJAL (ROLLING)'!AL13</f>
        <v>0</v>
      </c>
      <c r="AK167" s="114">
        <f>'AUX MODELO SESAJAL (ROLLING)'!AM13</f>
        <v>0</v>
      </c>
      <c r="AL167" s="114">
        <f>'AUX MODELO SESAJAL (ROLLING)'!AN13</f>
        <v>0</v>
      </c>
      <c r="AM167" s="114">
        <f>'AUX MODELO SESAJAL (ROLLING)'!AO13</f>
        <v>0</v>
      </c>
      <c r="AN167" s="114">
        <f t="shared" si="122"/>
        <v>0</v>
      </c>
      <c r="AO167" s="125"/>
      <c r="AP167" s="125"/>
    </row>
    <row r="168" spans="1:43" x14ac:dyDescent="0.3">
      <c r="A168" s="70" t="s">
        <v>1586</v>
      </c>
      <c r="B168" s="89">
        <f>'AUX MODELO SESAJAL (ROLLING)'!D14</f>
        <v>-1436385.8899999945</v>
      </c>
      <c r="C168" s="89">
        <f>'AUX MODELO SESAJAL (ROLLING)'!E14</f>
        <v>-29868.629999997094</v>
      </c>
      <c r="D168" s="89">
        <f>'AUX MODELO SESAJAL (ROLLING)'!F14</f>
        <v>-3342656.2500000065</v>
      </c>
      <c r="E168" s="89">
        <f>'AUX MODELO SESAJAL (ROLLING)'!G14</f>
        <v>1081904.6400000127</v>
      </c>
      <c r="F168" s="89">
        <f>'AUX MODELO SESAJAL (ROLLING)'!H14</f>
        <v>1358640.8400000054</v>
      </c>
      <c r="G168" s="89">
        <f>'AUX MODELO SESAJAL (ROLLING)'!I14</f>
        <v>654217.08999999822</v>
      </c>
      <c r="H168" s="89">
        <f>'AUX MODELO SESAJAL (ROLLING)'!J14</f>
        <v>3025889.1100000278</v>
      </c>
      <c r="I168" s="89">
        <f ca="1">'AUX MODELO SESAJAL (ROLLING)'!K14</f>
        <v>4473125.087236329</v>
      </c>
      <c r="J168" s="89">
        <f ca="1">'AUX MODELO SESAJAL (ROLLING)'!L14</f>
        <v>3817039.1160698086</v>
      </c>
      <c r="K168" s="89">
        <f ca="1">'AUX MODELO SESAJAL (ROLLING)'!M14</f>
        <v>3717312.8233933356</v>
      </c>
      <c r="L168" s="89">
        <f ca="1">'AUX MODELO SESAJAL (ROLLING)'!N14</f>
        <v>2701063.6309562195</v>
      </c>
      <c r="M168" s="89">
        <f ca="1">'AUX MODELO SESAJAL (ROLLING)'!O14</f>
        <v>3269469.1655715331</v>
      </c>
      <c r="N168" s="89">
        <f t="shared" ca="1" si="120"/>
        <v>19289750.733227272</v>
      </c>
      <c r="O168" s="89">
        <f>'AUX MODELO SESAJAL (ROLLING)'!Q14</f>
        <v>3952477.9417506987</v>
      </c>
      <c r="P168" s="89">
        <f>'AUX MODELO SESAJAL (ROLLING)'!R14</f>
        <v>2711042.825368193</v>
      </c>
      <c r="Q168" s="89">
        <f>'AUX MODELO SESAJAL (ROLLING)'!S14</f>
        <v>952096.71111819218</v>
      </c>
      <c r="R168" s="89">
        <f>'AUX MODELO SESAJAL (ROLLING)'!T14</f>
        <v>3278401.9482832015</v>
      </c>
      <c r="S168" s="89">
        <f>'AUX MODELO SESAJAL (ROLLING)'!U14</f>
        <v>5031065.1202456895</v>
      </c>
      <c r="T168" s="89">
        <f>'AUX MODELO SESAJAL (ROLLING)'!V14</f>
        <v>3393476.1539508672</v>
      </c>
      <c r="U168" s="89">
        <f>'AUX MODELO SESAJAL (ROLLING)'!W14</f>
        <v>6393222.4561108705</v>
      </c>
      <c r="V168" s="89">
        <f ca="1">'AUX MODELO SESAJAL (ROLLING)'!X14</f>
        <v>7337655.5984841324</v>
      </c>
      <c r="W168" s="89">
        <f ca="1">'AUX MODELO SESAJAL (ROLLING)'!Y14</f>
        <v>6019562.9955925457</v>
      </c>
      <c r="X168" s="89">
        <f ca="1">'AUX MODELO SESAJAL (ROLLING)'!Z14</f>
        <v>5953998.7655399647</v>
      </c>
      <c r="Y168" s="89">
        <f ca="1">'AUX MODELO SESAJAL (ROLLING)'!AA14</f>
        <v>4639523.0487196632</v>
      </c>
      <c r="Z168" s="89">
        <f>'AUX MODELO SESAJAL (ROLLING)'!AB14</f>
        <v>5470993.4136671592</v>
      </c>
      <c r="AA168" s="89">
        <f t="shared" ca="1" si="121"/>
        <v>55133516.978831172</v>
      </c>
      <c r="AB168" s="89">
        <f>'AUX MODELO SESAJAL (ROLLING)'!AD14</f>
        <v>6515389.0657981085</v>
      </c>
      <c r="AC168" s="89">
        <f>'AUX MODELO SESAJAL (ROLLING)'!AE14</f>
        <v>4976612.5789538529</v>
      </c>
      <c r="AD168" s="89">
        <f>'AUX MODELO SESAJAL (ROLLING)'!AF14</f>
        <v>2838581.1642923504</v>
      </c>
      <c r="AE168" s="89">
        <f>'AUX MODELO SESAJAL (ROLLING)'!AG14</f>
        <v>5465198.2234191103</v>
      </c>
      <c r="AF168" s="89">
        <f>'AUX MODELO SESAJAL (ROLLING)'!AH14</f>
        <v>7806133.3668449763</v>
      </c>
      <c r="AG168" s="89">
        <f>'AUX MODELO SESAJAL (ROLLING)'!AI14</f>
        <v>5732605.8220298486</v>
      </c>
      <c r="AH168" s="89">
        <f>'AUX MODELO SESAJAL (ROLLING)'!AJ14</f>
        <v>9064482.5479053594</v>
      </c>
      <c r="AI168" s="89">
        <f ca="1">'AUX MODELO SESAJAL (ROLLING)'!AK14</f>
        <v>10252504.912817344</v>
      </c>
      <c r="AJ168" s="89">
        <f ca="1">'AUX MODELO SESAJAL (ROLLING)'!AL14</f>
        <v>8641765.0844407957</v>
      </c>
      <c r="AK168" s="89">
        <f ca="1">'AUX MODELO SESAJAL (ROLLING)'!AM14</f>
        <v>8651627.1179351825</v>
      </c>
      <c r="AL168" s="89">
        <f ca="1">'AUX MODELO SESAJAL (ROLLING)'!AN14</f>
        <v>7036684.8184660347</v>
      </c>
      <c r="AM168" s="89">
        <f>'AUX MODELO SESAJAL (ROLLING)'!AO14</f>
        <v>8030230.078453036</v>
      </c>
      <c r="AN168" s="89">
        <f t="shared" ca="1" si="122"/>
        <v>85011814.781356007</v>
      </c>
      <c r="AO168" s="98"/>
      <c r="AP168" s="98"/>
    </row>
    <row r="169" spans="1:43" x14ac:dyDescent="0.3">
      <c r="A169" s="71" t="s">
        <v>1587</v>
      </c>
      <c r="B169" s="114">
        <f>'AUX MODELO SESAJAL (ROLLING)'!D15</f>
        <v>1125368.8799999901</v>
      </c>
      <c r="C169" s="114">
        <f>'AUX MODELO SESAJAL (ROLLING)'!E15</f>
        <v>1176022.8899999999</v>
      </c>
      <c r="D169" s="114">
        <f>'AUX MODELO SESAJAL (ROLLING)'!F15</f>
        <v>1028103.30999999</v>
      </c>
      <c r="E169" s="114">
        <f>'AUX MODELO SESAJAL (ROLLING)'!G15</f>
        <v>1330732.07</v>
      </c>
      <c r="F169" s="114">
        <f>'AUX MODELO SESAJAL (ROLLING)'!H15</f>
        <v>1150136.8799999901</v>
      </c>
      <c r="G169" s="114">
        <f>'AUX MODELO SESAJAL (ROLLING)'!I15</f>
        <v>784790.69</v>
      </c>
      <c r="H169" s="114">
        <f>'AUX MODELO SESAJAL (ROLLING)'!J15</f>
        <v>1032556.85</v>
      </c>
      <c r="I169" s="114">
        <f>'AUX MODELO SESAJAL (ROLLING)'!K15</f>
        <v>1267197.2057774886</v>
      </c>
      <c r="J169" s="114">
        <f>'AUX MODELO SESAJAL (ROLLING)'!L15</f>
        <v>1435839.2742233332</v>
      </c>
      <c r="K169" s="114">
        <f>'AUX MODELO SESAJAL (ROLLING)'!M15</f>
        <v>1503784.3074408663</v>
      </c>
      <c r="L169" s="114">
        <f>'AUX MODELO SESAJAL (ROLLING)'!N15</f>
        <v>1497283.339934729</v>
      </c>
      <c r="M169" s="114">
        <f>'AUX MODELO SESAJAL (ROLLING)'!O15</f>
        <v>1490677.1576577767</v>
      </c>
      <c r="N169" s="114">
        <f t="shared" si="120"/>
        <v>14822492.855034163</v>
      </c>
      <c r="O169" s="114">
        <f>'AUX MODELO SESAJAL (ROLLING)'!Q15</f>
        <v>1483963.3997116764</v>
      </c>
      <c r="P169" s="114">
        <f>'AUX MODELO SESAJAL (ROLLING)'!R15</f>
        <v>1477139.6517664865</v>
      </c>
      <c r="Q169" s="114">
        <f>'AUX MODELO SESAJAL (ROLLING)'!S15</f>
        <v>1456401.361507769</v>
      </c>
      <c r="R169" s="114">
        <f>'AUX MODELO SESAJAL (ROLLING)'!T15</f>
        <v>1430517.0537656141</v>
      </c>
      <c r="S169" s="114">
        <f>'AUX MODELO SESAJAL (ROLLING)'!U15</f>
        <v>1409801.9860672113</v>
      </c>
      <c r="T169" s="114">
        <f>'AUX MODELO SESAJAL (ROLLING)'!V15</f>
        <v>1385909.1955772755</v>
      </c>
      <c r="U169" s="114">
        <f>'AUX MODELO SESAJAL (ROLLING)'!W15</f>
        <v>1365318.4346950862</v>
      </c>
      <c r="V169" s="114">
        <f>'AUX MODELO SESAJAL (ROLLING)'!X15</f>
        <v>1341888.3136444513</v>
      </c>
      <c r="W169" s="114">
        <f>'AUX MODELO SESAJAL (ROLLING)'!Y15</f>
        <v>1320143.2743857214</v>
      </c>
      <c r="X169" s="114">
        <f>'AUX MODELO SESAJAL (ROLLING)'!Z15</f>
        <v>1299614.8241818422</v>
      </c>
      <c r="Y169" s="114">
        <f>'AUX MODELO SESAJAL (ROLLING)'!AA15</f>
        <v>1278977.2380678821</v>
      </c>
      <c r="Z169" s="114">
        <f>'AUX MODELO SESAJAL (ROLLING)'!AB15</f>
        <v>1258523.3962524862</v>
      </c>
      <c r="AA169" s="114">
        <f t="shared" si="121"/>
        <v>16508198.129623502</v>
      </c>
      <c r="AB169" s="114">
        <f>'AUX MODELO SESAJAL (ROLLING)'!AD15</f>
        <v>725835.34434498253</v>
      </c>
      <c r="AC169" s="114">
        <f>'AUX MODELO SESAJAL (ROLLING)'!AE15</f>
        <v>705709.12168226484</v>
      </c>
      <c r="AD169" s="114">
        <f>'AUX MODELO SESAJAL (ROLLING)'!AF15</f>
        <v>685472.38456463651</v>
      </c>
      <c r="AE169" s="114">
        <f>'AUX MODELO SESAJAL (ROLLING)'!AG15</f>
        <v>665122.73851224105</v>
      </c>
      <c r="AF169" s="114">
        <f>'AUX MODELO SESAJAL (ROLLING)'!AH15</f>
        <v>644657.73716482567</v>
      </c>
      <c r="AG169" s="114">
        <f>'AUX MODELO SESAJAL (ROLLING)'!AI15</f>
        <v>624074.88115766447</v>
      </c>
      <c r="AH169" s="114">
        <f>'AUX MODELO SESAJAL (ROLLING)'!AJ15</f>
        <v>603371.6169731298</v>
      </c>
      <c r="AI169" s="114">
        <f>'AUX MODELO SESAJAL (ROLLING)'!AK15</f>
        <v>582545.33576737856</v>
      </c>
      <c r="AJ169" s="114">
        <f>'AUX MODELO SESAJAL (ROLLING)'!AL15</f>
        <v>561593.3696182844</v>
      </c>
      <c r="AK169" s="114">
        <f>'AUX MODELO SESAJAL (ROLLING)'!AM15</f>
        <v>541736.47269373026</v>
      </c>
      <c r="AL169" s="114">
        <f>'AUX MODELO SESAJAL (ROLLING)'!AN15</f>
        <v>521748.38814136648</v>
      </c>
      <c r="AM169" s="114">
        <f>'AUX MODELO SESAJAL (ROLLING)'!AO15</f>
        <v>501626.27356259036</v>
      </c>
      <c r="AN169" s="114">
        <f t="shared" si="122"/>
        <v>7363493.664183096</v>
      </c>
      <c r="AO169" s="125"/>
      <c r="AP169" s="125"/>
      <c r="AQ169" s="95">
        <f>SUM(B169,C169,D169,E169,F169:M169)</f>
        <v>14822492.855034163</v>
      </c>
    </row>
    <row r="170" spans="1:43" x14ac:dyDescent="0.3">
      <c r="A170" s="71" t="s">
        <v>1588</v>
      </c>
      <c r="B170" s="114">
        <f>'AUX MODELO SESAJAL (ROLLING)'!D16</f>
        <v>0</v>
      </c>
      <c r="C170" s="114">
        <f>'AUX MODELO SESAJAL (ROLLING)'!E16</f>
        <v>0</v>
      </c>
      <c r="D170" s="114">
        <f>'AUX MODELO SESAJAL (ROLLING)'!F16</f>
        <v>0</v>
      </c>
      <c r="E170" s="114">
        <f>'AUX MODELO SESAJAL (ROLLING)'!G16</f>
        <v>0</v>
      </c>
      <c r="F170" s="114">
        <f>'AUX MODELO SESAJAL (ROLLING)'!H16</f>
        <v>0</v>
      </c>
      <c r="G170" s="114">
        <f>'AUX MODELO SESAJAL (ROLLING)'!I16</f>
        <v>0</v>
      </c>
      <c r="H170" s="114">
        <f>'AUX MODELO SESAJAL (ROLLING)'!J16</f>
        <v>0</v>
      </c>
      <c r="I170" s="114">
        <f>'AUX MODELO SESAJAL (ROLLING)'!K16</f>
        <v>0</v>
      </c>
      <c r="J170" s="114">
        <f>'AUX MODELO SESAJAL (ROLLING)'!L16</f>
        <v>0</v>
      </c>
      <c r="K170" s="114">
        <f>'AUX MODELO SESAJAL (ROLLING)'!M16</f>
        <v>0</v>
      </c>
      <c r="L170" s="114">
        <f>'AUX MODELO SESAJAL (ROLLING)'!N16</f>
        <v>0</v>
      </c>
      <c r="M170" s="114">
        <f>'AUX MODELO SESAJAL (ROLLING)'!O16</f>
        <v>0</v>
      </c>
      <c r="N170" s="114">
        <f t="shared" si="120"/>
        <v>0</v>
      </c>
      <c r="O170" s="114">
        <f>'AUX MODELO SESAJAL (ROLLING)'!Q16</f>
        <v>0</v>
      </c>
      <c r="P170" s="114">
        <f>'AUX MODELO SESAJAL (ROLLING)'!R16</f>
        <v>0</v>
      </c>
      <c r="Q170" s="114">
        <f>'AUX MODELO SESAJAL (ROLLING)'!S16</f>
        <v>0</v>
      </c>
      <c r="R170" s="114">
        <f>'AUX MODELO SESAJAL (ROLLING)'!T16</f>
        <v>0</v>
      </c>
      <c r="S170" s="114">
        <f>'AUX MODELO SESAJAL (ROLLING)'!U16</f>
        <v>0</v>
      </c>
      <c r="T170" s="114">
        <f>'AUX MODELO SESAJAL (ROLLING)'!V16</f>
        <v>0</v>
      </c>
      <c r="U170" s="114">
        <f>'AUX MODELO SESAJAL (ROLLING)'!W16</f>
        <v>0</v>
      </c>
      <c r="V170" s="114">
        <f>'AUX MODELO SESAJAL (ROLLING)'!X16</f>
        <v>0</v>
      </c>
      <c r="W170" s="114">
        <f>'AUX MODELO SESAJAL (ROLLING)'!Y16</f>
        <v>0</v>
      </c>
      <c r="X170" s="114">
        <f>'AUX MODELO SESAJAL (ROLLING)'!Z16</f>
        <v>0</v>
      </c>
      <c r="Y170" s="114">
        <f>'AUX MODELO SESAJAL (ROLLING)'!AA16</f>
        <v>0</v>
      </c>
      <c r="Z170" s="114">
        <f>'AUX MODELO SESAJAL (ROLLING)'!AB16</f>
        <v>0</v>
      </c>
      <c r="AA170" s="114">
        <f t="shared" si="121"/>
        <v>0</v>
      </c>
      <c r="AB170" s="114">
        <f>'AUX MODELO SESAJAL (ROLLING)'!AD16</f>
        <v>0</v>
      </c>
      <c r="AC170" s="114">
        <f>'AUX MODELO SESAJAL (ROLLING)'!AE16</f>
        <v>0</v>
      </c>
      <c r="AD170" s="114">
        <f>'AUX MODELO SESAJAL (ROLLING)'!AF16</f>
        <v>0</v>
      </c>
      <c r="AE170" s="114">
        <f>'AUX MODELO SESAJAL (ROLLING)'!AG16</f>
        <v>0</v>
      </c>
      <c r="AF170" s="114">
        <f>'AUX MODELO SESAJAL (ROLLING)'!AH16</f>
        <v>0</v>
      </c>
      <c r="AG170" s="114">
        <f>'AUX MODELO SESAJAL (ROLLING)'!AI16</f>
        <v>0</v>
      </c>
      <c r="AH170" s="114">
        <f>'AUX MODELO SESAJAL (ROLLING)'!AJ16</f>
        <v>0</v>
      </c>
      <c r="AI170" s="114">
        <f>'AUX MODELO SESAJAL (ROLLING)'!AK16</f>
        <v>0</v>
      </c>
      <c r="AJ170" s="114">
        <f>'AUX MODELO SESAJAL (ROLLING)'!AL16</f>
        <v>0</v>
      </c>
      <c r="AK170" s="114">
        <f>'AUX MODELO SESAJAL (ROLLING)'!AM16</f>
        <v>0</v>
      </c>
      <c r="AL170" s="114">
        <f>'AUX MODELO SESAJAL (ROLLING)'!AN16</f>
        <v>0</v>
      </c>
      <c r="AM170" s="114">
        <f>'AUX MODELO SESAJAL (ROLLING)'!AO16</f>
        <v>0</v>
      </c>
      <c r="AN170" s="114">
        <f t="shared" si="122"/>
        <v>0</v>
      </c>
      <c r="AO170" s="125"/>
      <c r="AP170" s="125"/>
      <c r="AQ170" s="95">
        <f>SUM(B170,C170,D170,E170,F170:M170)</f>
        <v>0</v>
      </c>
    </row>
    <row r="171" spans="1:43" x14ac:dyDescent="0.3">
      <c r="A171" s="70" t="s">
        <v>1589</v>
      </c>
      <c r="B171" s="89">
        <f>'AUX MODELO SESAJAL (ROLLING)'!D17</f>
        <v>-2561754.7699999847</v>
      </c>
      <c r="C171" s="89">
        <f>'AUX MODELO SESAJAL (ROLLING)'!E17</f>
        <v>-1205891.519999997</v>
      </c>
      <c r="D171" s="89">
        <f>'AUX MODELO SESAJAL (ROLLING)'!F17</f>
        <v>-4370759.5599999968</v>
      </c>
      <c r="E171" s="89">
        <f>'AUX MODELO SESAJAL (ROLLING)'!G17</f>
        <v>-248827.42999998736</v>
      </c>
      <c r="F171" s="89">
        <f>'AUX MODELO SESAJAL (ROLLING)'!H17</f>
        <v>208503.96000001533</v>
      </c>
      <c r="G171" s="89">
        <f>'AUX MODELO SESAJAL (ROLLING)'!I17</f>
        <v>-130573.60000000172</v>
      </c>
      <c r="H171" s="89">
        <f>'AUX MODELO SESAJAL (ROLLING)'!J17</f>
        <v>1993332.2600000277</v>
      </c>
      <c r="I171" s="89">
        <f ca="1">'AUX MODELO SESAJAL (ROLLING)'!K17</f>
        <v>3205927.8814588403</v>
      </c>
      <c r="J171" s="89">
        <f ca="1">'AUX MODELO SESAJAL (ROLLING)'!L17</f>
        <v>2381199.8418464754</v>
      </c>
      <c r="K171" s="89">
        <f ca="1">'AUX MODELO SESAJAL (ROLLING)'!M17</f>
        <v>2213528.5159524693</v>
      </c>
      <c r="L171" s="89">
        <f ca="1">'AUX MODELO SESAJAL (ROLLING)'!N17</f>
        <v>1203780.2910214905</v>
      </c>
      <c r="M171" s="89">
        <f ca="1">'AUX MODELO SESAJAL (ROLLING)'!O17</f>
        <v>1778792.0079137564</v>
      </c>
      <c r="N171" s="89">
        <f t="shared" ca="1" si="120"/>
        <v>4467257.8781931084</v>
      </c>
      <c r="O171" s="89">
        <f>'AUX MODELO SESAJAL (ROLLING)'!Q17</f>
        <v>2468514.5420390223</v>
      </c>
      <c r="P171" s="89">
        <f>'AUX MODELO SESAJAL (ROLLING)'!R17</f>
        <v>1233903.1736017065</v>
      </c>
      <c r="Q171" s="89">
        <f>'AUX MODELO SESAJAL (ROLLING)'!S17</f>
        <v>-504304.6503895768</v>
      </c>
      <c r="R171" s="89">
        <f>'AUX MODELO SESAJAL (ROLLING)'!T17</f>
        <v>1847884.8945175875</v>
      </c>
      <c r="S171" s="89">
        <f>'AUX MODELO SESAJAL (ROLLING)'!U17</f>
        <v>3621263.1341784783</v>
      </c>
      <c r="T171" s="89">
        <f>'AUX MODELO SESAJAL (ROLLING)'!V17</f>
        <v>2007566.9583735918</v>
      </c>
      <c r="U171" s="89">
        <f>'AUX MODELO SESAJAL (ROLLING)'!W17</f>
        <v>5027904.021415784</v>
      </c>
      <c r="V171" s="89">
        <f ca="1">'AUX MODELO SESAJAL (ROLLING)'!X17</f>
        <v>5995767.2848396813</v>
      </c>
      <c r="W171" s="89">
        <f ca="1">'AUX MODELO SESAJAL (ROLLING)'!Y17</f>
        <v>4699419.7212068243</v>
      </c>
      <c r="X171" s="89">
        <f ca="1">'AUX MODELO SESAJAL (ROLLING)'!Z17</f>
        <v>4654383.941358123</v>
      </c>
      <c r="Y171" s="89">
        <f ca="1">'AUX MODELO SESAJAL (ROLLING)'!AA17</f>
        <v>3360545.810651781</v>
      </c>
      <c r="Z171" s="89">
        <f>'AUX MODELO SESAJAL (ROLLING)'!AB17</f>
        <v>4212470.0174146732</v>
      </c>
      <c r="AA171" s="89">
        <f t="shared" ca="1" si="121"/>
        <v>38625318.849207677</v>
      </c>
      <c r="AB171" s="89">
        <f>'AUX MODELO SESAJAL (ROLLING)'!AD17</f>
        <v>5789553.7214531256</v>
      </c>
      <c r="AC171" s="89">
        <f>'AUX MODELO SESAJAL (ROLLING)'!AE17</f>
        <v>4270903.457271588</v>
      </c>
      <c r="AD171" s="89">
        <f>'AUX MODELO SESAJAL (ROLLING)'!AF17</f>
        <v>2153108.7797277141</v>
      </c>
      <c r="AE171" s="89">
        <f>'AUX MODELO SESAJAL (ROLLING)'!AG17</f>
        <v>4800075.484906869</v>
      </c>
      <c r="AF171" s="89">
        <f>'AUX MODELO SESAJAL (ROLLING)'!AH17</f>
        <v>7161475.6296801511</v>
      </c>
      <c r="AG171" s="89">
        <f>'AUX MODELO SESAJAL (ROLLING)'!AI17</f>
        <v>5108530.940872184</v>
      </c>
      <c r="AH171" s="89">
        <f>'AUX MODELO SESAJAL (ROLLING)'!AJ17</f>
        <v>8461110.9309322294</v>
      </c>
      <c r="AI171" s="89">
        <f ca="1">'AUX MODELO SESAJAL (ROLLING)'!AK17</f>
        <v>9669959.577049965</v>
      </c>
      <c r="AJ171" s="89">
        <f ca="1">'AUX MODELO SESAJAL (ROLLING)'!AL17</f>
        <v>8080171.7148225112</v>
      </c>
      <c r="AK171" s="89">
        <f ca="1">'AUX MODELO SESAJAL (ROLLING)'!AM17</f>
        <v>8109890.6452414524</v>
      </c>
      <c r="AL171" s="89">
        <f ca="1">'AUX MODELO SESAJAL (ROLLING)'!AN17</f>
        <v>6514936.4303246681</v>
      </c>
      <c r="AM171" s="89">
        <f>'AUX MODELO SESAJAL (ROLLING)'!AO17</f>
        <v>7528603.8048904454</v>
      </c>
      <c r="AN171" s="89">
        <f t="shared" ca="1" si="122"/>
        <v>77648321.117172897</v>
      </c>
      <c r="AO171" s="98"/>
      <c r="AP171" s="98"/>
    </row>
    <row r="172" spans="1:43" x14ac:dyDescent="0.3">
      <c r="A172" s="71" t="s">
        <v>31</v>
      </c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>
        <f t="shared" si="120"/>
        <v>0</v>
      </c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14">
        <f t="shared" si="121"/>
        <v>0</v>
      </c>
      <c r="AB172" s="125"/>
      <c r="AC172" s="125"/>
      <c r="AD172" s="125"/>
      <c r="AE172" s="125"/>
      <c r="AF172" s="125"/>
      <c r="AG172" s="125"/>
      <c r="AH172" s="125"/>
      <c r="AI172" s="125"/>
      <c r="AJ172" s="125"/>
      <c r="AK172" s="125"/>
      <c r="AL172" s="125"/>
      <c r="AM172" s="125"/>
      <c r="AN172" s="114">
        <f t="shared" si="122"/>
        <v>0</v>
      </c>
      <c r="AO172" s="125"/>
      <c r="AP172" s="125"/>
    </row>
    <row r="173" spans="1:43" ht="15.6" x14ac:dyDescent="0.3">
      <c r="A173" s="72" t="s">
        <v>1590</v>
      </c>
      <c r="B173" s="140">
        <f>'AUX MODELO SESAJAL (ROLLING)'!D19</f>
        <v>-2561754.7699999847</v>
      </c>
      <c r="C173" s="140">
        <f>'AUX MODELO SESAJAL (ROLLING)'!E19</f>
        <v>-1205891.519999997</v>
      </c>
      <c r="D173" s="140">
        <f>'AUX MODELO SESAJAL (ROLLING)'!F19</f>
        <v>-4370759.5599999968</v>
      </c>
      <c r="E173" s="140">
        <f>'AUX MODELO SESAJAL (ROLLING)'!G19</f>
        <v>-248827.42999998736</v>
      </c>
      <c r="F173" s="140">
        <f>'AUX MODELO SESAJAL (ROLLING)'!H19</f>
        <v>145952.77200001074</v>
      </c>
      <c r="G173" s="140">
        <f>'AUX MODELO SESAJAL (ROLLING)'!I19</f>
        <v>-130573.60000000172</v>
      </c>
      <c r="H173" s="140">
        <f>'AUX MODELO SESAJAL (ROLLING)'!J19</f>
        <v>1395332.5820000195</v>
      </c>
      <c r="I173" s="140">
        <f ca="1">'AUX MODELO SESAJAL (ROLLING)'!K19</f>
        <v>2244149.5170211885</v>
      </c>
      <c r="J173" s="140">
        <f ca="1">'AUX MODELO SESAJAL (ROLLING)'!L19</f>
        <v>1666839.8892925328</v>
      </c>
      <c r="K173" s="140">
        <f ca="1">'AUX MODELO SESAJAL (ROLLING)'!M19</f>
        <v>1549469.9611667285</v>
      </c>
      <c r="L173" s="140">
        <f ca="1">'AUX MODELO SESAJAL (ROLLING)'!N19</f>
        <v>842646.20371504338</v>
      </c>
      <c r="M173" s="140">
        <f ca="1">'AUX MODELO SESAJAL (ROLLING)'!O19</f>
        <v>1245154.4055396295</v>
      </c>
      <c r="N173" s="140">
        <f t="shared" ca="1" si="120"/>
        <v>571738.4507351853</v>
      </c>
      <c r="O173" s="140">
        <f>'AUX MODELO SESAJAL (ROLLING)'!Q19</f>
        <v>1727960.1794273155</v>
      </c>
      <c r="P173" s="140">
        <f>'AUX MODELO SESAJAL (ROLLING)'!R19</f>
        <v>863732.22152119456</v>
      </c>
      <c r="Q173" s="140">
        <f>'AUX MODELO SESAJAL (ROLLING)'!S19</f>
        <v>-504304.6503895768</v>
      </c>
      <c r="R173" s="140">
        <f>'AUX MODELO SESAJAL (ROLLING)'!T19</f>
        <v>1293519.4261623113</v>
      </c>
      <c r="S173" s="140">
        <f>'AUX MODELO SESAJAL (ROLLING)'!U19</f>
        <v>2534884.1939249346</v>
      </c>
      <c r="T173" s="140">
        <f>'AUX MODELO SESAJAL (ROLLING)'!V19</f>
        <v>1405296.8708615142</v>
      </c>
      <c r="U173" s="140">
        <f>'AUX MODELO SESAJAL (ROLLING)'!W19</f>
        <v>3519532.8149910485</v>
      </c>
      <c r="V173" s="140">
        <f ca="1">'AUX MODELO SESAJAL (ROLLING)'!X19</f>
        <v>4197037.099387777</v>
      </c>
      <c r="W173" s="140">
        <f ca="1">'AUX MODELO SESAJAL (ROLLING)'!Y19</f>
        <v>3289593.8048447771</v>
      </c>
      <c r="X173" s="140">
        <f ca="1">'AUX MODELO SESAJAL (ROLLING)'!Z19</f>
        <v>3258068.7589506861</v>
      </c>
      <c r="Y173" s="140">
        <f ca="1">'AUX MODELO SESAJAL (ROLLING)'!AA19</f>
        <v>2352382.0674562468</v>
      </c>
      <c r="Z173" s="140">
        <f>'AUX MODELO SESAJAL (ROLLING)'!AB19</f>
        <v>2948729.0121902712</v>
      </c>
      <c r="AA173" s="140">
        <f t="shared" ca="1" si="121"/>
        <v>26886431.799328502</v>
      </c>
      <c r="AB173" s="140">
        <f>'AUX MODELO SESAJAL (ROLLING)'!AD19</f>
        <v>4052687.605017188</v>
      </c>
      <c r="AC173" s="140">
        <f>'AUX MODELO SESAJAL (ROLLING)'!AE19</f>
        <v>2989632.4200901119</v>
      </c>
      <c r="AD173" s="140">
        <f>'AUX MODELO SESAJAL (ROLLING)'!AF19</f>
        <v>1507176.1458093999</v>
      </c>
      <c r="AE173" s="140">
        <f>'AUX MODELO SESAJAL (ROLLING)'!AG19</f>
        <v>3360052.8394348081</v>
      </c>
      <c r="AF173" s="140">
        <f>'AUX MODELO SESAJAL (ROLLING)'!AH19</f>
        <v>5013032.940776106</v>
      </c>
      <c r="AG173" s="140">
        <f>'AUX MODELO SESAJAL (ROLLING)'!AI19</f>
        <v>3575971.6586105288</v>
      </c>
      <c r="AH173" s="140">
        <f>'AUX MODELO SESAJAL (ROLLING)'!AJ19</f>
        <v>5922777.6516525606</v>
      </c>
      <c r="AI173" s="140">
        <f ca="1">'AUX MODELO SESAJAL (ROLLING)'!AK19</f>
        <v>6768971.703934975</v>
      </c>
      <c r="AJ173" s="140">
        <f ca="1">'AUX MODELO SESAJAL (ROLLING)'!AL19</f>
        <v>5656120.2003757581</v>
      </c>
      <c r="AK173" s="140">
        <f ca="1">'AUX MODELO SESAJAL (ROLLING)'!AM19</f>
        <v>5676923.4516690169</v>
      </c>
      <c r="AL173" s="140">
        <f ca="1">'AUX MODELO SESAJAL (ROLLING)'!AN19</f>
        <v>4560455.501227268</v>
      </c>
      <c r="AM173" s="140">
        <f>'AUX MODELO SESAJAL (ROLLING)'!AO19</f>
        <v>5270022.6634233119</v>
      </c>
      <c r="AN173" s="140">
        <f t="shared" ca="1" si="122"/>
        <v>54353824.782021031</v>
      </c>
      <c r="AO173" s="141"/>
      <c r="AP173" s="141"/>
      <c r="AQ173" s="105"/>
    </row>
    <row r="174" spans="1:43" x14ac:dyDescent="0.3">
      <c r="A174" s="70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  <c r="AA174" s="93"/>
      <c r="AB174" s="98"/>
      <c r="AC174" s="98"/>
      <c r="AD174" s="98"/>
      <c r="AE174" s="98"/>
      <c r="AF174" s="98"/>
      <c r="AG174" s="98"/>
      <c r="AH174" s="98"/>
      <c r="AI174" s="98"/>
      <c r="AJ174" s="98"/>
      <c r="AK174" s="98"/>
      <c r="AL174" s="98"/>
      <c r="AM174" s="98"/>
      <c r="AN174" s="93"/>
      <c r="AO174" s="87"/>
      <c r="AP174" s="87"/>
    </row>
    <row r="175" spans="1:43" x14ac:dyDescent="0.3">
      <c r="A175" s="70" t="s">
        <v>1435</v>
      </c>
      <c r="B175" s="89">
        <f t="shared" ref="B175:T175" si="123">+B160+B161+B163+B164+B165+B167+B169</f>
        <v>13144415.169999983</v>
      </c>
      <c r="C175" s="89">
        <f t="shared" si="123"/>
        <v>11217546.04999999</v>
      </c>
      <c r="D175" s="89">
        <f t="shared" si="123"/>
        <v>11863324.879999986</v>
      </c>
      <c r="E175" s="89">
        <f t="shared" si="123"/>
        <v>11000127.399999987</v>
      </c>
      <c r="F175" s="89">
        <f t="shared" si="123"/>
        <v>11550905.359999971</v>
      </c>
      <c r="G175" s="89">
        <f t="shared" si="123"/>
        <v>10177259.709999993</v>
      </c>
      <c r="H175" s="89">
        <f t="shared" si="123"/>
        <v>11084740.789999984</v>
      </c>
      <c r="I175" s="89">
        <f t="shared" ca="1" si="123"/>
        <v>10014150.799989076</v>
      </c>
      <c r="J175" s="89">
        <f t="shared" ca="1" si="123"/>
        <v>9559916.3030046709</v>
      </c>
      <c r="K175" s="89">
        <f t="shared" ca="1" si="123"/>
        <v>9839619.7128062863</v>
      </c>
      <c r="L175" s="89">
        <f t="shared" ca="1" si="123"/>
        <v>9613027.254765382</v>
      </c>
      <c r="M175" s="89">
        <f t="shared" ca="1" si="123"/>
        <v>9765412.817271119</v>
      </c>
      <c r="N175" s="89">
        <f ca="1">SUM(B175,C175,D175,E175,F175,G175,H175,I175,J175,K175,L175,M175)</f>
        <v>128830446.24783641</v>
      </c>
      <c r="O175" s="89">
        <f t="shared" si="123"/>
        <v>10357033.665623479</v>
      </c>
      <c r="P175" s="89">
        <f t="shared" si="123"/>
        <v>10073268.533703286</v>
      </c>
      <c r="Q175" s="89">
        <f t="shared" si="123"/>
        <v>9754012.4551945683</v>
      </c>
      <c r="R175" s="89">
        <f t="shared" si="123"/>
        <v>9675791.682777416</v>
      </c>
      <c r="S175" s="89">
        <f t="shared" si="123"/>
        <v>10530983.56557901</v>
      </c>
      <c r="T175" s="89">
        <f t="shared" si="123"/>
        <v>10188494.285433901</v>
      </c>
      <c r="U175" s="89">
        <f t="shared" ref="U175:Z175" si="124">+U160+U161+U163+U164+U165+U167+U169</f>
        <v>10260939.384976715</v>
      </c>
      <c r="V175" s="89">
        <f t="shared" ca="1" si="124"/>
        <v>10529331.066970214</v>
      </c>
      <c r="W175" s="89">
        <f t="shared" ca="1" si="124"/>
        <v>10226975.459857106</v>
      </c>
      <c r="X175" s="89">
        <f t="shared" ca="1" si="124"/>
        <v>10412051.344590314</v>
      </c>
      <c r="Y175" s="89">
        <f t="shared" ca="1" si="124"/>
        <v>10160463.621581811</v>
      </c>
      <c r="Z175" s="89">
        <f t="shared" si="124"/>
        <v>10217786.014066417</v>
      </c>
      <c r="AA175" s="89">
        <f ca="1">SUM(O175,P175,Q175,R175,S175,T175,U175,V175,W175,X175,Y175,Z175)</f>
        <v>122387131.08035424</v>
      </c>
      <c r="AB175" s="89">
        <f t="shared" ref="AB175:AM175" si="125">+AB160+AB161+AB163+AB164+AB165+AB167+AB169</f>
        <v>10314887.360743128</v>
      </c>
      <c r="AC175" s="89">
        <f t="shared" si="125"/>
        <v>9944889.422952909</v>
      </c>
      <c r="AD175" s="89">
        <f t="shared" si="125"/>
        <v>9556670.1402902771</v>
      </c>
      <c r="AE175" s="89">
        <f t="shared" si="125"/>
        <v>9414530.1544903833</v>
      </c>
      <c r="AF175" s="89">
        <f t="shared" si="125"/>
        <v>10527200.650669215</v>
      </c>
      <c r="AG175" s="89">
        <f t="shared" si="125"/>
        <v>10210795.092008306</v>
      </c>
      <c r="AH175" s="89">
        <f t="shared" si="125"/>
        <v>10467807.124038773</v>
      </c>
      <c r="AI175" s="89">
        <f t="shared" ca="1" si="125"/>
        <v>10818063.512630396</v>
      </c>
      <c r="AJ175" s="89">
        <f t="shared" ca="1" si="125"/>
        <v>10450827.652745608</v>
      </c>
      <c r="AK175" s="89">
        <f t="shared" ca="1" si="125"/>
        <v>10709909.53065927</v>
      </c>
      <c r="AL175" s="89">
        <f t="shared" ca="1" si="125"/>
        <v>10400298.543399001</v>
      </c>
      <c r="AM175" s="89">
        <f t="shared" si="125"/>
        <v>10471205.531480225</v>
      </c>
      <c r="AN175" s="89">
        <f ca="1">SUM(AB175,AC175,AD175,AE175,AF175,AG175,AH175,AI175,AJ175,AK175,AL175,AM175)</f>
        <v>123287084.7161075</v>
      </c>
      <c r="AO175" s="98"/>
      <c r="AP175" s="98"/>
    </row>
    <row r="176" spans="1:43" x14ac:dyDescent="0.3">
      <c r="B176" s="142">
        <f t="shared" ref="B176:M176" si="126">+B175*B2</f>
        <v>249968657.72940665</v>
      </c>
      <c r="C176" s="142">
        <f t="shared" si="126"/>
        <v>208895386.05230981</v>
      </c>
      <c r="D176" s="142">
        <f t="shared" si="126"/>
        <v>218151122.22085574</v>
      </c>
      <c r="E176" s="142">
        <f t="shared" si="126"/>
        <v>198969204.39845979</v>
      </c>
      <c r="F176" s="142">
        <f t="shared" si="126"/>
        <v>205015864.14410347</v>
      </c>
      <c r="G176" s="142">
        <f t="shared" si="126"/>
        <v>175749062.48004788</v>
      </c>
      <c r="H176" s="142">
        <f t="shared" si="126"/>
        <v>0</v>
      </c>
      <c r="I176" s="142">
        <f t="shared" ca="1" si="126"/>
        <v>0</v>
      </c>
      <c r="J176" s="142">
        <f t="shared" ca="1" si="126"/>
        <v>0</v>
      </c>
      <c r="K176" s="142">
        <f t="shared" ca="1" si="126"/>
        <v>0</v>
      </c>
      <c r="L176" s="142">
        <f t="shared" ca="1" si="126"/>
        <v>0</v>
      </c>
      <c r="M176" s="142">
        <f t="shared" ca="1" si="126"/>
        <v>0</v>
      </c>
      <c r="N176" s="142">
        <f ca="1">SUM(B176,C176,D176,E176,F176,G176,H176,I176,J176,K176,L176,M176)</f>
        <v>1256749297.0251834</v>
      </c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2">
        <f>SUM(O176,P176,Q176,R176,S176,T176,U176,V176,W176,X176,Y176,Z176)</f>
        <v>0</v>
      </c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  <c r="AM176" s="143"/>
      <c r="AN176" s="142">
        <f>SUM(AB176,AC176,AD176,AE176,AF176,AG176,AH176,AI176,AJ176,AK176,AL176,AM176)</f>
        <v>0</v>
      </c>
      <c r="AO176" s="143"/>
      <c r="AP176" s="143"/>
      <c r="AQ176" s="95">
        <f ca="1">SUM(B176,C176,D176,E176,F176:M176)</f>
        <v>1256749297.0251834</v>
      </c>
    </row>
    <row r="177" spans="1:42" ht="18" x14ac:dyDescent="0.35">
      <c r="A177" s="81" t="s">
        <v>1676</v>
      </c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14"/>
      <c r="AB177" s="125"/>
      <c r="AC177" s="125"/>
      <c r="AD177" s="125"/>
      <c r="AE177" s="125"/>
      <c r="AF177" s="125"/>
      <c r="AG177" s="125"/>
      <c r="AH177" s="125"/>
      <c r="AI177" s="125"/>
      <c r="AJ177" s="125"/>
      <c r="AK177" s="125"/>
      <c r="AL177" s="125"/>
      <c r="AM177" s="125"/>
      <c r="AN177" s="114"/>
      <c r="AO177" s="125"/>
      <c r="AP177" s="125"/>
    </row>
    <row r="178" spans="1:42" x14ac:dyDescent="0.3">
      <c r="A178" s="70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  <c r="AA178" s="93"/>
      <c r="AB178" s="98"/>
      <c r="AC178" s="98"/>
      <c r="AD178" s="98"/>
      <c r="AE178" s="98"/>
      <c r="AF178" s="98"/>
      <c r="AG178" s="98"/>
      <c r="AH178" s="98"/>
      <c r="AI178" s="98"/>
      <c r="AJ178" s="98"/>
      <c r="AK178" s="98"/>
      <c r="AL178" s="98"/>
      <c r="AM178" s="98"/>
      <c r="AN178" s="93"/>
      <c r="AO178" s="87"/>
      <c r="AP178" s="87"/>
    </row>
    <row r="179" spans="1:42" x14ac:dyDescent="0.3">
      <c r="A179" s="70" t="s">
        <v>1576</v>
      </c>
      <c r="B179" s="144">
        <f t="shared" ref="B179:M179" si="127">+B158/B$158</f>
        <v>1</v>
      </c>
      <c r="C179" s="144">
        <f t="shared" si="127"/>
        <v>1</v>
      </c>
      <c r="D179" s="144">
        <f t="shared" si="127"/>
        <v>1</v>
      </c>
      <c r="E179" s="144">
        <f t="shared" si="127"/>
        <v>1</v>
      </c>
      <c r="F179" s="144">
        <f t="shared" si="127"/>
        <v>1</v>
      </c>
      <c r="G179" s="144">
        <f t="shared" si="127"/>
        <v>1</v>
      </c>
      <c r="H179" s="144">
        <f t="shared" si="127"/>
        <v>1</v>
      </c>
      <c r="I179" s="144">
        <f t="shared" ca="1" si="127"/>
        <v>1</v>
      </c>
      <c r="J179" s="144">
        <f t="shared" ca="1" si="127"/>
        <v>1</v>
      </c>
      <c r="K179" s="144">
        <f t="shared" ca="1" si="127"/>
        <v>1</v>
      </c>
      <c r="L179" s="144">
        <f t="shared" ca="1" si="127"/>
        <v>1</v>
      </c>
      <c r="M179" s="144">
        <f t="shared" si="127"/>
        <v>1</v>
      </c>
      <c r="N179" s="144">
        <f t="shared" ref="N179:N191" ca="1" si="128">AVERAGE(B179:M179)</f>
        <v>1</v>
      </c>
      <c r="O179" s="144">
        <f t="shared" ref="O179:Z179" si="129">+O158/O$158</f>
        <v>1</v>
      </c>
      <c r="P179" s="144">
        <f t="shared" si="129"/>
        <v>1</v>
      </c>
      <c r="Q179" s="144">
        <f t="shared" si="129"/>
        <v>1</v>
      </c>
      <c r="R179" s="144">
        <f t="shared" si="129"/>
        <v>1</v>
      </c>
      <c r="S179" s="144">
        <f t="shared" si="129"/>
        <v>1</v>
      </c>
      <c r="T179" s="144">
        <f t="shared" si="129"/>
        <v>1</v>
      </c>
      <c r="U179" s="144">
        <f t="shared" si="129"/>
        <v>1</v>
      </c>
      <c r="V179" s="144">
        <f t="shared" ca="1" si="129"/>
        <v>1</v>
      </c>
      <c r="W179" s="144">
        <f t="shared" ca="1" si="129"/>
        <v>1</v>
      </c>
      <c r="X179" s="144">
        <f t="shared" ca="1" si="129"/>
        <v>1</v>
      </c>
      <c r="Y179" s="144">
        <f t="shared" ca="1" si="129"/>
        <v>1</v>
      </c>
      <c r="Z179" s="144">
        <f t="shared" si="129"/>
        <v>1</v>
      </c>
      <c r="AA179" s="144">
        <f t="shared" ref="AA179:AA191" ca="1" si="130">AVERAGE(O179:Z179)</f>
        <v>1</v>
      </c>
      <c r="AB179" s="144">
        <f t="shared" ref="AB179:AM179" si="131">+AB158/AB$158</f>
        <v>1</v>
      </c>
      <c r="AC179" s="144">
        <f t="shared" si="131"/>
        <v>1</v>
      </c>
      <c r="AD179" s="144">
        <f t="shared" si="131"/>
        <v>1</v>
      </c>
      <c r="AE179" s="144">
        <f t="shared" si="131"/>
        <v>1</v>
      </c>
      <c r="AF179" s="144">
        <f t="shared" si="131"/>
        <v>1</v>
      </c>
      <c r="AG179" s="144">
        <f t="shared" si="131"/>
        <v>1</v>
      </c>
      <c r="AH179" s="144">
        <f t="shared" si="131"/>
        <v>1</v>
      </c>
      <c r="AI179" s="144">
        <f t="shared" ca="1" si="131"/>
        <v>1</v>
      </c>
      <c r="AJ179" s="144">
        <f t="shared" ca="1" si="131"/>
        <v>1</v>
      </c>
      <c r="AK179" s="144">
        <f t="shared" ca="1" si="131"/>
        <v>1</v>
      </c>
      <c r="AL179" s="144">
        <f t="shared" ca="1" si="131"/>
        <v>1</v>
      </c>
      <c r="AM179" s="144">
        <f t="shared" si="131"/>
        <v>1</v>
      </c>
      <c r="AN179" s="144">
        <f t="shared" ref="AN179:AN191" ca="1" si="132">AVERAGE(AB179:AM179)</f>
        <v>1</v>
      </c>
      <c r="AO179" s="145"/>
      <c r="AP179" s="145"/>
    </row>
    <row r="180" spans="1:42" x14ac:dyDescent="0.3">
      <c r="A180" s="71" t="s">
        <v>1577</v>
      </c>
      <c r="B180" s="146">
        <f>B159/B$158</f>
        <v>0.39884807084754714</v>
      </c>
      <c r="C180" s="146">
        <f t="shared" ref="C180:M180" si="133">C159/C$158</f>
        <v>0.3753183603570473</v>
      </c>
      <c r="D180" s="146">
        <f t="shared" si="133"/>
        <v>0.4003010980096226</v>
      </c>
      <c r="E180" s="146">
        <f t="shared" si="133"/>
        <v>0.39124514474685979</v>
      </c>
      <c r="F180" s="146">
        <f t="shared" si="133"/>
        <v>0.43388947770844172</v>
      </c>
      <c r="G180" s="146">
        <f t="shared" si="133"/>
        <v>0.41957584315053292</v>
      </c>
      <c r="H180" s="146">
        <f t="shared" si="133"/>
        <v>0.43722989022527137</v>
      </c>
      <c r="I180" s="146">
        <f t="shared" ca="1" si="133"/>
        <v>0.47039646139610508</v>
      </c>
      <c r="J180" s="146">
        <f t="shared" ca="1" si="133"/>
        <v>0.46764595260573572</v>
      </c>
      <c r="K180" s="146">
        <f t="shared" ca="1" si="133"/>
        <v>0.45638686113126548</v>
      </c>
      <c r="L180" s="146">
        <f t="shared" ca="1" si="133"/>
        <v>0.45481256311435075</v>
      </c>
      <c r="M180" s="146">
        <f t="shared" si="133"/>
        <v>0.45945455878654939</v>
      </c>
      <c r="N180" s="146">
        <f t="shared" ca="1" si="128"/>
        <v>0.4304253568399441</v>
      </c>
      <c r="O180" s="146">
        <f t="shared" ref="O180:Z180" si="134">O159/O$158</f>
        <v>0.44125530574331767</v>
      </c>
      <c r="P180" s="146">
        <f t="shared" si="134"/>
        <v>0.43862686271872453</v>
      </c>
      <c r="Q180" s="146">
        <f t="shared" si="134"/>
        <v>0.42368970493638392</v>
      </c>
      <c r="R180" s="146">
        <f t="shared" si="134"/>
        <v>0.47558385027407368</v>
      </c>
      <c r="S180" s="146">
        <f t="shared" si="134"/>
        <v>0.45304494386879457</v>
      </c>
      <c r="T180" s="146">
        <f t="shared" si="134"/>
        <v>0.44391887890017689</v>
      </c>
      <c r="U180" s="146">
        <f t="shared" si="134"/>
        <v>0.47221880220534396</v>
      </c>
      <c r="V180" s="146">
        <f t="shared" ca="1" si="134"/>
        <v>0.47039646139610508</v>
      </c>
      <c r="W180" s="146">
        <f t="shared" ca="1" si="134"/>
        <v>0.46764595260573577</v>
      </c>
      <c r="X180" s="146">
        <f t="shared" ca="1" si="134"/>
        <v>0.45638686113126553</v>
      </c>
      <c r="Y180" s="146">
        <f t="shared" ca="1" si="134"/>
        <v>0.45481256311435075</v>
      </c>
      <c r="Z180" s="146">
        <f t="shared" si="134"/>
        <v>0.45945455878654939</v>
      </c>
      <c r="AA180" s="146">
        <f t="shared" ca="1" si="130"/>
        <v>0.45475289547340186</v>
      </c>
      <c r="AB180" s="146">
        <f t="shared" ref="AB180:AM180" si="135">AB159/AB$158</f>
        <v>0.43798923397686557</v>
      </c>
      <c r="AC180" s="146">
        <f t="shared" si="135"/>
        <v>0.43536146940501441</v>
      </c>
      <c r="AD180" s="146">
        <f t="shared" si="135"/>
        <v>0.42055576980084919</v>
      </c>
      <c r="AE180" s="146">
        <f t="shared" si="135"/>
        <v>0.47294188981438773</v>
      </c>
      <c r="AF180" s="146">
        <f t="shared" si="135"/>
        <v>0.44995788361340089</v>
      </c>
      <c r="AG180" s="146">
        <f t="shared" si="135"/>
        <v>0.44081070092599661</v>
      </c>
      <c r="AH180" s="146">
        <f t="shared" si="135"/>
        <v>0.46956594628491249</v>
      </c>
      <c r="AI180" s="146">
        <f t="shared" ca="1" si="135"/>
        <v>0.46771399200585073</v>
      </c>
      <c r="AJ180" s="146">
        <f t="shared" ca="1" si="135"/>
        <v>0.46488344489579725</v>
      </c>
      <c r="AK180" s="146">
        <f t="shared" ca="1" si="135"/>
        <v>0.45342568028627961</v>
      </c>
      <c r="AL180" s="146">
        <f t="shared" ca="1" si="135"/>
        <v>0.45188865094246083</v>
      </c>
      <c r="AM180" s="146">
        <f t="shared" si="135"/>
        <v>0.45655108196158395</v>
      </c>
      <c r="AN180" s="146">
        <f t="shared" ca="1" si="132"/>
        <v>0.45180381199278336</v>
      </c>
      <c r="AO180" s="147"/>
      <c r="AP180" s="147"/>
    </row>
    <row r="181" spans="1:42" x14ac:dyDescent="0.3">
      <c r="A181" s="70" t="s">
        <v>1692</v>
      </c>
      <c r="B181" s="144">
        <f>B179-B180</f>
        <v>0.60115192915245286</v>
      </c>
      <c r="C181" s="144">
        <f t="shared" ref="C181:M181" si="136">C179-C180</f>
        <v>0.62468163964295265</v>
      </c>
      <c r="D181" s="144">
        <f t="shared" si="136"/>
        <v>0.59969890199037734</v>
      </c>
      <c r="E181" s="144">
        <f t="shared" si="136"/>
        <v>0.60875485525314021</v>
      </c>
      <c r="F181" s="144">
        <f t="shared" si="136"/>
        <v>0.56611052229155834</v>
      </c>
      <c r="G181" s="144">
        <f t="shared" si="136"/>
        <v>0.58042415684946702</v>
      </c>
      <c r="H181" s="144">
        <f t="shared" si="136"/>
        <v>0.56277010977472863</v>
      </c>
      <c r="I181" s="144">
        <f t="shared" ca="1" si="136"/>
        <v>0.52960353860389486</v>
      </c>
      <c r="J181" s="144">
        <f t="shared" ca="1" si="136"/>
        <v>0.53235404739426428</v>
      </c>
      <c r="K181" s="144">
        <f t="shared" ca="1" si="136"/>
        <v>0.54361313886873452</v>
      </c>
      <c r="L181" s="144">
        <f t="shared" ca="1" si="136"/>
        <v>0.5451874368856493</v>
      </c>
      <c r="M181" s="144">
        <f t="shared" si="136"/>
        <v>0.54054544121345061</v>
      </c>
      <c r="N181" s="144">
        <f t="shared" ca="1" si="128"/>
        <v>0.5695746431600559</v>
      </c>
      <c r="O181" s="144">
        <f t="shared" ref="O181:Z181" si="137">O179-O180</f>
        <v>0.55874469425668227</v>
      </c>
      <c r="P181" s="144">
        <f t="shared" si="137"/>
        <v>0.56137313728127547</v>
      </c>
      <c r="Q181" s="144">
        <f t="shared" si="137"/>
        <v>0.57631029506361608</v>
      </c>
      <c r="R181" s="144">
        <f t="shared" si="137"/>
        <v>0.52441614972592632</v>
      </c>
      <c r="S181" s="144">
        <f t="shared" si="137"/>
        <v>0.54695505613120543</v>
      </c>
      <c r="T181" s="144">
        <f t="shared" si="137"/>
        <v>0.55608112109982311</v>
      </c>
      <c r="U181" s="144">
        <f t="shared" si="137"/>
        <v>0.52778119779465604</v>
      </c>
      <c r="V181" s="144">
        <f t="shared" ca="1" si="137"/>
        <v>0.52960353860389486</v>
      </c>
      <c r="W181" s="144">
        <f t="shared" ca="1" si="137"/>
        <v>0.53235404739426428</v>
      </c>
      <c r="X181" s="144">
        <f t="shared" ca="1" si="137"/>
        <v>0.54361313886873441</v>
      </c>
      <c r="Y181" s="144">
        <f t="shared" ca="1" si="137"/>
        <v>0.5451874368856493</v>
      </c>
      <c r="Z181" s="144">
        <f t="shared" si="137"/>
        <v>0.54054544121345061</v>
      </c>
      <c r="AA181" s="144">
        <f t="shared" ca="1" si="130"/>
        <v>0.54524710452659819</v>
      </c>
      <c r="AB181" s="144">
        <f t="shared" ref="AB181:AM181" si="138">AB179-AB180</f>
        <v>0.56201076602313438</v>
      </c>
      <c r="AC181" s="144">
        <f t="shared" si="138"/>
        <v>0.56463853059498559</v>
      </c>
      <c r="AD181" s="144">
        <f t="shared" si="138"/>
        <v>0.57944423019915081</v>
      </c>
      <c r="AE181" s="144">
        <f t="shared" si="138"/>
        <v>0.52705811018561222</v>
      </c>
      <c r="AF181" s="144">
        <f t="shared" si="138"/>
        <v>0.55004211638659917</v>
      </c>
      <c r="AG181" s="144">
        <f t="shared" si="138"/>
        <v>0.55918929907400339</v>
      </c>
      <c r="AH181" s="144">
        <f t="shared" si="138"/>
        <v>0.53043405371508756</v>
      </c>
      <c r="AI181" s="144">
        <f t="shared" ca="1" si="138"/>
        <v>0.53228600799414927</v>
      </c>
      <c r="AJ181" s="144">
        <f t="shared" ca="1" si="138"/>
        <v>0.53511655510420275</v>
      </c>
      <c r="AK181" s="144">
        <f t="shared" ca="1" si="138"/>
        <v>0.54657431971372039</v>
      </c>
      <c r="AL181" s="144">
        <f t="shared" ca="1" si="138"/>
        <v>0.54811134905753911</v>
      </c>
      <c r="AM181" s="144">
        <f t="shared" si="138"/>
        <v>0.54344891803841611</v>
      </c>
      <c r="AN181" s="144">
        <f t="shared" ca="1" si="132"/>
        <v>0.5481961880072167</v>
      </c>
      <c r="AO181" s="147"/>
      <c r="AP181" s="147"/>
    </row>
    <row r="182" spans="1:42" x14ac:dyDescent="0.3">
      <c r="A182" s="71" t="s">
        <v>1578</v>
      </c>
      <c r="B182" s="146">
        <f t="shared" ref="B182:M191" si="139">B160/B$158</f>
        <v>0.18421484066861718</v>
      </c>
      <c r="C182" s="146">
        <f t="shared" si="139"/>
        <v>0.14385021387408364</v>
      </c>
      <c r="D182" s="146">
        <f t="shared" si="139"/>
        <v>0.14305448029454904</v>
      </c>
      <c r="E182" s="146">
        <f t="shared" si="139"/>
        <v>0.11744428555574457</v>
      </c>
      <c r="F182" s="146">
        <f t="shared" si="139"/>
        <v>0.10021128744005847</v>
      </c>
      <c r="G182" s="146">
        <f t="shared" si="139"/>
        <v>0.11831342519013906</v>
      </c>
      <c r="H182" s="146">
        <f t="shared" si="139"/>
        <v>8.3492486661451024E-2</v>
      </c>
      <c r="I182" s="146">
        <f t="shared" ca="1" si="139"/>
        <v>7.1911114344228616E-2</v>
      </c>
      <c r="J182" s="146">
        <f t="shared" ca="1" si="139"/>
        <v>6.188754538607124E-2</v>
      </c>
      <c r="K182" s="146">
        <f t="shared" ca="1" si="139"/>
        <v>6.2609043277850385E-2</v>
      </c>
      <c r="L182" s="146">
        <f t="shared" ca="1" si="139"/>
        <v>6.9967177852630569E-2</v>
      </c>
      <c r="M182" s="146">
        <f t="shared" si="139"/>
        <v>6.5000366496247089E-2</v>
      </c>
      <c r="N182" s="146">
        <f t="shared" ca="1" si="128"/>
        <v>0.10182968892013923</v>
      </c>
      <c r="O182" s="146">
        <f t="shared" ref="O182:Z182" si="140">O160/O$158</f>
        <v>6.0476283581611674E-2</v>
      </c>
      <c r="P182" s="146">
        <f t="shared" si="140"/>
        <v>6.8919998576149125E-2</v>
      </c>
      <c r="Q182" s="146">
        <f t="shared" si="140"/>
        <v>8.6492008855680383E-2</v>
      </c>
      <c r="R182" s="146">
        <f t="shared" si="140"/>
        <v>6.3173162236641503E-2</v>
      </c>
      <c r="S182" s="146">
        <f t="shared" si="140"/>
        <v>5.3650512001752741E-2</v>
      </c>
      <c r="T182" s="146">
        <f t="shared" si="140"/>
        <v>6.3294529310714151E-2</v>
      </c>
      <c r="U182" s="146">
        <f t="shared" si="140"/>
        <v>4.7921113631169819E-2</v>
      </c>
      <c r="V182" s="146">
        <f t="shared" ca="1" si="140"/>
        <v>4.4489184528896893E-2</v>
      </c>
      <c r="W182" s="146">
        <f t="shared" ca="1" si="140"/>
        <v>4.9510036308856996E-2</v>
      </c>
      <c r="X182" s="146">
        <f t="shared" ca="1" si="140"/>
        <v>5.0087234622280312E-2</v>
      </c>
      <c r="Y182" s="146">
        <f t="shared" ca="1" si="140"/>
        <v>5.5973742282104451E-2</v>
      </c>
      <c r="Z182" s="146">
        <f t="shared" si="140"/>
        <v>5.2000293196997678E-2</v>
      </c>
      <c r="AA182" s="146">
        <f t="shared" ca="1" si="130"/>
        <v>5.7999008261071315E-2</v>
      </c>
      <c r="AB182" s="146">
        <f t="shared" ref="AB182:AM182" si="141">AB160/AB$158</f>
        <v>4.8444736529299232E-2</v>
      </c>
      <c r="AC182" s="146">
        <f t="shared" si="141"/>
        <v>5.513749654597077E-2</v>
      </c>
      <c r="AD182" s="146">
        <f t="shared" si="141"/>
        <v>6.8692696876519799E-2</v>
      </c>
      <c r="AE182" s="146">
        <f t="shared" si="141"/>
        <v>5.1472031002823583E-2</v>
      </c>
      <c r="AF182" s="146">
        <f t="shared" si="141"/>
        <v>4.3166638517615451E-2</v>
      </c>
      <c r="AG182" s="146">
        <f t="shared" si="141"/>
        <v>5.067185612187125E-2</v>
      </c>
      <c r="AH182" s="146">
        <f t="shared" si="141"/>
        <v>3.8900324737901212E-2</v>
      </c>
      <c r="AI182" s="146">
        <f t="shared" ca="1" si="141"/>
        <v>3.6065554631917761E-2</v>
      </c>
      <c r="AJ182" s="146">
        <f t="shared" ca="1" si="141"/>
        <v>4.0086410172163002E-2</v>
      </c>
      <c r="AK182" s="146">
        <f t="shared" ca="1" si="141"/>
        <v>4.0316408325794986E-2</v>
      </c>
      <c r="AL182" s="146">
        <f t="shared" ca="1" si="141"/>
        <v>4.4981960469543301E-2</v>
      </c>
      <c r="AM182" s="146">
        <f t="shared" si="141"/>
        <v>4.1912005619294847E-2</v>
      </c>
      <c r="AN182" s="146">
        <f t="shared" ca="1" si="132"/>
        <v>4.6654009962559605E-2</v>
      </c>
      <c r="AO182" s="147"/>
      <c r="AP182" s="147"/>
    </row>
    <row r="183" spans="1:42" x14ac:dyDescent="0.3">
      <c r="A183" s="71" t="s">
        <v>1579</v>
      </c>
      <c r="B183" s="146">
        <f t="shared" si="139"/>
        <v>0.12596414936247152</v>
      </c>
      <c r="C183" s="146">
        <f t="shared" si="139"/>
        <v>0.14133941367959965</v>
      </c>
      <c r="D183" s="146">
        <f t="shared" si="139"/>
        <v>0.18571361074374823</v>
      </c>
      <c r="E183" s="146">
        <f t="shared" si="139"/>
        <v>0.14463621265648699</v>
      </c>
      <c r="F183" s="146">
        <f t="shared" si="139"/>
        <v>0.11584759775520051</v>
      </c>
      <c r="G183" s="146">
        <f t="shared" si="139"/>
        <v>0.16886568916583675</v>
      </c>
      <c r="H183" s="146">
        <f t="shared" si="139"/>
        <v>0.10957995431226421</v>
      </c>
      <c r="I183" s="146">
        <f t="shared" ca="1" si="139"/>
        <v>0.11123308826698478</v>
      </c>
      <c r="J183" s="146">
        <f t="shared" ca="1" si="139"/>
        <v>0.12157278123750646</v>
      </c>
      <c r="K183" s="146">
        <f t="shared" ca="1" si="139"/>
        <v>0.12426672093117808</v>
      </c>
      <c r="L183" s="146">
        <f t="shared" ca="1" si="139"/>
        <v>0.13494913847940118</v>
      </c>
      <c r="M183" s="146">
        <f t="shared" si="139"/>
        <v>0.1271172475968165</v>
      </c>
      <c r="N183" s="146">
        <f t="shared" ca="1" si="128"/>
        <v>0.13425713368229125</v>
      </c>
      <c r="O183" s="146">
        <f t="shared" ref="O183:Z183" si="142">O161/O$158</f>
        <v>0.12686055436382424</v>
      </c>
      <c r="P183" s="146">
        <f t="shared" si="142"/>
        <v>0.14158099620467993</v>
      </c>
      <c r="Q183" s="146">
        <f t="shared" si="142"/>
        <v>0.17221535033838767</v>
      </c>
      <c r="R183" s="146">
        <f t="shared" si="142"/>
        <v>0.13156218692945376</v>
      </c>
      <c r="S183" s="146">
        <f t="shared" si="142"/>
        <v>0.11618494488970421</v>
      </c>
      <c r="T183" s="146">
        <f t="shared" si="142"/>
        <v>0.13023723145921703</v>
      </c>
      <c r="U183" s="146">
        <f t="shared" si="142"/>
        <v>0.103809027025091</v>
      </c>
      <c r="V183" s="146">
        <f t="shared" ca="1" si="142"/>
        <v>9.7909250045861887E-2</v>
      </c>
      <c r="W183" s="146">
        <f t="shared" ca="1" si="142"/>
        <v>0.10610269280356467</v>
      </c>
      <c r="X183" s="146">
        <f t="shared" ca="1" si="142"/>
        <v>0.10708984134337507</v>
      </c>
      <c r="Y183" s="146">
        <f t="shared" ca="1" si="142"/>
        <v>0.11715719134395687</v>
      </c>
      <c r="Z183" s="146">
        <f t="shared" si="142"/>
        <v>0.11036163361075646</v>
      </c>
      <c r="AA183" s="146">
        <f t="shared" ca="1" si="130"/>
        <v>0.12175590836315604</v>
      </c>
      <c r="AB183" s="146">
        <f t="shared" ref="AB183:AM183" si="143">AB161/AB$158</f>
        <v>0.10757303820877322</v>
      </c>
      <c r="AC183" s="146">
        <f t="shared" si="143"/>
        <v>0.1194741090831154</v>
      </c>
      <c r="AD183" s="146">
        <f t="shared" si="143"/>
        <v>0.14357797646337736</v>
      </c>
      <c r="AE183" s="146">
        <f t="shared" si="143"/>
        <v>0.11295617550895619</v>
      </c>
      <c r="AF183" s="146">
        <f t="shared" si="143"/>
        <v>9.9241424271323445E-2</v>
      </c>
      <c r="AG183" s="146">
        <f t="shared" si="143"/>
        <v>0.11326335733970713</v>
      </c>
      <c r="AH183" s="146">
        <f t="shared" si="143"/>
        <v>9.1929304332193526E-2</v>
      </c>
      <c r="AI183" s="146">
        <f t="shared" ca="1" si="143"/>
        <v>8.6791728452514788E-2</v>
      </c>
      <c r="AJ183" s="146">
        <f t="shared" ca="1" si="143"/>
        <v>9.3688956828926806E-2</v>
      </c>
      <c r="AK183" s="146">
        <f t="shared" ca="1" si="143"/>
        <v>9.4103555071858483E-2</v>
      </c>
      <c r="AL183" s="146">
        <f t="shared" ca="1" si="143"/>
        <v>0.10251375180847777</v>
      </c>
      <c r="AM183" s="146">
        <f t="shared" si="143"/>
        <v>9.6979803528053007E-2</v>
      </c>
      <c r="AN183" s="146">
        <f t="shared" ca="1" si="132"/>
        <v>0.10517443174143976</v>
      </c>
      <c r="AO183" s="147"/>
      <c r="AP183" s="147"/>
    </row>
    <row r="184" spans="1:42" x14ac:dyDescent="0.3">
      <c r="A184" s="70" t="s">
        <v>1580</v>
      </c>
      <c r="B184" s="144">
        <f t="shared" ref="B184:M184" si="144">+B179-B180-B182-B183</f>
        <v>0.29097293912136418</v>
      </c>
      <c r="C184" s="144">
        <f t="shared" si="144"/>
        <v>0.33949201208926938</v>
      </c>
      <c r="D184" s="144">
        <f t="shared" si="144"/>
        <v>0.27093081095208005</v>
      </c>
      <c r="E184" s="144">
        <f t="shared" si="144"/>
        <v>0.34667435704090865</v>
      </c>
      <c r="F184" s="144">
        <f t="shared" si="144"/>
        <v>0.35005163709629938</v>
      </c>
      <c r="G184" s="144">
        <f t="shared" si="144"/>
        <v>0.29324504249349126</v>
      </c>
      <c r="H184" s="144">
        <f t="shared" si="144"/>
        <v>0.3696976688010134</v>
      </c>
      <c r="I184" s="144">
        <f t="shared" ca="1" si="144"/>
        <v>0.34645933599268153</v>
      </c>
      <c r="J184" s="144">
        <f t="shared" ca="1" si="144"/>
        <v>0.34889372077068659</v>
      </c>
      <c r="K184" s="144">
        <f t="shared" ca="1" si="144"/>
        <v>0.35673737465970606</v>
      </c>
      <c r="L184" s="144">
        <f t="shared" ca="1" si="144"/>
        <v>0.34027112055361752</v>
      </c>
      <c r="M184" s="144">
        <f t="shared" si="144"/>
        <v>0.348427827120387</v>
      </c>
      <c r="N184" s="144">
        <f t="shared" ca="1" si="128"/>
        <v>0.33348782055762549</v>
      </c>
      <c r="O184" s="144">
        <f t="shared" ref="O184:Z184" si="145">+O179-O180-O182-O183</f>
        <v>0.3714078563112464</v>
      </c>
      <c r="P184" s="144">
        <f t="shared" si="145"/>
        <v>0.3508721425004464</v>
      </c>
      <c r="Q184" s="144">
        <f t="shared" si="145"/>
        <v>0.31760293586954802</v>
      </c>
      <c r="R184" s="144">
        <f t="shared" si="145"/>
        <v>0.32968080055983107</v>
      </c>
      <c r="S184" s="144">
        <f t="shared" si="145"/>
        <v>0.37711959923974847</v>
      </c>
      <c r="T184" s="144">
        <f t="shared" si="145"/>
        <v>0.36254936032989193</v>
      </c>
      <c r="U184" s="144">
        <f t="shared" si="145"/>
        <v>0.37605105713839526</v>
      </c>
      <c r="V184" s="144">
        <f t="shared" ca="1" si="145"/>
        <v>0.3872051040291361</v>
      </c>
      <c r="W184" s="144">
        <f t="shared" ca="1" si="145"/>
        <v>0.37674131828184265</v>
      </c>
      <c r="X184" s="144">
        <f t="shared" ca="1" si="145"/>
        <v>0.38643606290307903</v>
      </c>
      <c r="Y184" s="144">
        <f t="shared" ca="1" si="145"/>
        <v>0.372056503259588</v>
      </c>
      <c r="Z184" s="144">
        <f t="shared" si="145"/>
        <v>0.37818351440569647</v>
      </c>
      <c r="AA184" s="144">
        <f t="shared" ca="1" si="130"/>
        <v>0.36549218790237087</v>
      </c>
      <c r="AB184" s="144">
        <f t="shared" ref="AB184:AM184" si="146">+AB179-AB180-AB182-AB183</f>
        <v>0.40599299128506189</v>
      </c>
      <c r="AC184" s="144">
        <f t="shared" si="146"/>
        <v>0.39002692496589941</v>
      </c>
      <c r="AD184" s="144">
        <f t="shared" si="146"/>
        <v>0.36717355685925368</v>
      </c>
      <c r="AE184" s="144">
        <f t="shared" si="146"/>
        <v>0.36262990367383241</v>
      </c>
      <c r="AF184" s="144">
        <f t="shared" si="146"/>
        <v>0.40763405359766025</v>
      </c>
      <c r="AG184" s="144">
        <f t="shared" si="146"/>
        <v>0.39525408561242503</v>
      </c>
      <c r="AH184" s="144">
        <f t="shared" si="146"/>
        <v>0.3996044246449928</v>
      </c>
      <c r="AI184" s="144">
        <f t="shared" ca="1" si="146"/>
        <v>0.40942872490971671</v>
      </c>
      <c r="AJ184" s="144">
        <f t="shared" ca="1" si="146"/>
        <v>0.40134118810311292</v>
      </c>
      <c r="AK184" s="144">
        <f t="shared" ca="1" si="146"/>
        <v>0.41215435631606695</v>
      </c>
      <c r="AL184" s="144">
        <f t="shared" ca="1" si="146"/>
        <v>0.40061563677951806</v>
      </c>
      <c r="AM184" s="144">
        <f t="shared" si="146"/>
        <v>0.40455710889106822</v>
      </c>
      <c r="AN184" s="144">
        <f t="shared" ca="1" si="132"/>
        <v>0.39636774630321742</v>
      </c>
      <c r="AO184" s="145"/>
      <c r="AP184" s="145"/>
    </row>
    <row r="185" spans="1:42" x14ac:dyDescent="0.3">
      <c r="A185" s="71" t="s">
        <v>1581</v>
      </c>
      <c r="B185" s="146">
        <f t="shared" si="139"/>
        <v>2.8082731673444834E-2</v>
      </c>
      <c r="C185" s="146">
        <f t="shared" si="139"/>
        <v>2.4719270211045051E-2</v>
      </c>
      <c r="D185" s="146">
        <f t="shared" si="139"/>
        <v>2.7471681858424853E-2</v>
      </c>
      <c r="E185" s="146">
        <f t="shared" si="139"/>
        <v>3.1030126851989904E-2</v>
      </c>
      <c r="F185" s="146">
        <f t="shared" si="139"/>
        <v>2.503306596928383E-2</v>
      </c>
      <c r="G185" s="146">
        <f t="shared" si="139"/>
        <v>3.2394175183557646E-2</v>
      </c>
      <c r="H185" s="146">
        <f t="shared" si="139"/>
        <v>2.4539833104807712E-2</v>
      </c>
      <c r="I185" s="146">
        <f t="shared" ca="1" si="139"/>
        <v>3.0612244897959179E-2</v>
      </c>
      <c r="J185" s="146">
        <f t="shared" ca="1" si="139"/>
        <v>3.0612244897959186E-2</v>
      </c>
      <c r="K185" s="146">
        <f t="shared" ca="1" si="139"/>
        <v>3.0612244897959179E-2</v>
      </c>
      <c r="L185" s="146">
        <f t="shared" ca="1" si="139"/>
        <v>3.0612244897959183E-2</v>
      </c>
      <c r="M185" s="146">
        <f t="shared" si="139"/>
        <v>3.0612244897959183E-2</v>
      </c>
      <c r="N185" s="146">
        <f t="shared" ca="1" si="128"/>
        <v>2.8861009111862471E-2</v>
      </c>
      <c r="O185" s="146">
        <f t="shared" ref="O185:Z185" si="147">O163/O$158</f>
        <v>3.0612244897959179E-2</v>
      </c>
      <c r="P185" s="146">
        <f t="shared" si="147"/>
        <v>3.0612244897959183E-2</v>
      </c>
      <c r="Q185" s="146">
        <f t="shared" si="147"/>
        <v>3.0612244897959179E-2</v>
      </c>
      <c r="R185" s="146">
        <f t="shared" si="147"/>
        <v>3.0612244897959179E-2</v>
      </c>
      <c r="S185" s="146">
        <f t="shared" si="147"/>
        <v>3.0612244897959186E-2</v>
      </c>
      <c r="T185" s="146">
        <f t="shared" si="147"/>
        <v>3.0612244897959183E-2</v>
      </c>
      <c r="U185" s="146">
        <f t="shared" si="147"/>
        <v>3.0612244897959183E-2</v>
      </c>
      <c r="V185" s="146">
        <f t="shared" ca="1" si="147"/>
        <v>3.0612244897959179E-2</v>
      </c>
      <c r="W185" s="146">
        <f t="shared" ca="1" si="147"/>
        <v>3.0612244897959186E-2</v>
      </c>
      <c r="X185" s="146">
        <f t="shared" ca="1" si="147"/>
        <v>3.0612244897959186E-2</v>
      </c>
      <c r="Y185" s="146">
        <f t="shared" ca="1" si="147"/>
        <v>3.0612244897959179E-2</v>
      </c>
      <c r="Z185" s="146">
        <f t="shared" si="147"/>
        <v>3.0612244897959183E-2</v>
      </c>
      <c r="AA185" s="146">
        <f t="shared" ca="1" si="130"/>
        <v>3.0612244897959176E-2</v>
      </c>
      <c r="AB185" s="146">
        <f t="shared" ref="AB185:AM185" si="148">AB163/AB$158</f>
        <v>3.0612244897959183E-2</v>
      </c>
      <c r="AC185" s="146">
        <f t="shared" si="148"/>
        <v>3.0612244897959183E-2</v>
      </c>
      <c r="AD185" s="146">
        <f t="shared" si="148"/>
        <v>3.0612244897959179E-2</v>
      </c>
      <c r="AE185" s="146">
        <f t="shared" si="148"/>
        <v>3.0612244897959183E-2</v>
      </c>
      <c r="AF185" s="146">
        <f t="shared" si="148"/>
        <v>3.0612244897959183E-2</v>
      </c>
      <c r="AG185" s="146">
        <f t="shared" si="148"/>
        <v>3.0612244897959183E-2</v>
      </c>
      <c r="AH185" s="146">
        <f t="shared" si="148"/>
        <v>3.0612244897959183E-2</v>
      </c>
      <c r="AI185" s="146">
        <f t="shared" ca="1" si="148"/>
        <v>3.0612244897959183E-2</v>
      </c>
      <c r="AJ185" s="146">
        <f t="shared" ca="1" si="148"/>
        <v>3.0612244897959179E-2</v>
      </c>
      <c r="AK185" s="146">
        <f t="shared" ca="1" si="148"/>
        <v>3.0612244897959186E-2</v>
      </c>
      <c r="AL185" s="146">
        <f t="shared" ca="1" si="148"/>
        <v>3.0612244897959183E-2</v>
      </c>
      <c r="AM185" s="146">
        <f t="shared" si="148"/>
        <v>3.0612244897959183E-2</v>
      </c>
      <c r="AN185" s="146">
        <f t="shared" ca="1" si="132"/>
        <v>3.0612244897959179E-2</v>
      </c>
      <c r="AO185" s="147"/>
      <c r="AP185" s="147"/>
    </row>
    <row r="186" spans="1:42" x14ac:dyDescent="0.3">
      <c r="A186" s="71" t="s">
        <v>1582</v>
      </c>
      <c r="B186" s="146">
        <f t="shared" si="139"/>
        <v>6.5950130785812883E-2</v>
      </c>
      <c r="C186" s="146">
        <f t="shared" si="139"/>
        <v>8.2037677098871262E-2</v>
      </c>
      <c r="D186" s="146">
        <f t="shared" si="139"/>
        <v>0.13048583654926763</v>
      </c>
      <c r="E186" s="146">
        <f t="shared" si="139"/>
        <v>0.10115443643817856</v>
      </c>
      <c r="F186" s="146">
        <f t="shared" si="139"/>
        <v>0.10200498174650295</v>
      </c>
      <c r="G186" s="146">
        <f t="shared" si="139"/>
        <v>0.10245609016606616</v>
      </c>
      <c r="H186" s="146">
        <f t="shared" si="139"/>
        <v>0.10395093603945536</v>
      </c>
      <c r="I186" s="146">
        <f t="shared" ca="1" si="139"/>
        <v>6.0380611214517127E-2</v>
      </c>
      <c r="J186" s="146">
        <f t="shared" ca="1" si="139"/>
        <v>6.3809338767696386E-2</v>
      </c>
      <c r="K186" s="146">
        <f t="shared" ca="1" si="139"/>
        <v>7.3243573598423442E-2</v>
      </c>
      <c r="L186" s="146">
        <f t="shared" ca="1" si="139"/>
        <v>7.8877875123336008E-2</v>
      </c>
      <c r="M186" s="146">
        <f t="shared" ca="1" si="139"/>
        <v>7.6440018692385744E-2</v>
      </c>
      <c r="N186" s="146">
        <f t="shared" ca="1" si="128"/>
        <v>8.6732625518376127E-2</v>
      </c>
      <c r="O186" s="146">
        <f t="shared" ref="O186:Z186" si="149">O164/O$158</f>
        <v>7.8295802652145377E-2</v>
      </c>
      <c r="P186" s="146">
        <f t="shared" si="149"/>
        <v>8.3456329352244688E-2</v>
      </c>
      <c r="Q186" s="146">
        <f t="shared" si="149"/>
        <v>0.10070445474274103</v>
      </c>
      <c r="R186" s="146">
        <f t="shared" si="149"/>
        <v>5.5766009841801072E-2</v>
      </c>
      <c r="S186" s="146">
        <f t="shared" si="149"/>
        <v>7.13740746488713E-2</v>
      </c>
      <c r="T186" s="146">
        <f t="shared" si="149"/>
        <v>8.2930118816529078E-2</v>
      </c>
      <c r="U186" s="146">
        <f t="shared" si="149"/>
        <v>5.7643188551847205E-2</v>
      </c>
      <c r="V186" s="146">
        <f t="shared" ca="1" si="149"/>
        <v>5.8775077699669102E-2</v>
      </c>
      <c r="W186" s="146">
        <f t="shared" ca="1" si="149"/>
        <v>6.2286833803437545E-2</v>
      </c>
      <c r="X186" s="146">
        <f t="shared" ca="1" si="149"/>
        <v>7.1097594857870636E-2</v>
      </c>
      <c r="Y186" s="146">
        <f t="shared" ca="1" si="149"/>
        <v>7.6856810947529219E-2</v>
      </c>
      <c r="Z186" s="146">
        <f t="shared" si="149"/>
        <v>7.0257911586193308E-2</v>
      </c>
      <c r="AA186" s="146">
        <f t="shared" ca="1" si="130"/>
        <v>7.2453683958406637E-2</v>
      </c>
      <c r="AB186" s="146">
        <f t="shared" ref="AB186:AM186" si="150">AB164/AB$158</f>
        <v>7.7859938390444292E-2</v>
      </c>
      <c r="AC186" s="146">
        <f t="shared" si="150"/>
        <v>8.2614317650612945E-2</v>
      </c>
      <c r="AD186" s="146">
        <f t="shared" si="150"/>
        <v>9.8763553161254902E-2</v>
      </c>
      <c r="AE186" s="146">
        <f t="shared" si="150"/>
        <v>5.5163343507059426E-2</v>
      </c>
      <c r="AF186" s="146">
        <f t="shared" si="150"/>
        <v>7.1223668012634717E-2</v>
      </c>
      <c r="AG186" s="146">
        <f t="shared" si="150"/>
        <v>8.2251168061659635E-2</v>
      </c>
      <c r="AH186" s="146">
        <f t="shared" si="150"/>
        <v>5.7650926878100618E-2</v>
      </c>
      <c r="AI186" s="146">
        <f t="shared" ca="1" si="150"/>
        <v>5.8926456172686846E-2</v>
      </c>
      <c r="AJ186" s="146">
        <f t="shared" ca="1" si="150"/>
        <v>6.2257083517245855E-2</v>
      </c>
      <c r="AK186" s="146">
        <f t="shared" ca="1" si="150"/>
        <v>7.1043231167757168E-2</v>
      </c>
      <c r="AL186" s="146">
        <f t="shared" ca="1" si="150"/>
        <v>7.6492591479661087E-2</v>
      </c>
      <c r="AM186" s="146">
        <f t="shared" si="150"/>
        <v>7.0120506067932478E-2</v>
      </c>
      <c r="AN186" s="146">
        <f t="shared" ca="1" si="132"/>
        <v>7.2030565338920841E-2</v>
      </c>
      <c r="AO186" s="147"/>
      <c r="AP186" s="147"/>
    </row>
    <row r="187" spans="1:42" x14ac:dyDescent="0.3">
      <c r="A187" s="71" t="s">
        <v>1583</v>
      </c>
      <c r="B187" s="146">
        <f t="shared" si="139"/>
        <v>0.27853450718742678</v>
      </c>
      <c r="C187" s="146">
        <f t="shared" si="139"/>
        <v>0.23459873123991434</v>
      </c>
      <c r="D187" s="146">
        <f t="shared" si="139"/>
        <v>0.38051681031732026</v>
      </c>
      <c r="E187" s="146">
        <f t="shared" si="139"/>
        <v>0.16639802750496069</v>
      </c>
      <c r="F187" s="146">
        <f t="shared" si="139"/>
        <v>0.15760716847883366</v>
      </c>
      <c r="G187" s="146">
        <f t="shared" si="139"/>
        <v>0.12059889114701103</v>
      </c>
      <c r="H187" s="146">
        <f t="shared" si="139"/>
        <v>0.11099811889138597</v>
      </c>
      <c r="I187" s="146">
        <f t="shared" ca="1" si="139"/>
        <v>7.6270657230324085E-2</v>
      </c>
      <c r="J187" s="146">
        <f t="shared" ca="1" si="139"/>
        <v>8.4302431203781017E-2</v>
      </c>
      <c r="K187" s="146">
        <f t="shared" ca="1" si="139"/>
        <v>8.5225765847870713E-2</v>
      </c>
      <c r="L187" s="146">
        <f t="shared" ca="1" si="139"/>
        <v>9.4642315287835704E-2</v>
      </c>
      <c r="M187" s="146">
        <f t="shared" si="139"/>
        <v>8.8286054170151299E-2</v>
      </c>
      <c r="N187" s="146">
        <f t="shared" ca="1" si="128"/>
        <v>0.15649828987556799</v>
      </c>
      <c r="O187" s="146">
        <f t="shared" ref="O187:Z187" si="151">O165/O$158</f>
        <v>9.0310203813076362E-2</v>
      </c>
      <c r="P187" s="146">
        <f t="shared" si="151"/>
        <v>0.10220699046964614</v>
      </c>
      <c r="Q187" s="146">
        <f t="shared" si="151"/>
        <v>0.12696510435173203</v>
      </c>
      <c r="R187" s="146">
        <f t="shared" si="151"/>
        <v>9.4109975598161852E-2</v>
      </c>
      <c r="S187" s="146">
        <f t="shared" si="151"/>
        <v>8.0693021292752867E-2</v>
      </c>
      <c r="T187" s="146">
        <f t="shared" si="151"/>
        <v>9.4280975944373027E-2</v>
      </c>
      <c r="U187" s="146">
        <f t="shared" si="151"/>
        <v>6.7097267641389499E-2</v>
      </c>
      <c r="V187" s="146">
        <f t="shared" ca="1" si="151"/>
        <v>6.265740372711362E-2</v>
      </c>
      <c r="W187" s="146">
        <f t="shared" ca="1" si="151"/>
        <v>6.9152846369564772E-2</v>
      </c>
      <c r="X187" s="146">
        <f t="shared" ca="1" si="151"/>
        <v>6.9899563998857245E-2</v>
      </c>
      <c r="Y187" s="146">
        <f t="shared" ca="1" si="151"/>
        <v>7.7514899910852822E-2</v>
      </c>
      <c r="Z187" s="146">
        <f t="shared" si="151"/>
        <v>7.2374475186899684E-2</v>
      </c>
      <c r="AA187" s="146">
        <f t="shared" ca="1" si="130"/>
        <v>8.393856069203498E-2</v>
      </c>
      <c r="AB187" s="146">
        <f t="shared" ref="AB187:AM187" si="152">AB165/AB$158</f>
        <v>7.0147577151904478E-2</v>
      </c>
      <c r="AC187" s="146">
        <f t="shared" si="152"/>
        <v>7.9133778668067603E-2</v>
      </c>
      <c r="AD187" s="146">
        <f t="shared" si="152"/>
        <v>9.7334007192450486E-2</v>
      </c>
      <c r="AE187" s="146">
        <f t="shared" si="152"/>
        <v>7.4212249741403044E-2</v>
      </c>
      <c r="AF187" s="146">
        <f t="shared" si="152"/>
        <v>6.3060806934997993E-2</v>
      </c>
      <c r="AG187" s="146">
        <f t="shared" si="152"/>
        <v>7.3137874937809613E-2</v>
      </c>
      <c r="AH187" s="146">
        <f t="shared" si="152"/>
        <v>5.7332534105821897E-2</v>
      </c>
      <c r="AI187" s="146">
        <f t="shared" ca="1" si="152"/>
        <v>5.3526359170383078E-2</v>
      </c>
      <c r="AJ187" s="146">
        <f t="shared" ca="1" si="152"/>
        <v>5.8925061359318583E-2</v>
      </c>
      <c r="AK187" s="146">
        <f t="shared" ca="1" si="152"/>
        <v>5.923387412889855E-2</v>
      </c>
      <c r="AL187" s="146">
        <f t="shared" ca="1" si="152"/>
        <v>6.5498194326164466E-2</v>
      </c>
      <c r="AM187" s="146">
        <f t="shared" si="152"/>
        <v>6.1376242715597863E-2</v>
      </c>
      <c r="AN187" s="146">
        <f t="shared" ca="1" si="132"/>
        <v>6.7743213369401478E-2</v>
      </c>
      <c r="AO187" s="147"/>
      <c r="AP187" s="147"/>
    </row>
    <row r="188" spans="1:42" x14ac:dyDescent="0.3">
      <c r="A188" s="70" t="s">
        <v>1584</v>
      </c>
      <c r="B188" s="144">
        <f t="shared" ref="B188:M188" si="153">+B184-B185-B186-B187</f>
        <v>-8.1594430525320311E-2</v>
      </c>
      <c r="C188" s="144">
        <f t="shared" si="153"/>
        <v>-1.8636664605612696E-3</v>
      </c>
      <c r="D188" s="144">
        <f t="shared" si="153"/>
        <v>-0.26754351777293273</v>
      </c>
      <c r="E188" s="144">
        <f t="shared" si="153"/>
        <v>4.8091766245779488E-2</v>
      </c>
      <c r="F188" s="144">
        <f t="shared" si="153"/>
        <v>6.5406420901678919E-2</v>
      </c>
      <c r="G188" s="144">
        <f t="shared" si="153"/>
        <v>3.7795885996856432E-2</v>
      </c>
      <c r="H188" s="144">
        <f t="shared" si="153"/>
        <v>0.13020878076536432</v>
      </c>
      <c r="I188" s="144">
        <f t="shared" ca="1" si="153"/>
        <v>0.17919582264988113</v>
      </c>
      <c r="J188" s="144">
        <f t="shared" ca="1" si="153"/>
        <v>0.17016970590125002</v>
      </c>
      <c r="K188" s="144">
        <f t="shared" ca="1" si="153"/>
        <v>0.16765579031545275</v>
      </c>
      <c r="L188" s="144">
        <f t="shared" ca="1" si="153"/>
        <v>0.13613868524448666</v>
      </c>
      <c r="M188" s="144">
        <f t="shared" ca="1" si="153"/>
        <v>0.1530895093598908</v>
      </c>
      <c r="N188" s="144">
        <f t="shared" ca="1" si="128"/>
        <v>6.1395896051818853E-2</v>
      </c>
      <c r="O188" s="144">
        <f t="shared" ref="O188:Z188" si="154">+O184-O185-O186-O187</f>
        <v>0.17218960494806551</v>
      </c>
      <c r="P188" s="144">
        <f t="shared" si="154"/>
        <v>0.13459657778059642</v>
      </c>
      <c r="Q188" s="144">
        <f t="shared" si="154"/>
        <v>5.9321131877115796E-2</v>
      </c>
      <c r="R188" s="144">
        <f t="shared" si="154"/>
        <v>0.14919257022190896</v>
      </c>
      <c r="S188" s="144">
        <f t="shared" si="154"/>
        <v>0.19444025840016516</v>
      </c>
      <c r="T188" s="144">
        <f t="shared" si="154"/>
        <v>0.1547260206710307</v>
      </c>
      <c r="U188" s="144">
        <f t="shared" si="154"/>
        <v>0.2206983560471994</v>
      </c>
      <c r="V188" s="144">
        <f t="shared" ca="1" si="154"/>
        <v>0.23516037770439421</v>
      </c>
      <c r="W188" s="144">
        <f t="shared" ca="1" si="154"/>
        <v>0.21468939321088121</v>
      </c>
      <c r="X188" s="144">
        <f t="shared" ca="1" si="154"/>
        <v>0.21482665914839197</v>
      </c>
      <c r="Y188" s="144">
        <f t="shared" ca="1" si="154"/>
        <v>0.18707254750324681</v>
      </c>
      <c r="Z188" s="144">
        <f t="shared" si="154"/>
        <v>0.20493888273464431</v>
      </c>
      <c r="AA188" s="144">
        <f t="shared" ca="1" si="130"/>
        <v>0.17848769835397005</v>
      </c>
      <c r="AB188" s="144">
        <f t="shared" ref="AB188:AM188" si="155">+AB184-AB185-AB186-AB187</f>
        <v>0.22737323084475394</v>
      </c>
      <c r="AC188" s="144">
        <f t="shared" si="155"/>
        <v>0.19766658374925972</v>
      </c>
      <c r="AD188" s="144">
        <f t="shared" si="155"/>
        <v>0.14046375160758912</v>
      </c>
      <c r="AE188" s="144">
        <f t="shared" si="155"/>
        <v>0.20264206552741076</v>
      </c>
      <c r="AF188" s="144">
        <f t="shared" si="155"/>
        <v>0.24273733375206835</v>
      </c>
      <c r="AG188" s="144">
        <f t="shared" si="155"/>
        <v>0.20925279771499666</v>
      </c>
      <c r="AH188" s="144">
        <f t="shared" si="155"/>
        <v>0.2540087187631111</v>
      </c>
      <c r="AI188" s="144">
        <f t="shared" ca="1" si="155"/>
        <v>0.26636366466868766</v>
      </c>
      <c r="AJ188" s="144">
        <f t="shared" ca="1" si="155"/>
        <v>0.24954679832858934</v>
      </c>
      <c r="AK188" s="144">
        <f t="shared" ca="1" si="155"/>
        <v>0.25126500612145208</v>
      </c>
      <c r="AL188" s="144">
        <f t="shared" ca="1" si="155"/>
        <v>0.22801260607573334</v>
      </c>
      <c r="AM188" s="144">
        <f t="shared" si="155"/>
        <v>0.24244811520957874</v>
      </c>
      <c r="AN188" s="144">
        <f t="shared" ca="1" si="132"/>
        <v>0.22598172269693592</v>
      </c>
      <c r="AO188" s="145"/>
      <c r="AP188" s="145"/>
    </row>
    <row r="189" spans="1:42" x14ac:dyDescent="0.3">
      <c r="A189" s="71" t="s">
        <v>1585</v>
      </c>
      <c r="B189" s="146">
        <f t="shared" si="139"/>
        <v>0</v>
      </c>
      <c r="C189" s="146">
        <f t="shared" si="139"/>
        <v>0</v>
      </c>
      <c r="D189" s="146">
        <f t="shared" si="139"/>
        <v>0</v>
      </c>
      <c r="E189" s="146">
        <f t="shared" si="139"/>
        <v>0</v>
      </c>
      <c r="F189" s="146">
        <f t="shared" si="139"/>
        <v>0</v>
      </c>
      <c r="G189" s="146">
        <f t="shared" si="139"/>
        <v>0</v>
      </c>
      <c r="H189" s="146">
        <f t="shared" si="139"/>
        <v>0</v>
      </c>
      <c r="I189" s="146">
        <f t="shared" ca="1" si="139"/>
        <v>0</v>
      </c>
      <c r="J189" s="146">
        <f t="shared" ca="1" si="139"/>
        <v>0</v>
      </c>
      <c r="K189" s="146">
        <f t="shared" ca="1" si="139"/>
        <v>0</v>
      </c>
      <c r="L189" s="146">
        <f t="shared" ca="1" si="139"/>
        <v>0</v>
      </c>
      <c r="M189" s="146">
        <f t="shared" si="139"/>
        <v>0</v>
      </c>
      <c r="N189" s="146">
        <f t="shared" ca="1" si="128"/>
        <v>0</v>
      </c>
      <c r="O189" s="146">
        <f t="shared" ref="O189:Z189" si="156">O167/O$158</f>
        <v>0</v>
      </c>
      <c r="P189" s="146">
        <f t="shared" si="156"/>
        <v>0</v>
      </c>
      <c r="Q189" s="146">
        <f t="shared" si="156"/>
        <v>0</v>
      </c>
      <c r="R189" s="146">
        <f t="shared" si="156"/>
        <v>0</v>
      </c>
      <c r="S189" s="146">
        <f t="shared" si="156"/>
        <v>0</v>
      </c>
      <c r="T189" s="146">
        <f t="shared" si="156"/>
        <v>0</v>
      </c>
      <c r="U189" s="146">
        <f t="shared" si="156"/>
        <v>0</v>
      </c>
      <c r="V189" s="146">
        <f t="shared" ca="1" si="156"/>
        <v>0</v>
      </c>
      <c r="W189" s="146">
        <f t="shared" ca="1" si="156"/>
        <v>0</v>
      </c>
      <c r="X189" s="146">
        <f t="shared" ca="1" si="156"/>
        <v>0</v>
      </c>
      <c r="Y189" s="146">
        <f t="shared" ca="1" si="156"/>
        <v>0</v>
      </c>
      <c r="Z189" s="146">
        <f t="shared" si="156"/>
        <v>0</v>
      </c>
      <c r="AA189" s="146">
        <f t="shared" ca="1" si="130"/>
        <v>0</v>
      </c>
      <c r="AB189" s="146">
        <f t="shared" ref="AB189:AM189" si="157">AB167/AB$158</f>
        <v>0</v>
      </c>
      <c r="AC189" s="146">
        <f t="shared" si="157"/>
        <v>0</v>
      </c>
      <c r="AD189" s="146">
        <f t="shared" si="157"/>
        <v>0</v>
      </c>
      <c r="AE189" s="146">
        <f t="shared" si="157"/>
        <v>0</v>
      </c>
      <c r="AF189" s="146">
        <f t="shared" si="157"/>
        <v>0</v>
      </c>
      <c r="AG189" s="146">
        <f t="shared" si="157"/>
        <v>0</v>
      </c>
      <c r="AH189" s="146">
        <f t="shared" si="157"/>
        <v>0</v>
      </c>
      <c r="AI189" s="146">
        <f t="shared" ca="1" si="157"/>
        <v>0</v>
      </c>
      <c r="AJ189" s="146">
        <f t="shared" ca="1" si="157"/>
        <v>0</v>
      </c>
      <c r="AK189" s="146">
        <f t="shared" ca="1" si="157"/>
        <v>0</v>
      </c>
      <c r="AL189" s="146">
        <f t="shared" ca="1" si="157"/>
        <v>0</v>
      </c>
      <c r="AM189" s="146">
        <f t="shared" si="157"/>
        <v>0</v>
      </c>
      <c r="AN189" s="146">
        <f t="shared" ca="1" si="132"/>
        <v>0</v>
      </c>
      <c r="AO189" s="147"/>
      <c r="AP189" s="147"/>
    </row>
    <row r="190" spans="1:42" x14ac:dyDescent="0.3">
      <c r="A190" s="70" t="s">
        <v>1586</v>
      </c>
      <c r="B190" s="144">
        <f t="shared" ref="B190:M190" si="158">+B168/B$158</f>
        <v>-8.1594430525320422E-2</v>
      </c>
      <c r="C190" s="144">
        <f t="shared" si="158"/>
        <v>-1.8636664605612286E-3</v>
      </c>
      <c r="D190" s="144">
        <f t="shared" si="158"/>
        <v>-0.26754351777293262</v>
      </c>
      <c r="E190" s="144">
        <f t="shared" si="158"/>
        <v>6.2732360894567393E-2</v>
      </c>
      <c r="F190" s="144">
        <f t="shared" si="158"/>
        <v>6.5406420901678877E-2</v>
      </c>
      <c r="G190" s="144">
        <f t="shared" si="158"/>
        <v>3.7795885996856446E-2</v>
      </c>
      <c r="H190" s="144">
        <f t="shared" si="158"/>
        <v>0.13020878076536435</v>
      </c>
      <c r="I190" s="144">
        <f t="shared" ca="1" si="158"/>
        <v>0.17919582264988121</v>
      </c>
      <c r="J190" s="144">
        <f t="shared" ca="1" si="158"/>
        <v>0.17016970590124997</v>
      </c>
      <c r="K190" s="144">
        <f t="shared" ca="1" si="158"/>
        <v>0.1676557903154528</v>
      </c>
      <c r="L190" s="144">
        <f t="shared" ca="1" si="158"/>
        <v>0.13613868524448658</v>
      </c>
      <c r="M190" s="144">
        <f t="shared" ca="1" si="158"/>
        <v>0.15308950935989082</v>
      </c>
      <c r="N190" s="144">
        <f t="shared" ca="1" si="128"/>
        <v>6.2615945605884529E-2</v>
      </c>
      <c r="O190" s="144">
        <f t="shared" ref="O190:Z190" si="159">+O168/O$158</f>
        <v>0.17218960494806548</v>
      </c>
      <c r="P190" s="144">
        <f t="shared" si="159"/>
        <v>0.13459657778059639</v>
      </c>
      <c r="Q190" s="144">
        <f t="shared" si="159"/>
        <v>5.9321131877115747E-2</v>
      </c>
      <c r="R190" s="144">
        <f t="shared" si="159"/>
        <v>0.14919257022190893</v>
      </c>
      <c r="S190" s="144">
        <f t="shared" si="159"/>
        <v>0.19444025840016518</v>
      </c>
      <c r="T190" s="144">
        <f t="shared" si="159"/>
        <v>0.15472602067103067</v>
      </c>
      <c r="U190" s="144">
        <f t="shared" si="159"/>
        <v>0.22069835604719937</v>
      </c>
      <c r="V190" s="144">
        <f t="shared" ca="1" si="159"/>
        <v>0.23516037770439419</v>
      </c>
      <c r="W190" s="144">
        <f t="shared" ca="1" si="159"/>
        <v>0.21468939321088096</v>
      </c>
      <c r="X190" s="144">
        <f t="shared" ca="1" si="159"/>
        <v>0.21482665914839194</v>
      </c>
      <c r="Y190" s="144">
        <f t="shared" ca="1" si="159"/>
        <v>0.18707254750324678</v>
      </c>
      <c r="Z190" s="144">
        <f t="shared" si="159"/>
        <v>0.20493888273464431</v>
      </c>
      <c r="AA190" s="144">
        <f t="shared" ca="1" si="130"/>
        <v>0.17848769835397002</v>
      </c>
      <c r="AB190" s="144">
        <f t="shared" ref="AB190:AM190" si="160">+AB168/AB$158</f>
        <v>0.22737323084475405</v>
      </c>
      <c r="AC190" s="144">
        <f t="shared" si="160"/>
        <v>0.19766658374925972</v>
      </c>
      <c r="AD190" s="144">
        <f t="shared" si="160"/>
        <v>0.14046375160758914</v>
      </c>
      <c r="AE190" s="144">
        <f t="shared" si="160"/>
        <v>0.20264206552741082</v>
      </c>
      <c r="AF190" s="144">
        <f t="shared" si="160"/>
        <v>0.24273733375206841</v>
      </c>
      <c r="AG190" s="144">
        <f t="shared" si="160"/>
        <v>0.20925279771499658</v>
      </c>
      <c r="AH190" s="144">
        <f t="shared" si="160"/>
        <v>0.25400871876311104</v>
      </c>
      <c r="AI190" s="144">
        <f t="shared" ca="1" si="160"/>
        <v>0.26636366466868749</v>
      </c>
      <c r="AJ190" s="144">
        <f t="shared" ca="1" si="160"/>
        <v>0.24954679832858939</v>
      </c>
      <c r="AK190" s="144">
        <f t="shared" ca="1" si="160"/>
        <v>0.25126500612145197</v>
      </c>
      <c r="AL190" s="144">
        <f t="shared" ca="1" si="160"/>
        <v>0.2280126060757334</v>
      </c>
      <c r="AM190" s="144">
        <f t="shared" si="160"/>
        <v>0.24244811520957879</v>
      </c>
      <c r="AN190" s="144">
        <f t="shared" ca="1" si="132"/>
        <v>0.22598172269693587</v>
      </c>
      <c r="AO190" s="145"/>
      <c r="AP190" s="145"/>
    </row>
    <row r="191" spans="1:42" x14ac:dyDescent="0.3">
      <c r="A191" s="71" t="s">
        <v>1587</v>
      </c>
      <c r="B191" s="146">
        <f t="shared" si="139"/>
        <v>6.392699450320917E-2</v>
      </c>
      <c r="C191" s="146">
        <f t="shared" si="139"/>
        <v>7.3378471558471214E-2</v>
      </c>
      <c r="D191" s="146">
        <f t="shared" si="139"/>
        <v>8.2288562035474841E-2</v>
      </c>
      <c r="E191" s="146">
        <f t="shared" si="139"/>
        <v>7.7160187120755619E-2</v>
      </c>
      <c r="F191" s="146">
        <f t="shared" si="139"/>
        <v>5.5368817610269086E-2</v>
      </c>
      <c r="G191" s="146">
        <f t="shared" si="139"/>
        <v>4.5339475082551553E-2</v>
      </c>
      <c r="H191" s="146">
        <f t="shared" si="139"/>
        <v>4.4432549780194681E-2</v>
      </c>
      <c r="I191" s="146">
        <f t="shared" ca="1" si="139"/>
        <v>5.0764608930090202E-2</v>
      </c>
      <c r="J191" s="146">
        <f t="shared" ca="1" si="139"/>
        <v>6.4012010248306883E-2</v>
      </c>
      <c r="K191" s="146">
        <f t="shared" ca="1" si="139"/>
        <v>6.7822687652590169E-2</v>
      </c>
      <c r="L191" s="146">
        <f t="shared" ca="1" si="139"/>
        <v>7.5465895361015889E-2</v>
      </c>
      <c r="M191" s="146">
        <f t="shared" si="139"/>
        <v>6.9799414866153958E-2</v>
      </c>
      <c r="N191" s="146">
        <f t="shared" ca="1" si="128"/>
        <v>6.4146639562423599E-2</v>
      </c>
      <c r="O191" s="146">
        <f t="shared" ref="O191:Z191" si="161">O169/O$158</f>
        <v>6.4648829245726569E-2</v>
      </c>
      <c r="P191" s="146">
        <f t="shared" si="161"/>
        <v>7.3336333963956862E-2</v>
      </c>
      <c r="Q191" s="146">
        <f t="shared" si="161"/>
        <v>9.0742228413483381E-2</v>
      </c>
      <c r="R191" s="146">
        <f t="shared" si="161"/>
        <v>6.509955745643925E-2</v>
      </c>
      <c r="S191" s="146">
        <f t="shared" si="161"/>
        <v>5.4485930098751738E-2</v>
      </c>
      <c r="T191" s="146">
        <f t="shared" si="161"/>
        <v>6.3190723940524191E-2</v>
      </c>
      <c r="U191" s="146">
        <f t="shared" si="161"/>
        <v>4.713171426251956E-2</v>
      </c>
      <c r="V191" s="146">
        <f t="shared" ca="1" si="161"/>
        <v>4.3005420251521792E-2</v>
      </c>
      <c r="W191" s="146">
        <f t="shared" ca="1" si="161"/>
        <v>4.7083278094574882E-2</v>
      </c>
      <c r="X191" s="146">
        <f t="shared" ca="1" si="161"/>
        <v>4.6891496262073909E-2</v>
      </c>
      <c r="Y191" s="146">
        <f t="shared" ca="1" si="161"/>
        <v>5.1570285913344602E-2</v>
      </c>
      <c r="Z191" s="146">
        <f t="shared" si="161"/>
        <v>4.7143244237706508E-2</v>
      </c>
      <c r="AA191" s="146">
        <f t="shared" ca="1" si="130"/>
        <v>5.7860753511718606E-2</v>
      </c>
      <c r="AB191" s="146">
        <f t="shared" ref="AB191:AM191" si="162">AB169/AB$158</f>
        <v>2.5330110855753953E-2</v>
      </c>
      <c r="AC191" s="146">
        <f t="shared" si="162"/>
        <v>2.8030132744017531E-2</v>
      </c>
      <c r="AD191" s="146">
        <f t="shared" si="162"/>
        <v>3.3919770894890802E-2</v>
      </c>
      <c r="AE191" s="146">
        <f t="shared" si="162"/>
        <v>2.466184025746955E-2</v>
      </c>
      <c r="AF191" s="146">
        <f t="shared" si="162"/>
        <v>2.0046096184656578E-2</v>
      </c>
      <c r="AG191" s="146">
        <f t="shared" si="162"/>
        <v>2.2780114126119196E-2</v>
      </c>
      <c r="AH191" s="146">
        <f t="shared" si="162"/>
        <v>1.6907931650305547E-2</v>
      </c>
      <c r="AI191" s="146">
        <f t="shared" ca="1" si="162"/>
        <v>1.5134731637793506E-2</v>
      </c>
      <c r="AJ191" s="146">
        <f t="shared" ca="1" si="162"/>
        <v>1.6217037373896123E-2</v>
      </c>
      <c r="AK191" s="146">
        <f t="shared" ca="1" si="162"/>
        <v>1.573338936966235E-2</v>
      </c>
      <c r="AL191" s="146">
        <f t="shared" ca="1" si="162"/>
        <v>1.6906428632945381E-2</v>
      </c>
      <c r="AM191" s="146">
        <f t="shared" si="162"/>
        <v>1.5145063513333787E-2</v>
      </c>
      <c r="AN191" s="146">
        <f t="shared" ca="1" si="132"/>
        <v>2.0901053936737024E-2</v>
      </c>
      <c r="AO191" s="147"/>
      <c r="AP191" s="147"/>
    </row>
    <row r="192" spans="1:42" x14ac:dyDescent="0.3">
      <c r="A192" s="70"/>
      <c r="B192" s="146"/>
      <c r="C192" s="146"/>
      <c r="D192" s="146"/>
      <c r="E192" s="146"/>
      <c r="F192" s="146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46"/>
      <c r="AC192" s="146"/>
      <c r="AD192" s="146"/>
      <c r="AE192" s="146"/>
      <c r="AF192" s="146"/>
      <c r="AG192" s="146"/>
      <c r="AH192" s="146"/>
      <c r="AI192" s="146"/>
      <c r="AJ192" s="146"/>
      <c r="AK192" s="146"/>
      <c r="AL192" s="146"/>
      <c r="AM192" s="146"/>
      <c r="AN192" s="146"/>
      <c r="AO192" s="87"/>
      <c r="AP192" s="87"/>
    </row>
    <row r="193" spans="1:43" x14ac:dyDescent="0.3">
      <c r="A193" s="70" t="s">
        <v>1677</v>
      </c>
      <c r="B193" s="144">
        <f t="shared" ref="B193:M193" si="163">+B175/B158</f>
        <v>0.74667335418098235</v>
      </c>
      <c r="C193" s="144">
        <f t="shared" si="163"/>
        <v>0.69992377766198532</v>
      </c>
      <c r="D193" s="144">
        <f t="shared" si="163"/>
        <v>0.9495309817987847</v>
      </c>
      <c r="E193" s="144">
        <f t="shared" si="163"/>
        <v>0.6378232761281164</v>
      </c>
      <c r="F193" s="144">
        <f t="shared" si="163"/>
        <v>0.55607291900014844</v>
      </c>
      <c r="G193" s="144">
        <f t="shared" si="163"/>
        <v>0.58796774593516221</v>
      </c>
      <c r="H193" s="144">
        <f t="shared" si="163"/>
        <v>0.47699387878955896</v>
      </c>
      <c r="I193" s="144">
        <f t="shared" ca="1" si="163"/>
        <v>0.40117232488410398</v>
      </c>
      <c r="J193" s="144">
        <f t="shared" ca="1" si="163"/>
        <v>0.42619635174132114</v>
      </c>
      <c r="K193" s="144">
        <f t="shared" ca="1" si="163"/>
        <v>0.44378003620587197</v>
      </c>
      <c r="L193" s="144">
        <f t="shared" ca="1" si="163"/>
        <v>0.48451464700217856</v>
      </c>
      <c r="M193" s="144">
        <f t="shared" ca="1" si="163"/>
        <v>0.4572553467197138</v>
      </c>
      <c r="N193" s="144">
        <f ca="1">AVERAGE(B193:M193)</f>
        <v>0.57232538667066069</v>
      </c>
      <c r="O193" s="144">
        <f t="shared" ref="O193:Z193" si="164">+O175/O158</f>
        <v>0.45120391855434344</v>
      </c>
      <c r="P193" s="144">
        <f t="shared" si="164"/>
        <v>0.50011289346463583</v>
      </c>
      <c r="Q193" s="144">
        <f t="shared" si="164"/>
        <v>0.60773139159998368</v>
      </c>
      <c r="R193" s="144">
        <f t="shared" si="164"/>
        <v>0.44032313696045666</v>
      </c>
      <c r="S193" s="144">
        <f t="shared" si="164"/>
        <v>0.40700072782979202</v>
      </c>
      <c r="T193" s="144">
        <f t="shared" si="164"/>
        <v>0.46454582436931663</v>
      </c>
      <c r="U193" s="144">
        <f t="shared" si="164"/>
        <v>0.35421455600997626</v>
      </c>
      <c r="V193" s="144">
        <f t="shared" ca="1" si="164"/>
        <v>0.3374485811510225</v>
      </c>
      <c r="W193" s="144">
        <f t="shared" ca="1" si="164"/>
        <v>0.3647479322779581</v>
      </c>
      <c r="X193" s="144">
        <f t="shared" ca="1" si="164"/>
        <v>0.37567797598241637</v>
      </c>
      <c r="Y193" s="144">
        <f t="shared" ca="1" si="164"/>
        <v>0.40968517529574711</v>
      </c>
      <c r="Z193" s="144">
        <f t="shared" si="164"/>
        <v>0.38274980271651282</v>
      </c>
      <c r="AA193" s="144">
        <f ca="1">AVERAGE(O193:Z193)</f>
        <v>0.4246201596843468</v>
      </c>
      <c r="AB193" s="144">
        <f t="shared" ref="AB193:AM193" si="165">+AB175/AB158</f>
        <v>0.35996764603413439</v>
      </c>
      <c r="AC193" s="144">
        <f t="shared" si="165"/>
        <v>0.39500207958974348</v>
      </c>
      <c r="AD193" s="144">
        <f t="shared" si="165"/>
        <v>0.47290024948645254</v>
      </c>
      <c r="AE193" s="144">
        <f t="shared" si="165"/>
        <v>0.34907788491567093</v>
      </c>
      <c r="AF193" s="144">
        <f t="shared" si="165"/>
        <v>0.32735087881918734</v>
      </c>
      <c r="AG193" s="144">
        <f t="shared" si="165"/>
        <v>0.37271661548512602</v>
      </c>
      <c r="AH193" s="144">
        <f t="shared" si="165"/>
        <v>0.29333326660228198</v>
      </c>
      <c r="AI193" s="144">
        <f t="shared" ca="1" si="165"/>
        <v>0.28105707496325522</v>
      </c>
      <c r="AJ193" s="144">
        <f t="shared" ca="1" si="165"/>
        <v>0.30178679414950954</v>
      </c>
      <c r="AK193" s="144">
        <f t="shared" ca="1" si="165"/>
        <v>0.31104270296193076</v>
      </c>
      <c r="AL193" s="144">
        <f t="shared" ca="1" si="165"/>
        <v>0.33700517161475113</v>
      </c>
      <c r="AM193" s="144">
        <f t="shared" si="165"/>
        <v>0.31614586634217118</v>
      </c>
      <c r="AN193" s="144">
        <f ca="1">AVERAGE(AB193:AM193)</f>
        <v>0.34311551924701789</v>
      </c>
      <c r="AO193" s="145"/>
      <c r="AP193" s="145"/>
    </row>
    <row r="194" spans="1:43" x14ac:dyDescent="0.3"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AA194" s="107"/>
      <c r="AN194" s="107"/>
    </row>
    <row r="195" spans="1:43" ht="18" x14ac:dyDescent="0.35">
      <c r="A195" s="81" t="s">
        <v>1678</v>
      </c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AA195" s="107"/>
      <c r="AN195" s="107"/>
    </row>
    <row r="196" spans="1:43" x14ac:dyDescent="0.3">
      <c r="A196" s="71" t="s">
        <v>1584</v>
      </c>
      <c r="B196" s="148">
        <f t="shared" ref="B196:M196" si="166">+B166</f>
        <v>-1436385.8899999945</v>
      </c>
      <c r="C196" s="148">
        <f t="shared" si="166"/>
        <v>-29868.629999997094</v>
      </c>
      <c r="D196" s="148">
        <f t="shared" si="166"/>
        <v>-3342656.2500000065</v>
      </c>
      <c r="E196" s="148">
        <f t="shared" si="166"/>
        <v>1081904.6400000127</v>
      </c>
      <c r="F196" s="148">
        <f t="shared" si="166"/>
        <v>1358640.8400000054</v>
      </c>
      <c r="G196" s="148">
        <f t="shared" si="166"/>
        <v>654217.08999999822</v>
      </c>
      <c r="H196" s="148">
        <f t="shared" si="166"/>
        <v>3025889.1100000278</v>
      </c>
      <c r="I196" s="148">
        <f t="shared" ca="1" si="166"/>
        <v>4473125.087236329</v>
      </c>
      <c r="J196" s="148">
        <f t="shared" ca="1" si="166"/>
        <v>3817039.1160698086</v>
      </c>
      <c r="K196" s="148">
        <f t="shared" ca="1" si="166"/>
        <v>3717312.8233933356</v>
      </c>
      <c r="L196" s="148">
        <f t="shared" ca="1" si="166"/>
        <v>2701063.6309562195</v>
      </c>
      <c r="M196" s="148">
        <f t="shared" ca="1" si="166"/>
        <v>3269469.1655715331</v>
      </c>
      <c r="N196" s="148">
        <f t="shared" ref="N196:N207" ca="1" si="167">SUM(B196,C196,D196,E196,F196,G196,H196,I196,J196,K196,L196,M196)</f>
        <v>19289750.733227272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148">
        <f t="shared" ref="AA196:AA207" si="168">SUM(O196,P196,Q196,R196,S196,T196,U196,V196,W196,X196,Y196,Z196)</f>
        <v>0</v>
      </c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148">
        <f t="shared" ref="AN196:AN207" si="169">SUM(AB196,AC196,AD196,AE196,AF196,AG196,AH196,AI196,AJ196,AK196,AL196,AM196)</f>
        <v>0</v>
      </c>
      <c r="AO196" s="2"/>
      <c r="AP196" s="2"/>
    </row>
    <row r="197" spans="1:43" x14ac:dyDescent="0.3">
      <c r="A197" s="71" t="s">
        <v>1587</v>
      </c>
      <c r="B197" s="148">
        <f t="shared" ref="B197:M197" si="170">-B169</f>
        <v>-1125368.8799999901</v>
      </c>
      <c r="C197" s="148">
        <f t="shared" si="170"/>
        <v>-1176022.8899999999</v>
      </c>
      <c r="D197" s="148">
        <f t="shared" si="170"/>
        <v>-1028103.30999999</v>
      </c>
      <c r="E197" s="148">
        <f t="shared" si="170"/>
        <v>-1330732.07</v>
      </c>
      <c r="F197" s="148">
        <f t="shared" si="170"/>
        <v>-1150136.8799999901</v>
      </c>
      <c r="G197" s="148">
        <f t="shared" si="170"/>
        <v>-784790.69</v>
      </c>
      <c r="H197" s="148">
        <f t="shared" si="170"/>
        <v>-1032556.85</v>
      </c>
      <c r="I197" s="148">
        <f t="shared" si="170"/>
        <v>-1267197.2057774886</v>
      </c>
      <c r="J197" s="148">
        <f t="shared" si="170"/>
        <v>-1435839.2742233332</v>
      </c>
      <c r="K197" s="148">
        <f t="shared" si="170"/>
        <v>-1503784.3074408663</v>
      </c>
      <c r="L197" s="148">
        <f t="shared" si="170"/>
        <v>-1497283.339934729</v>
      </c>
      <c r="M197" s="148">
        <f t="shared" si="170"/>
        <v>-1490677.1576577767</v>
      </c>
      <c r="N197" s="148">
        <f t="shared" si="167"/>
        <v>-14822492.855034163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148">
        <f t="shared" si="168"/>
        <v>0</v>
      </c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148">
        <f t="shared" si="169"/>
        <v>0</v>
      </c>
      <c r="AO197" s="2"/>
      <c r="AP197" s="2"/>
      <c r="AQ197" s="95"/>
    </row>
    <row r="198" spans="1:43" x14ac:dyDescent="0.3">
      <c r="A198" s="71" t="s">
        <v>1679</v>
      </c>
      <c r="B198" s="148">
        <f t="shared" ref="B198:M198" si="171">-B30</f>
        <v>0</v>
      </c>
      <c r="C198" s="148">
        <f t="shared" si="171"/>
        <v>0</v>
      </c>
      <c r="D198" s="148">
        <f t="shared" si="171"/>
        <v>0</v>
      </c>
      <c r="E198" s="148">
        <f t="shared" si="171"/>
        <v>0</v>
      </c>
      <c r="F198" s="148">
        <f t="shared" si="171"/>
        <v>0</v>
      </c>
      <c r="G198" s="148">
        <f t="shared" si="171"/>
        <v>0</v>
      </c>
      <c r="H198" s="148">
        <f t="shared" si="171"/>
        <v>0</v>
      </c>
      <c r="I198" s="148">
        <f t="shared" si="171"/>
        <v>0</v>
      </c>
      <c r="J198" s="148">
        <f t="shared" si="171"/>
        <v>0</v>
      </c>
      <c r="K198" s="148">
        <f t="shared" si="171"/>
        <v>0</v>
      </c>
      <c r="L198" s="148">
        <f t="shared" si="171"/>
        <v>0</v>
      </c>
      <c r="M198" s="148">
        <f t="shared" si="171"/>
        <v>0</v>
      </c>
      <c r="N198" s="148">
        <f t="shared" si="167"/>
        <v>0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148">
        <f t="shared" si="168"/>
        <v>0</v>
      </c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148">
        <f t="shared" si="169"/>
        <v>0</v>
      </c>
      <c r="AO198" s="2"/>
      <c r="AP198" s="2"/>
    </row>
    <row r="199" spans="1:43" x14ac:dyDescent="0.3">
      <c r="A199" s="71" t="s">
        <v>1680</v>
      </c>
      <c r="B199" s="148">
        <f t="shared" ref="B199:M199" si="172">-B29-B31</f>
        <v>0</v>
      </c>
      <c r="C199" s="148">
        <f t="shared" si="172"/>
        <v>0</v>
      </c>
      <c r="D199" s="148">
        <f t="shared" si="172"/>
        <v>0</v>
      </c>
      <c r="E199" s="148">
        <f t="shared" si="172"/>
        <v>0</v>
      </c>
      <c r="F199" s="148">
        <f t="shared" si="172"/>
        <v>0</v>
      </c>
      <c r="G199" s="148">
        <f t="shared" si="172"/>
        <v>0</v>
      </c>
      <c r="H199" s="148">
        <f t="shared" si="172"/>
        <v>0</v>
      </c>
      <c r="I199" s="148">
        <f t="shared" si="172"/>
        <v>0</v>
      </c>
      <c r="J199" s="148">
        <f t="shared" si="172"/>
        <v>0</v>
      </c>
      <c r="K199" s="148">
        <f t="shared" si="172"/>
        <v>0</v>
      </c>
      <c r="L199" s="148">
        <f t="shared" si="172"/>
        <v>0</v>
      </c>
      <c r="M199" s="148">
        <f t="shared" si="172"/>
        <v>0</v>
      </c>
      <c r="N199" s="148">
        <f t="shared" si="167"/>
        <v>0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148">
        <f t="shared" si="168"/>
        <v>0</v>
      </c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148">
        <f t="shared" si="169"/>
        <v>0</v>
      </c>
      <c r="AO199" s="2"/>
      <c r="AP199" s="2"/>
    </row>
    <row r="200" spans="1:43" x14ac:dyDescent="0.3">
      <c r="A200" s="71" t="s">
        <v>1681</v>
      </c>
      <c r="B200" s="148">
        <f t="shared" ref="B200:M200" si="173">+B28</f>
        <v>0</v>
      </c>
      <c r="C200" s="148">
        <f t="shared" si="173"/>
        <v>0</v>
      </c>
      <c r="D200" s="148">
        <f t="shared" si="173"/>
        <v>0</v>
      </c>
      <c r="E200" s="148">
        <f t="shared" si="173"/>
        <v>0</v>
      </c>
      <c r="F200" s="148">
        <f t="shared" si="173"/>
        <v>0</v>
      </c>
      <c r="G200" s="148">
        <f t="shared" si="173"/>
        <v>0</v>
      </c>
      <c r="H200" s="148">
        <f t="shared" si="173"/>
        <v>0</v>
      </c>
      <c r="I200" s="148">
        <f t="shared" si="173"/>
        <v>0</v>
      </c>
      <c r="J200" s="148">
        <f t="shared" si="173"/>
        <v>0</v>
      </c>
      <c r="K200" s="148">
        <f t="shared" si="173"/>
        <v>0</v>
      </c>
      <c r="L200" s="148">
        <f t="shared" si="173"/>
        <v>0</v>
      </c>
      <c r="M200" s="148">
        <f t="shared" si="173"/>
        <v>0</v>
      </c>
      <c r="N200" s="148">
        <f t="shared" si="167"/>
        <v>0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148">
        <f t="shared" si="168"/>
        <v>0</v>
      </c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148">
        <f t="shared" si="169"/>
        <v>0</v>
      </c>
      <c r="AO200" s="2"/>
      <c r="AP200" s="2"/>
    </row>
    <row r="201" spans="1:43" x14ac:dyDescent="0.3">
      <c r="A201" s="71" t="s">
        <v>1588</v>
      </c>
      <c r="B201" s="148">
        <f t="shared" ref="B201:M201" si="174">+B9</f>
        <v>0</v>
      </c>
      <c r="C201" s="148">
        <f t="shared" si="174"/>
        <v>0</v>
      </c>
      <c r="D201" s="148">
        <f t="shared" si="174"/>
        <v>0</v>
      </c>
      <c r="E201" s="148">
        <f t="shared" si="174"/>
        <v>0</v>
      </c>
      <c r="F201" s="148">
        <f t="shared" si="174"/>
        <v>0</v>
      </c>
      <c r="G201" s="148">
        <f t="shared" si="174"/>
        <v>0</v>
      </c>
      <c r="H201" s="148">
        <f t="shared" si="174"/>
        <v>0</v>
      </c>
      <c r="I201" s="148">
        <f t="shared" si="174"/>
        <v>0</v>
      </c>
      <c r="J201" s="148">
        <f t="shared" si="174"/>
        <v>0</v>
      </c>
      <c r="K201" s="148">
        <f t="shared" si="174"/>
        <v>0</v>
      </c>
      <c r="L201" s="148">
        <f t="shared" si="174"/>
        <v>0</v>
      </c>
      <c r="M201" s="148">
        <f t="shared" si="174"/>
        <v>0</v>
      </c>
      <c r="N201" s="148">
        <f t="shared" si="167"/>
        <v>0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148">
        <f t="shared" si="168"/>
        <v>0</v>
      </c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148">
        <f t="shared" si="169"/>
        <v>0</v>
      </c>
      <c r="AO201" s="2"/>
      <c r="AP201" s="2"/>
    </row>
    <row r="202" spans="1:43" x14ac:dyDescent="0.3">
      <c r="A202" s="71" t="s">
        <v>1682</v>
      </c>
      <c r="B202" s="148">
        <f t="shared" ref="B202:M202" si="175">-B146</f>
        <v>0</v>
      </c>
      <c r="C202" s="148">
        <f t="shared" si="175"/>
        <v>0</v>
      </c>
      <c r="D202" s="148">
        <f t="shared" si="175"/>
        <v>0</v>
      </c>
      <c r="E202" s="148">
        <f t="shared" si="175"/>
        <v>0</v>
      </c>
      <c r="F202" s="148">
        <f t="shared" si="175"/>
        <v>0</v>
      </c>
      <c r="G202" s="148">
        <f t="shared" si="175"/>
        <v>0</v>
      </c>
      <c r="H202" s="148">
        <f t="shared" si="175"/>
        <v>0</v>
      </c>
      <c r="I202" s="148">
        <f t="shared" si="175"/>
        <v>0</v>
      </c>
      <c r="J202" s="148">
        <f t="shared" si="175"/>
        <v>0</v>
      </c>
      <c r="K202" s="148">
        <f t="shared" si="175"/>
        <v>0</v>
      </c>
      <c r="L202" s="148">
        <f t="shared" si="175"/>
        <v>0</v>
      </c>
      <c r="M202" s="148">
        <f t="shared" si="175"/>
        <v>0</v>
      </c>
      <c r="N202" s="148">
        <f t="shared" si="167"/>
        <v>0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148">
        <f t="shared" si="168"/>
        <v>0</v>
      </c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148">
        <f t="shared" si="169"/>
        <v>0</v>
      </c>
      <c r="AO202" s="2"/>
      <c r="AP202" s="2"/>
    </row>
    <row r="203" spans="1:43" x14ac:dyDescent="0.3">
      <c r="A203" s="71" t="s">
        <v>1623</v>
      </c>
      <c r="B203" s="148">
        <f t="shared" ref="B203:M203" si="176">-B36</f>
        <v>0</v>
      </c>
      <c r="C203" s="148">
        <f t="shared" si="176"/>
        <v>0</v>
      </c>
      <c r="D203" s="148">
        <f t="shared" si="176"/>
        <v>0</v>
      </c>
      <c r="E203" s="148">
        <f t="shared" si="176"/>
        <v>-200000</v>
      </c>
      <c r="F203" s="148">
        <f t="shared" si="176"/>
        <v>-200000</v>
      </c>
      <c r="G203" s="148">
        <f t="shared" si="176"/>
        <v>-200000</v>
      </c>
      <c r="H203" s="148">
        <f t="shared" si="176"/>
        <v>-750000</v>
      </c>
      <c r="I203" s="148">
        <f t="shared" si="176"/>
        <v>-750000</v>
      </c>
      <c r="J203" s="148">
        <f t="shared" si="176"/>
        <v>-750000</v>
      </c>
      <c r="K203" s="148">
        <f t="shared" si="176"/>
        <v>-750000</v>
      </c>
      <c r="L203" s="148">
        <f t="shared" si="176"/>
        <v>-750000</v>
      </c>
      <c r="M203" s="148">
        <f t="shared" si="176"/>
        <v>-750000</v>
      </c>
      <c r="N203" s="148">
        <f t="shared" si="167"/>
        <v>-5100000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148">
        <f t="shared" si="168"/>
        <v>0</v>
      </c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148">
        <f t="shared" si="169"/>
        <v>0</v>
      </c>
      <c r="AO203" s="2"/>
      <c r="AP203" s="2"/>
    </row>
    <row r="204" spans="1:43" x14ac:dyDescent="0.3">
      <c r="A204" s="71" t="str">
        <f>+A37</f>
        <v>Otras Deudas Pre-Operación</v>
      </c>
      <c r="B204" s="148">
        <f t="shared" ref="B204:M204" si="177">-B37</f>
        <v>0</v>
      </c>
      <c r="C204" s="148">
        <f t="shared" si="177"/>
        <v>0</v>
      </c>
      <c r="D204" s="148">
        <f t="shared" si="177"/>
        <v>0</v>
      </c>
      <c r="E204" s="148">
        <f t="shared" si="177"/>
        <v>0</v>
      </c>
      <c r="F204" s="148">
        <f t="shared" si="177"/>
        <v>0</v>
      </c>
      <c r="G204" s="148">
        <f t="shared" si="177"/>
        <v>-150000</v>
      </c>
      <c r="H204" s="148">
        <f t="shared" si="177"/>
        <v>-150000</v>
      </c>
      <c r="I204" s="148">
        <f t="shared" si="177"/>
        <v>-150000</v>
      </c>
      <c r="J204" s="148">
        <f t="shared" si="177"/>
        <v>-50000</v>
      </c>
      <c r="K204" s="148">
        <f t="shared" si="177"/>
        <v>-50000</v>
      </c>
      <c r="L204" s="148">
        <f t="shared" si="177"/>
        <v>-50000</v>
      </c>
      <c r="M204" s="148">
        <f t="shared" si="177"/>
        <v>-50000</v>
      </c>
      <c r="N204" s="148">
        <f t="shared" si="167"/>
        <v>-650000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148">
        <f t="shared" si="168"/>
        <v>0</v>
      </c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148">
        <f t="shared" si="169"/>
        <v>0</v>
      </c>
      <c r="AO204" s="2"/>
      <c r="AP204" s="2"/>
    </row>
    <row r="205" spans="1:43" x14ac:dyDescent="0.3">
      <c r="A205" s="71" t="s">
        <v>1683</v>
      </c>
      <c r="B205" s="148">
        <f>+B90</f>
        <v>0</v>
      </c>
      <c r="C205" s="148">
        <f>+C90</f>
        <v>0</v>
      </c>
      <c r="D205" s="148">
        <f>+D90</f>
        <v>0</v>
      </c>
      <c r="E205" s="148">
        <f>+E90</f>
        <v>0</v>
      </c>
      <c r="F205" s="148">
        <f>+F90</f>
        <v>0</v>
      </c>
      <c r="G205" s="148">
        <f t="shared" ref="G205:M205" si="178">+G90</f>
        <v>0</v>
      </c>
      <c r="H205" s="148">
        <f t="shared" si="178"/>
        <v>33000000</v>
      </c>
      <c r="I205" s="148">
        <f t="shared" si="178"/>
        <v>14000000</v>
      </c>
      <c r="J205" s="148">
        <f t="shared" si="178"/>
        <v>6000000</v>
      </c>
      <c r="K205" s="148">
        <f t="shared" si="178"/>
        <v>0</v>
      </c>
      <c r="L205" s="148">
        <f t="shared" si="178"/>
        <v>0</v>
      </c>
      <c r="M205" s="148">
        <f t="shared" si="178"/>
        <v>0</v>
      </c>
      <c r="N205" s="148">
        <f t="shared" si="167"/>
        <v>53000000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148">
        <f t="shared" si="168"/>
        <v>0</v>
      </c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148">
        <f t="shared" si="169"/>
        <v>0</v>
      </c>
      <c r="AO205" s="2"/>
      <c r="AP205" s="2"/>
    </row>
    <row r="206" spans="1:43" x14ac:dyDescent="0.3">
      <c r="A206" s="71" t="s">
        <v>1684</v>
      </c>
      <c r="B206" s="148">
        <f t="shared" ref="B206:M206" si="179">-B91</f>
        <v>0</v>
      </c>
      <c r="C206" s="148">
        <f t="shared" si="179"/>
        <v>0</v>
      </c>
      <c r="D206" s="148">
        <f t="shared" si="179"/>
        <v>0</v>
      </c>
      <c r="E206" s="148">
        <f t="shared" si="179"/>
        <v>0</v>
      </c>
      <c r="F206" s="148">
        <f t="shared" si="179"/>
        <v>0</v>
      </c>
      <c r="G206" s="148">
        <f t="shared" si="179"/>
        <v>0</v>
      </c>
      <c r="H206" s="148">
        <f t="shared" si="179"/>
        <v>-11503037.34</v>
      </c>
      <c r="I206" s="148">
        <f t="shared" si="179"/>
        <v>-10695606.359999999</v>
      </c>
      <c r="J206" s="148">
        <f t="shared" si="179"/>
        <v>-1872856.87</v>
      </c>
      <c r="K206" s="148">
        <f t="shared" si="179"/>
        <v>0</v>
      </c>
      <c r="L206" s="148">
        <f t="shared" si="179"/>
        <v>0</v>
      </c>
      <c r="M206" s="148">
        <f t="shared" si="179"/>
        <v>0</v>
      </c>
      <c r="N206" s="148">
        <f t="shared" si="167"/>
        <v>-24071500.57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148">
        <f t="shared" si="168"/>
        <v>0</v>
      </c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148">
        <f t="shared" si="169"/>
        <v>0</v>
      </c>
      <c r="AO206" s="2"/>
      <c r="AP206" s="2"/>
    </row>
    <row r="207" spans="1:43" x14ac:dyDescent="0.3">
      <c r="A207" s="71" t="s">
        <v>1685</v>
      </c>
      <c r="B207" s="148">
        <f t="shared" ref="B207:M207" si="180">+B47</f>
        <v>0</v>
      </c>
      <c r="C207" s="148">
        <f t="shared" si="180"/>
        <v>0</v>
      </c>
      <c r="D207" s="148">
        <f t="shared" si="180"/>
        <v>0</v>
      </c>
      <c r="E207" s="148">
        <f t="shared" si="180"/>
        <v>0</v>
      </c>
      <c r="F207" s="148">
        <f t="shared" si="180"/>
        <v>0</v>
      </c>
      <c r="G207" s="148">
        <f t="shared" si="180"/>
        <v>0</v>
      </c>
      <c r="H207" s="148">
        <f>+H47</f>
        <v>0</v>
      </c>
      <c r="I207" s="148">
        <f t="shared" si="180"/>
        <v>1500000</v>
      </c>
      <c r="J207" s="148">
        <f t="shared" si="180"/>
        <v>1500000</v>
      </c>
      <c r="K207" s="148">
        <f t="shared" si="180"/>
        <v>1500000</v>
      </c>
      <c r="L207" s="148">
        <f t="shared" si="180"/>
        <v>1500000</v>
      </c>
      <c r="M207" s="148">
        <f t="shared" si="180"/>
        <v>1500000</v>
      </c>
      <c r="N207" s="148">
        <f t="shared" si="167"/>
        <v>7500000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148">
        <f t="shared" si="168"/>
        <v>0</v>
      </c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148">
        <f t="shared" si="169"/>
        <v>0</v>
      </c>
      <c r="AO207" s="2"/>
      <c r="AP207" s="2"/>
    </row>
    <row r="208" spans="1:43" x14ac:dyDescent="0.3">
      <c r="A208" s="70" t="s">
        <v>1629</v>
      </c>
      <c r="B208" s="149">
        <f t="shared" ref="B208:N208" si="181">SUM(B196:B207)</f>
        <v>-2561754.7699999847</v>
      </c>
      <c r="C208" s="149">
        <f t="shared" si="181"/>
        <v>-1205891.519999997</v>
      </c>
      <c r="D208" s="149">
        <f t="shared" si="181"/>
        <v>-4370759.5599999968</v>
      </c>
      <c r="E208" s="149">
        <f t="shared" si="181"/>
        <v>-448827.42999998736</v>
      </c>
      <c r="F208" s="149">
        <f t="shared" si="181"/>
        <v>8503.9600000153296</v>
      </c>
      <c r="G208" s="149">
        <f t="shared" si="181"/>
        <v>-480573.60000000172</v>
      </c>
      <c r="H208" s="149">
        <f t="shared" si="181"/>
        <v>22590294.920000028</v>
      </c>
      <c r="I208" s="149">
        <f t="shared" ca="1" si="181"/>
        <v>7110321.5214588419</v>
      </c>
      <c r="J208" s="149">
        <f t="shared" ca="1" si="181"/>
        <v>7208342.9718464753</v>
      </c>
      <c r="K208" s="149">
        <f t="shared" ca="1" si="181"/>
        <v>2913528.5159524693</v>
      </c>
      <c r="L208" s="149">
        <f t="shared" ca="1" si="181"/>
        <v>1903780.2910214905</v>
      </c>
      <c r="M208" s="149">
        <f t="shared" ca="1" si="181"/>
        <v>2478792.0079137562</v>
      </c>
      <c r="N208" s="149">
        <f t="shared" ca="1" si="181"/>
        <v>35145757.30819311</v>
      </c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  <c r="AA208" s="149">
        <f t="shared" ref="AA208" si="182">SUM(AA196:AA207)</f>
        <v>0</v>
      </c>
      <c r="AB208" s="251"/>
      <c r="AC208" s="251"/>
      <c r="AD208" s="251"/>
      <c r="AE208" s="251"/>
      <c r="AF208" s="251"/>
      <c r="AG208" s="251"/>
      <c r="AH208" s="251"/>
      <c r="AI208" s="251"/>
      <c r="AJ208" s="251"/>
      <c r="AK208" s="251"/>
      <c r="AL208" s="251"/>
      <c r="AM208" s="251"/>
      <c r="AN208" s="149">
        <f t="shared" ref="AN208" si="183">SUM(AN196:AN207)</f>
        <v>0</v>
      </c>
      <c r="AO208" s="150"/>
      <c r="AP208" s="150"/>
    </row>
    <row r="209" spans="1:42" x14ac:dyDescent="0.3">
      <c r="A209" s="70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  <c r="AA209" s="93"/>
      <c r="AB209" s="98"/>
      <c r="AC209" s="98"/>
      <c r="AD209" s="98"/>
      <c r="AE209" s="98"/>
      <c r="AF209" s="98"/>
      <c r="AG209" s="98"/>
      <c r="AH209" s="98"/>
      <c r="AI209" s="98"/>
      <c r="AJ209" s="98"/>
      <c r="AK209" s="98"/>
      <c r="AL209" s="98"/>
      <c r="AM209" s="98"/>
      <c r="AN209" s="93"/>
      <c r="AO209" s="87"/>
      <c r="AP209" s="87"/>
    </row>
    <row r="210" spans="1:42" x14ac:dyDescent="0.3">
      <c r="A210" s="70" t="s">
        <v>1630</v>
      </c>
      <c r="B210" s="151">
        <f t="shared" ref="B210:M210" si="184">+B61</f>
        <v>0</v>
      </c>
      <c r="C210" s="151">
        <f t="shared" si="184"/>
        <v>0</v>
      </c>
      <c r="D210" s="151">
        <f t="shared" si="184"/>
        <v>0</v>
      </c>
      <c r="E210" s="151">
        <f t="shared" si="184"/>
        <v>0</v>
      </c>
      <c r="F210" s="151">
        <f t="shared" si="184"/>
        <v>0</v>
      </c>
      <c r="G210" s="151">
        <f t="shared" si="184"/>
        <v>0</v>
      </c>
      <c r="H210" s="151">
        <f t="shared" si="184"/>
        <v>0</v>
      </c>
      <c r="I210" s="151">
        <f t="shared" si="184"/>
        <v>3253483.9719481412</v>
      </c>
      <c r="J210" s="151">
        <f t="shared" ca="1" si="184"/>
        <v>4792283.0005049314</v>
      </c>
      <c r="K210" s="151">
        <f t="shared" ca="1" si="184"/>
        <v>6773724.5976400385</v>
      </c>
      <c r="L210" s="151">
        <f t="shared" ca="1" si="184"/>
        <v>6059364.4052775064</v>
      </c>
      <c r="M210" s="151">
        <f t="shared" ca="1" si="184"/>
        <v>6447784.6207425473</v>
      </c>
      <c r="N210" s="151">
        <f>B210</f>
        <v>0</v>
      </c>
      <c r="O210" s="252"/>
      <c r="P210" s="252"/>
      <c r="Q210" s="252"/>
      <c r="R210" s="252"/>
      <c r="S210" s="252"/>
      <c r="T210" s="252"/>
      <c r="U210" s="252"/>
      <c r="V210" s="252"/>
      <c r="W210" s="252"/>
      <c r="X210" s="252"/>
      <c r="Y210" s="252"/>
      <c r="Z210" s="252"/>
      <c r="AA210" s="151">
        <f>O210</f>
        <v>0</v>
      </c>
      <c r="AB210" s="252"/>
      <c r="AC210" s="252"/>
      <c r="AD210" s="252"/>
      <c r="AE210" s="252"/>
      <c r="AF210" s="252"/>
      <c r="AG210" s="252"/>
      <c r="AH210" s="252"/>
      <c r="AI210" s="252"/>
      <c r="AJ210" s="252"/>
      <c r="AK210" s="252"/>
      <c r="AL210" s="252"/>
      <c r="AM210" s="252"/>
      <c r="AN210" s="151">
        <f>AB210</f>
        <v>0</v>
      </c>
      <c r="AO210" s="150"/>
      <c r="AP210" s="150"/>
    </row>
    <row r="211" spans="1:42" x14ac:dyDescent="0.3">
      <c r="A211" s="70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  <c r="AA211" s="93"/>
      <c r="AB211" s="98"/>
      <c r="AC211" s="98"/>
      <c r="AD211" s="98"/>
      <c r="AE211" s="98"/>
      <c r="AF211" s="98"/>
      <c r="AG211" s="98"/>
      <c r="AH211" s="98"/>
      <c r="AI211" s="98"/>
      <c r="AJ211" s="98"/>
      <c r="AK211" s="98"/>
      <c r="AL211" s="98"/>
      <c r="AM211" s="98"/>
      <c r="AN211" s="93"/>
      <c r="AO211" s="87"/>
      <c r="AP211" s="87"/>
    </row>
    <row r="212" spans="1:42" x14ac:dyDescent="0.3">
      <c r="A212" s="70" t="s">
        <v>1631</v>
      </c>
      <c r="B212" s="151">
        <f t="shared" ref="B212:N212" si="185">+B208+B210</f>
        <v>-2561754.7699999847</v>
      </c>
      <c r="C212" s="151">
        <f t="shared" si="185"/>
        <v>-1205891.519999997</v>
      </c>
      <c r="D212" s="151">
        <f t="shared" si="185"/>
        <v>-4370759.5599999968</v>
      </c>
      <c r="E212" s="151">
        <f t="shared" si="185"/>
        <v>-448827.42999998736</v>
      </c>
      <c r="F212" s="151">
        <f t="shared" si="185"/>
        <v>8503.9600000153296</v>
      </c>
      <c r="G212" s="151">
        <f t="shared" si="185"/>
        <v>-480573.60000000172</v>
      </c>
      <c r="H212" s="151">
        <f t="shared" si="185"/>
        <v>22590294.920000028</v>
      </c>
      <c r="I212" s="151">
        <f t="shared" ca="1" si="185"/>
        <v>10363805.493406983</v>
      </c>
      <c r="J212" s="151">
        <f t="shared" ca="1" si="185"/>
        <v>12000625.972351406</v>
      </c>
      <c r="K212" s="151">
        <f t="shared" ca="1" si="185"/>
        <v>9687253.1135925073</v>
      </c>
      <c r="L212" s="151">
        <f t="shared" ca="1" si="185"/>
        <v>7963144.6962989969</v>
      </c>
      <c r="M212" s="151">
        <f t="shared" ca="1" si="185"/>
        <v>8926576.6286563035</v>
      </c>
      <c r="N212" s="151">
        <f t="shared" ca="1" si="185"/>
        <v>35145757.30819311</v>
      </c>
      <c r="O212" s="252"/>
      <c r="P212" s="252"/>
      <c r="Q212" s="252"/>
      <c r="R212" s="252"/>
      <c r="S212" s="252"/>
      <c r="T212" s="252"/>
      <c r="U212" s="252"/>
      <c r="V212" s="252"/>
      <c r="W212" s="252"/>
      <c r="X212" s="252"/>
      <c r="Y212" s="252"/>
      <c r="Z212" s="252"/>
      <c r="AA212" s="151">
        <f t="shared" ref="AA212" si="186">+AA208+AA210</f>
        <v>0</v>
      </c>
      <c r="AB212" s="252"/>
      <c r="AC212" s="252"/>
      <c r="AD212" s="252"/>
      <c r="AE212" s="252"/>
      <c r="AF212" s="252"/>
      <c r="AG212" s="252"/>
      <c r="AH212" s="252"/>
      <c r="AI212" s="252"/>
      <c r="AJ212" s="252"/>
      <c r="AK212" s="252"/>
      <c r="AL212" s="252"/>
      <c r="AM212" s="252"/>
      <c r="AN212" s="151">
        <f t="shared" ref="AN212" si="187">+AN208+AN210</f>
        <v>0</v>
      </c>
      <c r="AO212" s="150"/>
      <c r="AP212" s="150"/>
    </row>
    <row r="213" spans="1:42" x14ac:dyDescent="0.3">
      <c r="A213" s="70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  <c r="AA213" s="93"/>
      <c r="AB213" s="98"/>
      <c r="AC213" s="98"/>
      <c r="AD213" s="98"/>
      <c r="AE213" s="98"/>
      <c r="AF213" s="98"/>
      <c r="AG213" s="98"/>
      <c r="AH213" s="98"/>
      <c r="AI213" s="98"/>
      <c r="AJ213" s="98"/>
      <c r="AK213" s="98"/>
      <c r="AL213" s="98"/>
      <c r="AM213" s="98"/>
      <c r="AN213" s="93"/>
      <c r="AO213" s="87"/>
      <c r="AP213" s="87"/>
    </row>
    <row r="214" spans="1:42" x14ac:dyDescent="0.3">
      <c r="A214" s="70" t="s">
        <v>1686</v>
      </c>
      <c r="B214" s="152">
        <f t="shared" ref="B214:N214" si="188">+B212-B63</f>
        <v>-2561754.7699999847</v>
      </c>
      <c r="C214" s="152">
        <f t="shared" si="188"/>
        <v>-1205891.519999997</v>
      </c>
      <c r="D214" s="152">
        <f t="shared" si="188"/>
        <v>-4370759.5599999968</v>
      </c>
      <c r="E214" s="152">
        <f t="shared" si="188"/>
        <v>-448827.42999998736</v>
      </c>
      <c r="F214" s="152">
        <f t="shared" si="188"/>
        <v>8503.9600000153296</v>
      </c>
      <c r="G214" s="152">
        <f t="shared" si="188"/>
        <v>-480573.60000000172</v>
      </c>
      <c r="H214" s="152">
        <f t="shared" si="188"/>
        <v>19336810.948051885</v>
      </c>
      <c r="I214" s="152">
        <f t="shared" ca="1" si="188"/>
        <v>5571522.4929020517</v>
      </c>
      <c r="J214" s="152">
        <f t="shared" ca="1" si="188"/>
        <v>5226901.3747113673</v>
      </c>
      <c r="K214" s="152">
        <f t="shared" ca="1" si="188"/>
        <v>3627888.7083150009</v>
      </c>
      <c r="L214" s="152">
        <f t="shared" ca="1" si="188"/>
        <v>1515360.0755564496</v>
      </c>
      <c r="M214" s="152">
        <f t="shared" ca="1" si="188"/>
        <v>3272196.2290949784</v>
      </c>
      <c r="N214" s="152">
        <f t="shared" ca="1" si="188"/>
        <v>35145757.30819311</v>
      </c>
      <c r="O214" s="253"/>
      <c r="P214" s="253"/>
      <c r="Q214" s="253"/>
      <c r="R214" s="253"/>
      <c r="S214" s="253"/>
      <c r="T214" s="253"/>
      <c r="U214" s="253"/>
      <c r="V214" s="253"/>
      <c r="W214" s="253"/>
      <c r="X214" s="253"/>
      <c r="Y214" s="253"/>
      <c r="Z214" s="253"/>
      <c r="AA214" s="152">
        <f>+AA212-AA63</f>
        <v>0</v>
      </c>
      <c r="AB214" s="253"/>
      <c r="AC214" s="253"/>
      <c r="AD214" s="253"/>
      <c r="AE214" s="253"/>
      <c r="AF214" s="253"/>
      <c r="AG214" s="253"/>
      <c r="AH214" s="253"/>
      <c r="AI214" s="253"/>
      <c r="AJ214" s="253"/>
      <c r="AK214" s="253"/>
      <c r="AL214" s="253"/>
      <c r="AM214" s="253"/>
      <c r="AN214" s="152">
        <f>+AN212-AN63</f>
        <v>0</v>
      </c>
      <c r="AO214" s="150"/>
      <c r="AP214" s="150"/>
    </row>
  </sheetData>
  <phoneticPr fontId="2" type="noConversion"/>
  <conditionalFormatting sqref="B90:AN90">
    <cfRule type="cellIs" dxfId="167" priority="37" operator="greaterThan">
      <formula>0</formula>
    </cfRule>
  </conditionalFormatting>
  <conditionalFormatting sqref="B91:AN91">
    <cfRule type="cellIs" dxfId="166" priority="36" operator="greaterThan">
      <formula>0</formula>
    </cfRule>
  </conditionalFormatting>
  <conditionalFormatting sqref="B111:AN111">
    <cfRule type="cellIs" dxfId="165" priority="25" operator="greaterThan">
      <formula>5</formula>
    </cfRule>
  </conditionalFormatting>
  <conditionalFormatting sqref="B146:AN146">
    <cfRule type="cellIs" dxfId="164" priority="35" operator="lessThan">
      <formula>0</formula>
    </cfRule>
    <cfRule type="cellIs" dxfId="163" priority="34" operator="greaterThan">
      <formula>0</formula>
    </cfRule>
  </conditionalFormatting>
  <conditionalFormatting sqref="B148:AN148">
    <cfRule type="cellIs" dxfId="162" priority="13" operator="lessThan">
      <formula>B149</formula>
    </cfRule>
    <cfRule type="cellIs" dxfId="161" priority="39" operator="greaterThan">
      <formula>B149*1.05</formula>
    </cfRule>
  </conditionalFormatting>
  <conditionalFormatting sqref="B151:AN151">
    <cfRule type="cellIs" dxfId="160" priority="40" operator="lessThan">
      <formula>B152</formula>
    </cfRule>
    <cfRule type="cellIs" dxfId="159" priority="41" operator="greaterThan">
      <formula>B152*1.02</formula>
    </cfRule>
  </conditionalFormatting>
  <conditionalFormatting sqref="B153:AN153">
    <cfRule type="cellIs" dxfId="158" priority="38" operator="lessThan">
      <formula>B154*1.05</formula>
    </cfRule>
    <cfRule type="cellIs" dxfId="157" priority="12" operator="greaterThan">
      <formula>B154</formula>
    </cfRule>
  </conditionalFormatting>
  <conditionalFormatting sqref="C117">
    <cfRule type="cellIs" dxfId="156" priority="30" operator="greaterThan">
      <formula>5</formula>
    </cfRule>
  </conditionalFormatting>
  <conditionalFormatting sqref="C151">
    <cfRule type="cellIs" dxfId="155" priority="14" operator="greaterThan">
      <formula>C152*1.02</formula>
    </cfRule>
    <cfRule type="cellIs" dxfId="154" priority="54" operator="lessThan">
      <formula>C152</formula>
    </cfRule>
  </conditionalFormatting>
  <conditionalFormatting sqref="C153:AN153">
    <cfRule type="cellIs" dxfId="153" priority="10" operator="lessThan">
      <formula>C154*1.05</formula>
    </cfRule>
  </conditionalFormatting>
  <conditionalFormatting sqref="D98">
    <cfRule type="cellIs" dxfId="152" priority="24" operator="lessThan">
      <formula>D99</formula>
    </cfRule>
    <cfRule type="cellIs" dxfId="151" priority="23" operator="greaterThan">
      <formula>D99</formula>
    </cfRule>
  </conditionalFormatting>
  <conditionalFormatting sqref="D100:D101">
    <cfRule type="cellIs" dxfId="150" priority="27" operator="greaterThan">
      <formula>D112</formula>
    </cfRule>
    <cfRule type="cellIs" dxfId="149" priority="26" operator="lessThan">
      <formula>D112</formula>
    </cfRule>
  </conditionalFormatting>
  <conditionalFormatting sqref="D110">
    <cfRule type="cellIs" dxfId="148" priority="28" operator="greaterThan">
      <formula>D113</formula>
    </cfRule>
    <cfRule type="cellIs" dxfId="147" priority="29" operator="lessThan">
      <formula>D113</formula>
    </cfRule>
  </conditionalFormatting>
  <conditionalFormatting sqref="D122">
    <cfRule type="cellIs" dxfId="146" priority="22" operator="greaterThan">
      <formula>D123</formula>
    </cfRule>
    <cfRule type="cellIs" dxfId="145" priority="21" operator="lessThan">
      <formula>D123</formula>
    </cfRule>
  </conditionalFormatting>
  <conditionalFormatting sqref="D151:AN151">
    <cfRule type="cellIs" dxfId="144" priority="11" operator="lessThan">
      <formula>D152</formula>
    </cfRule>
  </conditionalFormatting>
  <conditionalFormatting sqref="G98">
    <cfRule type="cellIs" dxfId="143" priority="46" operator="greaterThan">
      <formula>G99</formula>
    </cfRule>
    <cfRule type="cellIs" dxfId="142" priority="47" operator="lessThan">
      <formula>G99</formula>
    </cfRule>
  </conditionalFormatting>
  <conditionalFormatting sqref="G100:G101">
    <cfRule type="cellIs" dxfId="141" priority="6" operator="greaterThan">
      <formula>G112</formula>
    </cfRule>
    <cfRule type="cellIs" dxfId="140" priority="5" operator="lessThan">
      <formula>G112</formula>
    </cfRule>
  </conditionalFormatting>
  <conditionalFormatting sqref="G110">
    <cfRule type="cellIs" dxfId="139" priority="52" operator="greaterThan">
      <formula>G113</formula>
    </cfRule>
    <cfRule type="cellIs" dxfId="138" priority="53" operator="lessThan">
      <formula>G113</formula>
    </cfRule>
  </conditionalFormatting>
  <conditionalFormatting sqref="G116">
    <cfRule type="cellIs" dxfId="137" priority="33" operator="greaterThan">
      <formula>5</formula>
    </cfRule>
  </conditionalFormatting>
  <conditionalFormatting sqref="G122">
    <cfRule type="cellIs" dxfId="136" priority="20" operator="greaterThan">
      <formula>G123</formula>
    </cfRule>
    <cfRule type="cellIs" dxfId="135" priority="19" operator="lessThan">
      <formula>G123</formula>
    </cfRule>
  </conditionalFormatting>
  <conditionalFormatting sqref="J98">
    <cfRule type="cellIs" dxfId="134" priority="44" operator="greaterThan">
      <formula>J99</formula>
    </cfRule>
    <cfRule type="cellIs" dxfId="133" priority="45" operator="lessThan">
      <formula>J99</formula>
    </cfRule>
  </conditionalFormatting>
  <conditionalFormatting sqref="J100:J101">
    <cfRule type="cellIs" dxfId="132" priority="4" operator="greaterThan">
      <formula>J112</formula>
    </cfRule>
    <cfRule type="cellIs" dxfId="131" priority="3" operator="lessThan">
      <formula>J112</formula>
    </cfRule>
  </conditionalFormatting>
  <conditionalFormatting sqref="J110">
    <cfRule type="cellIs" dxfId="130" priority="50" operator="greaterThan">
      <formula>J113</formula>
    </cfRule>
    <cfRule type="cellIs" dxfId="129" priority="51" operator="lessThan">
      <formula>J113</formula>
    </cfRule>
  </conditionalFormatting>
  <conditionalFormatting sqref="J116">
    <cfRule type="cellIs" dxfId="128" priority="32" operator="greaterThan">
      <formula>5</formula>
    </cfRule>
  </conditionalFormatting>
  <conditionalFormatting sqref="J122">
    <cfRule type="cellIs" dxfId="127" priority="18" operator="greaterThan">
      <formula>J123</formula>
    </cfRule>
    <cfRule type="cellIs" dxfId="126" priority="17" operator="lessThan">
      <formula>J123</formula>
    </cfRule>
  </conditionalFormatting>
  <conditionalFormatting sqref="M98">
    <cfRule type="cellIs" dxfId="125" priority="42" operator="greaterThan">
      <formula>M99</formula>
    </cfRule>
    <cfRule type="cellIs" dxfId="124" priority="43" operator="lessThan">
      <formula>M99</formula>
    </cfRule>
  </conditionalFormatting>
  <conditionalFormatting sqref="M100:M101">
    <cfRule type="cellIs" dxfId="123" priority="1" operator="lessThan">
      <formula>M112</formula>
    </cfRule>
    <cfRule type="cellIs" dxfId="122" priority="2" operator="greaterThan">
      <formula>M112</formula>
    </cfRule>
  </conditionalFormatting>
  <conditionalFormatting sqref="M110">
    <cfRule type="cellIs" dxfId="121" priority="49" operator="lessThan">
      <formula>M113</formula>
    </cfRule>
    <cfRule type="cellIs" dxfId="120" priority="48" operator="greaterThan">
      <formula>M113</formula>
    </cfRule>
  </conditionalFormatting>
  <conditionalFormatting sqref="M116">
    <cfRule type="cellIs" dxfId="119" priority="31" operator="greaterThan">
      <formula>5</formula>
    </cfRule>
  </conditionalFormatting>
  <conditionalFormatting sqref="M122">
    <cfRule type="cellIs" dxfId="118" priority="16" operator="greaterThan">
      <formula>M123</formula>
    </cfRule>
    <cfRule type="cellIs" dxfId="117" priority="15" operator="lessThan">
      <formula>M123</formula>
    </cfRule>
  </conditionalFormatting>
  <conditionalFormatting sqref="N148:AN148">
    <cfRule type="cellIs" dxfId="116" priority="9" operator="greaterThan">
      <formula>N149*1.05</formula>
    </cfRule>
  </conditionalFormatting>
  <conditionalFormatting sqref="AR146">
    <cfRule type="cellIs" dxfId="115" priority="7" operator="greaterThan">
      <formula>0</formula>
    </cfRule>
    <cfRule type="cellIs" dxfId="114" priority="8" operator="lessThan">
      <formula>0</formula>
    </cfRule>
  </conditionalFormatting>
  <pageMargins left="0.7" right="0.7" top="0.75" bottom="0.75" header="0.3" footer="0.3"/>
  <pageSetup orientation="portrait" r:id="rId1"/>
  <headerFooter>
    <oddHeader>&amp;R&amp;"Calibri"&amp;10&amp;K000000 Confidencial&amp;1#_x000D_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0D32A-8A7A-4019-9C85-EE7AC25C78A3}">
  <sheetPr codeName="Sheet16">
    <tabColor rgb="FF0066FF"/>
  </sheetPr>
  <dimension ref="B1:CY79"/>
  <sheetViews>
    <sheetView showGridLines="0" topLeftCell="A6" zoomScale="47" zoomScaleNormal="85" workbookViewId="0">
      <pane xSplit="14" ySplit="9" topLeftCell="P15" activePane="bottomRight" state="frozen"/>
      <selection activeCell="A6" sqref="A6"/>
      <selection pane="topRight" activeCell="O6" sqref="O6"/>
      <selection pane="bottomLeft" activeCell="A15" sqref="A15"/>
      <selection pane="bottomRight" activeCell="P18" sqref="P18"/>
    </sheetView>
  </sheetViews>
  <sheetFormatPr baseColWidth="10" defaultColWidth="8.88671875" defaultRowHeight="18" outlineLevelRow="1" outlineLevelCol="1" x14ac:dyDescent="0.35"/>
  <cols>
    <col min="1" max="1" width="8.88671875" style="26"/>
    <col min="2" max="2" width="49.5546875" style="26" customWidth="1"/>
    <col min="3" max="3" width="12" style="26" hidden="1" customWidth="1" outlineLevel="1"/>
    <col min="4" max="13" width="8.88671875" style="26" hidden="1" customWidth="1" outlineLevel="1"/>
    <col min="14" max="14" width="11" style="26" hidden="1" customWidth="1" outlineLevel="1"/>
    <col min="15" max="15" width="2.6640625" style="26" customWidth="1" collapsed="1"/>
    <col min="16" max="16" width="21.5546875" style="26" customWidth="1" outlineLevel="1" collapsed="1"/>
    <col min="17" max="22" width="21.5546875" style="26" customWidth="1" outlineLevel="1"/>
    <col min="23" max="23" width="22.109375" style="26" customWidth="1" outlineLevel="1"/>
    <col min="24" max="25" width="21.6640625" style="26" customWidth="1" outlineLevel="1"/>
    <col min="26" max="27" width="22.109375" style="26" customWidth="1" outlineLevel="1"/>
    <col min="28" max="28" width="23.6640625" style="27" bestFit="1" customWidth="1"/>
    <col min="29" max="29" width="2.6640625" style="26" customWidth="1" collapsed="1"/>
    <col min="30" max="30" width="22.109375" style="26" customWidth="1" outlineLevel="1"/>
    <col min="31" max="32" width="21.5546875" style="26" customWidth="1" outlineLevel="1"/>
    <col min="33" max="35" width="22.109375" style="26" customWidth="1" outlineLevel="1"/>
    <col min="36" max="38" width="21.5546875" style="26" customWidth="1" outlineLevel="1"/>
    <col min="39" max="39" width="15.77734375" style="26" bestFit="1" customWidth="1" outlineLevel="1"/>
    <col min="40" max="40" width="21.5546875" style="26" customWidth="1" outlineLevel="1"/>
    <col min="41" max="41" width="22.109375" style="26" customWidth="1" outlineLevel="1"/>
    <col min="42" max="42" width="24.109375" style="27" bestFit="1" customWidth="1"/>
    <col min="43" max="43" width="2.6640625" style="26" customWidth="1" collapsed="1"/>
    <col min="44" max="45" width="22.109375" style="26" customWidth="1" outlineLevel="1"/>
    <col min="46" max="47" width="21.5546875" style="26" customWidth="1" outlineLevel="1"/>
    <col min="48" max="50" width="22.109375" style="26" customWidth="1" outlineLevel="1"/>
    <col min="51" max="51" width="21.5546875" style="26" customWidth="1" outlineLevel="1"/>
    <col min="52" max="53" width="22.109375" style="26" customWidth="1" outlineLevel="1"/>
    <col min="54" max="54" width="21.5546875" style="26" customWidth="1" outlineLevel="1"/>
    <col min="55" max="55" width="22.109375" style="26" customWidth="1" outlineLevel="1"/>
    <col min="56" max="58" width="26.109375" style="27" bestFit="1" customWidth="1"/>
    <col min="59" max="59" width="114.6640625" style="337" customWidth="1"/>
    <col min="60" max="16384" width="8.88671875" style="26"/>
  </cols>
  <sheetData>
    <row r="1" spans="2:103" hidden="1" x14ac:dyDescent="0.35"/>
    <row r="2" spans="2:103" hidden="1" x14ac:dyDescent="0.35"/>
    <row r="3" spans="2:103" hidden="1" x14ac:dyDescent="0.35"/>
    <row r="4" spans="2:103" hidden="1" x14ac:dyDescent="0.35"/>
    <row r="5" spans="2:103" hidden="1" x14ac:dyDescent="0.35"/>
    <row r="7" spans="2:103" x14ac:dyDescent="0.35">
      <c r="S7" s="277"/>
      <c r="AD7" s="277"/>
      <c r="AN7" s="277"/>
      <c r="BK7" s="277">
        <v>14603982.199999999</v>
      </c>
      <c r="BL7" s="277">
        <v>8000000</v>
      </c>
      <c r="BM7" s="277">
        <v>8000000</v>
      </c>
      <c r="BN7" s="277">
        <v>8000000</v>
      </c>
      <c r="BO7" s="277">
        <v>8000000</v>
      </c>
      <c r="BP7" s="277">
        <v>8000000</v>
      </c>
      <c r="BQ7" s="277">
        <v>8000000</v>
      </c>
      <c r="BR7" s="277">
        <v>8000000</v>
      </c>
      <c r="BS7" s="277">
        <v>8000000</v>
      </c>
      <c r="BT7" s="277">
        <v>8000000</v>
      </c>
      <c r="BU7" s="277">
        <v>23085701.699999999</v>
      </c>
      <c r="BV7" s="277">
        <v>8000000</v>
      </c>
      <c r="BW7" s="277">
        <v>8000000</v>
      </c>
      <c r="BX7" s="277">
        <v>8000000</v>
      </c>
      <c r="BY7" s="277">
        <v>8000000</v>
      </c>
      <c r="BZ7" s="277">
        <v>8000000</v>
      </c>
      <c r="CA7" s="277">
        <v>8000000</v>
      </c>
      <c r="CB7" s="277">
        <v>8000000</v>
      </c>
      <c r="CC7" s="277">
        <v>8000000</v>
      </c>
      <c r="CD7" s="277">
        <v>8000000</v>
      </c>
      <c r="CE7" s="277">
        <v>19370356.690000001</v>
      </c>
      <c r="CF7" s="277">
        <v>8000000</v>
      </c>
      <c r="CG7" s="277">
        <v>8000000</v>
      </c>
      <c r="CH7" s="277">
        <v>8000000</v>
      </c>
      <c r="CI7" s="277">
        <v>8000000</v>
      </c>
      <c r="CJ7" s="277">
        <v>8000000</v>
      </c>
      <c r="CK7" s="277">
        <v>8000000</v>
      </c>
      <c r="CL7" s="277">
        <v>8000000</v>
      </c>
      <c r="CM7" s="277">
        <v>8000000</v>
      </c>
      <c r="CN7" s="277">
        <v>8000000</v>
      </c>
      <c r="CO7" s="277">
        <v>23764811.399999999</v>
      </c>
      <c r="CP7" s="277">
        <v>8000000</v>
      </c>
      <c r="CQ7" s="277">
        <v>8000000</v>
      </c>
      <c r="CR7" s="277">
        <v>8000000</v>
      </c>
      <c r="CS7" s="277">
        <v>8000000</v>
      </c>
      <c r="CT7" s="277">
        <v>8000000</v>
      </c>
      <c r="CU7" s="277">
        <v>8000000</v>
      </c>
      <c r="CV7" s="277">
        <v>8000000</v>
      </c>
      <c r="CW7" s="277">
        <v>8000000</v>
      </c>
      <c r="CX7" s="277">
        <v>8000000</v>
      </c>
      <c r="CY7" s="277">
        <v>22053811.59</v>
      </c>
    </row>
    <row r="9" spans="2:103" x14ac:dyDescent="0.35">
      <c r="B9" s="28" t="s">
        <v>1818</v>
      </c>
      <c r="T9" s="55"/>
      <c r="U9" s="55"/>
      <c r="V9" s="55"/>
      <c r="W9" s="55"/>
      <c r="X9" s="55"/>
      <c r="Y9" s="55"/>
      <c r="Z9" s="55"/>
      <c r="AA9" s="55"/>
      <c r="AP9" s="343">
        <f ca="1">(AP18/AB18)-100%</f>
        <v>0.25</v>
      </c>
      <c r="BD9" s="343">
        <f ca="1">(BD18/AP18)-100%</f>
        <v>0.24105792704422502</v>
      </c>
      <c r="BE9" s="343"/>
      <c r="BF9" s="343"/>
    </row>
    <row r="10" spans="2:103" x14ac:dyDescent="0.35">
      <c r="B10" s="26" t="s">
        <v>0</v>
      </c>
      <c r="T10" s="55"/>
      <c r="U10" s="55"/>
      <c r="V10" s="55"/>
      <c r="W10" s="55"/>
      <c r="X10" s="55"/>
      <c r="Y10" s="55"/>
      <c r="Z10" s="55"/>
      <c r="AA10" s="55"/>
      <c r="BD10" s="343">
        <f ca="1">(BD18/AB18)-100%</f>
        <v>0.55132240880528127</v>
      </c>
      <c r="BE10" s="343"/>
      <c r="BF10" s="343"/>
    </row>
    <row r="11" spans="2:103" s="33" customFormat="1" x14ac:dyDescent="0.35">
      <c r="B11" s="33" t="s">
        <v>1</v>
      </c>
      <c r="C11" s="33">
        <v>1</v>
      </c>
      <c r="D11" s="33">
        <v>2</v>
      </c>
      <c r="E11" s="33">
        <v>3</v>
      </c>
      <c r="F11" s="33">
        <v>4</v>
      </c>
      <c r="G11" s="33">
        <v>5</v>
      </c>
      <c r="H11" s="33">
        <v>6</v>
      </c>
      <c r="I11" s="33">
        <v>7</v>
      </c>
      <c r="J11" s="33">
        <v>8</v>
      </c>
      <c r="K11" s="33">
        <v>9</v>
      </c>
      <c r="L11" s="33">
        <v>10</v>
      </c>
      <c r="M11" s="33">
        <v>11</v>
      </c>
      <c r="N11" s="33">
        <v>12</v>
      </c>
      <c r="P11" s="33">
        <v>1</v>
      </c>
      <c r="Q11" s="33">
        <v>2</v>
      </c>
      <c r="R11" s="33">
        <v>3</v>
      </c>
      <c r="S11" s="33">
        <v>4</v>
      </c>
      <c r="T11" s="33">
        <v>5</v>
      </c>
      <c r="U11" s="33">
        <v>6</v>
      </c>
      <c r="V11" s="33">
        <v>7</v>
      </c>
      <c r="W11" s="33">
        <v>8</v>
      </c>
      <c r="X11" s="33">
        <v>9</v>
      </c>
      <c r="Y11" s="33">
        <v>10</v>
      </c>
      <c r="Z11" s="33">
        <v>11</v>
      </c>
      <c r="AA11" s="33">
        <v>12</v>
      </c>
      <c r="AB11" s="161">
        <v>2025</v>
      </c>
      <c r="AC11" s="26"/>
      <c r="AD11" s="33">
        <v>1</v>
      </c>
      <c r="AE11" s="33">
        <v>2</v>
      </c>
      <c r="AF11" s="33">
        <v>3</v>
      </c>
      <c r="AG11" s="33">
        <v>4</v>
      </c>
      <c r="AH11" s="33">
        <v>5</v>
      </c>
      <c r="AI11" s="33">
        <v>6</v>
      </c>
      <c r="AJ11" s="33">
        <v>7</v>
      </c>
      <c r="AK11" s="33">
        <v>8</v>
      </c>
      <c r="AL11" s="33">
        <v>9</v>
      </c>
      <c r="AM11" s="33">
        <v>10</v>
      </c>
      <c r="AN11" s="33">
        <v>11</v>
      </c>
      <c r="AO11" s="33">
        <v>12</v>
      </c>
      <c r="AP11" s="161">
        <v>2026</v>
      </c>
      <c r="AQ11" s="26"/>
      <c r="AR11" s="33">
        <v>1</v>
      </c>
      <c r="AS11" s="33">
        <v>2</v>
      </c>
      <c r="AT11" s="33">
        <v>3</v>
      </c>
      <c r="AU11" s="33">
        <v>4</v>
      </c>
      <c r="AV11" s="33">
        <v>5</v>
      </c>
      <c r="AW11" s="33">
        <v>6</v>
      </c>
      <c r="AX11" s="33">
        <v>7</v>
      </c>
      <c r="AY11" s="33">
        <v>8</v>
      </c>
      <c r="AZ11" s="33">
        <v>9</v>
      </c>
      <c r="BA11" s="33">
        <v>10</v>
      </c>
      <c r="BB11" s="33">
        <v>11</v>
      </c>
      <c r="BC11" s="33">
        <v>12</v>
      </c>
      <c r="BD11" s="161">
        <v>2027</v>
      </c>
      <c r="BE11" s="161">
        <v>2028</v>
      </c>
      <c r="BF11" s="161">
        <v>2028</v>
      </c>
      <c r="BG11" s="338" t="s">
        <v>1901</v>
      </c>
    </row>
    <row r="12" spans="2:103" x14ac:dyDescent="0.35">
      <c r="B12" s="26" t="s">
        <v>2</v>
      </c>
      <c r="C12" s="26">
        <v>1</v>
      </c>
      <c r="D12" s="26">
        <v>1</v>
      </c>
      <c r="E12" s="26">
        <v>1</v>
      </c>
      <c r="F12" s="26">
        <v>2</v>
      </c>
      <c r="G12" s="26">
        <v>2</v>
      </c>
      <c r="H12" s="26">
        <v>2</v>
      </c>
      <c r="I12" s="26">
        <v>3</v>
      </c>
      <c r="J12" s="26">
        <v>3</v>
      </c>
      <c r="K12" s="26">
        <v>3</v>
      </c>
      <c r="L12" s="26">
        <v>4</v>
      </c>
      <c r="M12" s="26">
        <v>4</v>
      </c>
      <c r="N12" s="26">
        <v>4</v>
      </c>
      <c r="P12" s="26">
        <v>1</v>
      </c>
      <c r="Q12" s="26">
        <v>1</v>
      </c>
      <c r="R12" s="26">
        <v>1</v>
      </c>
      <c r="S12" s="26">
        <v>2</v>
      </c>
      <c r="T12" s="26">
        <v>2</v>
      </c>
      <c r="U12" s="26">
        <v>2</v>
      </c>
      <c r="V12" s="26">
        <v>3</v>
      </c>
      <c r="W12" s="26">
        <v>3</v>
      </c>
      <c r="X12" s="26">
        <v>3</v>
      </c>
      <c r="Y12" s="26">
        <v>4</v>
      </c>
      <c r="Z12" s="26">
        <v>4</v>
      </c>
      <c r="AA12" s="26">
        <v>4</v>
      </c>
      <c r="AD12" s="26">
        <v>1</v>
      </c>
      <c r="AE12" s="26">
        <v>1</v>
      </c>
      <c r="AF12" s="26">
        <v>1</v>
      </c>
      <c r="AG12" s="26">
        <v>2</v>
      </c>
      <c r="AH12" s="26">
        <v>2</v>
      </c>
      <c r="AI12" s="26">
        <v>2</v>
      </c>
      <c r="AJ12" s="26">
        <v>3</v>
      </c>
      <c r="AK12" s="26">
        <v>3</v>
      </c>
      <c r="AL12" s="26">
        <v>3</v>
      </c>
      <c r="AM12" s="26">
        <v>4</v>
      </c>
      <c r="AN12" s="26">
        <v>4</v>
      </c>
      <c r="AO12" s="26">
        <v>4</v>
      </c>
      <c r="AR12" s="26">
        <v>1</v>
      </c>
      <c r="AS12" s="26">
        <v>1</v>
      </c>
      <c r="AT12" s="26">
        <v>1</v>
      </c>
      <c r="AU12" s="26">
        <v>2</v>
      </c>
      <c r="AV12" s="26">
        <v>2</v>
      </c>
      <c r="AW12" s="26">
        <v>2</v>
      </c>
      <c r="AX12" s="26">
        <v>3</v>
      </c>
      <c r="AY12" s="26">
        <v>3</v>
      </c>
      <c r="AZ12" s="26">
        <v>3</v>
      </c>
      <c r="BA12" s="26">
        <v>4</v>
      </c>
      <c r="BB12" s="26">
        <v>4</v>
      </c>
      <c r="BC12" s="26">
        <v>4</v>
      </c>
    </row>
    <row r="13" spans="2:103" x14ac:dyDescent="0.35">
      <c r="B13" s="26" t="s">
        <v>32</v>
      </c>
      <c r="C13" s="26">
        <v>2024</v>
      </c>
      <c r="D13" s="26">
        <v>2024</v>
      </c>
      <c r="E13" s="26">
        <v>2024</v>
      </c>
      <c r="F13" s="26">
        <v>2024</v>
      </c>
      <c r="G13" s="26">
        <v>2024</v>
      </c>
      <c r="H13" s="26">
        <v>2024</v>
      </c>
      <c r="I13" s="26">
        <v>2024</v>
      </c>
      <c r="J13" s="26">
        <v>2024</v>
      </c>
      <c r="K13" s="26">
        <v>2024</v>
      </c>
      <c r="L13" s="26">
        <v>2024</v>
      </c>
      <c r="M13" s="26">
        <v>2024</v>
      </c>
      <c r="N13" s="26">
        <v>2024</v>
      </c>
      <c r="P13" s="26">
        <v>2025</v>
      </c>
      <c r="Q13" s="26">
        <v>2025</v>
      </c>
      <c r="R13" s="26">
        <v>2025</v>
      </c>
      <c r="S13" s="26">
        <v>2025</v>
      </c>
      <c r="T13" s="26">
        <v>2025</v>
      </c>
      <c r="U13" s="26">
        <v>2025</v>
      </c>
      <c r="V13" s="26">
        <v>2025</v>
      </c>
      <c r="W13" s="26">
        <v>2025</v>
      </c>
      <c r="X13" s="26">
        <v>2025</v>
      </c>
      <c r="Y13" s="26">
        <v>2025</v>
      </c>
      <c r="Z13" s="26">
        <v>2025</v>
      </c>
      <c r="AA13" s="26">
        <v>2025</v>
      </c>
      <c r="AD13" s="26">
        <v>2026</v>
      </c>
      <c r="AE13" s="26">
        <v>2026</v>
      </c>
      <c r="AF13" s="26">
        <v>2026</v>
      </c>
      <c r="AG13" s="26">
        <v>2026</v>
      </c>
      <c r="AH13" s="26">
        <v>2026</v>
      </c>
      <c r="AI13" s="26">
        <v>2026</v>
      </c>
      <c r="AJ13" s="26">
        <v>2026</v>
      </c>
      <c r="AK13" s="26">
        <v>2026</v>
      </c>
      <c r="AL13" s="26">
        <v>2026</v>
      </c>
      <c r="AM13" s="26">
        <v>2026</v>
      </c>
      <c r="AN13" s="26">
        <v>2026</v>
      </c>
      <c r="AO13" s="26">
        <v>2026</v>
      </c>
      <c r="AR13" s="26">
        <v>2027</v>
      </c>
      <c r="AS13" s="26">
        <v>2027</v>
      </c>
      <c r="AT13" s="26">
        <v>2027</v>
      </c>
      <c r="AU13" s="26">
        <v>2027</v>
      </c>
      <c r="AV13" s="26">
        <v>2027</v>
      </c>
      <c r="AW13" s="26">
        <v>2027</v>
      </c>
      <c r="AX13" s="26">
        <v>2027</v>
      </c>
      <c r="AY13" s="26">
        <v>2027</v>
      </c>
      <c r="AZ13" s="26">
        <v>2027</v>
      </c>
      <c r="BA13" s="26">
        <v>2027</v>
      </c>
      <c r="BB13" s="26">
        <v>2027</v>
      </c>
      <c r="BC13" s="26">
        <v>2027</v>
      </c>
    </row>
    <row r="15" spans="2:103" outlineLevel="1" x14ac:dyDescent="0.35">
      <c r="B15" s="29" t="s">
        <v>11</v>
      </c>
      <c r="P15" s="319">
        <v>9677100.5999999996</v>
      </c>
      <c r="Q15" s="319">
        <v>8226802.8799999896</v>
      </c>
      <c r="R15" s="319">
        <v>5356720.1399999997</v>
      </c>
      <c r="S15" s="319">
        <v>13035710.949999999</v>
      </c>
      <c r="T15" s="319">
        <v>11700675.02</v>
      </c>
      <c r="U15" s="319">
        <v>8685547.9399999995</v>
      </c>
      <c r="V15" s="319">
        <v>15512994.25</v>
      </c>
      <c r="W15" s="68">
        <v>16143512.4</v>
      </c>
      <c r="X15" s="68">
        <v>14196903.6</v>
      </c>
      <c r="Y15" s="68">
        <v>12303554.789999999</v>
      </c>
      <c r="Z15" s="68">
        <v>10392540.699999999</v>
      </c>
      <c r="AA15" s="68">
        <v>12161452.189999999</v>
      </c>
      <c r="AB15" s="341">
        <f>SUM(P15:AA15)</f>
        <v>137393515.46000001</v>
      </c>
      <c r="AD15" s="159">
        <f t="shared" ref="AD15:AO17" si="0">P15*1.25</f>
        <v>12096375.75</v>
      </c>
      <c r="AE15" s="159">
        <f t="shared" si="0"/>
        <v>10283503.599999987</v>
      </c>
      <c r="AF15" s="159">
        <f t="shared" si="0"/>
        <v>6695900.1749999998</v>
      </c>
      <c r="AG15" s="159">
        <f t="shared" si="0"/>
        <v>16294638.6875</v>
      </c>
      <c r="AH15" s="159">
        <f t="shared" si="0"/>
        <v>14625843.774999999</v>
      </c>
      <c r="AI15" s="159">
        <f t="shared" si="0"/>
        <v>10856934.924999999</v>
      </c>
      <c r="AJ15" s="159">
        <f t="shared" si="0"/>
        <v>19391242.8125</v>
      </c>
      <c r="AK15" s="159">
        <f t="shared" si="0"/>
        <v>20179390.5</v>
      </c>
      <c r="AL15" s="159">
        <f t="shared" si="0"/>
        <v>17746129.5</v>
      </c>
      <c r="AM15" s="159">
        <f t="shared" si="0"/>
        <v>15379443.487499999</v>
      </c>
      <c r="AN15" s="159">
        <f t="shared" si="0"/>
        <v>12990675.875</v>
      </c>
      <c r="AO15" s="159">
        <f t="shared" si="0"/>
        <v>15201815.237499999</v>
      </c>
      <c r="AP15" s="341">
        <f>SUM(AD15:AO15)</f>
        <v>171741894.32500002</v>
      </c>
      <c r="AR15" s="159">
        <f t="shared" ref="AR15:BC15" si="1">AD15*1.2</f>
        <v>14515650.9</v>
      </c>
      <c r="AS15" s="159">
        <f t="shared" si="1"/>
        <v>12340204.319999984</v>
      </c>
      <c r="AT15" s="159">
        <f t="shared" si="1"/>
        <v>8035080.209999999</v>
      </c>
      <c r="AU15" s="159">
        <f t="shared" si="1"/>
        <v>19553566.425000001</v>
      </c>
      <c r="AV15" s="159">
        <f t="shared" si="1"/>
        <v>17551012.529999997</v>
      </c>
      <c r="AW15" s="159">
        <f t="shared" si="1"/>
        <v>13028321.909999998</v>
      </c>
      <c r="AX15" s="159">
        <f t="shared" si="1"/>
        <v>23269491.375</v>
      </c>
      <c r="AY15" s="159">
        <f t="shared" si="1"/>
        <v>24215268.599999998</v>
      </c>
      <c r="AZ15" s="159">
        <f t="shared" si="1"/>
        <v>21295355.399999999</v>
      </c>
      <c r="BA15" s="159">
        <f t="shared" si="1"/>
        <v>18455332.184999999</v>
      </c>
      <c r="BB15" s="159">
        <f t="shared" si="1"/>
        <v>15588811.049999999</v>
      </c>
      <c r="BC15" s="159">
        <f t="shared" si="1"/>
        <v>18242178.284999996</v>
      </c>
      <c r="BD15" s="341">
        <f>SUM(AR15:BC15)</f>
        <v>206090273.19</v>
      </c>
      <c r="BE15" s="341">
        <f>BD15*1.1</f>
        <v>226699300.509</v>
      </c>
      <c r="BF15" s="341">
        <f>BE15*1.1</f>
        <v>249369230.55990002</v>
      </c>
      <c r="BG15" s="381" t="s">
        <v>1902</v>
      </c>
    </row>
    <row r="16" spans="2:103" outlineLevel="1" x14ac:dyDescent="0.35">
      <c r="B16" s="29" t="s">
        <v>12</v>
      </c>
      <c r="P16" s="319"/>
      <c r="Q16" s="319"/>
      <c r="R16" s="319"/>
      <c r="S16" s="319"/>
      <c r="T16" s="319">
        <v>732871.29</v>
      </c>
      <c r="U16" s="319">
        <v>852760.66</v>
      </c>
      <c r="V16" s="319">
        <v>1184249.6399999999</v>
      </c>
      <c r="W16" s="68">
        <v>1557459</v>
      </c>
      <c r="X16" s="68">
        <v>1323398</v>
      </c>
      <c r="Y16" s="68">
        <v>1477644</v>
      </c>
      <c r="Z16" s="68">
        <v>1744133</v>
      </c>
      <c r="AA16" s="68">
        <v>1522217</v>
      </c>
      <c r="AB16" s="341">
        <f t="shared" ref="AB16:AB71" si="2">SUM(P16:AA16)</f>
        <v>10394732.59</v>
      </c>
      <c r="AD16" s="159">
        <f t="shared" si="0"/>
        <v>0</v>
      </c>
      <c r="AE16" s="159">
        <f t="shared" si="0"/>
        <v>0</v>
      </c>
      <c r="AF16" s="159">
        <f t="shared" si="0"/>
        <v>0</v>
      </c>
      <c r="AG16" s="159">
        <f t="shared" si="0"/>
        <v>0</v>
      </c>
      <c r="AH16" s="159">
        <f t="shared" si="0"/>
        <v>916089.11250000005</v>
      </c>
      <c r="AI16" s="159">
        <f t="shared" si="0"/>
        <v>1065950.825</v>
      </c>
      <c r="AJ16" s="159">
        <f t="shared" si="0"/>
        <v>1480312.0499999998</v>
      </c>
      <c r="AK16" s="159">
        <f t="shared" si="0"/>
        <v>1946823.75</v>
      </c>
      <c r="AL16" s="159">
        <f t="shared" si="0"/>
        <v>1654247.5</v>
      </c>
      <c r="AM16" s="159">
        <f t="shared" si="0"/>
        <v>1847055</v>
      </c>
      <c r="AN16" s="159">
        <f t="shared" si="0"/>
        <v>2180166.25</v>
      </c>
      <c r="AO16" s="159">
        <f t="shared" si="0"/>
        <v>1902771.25</v>
      </c>
      <c r="AP16" s="341">
        <f t="shared" ref="AP16:AP71" si="3">SUM(AD16:AO16)</f>
        <v>12993415.737500001</v>
      </c>
      <c r="AR16" s="159">
        <f t="shared" ref="AR16:BC16" si="4">AD16*1.25</f>
        <v>0</v>
      </c>
      <c r="AS16" s="159">
        <f t="shared" si="4"/>
        <v>0</v>
      </c>
      <c r="AT16" s="159">
        <f t="shared" si="4"/>
        <v>0</v>
      </c>
      <c r="AU16" s="159">
        <f t="shared" si="4"/>
        <v>0</v>
      </c>
      <c r="AV16" s="159">
        <f t="shared" si="4"/>
        <v>1145111.390625</v>
      </c>
      <c r="AW16" s="159">
        <f t="shared" si="4"/>
        <v>1332438.53125</v>
      </c>
      <c r="AX16" s="159">
        <f t="shared" si="4"/>
        <v>1850390.0624999998</v>
      </c>
      <c r="AY16" s="159">
        <f t="shared" si="4"/>
        <v>2433529.6875</v>
      </c>
      <c r="AZ16" s="159">
        <f t="shared" si="4"/>
        <v>2067809.375</v>
      </c>
      <c r="BA16" s="159">
        <f t="shared" si="4"/>
        <v>2308818.75</v>
      </c>
      <c r="BB16" s="159">
        <f t="shared" si="4"/>
        <v>2725207.8125</v>
      </c>
      <c r="BC16" s="159">
        <f t="shared" si="4"/>
        <v>2378464.0625</v>
      </c>
      <c r="BD16" s="341">
        <f t="shared" ref="BD16:BF66" si="5">SUM(AR16:BC16)</f>
        <v>16241769.671875</v>
      </c>
      <c r="BE16" s="341">
        <f>BD16*1.2</f>
        <v>19490123.606249999</v>
      </c>
      <c r="BF16" s="341">
        <f>BE16*1.2</f>
        <v>23388148.327499997</v>
      </c>
      <c r="BG16" s="381"/>
    </row>
    <row r="17" spans="2:59" outlineLevel="1" x14ac:dyDescent="0.35">
      <c r="B17" s="32" t="s">
        <v>13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20">
        <v>9061037.5500000007</v>
      </c>
      <c r="Q17" s="320">
        <v>8215637.3399999999</v>
      </c>
      <c r="R17" s="320">
        <v>7745218.0799999898</v>
      </c>
      <c r="S17" s="320">
        <v>4902491.2300000004</v>
      </c>
      <c r="T17" s="320">
        <v>8688581.2199999895</v>
      </c>
      <c r="U17" s="320">
        <v>8365497.1299999896</v>
      </c>
      <c r="V17" s="320">
        <v>6950223.1799999997</v>
      </c>
      <c r="W17" s="69">
        <f ca="1">OFFSET(INDEX(BIOMIRAL_PVT_LBL[], MATCH("TOTAL INC NUEVOS CANALES", BIOMIRAL_PVT_LBL[Column3], 0), MATCH("BIOMIRAL-ENE", 'BIOMIRAL PVT LBL'!2:2, 0)),0,V11)+OFFSET(INDEX(BIOMIRAL_PVT_LBL[], MATCH("TOTAL INC NUEVOS CANALES", BIOMIRAL_PVT_LBL[Column3], 0), MATCH("INNOV-ENE", 'BIOMIRAL PVT LBL'!2:2, 0)),0,V11)</f>
        <v>7770679.0370801566</v>
      </c>
      <c r="X17" s="69">
        <f ca="1">OFFSET(INDEX(BIOMIRAL_PVT_LBL[], MATCH("TOTAL INC NUEVOS CANALES", BIOMIRAL_PVT_LBL[Column3], 0), MATCH("BIOMIRAL-ENE", 'BIOMIRAL PVT LBL'!2:2, 0)),0,W11)+OFFSET(INDEX(BIOMIRAL_PVT_LBL[], MATCH("TOTAL INC NUEVOS CANALES", BIOMIRAL_PVT_LBL[Column3], 0), MATCH("INNOV-ENE", 'BIOMIRAL PVT LBL'!2:2, 0)),0,W11)</f>
        <v>7368248.702842189</v>
      </c>
      <c r="Y17" s="69">
        <f ca="1">OFFSET(INDEX(BIOMIRAL_PVT_LBL[], MATCH("TOTAL INC NUEVOS CANALES", BIOMIRAL_PVT_LBL[Column3], 0), MATCH("BIOMIRAL-ENE", 'BIOMIRAL PVT LBL'!2:2, 0)),0,X11)+OFFSET(INDEX(BIOMIRAL_PVT_LBL[], MATCH("TOTAL INC NUEVOS CANALES", BIOMIRAL_PVT_LBL[Column3], 0), MATCH("INNOV-ENE", 'BIOMIRAL PVT LBL'!2:2, 0)),0,X11)</f>
        <v>8843587.0480811708</v>
      </c>
      <c r="Z17" s="69">
        <f ca="1">OFFSET(INDEX(BIOMIRAL_PVT_LBL[], MATCH("TOTAL INC NUEVOS CANALES", BIOMIRAL_PVT_LBL[Column3], 0), MATCH("BIOMIRAL-ENE", 'BIOMIRAL PVT LBL'!2:2, 0)),0,Y11)+OFFSET(INDEX(BIOMIRAL_PVT_LBL[], MATCH("TOTAL INC NUEVOS CANALES", BIOMIRAL_PVT_LBL[Column3], 0), MATCH("INNOV-ENE", 'BIOMIRAL PVT LBL'!2:2, 0)),0,Y11)</f>
        <v>8108764.7922038632</v>
      </c>
      <c r="AA17" s="69">
        <v>8108764.7922038632</v>
      </c>
      <c r="AB17" s="342">
        <f t="shared" ca="1" si="2"/>
        <v>94128730.102411196</v>
      </c>
      <c r="AD17" s="67">
        <f t="shared" si="0"/>
        <v>11326296.9375</v>
      </c>
      <c r="AE17" s="67">
        <f t="shared" si="0"/>
        <v>10269546.675000001</v>
      </c>
      <c r="AF17" s="67">
        <f t="shared" si="0"/>
        <v>9681522.5999999866</v>
      </c>
      <c r="AG17" s="67">
        <f t="shared" si="0"/>
        <v>6128114.0375000006</v>
      </c>
      <c r="AH17" s="67">
        <f t="shared" si="0"/>
        <v>10860726.524999987</v>
      </c>
      <c r="AI17" s="67">
        <f t="shared" si="0"/>
        <v>10456871.412499987</v>
      </c>
      <c r="AJ17" s="67">
        <f t="shared" si="0"/>
        <v>8687778.9749999996</v>
      </c>
      <c r="AK17" s="67">
        <f t="shared" ca="1" si="0"/>
        <v>9713348.796350196</v>
      </c>
      <c r="AL17" s="67">
        <f t="shared" ca="1" si="0"/>
        <v>9210310.8785527367</v>
      </c>
      <c r="AM17" s="67">
        <f t="shared" ca="1" si="0"/>
        <v>11054483.810101464</v>
      </c>
      <c r="AN17" s="67">
        <f t="shared" ca="1" si="0"/>
        <v>10135955.990254829</v>
      </c>
      <c r="AO17" s="67">
        <f t="shared" si="0"/>
        <v>10135955.990254829</v>
      </c>
      <c r="AP17" s="342">
        <f t="shared" ca="1" si="3"/>
        <v>117660912.62801403</v>
      </c>
      <c r="AR17" s="67">
        <f t="shared" ref="AR17:BC17" si="6">AD17*1.3</f>
        <v>14724186.018750001</v>
      </c>
      <c r="AS17" s="67">
        <f t="shared" si="6"/>
        <v>13350410.677500002</v>
      </c>
      <c r="AT17" s="67">
        <f t="shared" si="6"/>
        <v>12585979.379999982</v>
      </c>
      <c r="AU17" s="67">
        <f t="shared" si="6"/>
        <v>7966548.2487500012</v>
      </c>
      <c r="AV17" s="67">
        <f t="shared" si="6"/>
        <v>14118944.482499983</v>
      </c>
      <c r="AW17" s="67">
        <f t="shared" si="6"/>
        <v>13593932.836249983</v>
      </c>
      <c r="AX17" s="67">
        <f t="shared" si="6"/>
        <v>11294112.6675</v>
      </c>
      <c r="AY17" s="67">
        <f t="shared" ca="1" si="6"/>
        <v>12627353.435255256</v>
      </c>
      <c r="AZ17" s="67">
        <f t="shared" ca="1" si="6"/>
        <v>11973404.142118558</v>
      </c>
      <c r="BA17" s="67">
        <f t="shared" ca="1" si="6"/>
        <v>14370828.953131905</v>
      </c>
      <c r="BB17" s="67">
        <f t="shared" ca="1" si="6"/>
        <v>13176742.787331278</v>
      </c>
      <c r="BC17" s="67">
        <f t="shared" si="6"/>
        <v>13176742.787331278</v>
      </c>
      <c r="BD17" s="342">
        <f t="shared" ca="1" si="5"/>
        <v>152959186.41641822</v>
      </c>
      <c r="BE17" s="342">
        <f ca="1">BD17*1.25</f>
        <v>191198983.02052277</v>
      </c>
      <c r="BF17" s="342">
        <f ca="1">BE17*1.25</f>
        <v>238998728.77565348</v>
      </c>
      <c r="BG17" s="337" t="s">
        <v>1903</v>
      </c>
    </row>
    <row r="18" spans="2:59" x14ac:dyDescent="0.35">
      <c r="B18" s="27" t="s">
        <v>34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35">
        <f>SUM(P15:P17)</f>
        <v>18738138.149999999</v>
      </c>
      <c r="Q18" s="35">
        <f>SUM(Q15:Q17)</f>
        <v>16442440.219999989</v>
      </c>
      <c r="R18" s="35">
        <f>SUM(R15:R17)</f>
        <v>13101938.219999989</v>
      </c>
      <c r="S18" s="35">
        <f>SUM(S15:S17)</f>
        <v>17938202.18</v>
      </c>
      <c r="T18" s="35">
        <f>SUM(T15:T17)</f>
        <v>21122127.529999986</v>
      </c>
      <c r="U18" s="35">
        <f t="shared" ref="U18:AA18" si="7">SUM(U15:U17)</f>
        <v>17903805.729999989</v>
      </c>
      <c r="V18" s="35">
        <f t="shared" si="7"/>
        <v>23647467.07</v>
      </c>
      <c r="W18" s="328">
        <f t="shared" ca="1" si="7"/>
        <v>25471650.437080156</v>
      </c>
      <c r="X18" s="328">
        <f t="shared" ca="1" si="7"/>
        <v>22888550.302842189</v>
      </c>
      <c r="Y18" s="328">
        <f t="shared" ca="1" si="7"/>
        <v>22624785.83808117</v>
      </c>
      <c r="Z18" s="328">
        <f t="shared" ca="1" si="7"/>
        <v>20245438.492203861</v>
      </c>
      <c r="AA18" s="328">
        <f t="shared" si="7"/>
        <v>21792433.982203864</v>
      </c>
      <c r="AB18" s="326">
        <f t="shared" ca="1" si="2"/>
        <v>241916978.15241122</v>
      </c>
      <c r="AC18" s="27"/>
      <c r="AD18" s="328">
        <f t="shared" ref="AD18:BC18" si="8">SUM(AD15:AD17)</f>
        <v>23422672.6875</v>
      </c>
      <c r="AE18" s="328">
        <f t="shared" si="8"/>
        <v>20553050.274999987</v>
      </c>
      <c r="AF18" s="328">
        <f t="shared" si="8"/>
        <v>16377422.774999987</v>
      </c>
      <c r="AG18" s="328">
        <f t="shared" si="8"/>
        <v>22422752.725000001</v>
      </c>
      <c r="AH18" s="328">
        <f t="shared" si="8"/>
        <v>26402659.412499987</v>
      </c>
      <c r="AI18" s="328">
        <f t="shared" si="8"/>
        <v>22379757.162499987</v>
      </c>
      <c r="AJ18" s="328">
        <f t="shared" si="8"/>
        <v>29559333.837499999</v>
      </c>
      <c r="AK18" s="328">
        <f ca="1">SUM(AK15:AK17)</f>
        <v>31839563.046350196</v>
      </c>
      <c r="AL18" s="328">
        <f t="shared" ca="1" si="8"/>
        <v>28610687.878552735</v>
      </c>
      <c r="AM18" s="328">
        <f t="shared" ca="1" si="8"/>
        <v>28280982.297601461</v>
      </c>
      <c r="AN18" s="328">
        <f t="shared" ca="1" si="8"/>
        <v>25306798.115254827</v>
      </c>
      <c r="AO18" s="328">
        <f t="shared" si="8"/>
        <v>27240542.477754824</v>
      </c>
      <c r="AP18" s="326">
        <f t="shared" ca="1" si="3"/>
        <v>302396222.69051403</v>
      </c>
      <c r="AQ18" s="27"/>
      <c r="AR18" s="328">
        <f t="shared" si="8"/>
        <v>29239836.918750003</v>
      </c>
      <c r="AS18" s="328">
        <f t="shared" si="8"/>
        <v>25690614.997499987</v>
      </c>
      <c r="AT18" s="328">
        <f t="shared" si="8"/>
        <v>20621059.589999981</v>
      </c>
      <c r="AU18" s="328">
        <f t="shared" si="8"/>
        <v>27520114.673750002</v>
      </c>
      <c r="AV18" s="328">
        <f t="shared" si="8"/>
        <v>32815068.403124981</v>
      </c>
      <c r="AW18" s="328">
        <f t="shared" si="8"/>
        <v>27954693.277499981</v>
      </c>
      <c r="AX18" s="328">
        <f t="shared" si="8"/>
        <v>36413994.105000004</v>
      </c>
      <c r="AY18" s="328">
        <f t="shared" ca="1" si="8"/>
        <v>39276151.722755253</v>
      </c>
      <c r="AZ18" s="328">
        <f t="shared" ca="1" si="8"/>
        <v>35336568.917118557</v>
      </c>
      <c r="BA18" s="328">
        <f t="shared" ca="1" si="8"/>
        <v>35134979.888131902</v>
      </c>
      <c r="BB18" s="328">
        <f t="shared" ca="1" si="8"/>
        <v>31490761.649831273</v>
      </c>
      <c r="BC18" s="328">
        <f t="shared" si="8"/>
        <v>33797385.134831272</v>
      </c>
      <c r="BD18" s="326">
        <f t="shared" ca="1" si="5"/>
        <v>375291229.27829319</v>
      </c>
      <c r="BE18" s="326">
        <f ca="1">SUM(BE15:BE17)</f>
        <v>437388407.13577276</v>
      </c>
      <c r="BF18" s="326">
        <f ca="1">SUM(BF15:BF17)</f>
        <v>511756107.66305351</v>
      </c>
    </row>
    <row r="19" spans="2:59" x14ac:dyDescent="0.35">
      <c r="B19" s="36" t="s">
        <v>34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73">
        <f t="shared" ref="P19:AA19" si="9">P18/P22</f>
        <v>1.0644268522117248</v>
      </c>
      <c r="Q19" s="73">
        <f t="shared" si="9"/>
        <v>1.0259333745069643</v>
      </c>
      <c r="R19" s="73">
        <f t="shared" si="9"/>
        <v>1.0486685973235883</v>
      </c>
      <c r="S19" s="73">
        <f t="shared" si="9"/>
        <v>1.0251073077612769</v>
      </c>
      <c r="T19" s="41">
        <f t="shared" si="9"/>
        <v>1.0168417751715106</v>
      </c>
      <c r="U19" s="41">
        <f t="shared" si="9"/>
        <v>1.0343511513600885</v>
      </c>
      <c r="V19" s="41">
        <f t="shared" si="9"/>
        <v>1.0175878042582249</v>
      </c>
      <c r="W19" s="329">
        <f t="shared" ca="1" si="9"/>
        <v>1.0204081632653061</v>
      </c>
      <c r="X19" s="329">
        <f t="shared" ca="1" si="9"/>
        <v>1.0204081632653061</v>
      </c>
      <c r="Y19" s="329">
        <f t="shared" ca="1" si="9"/>
        <v>1.0204081632653061</v>
      </c>
      <c r="Z19" s="329">
        <f t="shared" ca="1" si="9"/>
        <v>1.0204081632653061</v>
      </c>
      <c r="AA19" s="329">
        <f t="shared" si="9"/>
        <v>1.0204081632653061</v>
      </c>
      <c r="AB19" s="330">
        <f ca="1">AB18/AB$22</f>
        <v>1.0263498228667878</v>
      </c>
      <c r="AC19" s="36"/>
      <c r="AD19" s="330">
        <f>AD18/AD$22</f>
        <v>1.0204081632653061</v>
      </c>
      <c r="AE19" s="330">
        <f t="shared" ref="AE19:AO19" si="10">AE18/AE$22</f>
        <v>1.0204081632653061</v>
      </c>
      <c r="AF19" s="330">
        <f t="shared" si="10"/>
        <v>1.0204081632653061</v>
      </c>
      <c r="AG19" s="330">
        <f t="shared" si="10"/>
        <v>1.0204081632653061</v>
      </c>
      <c r="AH19" s="330">
        <f t="shared" si="10"/>
        <v>1.0204081632653061</v>
      </c>
      <c r="AI19" s="330">
        <f t="shared" si="10"/>
        <v>1.0204081632653061</v>
      </c>
      <c r="AJ19" s="330">
        <f t="shared" si="10"/>
        <v>1.0204081632653061</v>
      </c>
      <c r="AK19" s="330">
        <f t="shared" ca="1" si="10"/>
        <v>1.0204081632653061</v>
      </c>
      <c r="AL19" s="330">
        <f t="shared" ca="1" si="10"/>
        <v>1.0204081632653061</v>
      </c>
      <c r="AM19" s="330">
        <f t="shared" ca="1" si="10"/>
        <v>1.0204081632653061</v>
      </c>
      <c r="AN19" s="330">
        <f t="shared" ca="1" si="10"/>
        <v>1.0204081632653061</v>
      </c>
      <c r="AO19" s="330">
        <f t="shared" si="10"/>
        <v>1.0204081632653061</v>
      </c>
      <c r="AP19" s="330">
        <f ca="1">AP18/AP$22</f>
        <v>1.0204081632653061</v>
      </c>
      <c r="AQ19" s="36"/>
      <c r="AR19" s="331"/>
      <c r="AS19" s="331"/>
      <c r="AT19" s="331"/>
      <c r="AU19" s="331"/>
      <c r="AV19" s="331"/>
      <c r="AW19" s="331"/>
      <c r="AX19" s="331"/>
      <c r="AY19" s="331"/>
      <c r="AZ19" s="331"/>
      <c r="BA19" s="331"/>
      <c r="BB19" s="331"/>
      <c r="BC19" s="331"/>
      <c r="BD19" s="330">
        <f ca="1">BD18/BD$22</f>
        <v>1.0204081632653059</v>
      </c>
      <c r="BE19" s="330">
        <f ca="1">BE18/BE$22</f>
        <v>1.0256410256410255</v>
      </c>
      <c r="BF19" s="330">
        <f ca="1">BF18/BF$22</f>
        <v>1.0256410256410258</v>
      </c>
    </row>
    <row r="20" spans="2:59" x14ac:dyDescent="0.35">
      <c r="B20" s="29" t="s">
        <v>4</v>
      </c>
      <c r="P20" s="39"/>
      <c r="Q20" s="39"/>
      <c r="R20" s="39"/>
      <c r="S20" s="39">
        <f>S$18*ASSUMPTIONS!$C12</f>
        <v>0</v>
      </c>
      <c r="T20" s="39">
        <f>T$18*ASSUMPTIONS!$C12</f>
        <v>0</v>
      </c>
      <c r="U20" s="39">
        <f>U$18*ASSUMPTIONS!$C12</f>
        <v>0</v>
      </c>
      <c r="V20" s="39">
        <f>V$18*ASSUMPTIONS!$C12</f>
        <v>0</v>
      </c>
      <c r="W20" s="159">
        <f ca="1">W$18*ASSUMPTIONS!$C12</f>
        <v>0</v>
      </c>
      <c r="X20" s="159">
        <f ca="1">X$18*ASSUMPTIONS!$C12</f>
        <v>0</v>
      </c>
      <c r="Y20" s="159">
        <f ca="1">Y$18*ASSUMPTIONS!$C12</f>
        <v>0</v>
      </c>
      <c r="Z20" s="159">
        <f ca="1">Z$18*ASSUMPTIONS!$C12</f>
        <v>0</v>
      </c>
      <c r="AA20" s="159">
        <f>AA$18*ASSUMPTIONS!$C12</f>
        <v>0</v>
      </c>
      <c r="AB20" s="326">
        <f t="shared" ca="1" si="2"/>
        <v>0</v>
      </c>
      <c r="AD20" s="331"/>
      <c r="AE20" s="331"/>
      <c r="AF20" s="331"/>
      <c r="AG20" s="331"/>
      <c r="AH20" s="331"/>
      <c r="AI20" s="331"/>
      <c r="AJ20" s="331"/>
      <c r="AK20" s="331"/>
      <c r="AL20" s="331"/>
      <c r="AM20" s="331"/>
      <c r="AN20" s="331"/>
      <c r="AO20" s="331"/>
      <c r="AP20" s="326">
        <f t="shared" si="3"/>
        <v>0</v>
      </c>
      <c r="AR20" s="331"/>
      <c r="AS20" s="331"/>
      <c r="AT20" s="331"/>
      <c r="AU20" s="331"/>
      <c r="AV20" s="331"/>
      <c r="AW20" s="331"/>
      <c r="AX20" s="331"/>
      <c r="AY20" s="331"/>
      <c r="AZ20" s="331"/>
      <c r="BA20" s="331"/>
      <c r="BB20" s="331"/>
      <c r="BC20" s="331"/>
      <c r="BD20" s="326">
        <f t="shared" si="5"/>
        <v>0</v>
      </c>
      <c r="BE20" s="326">
        <f t="shared" si="5"/>
        <v>0</v>
      </c>
      <c r="BF20" s="326">
        <f t="shared" si="5"/>
        <v>0</v>
      </c>
    </row>
    <row r="21" spans="2:59" x14ac:dyDescent="0.35">
      <c r="B21" s="32" t="s">
        <v>5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20">
        <v>1134168.3600000001</v>
      </c>
      <c r="Q21" s="320">
        <v>415629.29</v>
      </c>
      <c r="R21" s="320">
        <v>608059.549999999</v>
      </c>
      <c r="S21" s="320">
        <v>439349.09</v>
      </c>
      <c r="T21" s="320">
        <v>349842.15999999898</v>
      </c>
      <c r="U21" s="320">
        <v>594591.43999999901</v>
      </c>
      <c r="V21" s="320">
        <v>408718.56</v>
      </c>
      <c r="W21" s="67">
        <f ca="1">W$18*ASSUMPTIONS!$C13</f>
        <v>509433.00874160312</v>
      </c>
      <c r="X21" s="67">
        <f ca="1">X$18*ASSUMPTIONS!$C13</f>
        <v>457771.00605684379</v>
      </c>
      <c r="Y21" s="67">
        <f ca="1">Y$18*ASSUMPTIONS!$C13</f>
        <v>452495.71676162339</v>
      </c>
      <c r="Z21" s="67">
        <f ca="1">Z$18*ASSUMPTIONS!$C13</f>
        <v>404908.76984407724</v>
      </c>
      <c r="AA21" s="67">
        <f>AA$18*ASSUMPTIONS!$C13</f>
        <v>435848.67964407726</v>
      </c>
      <c r="AB21" s="327">
        <f t="shared" ca="1" si="2"/>
        <v>6210815.631048223</v>
      </c>
      <c r="AD21" s="67">
        <f>AD$18*ASSUMPTIONS!$C13</f>
        <v>468453.45374999999</v>
      </c>
      <c r="AE21" s="67">
        <f>AE$18*ASSUMPTIONS!$C13</f>
        <v>411061.00549999974</v>
      </c>
      <c r="AF21" s="67">
        <f>AF$18*ASSUMPTIONS!$C13</f>
        <v>327548.45549999975</v>
      </c>
      <c r="AG21" s="67">
        <f>AG$18*ASSUMPTIONS!$C13</f>
        <v>448455.05450000003</v>
      </c>
      <c r="AH21" s="67">
        <f>AH$18*ASSUMPTIONS!$C13</f>
        <v>528053.18824999977</v>
      </c>
      <c r="AI21" s="67">
        <f>AI$18*ASSUMPTIONS!$C13</f>
        <v>447595.14324999973</v>
      </c>
      <c r="AJ21" s="67">
        <f>AJ$18*ASSUMPTIONS!$C13</f>
        <v>591186.67674999998</v>
      </c>
      <c r="AK21" s="67">
        <f ca="1">AK$18*ASSUMPTIONS!$C13</f>
        <v>636791.26092700392</v>
      </c>
      <c r="AL21" s="67">
        <f ca="1">AL$18*ASSUMPTIONS!$C13</f>
        <v>572213.75757105474</v>
      </c>
      <c r="AM21" s="67">
        <f ca="1">AM$18*ASSUMPTIONS!$C13</f>
        <v>565619.64595202927</v>
      </c>
      <c r="AN21" s="67">
        <f ca="1">AN$18*ASSUMPTIONS!$C13</f>
        <v>506135.96230509656</v>
      </c>
      <c r="AO21" s="67">
        <f>AO$18*ASSUMPTIONS!$C13</f>
        <v>544810.84955509647</v>
      </c>
      <c r="AP21" s="327">
        <f t="shared" ca="1" si="3"/>
        <v>6047924.4538102802</v>
      </c>
      <c r="AR21" s="67">
        <f>AR$18*ASSUMPTIONS!$C13</f>
        <v>584796.73837500007</v>
      </c>
      <c r="AS21" s="67">
        <f>AS$18*ASSUMPTIONS!$C13</f>
        <v>513812.29994999978</v>
      </c>
      <c r="AT21" s="67">
        <f>AT$18*ASSUMPTIONS!$C13</f>
        <v>412421.19179999962</v>
      </c>
      <c r="AU21" s="67">
        <f>AU$18*ASSUMPTIONS!$C13</f>
        <v>550402.29347500007</v>
      </c>
      <c r="AV21" s="67">
        <f>AV$18*ASSUMPTIONS!$C13</f>
        <v>656301.36806249968</v>
      </c>
      <c r="AW21" s="67">
        <f>AW$18*ASSUMPTIONS!$C13</f>
        <v>559093.86554999964</v>
      </c>
      <c r="AX21" s="67">
        <f>AX$18*ASSUMPTIONS!$C13</f>
        <v>728279.88210000005</v>
      </c>
      <c r="AY21" s="67">
        <f ca="1">AY$18*ASSUMPTIONS!$C13</f>
        <v>785523.03445510508</v>
      </c>
      <c r="AZ21" s="67">
        <f ca="1">AZ$18*ASSUMPTIONS!$C13</f>
        <v>706731.3783423712</v>
      </c>
      <c r="BA21" s="67">
        <f ca="1">BA$18*ASSUMPTIONS!$C13</f>
        <v>702699.597762638</v>
      </c>
      <c r="BB21" s="67">
        <f ca="1">BB$18*ASSUMPTIONS!$C13</f>
        <v>629815.23299662548</v>
      </c>
      <c r="BC21" s="67">
        <f>BC$18*ASSUMPTIONS!$C13</f>
        <v>675947.70269662549</v>
      </c>
      <c r="BD21" s="327">
        <f t="shared" ca="1" si="5"/>
        <v>7505824.5855658641</v>
      </c>
      <c r="BE21" s="327">
        <f ca="1">BE18*0.025</f>
        <v>10934710.178394319</v>
      </c>
      <c r="BF21" s="327">
        <f ca="1">BF18*0.025</f>
        <v>12793902.691576339</v>
      </c>
    </row>
    <row r="22" spans="2:59" x14ac:dyDescent="0.35">
      <c r="B22" s="27" t="s">
        <v>33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321">
        <f>P18-P20-P21</f>
        <v>17603969.789999999</v>
      </c>
      <c r="Q22" s="321">
        <f t="shared" ref="Q22:AA22" si="11">Q18-Q20-Q21</f>
        <v>16026810.92999999</v>
      </c>
      <c r="R22" s="321">
        <f>R18-R20-R21</f>
        <v>12493878.669999991</v>
      </c>
      <c r="S22" s="321">
        <f>S18-S20-S21</f>
        <v>17498853.09</v>
      </c>
      <c r="T22" s="321">
        <f t="shared" si="11"/>
        <v>20772285.369999986</v>
      </c>
      <c r="U22" s="321">
        <f t="shared" si="11"/>
        <v>17309214.289999992</v>
      </c>
      <c r="V22" s="321">
        <f t="shared" si="11"/>
        <v>23238748.510000002</v>
      </c>
      <c r="W22" s="328">
        <f t="shared" ca="1" si="11"/>
        <v>24962217.428338554</v>
      </c>
      <c r="X22" s="328">
        <f t="shared" ca="1" si="11"/>
        <v>22430779.296785343</v>
      </c>
      <c r="Y22" s="328">
        <f t="shared" ca="1" si="11"/>
        <v>22172290.121319547</v>
      </c>
      <c r="Z22" s="328">
        <f t="shared" ca="1" si="11"/>
        <v>19840529.722359784</v>
      </c>
      <c r="AA22" s="328">
        <f t="shared" si="11"/>
        <v>21356585.302559786</v>
      </c>
      <c r="AB22" s="326">
        <f t="shared" ca="1" si="2"/>
        <v>235706162.52136302</v>
      </c>
      <c r="AC22" s="27"/>
      <c r="AD22" s="328">
        <f t="shared" ref="AD22:BC22" si="12">AD18-AD20-AD21</f>
        <v>22954219.233750001</v>
      </c>
      <c r="AE22" s="328">
        <f t="shared" si="12"/>
        <v>20141989.269499987</v>
      </c>
      <c r="AF22" s="328">
        <f t="shared" si="12"/>
        <v>16049874.319499988</v>
      </c>
      <c r="AG22" s="328">
        <f t="shared" si="12"/>
        <v>21974297.670500003</v>
      </c>
      <c r="AH22" s="328">
        <f t="shared" si="12"/>
        <v>25874606.224249985</v>
      </c>
      <c r="AI22" s="328">
        <f t="shared" si="12"/>
        <v>21932162.019249987</v>
      </c>
      <c r="AJ22" s="328">
        <f t="shared" si="12"/>
        <v>28968147.160749998</v>
      </c>
      <c r="AK22" s="328">
        <f t="shared" ca="1" si="12"/>
        <v>31202771.785423193</v>
      </c>
      <c r="AL22" s="328">
        <f t="shared" ca="1" si="12"/>
        <v>28038474.120981678</v>
      </c>
      <c r="AM22" s="328">
        <f t="shared" ca="1" si="12"/>
        <v>27715362.65164943</v>
      </c>
      <c r="AN22" s="328">
        <f t="shared" ca="1" si="12"/>
        <v>24800662.152949732</v>
      </c>
      <c r="AO22" s="328">
        <f t="shared" si="12"/>
        <v>26695731.628199726</v>
      </c>
      <c r="AP22" s="326">
        <f t="shared" ca="1" si="3"/>
        <v>296348298.23670375</v>
      </c>
      <c r="AQ22" s="27"/>
      <c r="AR22" s="328">
        <f t="shared" si="12"/>
        <v>28655040.180375002</v>
      </c>
      <c r="AS22" s="328">
        <f t="shared" si="12"/>
        <v>25176802.697549988</v>
      </c>
      <c r="AT22" s="328">
        <f t="shared" si="12"/>
        <v>20208638.398199983</v>
      </c>
      <c r="AU22" s="328">
        <f t="shared" si="12"/>
        <v>26969712.380275004</v>
      </c>
      <c r="AV22" s="328">
        <f t="shared" si="12"/>
        <v>32158767.035062481</v>
      </c>
      <c r="AW22" s="328">
        <f t="shared" si="12"/>
        <v>27395599.411949981</v>
      </c>
      <c r="AX22" s="328">
        <f t="shared" si="12"/>
        <v>35685714.222900003</v>
      </c>
      <c r="AY22" s="328">
        <f t="shared" ca="1" si="12"/>
        <v>38490628.688300148</v>
      </c>
      <c r="AZ22" s="328">
        <f t="shared" ca="1" si="12"/>
        <v>34629837.538776189</v>
      </c>
      <c r="BA22" s="328">
        <f t="shared" ca="1" si="12"/>
        <v>34432280.290369265</v>
      </c>
      <c r="BB22" s="328">
        <f t="shared" ca="1" si="12"/>
        <v>30860946.416834649</v>
      </c>
      <c r="BC22" s="328">
        <f t="shared" si="12"/>
        <v>33121437.432134647</v>
      </c>
      <c r="BD22" s="326">
        <f t="shared" ca="1" si="5"/>
        <v>367785404.69272739</v>
      </c>
      <c r="BE22" s="326">
        <f ca="1">BE18-BE21</f>
        <v>426453696.95737845</v>
      </c>
      <c r="BF22" s="326">
        <f ca="1">BF18-BF21</f>
        <v>498962204.97147715</v>
      </c>
    </row>
    <row r="23" spans="2:59" x14ac:dyDescent="0.35">
      <c r="B23" s="36" t="s">
        <v>33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22">
        <f>P22/P$22</f>
        <v>1</v>
      </c>
      <c r="Q23" s="323">
        <f t="shared" ref="Q23:AA23" si="13">Q22/Q$22</f>
        <v>1</v>
      </c>
      <c r="R23" s="323">
        <f t="shared" si="13"/>
        <v>1</v>
      </c>
      <c r="S23" s="322">
        <f t="shared" si="13"/>
        <v>1</v>
      </c>
      <c r="T23" s="323">
        <f t="shared" si="13"/>
        <v>1</v>
      </c>
      <c r="U23" s="323">
        <f t="shared" si="13"/>
        <v>1</v>
      </c>
      <c r="V23" s="323">
        <f t="shared" si="13"/>
        <v>1</v>
      </c>
      <c r="W23" s="329">
        <f t="shared" ca="1" si="13"/>
        <v>1</v>
      </c>
      <c r="X23" s="329">
        <f t="shared" ca="1" si="13"/>
        <v>1</v>
      </c>
      <c r="Y23" s="329">
        <f t="shared" ca="1" si="13"/>
        <v>1</v>
      </c>
      <c r="Z23" s="329">
        <f t="shared" ca="1" si="13"/>
        <v>1</v>
      </c>
      <c r="AA23" s="329">
        <f t="shared" si="13"/>
        <v>1</v>
      </c>
      <c r="AB23" s="332">
        <f ca="1">AB22/AB$22</f>
        <v>1</v>
      </c>
      <c r="AC23" s="36"/>
      <c r="AD23" s="331"/>
      <c r="AE23" s="331"/>
      <c r="AF23" s="331"/>
      <c r="AG23" s="331"/>
      <c r="AH23" s="331"/>
      <c r="AI23" s="331"/>
      <c r="AJ23" s="331"/>
      <c r="AK23" s="331"/>
      <c r="AL23" s="331"/>
      <c r="AM23" s="331"/>
      <c r="AN23" s="331"/>
      <c r="AO23" s="331"/>
      <c r="AP23" s="332">
        <f ca="1">AP22/AP$22</f>
        <v>1</v>
      </c>
      <c r="AQ23" s="36"/>
      <c r="AR23" s="331"/>
      <c r="AS23" s="331"/>
      <c r="AT23" s="331"/>
      <c r="AU23" s="331"/>
      <c r="AV23" s="331"/>
      <c r="AW23" s="331"/>
      <c r="AX23" s="331"/>
      <c r="AY23" s="331"/>
      <c r="AZ23" s="331"/>
      <c r="BA23" s="331"/>
      <c r="BB23" s="331"/>
      <c r="BC23" s="331"/>
      <c r="BD23" s="332">
        <f ca="1">BD22/BD$22</f>
        <v>1</v>
      </c>
      <c r="BE23" s="332">
        <f ca="1">BE22/BE$22</f>
        <v>1</v>
      </c>
      <c r="BF23" s="332">
        <f ca="1">BF22/BF$22</f>
        <v>1</v>
      </c>
    </row>
    <row r="24" spans="2:59" x14ac:dyDescent="0.35">
      <c r="B24" s="32" t="s">
        <v>6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20">
        <v>6973324.5899999999</v>
      </c>
      <c r="Q24" s="320">
        <v>5955783.1100000003</v>
      </c>
      <c r="R24" s="320">
        <v>4892619.55</v>
      </c>
      <c r="S24" s="320">
        <v>6630608.8200000003</v>
      </c>
      <c r="T24" s="320">
        <v>8870567.4499999993</v>
      </c>
      <c r="U24" s="320">
        <v>7136545.1799999997</v>
      </c>
      <c r="V24" s="320">
        <v>9963239.7099999897</v>
      </c>
      <c r="W24" s="67">
        <f t="shared" ref="W24:AA24" ca="1" si="14">SUM(W14:W16)*0.5+W17*0.34</f>
        <v>11492516.572607253</v>
      </c>
      <c r="X24" s="67">
        <f t="shared" ca="1" si="14"/>
        <v>10265355.358966343</v>
      </c>
      <c r="Y24" s="67">
        <f t="shared" ca="1" si="14"/>
        <v>9897418.9913475979</v>
      </c>
      <c r="Z24" s="67">
        <f t="shared" ca="1" si="14"/>
        <v>8825316.8793493137</v>
      </c>
      <c r="AA24" s="67">
        <f t="shared" si="14"/>
        <v>9598814.6243493129</v>
      </c>
      <c r="AB24" s="342">
        <f t="shared" ca="1" si="2"/>
        <v>100502110.83661981</v>
      </c>
      <c r="AD24" s="67">
        <f t="shared" ref="AD24:BE24" si="15">SUM(AD14:AD16)*0.5+AD17*0.34</f>
        <v>9899128.8337500002</v>
      </c>
      <c r="AE24" s="67">
        <f t="shared" si="15"/>
        <v>8633397.6694999933</v>
      </c>
      <c r="AF24" s="67">
        <f t="shared" si="15"/>
        <v>6639667.7714999951</v>
      </c>
      <c r="AG24" s="67">
        <f t="shared" si="15"/>
        <v>10230878.1165</v>
      </c>
      <c r="AH24" s="67">
        <f t="shared" si="15"/>
        <v>11463613.462249996</v>
      </c>
      <c r="AI24" s="67">
        <f t="shared" si="15"/>
        <v>9516779.1552499942</v>
      </c>
      <c r="AJ24" s="67">
        <f t="shared" si="15"/>
        <v>13389622.282749999</v>
      </c>
      <c r="AK24" s="67">
        <f t="shared" ca="1" si="15"/>
        <v>14365645.715759067</v>
      </c>
      <c r="AL24" s="67">
        <f t="shared" ca="1" si="15"/>
        <v>12831694.198707931</v>
      </c>
      <c r="AM24" s="67">
        <f t="shared" ca="1" si="15"/>
        <v>12371773.739184497</v>
      </c>
      <c r="AN24" s="67">
        <f t="shared" ca="1" si="15"/>
        <v>11031646.099186642</v>
      </c>
      <c r="AO24" s="67">
        <f t="shared" si="15"/>
        <v>11998518.280436641</v>
      </c>
      <c r="AP24" s="342">
        <f t="shared" ca="1" si="3"/>
        <v>132372365.32477476</v>
      </c>
      <c r="AR24" s="67">
        <f t="shared" si="15"/>
        <v>12264048.696375001</v>
      </c>
      <c r="AS24" s="67">
        <f t="shared" si="15"/>
        <v>10709241.790349994</v>
      </c>
      <c r="AT24" s="67">
        <f t="shared" si="15"/>
        <v>8296773.0941999936</v>
      </c>
      <c r="AU24" s="67">
        <f t="shared" si="15"/>
        <v>12485409.617075</v>
      </c>
      <c r="AV24" s="67">
        <f t="shared" si="15"/>
        <v>14148503.084362492</v>
      </c>
      <c r="AW24" s="67">
        <f t="shared" si="15"/>
        <v>11802317.384949993</v>
      </c>
      <c r="AX24" s="67">
        <f t="shared" si="15"/>
        <v>16399939.025700001</v>
      </c>
      <c r="AY24" s="67">
        <f t="shared" ca="1" si="15"/>
        <v>17617699.311736785</v>
      </c>
      <c r="AZ24" s="67">
        <f t="shared" ca="1" si="15"/>
        <v>15752539.795820309</v>
      </c>
      <c r="BA24" s="67">
        <f t="shared" ca="1" si="15"/>
        <v>15268157.311564848</v>
      </c>
      <c r="BB24" s="67">
        <f t="shared" ca="1" si="15"/>
        <v>13637101.978942633</v>
      </c>
      <c r="BC24" s="67">
        <f t="shared" si="15"/>
        <v>14790413.721442632</v>
      </c>
      <c r="BD24" s="342">
        <f t="shared" ca="1" si="5"/>
        <v>163172144.8125197</v>
      </c>
      <c r="BE24" s="342">
        <f t="shared" ca="1" si="15"/>
        <v>188102366.28460276</v>
      </c>
      <c r="BF24" s="342">
        <f t="shared" ref="BF24" ca="1" si="16">SUM(BF14:BF16)*0.5+BF17*0.34</f>
        <v>217638257.22742221</v>
      </c>
    </row>
    <row r="25" spans="2:59" x14ac:dyDescent="0.35">
      <c r="B25" s="27" t="s">
        <v>22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321">
        <f>P22-P24</f>
        <v>10630645.199999999</v>
      </c>
      <c r="Q25" s="321">
        <f t="shared" ref="Q25:AA25" si="17">Q22-Q24</f>
        <v>10071027.819999989</v>
      </c>
      <c r="R25" s="321">
        <f t="shared" si="17"/>
        <v>7601259.1199999908</v>
      </c>
      <c r="S25" s="321">
        <f t="shared" si="17"/>
        <v>10868244.27</v>
      </c>
      <c r="T25" s="321">
        <f t="shared" si="17"/>
        <v>11901717.919999987</v>
      </c>
      <c r="U25" s="321">
        <f t="shared" si="17"/>
        <v>10172669.109999992</v>
      </c>
      <c r="V25" s="321">
        <f t="shared" si="17"/>
        <v>13275508.800000012</v>
      </c>
      <c r="W25" s="328">
        <f t="shared" ca="1" si="17"/>
        <v>13469700.855731301</v>
      </c>
      <c r="X25" s="328">
        <f t="shared" ca="1" si="17"/>
        <v>12165423.937819</v>
      </c>
      <c r="Y25" s="328">
        <f t="shared" ca="1" si="17"/>
        <v>12274871.129971949</v>
      </c>
      <c r="Z25" s="328">
        <f t="shared" ca="1" si="17"/>
        <v>11015212.84301047</v>
      </c>
      <c r="AA25" s="328">
        <f t="shared" si="17"/>
        <v>11757770.678210473</v>
      </c>
      <c r="AB25" s="348">
        <f ca="1">1-AB24/AB$22</f>
        <v>0.5736127144002402</v>
      </c>
      <c r="AC25" s="27"/>
      <c r="AD25" s="328">
        <f t="shared" ref="AD25:BC25" si="18">AD22-AD24</f>
        <v>13055090.4</v>
      </c>
      <c r="AE25" s="328">
        <f t="shared" si="18"/>
        <v>11508591.599999994</v>
      </c>
      <c r="AF25" s="328">
        <f t="shared" si="18"/>
        <v>9410206.547999993</v>
      </c>
      <c r="AG25" s="328">
        <f t="shared" si="18"/>
        <v>11743419.554000003</v>
      </c>
      <c r="AH25" s="328">
        <f t="shared" si="18"/>
        <v>14410992.761999989</v>
      </c>
      <c r="AI25" s="328">
        <f t="shared" si="18"/>
        <v>12415382.863999993</v>
      </c>
      <c r="AJ25" s="328">
        <f t="shared" si="18"/>
        <v>15578524.877999999</v>
      </c>
      <c r="AK25" s="328">
        <f t="shared" ca="1" si="18"/>
        <v>16837126.069664128</v>
      </c>
      <c r="AL25" s="328">
        <f t="shared" ca="1" si="18"/>
        <v>15206779.922273748</v>
      </c>
      <c r="AM25" s="328">
        <f t="shared" ca="1" si="18"/>
        <v>15343588.912464933</v>
      </c>
      <c r="AN25" s="328">
        <f t="shared" ca="1" si="18"/>
        <v>13769016.05376309</v>
      </c>
      <c r="AO25" s="328">
        <f t="shared" si="18"/>
        <v>14697213.347763086</v>
      </c>
      <c r="AP25" s="348">
        <f ca="1">1-AP24/AP$22</f>
        <v>0.55332166200244437</v>
      </c>
      <c r="AQ25" s="27"/>
      <c r="AR25" s="328">
        <f t="shared" si="18"/>
        <v>16390991.484000001</v>
      </c>
      <c r="AS25" s="328">
        <f t="shared" si="18"/>
        <v>14467560.907199994</v>
      </c>
      <c r="AT25" s="328">
        <f t="shared" si="18"/>
        <v>11911865.30399999</v>
      </c>
      <c r="AU25" s="328">
        <f t="shared" si="18"/>
        <v>14484302.763200004</v>
      </c>
      <c r="AV25" s="328">
        <f t="shared" si="18"/>
        <v>18010263.950699989</v>
      </c>
      <c r="AW25" s="328">
        <f t="shared" si="18"/>
        <v>15593282.026999988</v>
      </c>
      <c r="AX25" s="328">
        <f t="shared" si="18"/>
        <v>19285775.1972</v>
      </c>
      <c r="AY25" s="328">
        <f t="shared" ca="1" si="18"/>
        <v>20872929.376563363</v>
      </c>
      <c r="AZ25" s="328">
        <f t="shared" ca="1" si="18"/>
        <v>18877297.742955878</v>
      </c>
      <c r="BA25" s="328">
        <f t="shared" ca="1" si="18"/>
        <v>19164122.978804417</v>
      </c>
      <c r="BB25" s="328">
        <f t="shared" ca="1" si="18"/>
        <v>17223844.437892016</v>
      </c>
      <c r="BC25" s="328">
        <f t="shared" si="18"/>
        <v>18331023.710692015</v>
      </c>
      <c r="BD25" s="372">
        <f ca="1">BD18-BD24</f>
        <v>212119084.46577349</v>
      </c>
      <c r="BE25" s="372">
        <f ca="1">BE18-BE24</f>
        <v>249286040.85117</v>
      </c>
      <c r="BF25" s="372">
        <f ca="1">BF18-BF24</f>
        <v>294117850.43563128</v>
      </c>
    </row>
    <row r="26" spans="2:59" x14ac:dyDescent="0.35">
      <c r="B26" s="36" t="s">
        <v>22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22">
        <f>P25/P$22</f>
        <v>0.60387772342342783</v>
      </c>
      <c r="Q26" s="323">
        <f t="shared" ref="Q26:AA26" si="19">Q25/Q$22</f>
        <v>0.62838626249395679</v>
      </c>
      <c r="R26" s="323">
        <f>R25/R$22</f>
        <v>0.60839866632064843</v>
      </c>
      <c r="S26" s="322">
        <f>S25/S$22</f>
        <v>0.62108323408982913</v>
      </c>
      <c r="T26" s="323">
        <f t="shared" si="19"/>
        <v>0.57296141026392966</v>
      </c>
      <c r="U26" s="323">
        <f t="shared" si="19"/>
        <v>0.58770253459032062</v>
      </c>
      <c r="V26" s="323">
        <f t="shared" si="19"/>
        <v>0.57126608148831037</v>
      </c>
      <c r="W26" s="329">
        <f t="shared" ca="1" si="19"/>
        <v>0.53960353860389487</v>
      </c>
      <c r="X26" s="329">
        <f t="shared" ca="1" si="19"/>
        <v>0.54235404739426429</v>
      </c>
      <c r="Y26" s="329">
        <f t="shared" ca="1" si="19"/>
        <v>0.55361313886873453</v>
      </c>
      <c r="Z26" s="329">
        <f t="shared" ca="1" si="19"/>
        <v>0.5551874368856492</v>
      </c>
      <c r="AA26" s="329">
        <f t="shared" si="19"/>
        <v>0.55054544121345061</v>
      </c>
      <c r="AB26" s="330">
        <f ca="1">AVERAGE(P26:AA26)</f>
        <v>0.57791495963636808</v>
      </c>
      <c r="AC26" s="36"/>
      <c r="AD26" s="329">
        <f t="shared" ref="AD26:BC26" si="20">AD25/AD$22</f>
        <v>0.56874469425668228</v>
      </c>
      <c r="AE26" s="329">
        <f t="shared" si="20"/>
        <v>0.57137313728127548</v>
      </c>
      <c r="AF26" s="329">
        <f t="shared" si="20"/>
        <v>0.58631029506361609</v>
      </c>
      <c r="AG26" s="329">
        <f t="shared" si="20"/>
        <v>0.53441614972592633</v>
      </c>
      <c r="AH26" s="329">
        <f t="shared" si="20"/>
        <v>0.55695505613120544</v>
      </c>
      <c r="AI26" s="329">
        <f t="shared" si="20"/>
        <v>0.56608112109982311</v>
      </c>
      <c r="AJ26" s="329">
        <f t="shared" si="20"/>
        <v>0.53778119779465605</v>
      </c>
      <c r="AK26" s="329">
        <f t="shared" ca="1" si="20"/>
        <v>0.53960353860389498</v>
      </c>
      <c r="AL26" s="329">
        <f t="shared" ca="1" si="20"/>
        <v>0.54235404739426418</v>
      </c>
      <c r="AM26" s="329">
        <f t="shared" ca="1" si="20"/>
        <v>0.55361313886873453</v>
      </c>
      <c r="AN26" s="329">
        <f t="shared" ca="1" si="20"/>
        <v>0.55518743688564931</v>
      </c>
      <c r="AO26" s="329">
        <f t="shared" si="20"/>
        <v>0.55054544121345061</v>
      </c>
      <c r="AP26" s="330">
        <f ca="1">AVERAGE(AD26:AO26)</f>
        <v>0.5552471045265982</v>
      </c>
      <c r="AQ26" s="36"/>
      <c r="AR26" s="329">
        <f t="shared" si="20"/>
        <v>0.57201076602313439</v>
      </c>
      <c r="AS26" s="329">
        <f t="shared" si="20"/>
        <v>0.5746385305949856</v>
      </c>
      <c r="AT26" s="329">
        <f t="shared" si="20"/>
        <v>0.58944423019915082</v>
      </c>
      <c r="AU26" s="329">
        <f t="shared" si="20"/>
        <v>0.53705811018561223</v>
      </c>
      <c r="AV26" s="329">
        <f t="shared" si="20"/>
        <v>0.56004211638659906</v>
      </c>
      <c r="AW26" s="329">
        <f t="shared" si="20"/>
        <v>0.56918929907400329</v>
      </c>
      <c r="AX26" s="329">
        <f t="shared" si="20"/>
        <v>0.54043405371508746</v>
      </c>
      <c r="AY26" s="329">
        <f t="shared" ca="1" si="20"/>
        <v>0.54228600799414917</v>
      </c>
      <c r="AZ26" s="329">
        <f t="shared" ca="1" si="20"/>
        <v>0.54511655510420276</v>
      </c>
      <c r="BA26" s="329">
        <f t="shared" ca="1" si="20"/>
        <v>0.5565743197137204</v>
      </c>
      <c r="BB26" s="329">
        <f t="shared" ca="1" si="20"/>
        <v>0.55811134905753923</v>
      </c>
      <c r="BC26" s="329">
        <f t="shared" si="20"/>
        <v>0.55344891803841612</v>
      </c>
      <c r="BD26" s="330">
        <f ca="1">AVERAGE(AR26:BC26)</f>
        <v>0.55819618800721671</v>
      </c>
      <c r="BE26" s="330">
        <f ca="1">AVERAGE(AS26:BD26)</f>
        <v>0.55704497317255697</v>
      </c>
      <c r="BF26" s="330">
        <f ca="1">AVERAGE(AT26:BE26)</f>
        <v>0.55557884338735453</v>
      </c>
    </row>
    <row r="27" spans="2:59" outlineLevel="1" x14ac:dyDescent="0.35">
      <c r="B27" s="29" t="s">
        <v>7</v>
      </c>
      <c r="P27" s="319">
        <v>47984.800000000003</v>
      </c>
      <c r="Q27" s="319">
        <v>59373.29</v>
      </c>
      <c r="R27" s="319">
        <v>108693.8</v>
      </c>
      <c r="S27" s="319">
        <v>116944.3</v>
      </c>
      <c r="T27" s="319">
        <v>142308.59999999899</v>
      </c>
      <c r="U27" s="319">
        <v>125983</v>
      </c>
      <c r="V27" s="319">
        <v>197435.75</v>
      </c>
      <c r="W27" s="159">
        <f ca="1">W22*ASSUMPTIONS!$C$17</f>
        <v>249622.17428338554</v>
      </c>
      <c r="X27" s="159">
        <f ca="1">X22*ASSUMPTIONS!$C$17</f>
        <v>224307.79296785343</v>
      </c>
      <c r="Y27" s="159">
        <f ca="1">Y22*ASSUMPTIONS!$C$17</f>
        <v>221722.90121319547</v>
      </c>
      <c r="Z27" s="159">
        <f ca="1">Z22*ASSUMPTIONS!$C$17</f>
        <v>198405.29722359785</v>
      </c>
      <c r="AA27" s="159">
        <f>AA22*ASSUMPTIONS!$C$17</f>
        <v>213565.85302559787</v>
      </c>
      <c r="AB27" s="326">
        <f t="shared" ca="1" si="2"/>
        <v>1906347.5587136289</v>
      </c>
      <c r="AD27" s="159">
        <f>AD22*ASSUMPTIONS!$C$17</f>
        <v>229542.19233750002</v>
      </c>
      <c r="AE27" s="159">
        <f>AE22*ASSUMPTIONS!$C$17</f>
        <v>201419.89269499987</v>
      </c>
      <c r="AF27" s="159">
        <f>AF22*ASSUMPTIONS!$C$17</f>
        <v>160498.74319499987</v>
      </c>
      <c r="AG27" s="159">
        <f>AG22*ASSUMPTIONS!$C$17</f>
        <v>219742.97670500004</v>
      </c>
      <c r="AH27" s="159">
        <f>AH22*ASSUMPTIONS!$C$17</f>
        <v>258746.06224249984</v>
      </c>
      <c r="AI27" s="159">
        <f>AI22*ASSUMPTIONS!$C$17</f>
        <v>219321.62019249986</v>
      </c>
      <c r="AJ27" s="159">
        <f>AJ22*ASSUMPTIONS!$C$17</f>
        <v>289681.47160749999</v>
      </c>
      <c r="AK27" s="159">
        <f ca="1">AK22*ASSUMPTIONS!$C$17</f>
        <v>312027.71785423195</v>
      </c>
      <c r="AL27" s="159">
        <f ca="1">AL22*ASSUMPTIONS!$C$17</f>
        <v>280384.74120981677</v>
      </c>
      <c r="AM27" s="159">
        <f ca="1">AM22*ASSUMPTIONS!$C$17</f>
        <v>277153.62651649432</v>
      </c>
      <c r="AN27" s="159">
        <f ca="1">AN22*ASSUMPTIONS!$C$17</f>
        <v>248006.62152949732</v>
      </c>
      <c r="AO27" s="159">
        <f>AO22*ASSUMPTIONS!$C$17</f>
        <v>266957.31628199725</v>
      </c>
      <c r="AP27" s="326">
        <f t="shared" ca="1" si="3"/>
        <v>2963482.9823670369</v>
      </c>
      <c r="AR27" s="159">
        <f>AR22*ASSUMPTIONS!$C$17</f>
        <v>286550.40180375002</v>
      </c>
      <c r="AS27" s="159">
        <f>AS22*ASSUMPTIONS!$C$17</f>
        <v>251768.02697549987</v>
      </c>
      <c r="AT27" s="159">
        <f>AT22*ASSUMPTIONS!$C$17</f>
        <v>202086.38398199982</v>
      </c>
      <c r="AU27" s="159">
        <f>AU22*ASSUMPTIONS!$C$17</f>
        <v>269697.12380275002</v>
      </c>
      <c r="AV27" s="159">
        <f>AV22*ASSUMPTIONS!$C$17</f>
        <v>321587.67035062483</v>
      </c>
      <c r="AW27" s="159">
        <f>AW22*ASSUMPTIONS!$C$17</f>
        <v>273955.99411949981</v>
      </c>
      <c r="AX27" s="159">
        <f>AX22*ASSUMPTIONS!$C$17</f>
        <v>356857.14222900005</v>
      </c>
      <c r="AY27" s="159">
        <f ca="1">AY22*ASSUMPTIONS!$C$17</f>
        <v>384906.28688300151</v>
      </c>
      <c r="AZ27" s="159">
        <f ca="1">AZ22*ASSUMPTIONS!$C$17</f>
        <v>346298.37538776192</v>
      </c>
      <c r="BA27" s="159">
        <f ca="1">BA22*ASSUMPTIONS!$C$17</f>
        <v>344322.80290369265</v>
      </c>
      <c r="BB27" s="159">
        <f ca="1">BB22*ASSUMPTIONS!$C$17</f>
        <v>308609.46416834649</v>
      </c>
      <c r="BC27" s="159">
        <f>BC22*ASSUMPTIONS!$C$17</f>
        <v>331214.37432134646</v>
      </c>
      <c r="BD27" s="326">
        <f t="shared" ca="1" si="5"/>
        <v>3677854.0469272737</v>
      </c>
      <c r="BE27" s="326">
        <f ca="1">BE22*ASSUMPTIONS!$C$17</f>
        <v>4264536.9695737846</v>
      </c>
      <c r="BF27" s="326">
        <f ca="1">BF22*ASSUMPTIONS!$C$17</f>
        <v>4989622.049714772</v>
      </c>
    </row>
    <row r="28" spans="2:59" outlineLevel="1" x14ac:dyDescent="0.35">
      <c r="B28" s="29" t="s">
        <v>19</v>
      </c>
      <c r="P28" s="319"/>
      <c r="Q28" s="319"/>
      <c r="R28" s="319"/>
      <c r="S28" s="319"/>
      <c r="T28" s="319"/>
      <c r="U28" s="319"/>
      <c r="V28" s="319"/>
      <c r="W28" s="159"/>
      <c r="X28" s="159"/>
      <c r="Y28" s="159"/>
      <c r="Z28" s="159"/>
      <c r="AA28" s="159"/>
      <c r="AB28" s="326">
        <f t="shared" si="2"/>
        <v>0</v>
      </c>
      <c r="AD28" s="331"/>
      <c r="AE28" s="331"/>
      <c r="AF28" s="331"/>
      <c r="AG28" s="331"/>
      <c r="AH28" s="331"/>
      <c r="AI28" s="331"/>
      <c r="AJ28" s="331"/>
      <c r="AK28" s="331"/>
      <c r="AL28" s="331"/>
      <c r="AM28" s="331"/>
      <c r="AN28" s="331"/>
      <c r="AO28" s="331"/>
      <c r="AP28" s="326">
        <f t="shared" si="3"/>
        <v>0</v>
      </c>
      <c r="AR28" s="331"/>
      <c r="AS28" s="331"/>
      <c r="AT28" s="331"/>
      <c r="AU28" s="331"/>
      <c r="AV28" s="331"/>
      <c r="AW28" s="331"/>
      <c r="AX28" s="331"/>
      <c r="AY28" s="331"/>
      <c r="AZ28" s="331"/>
      <c r="BA28" s="331"/>
      <c r="BB28" s="331"/>
      <c r="BC28" s="331"/>
      <c r="BD28" s="326">
        <f t="shared" si="5"/>
        <v>0</v>
      </c>
      <c r="BE28" s="326"/>
      <c r="BF28" s="326"/>
    </row>
    <row r="29" spans="2:59" outlineLevel="1" x14ac:dyDescent="0.35">
      <c r="B29" s="29" t="s">
        <v>9</v>
      </c>
      <c r="P29" s="319">
        <v>3242912.49</v>
      </c>
      <c r="Q29" s="319">
        <v>2305460.1800000002</v>
      </c>
      <c r="R29" s="319">
        <v>1787305.32</v>
      </c>
      <c r="S29" s="319">
        <v>2025485.98</v>
      </c>
      <c r="T29" s="319">
        <v>2081617.45999999</v>
      </c>
      <c r="U29" s="319">
        <v>2047912.43</v>
      </c>
      <c r="V29" s="319">
        <v>1940260.8999999899</v>
      </c>
      <c r="W29" s="159">
        <f>1795060.87177475</f>
        <v>1795060.8717747501</v>
      </c>
      <c r="X29" s="159">
        <f>1795060.87177475-ASSUMPTIONS!$C48</f>
        <v>1388185.8717747501</v>
      </c>
      <c r="Y29" s="159">
        <f>1795060.87177475-ASSUMPTIONS!$C48</f>
        <v>1388185.8717747501</v>
      </c>
      <c r="Z29" s="159">
        <f>1795060.87177475-ASSUMPTIONS!$C48</f>
        <v>1388185.8717747501</v>
      </c>
      <c r="AA29" s="159">
        <f>1795060.87177475-ASSUMPTIONS!$C48</f>
        <v>1388185.8717747501</v>
      </c>
      <c r="AB29" s="326">
        <f t="shared" si="2"/>
        <v>22778759.118873738</v>
      </c>
      <c r="AD29" s="159">
        <f>1795060.87177475-ASSUMPTIONS!$C48</f>
        <v>1388185.8717747501</v>
      </c>
      <c r="AE29" s="159">
        <f>1795060.87177475-ASSUMPTIONS!$C48</f>
        <v>1388185.8717747501</v>
      </c>
      <c r="AF29" s="159">
        <f>1795060.87177475-ASSUMPTIONS!$C48</f>
        <v>1388185.8717747501</v>
      </c>
      <c r="AG29" s="159">
        <f>1795060.87177475-ASSUMPTIONS!$C48</f>
        <v>1388185.8717747501</v>
      </c>
      <c r="AH29" s="159">
        <f>1795060.87177475-ASSUMPTIONS!$C48</f>
        <v>1388185.8717747501</v>
      </c>
      <c r="AI29" s="159">
        <f>1795060.87177475-ASSUMPTIONS!$C48</f>
        <v>1388185.8717747501</v>
      </c>
      <c r="AJ29" s="159">
        <f>1795060.87177475-ASSUMPTIONS!$C48</f>
        <v>1388185.8717747501</v>
      </c>
      <c r="AK29" s="159">
        <f>1795060.87177475-ASSUMPTIONS!$C48</f>
        <v>1388185.8717747501</v>
      </c>
      <c r="AL29" s="159">
        <f>1795060.87177475-ASSUMPTIONS!$C48</f>
        <v>1388185.8717747501</v>
      </c>
      <c r="AM29" s="159">
        <f>1795060.87177475-ASSUMPTIONS!$C48</f>
        <v>1388185.8717747501</v>
      </c>
      <c r="AN29" s="159">
        <f>1795060.87177475-ASSUMPTIONS!$C48</f>
        <v>1388185.8717747501</v>
      </c>
      <c r="AO29" s="159">
        <f>1795060.87177475-ASSUMPTIONS!$C48</f>
        <v>1388185.8717747501</v>
      </c>
      <c r="AP29" s="326">
        <f t="shared" si="3"/>
        <v>16658230.461297</v>
      </c>
      <c r="AR29" s="159">
        <f>1795060.87177475-ASSUMPTIONS!$C48</f>
        <v>1388185.8717747501</v>
      </c>
      <c r="AS29" s="159">
        <f>1795060.87177475-ASSUMPTIONS!$C48</f>
        <v>1388185.8717747501</v>
      </c>
      <c r="AT29" s="159">
        <f>1795060.87177475-ASSUMPTIONS!$C48</f>
        <v>1388185.8717747501</v>
      </c>
      <c r="AU29" s="159">
        <f>1795060.87177475-ASSUMPTIONS!$C48</f>
        <v>1388185.8717747501</v>
      </c>
      <c r="AV29" s="159">
        <f>1795060.87177475-ASSUMPTIONS!$C48</f>
        <v>1388185.8717747501</v>
      </c>
      <c r="AW29" s="159">
        <f>1795060.87177475-ASSUMPTIONS!$C48</f>
        <v>1388185.8717747501</v>
      </c>
      <c r="AX29" s="159">
        <f>1795060.87177475-ASSUMPTIONS!$C48</f>
        <v>1388185.8717747501</v>
      </c>
      <c r="AY29" s="159">
        <f>1795060.87177475-ASSUMPTIONS!$C48</f>
        <v>1388185.8717747501</v>
      </c>
      <c r="AZ29" s="159">
        <f>1795060.87177475-ASSUMPTIONS!$C48</f>
        <v>1388185.8717747501</v>
      </c>
      <c r="BA29" s="159">
        <f>1795060.87177475-ASSUMPTIONS!$C48</f>
        <v>1388185.8717747501</v>
      </c>
      <c r="BB29" s="159">
        <f>1795060.87177475-ASSUMPTIONS!$C48</f>
        <v>1388185.8717747501</v>
      </c>
      <c r="BC29" s="159">
        <f>1795060.87177475-ASSUMPTIONS!$C48</f>
        <v>1388185.8717747501</v>
      </c>
      <c r="BD29" s="326">
        <f t="shared" si="5"/>
        <v>16658230.461297</v>
      </c>
      <c r="BE29" s="326">
        <f>BD29*1.07</f>
        <v>17824306.59358779</v>
      </c>
      <c r="BF29" s="326">
        <f>BE29*1.07</f>
        <v>19072008.055138934</v>
      </c>
    </row>
    <row r="30" spans="2:59" outlineLevel="1" x14ac:dyDescent="0.35">
      <c r="B30" s="29" t="s">
        <v>943</v>
      </c>
      <c r="P30" s="319">
        <v>687435.80999999901</v>
      </c>
      <c r="Q30" s="319">
        <v>539876.44999999995</v>
      </c>
      <c r="R30" s="319">
        <v>545472.55000000005</v>
      </c>
      <c r="S30" s="377">
        <v>387511.65</v>
      </c>
      <c r="T30" s="319">
        <v>597519.93999999994</v>
      </c>
      <c r="U30" s="319">
        <v>599209.06999999995</v>
      </c>
      <c r="V30" s="319">
        <v>689160.68</v>
      </c>
      <c r="W30" s="159">
        <f>SUM(Gastos!AA7:AA10)</f>
        <v>551800</v>
      </c>
      <c r="X30" s="159">
        <f>SUM(Gastos!AB7:AB10)</f>
        <v>551800</v>
      </c>
      <c r="Y30" s="159">
        <f>SUM(Gastos!AC7:AC10)</f>
        <v>551800</v>
      </c>
      <c r="Z30" s="159">
        <f>SUM(Gastos!AD7:AD10)</f>
        <v>551800</v>
      </c>
      <c r="AA30" s="159">
        <f>SUM(Gastos!AE7:AE10)</f>
        <v>551800</v>
      </c>
      <c r="AB30" s="326">
        <f t="shared" si="2"/>
        <v>6805186.1499999985</v>
      </c>
      <c r="AD30" s="159">
        <f>SUM(Gastos!AG7:AG10)</f>
        <v>560283</v>
      </c>
      <c r="AE30" s="159">
        <f>SUM(Gastos!AH7:AH10)</f>
        <v>560283</v>
      </c>
      <c r="AF30" s="159">
        <f>SUM(Gastos!AI7:AI10)</f>
        <v>560283</v>
      </c>
      <c r="AG30" s="159">
        <f>SUM(Gastos!AJ7:AJ10)</f>
        <v>560283</v>
      </c>
      <c r="AH30" s="159">
        <f>SUM(Gastos!AK7:AK10)</f>
        <v>591958</v>
      </c>
      <c r="AI30" s="159">
        <f>SUM(Gastos!AL7:AL10)</f>
        <v>604234</v>
      </c>
      <c r="AJ30" s="159">
        <f>SUM(Gastos!AM7:AM10)</f>
        <v>604234</v>
      </c>
      <c r="AK30" s="159">
        <f>SUM(Gastos!AN7:AN10)</f>
        <v>604234</v>
      </c>
      <c r="AL30" s="159">
        <f>SUM(Gastos!AO7:AO10)</f>
        <v>591958</v>
      </c>
      <c r="AM30" s="159">
        <f>SUM(Gastos!AP7:AP10)</f>
        <v>591958</v>
      </c>
      <c r="AN30" s="159">
        <f>SUM(Gastos!AQ7:AQ10)</f>
        <v>591958</v>
      </c>
      <c r="AO30" s="159">
        <f>SUM(Gastos!AR7:AR10)</f>
        <v>591958</v>
      </c>
      <c r="AP30" s="326">
        <f t="shared" si="3"/>
        <v>7013624</v>
      </c>
      <c r="AR30" s="159">
        <f>SUM(Gastos!AT7:AT10)</f>
        <v>601258.01</v>
      </c>
      <c r="AS30" s="159">
        <f>SUM(Gastos!AU7:AU10)</f>
        <v>601258.01</v>
      </c>
      <c r="AT30" s="159">
        <f>SUM(Gastos!AV7:AV10)</f>
        <v>601258.01</v>
      </c>
      <c r="AU30" s="159">
        <f>SUM(Gastos!AW7:AW10)</f>
        <v>601258.01</v>
      </c>
      <c r="AV30" s="159">
        <f>SUM(Gastos!AX7:AX10)</f>
        <v>635150.26</v>
      </c>
      <c r="AW30" s="159">
        <f>SUM(Gastos!AY7:AY10)</f>
        <v>648653.86</v>
      </c>
      <c r="AX30" s="159">
        <f>SUM(Gastos!AZ7:AZ10)</f>
        <v>648653.86</v>
      </c>
      <c r="AY30" s="159">
        <f>SUM(Gastos!BA7:BA10)</f>
        <v>648653.86</v>
      </c>
      <c r="AZ30" s="159">
        <f>SUM(Gastos!BB7:BB10)</f>
        <v>635150.26</v>
      </c>
      <c r="BA30" s="159">
        <f>SUM(Gastos!BC7:BC10)</f>
        <v>635150.26</v>
      </c>
      <c r="BB30" s="159">
        <f>SUM(Gastos!BD7:BD10)</f>
        <v>635150.26</v>
      </c>
      <c r="BC30" s="159">
        <f>SUM(Gastos!BE7:BE10)</f>
        <v>635150.26</v>
      </c>
      <c r="BD30" s="326">
        <f t="shared" si="5"/>
        <v>7526744.919999999</v>
      </c>
      <c r="BE30" s="326">
        <f>BD30*1.07</f>
        <v>8053617.0643999996</v>
      </c>
      <c r="BF30" s="326">
        <f>BE30*1.07</f>
        <v>8617370.2589079998</v>
      </c>
    </row>
    <row r="31" spans="2:59" outlineLevel="1" x14ac:dyDescent="0.35">
      <c r="B31" s="29" t="s">
        <v>944</v>
      </c>
      <c r="P31" s="319"/>
      <c r="Q31" s="319"/>
      <c r="R31" s="319"/>
      <c r="S31" s="319"/>
      <c r="T31" s="319"/>
      <c r="U31" s="319"/>
      <c r="V31" s="319"/>
      <c r="W31" s="159">
        <f>SUM(Gastos!AA13:AA18)</f>
        <v>77650.689655172406</v>
      </c>
      <c r="X31" s="159">
        <f>SUM(Gastos!AB13:AB18)</f>
        <v>77650.689655172406</v>
      </c>
      <c r="Y31" s="159">
        <f>SUM(Gastos!AC13:AC18)</f>
        <v>77650.689655172406</v>
      </c>
      <c r="Z31" s="159">
        <f>SUM(Gastos!AD13:AD18)</f>
        <v>77650.689655172406</v>
      </c>
      <c r="AA31" s="159">
        <f>SUM(Gastos!AE13:AE18)</f>
        <v>77650.689655172406</v>
      </c>
      <c r="AB31" s="326">
        <f t="shared" si="2"/>
        <v>388253.44827586203</v>
      </c>
      <c r="AD31" s="159">
        <f>SUM(Gastos!AG13:AG18)</f>
        <v>77650.689655172406</v>
      </c>
      <c r="AE31" s="159">
        <f>SUM(Gastos!AH13:AH18)</f>
        <v>77650.689655172406</v>
      </c>
      <c r="AF31" s="159">
        <f>SUM(Gastos!AI13:AI18)</f>
        <v>77650.689655172406</v>
      </c>
      <c r="AG31" s="159">
        <f>SUM(Gastos!AJ13:AJ18)</f>
        <v>77650.689655172406</v>
      </c>
      <c r="AH31" s="159">
        <f>SUM(Gastos!AK13:AK18)</f>
        <v>77650.689655172406</v>
      </c>
      <c r="AI31" s="159">
        <f>SUM(Gastos!AL13:AL18)</f>
        <v>0</v>
      </c>
      <c r="AJ31" s="159">
        <f>SUM(Gastos!AM13:AM18)</f>
        <v>0</v>
      </c>
      <c r="AK31" s="159">
        <f>SUM(Gastos!AN13:AN18)</f>
        <v>0</v>
      </c>
      <c r="AL31" s="159">
        <f>SUM(Gastos!AO13:AO18)</f>
        <v>0</v>
      </c>
      <c r="AM31" s="159">
        <f>SUM(Gastos!AP13:AP18)</f>
        <v>0</v>
      </c>
      <c r="AN31" s="159">
        <f>SUM(Gastos!AQ13:AQ18)</f>
        <v>0</v>
      </c>
      <c r="AO31" s="159">
        <f>SUM(Gastos!AR13:AR18)</f>
        <v>0</v>
      </c>
      <c r="AP31" s="326">
        <f t="shared" si="3"/>
        <v>388253.44827586203</v>
      </c>
      <c r="AR31" s="159">
        <f>SUM(Gastos!AT13:AT18)</f>
        <v>0</v>
      </c>
      <c r="AS31" s="159">
        <f>SUM(Gastos!AU13:AU18)</f>
        <v>0</v>
      </c>
      <c r="AT31" s="159">
        <f>SUM(Gastos!AV13:AV18)</f>
        <v>0</v>
      </c>
      <c r="AU31" s="159">
        <f>SUM(Gastos!AW13:AW18)</f>
        <v>0</v>
      </c>
      <c r="AV31" s="159">
        <f>SUM(Gastos!AX13:AX18)</f>
        <v>0</v>
      </c>
      <c r="AW31" s="159">
        <f>SUM(Gastos!AY13:AY18)</f>
        <v>0</v>
      </c>
      <c r="AX31" s="159">
        <f>SUM(Gastos!AZ13:AZ18)</f>
        <v>0</v>
      </c>
      <c r="AY31" s="159">
        <f>SUM(Gastos!BA13:BA18)</f>
        <v>0</v>
      </c>
      <c r="AZ31" s="159">
        <f>SUM(Gastos!BB13:BB18)</f>
        <v>0</v>
      </c>
      <c r="BA31" s="159">
        <f>SUM(Gastos!BC13:BC18)</f>
        <v>0</v>
      </c>
      <c r="BB31" s="159">
        <f>SUM(Gastos!BD13:BD18)</f>
        <v>0</v>
      </c>
      <c r="BC31" s="159">
        <f>SUM(Gastos!BE13:BE18)</f>
        <v>0</v>
      </c>
      <c r="BD31" s="326">
        <f t="shared" si="5"/>
        <v>0</v>
      </c>
      <c r="BE31" s="326">
        <f>SUM(Gastos!BG13:BG18)</f>
        <v>0</v>
      </c>
      <c r="BF31" s="326">
        <f>SUM(Gastos!BH13:BH18)</f>
        <v>0</v>
      </c>
    </row>
    <row r="32" spans="2:59" outlineLevel="1" x14ac:dyDescent="0.35">
      <c r="B32" s="29" t="s">
        <v>1966</v>
      </c>
      <c r="P32" s="319">
        <v>71000</v>
      </c>
      <c r="Q32" s="319">
        <v>51000</v>
      </c>
      <c r="R32" s="319">
        <v>51000</v>
      </c>
      <c r="S32" s="319">
        <v>51000</v>
      </c>
      <c r="T32" s="319">
        <v>51000</v>
      </c>
      <c r="U32" s="319">
        <v>51000</v>
      </c>
      <c r="V32" s="319">
        <v>51000</v>
      </c>
      <c r="W32" s="159"/>
      <c r="X32" s="159"/>
      <c r="Y32" s="159"/>
      <c r="Z32" s="159"/>
      <c r="AA32" s="159"/>
      <c r="AB32" s="326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  <c r="AP32" s="326"/>
      <c r="AR32" s="159"/>
      <c r="AS32" s="159"/>
      <c r="AT32" s="159"/>
      <c r="AU32" s="159"/>
      <c r="AV32" s="159"/>
      <c r="AW32" s="159"/>
      <c r="AX32" s="159"/>
      <c r="AY32" s="159"/>
      <c r="AZ32" s="159"/>
      <c r="BA32" s="159"/>
      <c r="BB32" s="159"/>
      <c r="BC32" s="159"/>
      <c r="BD32" s="326"/>
      <c r="BE32" s="326"/>
      <c r="BF32" s="326"/>
    </row>
    <row r="33" spans="2:59" outlineLevel="1" x14ac:dyDescent="0.35">
      <c r="B33" s="32" t="s">
        <v>16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20">
        <v>183449.01</v>
      </c>
      <c r="Q33" s="320">
        <v>153041.74</v>
      </c>
      <c r="R33" s="320">
        <v>120779.549999999</v>
      </c>
      <c r="S33" s="320">
        <v>203199.63</v>
      </c>
      <c r="T33" s="320">
        <v>120903.889999999</v>
      </c>
      <c r="U33" s="320">
        <v>218826.81</v>
      </c>
      <c r="V33" s="320">
        <v>81559.600000000006</v>
      </c>
      <c r="W33" s="67">
        <f ca="1">W18*ASSUMPTIONS!$C$24</f>
        <v>216509.02871518134</v>
      </c>
      <c r="X33" s="67">
        <f ca="1">X18*ASSUMPTIONS!$C$24</f>
        <v>194552.67757415862</v>
      </c>
      <c r="Y33" s="67">
        <f ca="1">Y18*ASSUMPTIONS!$C$24</f>
        <v>192310.67962368997</v>
      </c>
      <c r="Z33" s="67">
        <f ca="1">Z18*ASSUMPTIONS!$C$24</f>
        <v>172086.22718373284</v>
      </c>
      <c r="AA33" s="67">
        <f>AA18*ASSUMPTIONS!$C$24</f>
        <v>185235.68884873285</v>
      </c>
      <c r="AB33" s="327">
        <f t="shared" ca="1" si="2"/>
        <v>2042454.531945494</v>
      </c>
      <c r="AD33" s="67">
        <f>AD18*ASSUMPTIONS!$C$24</f>
        <v>199092.71784375003</v>
      </c>
      <c r="AE33" s="67">
        <f>AE18*ASSUMPTIONS!$C$24</f>
        <v>174700.92733749992</v>
      </c>
      <c r="AF33" s="67">
        <f>AF18*ASSUMPTIONS!$C$24</f>
        <v>139208.0935874999</v>
      </c>
      <c r="AG33" s="67">
        <f>AG18*ASSUMPTIONS!$C$24</f>
        <v>190593.39816250003</v>
      </c>
      <c r="AH33" s="67">
        <f>AH18*ASSUMPTIONS!$C$24</f>
        <v>224422.60500624991</v>
      </c>
      <c r="AI33" s="67">
        <f>AI18*ASSUMPTIONS!$C$24</f>
        <v>190227.9358812499</v>
      </c>
      <c r="AJ33" s="67">
        <f>AJ18*ASSUMPTIONS!$C$24</f>
        <v>251254.33761875</v>
      </c>
      <c r="AK33" s="67">
        <f ca="1">AK18*ASSUMPTIONS!$C$24</f>
        <v>270636.28589397669</v>
      </c>
      <c r="AL33" s="67">
        <f ca="1">AL18*ASSUMPTIONS!$C$24</f>
        <v>243190.84696769825</v>
      </c>
      <c r="AM33" s="67">
        <f ca="1">AM18*ASSUMPTIONS!$C$24</f>
        <v>240388.34952961243</v>
      </c>
      <c r="AN33" s="67">
        <f ca="1">AN18*ASSUMPTIONS!$C$24</f>
        <v>215107.78397966604</v>
      </c>
      <c r="AO33" s="67">
        <f>AO18*ASSUMPTIONS!$C$24</f>
        <v>231544.61106091601</v>
      </c>
      <c r="AP33" s="327">
        <f t="shared" ca="1" si="3"/>
        <v>2570367.8928693691</v>
      </c>
      <c r="AR33" s="67">
        <f>AR18*ASSUMPTIONS!$C$24</f>
        <v>248538.61380937503</v>
      </c>
      <c r="AS33" s="67">
        <f>AS18*ASSUMPTIONS!$C$24</f>
        <v>218370.2274787499</v>
      </c>
      <c r="AT33" s="67">
        <f>AT18*ASSUMPTIONS!$C$24</f>
        <v>175279.00651499984</v>
      </c>
      <c r="AU33" s="67">
        <f>AU18*ASSUMPTIONS!$C$24</f>
        <v>233920.97472687502</v>
      </c>
      <c r="AV33" s="67">
        <f>AV18*ASSUMPTIONS!$C$24</f>
        <v>278928.08142656233</v>
      </c>
      <c r="AW33" s="67">
        <f>AW18*ASSUMPTIONS!$C$24</f>
        <v>237614.89285874987</v>
      </c>
      <c r="AX33" s="67">
        <f>AX18*ASSUMPTIONS!$C$24</f>
        <v>309518.94989250007</v>
      </c>
      <c r="AY33" s="67">
        <f ca="1">AY18*ASSUMPTIONS!$C$24</f>
        <v>333847.28964341967</v>
      </c>
      <c r="AZ33" s="67">
        <f ca="1">AZ18*ASSUMPTIONS!$C$24</f>
        <v>300360.83579550777</v>
      </c>
      <c r="BA33" s="67">
        <f ca="1">BA18*ASSUMPTIONS!$C$24</f>
        <v>298647.32904912118</v>
      </c>
      <c r="BB33" s="67">
        <f ca="1">BB18*ASSUMPTIONS!$C$24</f>
        <v>267671.47402356582</v>
      </c>
      <c r="BC33" s="67">
        <f>BC18*ASSUMPTIONS!$C$24</f>
        <v>287277.77364606585</v>
      </c>
      <c r="BD33" s="327">
        <f t="shared" ca="1" si="5"/>
        <v>3189975.4488654924</v>
      </c>
      <c r="BE33" s="327">
        <f ca="1">BE18*ASSUMPTIONS!$C$24</f>
        <v>3717801.4606540687</v>
      </c>
      <c r="BF33" s="327">
        <f ca="1">BF18*ASSUMPTIONS!$C$24</f>
        <v>4349926.9151359554</v>
      </c>
    </row>
    <row r="34" spans="2:59" x14ac:dyDescent="0.35">
      <c r="B34" s="42" t="s">
        <v>1353</v>
      </c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321">
        <f>SUM(P27:P33)+P24</f>
        <v>11206106.699999999</v>
      </c>
      <c r="Q34" s="321">
        <f t="shared" ref="Q34:AA34" si="21">SUM(Q27:Q33)+Q24</f>
        <v>9064534.7699999996</v>
      </c>
      <c r="R34" s="321">
        <f t="shared" si="21"/>
        <v>7505870.7699999986</v>
      </c>
      <c r="S34" s="321">
        <f t="shared" si="21"/>
        <v>9414750.379999999</v>
      </c>
      <c r="T34" s="321">
        <f t="shared" si="21"/>
        <v>11863917.339999987</v>
      </c>
      <c r="U34" s="321">
        <f t="shared" si="21"/>
        <v>10179476.489999998</v>
      </c>
      <c r="V34" s="321">
        <f t="shared" si="21"/>
        <v>12922656.63999998</v>
      </c>
      <c r="W34" s="328">
        <f t="shared" ca="1" si="21"/>
        <v>14383159.337035742</v>
      </c>
      <c r="X34" s="328">
        <f t="shared" ca="1" si="21"/>
        <v>12701852.390938278</v>
      </c>
      <c r="Y34" s="328">
        <f t="shared" ca="1" si="21"/>
        <v>12329089.133614406</v>
      </c>
      <c r="Z34" s="328">
        <f t="shared" ca="1" si="21"/>
        <v>11213444.965186566</v>
      </c>
      <c r="AA34" s="328">
        <f t="shared" si="21"/>
        <v>12015252.727653567</v>
      </c>
      <c r="AB34" s="345">
        <f t="shared" ref="AB34:BD34" ca="1" si="22">SUM(AB27:AB33)+AB24</f>
        <v>134423111.64442852</v>
      </c>
      <c r="AC34" s="43"/>
      <c r="AD34" s="328">
        <f t="shared" si="22"/>
        <v>12353883.305361172</v>
      </c>
      <c r="AE34" s="328">
        <f t="shared" si="22"/>
        <v>11035638.050962416</v>
      </c>
      <c r="AF34" s="328">
        <f t="shared" si="22"/>
        <v>8965494.1697124168</v>
      </c>
      <c r="AG34" s="328">
        <f t="shared" si="22"/>
        <v>12667334.052797422</v>
      </c>
      <c r="AH34" s="328">
        <f t="shared" si="22"/>
        <v>14004576.690928668</v>
      </c>
      <c r="AI34" s="328">
        <f t="shared" si="22"/>
        <v>11918748.583098494</v>
      </c>
      <c r="AJ34" s="328">
        <f t="shared" si="22"/>
        <v>15922977.963750999</v>
      </c>
      <c r="AK34" s="328">
        <f t="shared" ca="1" si="22"/>
        <v>16940729.591282025</v>
      </c>
      <c r="AL34" s="328">
        <f t="shared" ca="1" si="22"/>
        <v>15335413.658660196</v>
      </c>
      <c r="AM34" s="328">
        <f t="shared" ca="1" si="22"/>
        <v>14869459.587005354</v>
      </c>
      <c r="AN34" s="328">
        <f t="shared" ca="1" si="22"/>
        <v>13474904.376470555</v>
      </c>
      <c r="AO34" s="328">
        <f t="shared" si="22"/>
        <v>14477164.079554304</v>
      </c>
      <c r="AP34" s="345">
        <f t="shared" ca="1" si="22"/>
        <v>161966324.10958403</v>
      </c>
      <c r="AQ34" s="43"/>
      <c r="AR34" s="328">
        <f t="shared" si="22"/>
        <v>14788581.593762876</v>
      </c>
      <c r="AS34" s="328">
        <f t="shared" si="22"/>
        <v>13168823.926578995</v>
      </c>
      <c r="AT34" s="328">
        <f t="shared" si="22"/>
        <v>10663582.366471743</v>
      </c>
      <c r="AU34" s="328">
        <f t="shared" si="22"/>
        <v>14978471.597379375</v>
      </c>
      <c r="AV34" s="328">
        <f t="shared" si="22"/>
        <v>16772354.967914429</v>
      </c>
      <c r="AW34" s="328">
        <f t="shared" si="22"/>
        <v>14350728.003702993</v>
      </c>
      <c r="AX34" s="328">
        <f t="shared" si="22"/>
        <v>19103154.849596251</v>
      </c>
      <c r="AY34" s="328">
        <f t="shared" ca="1" si="22"/>
        <v>20373292.620037958</v>
      </c>
      <c r="AZ34" s="328">
        <f t="shared" ca="1" si="22"/>
        <v>18422535.138778329</v>
      </c>
      <c r="BA34" s="328">
        <f t="shared" ca="1" si="22"/>
        <v>17934463.575292412</v>
      </c>
      <c r="BB34" s="328">
        <f t="shared" ca="1" si="22"/>
        <v>16236719.048909295</v>
      </c>
      <c r="BC34" s="328">
        <f t="shared" si="22"/>
        <v>17432242.001184795</v>
      </c>
      <c r="BD34" s="345">
        <f t="shared" ca="1" si="22"/>
        <v>194224949.68960947</v>
      </c>
      <c r="BE34" s="345">
        <f ca="1">SUM(BE27:BE33)+BE24</f>
        <v>221962628.37281841</v>
      </c>
      <c r="BF34" s="345">
        <f ca="1">SUM(BF27:BF33)+BF24</f>
        <v>254667184.50631988</v>
      </c>
    </row>
    <row r="35" spans="2:59" x14ac:dyDescent="0.35">
      <c r="B35" s="45" t="s">
        <v>1353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324">
        <f>P34/P18</f>
        <v>0.59803736157212606</v>
      </c>
      <c r="Q35" s="325">
        <f t="shared" ref="Q35:AA35" si="23">Q34/Q18</f>
        <v>0.55128889925804492</v>
      </c>
      <c r="R35" s="325">
        <f t="shared" si="23"/>
        <v>0.57288247310938734</v>
      </c>
      <c r="S35" s="324">
        <f t="shared" si="23"/>
        <v>0.52484358719609436</v>
      </c>
      <c r="T35" s="325">
        <f t="shared" si="23"/>
        <v>0.56168192920668325</v>
      </c>
      <c r="U35" s="325">
        <f t="shared" si="23"/>
        <v>0.56856495448579714</v>
      </c>
      <c r="V35" s="325">
        <f t="shared" si="23"/>
        <v>0.54647107031577657</v>
      </c>
      <c r="W35" s="333">
        <f t="shared" ca="1" si="23"/>
        <v>0.56467323829544902</v>
      </c>
      <c r="X35" s="333">
        <f t="shared" ca="1" si="23"/>
        <v>0.55494350768737954</v>
      </c>
      <c r="Y35" s="333">
        <f t="shared" ca="1" si="23"/>
        <v>0.54493727462659813</v>
      </c>
      <c r="Z35" s="333">
        <f t="shared" ca="1" si="23"/>
        <v>0.55387513436691693</v>
      </c>
      <c r="AA35" s="333">
        <f t="shared" si="23"/>
        <v>0.55134973621879324</v>
      </c>
      <c r="AB35" s="346">
        <f t="shared" ref="AB35:BD35" ca="1" si="24">AB34/AB18</f>
        <v>0.55565803058163199</v>
      </c>
      <c r="AC35" s="43"/>
      <c r="AD35" s="333">
        <f t="shared" si="24"/>
        <v>0.52743269182743957</v>
      </c>
      <c r="AE35" s="333">
        <f t="shared" si="24"/>
        <v>0.53693431891157206</v>
      </c>
      <c r="AF35" s="333">
        <f t="shared" si="24"/>
        <v>0.54743009891630667</v>
      </c>
      <c r="AG35" s="333">
        <f t="shared" si="24"/>
        <v>0.56493215655337969</v>
      </c>
      <c r="AH35" s="333">
        <f t="shared" si="24"/>
        <v>0.53042295748050239</v>
      </c>
      <c r="AI35" s="333">
        <f t="shared" si="24"/>
        <v>0.53256827125317563</v>
      </c>
      <c r="AJ35" s="333">
        <f t="shared" si="24"/>
        <v>0.5386785118800802</v>
      </c>
      <c r="AK35" s="333">
        <f t="shared" ca="1" si="24"/>
        <v>0.53206539193457802</v>
      </c>
      <c r="AL35" s="333">
        <f t="shared" ca="1" si="24"/>
        <v>0.53600296937131642</v>
      </c>
      <c r="AM35" s="333">
        <f t="shared" ca="1" si="24"/>
        <v>0.52577592357060554</v>
      </c>
      <c r="AN35" s="333">
        <f t="shared" ca="1" si="24"/>
        <v>0.53246184345809999</v>
      </c>
      <c r="AO35" s="333">
        <f t="shared" si="24"/>
        <v>0.53145652629262607</v>
      </c>
      <c r="AP35" s="346">
        <f t="shared" ca="1" si="24"/>
        <v>0.53560961399755214</v>
      </c>
      <c r="AQ35" s="43"/>
      <c r="AR35" s="333">
        <f t="shared" si="24"/>
        <v>0.50576826522174345</v>
      </c>
      <c r="AS35" s="333">
        <f t="shared" si="24"/>
        <v>0.51259278642650175</v>
      </c>
      <c r="AT35" s="333">
        <f t="shared" si="24"/>
        <v>0.51712097139969293</v>
      </c>
      <c r="AU35" s="333">
        <f t="shared" si="24"/>
        <v>0.54427358951620053</v>
      </c>
      <c r="AV35" s="333">
        <f t="shared" si="24"/>
        <v>0.51111747694291554</v>
      </c>
      <c r="AW35" s="333">
        <f t="shared" si="24"/>
        <v>0.51335666112471812</v>
      </c>
      <c r="AX35" s="333">
        <f t="shared" si="24"/>
        <v>0.52461025820216733</v>
      </c>
      <c r="AY35" s="333">
        <f t="shared" ca="1" si="24"/>
        <v>0.51871916484716019</v>
      </c>
      <c r="AZ35" s="333">
        <f t="shared" ca="1" si="24"/>
        <v>0.52134476275804065</v>
      </c>
      <c r="BA35" s="333">
        <f t="shared" ca="1" si="24"/>
        <v>0.51044468027005818</v>
      </c>
      <c r="BB35" s="333">
        <f t="shared" ca="1" si="24"/>
        <v>0.51560261480675529</v>
      </c>
      <c r="BC35" s="333">
        <f t="shared" si="24"/>
        <v>0.5157867075112651</v>
      </c>
      <c r="BD35" s="346">
        <f t="shared" ca="1" si="24"/>
        <v>0.51753127847702518</v>
      </c>
      <c r="BE35" s="346">
        <f t="shared" ref="BE35:BF35" ca="1" si="25">BE34/BE18</f>
        <v>0.50747259129782429</v>
      </c>
      <c r="BF35" s="346">
        <f t="shared" ca="1" si="25"/>
        <v>0.49763389374923861</v>
      </c>
    </row>
    <row r="36" spans="2:59" x14ac:dyDescent="0.35">
      <c r="B36" s="48" t="s">
        <v>35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321">
        <f>P25-SUM(P27:P33)</f>
        <v>6397863.0899999999</v>
      </c>
      <c r="Q36" s="321">
        <f>Q25-SUM(Q27:Q31)</f>
        <v>7166317.8999999892</v>
      </c>
      <c r="R36" s="321">
        <f>R25-SUM(R27:R31)</f>
        <v>5159787.4499999909</v>
      </c>
      <c r="S36" s="321">
        <f>S25-SUM(S27:S33)</f>
        <v>8084102.71</v>
      </c>
      <c r="T36" s="321">
        <f t="shared" ref="T36:AA36" si="26">T25-SUM(T27:T33)</f>
        <v>8908368.0299999993</v>
      </c>
      <c r="U36" s="321">
        <f t="shared" si="26"/>
        <v>7129737.7999999924</v>
      </c>
      <c r="V36" s="321">
        <f t="shared" si="26"/>
        <v>10316091.870000022</v>
      </c>
      <c r="W36" s="328">
        <f t="shared" ca="1" si="26"/>
        <v>10579058.091302812</v>
      </c>
      <c r="X36" s="328">
        <f t="shared" ca="1" si="26"/>
        <v>9728926.9058470652</v>
      </c>
      <c r="Y36" s="328">
        <f t="shared" ca="1" si="26"/>
        <v>9843200.9877051413</v>
      </c>
      <c r="Z36" s="328">
        <f t="shared" ca="1" si="26"/>
        <v>8627084.7571732178</v>
      </c>
      <c r="AA36" s="328">
        <f t="shared" si="26"/>
        <v>9341332.5749062188</v>
      </c>
      <c r="AB36" s="326">
        <f t="shared" ca="1" si="2"/>
        <v>101281872.16693445</v>
      </c>
      <c r="AC36" s="27"/>
      <c r="AD36" s="328">
        <f t="shared" ref="AD36:AO36" si="27">AD25-SUM(AD27:AD33)</f>
        <v>10600335.928388828</v>
      </c>
      <c r="AE36" s="328">
        <f t="shared" si="27"/>
        <v>9106351.2185375709</v>
      </c>
      <c r="AF36" s="328">
        <f t="shared" si="27"/>
        <v>7084380.1497875703</v>
      </c>
      <c r="AG36" s="328">
        <f t="shared" si="27"/>
        <v>9306963.617702581</v>
      </c>
      <c r="AH36" s="328">
        <f t="shared" si="27"/>
        <v>11870029.533321317</v>
      </c>
      <c r="AI36" s="328">
        <f t="shared" si="27"/>
        <v>10013413.436151493</v>
      </c>
      <c r="AJ36" s="328">
        <f t="shared" si="27"/>
        <v>13045169.196998999</v>
      </c>
      <c r="AK36" s="328">
        <f t="shared" ca="1" si="27"/>
        <v>14262042.19414117</v>
      </c>
      <c r="AL36" s="328">
        <f t="shared" ca="1" si="27"/>
        <v>12703060.462321483</v>
      </c>
      <c r="AM36" s="328">
        <f t="shared" ca="1" si="27"/>
        <v>12845903.064644076</v>
      </c>
      <c r="AN36" s="328">
        <f t="shared" ca="1" si="27"/>
        <v>11325757.776479177</v>
      </c>
      <c r="AO36" s="328">
        <f t="shared" si="27"/>
        <v>12218567.548645422</v>
      </c>
      <c r="AP36" s="326">
        <f t="shared" ca="1" si="3"/>
        <v>134381974.12711966</v>
      </c>
      <c r="AQ36" s="27"/>
      <c r="AR36" s="328">
        <f t="shared" ref="AR36:BE36" si="28">AR25-SUM(AR27:AR33)</f>
        <v>13866458.586612126</v>
      </c>
      <c r="AS36" s="328">
        <f t="shared" si="28"/>
        <v>12007978.770970993</v>
      </c>
      <c r="AT36" s="328">
        <f t="shared" si="28"/>
        <v>9545056.0317282416</v>
      </c>
      <c r="AU36" s="328">
        <f t="shared" si="28"/>
        <v>11991240.782895628</v>
      </c>
      <c r="AV36" s="328">
        <f t="shared" si="28"/>
        <v>15386412.067148052</v>
      </c>
      <c r="AW36" s="328">
        <f t="shared" si="28"/>
        <v>13044871.408246988</v>
      </c>
      <c r="AX36" s="328">
        <f t="shared" si="28"/>
        <v>16582559.373303751</v>
      </c>
      <c r="AY36" s="328">
        <f t="shared" ca="1" si="28"/>
        <v>18117336.06826219</v>
      </c>
      <c r="AZ36" s="328">
        <f t="shared" ca="1" si="28"/>
        <v>16207302.399997858</v>
      </c>
      <c r="BA36" s="328">
        <f t="shared" ca="1" si="28"/>
        <v>16497816.715076853</v>
      </c>
      <c r="BB36" s="328">
        <f t="shared" ca="1" si="28"/>
        <v>14624227.367925353</v>
      </c>
      <c r="BC36" s="328">
        <f t="shared" si="28"/>
        <v>15689195.430949852</v>
      </c>
      <c r="BD36" s="326">
        <f t="shared" ca="1" si="5"/>
        <v>173560455.00311786</v>
      </c>
      <c r="BE36" s="326">
        <f t="shared" ca="1" si="28"/>
        <v>215425778.76295435</v>
      </c>
      <c r="BF36" s="326">
        <f t="shared" ref="BF36" ca="1" si="29">BF25-SUM(BF27:BF33)</f>
        <v>257088923.15673363</v>
      </c>
    </row>
    <row r="37" spans="2:59" x14ac:dyDescent="0.35">
      <c r="B37" s="49" t="s">
        <v>35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22">
        <f>P36/P$22</f>
        <v>0.36343297371677663</v>
      </c>
      <c r="Q37" s="323">
        <f t="shared" ref="Q37:BD37" si="30">Q36/Q$22</f>
        <v>0.44714559442300689</v>
      </c>
      <c r="R37" s="323">
        <f t="shared" si="30"/>
        <v>0.41298523751391564</v>
      </c>
      <c r="S37" s="322">
        <f t="shared" si="30"/>
        <v>0.46197900333364078</v>
      </c>
      <c r="T37" s="323">
        <f t="shared" si="30"/>
        <v>0.42885835002371747</v>
      </c>
      <c r="U37" s="323">
        <f t="shared" si="30"/>
        <v>0.41190418470461931</v>
      </c>
      <c r="V37" s="323">
        <f t="shared" si="30"/>
        <v>0.44391770346672688</v>
      </c>
      <c r="W37" s="329">
        <f t="shared" ca="1" si="30"/>
        <v>0.42380281806586834</v>
      </c>
      <c r="X37" s="329">
        <f t="shared" ca="1" si="30"/>
        <v>0.4337311146047147</v>
      </c>
      <c r="Y37" s="329">
        <f t="shared" ca="1" si="30"/>
        <v>0.44394155650347134</v>
      </c>
      <c r="Z37" s="329">
        <f t="shared" ca="1" si="30"/>
        <v>0.43482129146232962</v>
      </c>
      <c r="AA37" s="329">
        <f t="shared" si="30"/>
        <v>0.4373982283481701</v>
      </c>
      <c r="AB37" s="329">
        <f t="shared" ca="1" si="30"/>
        <v>0.42969547797781849</v>
      </c>
      <c r="AC37" s="36"/>
      <c r="AD37" s="329">
        <f t="shared" si="30"/>
        <v>0.46180337568628621</v>
      </c>
      <c r="AE37" s="329">
        <f t="shared" si="30"/>
        <v>0.45210783784533465</v>
      </c>
      <c r="AF37" s="329">
        <f t="shared" si="30"/>
        <v>0.44139785824866662</v>
      </c>
      <c r="AG37" s="329">
        <f t="shared" si="30"/>
        <v>0.42353861576185747</v>
      </c>
      <c r="AH37" s="329">
        <f t="shared" si="30"/>
        <v>0.45875208420356889</v>
      </c>
      <c r="AI37" s="329">
        <f t="shared" si="30"/>
        <v>0.4565629885171677</v>
      </c>
      <c r="AJ37" s="329">
        <f t="shared" si="30"/>
        <v>0.45032804910195895</v>
      </c>
      <c r="AK37" s="329">
        <f t="shared" ca="1" si="30"/>
        <v>0.45707613067900205</v>
      </c>
      <c r="AL37" s="329">
        <f t="shared" ca="1" si="30"/>
        <v>0.45305819451906482</v>
      </c>
      <c r="AM37" s="329">
        <f t="shared" ca="1" si="30"/>
        <v>0.4634939555401984</v>
      </c>
      <c r="AN37" s="329">
        <f t="shared" ca="1" si="30"/>
        <v>0.45667158830806132</v>
      </c>
      <c r="AO37" s="329">
        <f t="shared" si="30"/>
        <v>0.45769742215038151</v>
      </c>
      <c r="AP37" s="329">
        <f t="shared" ca="1" si="30"/>
        <v>0.45345957755351807</v>
      </c>
      <c r="AQ37" s="36"/>
      <c r="AR37" s="329">
        <f t="shared" si="30"/>
        <v>0.48390993344720057</v>
      </c>
      <c r="AS37" s="329">
        <f t="shared" si="30"/>
        <v>0.47694613629948795</v>
      </c>
      <c r="AT37" s="329">
        <f t="shared" si="30"/>
        <v>0.47232553938806859</v>
      </c>
      <c r="AU37" s="329">
        <f t="shared" si="30"/>
        <v>0.44461878620795869</v>
      </c>
      <c r="AV37" s="329">
        <f t="shared" si="30"/>
        <v>0.47845155413988211</v>
      </c>
      <c r="AW37" s="329">
        <f t="shared" si="30"/>
        <v>0.47616667232171622</v>
      </c>
      <c r="AX37" s="329">
        <f t="shared" si="30"/>
        <v>0.4646834099977884</v>
      </c>
      <c r="AY37" s="329">
        <f t="shared" ca="1" si="30"/>
        <v>0.47069472974779569</v>
      </c>
      <c r="AZ37" s="329">
        <f t="shared" ca="1" si="30"/>
        <v>0.46801554820608093</v>
      </c>
      <c r="BA37" s="329">
        <f t="shared" ca="1" si="30"/>
        <v>0.47913808135708352</v>
      </c>
      <c r="BB37" s="329">
        <f t="shared" ca="1" si="30"/>
        <v>0.47387488285024976</v>
      </c>
      <c r="BC37" s="329">
        <f t="shared" si="30"/>
        <v>0.47368703315177035</v>
      </c>
      <c r="BD37" s="329">
        <f t="shared" ca="1" si="30"/>
        <v>0.47190685869691296</v>
      </c>
      <c r="BE37" s="329">
        <f t="shared" ref="BE37:BF37" ca="1" si="31">BE36/BE$22</f>
        <v>0.50515631661761606</v>
      </c>
      <c r="BF37" s="329">
        <f t="shared" ca="1" si="31"/>
        <v>0.51524728846231937</v>
      </c>
    </row>
    <row r="38" spans="2:59" x14ac:dyDescent="0.35">
      <c r="B38" s="29" t="s">
        <v>17</v>
      </c>
      <c r="P38" s="319">
        <v>169679.139999999</v>
      </c>
      <c r="Q38" s="319">
        <v>195139.32</v>
      </c>
      <c r="R38" s="319">
        <v>201944.44</v>
      </c>
      <c r="S38" s="319">
        <v>260585.15999999901</v>
      </c>
      <c r="T38" s="319">
        <v>223951.12999999899</v>
      </c>
      <c r="U38" s="319">
        <v>271308.239999999</v>
      </c>
      <c r="V38" s="319">
        <v>346862.92</v>
      </c>
      <c r="W38" s="159">
        <v>238079.15543903608</v>
      </c>
      <c r="X38" s="159">
        <v>238079.15543903608</v>
      </c>
      <c r="Y38" s="159">
        <v>238079.15543903608</v>
      </c>
      <c r="Z38" s="159">
        <v>238079.15543903608</v>
      </c>
      <c r="AA38" s="159">
        <v>238079.15543903608</v>
      </c>
      <c r="AB38" s="326">
        <f t="shared" si="2"/>
        <v>2859866.1271951757</v>
      </c>
      <c r="AD38" s="159">
        <f t="shared" ref="AD38:BC38" si="32">238079.155439036+75000</f>
        <v>313079.15543903597</v>
      </c>
      <c r="AE38" s="159">
        <f t="shared" si="32"/>
        <v>313079.15543903597</v>
      </c>
      <c r="AF38" s="159">
        <f t="shared" si="32"/>
        <v>313079.15543903597</v>
      </c>
      <c r="AG38" s="159">
        <f t="shared" si="32"/>
        <v>313079.15543903597</v>
      </c>
      <c r="AH38" s="159">
        <f t="shared" si="32"/>
        <v>313079.15543903597</v>
      </c>
      <c r="AI38" s="159">
        <f t="shared" si="32"/>
        <v>313079.15543903597</v>
      </c>
      <c r="AJ38" s="159">
        <f t="shared" si="32"/>
        <v>313079.15543903597</v>
      </c>
      <c r="AK38" s="159">
        <f t="shared" si="32"/>
        <v>313079.15543903597</v>
      </c>
      <c r="AL38" s="159">
        <f t="shared" si="32"/>
        <v>313079.15543903597</v>
      </c>
      <c r="AM38" s="159">
        <f t="shared" si="32"/>
        <v>313079.15543903597</v>
      </c>
      <c r="AN38" s="159">
        <f t="shared" si="32"/>
        <v>313079.15543903597</v>
      </c>
      <c r="AO38" s="159">
        <f t="shared" si="32"/>
        <v>313079.15543903597</v>
      </c>
      <c r="AP38" s="326">
        <f t="shared" si="3"/>
        <v>3756949.8652684316</v>
      </c>
      <c r="AR38" s="159">
        <f t="shared" si="32"/>
        <v>313079.15543903597</v>
      </c>
      <c r="AS38" s="159">
        <f t="shared" si="32"/>
        <v>313079.15543903597</v>
      </c>
      <c r="AT38" s="159">
        <f t="shared" si="32"/>
        <v>313079.15543903597</v>
      </c>
      <c r="AU38" s="159">
        <f t="shared" si="32"/>
        <v>313079.15543903597</v>
      </c>
      <c r="AV38" s="159">
        <f t="shared" si="32"/>
        <v>313079.15543903597</v>
      </c>
      <c r="AW38" s="159">
        <f t="shared" si="32"/>
        <v>313079.15543903597</v>
      </c>
      <c r="AX38" s="159">
        <f t="shared" si="32"/>
        <v>313079.15543903597</v>
      </c>
      <c r="AY38" s="159">
        <f t="shared" si="32"/>
        <v>313079.15543903597</v>
      </c>
      <c r="AZ38" s="159">
        <f t="shared" si="32"/>
        <v>313079.15543903597</v>
      </c>
      <c r="BA38" s="159">
        <f t="shared" si="32"/>
        <v>313079.15543903597</v>
      </c>
      <c r="BB38" s="159">
        <f t="shared" si="32"/>
        <v>313079.15543903597</v>
      </c>
      <c r="BC38" s="159">
        <f t="shared" si="32"/>
        <v>313079.15543903597</v>
      </c>
      <c r="BD38" s="326">
        <f t="shared" si="5"/>
        <v>3756949.8652684316</v>
      </c>
      <c r="BE38" s="326">
        <f>BD38*1.07</f>
        <v>4019936.3558372222</v>
      </c>
      <c r="BF38" s="326">
        <f>BE38*1.07</f>
        <v>4301331.9007458277</v>
      </c>
    </row>
    <row r="39" spans="2:59" x14ac:dyDescent="0.35">
      <c r="B39" s="29" t="s">
        <v>39</v>
      </c>
      <c r="P39" s="319">
        <v>74300</v>
      </c>
      <c r="Q39" s="319">
        <v>87735</v>
      </c>
      <c r="R39" s="319">
        <v>83190</v>
      </c>
      <c r="S39" s="319">
        <v>72545</v>
      </c>
      <c r="T39" s="319">
        <v>124125</v>
      </c>
      <c r="U39" s="319">
        <v>110105</v>
      </c>
      <c r="V39" s="319">
        <v>110695</v>
      </c>
      <c r="W39" s="159">
        <f ca="1">W18*ASSUMPTIONS!$C26</f>
        <v>254716.50437080156</v>
      </c>
      <c r="X39" s="159">
        <f ca="1">X18*ASSUMPTIONS!$C26</f>
        <v>228885.5030284219</v>
      </c>
      <c r="Y39" s="159">
        <f ca="1">Y18*ASSUMPTIONS!$C26</f>
        <v>226247.8583808117</v>
      </c>
      <c r="Z39" s="159">
        <f ca="1">Z18*ASSUMPTIONS!$C26</f>
        <v>202454.38492203862</v>
      </c>
      <c r="AA39" s="159">
        <f>AA18*ASSUMPTIONS!$C26</f>
        <v>217924.33982203863</v>
      </c>
      <c r="AB39" s="326">
        <f t="shared" ca="1" si="2"/>
        <v>1792923.5905241123</v>
      </c>
      <c r="AD39" s="159">
        <f>AD18*ASSUMPTIONS!$C26</f>
        <v>234226.72687499999</v>
      </c>
      <c r="AE39" s="159">
        <f>AE18*ASSUMPTIONS!$C26</f>
        <v>205530.50274999987</v>
      </c>
      <c r="AF39" s="159">
        <f>AF18*ASSUMPTIONS!$C26</f>
        <v>163774.22774999987</v>
      </c>
      <c r="AG39" s="159">
        <f>AG18*ASSUMPTIONS!$C26</f>
        <v>224227.52725000001</v>
      </c>
      <c r="AH39" s="159">
        <f>AH18*ASSUMPTIONS!$C26</f>
        <v>264026.59412499989</v>
      </c>
      <c r="AI39" s="159">
        <f>AI18*ASSUMPTIONS!$C26</f>
        <v>223797.57162499987</v>
      </c>
      <c r="AJ39" s="159">
        <f>AJ18*ASSUMPTIONS!$C26</f>
        <v>295593.33837499999</v>
      </c>
      <c r="AK39" s="159">
        <f ca="1">AK18*ASSUMPTIONS!$C26</f>
        <v>318395.63046350196</v>
      </c>
      <c r="AL39" s="159">
        <f ca="1">AL18*ASSUMPTIONS!$C26</f>
        <v>286106.87878552737</v>
      </c>
      <c r="AM39" s="159">
        <f ca="1">AM18*ASSUMPTIONS!$C26</f>
        <v>282809.82297601464</v>
      </c>
      <c r="AN39" s="159">
        <f ca="1">AN18*ASSUMPTIONS!$C26</f>
        <v>253067.98115254828</v>
      </c>
      <c r="AO39" s="159">
        <f>AO18*ASSUMPTIONS!$C26</f>
        <v>272405.42477754824</v>
      </c>
      <c r="AP39" s="326">
        <f t="shared" ca="1" si="3"/>
        <v>3023962.2269051401</v>
      </c>
      <c r="AR39" s="159">
        <f>AR18*ASSUMPTIONS!$C26</f>
        <v>292398.36918750004</v>
      </c>
      <c r="AS39" s="159">
        <f>AS18*ASSUMPTIONS!$C26</f>
        <v>256906.14997499989</v>
      </c>
      <c r="AT39" s="159">
        <f>AT18*ASSUMPTIONS!$C26</f>
        <v>206210.59589999981</v>
      </c>
      <c r="AU39" s="159">
        <f>AU18*ASSUMPTIONS!$C26</f>
        <v>275201.14673750004</v>
      </c>
      <c r="AV39" s="159">
        <f>AV18*ASSUMPTIONS!$C26</f>
        <v>328150.68403124984</v>
      </c>
      <c r="AW39" s="159">
        <f>AW18*ASSUMPTIONS!$C26</f>
        <v>279546.93277499982</v>
      </c>
      <c r="AX39" s="159">
        <f>AX18*ASSUMPTIONS!$C26</f>
        <v>364139.94105000002</v>
      </c>
      <c r="AY39" s="159">
        <f ca="1">AY18*ASSUMPTIONS!$C26</f>
        <v>392761.51722755254</v>
      </c>
      <c r="AZ39" s="159">
        <f ca="1">AZ18*ASSUMPTIONS!$C26</f>
        <v>353365.6891711856</v>
      </c>
      <c r="BA39" s="159">
        <f ca="1">BA18*ASSUMPTIONS!$C26</f>
        <v>351349.798881319</v>
      </c>
      <c r="BB39" s="159">
        <f ca="1">BB18*ASSUMPTIONS!$C26</f>
        <v>314907.61649831274</v>
      </c>
      <c r="BC39" s="159">
        <f>BC18*ASSUMPTIONS!$C26</f>
        <v>337973.85134831275</v>
      </c>
      <c r="BD39" s="326">
        <f t="shared" ca="1" si="5"/>
        <v>3752912.2927829321</v>
      </c>
      <c r="BE39" s="326">
        <f ca="1">BE18*ASSUMPTIONS!$C26</f>
        <v>4373884.071357728</v>
      </c>
      <c r="BF39" s="326">
        <f ca="1">BF18*ASSUMPTIONS!$C26</f>
        <v>5117561.0766305355</v>
      </c>
    </row>
    <row r="40" spans="2:59" x14ac:dyDescent="0.35">
      <c r="B40" s="32" t="s">
        <v>20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78"/>
      <c r="Q40" s="378"/>
      <c r="R40" s="378"/>
      <c r="S40" s="378"/>
      <c r="T40" s="378"/>
      <c r="U40" s="378"/>
      <c r="V40" s="378"/>
      <c r="W40" s="67">
        <f ca="1">W18*ASSUMPTIONS!$C28</f>
        <v>63679.12609270039</v>
      </c>
      <c r="X40" s="67">
        <f ca="1">X18*ASSUMPTIONS!$C28</f>
        <v>57221.375757105474</v>
      </c>
      <c r="Y40" s="67">
        <f ca="1">Y18*ASSUMPTIONS!$C28</f>
        <v>56561.964595202924</v>
      </c>
      <c r="Z40" s="67">
        <f ca="1">Z18*ASSUMPTIONS!$C28</f>
        <v>50613.596230509655</v>
      </c>
      <c r="AA40" s="67">
        <f>AA18*ASSUMPTIONS!$C28</f>
        <v>54481.084955509657</v>
      </c>
      <c r="AB40" s="327">
        <f t="shared" ca="1" si="2"/>
        <v>282557.14763102809</v>
      </c>
      <c r="AD40" s="67">
        <f>AD18*ASSUMPTIONS!$C28</f>
        <v>58556.681718749998</v>
      </c>
      <c r="AE40" s="67">
        <f>AE18*ASSUMPTIONS!$C28</f>
        <v>51382.625687499967</v>
      </c>
      <c r="AF40" s="67">
        <f>AF18*ASSUMPTIONS!$C28</f>
        <v>40943.556937499969</v>
      </c>
      <c r="AG40" s="67">
        <f>AG18*ASSUMPTIONS!$C28</f>
        <v>56056.881812500003</v>
      </c>
      <c r="AH40" s="67">
        <f>AH18*ASSUMPTIONS!$C28</f>
        <v>66006.648531249972</v>
      </c>
      <c r="AI40" s="67">
        <f>AI18*ASSUMPTIONS!$C28</f>
        <v>55949.392906249966</v>
      </c>
      <c r="AJ40" s="67">
        <f>AJ18*ASSUMPTIONS!$C28</f>
        <v>73898.334593749998</v>
      </c>
      <c r="AK40" s="67">
        <f ca="1">AK18*ASSUMPTIONS!$C28</f>
        <v>79598.907615875491</v>
      </c>
      <c r="AL40" s="67">
        <f ca="1">AL18*ASSUMPTIONS!$C28</f>
        <v>71526.719696381842</v>
      </c>
      <c r="AM40" s="67">
        <f ca="1">AM18*ASSUMPTIONS!$C28</f>
        <v>70702.455744003659</v>
      </c>
      <c r="AN40" s="67">
        <f ca="1">AN18*ASSUMPTIONS!$C28</f>
        <v>63266.99528813707</v>
      </c>
      <c r="AO40" s="67">
        <f>AO18*ASSUMPTIONS!$C28</f>
        <v>68101.356194387059</v>
      </c>
      <c r="AP40" s="327">
        <f t="shared" ca="1" si="3"/>
        <v>755990.55672628502</v>
      </c>
      <c r="AR40" s="67">
        <f>AR18*ASSUMPTIONS!$C28</f>
        <v>73099.592296875009</v>
      </c>
      <c r="AS40" s="67">
        <f>AS18*ASSUMPTIONS!$C28</f>
        <v>64226.537493749973</v>
      </c>
      <c r="AT40" s="67">
        <f>AT18*ASSUMPTIONS!$C28</f>
        <v>51552.648974999953</v>
      </c>
      <c r="AU40" s="67">
        <f>AU18*ASSUMPTIONS!$C28</f>
        <v>68800.286684375009</v>
      </c>
      <c r="AV40" s="67">
        <f>AV18*ASSUMPTIONS!$C28</f>
        <v>82037.67100781246</v>
      </c>
      <c r="AW40" s="67">
        <f>AW18*ASSUMPTIONS!$C28</f>
        <v>69886.733193749955</v>
      </c>
      <c r="AX40" s="67">
        <f>AX18*ASSUMPTIONS!$C28</f>
        <v>91034.985262500006</v>
      </c>
      <c r="AY40" s="67">
        <f ca="1">AY18*ASSUMPTIONS!$C28</f>
        <v>98190.379306888135</v>
      </c>
      <c r="AZ40" s="67">
        <f ca="1">AZ18*ASSUMPTIONS!$C28</f>
        <v>88341.4222927964</v>
      </c>
      <c r="BA40" s="67">
        <f ca="1">BA18*ASSUMPTIONS!$C28</f>
        <v>87837.449720329751</v>
      </c>
      <c r="BB40" s="67">
        <f ca="1">BB18*ASSUMPTIONS!$C28</f>
        <v>78726.904124578185</v>
      </c>
      <c r="BC40" s="67">
        <f>BC18*ASSUMPTIONS!$C28</f>
        <v>84493.462837078187</v>
      </c>
      <c r="BD40" s="327">
        <f t="shared" ca="1" si="5"/>
        <v>938228.07319573301</v>
      </c>
      <c r="BE40" s="327">
        <f ca="1">BE18*ASSUMPTIONS!$C28</f>
        <v>1093471.017839432</v>
      </c>
      <c r="BF40" s="327">
        <f ca="1">BF18*ASSUMPTIONS!$C28</f>
        <v>1279390.2691576339</v>
      </c>
    </row>
    <row r="41" spans="2:59" s="27" customFormat="1" x14ac:dyDescent="0.35">
      <c r="B41" s="27" t="s">
        <v>36</v>
      </c>
      <c r="P41" s="321">
        <f>P36-SUM(P38:P40)</f>
        <v>6153883.9500000011</v>
      </c>
      <c r="Q41" s="321">
        <f t="shared" ref="Q41:AA41" si="33">Q36-SUM(Q38:Q40)</f>
        <v>6883443.5799999889</v>
      </c>
      <c r="R41" s="321">
        <f t="shared" si="33"/>
        <v>4874653.0099999905</v>
      </c>
      <c r="S41" s="321">
        <f t="shared" si="33"/>
        <v>7750972.5500000007</v>
      </c>
      <c r="T41" s="321">
        <f t="shared" si="33"/>
        <v>8560291.9000000004</v>
      </c>
      <c r="U41" s="321">
        <f t="shared" si="33"/>
        <v>6748324.5599999931</v>
      </c>
      <c r="V41" s="321">
        <f t="shared" si="33"/>
        <v>9858533.9500000216</v>
      </c>
      <c r="W41" s="328">
        <f t="shared" ca="1" si="33"/>
        <v>10022583.305400275</v>
      </c>
      <c r="X41" s="328">
        <f t="shared" ca="1" si="33"/>
        <v>9204740.8716225009</v>
      </c>
      <c r="Y41" s="328">
        <f t="shared" ca="1" si="33"/>
        <v>9322312.0092900898</v>
      </c>
      <c r="Z41" s="328">
        <f t="shared" ca="1" si="33"/>
        <v>8135937.6205816334</v>
      </c>
      <c r="AA41" s="328">
        <f t="shared" si="33"/>
        <v>8830847.9946896341</v>
      </c>
      <c r="AB41" s="341">
        <f t="shared" ca="1" si="2"/>
        <v>96346525.30158411</v>
      </c>
      <c r="AD41" s="328">
        <f t="shared" ref="AD41:AO41" si="34">AD36-SUM(AD38:AD40)</f>
        <v>9994473.3643560428</v>
      </c>
      <c r="AE41" s="328">
        <f t="shared" si="34"/>
        <v>8536358.9346610345</v>
      </c>
      <c r="AF41" s="328">
        <f t="shared" si="34"/>
        <v>6566583.2096610349</v>
      </c>
      <c r="AG41" s="328">
        <f t="shared" si="34"/>
        <v>8713600.0532010458</v>
      </c>
      <c r="AH41" s="328">
        <f t="shared" si="34"/>
        <v>11226917.135226032</v>
      </c>
      <c r="AI41" s="328">
        <f t="shared" si="34"/>
        <v>9420587.3161812071</v>
      </c>
      <c r="AJ41" s="328">
        <f t="shared" si="34"/>
        <v>12362598.368591212</v>
      </c>
      <c r="AK41" s="328">
        <f t="shared" ca="1" si="34"/>
        <v>13550968.500622757</v>
      </c>
      <c r="AL41" s="328">
        <f t="shared" ca="1" si="34"/>
        <v>12032347.708400538</v>
      </c>
      <c r="AM41" s="328">
        <f t="shared" ca="1" si="34"/>
        <v>12179311.630485022</v>
      </c>
      <c r="AN41" s="328">
        <f t="shared" ca="1" si="34"/>
        <v>10696343.644599456</v>
      </c>
      <c r="AO41" s="328">
        <f t="shared" si="34"/>
        <v>11564981.612234451</v>
      </c>
      <c r="AP41" s="341">
        <f t="shared" ca="1" si="3"/>
        <v>126845071.47821984</v>
      </c>
      <c r="AR41" s="328">
        <f t="shared" ref="AR41:BE41" si="35">AR36-SUM(AR38:AR40)</f>
        <v>13187881.469688715</v>
      </c>
      <c r="AS41" s="328">
        <f t="shared" si="35"/>
        <v>11373766.928063206</v>
      </c>
      <c r="AT41" s="328">
        <f t="shared" si="35"/>
        <v>8974213.6314142067</v>
      </c>
      <c r="AU41" s="328">
        <f t="shared" si="35"/>
        <v>11334160.194034718</v>
      </c>
      <c r="AV41" s="328">
        <f t="shared" si="35"/>
        <v>14663144.556669954</v>
      </c>
      <c r="AW41" s="328">
        <f t="shared" si="35"/>
        <v>12382358.586839203</v>
      </c>
      <c r="AX41" s="328">
        <f t="shared" si="35"/>
        <v>15814305.291552214</v>
      </c>
      <c r="AY41" s="328">
        <f t="shared" ca="1" si="35"/>
        <v>17313305.016288713</v>
      </c>
      <c r="AZ41" s="328">
        <f t="shared" ca="1" si="35"/>
        <v>15452516.13309484</v>
      </c>
      <c r="BA41" s="328">
        <f t="shared" ca="1" si="35"/>
        <v>15745550.311036168</v>
      </c>
      <c r="BB41" s="328">
        <f t="shared" ca="1" si="35"/>
        <v>13917513.691863427</v>
      </c>
      <c r="BC41" s="328">
        <f t="shared" si="35"/>
        <v>14953648.961325426</v>
      </c>
      <c r="BD41" s="341">
        <f t="shared" ca="1" si="5"/>
        <v>165112364.77187079</v>
      </c>
      <c r="BE41" s="341">
        <f t="shared" ca="1" si="35"/>
        <v>205938487.31791997</v>
      </c>
      <c r="BF41" s="341">
        <f t="shared" ref="BF41" ca="1" si="36">BF36-SUM(BF38:BF40)</f>
        <v>246390639.91019964</v>
      </c>
      <c r="BG41" s="339"/>
    </row>
    <row r="42" spans="2:59" x14ac:dyDescent="0.35">
      <c r="B42" s="49" t="s">
        <v>36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22">
        <f>P41/P$22</f>
        <v>0.34957364863780543</v>
      </c>
      <c r="Q42" s="323">
        <f t="shared" ref="Q42:BD42" si="37">Q41/Q$22</f>
        <v>0.4294955253459144</v>
      </c>
      <c r="R42" s="323">
        <f t="shared" si="37"/>
        <v>0.39016330626812418</v>
      </c>
      <c r="S42" s="322">
        <f t="shared" si="37"/>
        <v>0.44294174653248664</v>
      </c>
      <c r="T42" s="323">
        <f t="shared" si="37"/>
        <v>0.41210159342231328</v>
      </c>
      <c r="U42" s="323">
        <f t="shared" si="37"/>
        <v>0.38986891299269921</v>
      </c>
      <c r="V42" s="323">
        <f t="shared" si="37"/>
        <v>0.42422826451939694</v>
      </c>
      <c r="W42" s="329">
        <f t="shared" ca="1" si="37"/>
        <v>0.40151013563490789</v>
      </c>
      <c r="X42" s="329">
        <f t="shared" ca="1" si="37"/>
        <v>0.4103620632093542</v>
      </c>
      <c r="Y42" s="329">
        <f t="shared" ca="1" si="37"/>
        <v>0.42044876547625148</v>
      </c>
      <c r="Z42" s="329">
        <f t="shared" ca="1" si="37"/>
        <v>0.41006655237700806</v>
      </c>
      <c r="AA42" s="329">
        <f t="shared" si="37"/>
        <v>0.41349531629624209</v>
      </c>
      <c r="AB42" s="347">
        <f t="shared" ca="1" si="37"/>
        <v>0.40875692120629992</v>
      </c>
      <c r="AC42" s="36"/>
      <c r="AD42" s="329">
        <f t="shared" si="37"/>
        <v>0.43540898788929355</v>
      </c>
      <c r="AE42" s="329">
        <f t="shared" si="37"/>
        <v>0.4238091292992206</v>
      </c>
      <c r="AF42" s="329">
        <f t="shared" si="37"/>
        <v>0.40913611402444977</v>
      </c>
      <c r="AG42" s="329">
        <f t="shared" si="37"/>
        <v>0.39653599782162124</v>
      </c>
      <c r="AH42" s="329">
        <f t="shared" si="37"/>
        <v>0.43389712051749152</v>
      </c>
      <c r="AI42" s="329">
        <f t="shared" si="37"/>
        <v>0.42953299852119925</v>
      </c>
      <c r="AJ42" s="329">
        <f t="shared" si="37"/>
        <v>0.42676524321658199</v>
      </c>
      <c r="AK42" s="329">
        <f t="shared" ca="1" si="37"/>
        <v>0.43428733170920664</v>
      </c>
      <c r="AL42" s="329">
        <f t="shared" ca="1" si="37"/>
        <v>0.42913703707565609</v>
      </c>
      <c r="AM42" s="329">
        <f t="shared" ca="1" si="37"/>
        <v>0.43944262189764971</v>
      </c>
      <c r="AN42" s="329">
        <f t="shared" ca="1" si="37"/>
        <v>0.4312926638262059</v>
      </c>
      <c r="AO42" s="329">
        <f t="shared" si="37"/>
        <v>0.433214634208336</v>
      </c>
      <c r="AP42" s="347">
        <f t="shared" ca="1" si="37"/>
        <v>0.42802699469832706</v>
      </c>
      <c r="AQ42" s="36"/>
      <c r="AR42" s="329">
        <f t="shared" si="37"/>
        <v>0.46022903428768208</v>
      </c>
      <c r="AS42" s="329">
        <f t="shared" si="37"/>
        <v>0.45175581127980219</v>
      </c>
      <c r="AT42" s="329">
        <f t="shared" si="37"/>
        <v>0.44407809445556484</v>
      </c>
      <c r="AU42" s="329">
        <f t="shared" si="37"/>
        <v>0.42025513784582474</v>
      </c>
      <c r="AV42" s="329">
        <f t="shared" si="37"/>
        <v>0.45596103049233289</v>
      </c>
      <c r="AW42" s="329">
        <f t="shared" si="37"/>
        <v>0.45198348832031793</v>
      </c>
      <c r="AX42" s="329">
        <f t="shared" si="37"/>
        <v>0.44315507300128409</v>
      </c>
      <c r="AY42" s="329">
        <f t="shared" ca="1" si="37"/>
        <v>0.44980572171198058</v>
      </c>
      <c r="AZ42" s="329">
        <f t="shared" ca="1" si="37"/>
        <v>0.44621971199813282</v>
      </c>
      <c r="BA42" s="329">
        <f t="shared" ca="1" si="37"/>
        <v>0.4572903734011543</v>
      </c>
      <c r="BB42" s="329">
        <f t="shared" ca="1" si="37"/>
        <v>0.4509749475560938</v>
      </c>
      <c r="BC42" s="329">
        <f t="shared" si="37"/>
        <v>0.45147946830403235</v>
      </c>
      <c r="BD42" s="347">
        <f t="shared" ca="1" si="37"/>
        <v>0.44893669695733779</v>
      </c>
      <c r="BE42" s="347">
        <f t="shared" ref="BE42:BF42" ca="1" si="38">BE41/BE$22</f>
        <v>0.4829093727812197</v>
      </c>
      <c r="BF42" s="347">
        <f t="shared" ca="1" si="38"/>
        <v>0.49380621909886824</v>
      </c>
    </row>
    <row r="43" spans="2:59" x14ac:dyDescent="0.35">
      <c r="B43" s="29" t="s">
        <v>18</v>
      </c>
      <c r="P43" s="319">
        <v>474620.71999999898</v>
      </c>
      <c r="Q43" s="319">
        <v>402759.33999999898</v>
      </c>
      <c r="R43" s="319">
        <v>356971.489999999</v>
      </c>
      <c r="S43" s="319">
        <v>423860.67</v>
      </c>
      <c r="T43" s="319">
        <v>361715.00999999902</v>
      </c>
      <c r="U43" s="319">
        <v>420335.45999999897</v>
      </c>
      <c r="V43" s="319">
        <v>719782.799999999</v>
      </c>
      <c r="W43" s="159">
        <f t="shared" ref="W43:AA43" si="39">375227.519850061+160000</f>
        <v>535227.51985006104</v>
      </c>
      <c r="X43" s="159">
        <f t="shared" si="39"/>
        <v>535227.51985006104</v>
      </c>
      <c r="Y43" s="159">
        <f t="shared" si="39"/>
        <v>535227.51985006104</v>
      </c>
      <c r="Z43" s="159">
        <f t="shared" si="39"/>
        <v>535227.51985006104</v>
      </c>
      <c r="AA43" s="159">
        <f t="shared" si="39"/>
        <v>535227.51985006104</v>
      </c>
      <c r="AB43" s="326">
        <f t="shared" si="2"/>
        <v>5836183.0892503001</v>
      </c>
      <c r="AD43" s="159">
        <f>AA43*1.07</f>
        <v>572693.44623956538</v>
      </c>
      <c r="AE43" s="159">
        <f>AD43</f>
        <v>572693.44623956538</v>
      </c>
      <c r="AF43" s="159">
        <f t="shared" ref="AF43:AO43" si="40">AE43</f>
        <v>572693.44623956538</v>
      </c>
      <c r="AG43" s="159">
        <f t="shared" si="40"/>
        <v>572693.44623956538</v>
      </c>
      <c r="AH43" s="159">
        <f t="shared" si="40"/>
        <v>572693.44623956538</v>
      </c>
      <c r="AI43" s="159">
        <f t="shared" si="40"/>
        <v>572693.44623956538</v>
      </c>
      <c r="AJ43" s="159">
        <f t="shared" si="40"/>
        <v>572693.44623956538</v>
      </c>
      <c r="AK43" s="159">
        <f t="shared" si="40"/>
        <v>572693.44623956538</v>
      </c>
      <c r="AL43" s="159">
        <f t="shared" si="40"/>
        <v>572693.44623956538</v>
      </c>
      <c r="AM43" s="159">
        <f t="shared" si="40"/>
        <v>572693.44623956538</v>
      </c>
      <c r="AN43" s="159">
        <f t="shared" si="40"/>
        <v>572693.44623956538</v>
      </c>
      <c r="AO43" s="159">
        <f t="shared" si="40"/>
        <v>572693.44623956538</v>
      </c>
      <c r="AP43" s="326">
        <f t="shared" si="3"/>
        <v>6872321.3548747851</v>
      </c>
      <c r="AR43" s="159">
        <f>AO43*1.07</f>
        <v>612781.98747633502</v>
      </c>
      <c r="AS43" s="159">
        <f>AR43</f>
        <v>612781.98747633502</v>
      </c>
      <c r="AT43" s="159">
        <f t="shared" ref="AT43:BC43" si="41">AS43</f>
        <v>612781.98747633502</v>
      </c>
      <c r="AU43" s="159">
        <f t="shared" si="41"/>
        <v>612781.98747633502</v>
      </c>
      <c r="AV43" s="159">
        <f t="shared" si="41"/>
        <v>612781.98747633502</v>
      </c>
      <c r="AW43" s="159">
        <f t="shared" si="41"/>
        <v>612781.98747633502</v>
      </c>
      <c r="AX43" s="159">
        <f t="shared" si="41"/>
        <v>612781.98747633502</v>
      </c>
      <c r="AY43" s="159">
        <f t="shared" si="41"/>
        <v>612781.98747633502</v>
      </c>
      <c r="AZ43" s="159">
        <f t="shared" si="41"/>
        <v>612781.98747633502</v>
      </c>
      <c r="BA43" s="159">
        <f t="shared" si="41"/>
        <v>612781.98747633502</v>
      </c>
      <c r="BB43" s="159">
        <f t="shared" si="41"/>
        <v>612781.98747633502</v>
      </c>
      <c r="BC43" s="159">
        <f t="shared" si="41"/>
        <v>612781.98747633502</v>
      </c>
      <c r="BD43" s="326">
        <f t="shared" si="5"/>
        <v>7353383.8497160198</v>
      </c>
      <c r="BE43" s="326">
        <f t="shared" ref="BE43:BF47" si="42">BD43*1.07</f>
        <v>7868120.7191961417</v>
      </c>
      <c r="BF43" s="326">
        <f t="shared" si="42"/>
        <v>8418889.1695398726</v>
      </c>
    </row>
    <row r="44" spans="2:59" x14ac:dyDescent="0.35">
      <c r="B44" s="29" t="s">
        <v>1572</v>
      </c>
      <c r="P44" s="319">
        <v>0</v>
      </c>
      <c r="Q44" s="319">
        <v>106941.659999999</v>
      </c>
      <c r="R44" s="319">
        <v>186736.5</v>
      </c>
      <c r="S44" s="319">
        <v>198804.96</v>
      </c>
      <c r="T44" s="319">
        <v>225735.04000000001</v>
      </c>
      <c r="U44" s="319">
        <v>212132.17</v>
      </c>
      <c r="V44" s="319">
        <v>202403.53999999899</v>
      </c>
      <c r="W44" s="159">
        <v>191005.53599028659</v>
      </c>
      <c r="X44" s="159">
        <v>191005.53599028659</v>
      </c>
      <c r="Y44" s="159">
        <v>191005.53599028659</v>
      </c>
      <c r="Z44" s="159">
        <v>191005.53599028659</v>
      </c>
      <c r="AA44" s="159">
        <v>191005.53599028659</v>
      </c>
      <c r="AB44" s="326">
        <f>SUM(Q44:AA44)</f>
        <v>2087781.5499514311</v>
      </c>
      <c r="AD44" s="159">
        <f>AA44*1.07</f>
        <v>204375.92350960665</v>
      </c>
      <c r="AE44" s="159">
        <f>AD44</f>
        <v>204375.92350960665</v>
      </c>
      <c r="AF44" s="159">
        <f t="shared" ref="AF44:AO44" si="43">AE44</f>
        <v>204375.92350960665</v>
      </c>
      <c r="AG44" s="159">
        <f t="shared" si="43"/>
        <v>204375.92350960665</v>
      </c>
      <c r="AH44" s="159">
        <f t="shared" si="43"/>
        <v>204375.92350960665</v>
      </c>
      <c r="AI44" s="159">
        <f t="shared" si="43"/>
        <v>204375.92350960665</v>
      </c>
      <c r="AJ44" s="159">
        <f t="shared" si="43"/>
        <v>204375.92350960665</v>
      </c>
      <c r="AK44" s="159">
        <f t="shared" si="43"/>
        <v>204375.92350960665</v>
      </c>
      <c r="AL44" s="159">
        <f t="shared" si="43"/>
        <v>204375.92350960665</v>
      </c>
      <c r="AM44" s="159">
        <f t="shared" si="43"/>
        <v>204375.92350960665</v>
      </c>
      <c r="AN44" s="159">
        <f t="shared" si="43"/>
        <v>204375.92350960665</v>
      </c>
      <c r="AO44" s="159">
        <f t="shared" si="43"/>
        <v>204375.92350960665</v>
      </c>
      <c r="AP44" s="326">
        <f t="shared" si="3"/>
        <v>2452511.08211528</v>
      </c>
      <c r="AR44" s="159">
        <f>AO44*1.07</f>
        <v>218682.23815527913</v>
      </c>
      <c r="AS44" s="159">
        <f t="shared" ref="AS44:BC47" si="44">AR44</f>
        <v>218682.23815527913</v>
      </c>
      <c r="AT44" s="159">
        <f t="shared" si="44"/>
        <v>218682.23815527913</v>
      </c>
      <c r="AU44" s="159">
        <f t="shared" si="44"/>
        <v>218682.23815527913</v>
      </c>
      <c r="AV44" s="159">
        <f t="shared" si="44"/>
        <v>218682.23815527913</v>
      </c>
      <c r="AW44" s="159">
        <f t="shared" si="44"/>
        <v>218682.23815527913</v>
      </c>
      <c r="AX44" s="159">
        <f t="shared" si="44"/>
        <v>218682.23815527913</v>
      </c>
      <c r="AY44" s="159">
        <f t="shared" si="44"/>
        <v>218682.23815527913</v>
      </c>
      <c r="AZ44" s="159">
        <f t="shared" si="44"/>
        <v>218682.23815527913</v>
      </c>
      <c r="BA44" s="159">
        <f t="shared" si="44"/>
        <v>218682.23815527913</v>
      </c>
      <c r="BB44" s="159">
        <f t="shared" si="44"/>
        <v>218682.23815527913</v>
      </c>
      <c r="BC44" s="159">
        <f t="shared" si="44"/>
        <v>218682.23815527913</v>
      </c>
      <c r="BD44" s="326">
        <f t="shared" si="5"/>
        <v>2624186.8578633498</v>
      </c>
      <c r="BE44" s="326">
        <f t="shared" si="42"/>
        <v>2807879.9379137843</v>
      </c>
      <c r="BF44" s="326">
        <f t="shared" si="42"/>
        <v>3004431.5335677494</v>
      </c>
    </row>
    <row r="45" spans="2:59" x14ac:dyDescent="0.35">
      <c r="B45" s="29" t="s">
        <v>1573</v>
      </c>
      <c r="P45" s="319">
        <v>0</v>
      </c>
      <c r="Q45" s="319">
        <v>39996.179999999898</v>
      </c>
      <c r="R45" s="319">
        <v>84495.360000000001</v>
      </c>
      <c r="S45" s="319">
        <v>97627.88</v>
      </c>
      <c r="T45" s="319">
        <v>96956.31</v>
      </c>
      <c r="U45" s="319">
        <v>99350.38</v>
      </c>
      <c r="V45" s="319">
        <v>88231.51</v>
      </c>
      <c r="W45" s="159">
        <v>87622.044463912331</v>
      </c>
      <c r="X45" s="159">
        <v>87622.044463912331</v>
      </c>
      <c r="Y45" s="159">
        <v>87622.044463912331</v>
      </c>
      <c r="Z45" s="159">
        <v>87622.044463912331</v>
      </c>
      <c r="AA45" s="159">
        <v>87622.044463912331</v>
      </c>
      <c r="AB45" s="326">
        <f t="shared" si="2"/>
        <v>944767.84231956175</v>
      </c>
      <c r="AD45" s="159">
        <f>AA45*1.07</f>
        <v>93755.587576386199</v>
      </c>
      <c r="AE45" s="159">
        <f>AD45</f>
        <v>93755.587576386199</v>
      </c>
      <c r="AF45" s="159">
        <f t="shared" ref="AF45:AO45" si="45">AE45</f>
        <v>93755.587576386199</v>
      </c>
      <c r="AG45" s="159">
        <f t="shared" si="45"/>
        <v>93755.587576386199</v>
      </c>
      <c r="AH45" s="159">
        <f t="shared" si="45"/>
        <v>93755.587576386199</v>
      </c>
      <c r="AI45" s="159">
        <f t="shared" si="45"/>
        <v>93755.587576386199</v>
      </c>
      <c r="AJ45" s="159">
        <f t="shared" si="45"/>
        <v>93755.587576386199</v>
      </c>
      <c r="AK45" s="159">
        <f t="shared" si="45"/>
        <v>93755.587576386199</v>
      </c>
      <c r="AL45" s="159">
        <f t="shared" si="45"/>
        <v>93755.587576386199</v>
      </c>
      <c r="AM45" s="159">
        <f t="shared" si="45"/>
        <v>93755.587576386199</v>
      </c>
      <c r="AN45" s="159">
        <f t="shared" si="45"/>
        <v>93755.587576386199</v>
      </c>
      <c r="AO45" s="159">
        <f t="shared" si="45"/>
        <v>93755.587576386199</v>
      </c>
      <c r="AP45" s="326">
        <f t="shared" si="3"/>
        <v>1125067.0509166343</v>
      </c>
      <c r="AR45" s="159">
        <f>AO45*1.07</f>
        <v>100318.47870673324</v>
      </c>
      <c r="AS45" s="159">
        <f t="shared" si="44"/>
        <v>100318.47870673324</v>
      </c>
      <c r="AT45" s="159">
        <f t="shared" si="44"/>
        <v>100318.47870673324</v>
      </c>
      <c r="AU45" s="159">
        <f t="shared" si="44"/>
        <v>100318.47870673324</v>
      </c>
      <c r="AV45" s="159">
        <f t="shared" si="44"/>
        <v>100318.47870673324</v>
      </c>
      <c r="AW45" s="159">
        <f t="shared" si="44"/>
        <v>100318.47870673324</v>
      </c>
      <c r="AX45" s="159">
        <f t="shared" si="44"/>
        <v>100318.47870673324</v>
      </c>
      <c r="AY45" s="159">
        <f t="shared" si="44"/>
        <v>100318.47870673324</v>
      </c>
      <c r="AZ45" s="159">
        <f t="shared" si="44"/>
        <v>100318.47870673324</v>
      </c>
      <c r="BA45" s="159">
        <f t="shared" si="44"/>
        <v>100318.47870673324</v>
      </c>
      <c r="BB45" s="159">
        <f t="shared" si="44"/>
        <v>100318.47870673324</v>
      </c>
      <c r="BC45" s="159">
        <f t="shared" si="44"/>
        <v>100318.47870673324</v>
      </c>
      <c r="BD45" s="326">
        <f t="shared" si="5"/>
        <v>1203821.7444807987</v>
      </c>
      <c r="BE45" s="326">
        <f t="shared" si="42"/>
        <v>1288089.2665944546</v>
      </c>
      <c r="BF45" s="326">
        <f t="shared" si="42"/>
        <v>1378255.5152560666</v>
      </c>
    </row>
    <row r="46" spans="2:59" x14ac:dyDescent="0.35">
      <c r="B46" s="29" t="s">
        <v>909</v>
      </c>
      <c r="P46" s="319">
        <v>0</v>
      </c>
      <c r="Q46" s="319">
        <v>114374.86</v>
      </c>
      <c r="R46" s="319">
        <v>137949.88</v>
      </c>
      <c r="S46" s="319">
        <v>141275.22</v>
      </c>
      <c r="T46" s="319">
        <v>148836.00999999899</v>
      </c>
      <c r="U46" s="319">
        <v>178275.37</v>
      </c>
      <c r="V46" s="319">
        <v>125448.78</v>
      </c>
      <c r="W46" s="159">
        <f>130519.684320294+'Subtotal Nom_Enero'!$E4</f>
        <v>321525.22031058057</v>
      </c>
      <c r="X46" s="159">
        <f>130519.684320294+'Subtotal Nom_Enero'!$E4</f>
        <v>321525.22031058057</v>
      </c>
      <c r="Y46" s="159">
        <f>130519.684320294+'Subtotal Nom_Enero'!$E4</f>
        <v>321525.22031058057</v>
      </c>
      <c r="Z46" s="159">
        <f>130519.684320294+'Subtotal Nom_Enero'!$E4</f>
        <v>321525.22031058057</v>
      </c>
      <c r="AA46" s="159">
        <f>130519.684320294+'Subtotal Nom_Enero'!$E4</f>
        <v>321525.22031058057</v>
      </c>
      <c r="AB46" s="326">
        <f t="shared" si="2"/>
        <v>2453786.2215529014</v>
      </c>
      <c r="AD46" s="159">
        <f>AA46*1.07</f>
        <v>344031.98573232122</v>
      </c>
      <c r="AE46" s="159">
        <f>AD46</f>
        <v>344031.98573232122</v>
      </c>
      <c r="AF46" s="159">
        <f t="shared" ref="AF46:AO46" si="46">AE46</f>
        <v>344031.98573232122</v>
      </c>
      <c r="AG46" s="159">
        <f t="shared" si="46"/>
        <v>344031.98573232122</v>
      </c>
      <c r="AH46" s="159">
        <f t="shared" si="46"/>
        <v>344031.98573232122</v>
      </c>
      <c r="AI46" s="159">
        <f t="shared" si="46"/>
        <v>344031.98573232122</v>
      </c>
      <c r="AJ46" s="159">
        <f t="shared" si="46"/>
        <v>344031.98573232122</v>
      </c>
      <c r="AK46" s="159">
        <f t="shared" si="46"/>
        <v>344031.98573232122</v>
      </c>
      <c r="AL46" s="159">
        <f t="shared" si="46"/>
        <v>344031.98573232122</v>
      </c>
      <c r="AM46" s="159">
        <f t="shared" si="46"/>
        <v>344031.98573232122</v>
      </c>
      <c r="AN46" s="159">
        <f t="shared" si="46"/>
        <v>344031.98573232122</v>
      </c>
      <c r="AO46" s="159">
        <f t="shared" si="46"/>
        <v>344031.98573232122</v>
      </c>
      <c r="AP46" s="326">
        <f t="shared" si="3"/>
        <v>4128383.8287878544</v>
      </c>
      <c r="AR46" s="159">
        <f>AO46*1.07</f>
        <v>368114.22473358375</v>
      </c>
      <c r="AS46" s="159">
        <f t="shared" si="44"/>
        <v>368114.22473358375</v>
      </c>
      <c r="AT46" s="159">
        <f t="shared" si="44"/>
        <v>368114.22473358375</v>
      </c>
      <c r="AU46" s="159">
        <f t="shared" si="44"/>
        <v>368114.22473358375</v>
      </c>
      <c r="AV46" s="159">
        <f t="shared" si="44"/>
        <v>368114.22473358375</v>
      </c>
      <c r="AW46" s="159">
        <f t="shared" si="44"/>
        <v>368114.22473358375</v>
      </c>
      <c r="AX46" s="159">
        <f t="shared" si="44"/>
        <v>368114.22473358375</v>
      </c>
      <c r="AY46" s="159">
        <f t="shared" si="44"/>
        <v>368114.22473358375</v>
      </c>
      <c r="AZ46" s="159">
        <f t="shared" si="44"/>
        <v>368114.22473358375</v>
      </c>
      <c r="BA46" s="159">
        <f t="shared" si="44"/>
        <v>368114.22473358375</v>
      </c>
      <c r="BB46" s="159">
        <f t="shared" si="44"/>
        <v>368114.22473358375</v>
      </c>
      <c r="BC46" s="159">
        <f t="shared" si="44"/>
        <v>368114.22473358375</v>
      </c>
      <c r="BD46" s="326">
        <f t="shared" si="5"/>
        <v>4417370.6968030045</v>
      </c>
      <c r="BE46" s="326">
        <f t="shared" si="42"/>
        <v>4726586.6455792151</v>
      </c>
      <c r="BF46" s="326">
        <f t="shared" si="42"/>
        <v>5057447.7107697604</v>
      </c>
    </row>
    <row r="47" spans="2:59" x14ac:dyDescent="0.35">
      <c r="B47" s="29" t="s">
        <v>21</v>
      </c>
      <c r="P47" s="319">
        <v>573424.24</v>
      </c>
      <c r="Q47" s="319">
        <v>617838.75</v>
      </c>
      <c r="R47" s="319">
        <v>637815.98</v>
      </c>
      <c r="S47" s="319">
        <v>741184.13999999897</v>
      </c>
      <c r="T47" s="319">
        <v>693351.93999999901</v>
      </c>
      <c r="U47" s="319">
        <v>725965.01</v>
      </c>
      <c r="V47" s="319">
        <v>1009478.98</v>
      </c>
      <c r="W47" s="159">
        <v>468529.30470539199</v>
      </c>
      <c r="X47" s="159">
        <v>468529.30470539199</v>
      </c>
      <c r="Y47" s="159">
        <v>468529.30470539199</v>
      </c>
      <c r="Z47" s="159">
        <v>468529.30470539199</v>
      </c>
      <c r="AA47" s="159">
        <v>468529.30470539199</v>
      </c>
      <c r="AB47" s="326">
        <f t="shared" si="2"/>
        <v>7341705.5635269554</v>
      </c>
      <c r="AD47" s="159">
        <f>AA47*1.07</f>
        <v>501326.35603476944</v>
      </c>
      <c r="AE47" s="159">
        <f>AD47</f>
        <v>501326.35603476944</v>
      </c>
      <c r="AF47" s="159">
        <f t="shared" ref="AF47:AO47" si="47">AE47</f>
        <v>501326.35603476944</v>
      </c>
      <c r="AG47" s="159">
        <f t="shared" si="47"/>
        <v>501326.35603476944</v>
      </c>
      <c r="AH47" s="159">
        <f t="shared" si="47"/>
        <v>501326.35603476944</v>
      </c>
      <c r="AI47" s="159">
        <f t="shared" si="47"/>
        <v>501326.35603476944</v>
      </c>
      <c r="AJ47" s="159">
        <f t="shared" si="47"/>
        <v>501326.35603476944</v>
      </c>
      <c r="AK47" s="159">
        <f t="shared" si="47"/>
        <v>501326.35603476944</v>
      </c>
      <c r="AL47" s="159">
        <f t="shared" si="47"/>
        <v>501326.35603476944</v>
      </c>
      <c r="AM47" s="159">
        <f t="shared" si="47"/>
        <v>501326.35603476944</v>
      </c>
      <c r="AN47" s="159">
        <f t="shared" si="47"/>
        <v>501326.35603476944</v>
      </c>
      <c r="AO47" s="159">
        <f t="shared" si="47"/>
        <v>501326.35603476944</v>
      </c>
      <c r="AP47" s="326">
        <f t="shared" si="3"/>
        <v>6015916.2724172352</v>
      </c>
      <c r="AR47" s="159">
        <f>AO47*1.07</f>
        <v>536419.20095720328</v>
      </c>
      <c r="AS47" s="159">
        <f t="shared" si="44"/>
        <v>536419.20095720328</v>
      </c>
      <c r="AT47" s="159">
        <f t="shared" si="44"/>
        <v>536419.20095720328</v>
      </c>
      <c r="AU47" s="159">
        <f t="shared" si="44"/>
        <v>536419.20095720328</v>
      </c>
      <c r="AV47" s="159">
        <f t="shared" si="44"/>
        <v>536419.20095720328</v>
      </c>
      <c r="AW47" s="159">
        <f t="shared" si="44"/>
        <v>536419.20095720328</v>
      </c>
      <c r="AX47" s="159">
        <f t="shared" si="44"/>
        <v>536419.20095720328</v>
      </c>
      <c r="AY47" s="159">
        <f t="shared" si="44"/>
        <v>536419.20095720328</v>
      </c>
      <c r="AZ47" s="159">
        <f t="shared" si="44"/>
        <v>536419.20095720328</v>
      </c>
      <c r="BA47" s="159">
        <f t="shared" si="44"/>
        <v>536419.20095720328</v>
      </c>
      <c r="BB47" s="159">
        <f t="shared" si="44"/>
        <v>536419.20095720328</v>
      </c>
      <c r="BC47" s="159">
        <f t="shared" si="44"/>
        <v>536419.20095720328</v>
      </c>
      <c r="BD47" s="326">
        <f t="shared" si="5"/>
        <v>6437030.4114864394</v>
      </c>
      <c r="BE47" s="326">
        <f t="shared" si="42"/>
        <v>6887622.5402904907</v>
      </c>
      <c r="BF47" s="326">
        <f t="shared" si="42"/>
        <v>7369756.1181108253</v>
      </c>
    </row>
    <row r="48" spans="2:59" x14ac:dyDescent="0.35">
      <c r="B48" s="29" t="s">
        <v>23</v>
      </c>
      <c r="P48" s="319">
        <v>219729.139999999</v>
      </c>
      <c r="Q48" s="319">
        <v>127931.18</v>
      </c>
      <c r="R48" s="319">
        <v>488164.32</v>
      </c>
      <c r="S48" s="319">
        <v>470080.06</v>
      </c>
      <c r="T48" s="319">
        <v>482232.72</v>
      </c>
      <c r="U48" s="319">
        <v>224881</v>
      </c>
      <c r="V48" s="319">
        <v>908978.40999999898</v>
      </c>
      <c r="W48" s="159">
        <f ca="1">OFFSET(INDEX(BIOMIRAL_PVT_LBL[], MATCH("TOTAL INC NUEVOS CANALES", BIOMIRAL_PVT_LBL[Column3], 0), MATCH("TMI - TRADE MARKETING INVESTMENT-ENE", 'BIOMIRAL PVT LBL'!2:2, 0)),0,V11)</f>
        <v>547297.73903335398</v>
      </c>
      <c r="X48" s="159">
        <f ca="1">OFFSET(INDEX(BIOMIRAL_PVT_LBL[], MATCH("TOTAL INC NUEVOS CANALES", BIOMIRAL_PVT_LBL[Column3], 0), MATCH("TMI - TRADE MARKETING INVESTMENT-ENE", 'BIOMIRAL PVT LBL'!2:2, 0)),0,W11)</f>
        <v>503181.55512450478</v>
      </c>
      <c r="Y48" s="159">
        <f ca="1">OFFSET(INDEX(BIOMIRAL_PVT_LBL[], MATCH("TOTAL INC NUEVOS CANALES", BIOMIRAL_PVT_LBL[Column3], 0), MATCH("TMI - TRADE MARKETING INVESTMENT-ENE", 'BIOMIRAL PVT LBL'!2:2, 0)),0,X11)</f>
        <v>614386.9062370148</v>
      </c>
      <c r="Z48" s="159">
        <f ca="1">OFFSET(INDEX(BIOMIRAL_PVT_LBL[], MATCH("TOTAL INC NUEVOS CANALES", BIOMIRAL_PVT_LBL[Column3], 0), MATCH("TMI - TRADE MARKETING INVESTMENT-ENE", 'BIOMIRAL PVT LBL'!2:2, 0)),0,Y11)</f>
        <v>578804.63150554616</v>
      </c>
      <c r="AA48" s="159">
        <f ca="1">OFFSET(INDEX(BIOMIRAL_PVT_LBL[], MATCH("TOTAL INC NUEVOS CANALES", BIOMIRAL_PVT_LBL[Column3], 0), MATCH("TMI - TRADE MARKETING INVESTMENT-ENE", 'BIOMIRAL PVT LBL'!2:2, 0)),0,Z11)</f>
        <v>657419.38541761541</v>
      </c>
      <c r="AB48" s="326">
        <f t="shared" ca="1" si="2"/>
        <v>5823087.0473180329</v>
      </c>
      <c r="AD48" s="159">
        <f>ASSUMPTIONS!$C$31*(AD17+AD16)</f>
        <v>566314.84687500005</v>
      </c>
      <c r="AE48" s="159">
        <f>ASSUMPTIONS!$C$31*(AE17+AE16)</f>
        <v>513477.33375000005</v>
      </c>
      <c r="AF48" s="159">
        <f>ASSUMPTIONS!$C$31*(AF17+AF16)</f>
        <v>484076.12999999936</v>
      </c>
      <c r="AG48" s="159">
        <f>ASSUMPTIONS!$C$31*(AG17+AG16)</f>
        <v>306405.70187500003</v>
      </c>
      <c r="AH48" s="159">
        <f>ASSUMPTIONS!$C$31*(AH17+AH16)</f>
        <v>588840.7818749994</v>
      </c>
      <c r="AI48" s="159">
        <f>ASSUMPTIONS!$C$31*(AI17+AI16)</f>
        <v>576141.11187499936</v>
      </c>
      <c r="AJ48" s="159">
        <f>ASSUMPTIONS!$C$31*(AJ17+AJ16)</f>
        <v>508404.55124999996</v>
      </c>
      <c r="AK48" s="159">
        <f ca="1">ASSUMPTIONS!$C$31*(AK17+AK16)</f>
        <v>583008.62731750985</v>
      </c>
      <c r="AL48" s="159">
        <f ca="1">ASSUMPTIONS!$C$31*(AL17+AL16)</f>
        <v>543227.91892763681</v>
      </c>
      <c r="AM48" s="159">
        <f ca="1">ASSUMPTIONS!$C$31*(AM17+AM16)</f>
        <v>645076.94050507329</v>
      </c>
      <c r="AN48" s="159">
        <f ca="1">ASSUMPTIONS!$C$31*(AN17+AN16)</f>
        <v>615806.11201274151</v>
      </c>
      <c r="AO48" s="159">
        <f>ASSUMPTIONS!$C$31*(AO17+AO16)</f>
        <v>601936.36201274151</v>
      </c>
      <c r="AP48" s="326">
        <f t="shared" ca="1" si="3"/>
        <v>6532716.4182757009</v>
      </c>
      <c r="AR48" s="159">
        <f>ASSUMPTIONS!$C$31*(AR17+AR16)</f>
        <v>736209.30093750008</v>
      </c>
      <c r="AS48" s="159">
        <f>ASSUMPTIONS!$C$31*(AS17+AS16)</f>
        <v>667520.5338750002</v>
      </c>
      <c r="AT48" s="159">
        <f>ASSUMPTIONS!$C$31*(AT17+AT16)</f>
        <v>629298.96899999911</v>
      </c>
      <c r="AU48" s="159">
        <f>ASSUMPTIONS!$C$31*(AU17+AU16)</f>
        <v>398327.41243750008</v>
      </c>
      <c r="AV48" s="159">
        <f>ASSUMPTIONS!$C$31*(AV17+AV16)</f>
        <v>763202.79365624918</v>
      </c>
      <c r="AW48" s="159">
        <f>ASSUMPTIONS!$C$31*(AW17+AW16)</f>
        <v>746318.56837499922</v>
      </c>
      <c r="AX48" s="159">
        <f>ASSUMPTIONS!$C$31*(AX17+AX16)</f>
        <v>657225.13650000002</v>
      </c>
      <c r="AY48" s="159">
        <f ca="1">ASSUMPTIONS!$C$31*(AY17+AY16)</f>
        <v>753044.15613776282</v>
      </c>
      <c r="AZ48" s="159">
        <f ca="1">ASSUMPTIONS!$C$31*(AZ17+AZ16)</f>
        <v>702060.67585592798</v>
      </c>
      <c r="BA48" s="159">
        <f ca="1">ASSUMPTIONS!$C$31*(BA17+BA16)</f>
        <v>833982.38515659526</v>
      </c>
      <c r="BB48" s="159">
        <f ca="1">ASSUMPTIONS!$C$31*(BB17+BB16)</f>
        <v>795097.52999156388</v>
      </c>
      <c r="BC48" s="159">
        <f>ASSUMPTIONS!$C$31*(BC17+BC16)</f>
        <v>777760.34249156388</v>
      </c>
      <c r="BD48" s="326">
        <f t="shared" ca="1" si="5"/>
        <v>8460047.8044146616</v>
      </c>
      <c r="BE48" s="326">
        <f ca="1">ASSUMPTIONS!$C$31*(BE17+BE16)</f>
        <v>10534455.331338638</v>
      </c>
      <c r="BF48" s="326">
        <f ca="1">ASSUMPTIONS!$C$31*(BF17+BF16)</f>
        <v>13119343.855157673</v>
      </c>
    </row>
    <row r="49" spans="2:59" x14ac:dyDescent="0.35">
      <c r="B49" s="29" t="s">
        <v>24</v>
      </c>
      <c r="P49" s="319">
        <v>367779.02</v>
      </c>
      <c r="Q49" s="319">
        <v>559363.51</v>
      </c>
      <c r="R49" s="319">
        <v>494981.97</v>
      </c>
      <c r="S49" s="319">
        <v>507835.15999999898</v>
      </c>
      <c r="T49" s="319">
        <v>802292.79</v>
      </c>
      <c r="U49" s="319">
        <v>779976.06</v>
      </c>
      <c r="V49" s="319">
        <v>434504.82</v>
      </c>
      <c r="W49" s="159">
        <f ca="1">ASSUMPTIONS!$C$31*(W16+W17)</f>
        <v>466406.90185400791</v>
      </c>
      <c r="X49" s="159">
        <f ca="1">ASSUMPTIONS!$C$31*(X16+X17)</f>
        <v>434582.33514210948</v>
      </c>
      <c r="Y49" s="159">
        <f ca="1">ASSUMPTIONS!$C$31*(Y16+Y17)</f>
        <v>516061.55240405857</v>
      </c>
      <c r="Z49" s="159">
        <f ca="1">ASSUMPTIONS!$C$31*(Z16+Z17)</f>
        <v>492644.88961019315</v>
      </c>
      <c r="AA49" s="159">
        <f>ASSUMPTIONS!$C$31*(AA16+AA17)</f>
        <v>481549.08961019316</v>
      </c>
      <c r="AB49" s="326">
        <f t="shared" ca="1" si="2"/>
        <v>6337978.09862056</v>
      </c>
      <c r="AD49" s="159">
        <f>ASSUMPTIONS!$C$32*(AD16+AD17)</f>
        <v>679577.81625000003</v>
      </c>
      <c r="AE49" s="159">
        <f>ASSUMPTIONS!$C$32*(AE16+AE17)</f>
        <v>616172.80050000001</v>
      </c>
      <c r="AF49" s="159">
        <f>ASSUMPTIONS!$C$32*(AF16+AF17)</f>
        <v>580891.35599999921</v>
      </c>
      <c r="AG49" s="159">
        <f>ASSUMPTIONS!$C$32*(AG16+AG17)</f>
        <v>367686.84225000005</v>
      </c>
      <c r="AH49" s="159">
        <f>ASSUMPTIONS!$C$32*(AH16+AH17)</f>
        <v>706608.93824999931</v>
      </c>
      <c r="AI49" s="159">
        <f>ASSUMPTIONS!$C$32*(AI16+AI17)</f>
        <v>691369.33424999914</v>
      </c>
      <c r="AJ49" s="159">
        <f>ASSUMPTIONS!$C$32*(AJ16+AJ17)</f>
        <v>610085.46149999986</v>
      </c>
      <c r="AK49" s="159">
        <f ca="1">ASSUMPTIONS!$C$32*(AK16+AK17)</f>
        <v>699610.35278101172</v>
      </c>
      <c r="AL49" s="159">
        <f ca="1">ASSUMPTIONS!$C$32*(AL16+AL17)</f>
        <v>651873.5027131642</v>
      </c>
      <c r="AM49" s="159">
        <f ca="1">ASSUMPTIONS!$C$32*(AM16+AM17)</f>
        <v>774092.32860608783</v>
      </c>
      <c r="AN49" s="159">
        <f ca="1">ASSUMPTIONS!$C$32*(AN16+AN17)</f>
        <v>738967.33441528969</v>
      </c>
      <c r="AO49" s="159">
        <f>ASSUMPTIONS!$C$32*(AO16+AO17)</f>
        <v>722323.63441528974</v>
      </c>
      <c r="AP49" s="326">
        <f t="shared" ca="1" si="3"/>
        <v>7839259.7019308405</v>
      </c>
      <c r="AR49" s="159">
        <f>ASSUMPTIONS!$C$32*(AR16+AR17)</f>
        <v>883451.16112499998</v>
      </c>
      <c r="AS49" s="159">
        <f>ASSUMPTIONS!$C$32*(AS16+AS17)</f>
        <v>801024.64065000007</v>
      </c>
      <c r="AT49" s="159">
        <f>ASSUMPTIONS!$C$32*(AT16+AT17)</f>
        <v>755158.76279999886</v>
      </c>
      <c r="AU49" s="159">
        <f>ASSUMPTIONS!$C$32*(AU16+AU17)</f>
        <v>477992.89492500003</v>
      </c>
      <c r="AV49" s="159">
        <f>ASSUMPTIONS!$C$32*(AV16+AV17)</f>
        <v>915843.35238749895</v>
      </c>
      <c r="AW49" s="159">
        <f>ASSUMPTIONS!$C$32*(AW16+AW17)</f>
        <v>895582.28204999899</v>
      </c>
      <c r="AX49" s="159">
        <f>ASSUMPTIONS!$C$32*(AX16+AX17)</f>
        <v>788670.16379999998</v>
      </c>
      <c r="AY49" s="159">
        <f ca="1">ASSUMPTIONS!$C$32*(AY16+AY17)</f>
        <v>903652.98736531532</v>
      </c>
      <c r="AZ49" s="159">
        <f ca="1">ASSUMPTIONS!$C$32*(AZ16+AZ17)</f>
        <v>842472.81102711346</v>
      </c>
      <c r="BA49" s="159">
        <f ca="1">ASSUMPTIONS!$C$32*(BA16+BA17)</f>
        <v>1000778.8621879142</v>
      </c>
      <c r="BB49" s="159">
        <f ca="1">ASSUMPTIONS!$C$32*(BB16+BB17)</f>
        <v>954117.0359898766</v>
      </c>
      <c r="BC49" s="159">
        <f>ASSUMPTIONS!$C$32*(BC16+BC17)</f>
        <v>933312.4109898766</v>
      </c>
      <c r="BD49" s="326">
        <f t="shared" ca="1" si="5"/>
        <v>10152057.365297593</v>
      </c>
      <c r="BE49" s="326">
        <f ca="1">ASSUMPTIONS!$C$32*(BE16+BE17)</f>
        <v>12641346.397606365</v>
      </c>
      <c r="BF49" s="326">
        <f ca="1">ASSUMPTIONS!$C$32*(BF16+BF17)</f>
        <v>15743212.626189208</v>
      </c>
    </row>
    <row r="50" spans="2:59" x14ac:dyDescent="0.35">
      <c r="B50" s="29" t="s">
        <v>996</v>
      </c>
      <c r="P50" s="319">
        <v>51.709999999999901</v>
      </c>
      <c r="Q50" s="319">
        <v>9668.9</v>
      </c>
      <c r="R50" s="319">
        <v>9311.94</v>
      </c>
      <c r="S50" s="319">
        <v>25446.080000000002</v>
      </c>
      <c r="T50" s="319">
        <v>140999.14000000001</v>
      </c>
      <c r="U50" s="319">
        <v>42612.35</v>
      </c>
      <c r="V50" s="319">
        <v>62727.449999999903</v>
      </c>
      <c r="W50" s="159">
        <f>Gastos!AA49</f>
        <v>25000</v>
      </c>
      <c r="X50" s="159">
        <f>Gastos!AB49</f>
        <v>25000</v>
      </c>
      <c r="Y50" s="159">
        <f>Gastos!AC49</f>
        <v>25000</v>
      </c>
      <c r="Z50" s="159">
        <f>Gastos!AD49</f>
        <v>25000</v>
      </c>
      <c r="AA50" s="159">
        <f>Gastos!AE49</f>
        <v>25000</v>
      </c>
      <c r="AB50" s="326">
        <f t="shared" si="2"/>
        <v>415817.56999999995</v>
      </c>
      <c r="AD50" s="159">
        <f>Gastos!AG49</f>
        <v>50000</v>
      </c>
      <c r="AE50" s="159">
        <f>Gastos!AH49</f>
        <v>50000</v>
      </c>
      <c r="AF50" s="159">
        <f>Gastos!AI49</f>
        <v>50000</v>
      </c>
      <c r="AG50" s="159">
        <f>Gastos!AJ49</f>
        <v>50000</v>
      </c>
      <c r="AH50" s="159">
        <f>Gastos!AK49</f>
        <v>50000</v>
      </c>
      <c r="AI50" s="159">
        <f>Gastos!AL49</f>
        <v>50000</v>
      </c>
      <c r="AJ50" s="159">
        <f>Gastos!AM49</f>
        <v>50000</v>
      </c>
      <c r="AK50" s="159">
        <f>Gastos!AN49</f>
        <v>50000</v>
      </c>
      <c r="AL50" s="159">
        <f>Gastos!AO49</f>
        <v>50000</v>
      </c>
      <c r="AM50" s="159">
        <f>Gastos!AP49</f>
        <v>50000</v>
      </c>
      <c r="AN50" s="159">
        <f>Gastos!AQ49</f>
        <v>50000</v>
      </c>
      <c r="AO50" s="159">
        <f>Gastos!AR49</f>
        <v>50000</v>
      </c>
      <c r="AP50" s="326">
        <f t="shared" si="3"/>
        <v>600000</v>
      </c>
      <c r="AR50" s="159">
        <f>Gastos!AT49</f>
        <v>75000</v>
      </c>
      <c r="AS50" s="159">
        <f>Gastos!AU49</f>
        <v>75000</v>
      </c>
      <c r="AT50" s="159">
        <f>Gastos!AV49</f>
        <v>75000</v>
      </c>
      <c r="AU50" s="159">
        <f>Gastos!AW49</f>
        <v>75000</v>
      </c>
      <c r="AV50" s="159">
        <f>Gastos!AX49</f>
        <v>75000</v>
      </c>
      <c r="AW50" s="159">
        <f>Gastos!AY49</f>
        <v>75000</v>
      </c>
      <c r="AX50" s="159">
        <f>Gastos!AZ49</f>
        <v>75000</v>
      </c>
      <c r="AY50" s="159">
        <f>Gastos!BA49</f>
        <v>75000</v>
      </c>
      <c r="AZ50" s="159">
        <f>Gastos!BB49</f>
        <v>75000</v>
      </c>
      <c r="BA50" s="159">
        <f>Gastos!BC49</f>
        <v>75000</v>
      </c>
      <c r="BB50" s="159">
        <f>Gastos!BD49</f>
        <v>75000</v>
      </c>
      <c r="BC50" s="159">
        <f>Gastos!BE49</f>
        <v>75000</v>
      </c>
      <c r="BD50" s="326">
        <f t="shared" si="5"/>
        <v>900000</v>
      </c>
      <c r="BE50" s="326">
        <f>BD50*1.1</f>
        <v>990000.00000000012</v>
      </c>
      <c r="BF50" s="326">
        <f>BE50*1.1</f>
        <v>1089000.0000000002</v>
      </c>
    </row>
    <row r="51" spans="2:59" x14ac:dyDescent="0.35">
      <c r="B51" s="29" t="s">
        <v>25</v>
      </c>
      <c r="P51" s="319">
        <v>253774.22</v>
      </c>
      <c r="Q51" s="319">
        <v>227874.519999999</v>
      </c>
      <c r="R51" s="319">
        <v>213692.44999999899</v>
      </c>
      <c r="S51" s="319">
        <v>252577.27999999901</v>
      </c>
      <c r="T51" s="319">
        <v>213980.05999999901</v>
      </c>
      <c r="U51" s="319">
        <v>254145.769999999</v>
      </c>
      <c r="V51" s="319">
        <v>349520.37999999902</v>
      </c>
      <c r="W51" s="159">
        <f>224607.710972195+70000</f>
        <v>294607.71097219503</v>
      </c>
      <c r="X51" s="159">
        <f>224607.710972195+70000</f>
        <v>294607.71097219503</v>
      </c>
      <c r="Y51" s="159">
        <f>224607.710972195+70000</f>
        <v>294607.71097219503</v>
      </c>
      <c r="Z51" s="159">
        <f>224607.710972195+70000</f>
        <v>294607.71097219503</v>
      </c>
      <c r="AA51" s="159">
        <f>224607.710972195+70000</f>
        <v>294607.71097219503</v>
      </c>
      <c r="AB51" s="326">
        <f t="shared" si="2"/>
        <v>3238603.2348609692</v>
      </c>
      <c r="AD51" s="159">
        <f>AA51*1.07</f>
        <v>315230.25074024871</v>
      </c>
      <c r="AE51" s="159">
        <f>AD51</f>
        <v>315230.25074024871</v>
      </c>
      <c r="AF51" s="159">
        <f t="shared" ref="AF51:AO51" si="48">AE51</f>
        <v>315230.25074024871</v>
      </c>
      <c r="AG51" s="159">
        <f t="shared" si="48"/>
        <v>315230.25074024871</v>
      </c>
      <c r="AH51" s="159">
        <f t="shared" si="48"/>
        <v>315230.25074024871</v>
      </c>
      <c r="AI51" s="159">
        <f t="shared" si="48"/>
        <v>315230.25074024871</v>
      </c>
      <c r="AJ51" s="159">
        <f t="shared" si="48"/>
        <v>315230.25074024871</v>
      </c>
      <c r="AK51" s="159">
        <f t="shared" si="48"/>
        <v>315230.25074024871</v>
      </c>
      <c r="AL51" s="159">
        <f t="shared" si="48"/>
        <v>315230.25074024871</v>
      </c>
      <c r="AM51" s="159">
        <f t="shared" si="48"/>
        <v>315230.25074024871</v>
      </c>
      <c r="AN51" s="159">
        <f t="shared" si="48"/>
        <v>315230.25074024871</v>
      </c>
      <c r="AO51" s="159">
        <f t="shared" si="48"/>
        <v>315230.25074024871</v>
      </c>
      <c r="AP51" s="326">
        <f t="shared" si="3"/>
        <v>3782763.0088829845</v>
      </c>
      <c r="AR51" s="159">
        <f>AO51*1.07</f>
        <v>337296.36829206615</v>
      </c>
      <c r="AS51" s="159">
        <f t="shared" ref="AS51:BC51" si="49">AR51</f>
        <v>337296.36829206615</v>
      </c>
      <c r="AT51" s="159">
        <f t="shared" si="49"/>
        <v>337296.36829206615</v>
      </c>
      <c r="AU51" s="159">
        <f t="shared" si="49"/>
        <v>337296.36829206615</v>
      </c>
      <c r="AV51" s="159">
        <f t="shared" si="49"/>
        <v>337296.36829206615</v>
      </c>
      <c r="AW51" s="159">
        <f t="shared" si="49"/>
        <v>337296.36829206615</v>
      </c>
      <c r="AX51" s="159">
        <f t="shared" si="49"/>
        <v>337296.36829206615</v>
      </c>
      <c r="AY51" s="159">
        <f t="shared" si="49"/>
        <v>337296.36829206615</v>
      </c>
      <c r="AZ51" s="159">
        <f t="shared" si="49"/>
        <v>337296.36829206615</v>
      </c>
      <c r="BA51" s="159">
        <f t="shared" si="49"/>
        <v>337296.36829206615</v>
      </c>
      <c r="BB51" s="159">
        <f t="shared" si="49"/>
        <v>337296.36829206615</v>
      </c>
      <c r="BC51" s="159">
        <f t="shared" si="49"/>
        <v>337296.36829206615</v>
      </c>
      <c r="BD51" s="326">
        <f t="shared" si="5"/>
        <v>4047556.4195047948</v>
      </c>
      <c r="BE51" s="326">
        <f t="shared" ref="BE51:BF51" si="50">BD51*1.07</f>
        <v>4330885.3688701307</v>
      </c>
      <c r="BF51" s="326">
        <f t="shared" si="50"/>
        <v>4634047.34469104</v>
      </c>
    </row>
    <row r="52" spans="2:59" x14ac:dyDescent="0.35">
      <c r="B52" s="29" t="s">
        <v>40</v>
      </c>
      <c r="P52" s="319">
        <v>2905</v>
      </c>
      <c r="Q52" s="319">
        <v>20754.009999999998</v>
      </c>
      <c r="R52" s="319">
        <v>24463.53</v>
      </c>
      <c r="S52" s="319">
        <v>25600</v>
      </c>
      <c r="T52" s="319">
        <v>58424.289999999899</v>
      </c>
      <c r="U52" s="319">
        <v>61787.45</v>
      </c>
      <c r="V52" s="319">
        <v>19081</v>
      </c>
      <c r="W52" s="159">
        <f ca="1">W$18*ASSUMPTIONS!$C34</f>
        <v>127358.25218540078</v>
      </c>
      <c r="X52" s="159">
        <f ca="1">X$18*ASSUMPTIONS!$C34</f>
        <v>114442.75151421095</v>
      </c>
      <c r="Y52" s="159">
        <f ca="1">Y$18*ASSUMPTIONS!$C34</f>
        <v>113123.92919040585</v>
      </c>
      <c r="Z52" s="159">
        <f ca="1">Z$18*ASSUMPTIONS!$C34</f>
        <v>101227.19246101931</v>
      </c>
      <c r="AA52" s="159">
        <f>AA$18*ASSUMPTIONS!$C34</f>
        <v>108962.16991101931</v>
      </c>
      <c r="AB52" s="326">
        <f t="shared" ca="1" si="2"/>
        <v>778129.57526205608</v>
      </c>
      <c r="AD52" s="159">
        <f>AD$18*ASSUMPTIONS!$C34</f>
        <v>117113.3634375</v>
      </c>
      <c r="AE52" s="159">
        <f>AE$18*ASSUMPTIONS!$C34</f>
        <v>102765.25137499993</v>
      </c>
      <c r="AF52" s="159">
        <f>AF$18*ASSUMPTIONS!$C34</f>
        <v>81887.113874999937</v>
      </c>
      <c r="AG52" s="159">
        <f>AG$18*ASSUMPTIONS!$C34</f>
        <v>112113.76362500001</v>
      </c>
      <c r="AH52" s="159">
        <f>AH$18*ASSUMPTIONS!$C34</f>
        <v>132013.29706249994</v>
      </c>
      <c r="AI52" s="159">
        <f>AI$18*ASSUMPTIONS!$C34</f>
        <v>111898.78581249993</v>
      </c>
      <c r="AJ52" s="159">
        <f>AJ$18*ASSUMPTIONS!$C34</f>
        <v>147796.6691875</v>
      </c>
      <c r="AK52" s="159">
        <f ca="1">AK$18*ASSUMPTIONS!$C34</f>
        <v>159197.81523175098</v>
      </c>
      <c r="AL52" s="159">
        <f ca="1">AL$18*ASSUMPTIONS!$C34</f>
        <v>143053.43939276368</v>
      </c>
      <c r="AM52" s="159">
        <f ca="1">AM$18*ASSUMPTIONS!$C34</f>
        <v>141404.91148800732</v>
      </c>
      <c r="AN52" s="159">
        <f ca="1">AN$18*ASSUMPTIONS!$C34</f>
        <v>126533.99057627414</v>
      </c>
      <c r="AO52" s="159">
        <f>AO$18*ASSUMPTIONS!$C34</f>
        <v>136202.71238877412</v>
      </c>
      <c r="AP52" s="326">
        <f t="shared" ca="1" si="3"/>
        <v>1511981.11345257</v>
      </c>
      <c r="AR52" s="159">
        <f>AR$18*ASSUMPTIONS!$C34</f>
        <v>146199.18459375002</v>
      </c>
      <c r="AS52" s="159">
        <f>AS$18*ASSUMPTIONS!$C34</f>
        <v>128453.07498749995</v>
      </c>
      <c r="AT52" s="159">
        <f>AT$18*ASSUMPTIONS!$C34</f>
        <v>103105.29794999991</v>
      </c>
      <c r="AU52" s="159">
        <f>AU$18*ASSUMPTIONS!$C34</f>
        <v>137600.57336875002</v>
      </c>
      <c r="AV52" s="159">
        <f>AV$18*ASSUMPTIONS!$C34</f>
        <v>164075.34201562492</v>
      </c>
      <c r="AW52" s="159">
        <f>AW$18*ASSUMPTIONS!$C34</f>
        <v>139773.46638749991</v>
      </c>
      <c r="AX52" s="159">
        <f>AX$18*ASSUMPTIONS!$C34</f>
        <v>182069.97052500001</v>
      </c>
      <c r="AY52" s="159">
        <f ca="1">AY$18*ASSUMPTIONS!$C34</f>
        <v>196380.75861377627</v>
      </c>
      <c r="AZ52" s="159">
        <f ca="1">AZ$18*ASSUMPTIONS!$C34</f>
        <v>176682.8445855928</v>
      </c>
      <c r="BA52" s="159">
        <f ca="1">BA$18*ASSUMPTIONS!$C34</f>
        <v>175674.8994406595</v>
      </c>
      <c r="BB52" s="159">
        <f ca="1">BB$18*ASSUMPTIONS!$C34</f>
        <v>157453.80824915637</v>
      </c>
      <c r="BC52" s="159">
        <f>BC$18*ASSUMPTIONS!$C34</f>
        <v>168986.92567415637</v>
      </c>
      <c r="BD52" s="326">
        <f t="shared" ca="1" si="5"/>
        <v>1876456.146391466</v>
      </c>
      <c r="BE52" s="326">
        <f ca="1">BE$18*ASSUMPTIONS!$C34</f>
        <v>2186942.035678864</v>
      </c>
      <c r="BF52" s="326">
        <f ca="1">BF$18*ASSUMPTIONS!$C34</f>
        <v>2558780.5383152678</v>
      </c>
    </row>
    <row r="53" spans="2:59" x14ac:dyDescent="0.35">
      <c r="B53" s="29" t="s">
        <v>26</v>
      </c>
      <c r="P53" s="319">
        <v>567507</v>
      </c>
      <c r="Q53" s="319">
        <v>435800.3</v>
      </c>
      <c r="R53" s="319">
        <v>338511.97</v>
      </c>
      <c r="S53" s="319">
        <v>381355.3</v>
      </c>
      <c r="T53" s="319">
        <v>367277.47</v>
      </c>
      <c r="U53" s="319">
        <v>420721.27999999898</v>
      </c>
      <c r="V53" s="319">
        <v>524248.01</v>
      </c>
      <c r="W53" s="159">
        <v>323102.10727204254</v>
      </c>
      <c r="X53" s="159">
        <v>323102.10727204254</v>
      </c>
      <c r="Y53" s="159">
        <v>323102.10727204254</v>
      </c>
      <c r="Z53" s="159">
        <v>323102.10727204254</v>
      </c>
      <c r="AA53" s="159">
        <v>323102.10727204254</v>
      </c>
      <c r="AB53" s="326">
        <f t="shared" si="2"/>
        <v>4650931.8663602117</v>
      </c>
      <c r="AD53" s="159">
        <f>AA53*1.07</f>
        <v>345719.25478108553</v>
      </c>
      <c r="AE53" s="159">
        <f>AD53</f>
        <v>345719.25478108553</v>
      </c>
      <c r="AF53" s="159">
        <f t="shared" ref="AF53:AO53" si="51">AE53</f>
        <v>345719.25478108553</v>
      </c>
      <c r="AG53" s="159">
        <f t="shared" si="51"/>
        <v>345719.25478108553</v>
      </c>
      <c r="AH53" s="159">
        <f t="shared" si="51"/>
        <v>345719.25478108553</v>
      </c>
      <c r="AI53" s="159">
        <f t="shared" si="51"/>
        <v>345719.25478108553</v>
      </c>
      <c r="AJ53" s="159">
        <f t="shared" si="51"/>
        <v>345719.25478108553</v>
      </c>
      <c r="AK53" s="159">
        <f t="shared" si="51"/>
        <v>345719.25478108553</v>
      </c>
      <c r="AL53" s="159">
        <f t="shared" si="51"/>
        <v>345719.25478108553</v>
      </c>
      <c r="AM53" s="159">
        <f t="shared" si="51"/>
        <v>345719.25478108553</v>
      </c>
      <c r="AN53" s="159">
        <f t="shared" si="51"/>
        <v>345719.25478108553</v>
      </c>
      <c r="AO53" s="159">
        <f t="shared" si="51"/>
        <v>345719.25478108553</v>
      </c>
      <c r="AP53" s="326">
        <f t="shared" si="3"/>
        <v>4148631.0573730264</v>
      </c>
      <c r="AR53" s="159">
        <f>AO53*1.07</f>
        <v>369919.60261576151</v>
      </c>
      <c r="AS53" s="159">
        <f t="shared" ref="AS53:BC53" si="52">AR53</f>
        <v>369919.60261576151</v>
      </c>
      <c r="AT53" s="159">
        <f t="shared" si="52"/>
        <v>369919.60261576151</v>
      </c>
      <c r="AU53" s="159">
        <f t="shared" si="52"/>
        <v>369919.60261576151</v>
      </c>
      <c r="AV53" s="159">
        <f t="shared" si="52"/>
        <v>369919.60261576151</v>
      </c>
      <c r="AW53" s="159">
        <f t="shared" si="52"/>
        <v>369919.60261576151</v>
      </c>
      <c r="AX53" s="159">
        <f t="shared" si="52"/>
        <v>369919.60261576151</v>
      </c>
      <c r="AY53" s="159">
        <f t="shared" si="52"/>
        <v>369919.60261576151</v>
      </c>
      <c r="AZ53" s="159">
        <f t="shared" si="52"/>
        <v>369919.60261576151</v>
      </c>
      <c r="BA53" s="159">
        <f t="shared" si="52"/>
        <v>369919.60261576151</v>
      </c>
      <c r="BB53" s="159">
        <f t="shared" si="52"/>
        <v>369919.60261576151</v>
      </c>
      <c r="BC53" s="159">
        <f t="shared" si="52"/>
        <v>369919.60261576151</v>
      </c>
      <c r="BD53" s="326">
        <f t="shared" si="5"/>
        <v>4439035.2313891379</v>
      </c>
      <c r="BE53" s="326">
        <f t="shared" ref="BE53:BF54" si="53">BD53*1.07</f>
        <v>4749767.6975863781</v>
      </c>
      <c r="BF53" s="326">
        <f t="shared" si="53"/>
        <v>5082251.4364174251</v>
      </c>
    </row>
    <row r="54" spans="2:59" x14ac:dyDescent="0.35">
      <c r="B54" s="29" t="s">
        <v>1570</v>
      </c>
      <c r="P54" s="319">
        <v>531888.62</v>
      </c>
      <c r="Q54" s="319">
        <v>690493.27</v>
      </c>
      <c r="R54" s="319">
        <v>350910.07</v>
      </c>
      <c r="S54" s="319">
        <v>680404.13</v>
      </c>
      <c r="T54" s="319">
        <v>637496.56000000006</v>
      </c>
      <c r="U54" s="319">
        <v>761675.36</v>
      </c>
      <c r="V54" s="319">
        <v>842897.89</v>
      </c>
      <c r="W54" s="159">
        <f>'Subtotal Nom_Enero'!$E7</f>
        <v>679204.6794791735</v>
      </c>
      <c r="X54" s="159">
        <f>'Subtotal Nom_Enero'!$E7</f>
        <v>679204.6794791735</v>
      </c>
      <c r="Y54" s="159">
        <f>'Subtotal Nom_Enero'!$E7</f>
        <v>679204.6794791735</v>
      </c>
      <c r="Z54" s="159">
        <f>'Subtotal Nom_Enero'!$E7</f>
        <v>679204.6794791735</v>
      </c>
      <c r="AA54" s="159">
        <f>'Subtotal Nom_Enero'!$E7</f>
        <v>679204.6794791735</v>
      </c>
      <c r="AB54" s="326">
        <f t="shared" si="2"/>
        <v>7891789.2973958673</v>
      </c>
      <c r="AD54" s="159">
        <f>'Subtotal Nom_Enero'!$E7</f>
        <v>679204.6794791735</v>
      </c>
      <c r="AE54" s="159">
        <f>'Subtotal Nom_Enero'!$E7</f>
        <v>679204.6794791735</v>
      </c>
      <c r="AF54" s="159">
        <f>'Subtotal Nom_Enero'!$E7</f>
        <v>679204.6794791735</v>
      </c>
      <c r="AG54" s="159">
        <f>'Subtotal Nom_Enero'!$E7</f>
        <v>679204.6794791735</v>
      </c>
      <c r="AH54" s="159">
        <f>'Subtotal Nom_Enero'!$E7</f>
        <v>679204.6794791735</v>
      </c>
      <c r="AI54" s="159">
        <f>'Subtotal Nom_Enero'!$E7</f>
        <v>679204.6794791735</v>
      </c>
      <c r="AJ54" s="159">
        <f>'Subtotal Nom_Enero'!$E7</f>
        <v>679204.6794791735</v>
      </c>
      <c r="AK54" s="159">
        <f>'Subtotal Nom_Enero'!$E7</f>
        <v>679204.6794791735</v>
      </c>
      <c r="AL54" s="159">
        <f>'Subtotal Nom_Enero'!$E7</f>
        <v>679204.6794791735</v>
      </c>
      <c r="AM54" s="159">
        <f>'Subtotal Nom_Enero'!$E7</f>
        <v>679204.6794791735</v>
      </c>
      <c r="AN54" s="159">
        <f>'Subtotal Nom_Enero'!$E7</f>
        <v>679204.6794791735</v>
      </c>
      <c r="AO54" s="159">
        <f>'Subtotal Nom_Enero'!$E7</f>
        <v>679204.6794791735</v>
      </c>
      <c r="AP54" s="326">
        <f t="shared" si="3"/>
        <v>8150456.1537500815</v>
      </c>
      <c r="AR54" s="159">
        <f>'Subtotal Nom_Enero'!$E7</f>
        <v>679204.6794791735</v>
      </c>
      <c r="AS54" s="159">
        <f>'Subtotal Nom_Enero'!$E7</f>
        <v>679204.6794791735</v>
      </c>
      <c r="AT54" s="159">
        <f>'Subtotal Nom_Enero'!$E7</f>
        <v>679204.6794791735</v>
      </c>
      <c r="AU54" s="159">
        <f>'Subtotal Nom_Enero'!$E7</f>
        <v>679204.6794791735</v>
      </c>
      <c r="AV54" s="159">
        <f>'Subtotal Nom_Enero'!$E7</f>
        <v>679204.6794791735</v>
      </c>
      <c r="AW54" s="159">
        <f>'Subtotal Nom_Enero'!$E7</f>
        <v>679204.6794791735</v>
      </c>
      <c r="AX54" s="159">
        <f>'Subtotal Nom_Enero'!$E7</f>
        <v>679204.6794791735</v>
      </c>
      <c r="AY54" s="159">
        <f>'Subtotal Nom_Enero'!$E7</f>
        <v>679204.6794791735</v>
      </c>
      <c r="AZ54" s="159">
        <f>'Subtotal Nom_Enero'!$E7</f>
        <v>679204.6794791735</v>
      </c>
      <c r="BA54" s="159">
        <f>'Subtotal Nom_Enero'!$E7</f>
        <v>679204.6794791735</v>
      </c>
      <c r="BB54" s="159">
        <f>'Subtotal Nom_Enero'!$E7</f>
        <v>679204.6794791735</v>
      </c>
      <c r="BC54" s="159">
        <f>'Subtotal Nom_Enero'!$E7</f>
        <v>679204.6794791735</v>
      </c>
      <c r="BD54" s="326">
        <f t="shared" si="5"/>
        <v>8150456.1537500815</v>
      </c>
      <c r="BE54" s="326">
        <f t="shared" si="53"/>
        <v>8720988.0845125876</v>
      </c>
      <c r="BF54" s="326">
        <f t="shared" si="53"/>
        <v>9331457.2504284699</v>
      </c>
    </row>
    <row r="55" spans="2:59" x14ac:dyDescent="0.35">
      <c r="B55" s="29" t="s">
        <v>999</v>
      </c>
      <c r="P55" s="319">
        <v>3329777.71</v>
      </c>
      <c r="Q55" s="319">
        <v>2120848.04999999</v>
      </c>
      <c r="R55" s="319">
        <v>3698640.49</v>
      </c>
      <c r="S55" s="319">
        <v>1221806.6999999899</v>
      </c>
      <c r="T55" s="319">
        <v>1774085.96</v>
      </c>
      <c r="U55" s="319">
        <v>420899.58999999898</v>
      </c>
      <c r="V55" s="319">
        <v>820157.03</v>
      </c>
      <c r="W55" s="159">
        <f>SUM(Gastos!AA22:AA34)</f>
        <v>178921.8730268199</v>
      </c>
      <c r="X55" s="159">
        <f>SUM(Gastos!AB22:AB34)</f>
        <v>178921.8730268199</v>
      </c>
      <c r="Y55" s="159">
        <f>SUM(Gastos!AC22:AC34)</f>
        <v>178921.8730268199</v>
      </c>
      <c r="Z55" s="159">
        <f>SUM(Gastos!AD22:AD34)</f>
        <v>178921.8730268199</v>
      </c>
      <c r="AA55" s="159">
        <f>SUM(Gastos!AE22:AE34)</f>
        <v>178921.8730268199</v>
      </c>
      <c r="AB55" s="326">
        <f t="shared" si="2"/>
        <v>14280824.89513408</v>
      </c>
      <c r="AD55" s="159">
        <f>SUM(Gastos!AG22:AG34)</f>
        <v>315042.56268199236</v>
      </c>
      <c r="AE55" s="159">
        <f>SUM(Gastos!AH22:AH34)</f>
        <v>315042.56268199236</v>
      </c>
      <c r="AF55" s="159">
        <f>SUM(Gastos!AI22:AI34)</f>
        <v>315042.56268199236</v>
      </c>
      <c r="AG55" s="159">
        <f>SUM(Gastos!AJ22:AJ34)</f>
        <v>315042.56268199236</v>
      </c>
      <c r="AH55" s="159">
        <f>SUM(Gastos!AK22:AK34)</f>
        <v>315042.56268199236</v>
      </c>
      <c r="AI55" s="159">
        <f>SUM(Gastos!AL22:AL34)</f>
        <v>315042.56268199236</v>
      </c>
      <c r="AJ55" s="159">
        <f>SUM(Gastos!AM22:AM34)</f>
        <v>315042.56268199236</v>
      </c>
      <c r="AK55" s="159">
        <f>SUM(Gastos!AN22:AN34)</f>
        <v>315042.56268199236</v>
      </c>
      <c r="AL55" s="159">
        <f>SUM(Gastos!AO22:AO34)</f>
        <v>315042.56268199236</v>
      </c>
      <c r="AM55" s="159">
        <f>SUM(Gastos!AP22:AP34)</f>
        <v>315042.56268199236</v>
      </c>
      <c r="AN55" s="159">
        <f>SUM(Gastos!AQ22:AQ34)</f>
        <v>315042.56268199236</v>
      </c>
      <c r="AO55" s="159">
        <f>SUM(Gastos!AR22:AR34)</f>
        <v>315042.56268199236</v>
      </c>
      <c r="AP55" s="326">
        <f t="shared" si="3"/>
        <v>3780510.7521839091</v>
      </c>
      <c r="AR55" s="159">
        <f>SUM(Gastos!AT22:AT34)</f>
        <v>336771.70061302686</v>
      </c>
      <c r="AS55" s="159">
        <f>SUM(Gastos!AU22:AU34)</f>
        <v>336771.70061302686</v>
      </c>
      <c r="AT55" s="159">
        <f>SUM(Gastos!AV22:AV34)</f>
        <v>336771.70061302686</v>
      </c>
      <c r="AU55" s="159">
        <f>SUM(Gastos!AW22:AW34)</f>
        <v>336771.70061302686</v>
      </c>
      <c r="AV55" s="159">
        <f>SUM(Gastos!AX22:AX34)</f>
        <v>336771.70061302686</v>
      </c>
      <c r="AW55" s="159">
        <f>SUM(Gastos!AY22:AY34)</f>
        <v>336771.70061302686</v>
      </c>
      <c r="AX55" s="159">
        <f>SUM(Gastos!AZ22:AZ34)</f>
        <v>336771.70061302686</v>
      </c>
      <c r="AY55" s="159">
        <f>SUM(Gastos!BA22:BA34)</f>
        <v>336771.70061302686</v>
      </c>
      <c r="AZ55" s="159">
        <f>SUM(Gastos!BB22:BB34)</f>
        <v>336771.70061302686</v>
      </c>
      <c r="BA55" s="159">
        <f>SUM(Gastos!BC22:BC34)</f>
        <v>336771.70061302686</v>
      </c>
      <c r="BB55" s="159">
        <f>SUM(Gastos!BD22:BD34)</f>
        <v>336771.70061302686</v>
      </c>
      <c r="BC55" s="159">
        <f>SUM(Gastos!BE22:BE34)</f>
        <v>336771.70061302686</v>
      </c>
      <c r="BD55" s="326">
        <f t="shared" si="5"/>
        <v>4041260.4073563232</v>
      </c>
      <c r="BE55" s="326">
        <f>BD55*1.1</f>
        <v>4445386.4480919559</v>
      </c>
      <c r="BF55" s="326">
        <f>BE55*1.1</f>
        <v>4889925.0929011516</v>
      </c>
    </row>
    <row r="56" spans="2:59" x14ac:dyDescent="0.35">
      <c r="B56" s="29" t="s">
        <v>8</v>
      </c>
      <c r="P56" s="319">
        <v>494367.55999999901</v>
      </c>
      <c r="Q56" s="319">
        <v>396171.07</v>
      </c>
      <c r="R56" s="319">
        <v>343227.86</v>
      </c>
      <c r="S56" s="319">
        <v>535156.62</v>
      </c>
      <c r="T56" s="319">
        <v>519993.989999999</v>
      </c>
      <c r="U56" s="319">
        <v>560717.71999999904</v>
      </c>
      <c r="V56" s="319">
        <v>570275.00999999896</v>
      </c>
      <c r="W56" s="159">
        <f ca="1">W$18*ASSUMPTIONS!$C$37</f>
        <v>764149.51311240462</v>
      </c>
      <c r="X56" s="159">
        <f ca="1">X$18*ASSUMPTIONS!$C$37</f>
        <v>686656.50908526569</v>
      </c>
      <c r="Y56" s="159">
        <f ca="1">Y$18*ASSUMPTIONS!$C$37</f>
        <v>678743.57514243503</v>
      </c>
      <c r="Z56" s="159">
        <f ca="1">Z$18*ASSUMPTIONS!$C$37</f>
        <v>607363.15476611583</v>
      </c>
      <c r="AA56" s="159">
        <f>AA$18*ASSUMPTIONS!$C$37</f>
        <v>653773.01946611586</v>
      </c>
      <c r="AB56" s="326">
        <f t="shared" ca="1" si="2"/>
        <v>6810595.601572332</v>
      </c>
      <c r="AD56" s="159">
        <f>AD$18*ASSUMPTIONS!$C$37</f>
        <v>702680.18062499992</v>
      </c>
      <c r="AE56" s="159">
        <f>AE$18*ASSUMPTIONS!$C$37</f>
        <v>616591.50824999961</v>
      </c>
      <c r="AF56" s="159">
        <f>AF$18*ASSUMPTIONS!$C$37</f>
        <v>491322.68324999959</v>
      </c>
      <c r="AG56" s="159">
        <f>AG$18*ASSUMPTIONS!$C$37</f>
        <v>672682.58175000001</v>
      </c>
      <c r="AH56" s="159">
        <f>AH$18*ASSUMPTIONS!$C$37</f>
        <v>792079.7823749996</v>
      </c>
      <c r="AI56" s="159">
        <f>AI$18*ASSUMPTIONS!$C$37</f>
        <v>671392.7148749996</v>
      </c>
      <c r="AJ56" s="159">
        <f>AJ$18*ASSUMPTIONS!$C$37</f>
        <v>886780.01512499992</v>
      </c>
      <c r="AK56" s="159">
        <f ca="1">AK$18*ASSUMPTIONS!$C$37</f>
        <v>955186.89139050583</v>
      </c>
      <c r="AL56" s="159">
        <f ca="1">AL$18*ASSUMPTIONS!$C$37</f>
        <v>858320.63635658205</v>
      </c>
      <c r="AM56" s="159">
        <f ca="1">AM$18*ASSUMPTIONS!$C$37</f>
        <v>848429.46892804385</v>
      </c>
      <c r="AN56" s="159">
        <f ca="1">AN$18*ASSUMPTIONS!$C$37</f>
        <v>759203.94345764478</v>
      </c>
      <c r="AO56" s="159">
        <f>AO$18*ASSUMPTIONS!$C$37</f>
        <v>817216.27433264465</v>
      </c>
      <c r="AP56" s="326">
        <f t="shared" ca="1" si="3"/>
        <v>9071886.6807154194</v>
      </c>
      <c r="AR56" s="159">
        <f>AR$18*ASSUMPTIONS!$C$37</f>
        <v>877195.10756250005</v>
      </c>
      <c r="AS56" s="159">
        <f>AS$18*ASSUMPTIONS!$C$37</f>
        <v>770718.44992499962</v>
      </c>
      <c r="AT56" s="159">
        <f>AT$18*ASSUMPTIONS!$C$37</f>
        <v>618631.7876999994</v>
      </c>
      <c r="AU56" s="159">
        <f>AU$18*ASSUMPTIONS!$C$37</f>
        <v>825603.44021250005</v>
      </c>
      <c r="AV56" s="159">
        <f>AV$18*ASSUMPTIONS!$C$37</f>
        <v>984452.0520937494</v>
      </c>
      <c r="AW56" s="159">
        <f>AW$18*ASSUMPTIONS!$C$37</f>
        <v>838640.7983249994</v>
      </c>
      <c r="AX56" s="159">
        <f>AX$18*ASSUMPTIONS!$C$37</f>
        <v>1092419.8231500001</v>
      </c>
      <c r="AY56" s="159">
        <f ca="1">AY$18*ASSUMPTIONS!$C$37</f>
        <v>1178284.5516826576</v>
      </c>
      <c r="AZ56" s="159">
        <f ca="1">AZ$18*ASSUMPTIONS!$C$37</f>
        <v>1060097.0675135567</v>
      </c>
      <c r="BA56" s="159">
        <f ca="1">BA$18*ASSUMPTIONS!$C$37</f>
        <v>1054049.3966439571</v>
      </c>
      <c r="BB56" s="159">
        <f ca="1">BB$18*ASSUMPTIONS!$C$37</f>
        <v>944722.84949493816</v>
      </c>
      <c r="BC56" s="159">
        <f>BC$18*ASSUMPTIONS!$C$37</f>
        <v>1013921.5540449382</v>
      </c>
      <c r="BD56" s="326">
        <f t="shared" ca="1" si="5"/>
        <v>11258736.878348794</v>
      </c>
      <c r="BE56" s="326">
        <f ca="1">BE$18*ASSUMPTIONS!$C$37</f>
        <v>13121652.214073183</v>
      </c>
      <c r="BF56" s="326">
        <f ca="1">BF$18*ASSUMPTIONS!$C$37</f>
        <v>15352683.229891606</v>
      </c>
    </row>
    <row r="57" spans="2:59" x14ac:dyDescent="0.35">
      <c r="B57" s="29" t="s">
        <v>998</v>
      </c>
      <c r="P57" s="319">
        <v>22751.3299999999</v>
      </c>
      <c r="Q57" s="319">
        <v>44615.91</v>
      </c>
      <c r="R57" s="319">
        <v>29533.49</v>
      </c>
      <c r="S57" s="319">
        <v>42890.429999999898</v>
      </c>
      <c r="T57" s="319">
        <v>69844.769999999902</v>
      </c>
      <c r="U57" s="319">
        <v>23806.94</v>
      </c>
      <c r="V57" s="319">
        <v>11521.21</v>
      </c>
      <c r="W57" s="159">
        <f>Gastos!AA33</f>
        <v>27000</v>
      </c>
      <c r="X57" s="159">
        <f>Gastos!AB33</f>
        <v>27000</v>
      </c>
      <c r="Y57" s="159">
        <f>Gastos!AC33</f>
        <v>27000</v>
      </c>
      <c r="Z57" s="159">
        <f>Gastos!AD33</f>
        <v>27000</v>
      </c>
      <c r="AA57" s="159">
        <f>Gastos!AE33</f>
        <v>27000</v>
      </c>
      <c r="AB57" s="326">
        <f t="shared" si="2"/>
        <v>379964.07999999973</v>
      </c>
      <c r="AD57" s="159">
        <f>Gastos!AG33</f>
        <v>27000</v>
      </c>
      <c r="AE57" s="159">
        <f>Gastos!AH33</f>
        <v>27000</v>
      </c>
      <c r="AF57" s="159">
        <f>Gastos!AI33</f>
        <v>27000</v>
      </c>
      <c r="AG57" s="159">
        <f>Gastos!AJ33</f>
        <v>27000</v>
      </c>
      <c r="AH57" s="159">
        <f>Gastos!AK33</f>
        <v>27000</v>
      </c>
      <c r="AI57" s="159">
        <f>Gastos!AL33</f>
        <v>27000</v>
      </c>
      <c r="AJ57" s="159">
        <f>Gastos!AM33</f>
        <v>27000</v>
      </c>
      <c r="AK57" s="159">
        <f>Gastos!AN33</f>
        <v>27000</v>
      </c>
      <c r="AL57" s="159">
        <f>Gastos!AO33</f>
        <v>27000</v>
      </c>
      <c r="AM57" s="159">
        <f>Gastos!AP33</f>
        <v>27000</v>
      </c>
      <c r="AN57" s="159">
        <f>Gastos!AQ33</f>
        <v>27000</v>
      </c>
      <c r="AO57" s="159">
        <f>Gastos!AR33</f>
        <v>27000</v>
      </c>
      <c r="AP57" s="326">
        <f t="shared" si="3"/>
        <v>324000</v>
      </c>
      <c r="AR57" s="159">
        <f>Gastos!AT33</f>
        <v>27000</v>
      </c>
      <c r="AS57" s="159">
        <f>Gastos!AU33</f>
        <v>27000</v>
      </c>
      <c r="AT57" s="159">
        <f>Gastos!AV33</f>
        <v>27000</v>
      </c>
      <c r="AU57" s="159">
        <f>Gastos!AW33</f>
        <v>27000</v>
      </c>
      <c r="AV57" s="159">
        <f>Gastos!AX33</f>
        <v>27000</v>
      </c>
      <c r="AW57" s="159">
        <f>Gastos!AY33</f>
        <v>27000</v>
      </c>
      <c r="AX57" s="159">
        <f>Gastos!AZ33</f>
        <v>27000</v>
      </c>
      <c r="AY57" s="159">
        <f>Gastos!BA33</f>
        <v>27000</v>
      </c>
      <c r="AZ57" s="159">
        <f>Gastos!BB33</f>
        <v>27000</v>
      </c>
      <c r="BA57" s="159">
        <f>Gastos!BC33</f>
        <v>27000</v>
      </c>
      <c r="BB57" s="159">
        <f>Gastos!BD33</f>
        <v>27000</v>
      </c>
      <c r="BC57" s="159">
        <f>Gastos!BE33</f>
        <v>27000</v>
      </c>
      <c r="BD57" s="326">
        <f t="shared" si="5"/>
        <v>324000</v>
      </c>
      <c r="BE57" s="326">
        <f>BD57*1.1</f>
        <v>356400</v>
      </c>
      <c r="BF57" s="326">
        <f>BE57*1.1</f>
        <v>392040.00000000006</v>
      </c>
    </row>
    <row r="58" spans="2:59" x14ac:dyDescent="0.35">
      <c r="B58" s="29" t="s">
        <v>946</v>
      </c>
      <c r="P58" s="319">
        <v>17956.28</v>
      </c>
      <c r="Q58" s="319">
        <v>12766.6899999999</v>
      </c>
      <c r="R58" s="319">
        <v>17048.96</v>
      </c>
      <c r="S58" s="319">
        <v>87039.85</v>
      </c>
      <c r="T58" s="319">
        <v>64575.389999999898</v>
      </c>
      <c r="U58" s="319">
        <v>115361.26</v>
      </c>
      <c r="V58" s="319">
        <v>72816.009999999995</v>
      </c>
      <c r="W58" s="159">
        <f>SUM(Gastos!AA39:AA45)</f>
        <v>175000</v>
      </c>
      <c r="X58" s="159">
        <f>SUM(Gastos!AB39:AB45)</f>
        <v>175000</v>
      </c>
      <c r="Y58" s="159">
        <f>SUM(Gastos!AC39:AC45)</f>
        <v>175000</v>
      </c>
      <c r="Z58" s="159">
        <f>SUM(Gastos!AD39:AD45)</f>
        <v>175000</v>
      </c>
      <c r="AA58" s="159">
        <f>SUM(Gastos!AE39:AE45)</f>
        <v>175000</v>
      </c>
      <c r="AB58" s="326">
        <f t="shared" si="2"/>
        <v>1262564.44</v>
      </c>
      <c r="AD58" s="159">
        <f>SUM(Gastos!AG39:AG45)</f>
        <v>175000</v>
      </c>
      <c r="AE58" s="159">
        <f>SUM(Gastos!AH39:AH45)</f>
        <v>175000</v>
      </c>
      <c r="AF58" s="159">
        <f>SUM(Gastos!AI39:AI45)</f>
        <v>175000</v>
      </c>
      <c r="AG58" s="159">
        <f>SUM(Gastos!AJ39:AJ45)</f>
        <v>175000</v>
      </c>
      <c r="AH58" s="159">
        <f>SUM(Gastos!AK39:AK45)</f>
        <v>175000</v>
      </c>
      <c r="AI58" s="159">
        <f>SUM(Gastos!AL39:AL45)</f>
        <v>175000</v>
      </c>
      <c r="AJ58" s="159">
        <f>SUM(Gastos!AM39:AM45)</f>
        <v>15000</v>
      </c>
      <c r="AK58" s="159">
        <f>SUM(Gastos!AN39:AN45)</f>
        <v>15000</v>
      </c>
      <c r="AL58" s="159">
        <f>SUM(Gastos!AO39:AO45)</f>
        <v>15000</v>
      </c>
      <c r="AM58" s="159">
        <f>SUM(Gastos!AP39:AP45)</f>
        <v>15000</v>
      </c>
      <c r="AN58" s="159">
        <f>SUM(Gastos!AQ39:AQ45)</f>
        <v>15000</v>
      </c>
      <c r="AO58" s="159">
        <f>SUM(Gastos!AR39:AR45)</f>
        <v>15000</v>
      </c>
      <c r="AP58" s="326">
        <f t="shared" si="3"/>
        <v>1140000</v>
      </c>
      <c r="AR58" s="159">
        <f>SUM(Gastos!AT39:AT45)</f>
        <v>15000</v>
      </c>
      <c r="AS58" s="159">
        <f>SUM(Gastos!AU39:AU45)</f>
        <v>15000</v>
      </c>
      <c r="AT58" s="159">
        <f>SUM(Gastos!AV39:AV45)</f>
        <v>15000</v>
      </c>
      <c r="AU58" s="159">
        <f>SUM(Gastos!AW39:AW45)</f>
        <v>15000</v>
      </c>
      <c r="AV58" s="159">
        <f>SUM(Gastos!AX39:AX45)</f>
        <v>15000</v>
      </c>
      <c r="AW58" s="159">
        <f>SUM(Gastos!AY39:AY45)</f>
        <v>15000</v>
      </c>
      <c r="AX58" s="159">
        <f>SUM(Gastos!AZ39:AZ45)</f>
        <v>15000</v>
      </c>
      <c r="AY58" s="159">
        <f>SUM(Gastos!BA39:BA45)</f>
        <v>15000</v>
      </c>
      <c r="AZ58" s="159">
        <f>SUM(Gastos!BB39:BB45)</f>
        <v>15000</v>
      </c>
      <c r="BA58" s="159">
        <f>SUM(Gastos!BC39:BC45)</f>
        <v>15000</v>
      </c>
      <c r="BB58" s="159">
        <f>SUM(Gastos!BD39:BD45)</f>
        <v>15000</v>
      </c>
      <c r="BC58" s="159">
        <f>SUM(Gastos!BE39:BE45)</f>
        <v>15000</v>
      </c>
      <c r="BD58" s="326">
        <f t="shared" si="5"/>
        <v>180000</v>
      </c>
      <c r="BE58" s="326">
        <f>BD58</f>
        <v>180000</v>
      </c>
      <c r="BF58" s="326">
        <f>BE58</f>
        <v>180000</v>
      </c>
    </row>
    <row r="59" spans="2:59" x14ac:dyDescent="0.35">
      <c r="B59" s="29" t="s">
        <v>948</v>
      </c>
      <c r="P59" s="319">
        <v>176752.889999999</v>
      </c>
      <c r="Q59" s="319">
        <v>206716.76</v>
      </c>
      <c r="R59" s="319">
        <v>81329.899999999994</v>
      </c>
      <c r="S59" s="319">
        <v>178085.96</v>
      </c>
      <c r="T59" s="319">
        <v>88176.5799999999</v>
      </c>
      <c r="U59" s="319">
        <v>29074.400000000001</v>
      </c>
      <c r="V59" s="319">
        <v>-60784.159999999902</v>
      </c>
      <c r="W59" s="159">
        <f>SUM(Gastos!AA55:AA62)</f>
        <v>98690.106249999997</v>
      </c>
      <c r="X59" s="159">
        <f>SUM(Gastos!AB55:AB62)</f>
        <v>98690.106249999997</v>
      </c>
      <c r="Y59" s="159">
        <f>SUM(Gastos!AC55:AC62)</f>
        <v>98690.106249999997</v>
      </c>
      <c r="Z59" s="159">
        <f>SUM(Gastos!AD55:AD62)</f>
        <v>98690.106249999997</v>
      </c>
      <c r="AA59" s="159">
        <f>SUM(Gastos!AE55:AE62)</f>
        <v>98690.106249999997</v>
      </c>
      <c r="AB59" s="334">
        <f t="shared" si="2"/>
        <v>1192802.8612499989</v>
      </c>
      <c r="AD59" s="159">
        <f>SUM(Gastos!AG55:AG62)</f>
        <v>98690.106249999997</v>
      </c>
      <c r="AE59" s="159">
        <f>SUM(Gastos!AH55:AH62)</f>
        <v>98690.106249999997</v>
      </c>
      <c r="AF59" s="159">
        <f>SUM(Gastos!AI55:AI62)</f>
        <v>98690.106249999997</v>
      </c>
      <c r="AG59" s="159">
        <f>SUM(Gastos!AJ55:AJ62)</f>
        <v>98690.106249999997</v>
      </c>
      <c r="AH59" s="159">
        <f>SUM(Gastos!AK55:AK62)</f>
        <v>98690.106249999997</v>
      </c>
      <c r="AI59" s="159">
        <f>SUM(Gastos!AL55:AL62)</f>
        <v>98690.106249999997</v>
      </c>
      <c r="AJ59" s="159">
        <f>SUM(Gastos!AM55:AM62)</f>
        <v>98690.106249999997</v>
      </c>
      <c r="AK59" s="159">
        <f>SUM(Gastos!AN55:AN62)</f>
        <v>98690.106249999997</v>
      </c>
      <c r="AL59" s="159">
        <f>SUM(Gastos!AO55:AO62)</f>
        <v>98690.106249999997</v>
      </c>
      <c r="AM59" s="159">
        <f>SUM(Gastos!AP55:AP62)</f>
        <v>98690.106249999997</v>
      </c>
      <c r="AN59" s="159">
        <f>SUM(Gastos!AQ55:AQ62)</f>
        <v>98690.106249999997</v>
      </c>
      <c r="AO59" s="159">
        <f>SUM(Gastos!AR55:AR62)</f>
        <v>98690.106249999997</v>
      </c>
      <c r="AP59" s="334">
        <f t="shared" si="3"/>
        <v>1184281.2749999997</v>
      </c>
      <c r="AR59" s="159">
        <f>SUM(Gastos!AT55:AT62)</f>
        <v>98690.106249999997</v>
      </c>
      <c r="AS59" s="159">
        <f>SUM(Gastos!AU55:AU62)</f>
        <v>98690.106249999997</v>
      </c>
      <c r="AT59" s="159">
        <f>SUM(Gastos!AV55:AV62)</f>
        <v>98690.106249999997</v>
      </c>
      <c r="AU59" s="159">
        <f>SUM(Gastos!AW55:AW62)</f>
        <v>98690.106249999997</v>
      </c>
      <c r="AV59" s="159">
        <f>SUM(Gastos!AX55:AX62)</f>
        <v>98690.106249999997</v>
      </c>
      <c r="AW59" s="159">
        <f>SUM(Gastos!AY55:AY62)</f>
        <v>98690.106249999997</v>
      </c>
      <c r="AX59" s="159">
        <f>SUM(Gastos!AZ55:AZ62)</f>
        <v>98690.106249999997</v>
      </c>
      <c r="AY59" s="159">
        <f>SUM(Gastos!BA55:BA62)</f>
        <v>98690.106249999997</v>
      </c>
      <c r="AZ59" s="159">
        <f>SUM(Gastos!BB55:BB62)</f>
        <v>98690.106249999997</v>
      </c>
      <c r="BA59" s="159">
        <f>SUM(Gastos!BC55:BC62)</f>
        <v>98690.106249999997</v>
      </c>
      <c r="BB59" s="159">
        <f>SUM(Gastos!BD55:BD62)</f>
        <v>98690.106249999997</v>
      </c>
      <c r="BC59" s="159">
        <f>SUM(Gastos!BE55:BE62)</f>
        <v>98690.106249999997</v>
      </c>
      <c r="BD59" s="334">
        <f t="shared" si="5"/>
        <v>1184281.2749999997</v>
      </c>
      <c r="BE59" s="334">
        <f>BD59*1.1</f>
        <v>1302709.4024999999</v>
      </c>
      <c r="BF59" s="334">
        <f>BE59*1.1</f>
        <v>1432980.3427499998</v>
      </c>
    </row>
    <row r="60" spans="2:59" x14ac:dyDescent="0.35">
      <c r="B60" s="32" t="s">
        <v>1355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20">
        <v>556984.39999999898</v>
      </c>
      <c r="Q60" s="320">
        <v>574355.51</v>
      </c>
      <c r="R60" s="320">
        <v>551743.549999999</v>
      </c>
      <c r="S60" s="320">
        <v>658037.47</v>
      </c>
      <c r="T60" s="320">
        <v>455677.02999999898</v>
      </c>
      <c r="U60" s="320">
        <v>762389.9</v>
      </c>
      <c r="V60" s="320">
        <v>131356.17000000001</v>
      </c>
      <c r="W60" s="67">
        <v>238809.70965831607</v>
      </c>
      <c r="X60" s="67">
        <v>243402.50236613807</v>
      </c>
      <c r="Y60" s="67">
        <v>277247.12060237891</v>
      </c>
      <c r="Z60" s="67">
        <v>249398.01896207561</v>
      </c>
      <c r="AA60" s="67">
        <v>254239.06239269453</v>
      </c>
      <c r="AB60" s="327">
        <f>SUM(P60:AA60)</f>
        <v>4953640.4439816</v>
      </c>
      <c r="AD60" s="67">
        <v>254239.06239269453</v>
      </c>
      <c r="AE60" s="67">
        <v>254239.06239269453</v>
      </c>
      <c r="AF60" s="67">
        <v>254239.06239269453</v>
      </c>
      <c r="AG60" s="67">
        <v>254239.06239269453</v>
      </c>
      <c r="AH60" s="67">
        <v>254239.06239269453</v>
      </c>
      <c r="AI60" s="67">
        <v>254239.06239269453</v>
      </c>
      <c r="AJ60" s="67">
        <v>254239.06239269453</v>
      </c>
      <c r="AK60" s="67">
        <v>254239.06239269453</v>
      </c>
      <c r="AL60" s="67">
        <v>254239.06239269453</v>
      </c>
      <c r="AM60" s="67">
        <v>254239.06239269453</v>
      </c>
      <c r="AN60" s="67">
        <v>254239.06239269453</v>
      </c>
      <c r="AO60" s="67">
        <v>254239.06239269453</v>
      </c>
      <c r="AP60" s="327">
        <f>SUM(AD60:AO60)</f>
        <v>3050868.7487123334</v>
      </c>
      <c r="AR60" s="67">
        <v>254239.06239269453</v>
      </c>
      <c r="AS60" s="67">
        <v>254239.06239269453</v>
      </c>
      <c r="AT60" s="67">
        <v>254239.06239269453</v>
      </c>
      <c r="AU60" s="67">
        <v>254239.06239269453</v>
      </c>
      <c r="AV60" s="67">
        <v>254239.06239269453</v>
      </c>
      <c r="AW60" s="67">
        <v>254239.06239269453</v>
      </c>
      <c r="AX60" s="67">
        <v>254239.06239269453</v>
      </c>
      <c r="AY60" s="67">
        <v>254239.06239269453</v>
      </c>
      <c r="AZ60" s="67">
        <v>254239.06239269453</v>
      </c>
      <c r="BA60" s="67">
        <v>254239.06239269453</v>
      </c>
      <c r="BB60" s="67">
        <v>254239.06239269453</v>
      </c>
      <c r="BC60" s="67">
        <v>254239.06239269453</v>
      </c>
      <c r="BD60" s="327">
        <f>SUM(AR60:BC60)</f>
        <v>3050868.7487123334</v>
      </c>
      <c r="BE60" s="327">
        <f>BD60</f>
        <v>3050868.7487123334</v>
      </c>
      <c r="BF60" s="327">
        <f>BE60</f>
        <v>3050868.7487123334</v>
      </c>
    </row>
    <row r="61" spans="2:59" s="27" customFormat="1" x14ac:dyDescent="0.35">
      <c r="B61" s="27" t="s">
        <v>37</v>
      </c>
      <c r="P61" s="321">
        <f>P41-SUM(P43:P60)</f>
        <v>-1436385.8899999931</v>
      </c>
      <c r="Q61" s="321">
        <f>Q41-SUM(Q43:Q60)</f>
        <v>174173.11000000313</v>
      </c>
      <c r="R61" s="321">
        <f>R41-SUM(R43:R60)</f>
        <v>-3170876.7000000067</v>
      </c>
      <c r="S61" s="321">
        <f t="shared" ref="S61:BD61" si="54">S41-SUM(S43:S60)</f>
        <v>1081904.6400000146</v>
      </c>
      <c r="T61" s="321">
        <f t="shared" si="54"/>
        <v>1358640.8400000064</v>
      </c>
      <c r="U61" s="321">
        <f t="shared" si="54"/>
        <v>654217.08999999706</v>
      </c>
      <c r="V61" s="321">
        <f t="shared" si="54"/>
        <v>3025889.1100000283</v>
      </c>
      <c r="W61" s="328">
        <f t="shared" ca="1" si="54"/>
        <v>4473125.0872363281</v>
      </c>
      <c r="X61" s="328">
        <f t="shared" ca="1" si="54"/>
        <v>3817039.1160698086</v>
      </c>
      <c r="Y61" s="328">
        <f t="shared" ca="1" si="54"/>
        <v>3717312.8233933337</v>
      </c>
      <c r="Z61" s="328">
        <f t="shared" ca="1" si="54"/>
        <v>2701063.6309562195</v>
      </c>
      <c r="AA61" s="328">
        <f t="shared" ca="1" si="54"/>
        <v>3269469.1655715313</v>
      </c>
      <c r="AB61" s="345">
        <f t="shared" ca="1" si="54"/>
        <v>19665572.023227245</v>
      </c>
      <c r="AD61" s="328">
        <f t="shared" si="54"/>
        <v>3952477.9417506987</v>
      </c>
      <c r="AE61" s="328">
        <f t="shared" si="54"/>
        <v>2711042.8253681902</v>
      </c>
      <c r="AF61" s="328">
        <f t="shared" si="54"/>
        <v>952096.71111819241</v>
      </c>
      <c r="AG61" s="328">
        <f t="shared" si="54"/>
        <v>3278401.948283202</v>
      </c>
      <c r="AH61" s="328">
        <f t="shared" si="54"/>
        <v>5031065.1202456895</v>
      </c>
      <c r="AI61" s="328">
        <f t="shared" si="54"/>
        <v>3393476.1539508644</v>
      </c>
      <c r="AJ61" s="328">
        <f t="shared" si="54"/>
        <v>6393222.4561108677</v>
      </c>
      <c r="AK61" s="328">
        <f t="shared" ca="1" si="54"/>
        <v>7337655.5984841334</v>
      </c>
      <c r="AL61" s="328">
        <f t="shared" ca="1" si="54"/>
        <v>6019562.9955925476</v>
      </c>
      <c r="AM61" s="328">
        <f t="shared" ca="1" si="54"/>
        <v>5953998.7655399665</v>
      </c>
      <c r="AN61" s="328">
        <f t="shared" ca="1" si="54"/>
        <v>4639523.0487196622</v>
      </c>
      <c r="AO61" s="328">
        <f t="shared" si="54"/>
        <v>5470993.4136671573</v>
      </c>
      <c r="AP61" s="345">
        <f t="shared" ca="1" si="54"/>
        <v>55133516.978831172</v>
      </c>
      <c r="AR61" s="328">
        <f t="shared" si="54"/>
        <v>6515389.0657981085</v>
      </c>
      <c r="AS61" s="328">
        <f t="shared" si="54"/>
        <v>4976612.5789538492</v>
      </c>
      <c r="AT61" s="328">
        <f t="shared" si="54"/>
        <v>2838581.1642923523</v>
      </c>
      <c r="AU61" s="328">
        <f t="shared" si="54"/>
        <v>5465198.2234191103</v>
      </c>
      <c r="AV61" s="328">
        <f t="shared" si="54"/>
        <v>7806133.3668449754</v>
      </c>
      <c r="AW61" s="328">
        <f t="shared" si="54"/>
        <v>5732605.8220298477</v>
      </c>
      <c r="AX61" s="328">
        <f t="shared" si="54"/>
        <v>9064482.5479053557</v>
      </c>
      <c r="AY61" s="328">
        <f t="shared" ca="1" si="54"/>
        <v>10252504.912817344</v>
      </c>
      <c r="AZ61" s="328">
        <f t="shared" ca="1" si="54"/>
        <v>8641765.0844407901</v>
      </c>
      <c r="BA61" s="328">
        <f t="shared" ca="1" si="54"/>
        <v>8651627.1179351844</v>
      </c>
      <c r="BB61" s="328">
        <f t="shared" ca="1" si="54"/>
        <v>7036684.8184660356</v>
      </c>
      <c r="BC61" s="328">
        <f t="shared" si="54"/>
        <v>8030230.0784530332</v>
      </c>
      <c r="BD61" s="345">
        <f t="shared" ca="1" si="54"/>
        <v>85011814.781355992</v>
      </c>
      <c r="BE61" s="345">
        <f t="shared" ref="BE61:BF61" ca="1" si="55">BE41-SUM(BE43:BE60)</f>
        <v>115748786.47937545</v>
      </c>
      <c r="BF61" s="345">
        <f t="shared" ca="1" si="55"/>
        <v>144305269.39750117</v>
      </c>
      <c r="BG61" s="339"/>
    </row>
    <row r="62" spans="2:59" x14ac:dyDescent="0.35">
      <c r="B62" s="49" t="s">
        <v>37</v>
      </c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22">
        <f>P61/P$22</f>
        <v>-8.1594430525320352E-2</v>
      </c>
      <c r="Q62" s="323">
        <f t="shared" ref="Q62:BD62" si="56">Q61/Q$22</f>
        <v>1.0867608706481648E-2</v>
      </c>
      <c r="R62" s="323">
        <f t="shared" si="56"/>
        <v>-0.25379442075212733</v>
      </c>
      <c r="S62" s="322">
        <f t="shared" si="56"/>
        <v>6.1827174297399312E-2</v>
      </c>
      <c r="T62" s="323">
        <f t="shared" si="56"/>
        <v>6.5406420901678919E-2</v>
      </c>
      <c r="U62" s="323">
        <f t="shared" si="56"/>
        <v>3.7795885996856383E-2</v>
      </c>
      <c r="V62" s="323">
        <f t="shared" si="56"/>
        <v>0.13020878076536438</v>
      </c>
      <c r="W62" s="329">
        <f t="shared" ca="1" si="56"/>
        <v>0.17919582264988115</v>
      </c>
      <c r="X62" s="329">
        <f t="shared" ca="1" si="56"/>
        <v>0.17016970590124997</v>
      </c>
      <c r="Y62" s="329">
        <f t="shared" ca="1" si="56"/>
        <v>0.16765579031545272</v>
      </c>
      <c r="Z62" s="329">
        <f t="shared" ca="1" si="56"/>
        <v>0.13613868524448658</v>
      </c>
      <c r="AA62" s="329">
        <f t="shared" ca="1" si="56"/>
        <v>0.15308950935989074</v>
      </c>
      <c r="AB62" s="347">
        <f t="shared" ca="1" si="56"/>
        <v>8.3432574748421667E-2</v>
      </c>
      <c r="AC62" s="36"/>
      <c r="AD62" s="329">
        <f t="shared" si="56"/>
        <v>0.17218960494806548</v>
      </c>
      <c r="AE62" s="329">
        <f t="shared" si="56"/>
        <v>0.13459657778059625</v>
      </c>
      <c r="AF62" s="329">
        <f t="shared" si="56"/>
        <v>5.9321131877115761E-2</v>
      </c>
      <c r="AG62" s="329">
        <f t="shared" si="56"/>
        <v>0.14919257022190896</v>
      </c>
      <c r="AH62" s="329">
        <f t="shared" si="56"/>
        <v>0.19444025840016518</v>
      </c>
      <c r="AI62" s="329">
        <f t="shared" si="56"/>
        <v>0.15472602067103056</v>
      </c>
      <c r="AJ62" s="329">
        <f t="shared" si="56"/>
        <v>0.22069835604719926</v>
      </c>
      <c r="AK62" s="329">
        <f t="shared" ca="1" si="56"/>
        <v>0.23516037770439421</v>
      </c>
      <c r="AL62" s="329">
        <f t="shared" ca="1" si="56"/>
        <v>0.21468939321088104</v>
      </c>
      <c r="AM62" s="329">
        <f t="shared" ca="1" si="56"/>
        <v>0.21482665914839202</v>
      </c>
      <c r="AN62" s="329">
        <f t="shared" ca="1" si="56"/>
        <v>0.18707254750324673</v>
      </c>
      <c r="AO62" s="329">
        <f t="shared" si="56"/>
        <v>0.20493888273464425</v>
      </c>
      <c r="AP62" s="347">
        <f t="shared" ca="1" si="56"/>
        <v>0.18604296804429127</v>
      </c>
      <c r="AQ62" s="36"/>
      <c r="AR62" s="329">
        <f t="shared" si="56"/>
        <v>0.22737323084475405</v>
      </c>
      <c r="AS62" s="329">
        <f t="shared" si="56"/>
        <v>0.19766658374925958</v>
      </c>
      <c r="AT62" s="329">
        <f t="shared" si="56"/>
        <v>0.14046375160758923</v>
      </c>
      <c r="AU62" s="329">
        <f t="shared" si="56"/>
        <v>0.20264206552741082</v>
      </c>
      <c r="AV62" s="329">
        <f t="shared" si="56"/>
        <v>0.24273733375206835</v>
      </c>
      <c r="AW62" s="329">
        <f t="shared" si="56"/>
        <v>0.20925279771499655</v>
      </c>
      <c r="AX62" s="329">
        <f t="shared" si="56"/>
        <v>0.25400871876311099</v>
      </c>
      <c r="AY62" s="329">
        <f t="shared" ca="1" si="56"/>
        <v>0.26636366466868749</v>
      </c>
      <c r="AZ62" s="329">
        <f t="shared" ca="1" si="56"/>
        <v>0.24954679832858923</v>
      </c>
      <c r="BA62" s="329">
        <f t="shared" ca="1" si="56"/>
        <v>0.25126500612145203</v>
      </c>
      <c r="BB62" s="329">
        <f t="shared" ca="1" si="56"/>
        <v>0.22801260607573343</v>
      </c>
      <c r="BC62" s="329">
        <f t="shared" si="56"/>
        <v>0.24244811520957871</v>
      </c>
      <c r="BD62" s="347">
        <f t="shared" ca="1" si="56"/>
        <v>0.23114515610640005</v>
      </c>
      <c r="BE62" s="347">
        <f t="shared" ref="BE62:BF62" ca="1" si="57">BE61/BE$22</f>
        <v>0.27142169784248316</v>
      </c>
      <c r="BF62" s="347">
        <f t="shared" ca="1" si="57"/>
        <v>0.28921082190133074</v>
      </c>
    </row>
    <row r="63" spans="2:59" x14ac:dyDescent="0.35">
      <c r="B63" s="29" t="s">
        <v>28</v>
      </c>
      <c r="P63" s="319">
        <v>182040.33</v>
      </c>
      <c r="Q63" s="319">
        <v>185015.34</v>
      </c>
      <c r="R63" s="319">
        <v>188217.45</v>
      </c>
      <c r="S63" s="319">
        <v>205396.93</v>
      </c>
      <c r="T63" s="319">
        <v>208858</v>
      </c>
      <c r="U63" s="319">
        <v>216813.35</v>
      </c>
      <c r="V63" s="319">
        <v>219917.389999999</v>
      </c>
      <c r="W63" s="159"/>
      <c r="X63" s="159"/>
      <c r="Y63" s="159"/>
      <c r="Z63" s="159"/>
      <c r="AA63" s="159"/>
      <c r="AB63" s="326">
        <f t="shared" si="2"/>
        <v>1406258.7899999991</v>
      </c>
      <c r="AD63" s="331"/>
      <c r="AE63" s="331"/>
      <c r="AF63" s="331"/>
      <c r="AG63" s="331"/>
      <c r="AH63" s="331"/>
      <c r="AI63" s="331"/>
      <c r="AJ63" s="331"/>
      <c r="AK63" s="331"/>
      <c r="AL63" s="331"/>
      <c r="AM63" s="331"/>
      <c r="AN63" s="331"/>
      <c r="AO63" s="331"/>
      <c r="AP63" s="326">
        <f t="shared" si="3"/>
        <v>0</v>
      </c>
      <c r="AR63" s="331"/>
      <c r="AS63" s="331"/>
      <c r="AT63" s="331"/>
      <c r="AU63" s="331"/>
      <c r="AV63" s="331"/>
      <c r="AW63" s="331"/>
      <c r="AX63" s="331"/>
      <c r="AY63" s="331"/>
      <c r="AZ63" s="331"/>
      <c r="BA63" s="331"/>
      <c r="BB63" s="331"/>
      <c r="BC63" s="331"/>
      <c r="BD63" s="326">
        <f t="shared" si="5"/>
        <v>0</v>
      </c>
      <c r="BE63" s="326">
        <f t="shared" si="5"/>
        <v>0</v>
      </c>
      <c r="BF63" s="326">
        <f t="shared" si="5"/>
        <v>0</v>
      </c>
    </row>
    <row r="64" spans="2:59" x14ac:dyDescent="0.35">
      <c r="B64" s="29" t="s">
        <v>30</v>
      </c>
      <c r="P64" s="319">
        <v>1125368.8799999901</v>
      </c>
      <c r="Q64" s="319">
        <v>1176022.8899999999</v>
      </c>
      <c r="R64" s="319">
        <v>1028103.30999999</v>
      </c>
      <c r="S64" s="319">
        <v>1330732.07</v>
      </c>
      <c r="T64" s="319">
        <v>1150136.8799999901</v>
      </c>
      <c r="U64" s="319">
        <v>784790.69</v>
      </c>
      <c r="V64" s="319">
        <v>1032556.85</v>
      </c>
      <c r="W64" s="159">
        <f>'Interest Expense'!S31</f>
        <v>1267197.2057774886</v>
      </c>
      <c r="X64" s="159">
        <f>'Interest Expense'!T31</f>
        <v>1435839.2742233332</v>
      </c>
      <c r="Y64" s="159">
        <f>'Interest Expense'!U31</f>
        <v>1503784.3074408663</v>
      </c>
      <c r="Z64" s="159">
        <f>'Interest Expense'!V31</f>
        <v>1497283.339934729</v>
      </c>
      <c r="AA64" s="159">
        <f>'Interest Expense'!W31</f>
        <v>1490677.1576577767</v>
      </c>
      <c r="AB64" s="341">
        <f t="shared" si="2"/>
        <v>14822492.855034163</v>
      </c>
      <c r="AD64" s="159">
        <f>'Interest Expense'!Y31</f>
        <v>1483963.3997116764</v>
      </c>
      <c r="AE64" s="159">
        <f>'Interest Expense'!Z31</f>
        <v>1477139.6517664865</v>
      </c>
      <c r="AF64" s="159">
        <f>'Interest Expense'!AA31</f>
        <v>1456401.361507769</v>
      </c>
      <c r="AG64" s="159">
        <f>'Interest Expense'!AB31</f>
        <v>1430517.0537656141</v>
      </c>
      <c r="AH64" s="159">
        <f>'Interest Expense'!AC31</f>
        <v>1409801.9860672113</v>
      </c>
      <c r="AI64" s="159">
        <f>'Interest Expense'!AD31</f>
        <v>1385909.1955772755</v>
      </c>
      <c r="AJ64" s="159">
        <f>'Interest Expense'!AE31</f>
        <v>1365318.4346950862</v>
      </c>
      <c r="AK64" s="159">
        <f>'Interest Expense'!AF31</f>
        <v>1341888.3136444513</v>
      </c>
      <c r="AL64" s="159">
        <f>'Interest Expense'!AG31</f>
        <v>1320143.2743857214</v>
      </c>
      <c r="AM64" s="159">
        <f>'Interest Expense'!AH31</f>
        <v>1299614.8241818422</v>
      </c>
      <c r="AN64" s="159">
        <f>'Interest Expense'!AI31</f>
        <v>1278977.2380678821</v>
      </c>
      <c r="AO64" s="159">
        <f>'Interest Expense'!AJ31</f>
        <v>1258523.3962524862</v>
      </c>
      <c r="AP64" s="341">
        <f t="shared" si="3"/>
        <v>16508198.129623502</v>
      </c>
      <c r="AR64" s="159">
        <f>'Interest Expense'!AL31</f>
        <v>725835.34434498253</v>
      </c>
      <c r="AS64" s="159">
        <f>'Interest Expense'!AM31</f>
        <v>705709.12168226484</v>
      </c>
      <c r="AT64" s="159">
        <f>'Interest Expense'!AN31</f>
        <v>685472.38456463651</v>
      </c>
      <c r="AU64" s="159">
        <f>'Interest Expense'!AO31</f>
        <v>665122.73851224105</v>
      </c>
      <c r="AV64" s="159">
        <f>'Interest Expense'!AP31</f>
        <v>644657.73716482567</v>
      </c>
      <c r="AW64" s="159">
        <f>'Interest Expense'!AQ31</f>
        <v>624074.88115766447</v>
      </c>
      <c r="AX64" s="159">
        <f>'Interest Expense'!AR31</f>
        <v>603371.6169731298</v>
      </c>
      <c r="AY64" s="159">
        <f>'Interest Expense'!AS31</f>
        <v>582545.33576737856</v>
      </c>
      <c r="AZ64" s="159">
        <f>'Interest Expense'!AT31</f>
        <v>561593.3696182844</v>
      </c>
      <c r="BA64" s="159">
        <f>'Interest Expense'!AU31</f>
        <v>541736.47269373026</v>
      </c>
      <c r="BB64" s="159">
        <f>'Interest Expense'!AV31</f>
        <v>521748.38814136648</v>
      </c>
      <c r="BC64" s="159">
        <f>'Interest Expense'!AW31</f>
        <v>501626.27356259036</v>
      </c>
      <c r="BD64" s="341">
        <f t="shared" si="5"/>
        <v>7363493.664183096</v>
      </c>
      <c r="BE64" s="341">
        <f>SUM('Interest Expense'!AY31:'Interest Expense'!BJ31)</f>
        <v>4397043.5128756929</v>
      </c>
      <c r="BF64" s="341">
        <f>SUM('Interest Expense'!AZ31:'Interest Expense'!BK31)</f>
        <v>3915676.2879021964</v>
      </c>
    </row>
    <row r="65" spans="2:59" s="52" customFormat="1" x14ac:dyDescent="0.35">
      <c r="B65" s="51" t="s">
        <v>1354</v>
      </c>
      <c r="P65" s="75">
        <f t="shared" ref="P65:BD65" si="58">P64/P61</f>
        <v>-0.78347252492155539</v>
      </c>
      <c r="Q65" s="53">
        <f t="shared" si="58"/>
        <v>6.752034742905944</v>
      </c>
      <c r="R65" s="53">
        <f t="shared" si="58"/>
        <v>-0.32423314031730965</v>
      </c>
      <c r="S65" s="75">
        <f t="shared" si="58"/>
        <v>1.2299901680798615</v>
      </c>
      <c r="T65" s="53">
        <f t="shared" si="58"/>
        <v>0.84653489438752971</v>
      </c>
      <c r="U65" s="53">
        <f t="shared" si="58"/>
        <v>1.1995875711531832</v>
      </c>
      <c r="V65" s="53">
        <f t="shared" si="58"/>
        <v>0.34124080971360854</v>
      </c>
      <c r="W65" s="335">
        <f t="shared" ca="1" si="58"/>
        <v>0.28329125187965909</v>
      </c>
      <c r="X65" s="335">
        <f t="shared" ca="1" si="58"/>
        <v>0.37616572179688235</v>
      </c>
      <c r="Y65" s="335">
        <f t="shared" ca="1" si="58"/>
        <v>0.40453531324494313</v>
      </c>
      <c r="Z65" s="335">
        <f t="shared" ca="1" si="58"/>
        <v>0.55433101344771607</v>
      </c>
      <c r="AA65" s="335">
        <f t="shared" ca="1" si="58"/>
        <v>0.45593858885566019</v>
      </c>
      <c r="AB65" s="352">
        <f t="shared" ca="1" si="58"/>
        <v>0.75372802975306985</v>
      </c>
      <c r="AD65" s="335">
        <f t="shared" si="58"/>
        <v>0.37545140582223568</v>
      </c>
      <c r="AE65" s="335">
        <f t="shared" si="58"/>
        <v>0.54486031645991218</v>
      </c>
      <c r="AF65" s="335">
        <f t="shared" si="58"/>
        <v>1.5296779670599794</v>
      </c>
      <c r="AG65" s="335">
        <f t="shared" si="58"/>
        <v>0.43634584054427239</v>
      </c>
      <c r="AH65" s="335">
        <f t="shared" si="58"/>
        <v>0.28021938742036484</v>
      </c>
      <c r="AI65" s="335">
        <f t="shared" si="58"/>
        <v>0.40840398833029273</v>
      </c>
      <c r="AJ65" s="335">
        <f t="shared" si="58"/>
        <v>0.21355716058183877</v>
      </c>
      <c r="AK65" s="335">
        <f t="shared" ca="1" si="58"/>
        <v>0.18287698238680872</v>
      </c>
      <c r="AL65" s="335">
        <f t="shared" ca="1" si="58"/>
        <v>0.21930882280861827</v>
      </c>
      <c r="AM65" s="335">
        <f t="shared" ca="1" si="58"/>
        <v>0.21827596466825611</v>
      </c>
      <c r="AN65" s="335">
        <f t="shared" ca="1" si="58"/>
        <v>0.275669982590308</v>
      </c>
      <c r="AO65" s="335">
        <f t="shared" si="58"/>
        <v>0.23003562627375004</v>
      </c>
      <c r="AP65" s="352">
        <f t="shared" ca="1" si="58"/>
        <v>0.29942218516482305</v>
      </c>
      <c r="AR65" s="335">
        <f t="shared" si="58"/>
        <v>0.11140322350896641</v>
      </c>
      <c r="AS65" s="335">
        <f t="shared" si="58"/>
        <v>0.14180511552510974</v>
      </c>
      <c r="AT65" s="335">
        <f t="shared" si="58"/>
        <v>0.24148415877180748</v>
      </c>
      <c r="AU65" s="335">
        <f t="shared" si="58"/>
        <v>0.12170148479923391</v>
      </c>
      <c r="AV65" s="335">
        <f t="shared" si="58"/>
        <v>8.2583490041674576E-2</v>
      </c>
      <c r="AW65" s="335">
        <f t="shared" si="58"/>
        <v>0.10886408389696101</v>
      </c>
      <c r="AX65" s="335">
        <f t="shared" si="58"/>
        <v>6.6564375162546763E-2</v>
      </c>
      <c r="AY65" s="335">
        <f t="shared" ca="1" si="58"/>
        <v>5.6819805571524239E-2</v>
      </c>
      <c r="AZ65" s="335">
        <f t="shared" ca="1" si="58"/>
        <v>6.4985956471949755E-2</v>
      </c>
      <c r="BA65" s="335">
        <f t="shared" ca="1" si="58"/>
        <v>6.2616715365678199E-2</v>
      </c>
      <c r="BB65" s="335">
        <f t="shared" ca="1" si="58"/>
        <v>7.4146903208193601E-2</v>
      </c>
      <c r="BC65" s="335">
        <f t="shared" si="58"/>
        <v>6.2467235516522723E-2</v>
      </c>
      <c r="BD65" s="352">
        <f t="shared" ca="1" si="58"/>
        <v>8.6617297644115104E-2</v>
      </c>
      <c r="BE65" s="352">
        <f t="shared" ref="BE65:BF65" ca="1" si="59">BE64/BE61</f>
        <v>3.7987815221364539E-2</v>
      </c>
      <c r="BF65" s="352">
        <f t="shared" ca="1" si="59"/>
        <v>2.7134672935027287E-2</v>
      </c>
      <c r="BG65" s="340"/>
    </row>
    <row r="66" spans="2:59" x14ac:dyDescent="0.35">
      <c r="B66" s="32" t="s">
        <v>31</v>
      </c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>
        <f t="shared" ref="V66:AA66" si="60">IF((V61-V64)&gt;0,(V61-V64)*0.3,0)</f>
        <v>597999.67800000845</v>
      </c>
      <c r="W66" s="371">
        <f t="shared" ca="1" si="60"/>
        <v>961778.36443765182</v>
      </c>
      <c r="X66" s="371">
        <f t="shared" ca="1" si="60"/>
        <v>714359.95255394257</v>
      </c>
      <c r="Y66" s="371">
        <f t="shared" ca="1" si="60"/>
        <v>664058.55478574021</v>
      </c>
      <c r="Z66" s="371">
        <f t="shared" ca="1" si="60"/>
        <v>361134.08730644715</v>
      </c>
      <c r="AA66" s="371">
        <f t="shared" ca="1" si="60"/>
        <v>533637.60237412632</v>
      </c>
      <c r="AB66" s="50">
        <f t="shared" ca="1" si="2"/>
        <v>3832968.2394579165</v>
      </c>
      <c r="AD66" s="371">
        <f t="shared" ref="AD66:AN66" si="61">IF((AD61-AD64)&gt;0,(AD61-AD64)*0.3,0)</f>
        <v>740554.36261170672</v>
      </c>
      <c r="AE66" s="371">
        <f t="shared" si="61"/>
        <v>370170.95208051108</v>
      </c>
      <c r="AF66" s="371">
        <f t="shared" si="61"/>
        <v>0</v>
      </c>
      <c r="AG66" s="371">
        <f>IF((AG61-AG64)&gt;0,(AG61-AG64)*0.3,0)</f>
        <v>554365.46835527639</v>
      </c>
      <c r="AH66" s="371">
        <f t="shared" si="61"/>
        <v>1086378.9402535434</v>
      </c>
      <c r="AI66" s="371">
        <f t="shared" si="61"/>
        <v>602270.08751207672</v>
      </c>
      <c r="AJ66" s="371">
        <f t="shared" si="61"/>
        <v>1508371.2064247343</v>
      </c>
      <c r="AK66" s="371">
        <f t="shared" ca="1" si="61"/>
        <v>1798730.1854519045</v>
      </c>
      <c r="AL66" s="371">
        <f t="shared" ca="1" si="61"/>
        <v>1409825.9163620479</v>
      </c>
      <c r="AM66" s="371">
        <f t="shared" ca="1" si="61"/>
        <v>1396315.1824074374</v>
      </c>
      <c r="AN66" s="371">
        <f t="shared" ca="1" si="61"/>
        <v>1008163.743195534</v>
      </c>
      <c r="AO66" s="371">
        <f>IF((AO61-AO64)&gt;0,(AO61-AO64)*0.3,0)</f>
        <v>1263741.0052244014</v>
      </c>
      <c r="AP66" s="50">
        <f t="shared" ca="1" si="3"/>
        <v>11738887.049879173</v>
      </c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50">
        <f t="shared" si="5"/>
        <v>0</v>
      </c>
      <c r="BE66" s="50">
        <f t="shared" si="5"/>
        <v>0</v>
      </c>
      <c r="BF66" s="50">
        <f t="shared" si="5"/>
        <v>0</v>
      </c>
    </row>
    <row r="67" spans="2:59" x14ac:dyDescent="0.35">
      <c r="B67" s="42" t="s">
        <v>1436</v>
      </c>
      <c r="P67" s="44">
        <f t="shared" ref="P67:AA67" si="62">SUM(P38:P40)+SUM(P43:P59)</f>
        <v>7277264.5799999945</v>
      </c>
      <c r="Q67" s="44">
        <f t="shared" si="62"/>
        <v>6417789.2799999863</v>
      </c>
      <c r="R67" s="44">
        <f t="shared" si="62"/>
        <v>7778920.5999999987</v>
      </c>
      <c r="S67" s="44">
        <f t="shared" si="62"/>
        <v>6344160.5999999857</v>
      </c>
      <c r="T67" s="44">
        <f t="shared" si="62"/>
        <v>7094050.1599999936</v>
      </c>
      <c r="U67" s="44">
        <f t="shared" si="62"/>
        <v>5713130.8099999949</v>
      </c>
      <c r="V67" s="44">
        <f t="shared" si="62"/>
        <v>7158846.5899999933</v>
      </c>
      <c r="W67" s="374">
        <f t="shared" ca="1" si="62"/>
        <v>5867123.2944081686</v>
      </c>
      <c r="X67" s="374">
        <f t="shared" ca="1" si="62"/>
        <v>5668485.2874111179</v>
      </c>
      <c r="Y67" s="374">
        <f t="shared" ca="1" si="62"/>
        <v>5848641.043709428</v>
      </c>
      <c r="Z67" s="374">
        <f t="shared" ca="1" si="62"/>
        <v>5676623.1072549224</v>
      </c>
      <c r="AA67" s="374">
        <f t="shared" ca="1" si="62"/>
        <v>5817624.3469419926</v>
      </c>
      <c r="AB67" s="31">
        <f t="shared" ca="1" si="2"/>
        <v>76662659.699725583</v>
      </c>
      <c r="AD67" s="374">
        <f t="shared" ref="AD67:AO67" si="63">SUM(AD38:AD40)+SUM(AD43:AD59)</f>
        <v>6393618.9242454348</v>
      </c>
      <c r="AE67" s="374">
        <f t="shared" si="63"/>
        <v>6141069.3307766849</v>
      </c>
      <c r="AF67" s="374">
        <f t="shared" si="63"/>
        <v>5878044.3762766831</v>
      </c>
      <c r="AG67" s="374">
        <f t="shared" si="63"/>
        <v>5774322.607026685</v>
      </c>
      <c r="AH67" s="374">
        <f t="shared" si="63"/>
        <v>6584725.3506829329</v>
      </c>
      <c r="AI67" s="374">
        <f t="shared" si="63"/>
        <v>6365698.219807934</v>
      </c>
      <c r="AJ67" s="374">
        <f t="shared" si="63"/>
        <v>6397707.678495435</v>
      </c>
      <c r="AK67" s="374">
        <f t="shared" ca="1" si="63"/>
        <v>6670147.5332643418</v>
      </c>
      <c r="AL67" s="374">
        <f t="shared" ca="1" si="63"/>
        <v>6429258.4043362411</v>
      </c>
      <c r="AM67" s="374">
        <f t="shared" ca="1" si="63"/>
        <v>6637665.2367114155</v>
      </c>
      <c r="AN67" s="374">
        <f t="shared" ca="1" si="63"/>
        <v>6431995.665366821</v>
      </c>
      <c r="AO67" s="374">
        <f t="shared" si="63"/>
        <v>6493335.0725855697</v>
      </c>
      <c r="AP67" s="31">
        <f t="shared" ca="1" si="3"/>
        <v>76197588.399576172</v>
      </c>
      <c r="AR67" s="374">
        <f t="shared" ref="AR67:BE67" si="64">SUM(AR38:AR40)+SUM(AR43:AR59)</f>
        <v>7096830.4584213234</v>
      </c>
      <c r="AS67" s="374">
        <f t="shared" si="64"/>
        <v>6777127.1296244487</v>
      </c>
      <c r="AT67" s="374">
        <f t="shared" si="64"/>
        <v>6452235.8050431954</v>
      </c>
      <c r="AU67" s="374">
        <f t="shared" si="64"/>
        <v>6271803.4970838241</v>
      </c>
      <c r="AV67" s="374">
        <f t="shared" si="64"/>
        <v>7326039.6379103819</v>
      </c>
      <c r="AW67" s="374">
        <f t="shared" si="64"/>
        <v>7058026.5238244459</v>
      </c>
      <c r="AX67" s="374">
        <f t="shared" si="64"/>
        <v>7263837.7630056981</v>
      </c>
      <c r="AY67" s="374">
        <f t="shared" ca="1" si="64"/>
        <v>7610592.0930521507</v>
      </c>
      <c r="AZ67" s="374">
        <f t="shared" ca="1" si="64"/>
        <v>7311298.2531643715</v>
      </c>
      <c r="BA67" s="374">
        <f t="shared" ca="1" si="64"/>
        <v>7591950.5347489733</v>
      </c>
      <c r="BB67" s="374">
        <f t="shared" ca="1" si="64"/>
        <v>7333303.4870666228</v>
      </c>
      <c r="BC67" s="374">
        <f t="shared" si="64"/>
        <v>7404726.2901041247</v>
      </c>
      <c r="BD67" s="31">
        <f t="shared" ca="1" si="64"/>
        <v>85497771.473049566</v>
      </c>
      <c r="BE67" s="31">
        <f t="shared" ca="1" si="64"/>
        <v>96626123.534866571</v>
      </c>
      <c r="BF67" s="31">
        <f t="shared" ref="BF67" ca="1" si="65">SUM(BF38:BF40)+SUM(BF43:BF59)</f>
        <v>109732785.01052013</v>
      </c>
    </row>
    <row r="68" spans="2:59" x14ac:dyDescent="0.35">
      <c r="B68" s="45" t="s">
        <v>1436</v>
      </c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74">
        <f t="shared" ref="P68:BD68" si="66">P67/P18</f>
        <v>0.38836647065706448</v>
      </c>
      <c r="Q68" s="47">
        <f t="shared" si="66"/>
        <v>0.3903185411733241</v>
      </c>
      <c r="R68" s="47">
        <f t="shared" si="66"/>
        <v>0.59372288812395313</v>
      </c>
      <c r="S68" s="74">
        <f t="shared" si="66"/>
        <v>0.35366758253362413</v>
      </c>
      <c r="T68" s="47">
        <f t="shared" si="66"/>
        <v>0.33585869368150711</v>
      </c>
      <c r="U68" s="47">
        <f t="shared" si="66"/>
        <v>0.31910147463379557</v>
      </c>
      <c r="V68" s="47">
        <f t="shared" si="66"/>
        <v>0.30273206719386686</v>
      </c>
      <c r="W68" s="375">
        <f t="shared" ca="1" si="66"/>
        <v>0.23033934565414535</v>
      </c>
      <c r="X68" s="375">
        <f t="shared" ca="1" si="66"/>
        <v>0.24765593331209068</v>
      </c>
      <c r="Y68" s="375">
        <f t="shared" ca="1" si="66"/>
        <v>0.2585059184898546</v>
      </c>
      <c r="Z68" s="375">
        <f t="shared" ca="1" si="66"/>
        <v>0.28039022762786214</v>
      </c>
      <c r="AA68" s="375">
        <f t="shared" ca="1" si="66"/>
        <v>0.26695615330039685</v>
      </c>
      <c r="AB68" s="57">
        <f t="shared" ca="1" si="66"/>
        <v>0.31689656627335594</v>
      </c>
      <c r="AD68" s="375">
        <f t="shared" si="66"/>
        <v>0.27296709515381323</v>
      </c>
      <c r="AE68" s="375">
        <f t="shared" si="66"/>
        <v>0.29879114041999244</v>
      </c>
      <c r="AF68" s="375">
        <f t="shared" si="66"/>
        <v>0.35891143906045303</v>
      </c>
      <c r="AG68" s="375">
        <f t="shared" si="66"/>
        <v>0.25752068347026225</v>
      </c>
      <c r="AH68" s="375">
        <f t="shared" si="66"/>
        <v>0.24939629178284528</v>
      </c>
      <c r="AI68" s="375">
        <f t="shared" si="66"/>
        <v>0.28444000413348713</v>
      </c>
      <c r="AJ68" s="375">
        <f t="shared" si="66"/>
        <v>0.21643612517339889</v>
      </c>
      <c r="AK68" s="375">
        <f t="shared" ca="1" si="66"/>
        <v>0.20949243315790253</v>
      </c>
      <c r="AL68" s="375">
        <f t="shared" ca="1" si="66"/>
        <v>0.2247152683510196</v>
      </c>
      <c r="AM68" s="375">
        <f t="shared" ca="1" si="66"/>
        <v>0.23470419686498523</v>
      </c>
      <c r="AN68" s="375">
        <f t="shared" ca="1" si="66"/>
        <v>0.25416078462686442</v>
      </c>
      <c r="AO68" s="375">
        <f t="shared" si="66"/>
        <v>0.23837025558092897</v>
      </c>
      <c r="AP68" s="57">
        <f t="shared" ca="1" si="66"/>
        <v>0.25197929961433491</v>
      </c>
      <c r="AR68" s="375">
        <f t="shared" si="66"/>
        <v>0.24271101368114989</v>
      </c>
      <c r="AS68" s="375">
        <f t="shared" si="66"/>
        <v>0.26379777713705749</v>
      </c>
      <c r="AT68" s="375">
        <f t="shared" si="66"/>
        <v>0.31289545412943554</v>
      </c>
      <c r="AU68" s="375">
        <f t="shared" si="66"/>
        <v>0.22789888673923911</v>
      </c>
      <c r="AV68" s="375">
        <f t="shared" si="66"/>
        <v>0.22325230433506343</v>
      </c>
      <c r="AW68" s="375">
        <f t="shared" si="66"/>
        <v>0.25248091451982668</v>
      </c>
      <c r="AX68" s="375">
        <f t="shared" si="66"/>
        <v>0.19947929200132156</v>
      </c>
      <c r="AY68" s="375">
        <f t="shared" ca="1" si="66"/>
        <v>0.1937713283820226</v>
      </c>
      <c r="AZ68" s="375">
        <f t="shared" ca="1" si="66"/>
        <v>0.20690458856695801</v>
      </c>
      <c r="BA68" s="375">
        <f t="shared" ca="1" si="66"/>
        <v>0.21607954690514641</v>
      </c>
      <c r="BB68" s="375">
        <f t="shared" ca="1" si="66"/>
        <v>0.23287158210433168</v>
      </c>
      <c r="BC68" s="375">
        <f t="shared" si="66"/>
        <v>0.21909169187390423</v>
      </c>
      <c r="BD68" s="57">
        <f t="shared" ca="1" si="66"/>
        <v>0.22781713187773331</v>
      </c>
      <c r="BE68" s="57">
        <f t="shared" ref="BE68:BF68" ca="1" si="67">BE67/BE18</f>
        <v>0.22091605986455007</v>
      </c>
      <c r="BF68" s="57">
        <f t="shared" ca="1" si="67"/>
        <v>0.21442398706606067</v>
      </c>
    </row>
    <row r="69" spans="2:59" x14ac:dyDescent="0.35">
      <c r="B69" s="42" t="s">
        <v>1435</v>
      </c>
      <c r="P69" s="76">
        <f t="shared" ref="P69:AA69" si="68">P67+P34+SUM(P63:P64)</f>
        <v>19790780.489999983</v>
      </c>
      <c r="Q69" s="54">
        <f t="shared" si="68"/>
        <v>16843362.279999986</v>
      </c>
      <c r="R69" s="54">
        <f t="shared" si="68"/>
        <v>16501112.129999988</v>
      </c>
      <c r="S69" s="76">
        <f t="shared" si="68"/>
        <v>17295039.979999986</v>
      </c>
      <c r="T69" s="54">
        <f t="shared" si="68"/>
        <v>20316962.379999973</v>
      </c>
      <c r="U69" s="54">
        <f t="shared" si="68"/>
        <v>16894211.339999992</v>
      </c>
      <c r="V69" s="54">
        <f t="shared" si="68"/>
        <v>21333977.469999973</v>
      </c>
      <c r="W69" s="376">
        <f t="shared" ca="1" si="68"/>
        <v>21517479.837221399</v>
      </c>
      <c r="X69" s="376">
        <f t="shared" ca="1" si="68"/>
        <v>19806176.952572733</v>
      </c>
      <c r="Y69" s="376">
        <f t="shared" ca="1" si="68"/>
        <v>19681514.484764699</v>
      </c>
      <c r="Z69" s="376">
        <f t="shared" ca="1" si="68"/>
        <v>18387351.412376218</v>
      </c>
      <c r="AA69" s="376">
        <f t="shared" ca="1" si="68"/>
        <v>19323554.232253335</v>
      </c>
      <c r="AB69" s="31">
        <f t="shared" ca="1" si="2"/>
        <v>227691522.98918825</v>
      </c>
      <c r="AD69" s="376">
        <f t="shared" ref="AD69:AO69" si="69">AD67+AD34+SUM(AD63:AD64)</f>
        <v>20231465.629318282</v>
      </c>
      <c r="AE69" s="376">
        <f t="shared" si="69"/>
        <v>18653847.033505589</v>
      </c>
      <c r="AF69" s="376">
        <f t="shared" si="69"/>
        <v>16299939.90749687</v>
      </c>
      <c r="AG69" s="376">
        <f t="shared" si="69"/>
        <v>19872173.71358972</v>
      </c>
      <c r="AH69" s="376">
        <f t="shared" si="69"/>
        <v>21999104.02767881</v>
      </c>
      <c r="AI69" s="376">
        <f t="shared" si="69"/>
        <v>19670355.998483703</v>
      </c>
      <c r="AJ69" s="376">
        <f t="shared" si="69"/>
        <v>23686004.07694152</v>
      </c>
      <c r="AK69" s="376">
        <f t="shared" ca="1" si="69"/>
        <v>24952765.438190818</v>
      </c>
      <c r="AL69" s="376">
        <f t="shared" ca="1" si="69"/>
        <v>23084815.337382156</v>
      </c>
      <c r="AM69" s="376">
        <f t="shared" ca="1" si="69"/>
        <v>22806739.647898614</v>
      </c>
      <c r="AN69" s="376">
        <f t="shared" ca="1" si="69"/>
        <v>21185877.27990526</v>
      </c>
      <c r="AO69" s="376">
        <f t="shared" si="69"/>
        <v>22229022.548392359</v>
      </c>
      <c r="AP69" s="31">
        <f t="shared" ca="1" si="3"/>
        <v>254672110.63878372</v>
      </c>
      <c r="AR69" s="376">
        <f t="shared" ref="AR69:BE69" si="70">AR67+AR34+SUM(AR63:AR64)</f>
        <v>22611247.396529183</v>
      </c>
      <c r="AS69" s="376">
        <f t="shared" si="70"/>
        <v>20651660.177885707</v>
      </c>
      <c r="AT69" s="376">
        <f t="shared" si="70"/>
        <v>17801290.556079578</v>
      </c>
      <c r="AU69" s="376">
        <f t="shared" si="70"/>
        <v>21915397.83297544</v>
      </c>
      <c r="AV69" s="376">
        <f t="shared" si="70"/>
        <v>24743052.342989635</v>
      </c>
      <c r="AW69" s="376">
        <f t="shared" si="70"/>
        <v>22032829.408685099</v>
      </c>
      <c r="AX69" s="376">
        <f t="shared" si="70"/>
        <v>26970364.229575079</v>
      </c>
      <c r="AY69" s="376">
        <f t="shared" ca="1" si="70"/>
        <v>28566430.048857484</v>
      </c>
      <c r="AZ69" s="376">
        <f t="shared" ca="1" si="70"/>
        <v>26295426.761560988</v>
      </c>
      <c r="BA69" s="376">
        <f t="shared" ca="1" si="70"/>
        <v>26068150.582735118</v>
      </c>
      <c r="BB69" s="376">
        <f t="shared" ca="1" si="70"/>
        <v>24091770.924117286</v>
      </c>
      <c r="BC69" s="376">
        <f t="shared" si="70"/>
        <v>25338594.564851511</v>
      </c>
      <c r="BD69" s="31">
        <f t="shared" ca="1" si="70"/>
        <v>287086214.82684213</v>
      </c>
      <c r="BE69" s="31">
        <f t="shared" ca="1" si="70"/>
        <v>322985795.42056066</v>
      </c>
      <c r="BF69" s="31">
        <f t="shared" ref="BF69" ca="1" si="71">BF67+BF34+SUM(BF63:BF64)</f>
        <v>368315645.80474216</v>
      </c>
    </row>
    <row r="70" spans="2:59" x14ac:dyDescent="0.35">
      <c r="B70" s="45" t="s">
        <v>1435</v>
      </c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74">
        <f t="shared" ref="P70:BD70" si="72">P69/P22</f>
        <v>1.1242225887732555</v>
      </c>
      <c r="Q70" s="47">
        <f t="shared" si="72"/>
        <v>1.050949084853277</v>
      </c>
      <c r="R70" s="47">
        <f t="shared" si="72"/>
        <v>1.3207357431461275</v>
      </c>
      <c r="S70" s="74">
        <f t="shared" si="72"/>
        <v>0.9883527732388081</v>
      </c>
      <c r="T70" s="47">
        <f t="shared" si="72"/>
        <v>0.97808026503152101</v>
      </c>
      <c r="U70" s="47">
        <f t="shared" si="72"/>
        <v>0.97602416013534721</v>
      </c>
      <c r="V70" s="47">
        <f t="shared" si="72"/>
        <v>0.91803469798813064</v>
      </c>
      <c r="W70" s="375">
        <f t="shared" ca="1" si="72"/>
        <v>0.86200193949090076</v>
      </c>
      <c r="X70" s="375">
        <f t="shared" ca="1" si="72"/>
        <v>0.88299103167633797</v>
      </c>
      <c r="Y70" s="375">
        <f t="shared" ca="1" si="72"/>
        <v>0.88766268062856224</v>
      </c>
      <c r="Z70" s="375">
        <f t="shared" ca="1" si="72"/>
        <v>0.92675708106997412</v>
      </c>
      <c r="AA70" s="375">
        <f t="shared" ca="1" si="72"/>
        <v>0.90480542457961333</v>
      </c>
      <c r="AB70" s="57">
        <f t="shared" ca="1" si="72"/>
        <v>0.96599732715325859</v>
      </c>
      <c r="AD70" s="375">
        <f t="shared" si="72"/>
        <v>0.88138330575720891</v>
      </c>
      <c r="AE70" s="375">
        <f t="shared" si="72"/>
        <v>0.92611741491453292</v>
      </c>
      <c r="AF70" s="375">
        <f t="shared" si="72"/>
        <v>1.0155805324714013</v>
      </c>
      <c r="AG70" s="375">
        <f t="shared" si="72"/>
        <v>0.90433714931729825</v>
      </c>
      <c r="AH70" s="375">
        <f t="shared" si="72"/>
        <v>0.8502198579184943</v>
      </c>
      <c r="AI70" s="375">
        <f t="shared" si="72"/>
        <v>0.89687263760038416</v>
      </c>
      <c r="AJ70" s="375">
        <f t="shared" si="72"/>
        <v>0.81765685411300837</v>
      </c>
      <c r="AK70" s="375">
        <f t="shared" ca="1" si="72"/>
        <v>0.79969707850915495</v>
      </c>
      <c r="AL70" s="375">
        <f t="shared" ca="1" si="72"/>
        <v>0.82332637781124429</v>
      </c>
      <c r="AM70" s="375">
        <f t="shared" ca="1" si="72"/>
        <v>0.82289161915553399</v>
      </c>
      <c r="AN70" s="375">
        <f t="shared" ca="1" si="72"/>
        <v>0.85424643702045111</v>
      </c>
      <c r="AO70" s="375">
        <f t="shared" si="72"/>
        <v>0.83268077676174224</v>
      </c>
      <c r="AP70" s="57">
        <f t="shared" ca="1" si="72"/>
        <v>0.85936754877319455</v>
      </c>
      <c r="AR70" s="375">
        <f t="shared" si="72"/>
        <v>0.78908447708319618</v>
      </c>
      <c r="AS70" s="375">
        <f t="shared" si="72"/>
        <v>0.82026540168642492</v>
      </c>
      <c r="AT70" s="375">
        <f t="shared" si="72"/>
        <v>0.88087530714910356</v>
      </c>
      <c r="AU70" s="375">
        <f t="shared" si="72"/>
        <v>0.81259293847730585</v>
      </c>
      <c r="AV70" s="375">
        <f t="shared" si="72"/>
        <v>0.76940301585606363</v>
      </c>
      <c r="AW70" s="375">
        <f t="shared" si="72"/>
        <v>0.80424702804912396</v>
      </c>
      <c r="AX70" s="375">
        <f t="shared" si="72"/>
        <v>0.75577481961304938</v>
      </c>
      <c r="AY70" s="375">
        <f t="shared" ca="1" si="72"/>
        <v>0.74216584717777589</v>
      </c>
      <c r="AZ70" s="375">
        <f t="shared" ca="1" si="72"/>
        <v>0.75932862035858872</v>
      </c>
      <c r="BA70" s="375">
        <f t="shared" ca="1" si="72"/>
        <v>0.75708464158925892</v>
      </c>
      <c r="BB70" s="375">
        <f t="shared" ca="1" si="72"/>
        <v>0.78065560915446275</v>
      </c>
      <c r="BC70" s="375">
        <f t="shared" si="72"/>
        <v>0.76502098125330253</v>
      </c>
      <c r="BD70" s="57">
        <f t="shared" ca="1" si="72"/>
        <v>0.78058077118827818</v>
      </c>
      <c r="BE70" s="57">
        <f t="shared" ref="BE70:BF70" ca="1" si="73">BE69/BE22</f>
        <v>0.75737600054817023</v>
      </c>
      <c r="BF70" s="57">
        <f t="shared" ca="1" si="73"/>
        <v>0.73816341625674164</v>
      </c>
    </row>
    <row r="71" spans="2:59" s="27" customFormat="1" x14ac:dyDescent="0.35">
      <c r="B71" s="27" t="s">
        <v>38</v>
      </c>
      <c r="P71" s="35">
        <f>P61-SUM(P63:P64)</f>
        <v>-2743795.0999999833</v>
      </c>
      <c r="Q71" s="35">
        <f>Q61-SUM(Q63:Q64)</f>
        <v>-1186865.1199999969</v>
      </c>
      <c r="R71" s="35">
        <f t="shared" ref="R71:S71" si="74">R61-SUM(R63:R64)</f>
        <v>-4387197.4599999972</v>
      </c>
      <c r="S71" s="35">
        <f t="shared" si="74"/>
        <v>-454224.35999998543</v>
      </c>
      <c r="T71" s="35">
        <f>T61-SUM(T63:T64)</f>
        <v>-354.03999998373911</v>
      </c>
      <c r="U71" s="35">
        <f t="shared" ref="U71:AA71" si="75">U61-SUM(U63:U66)</f>
        <v>-347388.14958757407</v>
      </c>
      <c r="V71" s="35">
        <f t="shared" si="75"/>
        <v>1175414.850759211</v>
      </c>
      <c r="W71" s="39">
        <f t="shared" ca="1" si="75"/>
        <v>2244149.2337299357</v>
      </c>
      <c r="X71" s="39">
        <f t="shared" ca="1" si="75"/>
        <v>1666839.513126811</v>
      </c>
      <c r="Y71" s="39">
        <f t="shared" ca="1" si="75"/>
        <v>1549469.5566314142</v>
      </c>
      <c r="Z71" s="39">
        <f t="shared" ca="1" si="75"/>
        <v>842645.64938402991</v>
      </c>
      <c r="AA71" s="39">
        <f t="shared" ca="1" si="75"/>
        <v>1245153.9496010393</v>
      </c>
      <c r="AB71" s="31">
        <f t="shared" ca="1" si="2"/>
        <v>-396151.47635507886</v>
      </c>
      <c r="AD71" s="39">
        <f t="shared" ref="AD71:AN71" si="76">AD61-SUM(AD63:AD66)</f>
        <v>1727959.8039759099</v>
      </c>
      <c r="AE71" s="39">
        <f t="shared" si="76"/>
        <v>863731.67666087626</v>
      </c>
      <c r="AF71" s="39">
        <f t="shared" si="76"/>
        <v>-504306.18006754364</v>
      </c>
      <c r="AG71" s="39">
        <f t="shared" si="76"/>
        <v>1293518.989816471</v>
      </c>
      <c r="AH71" s="39">
        <f t="shared" si="76"/>
        <v>2534883.9137055473</v>
      </c>
      <c r="AI71" s="39">
        <f t="shared" si="76"/>
        <v>1405296.4624575241</v>
      </c>
      <c r="AJ71" s="39">
        <f t="shared" si="76"/>
        <v>3519532.6014338862</v>
      </c>
      <c r="AK71" s="39">
        <f t="shared" ca="1" si="76"/>
        <v>4197036.9165107952</v>
      </c>
      <c r="AL71" s="39">
        <f t="shared" ca="1" si="76"/>
        <v>3289593.5855359556</v>
      </c>
      <c r="AM71" s="39">
        <f t="shared" ca="1" si="76"/>
        <v>3258068.5406747223</v>
      </c>
      <c r="AN71" s="39">
        <f t="shared" ca="1" si="76"/>
        <v>2352381.7917862637</v>
      </c>
      <c r="AO71" s="39">
        <f>AO61-SUM(AO63:AO66)</f>
        <v>2948728.7821546434</v>
      </c>
      <c r="AP71" s="31">
        <f t="shared" ca="1" si="3"/>
        <v>26886426.884645052</v>
      </c>
      <c r="AR71" s="39">
        <f t="shared" ref="AR71:BE71" si="77">AR61-SUM(AR63:AR66)</f>
        <v>5789553.6100499025</v>
      </c>
      <c r="AS71" s="39">
        <f t="shared" si="77"/>
        <v>4270903.3154664692</v>
      </c>
      <c r="AT71" s="39">
        <f t="shared" si="77"/>
        <v>2153108.5382435569</v>
      </c>
      <c r="AU71" s="39">
        <f t="shared" si="77"/>
        <v>4800075.3632053845</v>
      </c>
      <c r="AV71" s="39">
        <f t="shared" si="77"/>
        <v>7161475.5470966594</v>
      </c>
      <c r="AW71" s="39">
        <f t="shared" si="77"/>
        <v>5108530.8320080992</v>
      </c>
      <c r="AX71" s="39">
        <f t="shared" si="77"/>
        <v>8461110.8643678501</v>
      </c>
      <c r="AY71" s="39">
        <f t="shared" ca="1" si="77"/>
        <v>9669959.5202301592</v>
      </c>
      <c r="AZ71" s="39">
        <f t="shared" ca="1" si="77"/>
        <v>8080171.6498365495</v>
      </c>
      <c r="BA71" s="39">
        <f t="shared" ca="1" si="77"/>
        <v>8109890.582624739</v>
      </c>
      <c r="BB71" s="39">
        <f t="shared" ca="1" si="77"/>
        <v>6514936.3561777659</v>
      </c>
      <c r="BC71" s="39">
        <f t="shared" si="77"/>
        <v>7528603.7424232075</v>
      </c>
      <c r="BD71" s="31">
        <f t="shared" ca="1" si="77"/>
        <v>77648321.030555606</v>
      </c>
      <c r="BE71" s="31">
        <f t="shared" ca="1" si="77"/>
        <v>111351742.92851195</v>
      </c>
      <c r="BF71" s="31">
        <f t="shared" ref="BF71" ca="1" si="78">BF61-SUM(BF63:BF66)</f>
        <v>140389593.08246431</v>
      </c>
      <c r="BG71" s="339"/>
    </row>
    <row r="72" spans="2:59" x14ac:dyDescent="0.35">
      <c r="B72" s="49" t="s">
        <v>38</v>
      </c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73">
        <f>P71/P$22</f>
        <v>-0.15586229314927627</v>
      </c>
      <c r="Q72" s="41">
        <f t="shared" ref="Q72:BD72" si="79">Q71/Q$22</f>
        <v>-7.4054977324175472E-2</v>
      </c>
      <c r="R72" s="41">
        <f t="shared" si="79"/>
        <v>-0.35114775610350957</v>
      </c>
      <c r="S72" s="73">
        <f t="shared" si="79"/>
        <v>-2.5957378901566939E-2</v>
      </c>
      <c r="T72" s="41">
        <f t="shared" si="79"/>
        <v>-1.7043863671113206E-5</v>
      </c>
      <c r="U72" s="41">
        <f t="shared" si="79"/>
        <v>-2.0069550458351522E-2</v>
      </c>
      <c r="V72" s="41">
        <f t="shared" si="79"/>
        <v>5.0579954865186107E-2</v>
      </c>
      <c r="W72" s="53">
        <f t="shared" ca="1" si="79"/>
        <v>8.9901838255052116E-2</v>
      </c>
      <c r="X72" s="53">
        <f t="shared" ca="1" si="79"/>
        <v>7.4310370186990937E-2</v>
      </c>
      <c r="Y72" s="53">
        <f t="shared" ca="1" si="79"/>
        <v>6.9883153618919003E-2</v>
      </c>
      <c r="Z72" s="53">
        <f t="shared" ca="1" si="79"/>
        <v>4.2470924979104221E-2</v>
      </c>
      <c r="AA72" s="53">
        <f t="shared" ca="1" si="79"/>
        <v>5.8303044796763272E-2</v>
      </c>
      <c r="AB72" s="344">
        <f t="shared" ca="1" si="79"/>
        <v>-1.6807005473145999E-3</v>
      </c>
      <c r="AC72" s="36"/>
      <c r="AD72" s="53">
        <f t="shared" si="79"/>
        <v>7.5278526635105911E-2</v>
      </c>
      <c r="AE72" s="53">
        <f t="shared" si="79"/>
        <v>4.2882143620679124E-2</v>
      </c>
      <c r="AF72" s="53">
        <f t="shared" si="79"/>
        <v>-3.1421191844152374E-2</v>
      </c>
      <c r="AG72" s="53">
        <f t="shared" si="79"/>
        <v>5.8865089078728144E-2</v>
      </c>
      <c r="AH72" s="53">
        <f t="shared" si="79"/>
        <v>9.7968018981089824E-2</v>
      </c>
      <c r="AI72" s="53">
        <f t="shared" si="79"/>
        <v>6.407468909011739E-2</v>
      </c>
      <c r="AJ72" s="53">
        <f t="shared" si="79"/>
        <v>0.12149664187713841</v>
      </c>
      <c r="AK72" s="53">
        <f t="shared" ca="1" si="79"/>
        <v>0.13450846435608965</v>
      </c>
      <c r="AL72" s="53">
        <f t="shared" ca="1" si="79"/>
        <v>0.11732427275970397</v>
      </c>
      <c r="AM72" s="53">
        <f t="shared" ca="1" si="79"/>
        <v>0.11755460614479184</v>
      </c>
      <c r="AN72" s="53">
        <f t="shared" ca="1" si="79"/>
        <v>9.4851571997503173E-2</v>
      </c>
      <c r="AO72" s="53">
        <f t="shared" si="79"/>
        <v>0.11045693833091234</v>
      </c>
      <c r="AP72" s="344">
        <f t="shared" ca="1" si="79"/>
        <v>9.0725767769281818E-2</v>
      </c>
      <c r="AQ72" s="36"/>
      <c r="AR72" s="53">
        <f t="shared" si="79"/>
        <v>0.20204311610126438</v>
      </c>
      <c r="AS72" s="53">
        <f t="shared" si="79"/>
        <v>0.16963644537287018</v>
      </c>
      <c r="AT72" s="53">
        <f t="shared" si="79"/>
        <v>0.10654396876314724</v>
      </c>
      <c r="AU72" s="53">
        <f t="shared" si="79"/>
        <v>0.1779802207574169</v>
      </c>
      <c r="AV72" s="53">
        <f t="shared" si="79"/>
        <v>0.22269123499941873</v>
      </c>
      <c r="AW72" s="53">
        <f t="shared" si="79"/>
        <v>0.18647267961509739</v>
      </c>
      <c r="AX72" s="53">
        <f t="shared" si="79"/>
        <v>0.23710078524751066</v>
      </c>
      <c r="AY72" s="53">
        <f t="shared" ca="1" si="79"/>
        <v>0.25122893155469556</v>
      </c>
      <c r="AZ72" s="53">
        <f t="shared" ca="1" si="79"/>
        <v>0.23332975907810455</v>
      </c>
      <c r="BA72" s="53">
        <f t="shared" ca="1" si="79"/>
        <v>0.23553161493324279</v>
      </c>
      <c r="BB72" s="53">
        <f t="shared" ca="1" si="79"/>
        <v>0.21110617504017529</v>
      </c>
      <c r="BC72" s="53">
        <f t="shared" si="79"/>
        <v>0.22730304981023874</v>
      </c>
      <c r="BD72" s="344">
        <f t="shared" ca="1" si="79"/>
        <v>0.21112398708542615</v>
      </c>
      <c r="BE72" s="344">
        <f t="shared" ref="BE72:BF72" ca="1" si="80">BE71/BE$22</f>
        <v>0.26111098044869546</v>
      </c>
      <c r="BF72" s="344">
        <f t="shared" ca="1" si="80"/>
        <v>0.28136318078538552</v>
      </c>
    </row>
    <row r="73" spans="2:59" x14ac:dyDescent="0.35"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5"/>
      <c r="AP73" s="35"/>
      <c r="BD73" s="35"/>
      <c r="BE73" s="35"/>
      <c r="BF73" s="35"/>
    </row>
    <row r="74" spans="2:59" x14ac:dyDescent="0.35">
      <c r="P74" s="30"/>
      <c r="Q74" s="63"/>
      <c r="R74" s="63"/>
      <c r="S74" s="30">
        <f t="shared" ref="S74:AA74" si="81">S67+SUM(S27:S33)</f>
        <v>9128302.1599999852</v>
      </c>
      <c r="T74" s="63">
        <f t="shared" si="81"/>
        <v>10087400.049999982</v>
      </c>
      <c r="U74" s="63">
        <f t="shared" si="81"/>
        <v>8756062.1199999936</v>
      </c>
      <c r="V74" s="63">
        <f t="shared" si="81"/>
        <v>10118263.519999985</v>
      </c>
      <c r="W74" s="63">
        <f t="shared" ca="1" si="81"/>
        <v>8757766.0588366576</v>
      </c>
      <c r="X74" s="63">
        <f t="shared" ca="1" si="81"/>
        <v>8104982.3193830522</v>
      </c>
      <c r="Y74" s="30">
        <f t="shared" ca="1" si="81"/>
        <v>8280311.1859762352</v>
      </c>
      <c r="Z74" s="63">
        <f t="shared" ca="1" si="81"/>
        <v>8064751.1930921748</v>
      </c>
      <c r="AA74" s="63">
        <f t="shared" ca="1" si="81"/>
        <v>8234062.4502462456</v>
      </c>
      <c r="AB74" s="64"/>
      <c r="AP74" s="64"/>
      <c r="BD74" s="64"/>
      <c r="BE74" s="64"/>
      <c r="BF74" s="64"/>
    </row>
    <row r="75" spans="2:59" x14ac:dyDescent="0.35">
      <c r="P75" s="55"/>
      <c r="Q75" s="55"/>
      <c r="R75" s="55"/>
      <c r="S75" s="278">
        <f t="shared" ref="S75:AA75" si="82">S74/S18</f>
        <v>0.50887497355657441</v>
      </c>
      <c r="T75" s="65">
        <f t="shared" si="82"/>
        <v>0.47757499975666462</v>
      </c>
      <c r="U75" s="65">
        <f t="shared" si="82"/>
        <v>0.48906150189778669</v>
      </c>
      <c r="V75" s="65">
        <f t="shared" si="82"/>
        <v>0.42787937879555676</v>
      </c>
      <c r="W75" s="65">
        <f t="shared" ca="1" si="82"/>
        <v>0.3438240517814114</v>
      </c>
      <c r="X75" s="65">
        <f t="shared" ca="1" si="82"/>
        <v>0.35410640744584926</v>
      </c>
      <c r="Y75" s="65">
        <f t="shared" ca="1" si="82"/>
        <v>0.36598406920781251</v>
      </c>
      <c r="Z75" s="65">
        <f t="shared" ca="1" si="82"/>
        <v>0.39834905014271532</v>
      </c>
      <c r="AA75" s="65">
        <f t="shared" ca="1" si="82"/>
        <v>0.37784042190837175</v>
      </c>
      <c r="AB75" s="56"/>
      <c r="AP75" s="56"/>
      <c r="BD75" s="56"/>
      <c r="BE75" s="56"/>
      <c r="BF75" s="56"/>
    </row>
    <row r="78" spans="2:59" x14ac:dyDescent="0.35">
      <c r="P78" s="35">
        <v>-2646016.62</v>
      </c>
      <c r="Q78" s="35">
        <v>-1418262.5500000201</v>
      </c>
      <c r="R78" s="35">
        <v>-4558114.9400000004</v>
      </c>
      <c r="S78" s="35">
        <v>-375338.20999998797</v>
      </c>
      <c r="T78" s="35">
        <v>11240.0000000125</v>
      </c>
      <c r="U78" s="35">
        <v>-307420.949999973</v>
      </c>
      <c r="V78" s="35">
        <v>1774466.26</v>
      </c>
      <c r="W78" s="39"/>
    </row>
    <row r="79" spans="2:59" x14ac:dyDescent="0.35">
      <c r="S79" s="39"/>
    </row>
  </sheetData>
  <mergeCells count="1">
    <mergeCell ref="BG15:BG16"/>
  </mergeCells>
  <conditionalFormatting sqref="P78:W78">
    <cfRule type="expression" dxfId="113" priority="1">
      <formula>"&lt;0"</formula>
    </cfRule>
  </conditionalFormatting>
  <conditionalFormatting sqref="P71:AB72 AD71:AP72">
    <cfRule type="expression" dxfId="112" priority="4">
      <formula>"&lt;0"</formula>
    </cfRule>
  </conditionalFormatting>
  <conditionalFormatting sqref="AR71:BF72">
    <cfRule type="expression" dxfId="111" priority="3">
      <formula>"&lt;0"</formula>
    </cfRule>
  </conditionalFormatting>
  <pageMargins left="0.7" right="0.7" top="0.75" bottom="0.75" header="0.3" footer="0.3"/>
  <headerFooter>
    <oddHeader>&amp;R&amp;"Calibri"&amp;10&amp;K000000 Confidencial&amp;1#_x000D_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5448-AAC4-4966-99EE-D71D10A62CD4}">
  <sheetPr codeName="Sheet14"/>
  <dimension ref="C7:J11"/>
  <sheetViews>
    <sheetView showGridLines="0" workbookViewId="0">
      <selection activeCell="H8" sqref="H8"/>
    </sheetView>
  </sheetViews>
  <sheetFormatPr baseColWidth="10" defaultColWidth="8.88671875" defaultRowHeight="14.4" x14ac:dyDescent="0.3"/>
  <cols>
    <col min="3" max="3" width="17.44140625" bestFit="1" customWidth="1"/>
    <col min="4" max="4" width="14.44140625" bestFit="1" customWidth="1"/>
    <col min="5" max="5" width="1.5546875" customWidth="1"/>
    <col min="6" max="6" width="15.5546875" customWidth="1"/>
    <col min="7" max="7" width="6.109375" bestFit="1" customWidth="1"/>
    <col min="8" max="8" width="15.5546875" customWidth="1"/>
    <col min="9" max="9" width="6.109375" bestFit="1" customWidth="1"/>
    <col min="10" max="10" width="14.44140625" bestFit="1" customWidth="1"/>
  </cols>
  <sheetData>
    <row r="7" spans="3:10" x14ac:dyDescent="0.3">
      <c r="D7" s="225" t="s">
        <v>1808</v>
      </c>
      <c r="F7" s="225" t="s">
        <v>1809</v>
      </c>
      <c r="G7" s="229" t="s">
        <v>202</v>
      </c>
      <c r="H7" s="225" t="s">
        <v>1816</v>
      </c>
      <c r="I7" s="229" t="s">
        <v>202</v>
      </c>
      <c r="J7" s="231" t="s">
        <v>1810</v>
      </c>
    </row>
    <row r="8" spans="3:10" x14ac:dyDescent="0.3">
      <c r="C8" s="228" t="s">
        <v>33</v>
      </c>
      <c r="D8" s="24">
        <f ca="1">IS!AA18</f>
        <v>232785279.30620217</v>
      </c>
      <c r="F8" s="24">
        <f ca="1">'IS (ROLLING)'!AB18</f>
        <v>241916978.15241122</v>
      </c>
      <c r="G8" s="230">
        <f ca="1">F8/F$8</f>
        <v>1</v>
      </c>
      <c r="H8" s="24">
        <f>'IS (BEAR)'!AA18</f>
        <v>221508065.44999999</v>
      </c>
      <c r="I8" s="230">
        <f>H8/H$8</f>
        <v>1</v>
      </c>
      <c r="J8" s="226">
        <f ca="1">H8/F8-1</f>
        <v>-8.4363292143775581E-2</v>
      </c>
    </row>
    <row r="9" spans="3:10" x14ac:dyDescent="0.3">
      <c r="C9" s="228" t="s">
        <v>36</v>
      </c>
      <c r="D9" s="227">
        <f ca="1">IS!AA35</f>
        <v>94673024.68037951</v>
      </c>
      <c r="F9" s="227">
        <f ca="1">'IS (ROLLING)'!AB36</f>
        <v>101281872.16693445</v>
      </c>
      <c r="G9" s="230">
        <f t="shared" ref="G9:I11" ca="1" si="0">F9/F$8</f>
        <v>0.41866376200816047</v>
      </c>
      <c r="H9" s="24">
        <f>'IS (BEAR)'!AA35</f>
        <v>86404581.605527043</v>
      </c>
      <c r="I9" s="230">
        <f t="shared" si="0"/>
        <v>0.39007420081970223</v>
      </c>
      <c r="J9" s="226">
        <f ca="1">H9/F9-1</f>
        <v>-0.14688996404891097</v>
      </c>
    </row>
    <row r="10" spans="3:10" x14ac:dyDescent="0.3">
      <c r="C10" s="228" t="s">
        <v>37</v>
      </c>
      <c r="D10" s="227">
        <f ca="1">IS!AA59</f>
        <v>32130401.521526195</v>
      </c>
      <c r="F10" s="227">
        <f ca="1">'IS (ROLLING)'!AB61</f>
        <v>19665572.023227245</v>
      </c>
      <c r="G10" s="230">
        <f t="shared" ca="1" si="0"/>
        <v>8.1290582303973916E-2</v>
      </c>
      <c r="H10" s="24">
        <f ca="1">'IS (BEAR)'!AA59</f>
        <v>28371217.618700564</v>
      </c>
      <c r="I10" s="230">
        <f t="shared" ca="1" si="0"/>
        <v>0.12808209742188675</v>
      </c>
      <c r="J10" s="226">
        <f ca="1">H10/F10-1</f>
        <v>0.44268458528391519</v>
      </c>
    </row>
    <row r="11" spans="3:10" x14ac:dyDescent="0.3">
      <c r="C11" s="228" t="s">
        <v>38</v>
      </c>
      <c r="D11" s="227">
        <f ca="1">IS!AA70</f>
        <v>7005782.9190072622</v>
      </c>
      <c r="F11" s="227">
        <f ca="1">'IS (ROLLING)'!AB71</f>
        <v>-396151.47635507886</v>
      </c>
      <c r="G11" s="230">
        <f t="shared" ca="1" si="0"/>
        <v>-1.6375513590678934E-3</v>
      </c>
      <c r="H11" s="227">
        <f ca="1">'IS (BEAR)'!AA70</f>
        <v>5189922.1189465057</v>
      </c>
      <c r="I11" s="230">
        <f t="shared" ca="1" si="0"/>
        <v>2.3429946482549202E-2</v>
      </c>
      <c r="J11" s="226">
        <f ca="1">H11/F11-1</f>
        <v>-14.100852650350014</v>
      </c>
    </row>
  </sheetData>
  <pageMargins left="0.7" right="0.7" top="0.75" bottom="0.75" header="0.3" footer="0.3"/>
  <headerFooter>
    <oddHeader>&amp;R&amp;"Calibri"&amp;10&amp;K000000 Confidencial&amp;1#_x000D_</oddHeader>
  </headerFooter>
  <ignoredErrors>
    <ignoredError sqref="H8:H11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4D4DD-42BA-4D6E-B533-49022961DC72}">
  <sheetPr codeName="Sheet5">
    <tabColor rgb="FF9BC2E6"/>
  </sheetPr>
  <dimension ref="B2:BX43"/>
  <sheetViews>
    <sheetView topLeftCell="AV10" zoomScale="88" workbookViewId="0">
      <selection activeCell="BI31" sqref="BI31"/>
    </sheetView>
  </sheetViews>
  <sheetFormatPr baseColWidth="10" defaultColWidth="8.88671875" defaultRowHeight="14.4" x14ac:dyDescent="0.3"/>
  <cols>
    <col min="2" max="2" width="18.33203125" bestFit="1" customWidth="1"/>
    <col min="3" max="3" width="15.44140625" bestFit="1" customWidth="1"/>
    <col min="4" max="4" width="10.109375" bestFit="1" customWidth="1"/>
    <col min="5" max="7" width="10.109375" customWidth="1"/>
    <col min="8" max="8" width="13.88671875" bestFit="1" customWidth="1"/>
    <col min="9" max="9" width="14.6640625" bestFit="1" customWidth="1"/>
    <col min="10" max="10" width="13.44140625" bestFit="1" customWidth="1"/>
    <col min="11" max="11" width="11.88671875" bestFit="1" customWidth="1"/>
    <col min="12" max="17" width="9.88671875" bestFit="1" customWidth="1"/>
    <col min="18" max="18" width="10.88671875" bestFit="1" customWidth="1"/>
    <col min="19" max="23" width="9.88671875" bestFit="1" customWidth="1"/>
    <col min="24" max="24" width="9.88671875" customWidth="1"/>
    <col min="25" max="30" width="9.88671875" bestFit="1" customWidth="1"/>
    <col min="31" max="36" width="8.33203125" bestFit="1" customWidth="1"/>
    <col min="37" max="37" width="8.33203125" customWidth="1"/>
    <col min="38" max="44" width="8.33203125" bestFit="1" customWidth="1"/>
  </cols>
  <sheetData>
    <row r="2" spans="2:67" x14ac:dyDescent="0.3">
      <c r="B2" s="4" t="s">
        <v>1002</v>
      </c>
    </row>
    <row r="3" spans="2:67" x14ac:dyDescent="0.3"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  <c r="S3">
        <v>8</v>
      </c>
      <c r="T3">
        <v>9</v>
      </c>
      <c r="U3">
        <v>10</v>
      </c>
      <c r="V3">
        <v>11</v>
      </c>
      <c r="W3">
        <v>12</v>
      </c>
      <c r="Y3">
        <v>1</v>
      </c>
      <c r="Z3">
        <v>2</v>
      </c>
      <c r="AA3">
        <v>3</v>
      </c>
      <c r="AB3">
        <v>4</v>
      </c>
      <c r="AC3">
        <v>5</v>
      </c>
      <c r="AD3">
        <v>6</v>
      </c>
      <c r="AE3">
        <v>7</v>
      </c>
      <c r="AF3">
        <v>8</v>
      </c>
      <c r="AG3">
        <v>9</v>
      </c>
      <c r="AH3">
        <v>10</v>
      </c>
      <c r="AI3">
        <v>11</v>
      </c>
      <c r="AJ3">
        <v>12</v>
      </c>
    </row>
    <row r="4" spans="2:67" x14ac:dyDescent="0.3">
      <c r="L4">
        <v>1</v>
      </c>
      <c r="M4">
        <v>1</v>
      </c>
      <c r="N4">
        <v>1</v>
      </c>
      <c r="O4">
        <v>2</v>
      </c>
      <c r="P4">
        <v>2</v>
      </c>
      <c r="Q4">
        <v>2</v>
      </c>
      <c r="R4">
        <v>3</v>
      </c>
      <c r="S4">
        <v>3</v>
      </c>
      <c r="T4">
        <v>3</v>
      </c>
      <c r="U4">
        <v>4</v>
      </c>
      <c r="V4">
        <v>4</v>
      </c>
      <c r="W4">
        <v>4</v>
      </c>
    </row>
    <row r="5" spans="2:67" x14ac:dyDescent="0.3">
      <c r="B5" s="4" t="s">
        <v>1003</v>
      </c>
      <c r="C5" s="4" t="s">
        <v>1349</v>
      </c>
      <c r="D5" s="4" t="s">
        <v>1294</v>
      </c>
      <c r="H5" t="s">
        <v>1853</v>
      </c>
      <c r="L5">
        <v>2025</v>
      </c>
      <c r="M5">
        <v>2025</v>
      </c>
      <c r="N5">
        <v>2025</v>
      </c>
      <c r="O5">
        <v>2025</v>
      </c>
      <c r="P5">
        <v>2025</v>
      </c>
      <c r="Q5">
        <v>2025</v>
      </c>
      <c r="R5">
        <v>2025</v>
      </c>
      <c r="S5">
        <v>2025</v>
      </c>
      <c r="T5">
        <v>2025</v>
      </c>
      <c r="U5">
        <v>2025</v>
      </c>
      <c r="V5">
        <v>2025</v>
      </c>
      <c r="W5">
        <v>2025</v>
      </c>
      <c r="Y5">
        <v>2026</v>
      </c>
      <c r="Z5">
        <v>2026</v>
      </c>
      <c r="AA5">
        <v>2026</v>
      </c>
      <c r="AB5">
        <v>2026</v>
      </c>
      <c r="AC5">
        <v>2026</v>
      </c>
      <c r="AD5">
        <v>2026</v>
      </c>
      <c r="AE5">
        <v>2026</v>
      </c>
      <c r="AF5">
        <v>2026</v>
      </c>
      <c r="AG5">
        <v>2026</v>
      </c>
      <c r="AH5">
        <v>2026</v>
      </c>
      <c r="AI5">
        <v>2026</v>
      </c>
      <c r="AJ5">
        <v>2026</v>
      </c>
      <c r="AL5">
        <v>2027</v>
      </c>
      <c r="AM5">
        <v>2027</v>
      </c>
      <c r="AN5">
        <v>2027</v>
      </c>
      <c r="AO5">
        <v>2027</v>
      </c>
      <c r="AP5">
        <v>2027</v>
      </c>
      <c r="AQ5">
        <v>2027</v>
      </c>
      <c r="AR5">
        <v>2027</v>
      </c>
      <c r="AS5">
        <v>2027</v>
      </c>
      <c r="AT5">
        <v>2027</v>
      </c>
      <c r="AU5">
        <v>2027</v>
      </c>
      <c r="AV5">
        <v>2027</v>
      </c>
      <c r="AW5">
        <v>2027</v>
      </c>
      <c r="AY5">
        <v>2028</v>
      </c>
      <c r="AZ5">
        <v>2028</v>
      </c>
      <c r="BA5">
        <v>2028</v>
      </c>
      <c r="BB5">
        <v>2028</v>
      </c>
      <c r="BC5">
        <v>2028</v>
      </c>
      <c r="BD5">
        <v>2028</v>
      </c>
      <c r="BE5">
        <v>2028</v>
      </c>
      <c r="BF5">
        <v>2028</v>
      </c>
      <c r="BG5">
        <v>2028</v>
      </c>
      <c r="BH5">
        <v>2028</v>
      </c>
      <c r="BI5">
        <v>2028</v>
      </c>
      <c r="BJ5">
        <v>2028</v>
      </c>
    </row>
    <row r="6" spans="2:67" x14ac:dyDescent="0.3">
      <c r="B6" t="s">
        <v>1004</v>
      </c>
      <c r="C6" s="16">
        <f>18248000+5000000+2000000+1500000</f>
        <v>26748000</v>
      </c>
      <c r="D6" s="17">
        <v>0.23</v>
      </c>
      <c r="E6" s="17">
        <f>C6/SUM(C$6:C$13)</f>
        <v>0.25921801097913383</v>
      </c>
      <c r="F6" s="17">
        <f t="shared" ref="F6:F13" si="0">E6*D6</f>
        <v>5.962014252520078E-2</v>
      </c>
      <c r="G6" s="17"/>
      <c r="H6" s="16">
        <v>22500000</v>
      </c>
      <c r="I6" s="17">
        <f>H6/SUM(H$6:H$16)</f>
        <v>0.24892884730244444</v>
      </c>
      <c r="J6" s="17">
        <f>I6*D6</f>
        <v>5.7253634879562226E-2</v>
      </c>
      <c r="K6" s="117">
        <f t="shared" ref="K6:K17" si="1">H6*(D6/12)</f>
        <v>431250.00000000006</v>
      </c>
      <c r="L6" s="2">
        <f>$C6*($D6/12)</f>
        <v>512670.00000000006</v>
      </c>
      <c r="M6" s="2">
        <f t="shared" ref="M6:AB7" si="2">$C6*($D6/12)</f>
        <v>512670.00000000006</v>
      </c>
      <c r="N6" s="2">
        <f t="shared" si="2"/>
        <v>512670.00000000006</v>
      </c>
      <c r="O6" s="2">
        <f t="shared" si="2"/>
        <v>512670.00000000006</v>
      </c>
      <c r="P6" s="2">
        <f>($C6+3248000)*($D6/12)</f>
        <v>574923.33333333337</v>
      </c>
      <c r="Q6" s="2">
        <f t="shared" ref="Q6:AJ6" si="3">($C6+3248000)*($D6/12)</f>
        <v>574923.33333333337</v>
      </c>
      <c r="R6" s="2">
        <f t="shared" si="3"/>
        <v>574923.33333333337</v>
      </c>
      <c r="S6" s="2">
        <f t="shared" si="3"/>
        <v>574923.33333333337</v>
      </c>
      <c r="T6" s="2">
        <f t="shared" si="3"/>
        <v>574923.33333333337</v>
      </c>
      <c r="U6" s="2">
        <f t="shared" si="3"/>
        <v>574923.33333333337</v>
      </c>
      <c r="V6" s="2">
        <f t="shared" si="3"/>
        <v>574923.33333333337</v>
      </c>
      <c r="W6" s="2">
        <f t="shared" si="3"/>
        <v>574923.33333333337</v>
      </c>
      <c r="X6" s="2"/>
      <c r="Y6" s="2">
        <f t="shared" si="3"/>
        <v>574923.33333333337</v>
      </c>
      <c r="Z6" s="2">
        <f t="shared" si="3"/>
        <v>574923.33333333337</v>
      </c>
      <c r="AA6" s="2">
        <f t="shared" si="3"/>
        <v>574923.33333333337</v>
      </c>
      <c r="AB6" s="2">
        <f t="shared" si="3"/>
        <v>574923.33333333337</v>
      </c>
      <c r="AC6" s="2">
        <f t="shared" si="3"/>
        <v>574923.33333333337</v>
      </c>
      <c r="AD6" s="2">
        <f t="shared" si="3"/>
        <v>574923.33333333337</v>
      </c>
      <c r="AE6" s="2">
        <f t="shared" si="3"/>
        <v>574923.33333333337</v>
      </c>
      <c r="AF6" s="2">
        <f t="shared" si="3"/>
        <v>574923.33333333337</v>
      </c>
      <c r="AG6" s="2">
        <f t="shared" si="3"/>
        <v>574923.33333333337</v>
      </c>
      <c r="AH6" s="2">
        <f t="shared" si="3"/>
        <v>574923.33333333337</v>
      </c>
      <c r="AI6" s="2">
        <f t="shared" si="3"/>
        <v>574923.33333333337</v>
      </c>
      <c r="AJ6" s="2">
        <f t="shared" si="3"/>
        <v>574923.33333333337</v>
      </c>
      <c r="AK6" s="2"/>
    </row>
    <row r="7" spans="2:67" x14ac:dyDescent="0.3">
      <c r="B7" t="s">
        <v>1005</v>
      </c>
      <c r="C7" s="16">
        <v>26000000</v>
      </c>
      <c r="D7" s="17">
        <v>0.27500000000000002</v>
      </c>
      <c r="E7" s="17">
        <f t="shared" ref="E7:E13" si="4">C7/SUM(C$6:C$13)</f>
        <v>0.25196905508664125</v>
      </c>
      <c r="F7" s="17">
        <f t="shared" si="0"/>
        <v>6.9291490148826351E-2</v>
      </c>
      <c r="G7" s="17"/>
      <c r="H7" s="17"/>
      <c r="I7" s="17">
        <f t="shared" ref="I7:I16" si="5">H7/SUM(H$6:H$16)</f>
        <v>0</v>
      </c>
      <c r="J7" s="17">
        <f t="shared" ref="J7:J14" si="6">I7*D7</f>
        <v>0</v>
      </c>
      <c r="K7" s="117">
        <f t="shared" si="1"/>
        <v>0</v>
      </c>
      <c r="L7" s="2">
        <f>$C7*($D7/12)</f>
        <v>595833.33333333337</v>
      </c>
      <c r="M7" s="2">
        <f t="shared" si="2"/>
        <v>595833.33333333337</v>
      </c>
      <c r="N7" s="2">
        <f t="shared" si="2"/>
        <v>595833.33333333337</v>
      </c>
      <c r="O7" s="2">
        <f t="shared" si="2"/>
        <v>595833.33333333337</v>
      </c>
      <c r="P7" s="2">
        <f t="shared" si="2"/>
        <v>595833.33333333337</v>
      </c>
      <c r="Q7" s="2">
        <f t="shared" si="2"/>
        <v>595833.33333333337</v>
      </c>
      <c r="R7" s="2">
        <f t="shared" si="2"/>
        <v>595833.33333333337</v>
      </c>
      <c r="S7" s="2">
        <f t="shared" si="2"/>
        <v>595833.33333333337</v>
      </c>
      <c r="T7" s="2">
        <f t="shared" si="2"/>
        <v>595833.33333333337</v>
      </c>
      <c r="U7" s="2">
        <f t="shared" si="2"/>
        <v>595833.33333333337</v>
      </c>
      <c r="V7" s="2">
        <f t="shared" si="2"/>
        <v>595833.33333333337</v>
      </c>
      <c r="W7" s="2">
        <f t="shared" si="2"/>
        <v>595833.33333333337</v>
      </c>
      <c r="X7" s="2"/>
      <c r="Y7" s="2">
        <f t="shared" si="2"/>
        <v>595833.33333333337</v>
      </c>
      <c r="Z7" s="2">
        <f t="shared" si="2"/>
        <v>595833.33333333337</v>
      </c>
      <c r="AA7" s="2">
        <f t="shared" si="2"/>
        <v>595833.33333333337</v>
      </c>
      <c r="AB7" s="2">
        <f t="shared" si="2"/>
        <v>595833.33333333337</v>
      </c>
      <c r="AC7" s="2">
        <f t="shared" ref="AC7:AJ7" si="7">$C7*($D7/12)</f>
        <v>595833.33333333337</v>
      </c>
      <c r="AD7" s="2">
        <f t="shared" si="7"/>
        <v>595833.33333333337</v>
      </c>
      <c r="AE7" s="2">
        <f t="shared" si="7"/>
        <v>595833.33333333337</v>
      </c>
      <c r="AF7" s="2">
        <f t="shared" si="7"/>
        <v>595833.33333333337</v>
      </c>
      <c r="AG7" s="2">
        <f t="shared" si="7"/>
        <v>595833.33333333337</v>
      </c>
      <c r="AH7" s="2">
        <f t="shared" si="7"/>
        <v>595833.33333333337</v>
      </c>
      <c r="AI7" s="2">
        <f t="shared" si="7"/>
        <v>595833.33333333337</v>
      </c>
      <c r="AJ7" s="2">
        <f t="shared" si="7"/>
        <v>595833.33333333337</v>
      </c>
      <c r="AK7" s="2"/>
    </row>
    <row r="8" spans="2:67" x14ac:dyDescent="0.3">
      <c r="B8" t="s">
        <v>1295</v>
      </c>
      <c r="C8" s="16">
        <v>15645232.136308117</v>
      </c>
      <c r="D8" s="15">
        <v>0.27</v>
      </c>
      <c r="E8" s="17">
        <f t="shared" si="4"/>
        <v>0.15161978299987344</v>
      </c>
      <c r="F8" s="17">
        <f t="shared" si="0"/>
        <v>4.0937341409965834E-2</v>
      </c>
      <c r="G8" s="17"/>
      <c r="H8" s="209"/>
      <c r="I8" s="17">
        <f t="shared" si="5"/>
        <v>0</v>
      </c>
      <c r="J8" s="17">
        <f t="shared" si="6"/>
        <v>0</v>
      </c>
      <c r="K8" s="117">
        <f t="shared" si="1"/>
        <v>0</v>
      </c>
      <c r="L8" s="2">
        <v>338929.6346851408</v>
      </c>
      <c r="M8" s="2">
        <v>333802.95088310831</v>
      </c>
      <c r="N8" s="2">
        <v>325250.28374324337</v>
      </c>
      <c r="O8" s="2">
        <v>321066.42011825909</v>
      </c>
      <c r="P8" s="2">
        <v>316790.21249039524</v>
      </c>
      <c r="Q8" s="2">
        <v>312419.60056551098</v>
      </c>
      <c r="R8" s="2">
        <v>307266.99813920411</v>
      </c>
      <c r="S8" s="2">
        <v>302773.73206582188</v>
      </c>
      <c r="T8" s="2">
        <v>298180.93935799983</v>
      </c>
      <c r="U8" s="2">
        <v>292891.11142186599</v>
      </c>
      <c r="V8" s="2">
        <v>288155.28276206233</v>
      </c>
      <c r="W8" s="2">
        <v>283314.23933144339</v>
      </c>
      <c r="X8" s="2"/>
      <c r="Y8" s="2">
        <v>278365.62023167626</v>
      </c>
      <c r="Z8" s="2">
        <v>273307.01113282004</v>
      </c>
      <c r="AA8" s="2">
        <v>268135.94305376889</v>
      </c>
      <c r="AB8" s="2">
        <v>257818.85749128059</v>
      </c>
      <c r="AC8" s="2">
        <v>252671.01197254471</v>
      </c>
      <c r="AD8" s="2">
        <v>244345.44366227533</v>
      </c>
      <c r="AE8" s="2">
        <v>239321.90495975269</v>
      </c>
      <c r="AF8" s="2">
        <v>231459.00608878463</v>
      </c>
      <c r="AG8" s="2">
        <v>225281.18900972116</v>
      </c>
      <c r="AH8" s="2">
        <v>220319.96098550849</v>
      </c>
      <c r="AI8" s="2">
        <v>215249.59705121521</v>
      </c>
      <c r="AJ8" s="2">
        <v>210362.9774154858</v>
      </c>
      <c r="AK8" s="2"/>
      <c r="AL8" s="2">
        <v>205370.48102098223</v>
      </c>
      <c r="AM8" s="2">
        <v>200269.8138712644</v>
      </c>
      <c r="AN8" s="2">
        <v>195058.63226663612</v>
      </c>
      <c r="AO8" s="2">
        <v>189734.54172724075</v>
      </c>
      <c r="AP8" s="2">
        <v>184295.09589282528</v>
      </c>
      <c r="AQ8" s="2">
        <v>178737.79539866405</v>
      </c>
      <c r="AR8" s="2">
        <v>173060.08672712941</v>
      </c>
      <c r="AS8" s="2">
        <v>167259.36103437815</v>
      </c>
      <c r="AT8" s="2">
        <v>161332.95295161725</v>
      </c>
      <c r="AU8" s="2">
        <v>155278.13936039648</v>
      </c>
      <c r="AV8" s="2">
        <v>149092.13814136601</v>
      </c>
      <c r="AW8" s="2">
        <v>142772.10689592318</v>
      </c>
      <c r="AX8" s="2"/>
      <c r="AY8" s="2">
        <v>136315.14164016244</v>
      </c>
      <c r="AZ8" s="2">
        <v>129718.27547052687</v>
      </c>
      <c r="BA8" s="2">
        <v>122978.4772005492</v>
      </c>
      <c r="BB8" s="2">
        <v>116092.64996805535</v>
      </c>
      <c r="BC8" s="2">
        <v>109057.6298121908</v>
      </c>
      <c r="BD8" s="2">
        <v>101870.18421961588</v>
      </c>
      <c r="BE8" s="2">
        <v>94527.010639201791</v>
      </c>
      <c r="BF8" s="2">
        <v>87024.734964545452</v>
      </c>
      <c r="BG8" s="2">
        <v>79359.909983604841</v>
      </c>
      <c r="BH8" s="2">
        <v>71529.013794743863</v>
      </c>
      <c r="BI8" s="2">
        <v>63528.448188457558</v>
      </c>
      <c r="BJ8" s="2">
        <v>55354.536994035065</v>
      </c>
      <c r="BK8" s="2"/>
      <c r="BL8" s="2">
        <v>47003.524390400053</v>
      </c>
      <c r="BM8" s="2">
        <v>38471.573180352985</v>
      </c>
      <c r="BN8" s="2">
        <v>29754.763027421563</v>
      </c>
      <c r="BO8" s="2">
        <v>20849.088654509946</v>
      </c>
    </row>
    <row r="9" spans="2:67" x14ac:dyDescent="0.3">
      <c r="B9" t="s">
        <v>1347</v>
      </c>
      <c r="C9" s="288">
        <f>'CREDITOS'!G49</f>
        <v>3641666.7399999984</v>
      </c>
      <c r="D9" s="276">
        <v>0.15</v>
      </c>
      <c r="E9" s="17">
        <f t="shared" si="4"/>
        <v>3.5291820285317264E-2</v>
      </c>
      <c r="F9" s="17">
        <f t="shared" si="0"/>
        <v>5.2937730427975891E-3</v>
      </c>
      <c r="G9" s="17"/>
      <c r="H9" s="209"/>
      <c r="I9" s="17">
        <f t="shared" si="5"/>
        <v>0</v>
      </c>
      <c r="J9" s="17">
        <f t="shared" si="6"/>
        <v>0</v>
      </c>
      <c r="K9" s="117">
        <f t="shared" si="1"/>
        <v>0</v>
      </c>
      <c r="L9" s="2">
        <v>39151.112302666639</v>
      </c>
      <c r="M9" s="2">
        <v>37927.640122999976</v>
      </c>
      <c r="N9" s="2">
        <v>36704.167943333305</v>
      </c>
      <c r="O9" s="2">
        <v>35480.695763666641</v>
      </c>
      <c r="P9" s="2">
        <v>34257.22358399997</v>
      </c>
      <c r="Q9" s="2">
        <v>33033.751404333307</v>
      </c>
      <c r="R9" s="2">
        <v>31810.279224666636</v>
      </c>
      <c r="S9" s="2">
        <v>30586.807044999969</v>
      </c>
      <c r="T9" s="2">
        <v>29363.334865333301</v>
      </c>
      <c r="U9" s="2">
        <v>28139.862685666631</v>
      </c>
      <c r="V9" s="2">
        <v>26916.390505999967</v>
      </c>
      <c r="W9" s="2">
        <v>25692.918326333296</v>
      </c>
      <c r="X9" s="2"/>
      <c r="Y9" s="2">
        <v>24469.446146666629</v>
      </c>
      <c r="Z9" s="2">
        <v>23245.973966999962</v>
      </c>
      <c r="AA9" s="2">
        <v>22022.501787333294</v>
      </c>
      <c r="AB9" s="2">
        <v>20799.029607666627</v>
      </c>
      <c r="AC9" s="2">
        <v>19575.55742799996</v>
      </c>
      <c r="AD9" s="2">
        <v>18352.085248333293</v>
      </c>
      <c r="AE9" s="2">
        <v>17128.613068666626</v>
      </c>
      <c r="AF9" s="2">
        <v>15905.140888999957</v>
      </c>
      <c r="AG9" s="2">
        <v>14681.668709333288</v>
      </c>
      <c r="AH9" s="2">
        <v>13458.19652966662</v>
      </c>
      <c r="AI9" s="2">
        <v>12234.724349999957</v>
      </c>
      <c r="AJ9" s="2">
        <v>11011.252170333288</v>
      </c>
      <c r="AK9" s="2"/>
      <c r="AL9" s="2">
        <v>9787.7799906666223</v>
      </c>
      <c r="AM9" s="2">
        <v>8564.3078109999569</v>
      </c>
      <c r="AN9" s="2">
        <v>7340.8356313332897</v>
      </c>
      <c r="AO9" s="2">
        <v>6117.3634516666225</v>
      </c>
      <c r="AP9" s="2">
        <v>4893.8912719999562</v>
      </c>
      <c r="AQ9" s="2">
        <v>3670.419092333289</v>
      </c>
      <c r="AR9" s="2">
        <v>2446.9469126666222</v>
      </c>
      <c r="AS9" s="2">
        <v>1223.4747329999552</v>
      </c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</row>
    <row r="10" spans="2:67" x14ac:dyDescent="0.3">
      <c r="B10" t="s">
        <v>1348</v>
      </c>
      <c r="C10" s="18">
        <f>'CREDITOS'!O49</f>
        <v>1450000</v>
      </c>
      <c r="D10" s="276">
        <v>0.15</v>
      </c>
      <c r="E10" s="17">
        <f t="shared" si="4"/>
        <v>1.4052120379831915E-2</v>
      </c>
      <c r="F10" s="17">
        <f t="shared" si="0"/>
        <v>2.1078180569747873E-3</v>
      </c>
      <c r="G10" s="17"/>
      <c r="H10" s="209"/>
      <c r="I10" s="17">
        <f t="shared" si="5"/>
        <v>0</v>
      </c>
      <c r="J10" s="17">
        <f t="shared" si="6"/>
        <v>0</v>
      </c>
      <c r="K10" s="117">
        <f t="shared" si="1"/>
        <v>0</v>
      </c>
      <c r="L10" s="2">
        <v>12458.333333333334</v>
      </c>
      <c r="M10" s="2">
        <v>11916.666666666668</v>
      </c>
      <c r="N10" s="2">
        <v>11375</v>
      </c>
      <c r="O10" s="2">
        <v>10833.333333333334</v>
      </c>
      <c r="P10" s="2">
        <v>10291.666666666668</v>
      </c>
      <c r="Q10" s="2">
        <v>9750</v>
      </c>
      <c r="R10" s="2">
        <v>9208.3333333333339</v>
      </c>
      <c r="S10" s="2">
        <v>8666.6666666666661</v>
      </c>
      <c r="T10" s="2">
        <v>8125</v>
      </c>
      <c r="U10" s="2">
        <v>7583.3333333333348</v>
      </c>
      <c r="V10" s="2">
        <v>7041.666666666667</v>
      </c>
      <c r="W10" s="2">
        <v>6500</v>
      </c>
      <c r="X10" s="2"/>
      <c r="Y10" s="2">
        <v>5958.3333333333339</v>
      </c>
      <c r="Z10" s="2">
        <v>5416.666666666667</v>
      </c>
      <c r="AA10" s="2">
        <v>4875</v>
      </c>
      <c r="AB10" s="2">
        <v>4333.333333333333</v>
      </c>
      <c r="AC10" s="2">
        <v>3791.666666666667</v>
      </c>
      <c r="AD10" s="2">
        <v>3250</v>
      </c>
      <c r="AE10" s="2">
        <v>2708.3333333333335</v>
      </c>
      <c r="AF10" s="2">
        <v>2166.6666666666665</v>
      </c>
      <c r="AG10" s="2">
        <v>1625</v>
      </c>
      <c r="AH10" s="2">
        <v>1083.3333333333333</v>
      </c>
      <c r="AI10" s="2">
        <v>541.66666666666663</v>
      </c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</row>
    <row r="11" spans="2:67" x14ac:dyDescent="0.3">
      <c r="B11" t="s">
        <v>1350</v>
      </c>
      <c r="C11" s="18">
        <f>'CREDITOS'!W58</f>
        <v>104166.5100000026</v>
      </c>
      <c r="D11" s="276">
        <v>0.15</v>
      </c>
      <c r="E11" s="17"/>
      <c r="F11" s="17">
        <f t="shared" si="0"/>
        <v>0</v>
      </c>
      <c r="G11" s="17"/>
      <c r="H11" s="17"/>
      <c r="I11" s="17">
        <f t="shared" si="5"/>
        <v>0</v>
      </c>
      <c r="J11" s="17">
        <f t="shared" si="6"/>
        <v>0</v>
      </c>
      <c r="K11" s="117">
        <f t="shared" si="1"/>
        <v>0</v>
      </c>
      <c r="L11" s="2">
        <v>4513.8873000000285</v>
      </c>
      <c r="M11" s="2">
        <v>3385.4150416666948</v>
      </c>
      <c r="N11" s="2">
        <v>2256.9427833333616</v>
      </c>
      <c r="O11" s="2">
        <v>1128.4705250000284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spans="2:67" x14ac:dyDescent="0.3">
      <c r="B12" t="s">
        <v>1352</v>
      </c>
      <c r="C12" s="18">
        <f>'CREDITOS'!BP57</f>
        <v>0</v>
      </c>
      <c r="E12" s="17">
        <f t="shared" si="4"/>
        <v>0</v>
      </c>
      <c r="F12" s="17">
        <f t="shared" si="0"/>
        <v>0</v>
      </c>
      <c r="G12" s="17"/>
      <c r="H12" s="17"/>
      <c r="I12" s="17">
        <f t="shared" si="5"/>
        <v>0</v>
      </c>
      <c r="J12" s="17">
        <f t="shared" si="6"/>
        <v>0</v>
      </c>
      <c r="K12" s="117">
        <f t="shared" si="1"/>
        <v>0</v>
      </c>
      <c r="L12" s="2">
        <v>7857.1494944470433</v>
      </c>
      <c r="M12" s="2">
        <v>7731.7022940961187</v>
      </c>
      <c r="N12" s="2">
        <v>7603.5370710709212</v>
      </c>
      <c r="O12" s="2">
        <v>7472.5949348801805</v>
      </c>
      <c r="P12" s="2">
        <v>7338.815719071973</v>
      </c>
      <c r="Q12" s="2">
        <v>7202.1379535879187</v>
      </c>
      <c r="R12" s="2">
        <v>7062.498836518379</v>
      </c>
      <c r="S12" s="2">
        <v>6919.8342052456655</v>
      </c>
      <c r="T12" s="2">
        <v>6774.0785069620433</v>
      </c>
      <c r="U12" s="2">
        <v>6625.1647685489424</v>
      </c>
      <c r="V12" s="2">
        <v>6473.0245658035574</v>
      </c>
      <c r="W12" s="2">
        <v>6317.5879919986883</v>
      </c>
      <c r="X12" s="2"/>
      <c r="Y12" s="2">
        <v>6158.7836257613808</v>
      </c>
      <c r="Z12" s="2">
        <v>5996.5384982555979</v>
      </c>
      <c r="AA12" s="2">
        <v>5830.7780596538578</v>
      </c>
      <c r="AB12" s="2">
        <v>5661.4261448824127</v>
      </c>
      <c r="AC12" s="2">
        <v>5488.4049386242523</v>
      </c>
      <c r="AD12" s="2">
        <v>5311.6349395638326</v>
      </c>
      <c r="AE12" s="2">
        <v>5131.0349238571034</v>
      </c>
      <c r="AF12" s="2">
        <v>4946.5219078100617</v>
      </c>
      <c r="AG12" s="2">
        <v>4758.0111097486679</v>
      </c>
      <c r="AH12" s="2">
        <v>4565.4159110626106</v>
      </c>
      <c r="AI12" s="2">
        <v>4368.6478164050213</v>
      </c>
      <c r="AJ12" s="2">
        <v>4167.6164130298512</v>
      </c>
      <c r="AK12" s="2"/>
      <c r="AL12" s="2">
        <v>3962.2293292482191</v>
      </c>
      <c r="AM12" s="2">
        <v>3752.3921919846521</v>
      </c>
      <c r="AN12" s="2">
        <v>3538.0085834137071</v>
      </c>
      <c r="AO12" s="2">
        <v>3318.979996657059</v>
      </c>
      <c r="AP12" s="2">
        <v>3095.205790520683</v>
      </c>
      <c r="AQ12" s="2">
        <v>2866.5831432513528</v>
      </c>
      <c r="AR12" s="2">
        <v>2633.0070052911865</v>
      </c>
      <c r="AS12" s="2">
        <v>2394.37005100855</v>
      </c>
      <c r="AT12" s="2">
        <v>2150.5626293831233</v>
      </c>
      <c r="AU12" s="2">
        <v>1901.4727136224788</v>
      </c>
      <c r="AV12" s="2">
        <v>1646.9858496870202</v>
      </c>
      <c r="AW12" s="2">
        <v>1386.985103699627</v>
      </c>
      <c r="AX12" s="2"/>
      <c r="AY12" s="2">
        <v>1121.35100821584</v>
      </c>
      <c r="AZ12" s="2">
        <v>849.96150732990429</v>
      </c>
      <c r="BA12" s="2">
        <v>572.69190059144012</v>
      </c>
      <c r="BB12" s="2">
        <v>289.41478570697586</v>
      </c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spans="2:67" x14ac:dyDescent="0.3">
      <c r="B13" t="s">
        <v>1351</v>
      </c>
      <c r="C13" s="16">
        <v>29598208.904416699</v>
      </c>
      <c r="D13" s="17">
        <v>0.13</v>
      </c>
      <c r="E13" s="17">
        <f t="shared" si="4"/>
        <v>0.28683972038088024</v>
      </c>
      <c r="F13" s="17">
        <f t="shared" si="0"/>
        <v>3.7289163649514435E-2</v>
      </c>
      <c r="G13" s="17"/>
      <c r="H13" s="17"/>
      <c r="I13" s="17">
        <f t="shared" si="5"/>
        <v>0</v>
      </c>
      <c r="J13" s="17">
        <f t="shared" si="6"/>
        <v>0</v>
      </c>
      <c r="K13" s="117">
        <f t="shared" si="1"/>
        <v>0</v>
      </c>
      <c r="L13" s="2">
        <f>$C13*($D13/12)</f>
        <v>320647.26313118089</v>
      </c>
      <c r="M13" s="2">
        <f t="shared" ref="M13:AJ14" si="8">$C13*($D13/12)</f>
        <v>320647.26313118089</v>
      </c>
      <c r="N13" s="2">
        <f t="shared" si="8"/>
        <v>320647.26313118089</v>
      </c>
      <c r="O13" s="2">
        <f t="shared" si="8"/>
        <v>320647.26313118089</v>
      </c>
      <c r="P13" s="2">
        <f t="shared" si="8"/>
        <v>320647.26313118089</v>
      </c>
      <c r="Q13" s="2">
        <f t="shared" si="8"/>
        <v>320647.26313118089</v>
      </c>
      <c r="R13" s="2">
        <f t="shared" si="8"/>
        <v>320647.26313118089</v>
      </c>
      <c r="S13" s="2">
        <f t="shared" si="8"/>
        <v>320647.26313118089</v>
      </c>
      <c r="T13" s="2">
        <f t="shared" si="8"/>
        <v>320647.26313118089</v>
      </c>
      <c r="U13" s="2">
        <f t="shared" si="8"/>
        <v>320647.26313118089</v>
      </c>
      <c r="V13" s="2">
        <f t="shared" si="8"/>
        <v>320647.26313118089</v>
      </c>
      <c r="W13" s="2">
        <f t="shared" si="8"/>
        <v>320647.26313118089</v>
      </c>
      <c r="X13" s="2"/>
      <c r="Y13" s="2">
        <f t="shared" si="8"/>
        <v>320647.26313118089</v>
      </c>
      <c r="Z13" s="2">
        <f t="shared" si="8"/>
        <v>320647.26313118089</v>
      </c>
      <c r="AA13" s="2">
        <f t="shared" si="8"/>
        <v>320647.26313118089</v>
      </c>
      <c r="AB13" s="2">
        <f t="shared" si="8"/>
        <v>320647.26313118089</v>
      </c>
      <c r="AC13" s="2">
        <f t="shared" si="8"/>
        <v>320647.26313118089</v>
      </c>
      <c r="AD13" s="2">
        <f t="shared" si="8"/>
        <v>320647.26313118089</v>
      </c>
      <c r="AE13" s="2">
        <f t="shared" si="8"/>
        <v>320647.26313118089</v>
      </c>
      <c r="AF13" s="2">
        <f t="shared" si="8"/>
        <v>320647.26313118089</v>
      </c>
      <c r="AG13" s="2">
        <f t="shared" si="8"/>
        <v>320647.26313118089</v>
      </c>
      <c r="AH13" s="2">
        <f t="shared" si="8"/>
        <v>320647.26313118089</v>
      </c>
      <c r="AI13" s="2">
        <f t="shared" si="8"/>
        <v>320647.26313118089</v>
      </c>
      <c r="AJ13" s="2">
        <f t="shared" si="8"/>
        <v>320647.26313118089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spans="2:67" x14ac:dyDescent="0.3">
      <c r="B14" s="270" t="s">
        <v>1833</v>
      </c>
      <c r="C14" s="271"/>
      <c r="D14" s="17">
        <v>0.16</v>
      </c>
      <c r="E14" s="17"/>
      <c r="H14" s="209">
        <v>13000000</v>
      </c>
      <c r="I14" s="17">
        <f t="shared" si="5"/>
        <v>0.14382555621919013</v>
      </c>
      <c r="J14" s="17">
        <f t="shared" si="6"/>
        <v>2.3012088995070422E-2</v>
      </c>
      <c r="K14" s="117">
        <f t="shared" si="1"/>
        <v>173333.33333333334</v>
      </c>
      <c r="L14" s="271">
        <f>$C14*($D14/12)</f>
        <v>0</v>
      </c>
      <c r="M14" s="271">
        <f t="shared" si="8"/>
        <v>0</v>
      </c>
      <c r="N14" s="271">
        <f t="shared" si="8"/>
        <v>0</v>
      </c>
      <c r="O14" s="271">
        <f t="shared" si="8"/>
        <v>0</v>
      </c>
      <c r="P14" s="271">
        <f t="shared" si="8"/>
        <v>0</v>
      </c>
      <c r="Q14" s="271">
        <f t="shared" si="8"/>
        <v>0</v>
      </c>
      <c r="R14" s="271">
        <f t="shared" si="8"/>
        <v>0</v>
      </c>
      <c r="S14" s="271">
        <f t="shared" si="8"/>
        <v>0</v>
      </c>
      <c r="T14" s="271">
        <f t="shared" si="8"/>
        <v>0</v>
      </c>
      <c r="U14" s="271">
        <f t="shared" si="8"/>
        <v>0</v>
      </c>
      <c r="V14" s="271">
        <f t="shared" si="8"/>
        <v>0</v>
      </c>
      <c r="W14" s="271">
        <f t="shared" si="8"/>
        <v>0</v>
      </c>
      <c r="X14" s="271"/>
    </row>
    <row r="15" spans="2:67" x14ac:dyDescent="0.3">
      <c r="F15" s="272">
        <f>SUM(F6:F13)</f>
        <v>0.21453972883327979</v>
      </c>
      <c r="H15" s="272"/>
      <c r="I15" s="17">
        <f t="shared" si="5"/>
        <v>0</v>
      </c>
      <c r="J15" s="17">
        <f>I15*D15</f>
        <v>0</v>
      </c>
      <c r="K15" s="117">
        <f t="shared" si="1"/>
        <v>0</v>
      </c>
    </row>
    <row r="16" spans="2:67" x14ac:dyDescent="0.3">
      <c r="B16" t="s">
        <v>1858</v>
      </c>
      <c r="D16" s="17">
        <v>0.15</v>
      </c>
      <c r="H16" s="209">
        <f>SUM(C6:C16)-SUM(H6:H15)-H17</f>
        <v>54887274.290724814</v>
      </c>
      <c r="I16" s="17">
        <f t="shared" si="5"/>
        <v>0.6072455964783654</v>
      </c>
      <c r="J16" s="17">
        <f>I16*D16</f>
        <v>9.1086839471754805E-2</v>
      </c>
      <c r="K16" s="117">
        <f t="shared" si="1"/>
        <v>686090.92863406008</v>
      </c>
      <c r="L16" s="16"/>
    </row>
    <row r="17" spans="2:76" x14ac:dyDescent="0.3">
      <c r="B17" t="s">
        <v>1854</v>
      </c>
      <c r="D17" s="276"/>
      <c r="H17" s="209">
        <v>12800000</v>
      </c>
      <c r="I17" s="17"/>
      <c r="J17" s="17"/>
      <c r="K17" s="117">
        <f t="shared" si="1"/>
        <v>0</v>
      </c>
      <c r="L17" s="16"/>
    </row>
    <row r="18" spans="2:76" s="4" customFormat="1" x14ac:dyDescent="0.3">
      <c r="C18" s="150">
        <f>SUM(C6:C15)</f>
        <v>103187274.29072481</v>
      </c>
      <c r="D18" s="118"/>
      <c r="H18" s="150">
        <f>SUM(H6:H16)</f>
        <v>90387274.290724814</v>
      </c>
      <c r="I18" s="282"/>
      <c r="J18" s="282"/>
      <c r="K18" s="367">
        <f>SUM(K6:K17)</f>
        <v>1290674.2619673936</v>
      </c>
      <c r="L18" s="281">
        <f>SUM(L6:L17)</f>
        <v>1832060.7135801022</v>
      </c>
    </row>
    <row r="19" spans="2:76" x14ac:dyDescent="0.3">
      <c r="J19" s="160"/>
      <c r="L19" s="1"/>
    </row>
    <row r="20" spans="2:76" x14ac:dyDescent="0.3">
      <c r="C20" s="16"/>
      <c r="G20" s="272"/>
      <c r="J20" s="272"/>
      <c r="L20" s="2"/>
    </row>
    <row r="21" spans="2:76" x14ac:dyDescent="0.3">
      <c r="B21" s="4" t="s">
        <v>1899</v>
      </c>
    </row>
    <row r="22" spans="2:76" x14ac:dyDescent="0.3">
      <c r="B22" s="4" t="s">
        <v>1003</v>
      </c>
      <c r="C22" t="s">
        <v>932</v>
      </c>
      <c r="D22" s="4" t="s">
        <v>1294</v>
      </c>
      <c r="J22" s="160"/>
    </row>
    <row r="23" spans="2:76" x14ac:dyDescent="0.3">
      <c r="B23" t="s">
        <v>1004</v>
      </c>
      <c r="C23" s="16">
        <f>18248000+5000000+2000000+1500000</f>
        <v>26748000</v>
      </c>
      <c r="D23" s="17">
        <v>0.23</v>
      </c>
      <c r="L23" s="2">
        <f>$C23*($D23/12)</f>
        <v>512670.00000000006</v>
      </c>
      <c r="M23" s="2">
        <f t="shared" ref="M23:AJ23" si="9">$C23*($D23/12)</f>
        <v>512670.00000000006</v>
      </c>
      <c r="N23" s="2">
        <f t="shared" si="9"/>
        <v>512670.00000000006</v>
      </c>
      <c r="O23" s="2">
        <f t="shared" si="9"/>
        <v>512670.00000000006</v>
      </c>
      <c r="P23" s="2">
        <f t="shared" si="9"/>
        <v>512670.00000000006</v>
      </c>
      <c r="Q23" s="2">
        <f t="shared" si="9"/>
        <v>512670.00000000006</v>
      </c>
      <c r="R23" s="2">
        <f t="shared" si="9"/>
        <v>512670.00000000006</v>
      </c>
      <c r="S23" s="2">
        <f t="shared" si="9"/>
        <v>512670.00000000006</v>
      </c>
      <c r="T23" s="2">
        <f t="shared" si="9"/>
        <v>512670.00000000006</v>
      </c>
      <c r="U23" s="2">
        <f t="shared" si="9"/>
        <v>512670.00000000006</v>
      </c>
      <c r="V23" s="2">
        <f t="shared" si="9"/>
        <v>512670.00000000006</v>
      </c>
      <c r="W23" s="2">
        <f t="shared" si="9"/>
        <v>512670.00000000006</v>
      </c>
      <c r="X23" s="2"/>
      <c r="Y23" s="2">
        <f t="shared" si="9"/>
        <v>512670.00000000006</v>
      </c>
      <c r="Z23" s="2">
        <f t="shared" si="9"/>
        <v>512670.00000000006</v>
      </c>
      <c r="AA23" s="2">
        <f t="shared" si="9"/>
        <v>512670.00000000006</v>
      </c>
      <c r="AB23" s="2">
        <f t="shared" si="9"/>
        <v>512670.00000000006</v>
      </c>
      <c r="AC23" s="2">
        <f t="shared" si="9"/>
        <v>512670.00000000006</v>
      </c>
      <c r="AD23" s="2">
        <f t="shared" si="9"/>
        <v>512670.00000000006</v>
      </c>
      <c r="AE23" s="2">
        <f t="shared" si="9"/>
        <v>512670.00000000006</v>
      </c>
      <c r="AF23" s="2">
        <f t="shared" si="9"/>
        <v>512670.00000000006</v>
      </c>
      <c r="AG23" s="2">
        <f t="shared" si="9"/>
        <v>512670.00000000006</v>
      </c>
      <c r="AH23" s="2">
        <f t="shared" si="9"/>
        <v>512670.00000000006</v>
      </c>
      <c r="AI23" s="2">
        <f t="shared" si="9"/>
        <v>512670.00000000006</v>
      </c>
      <c r="AJ23" s="2">
        <f t="shared" si="9"/>
        <v>512670.00000000006</v>
      </c>
      <c r="AK23" s="2"/>
    </row>
    <row r="24" spans="2:76" x14ac:dyDescent="0.3">
      <c r="B24" t="s">
        <v>1870</v>
      </c>
      <c r="C24" s="2">
        <f>C8-'Linea Sesajal'!E44</f>
        <v>15645232.136308117</v>
      </c>
      <c r="D24" s="17">
        <v>0.27</v>
      </c>
      <c r="L24" s="2">
        <f>($C24/$C8)*L8</f>
        <v>338929.6346851408</v>
      </c>
      <c r="M24" s="2">
        <f t="shared" ref="M24:BO24" si="10">($C24/$C8)*M8</f>
        <v>333802.95088310831</v>
      </c>
      <c r="N24" s="2">
        <f t="shared" si="10"/>
        <v>325250.28374324337</v>
      </c>
      <c r="O24" s="2">
        <f t="shared" si="10"/>
        <v>321066.42011825909</v>
      </c>
      <c r="P24" s="2">
        <f t="shared" si="10"/>
        <v>316790.21249039524</v>
      </c>
      <c r="Q24" s="2">
        <f t="shared" si="10"/>
        <v>312419.60056551098</v>
      </c>
      <c r="R24" s="2">
        <f t="shared" si="10"/>
        <v>307266.99813920411</v>
      </c>
      <c r="S24" s="2">
        <f t="shared" si="10"/>
        <v>302773.73206582188</v>
      </c>
      <c r="T24" s="2">
        <f t="shared" si="10"/>
        <v>298180.93935799983</v>
      </c>
      <c r="U24" s="2">
        <f t="shared" si="10"/>
        <v>292891.11142186599</v>
      </c>
      <c r="V24" s="2">
        <f t="shared" si="10"/>
        <v>288155.28276206233</v>
      </c>
      <c r="W24" s="2">
        <f t="shared" si="10"/>
        <v>283314.23933144339</v>
      </c>
      <c r="X24" s="2"/>
      <c r="Y24" s="2">
        <f t="shared" si="10"/>
        <v>278365.62023167626</v>
      </c>
      <c r="Z24" s="2">
        <f t="shared" si="10"/>
        <v>273307.01113282004</v>
      </c>
      <c r="AA24" s="2">
        <f t="shared" si="10"/>
        <v>268135.94305376889</v>
      </c>
      <c r="AB24" s="2">
        <f t="shared" si="10"/>
        <v>257818.85749128059</v>
      </c>
      <c r="AC24" s="2">
        <f t="shared" si="10"/>
        <v>252671.01197254471</v>
      </c>
      <c r="AD24" s="2">
        <f t="shared" si="10"/>
        <v>244345.44366227533</v>
      </c>
      <c r="AE24" s="2">
        <f t="shared" si="10"/>
        <v>239321.90495975269</v>
      </c>
      <c r="AF24" s="2">
        <f t="shared" si="10"/>
        <v>231459.00608878463</v>
      </c>
      <c r="AG24" s="2">
        <f t="shared" si="10"/>
        <v>225281.18900972116</v>
      </c>
      <c r="AH24" s="2">
        <f t="shared" si="10"/>
        <v>220319.96098550849</v>
      </c>
      <c r="AI24" s="2">
        <f t="shared" si="10"/>
        <v>215249.59705121521</v>
      </c>
      <c r="AJ24" s="2">
        <f t="shared" si="10"/>
        <v>210362.9774154858</v>
      </c>
      <c r="AK24" s="2"/>
      <c r="AL24" s="2">
        <f t="shared" si="10"/>
        <v>205370.48102098223</v>
      </c>
      <c r="AM24" s="2">
        <f t="shared" si="10"/>
        <v>200269.8138712644</v>
      </c>
      <c r="AN24" s="2">
        <f t="shared" si="10"/>
        <v>195058.63226663612</v>
      </c>
      <c r="AO24" s="2">
        <f t="shared" si="10"/>
        <v>189734.54172724075</v>
      </c>
      <c r="AP24" s="2">
        <f t="shared" si="10"/>
        <v>184295.09589282528</v>
      </c>
      <c r="AQ24" s="2">
        <f t="shared" si="10"/>
        <v>178737.79539866405</v>
      </c>
      <c r="AR24" s="2">
        <f t="shared" si="10"/>
        <v>173060.08672712941</v>
      </c>
      <c r="AS24" s="2">
        <f t="shared" si="10"/>
        <v>167259.36103437815</v>
      </c>
      <c r="AT24" s="2">
        <f t="shared" si="10"/>
        <v>161332.95295161725</v>
      </c>
      <c r="AU24" s="2">
        <f t="shared" si="10"/>
        <v>155278.13936039648</v>
      </c>
      <c r="AV24" s="2">
        <f t="shared" si="10"/>
        <v>149092.13814136601</v>
      </c>
      <c r="AW24" s="2">
        <f t="shared" si="10"/>
        <v>142772.10689592318</v>
      </c>
      <c r="AX24" s="2"/>
      <c r="AY24" s="2">
        <f t="shared" si="10"/>
        <v>136315.14164016244</v>
      </c>
      <c r="AZ24" s="2">
        <f t="shared" si="10"/>
        <v>129718.27547052687</v>
      </c>
      <c r="BA24" s="2">
        <f t="shared" si="10"/>
        <v>122978.4772005492</v>
      </c>
      <c r="BB24" s="2">
        <f t="shared" si="10"/>
        <v>116092.64996805535</v>
      </c>
      <c r="BC24" s="2">
        <f t="shared" si="10"/>
        <v>109057.6298121908</v>
      </c>
      <c r="BD24" s="2">
        <f t="shared" si="10"/>
        <v>101870.18421961588</v>
      </c>
      <c r="BE24" s="2">
        <f t="shared" si="10"/>
        <v>94527.010639201791</v>
      </c>
      <c r="BF24" s="2">
        <f t="shared" si="10"/>
        <v>87024.734964545452</v>
      </c>
      <c r="BG24" s="2">
        <f t="shared" si="10"/>
        <v>79359.909983604841</v>
      </c>
      <c r="BH24" s="2">
        <f t="shared" si="10"/>
        <v>71529.013794743863</v>
      </c>
      <c r="BI24" s="2">
        <f t="shared" si="10"/>
        <v>63528.448188457558</v>
      </c>
      <c r="BJ24" s="2">
        <f t="shared" si="10"/>
        <v>55354.536994035065</v>
      </c>
      <c r="BK24" s="2"/>
      <c r="BL24" s="2">
        <f t="shared" si="10"/>
        <v>47003.524390400053</v>
      </c>
      <c r="BM24" s="2">
        <f t="shared" si="10"/>
        <v>38471.573180352985</v>
      </c>
      <c r="BN24" s="2">
        <f t="shared" si="10"/>
        <v>29754.763027421563</v>
      </c>
      <c r="BO24" s="2">
        <f t="shared" si="10"/>
        <v>20849.088654509946</v>
      </c>
    </row>
    <row r="25" spans="2:76" x14ac:dyDescent="0.3">
      <c r="B25" t="s">
        <v>1347</v>
      </c>
      <c r="C25" s="18">
        <v>3641666.7399999984</v>
      </c>
      <c r="D25" s="17">
        <v>0.15</v>
      </c>
      <c r="E25" s="17">
        <v>3.6699509216420255E-2</v>
      </c>
      <c r="F25" s="17">
        <v>5.5049263824630381E-3</v>
      </c>
      <c r="G25" s="17"/>
      <c r="H25" s="17"/>
      <c r="I25" s="17">
        <v>0</v>
      </c>
      <c r="J25" s="17">
        <v>0</v>
      </c>
      <c r="K25" s="117">
        <v>0</v>
      </c>
      <c r="L25" s="2">
        <v>39151.112302666639</v>
      </c>
      <c r="M25" s="2">
        <v>37927.640122999976</v>
      </c>
      <c r="N25" s="2">
        <v>36704.167943333305</v>
      </c>
      <c r="O25" s="2">
        <v>35480.695763666641</v>
      </c>
      <c r="P25" s="2">
        <v>34257.22358399997</v>
      </c>
      <c r="Q25" s="2">
        <v>33033.751404333307</v>
      </c>
      <c r="R25" s="2">
        <v>31810.279224666636</v>
      </c>
      <c r="S25" s="2">
        <v>30586.807044999969</v>
      </c>
      <c r="T25" s="2">
        <v>29363.334865333301</v>
      </c>
      <c r="U25" s="2">
        <v>28139.862685666631</v>
      </c>
      <c r="V25" s="2">
        <v>26916.390505999967</v>
      </c>
      <c r="W25" s="2">
        <v>25692.918326333296</v>
      </c>
      <c r="X25" s="2"/>
      <c r="Y25" s="2">
        <v>24469.446146666629</v>
      </c>
      <c r="Z25" s="2">
        <v>23245.973966999962</v>
      </c>
      <c r="AA25" s="2">
        <v>22022.501787333294</v>
      </c>
      <c r="AB25" s="2">
        <v>20799.029607666627</v>
      </c>
      <c r="AC25" s="2">
        <v>19575.55742799996</v>
      </c>
      <c r="AD25" s="2">
        <v>18352.085248333293</v>
      </c>
      <c r="AE25" s="2">
        <v>17128.613068666626</v>
      </c>
      <c r="AF25" s="2">
        <v>15905.140888999957</v>
      </c>
      <c r="AG25" s="2">
        <v>14681.668709333288</v>
      </c>
      <c r="AH25" s="2">
        <v>13458.19652966662</v>
      </c>
      <c r="AI25" s="2">
        <v>12234.724349999957</v>
      </c>
      <c r="AJ25" s="2">
        <v>11011.252170333288</v>
      </c>
      <c r="AK25" s="2"/>
      <c r="AL25" s="2">
        <v>9787.7799906666223</v>
      </c>
      <c r="AM25" s="2">
        <v>8564.3078109999569</v>
      </c>
      <c r="AN25" s="2">
        <v>7340.8356313332897</v>
      </c>
      <c r="AO25" s="2">
        <v>6117.3634516666225</v>
      </c>
      <c r="AP25" s="2">
        <v>4893.8912719999562</v>
      </c>
      <c r="AQ25" s="2">
        <v>3670.419092333289</v>
      </c>
      <c r="AR25" s="2">
        <v>2446.9469126666222</v>
      </c>
      <c r="AS25" s="2">
        <v>1223.4747329999552</v>
      </c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 spans="2:76" x14ac:dyDescent="0.3">
      <c r="B26" t="s">
        <v>1348</v>
      </c>
      <c r="C26" s="18">
        <v>1450000</v>
      </c>
      <c r="D26" s="17">
        <v>0.15</v>
      </c>
      <c r="E26" s="17">
        <v>1.4612618936077989E-2</v>
      </c>
      <c r="F26" s="17">
        <v>2.1918928404116981E-3</v>
      </c>
      <c r="G26" s="17"/>
      <c r="H26" s="17"/>
      <c r="I26" s="17">
        <v>0</v>
      </c>
      <c r="J26" s="17">
        <v>0</v>
      </c>
      <c r="K26" s="117">
        <v>0</v>
      </c>
      <c r="L26" s="2">
        <v>12458.333333333334</v>
      </c>
      <c r="M26" s="2">
        <v>11916.666666666668</v>
      </c>
      <c r="N26" s="2">
        <v>11375</v>
      </c>
      <c r="O26" s="2">
        <v>10833.333333333334</v>
      </c>
      <c r="P26" s="2">
        <v>10291.666666666668</v>
      </c>
      <c r="Q26" s="2">
        <v>9750</v>
      </c>
      <c r="R26" s="2">
        <v>9208.3333333333339</v>
      </c>
      <c r="S26" s="2">
        <v>8666.6666666666661</v>
      </c>
      <c r="T26" s="2">
        <v>8125</v>
      </c>
      <c r="U26" s="2">
        <v>7583.3333333333348</v>
      </c>
      <c r="V26" s="2">
        <v>7041.666666666667</v>
      </c>
      <c r="W26" s="2">
        <v>6500</v>
      </c>
      <c r="X26" s="2"/>
      <c r="Y26" s="2">
        <v>5958.3333333333339</v>
      </c>
      <c r="Z26" s="2">
        <v>5416.666666666667</v>
      </c>
      <c r="AA26" s="2">
        <v>4875</v>
      </c>
      <c r="AB26" s="2">
        <v>4333.333333333333</v>
      </c>
      <c r="AC26" s="2">
        <v>3791.666666666667</v>
      </c>
      <c r="AD26" s="2">
        <v>3250</v>
      </c>
      <c r="AE26" s="2">
        <v>2708.3333333333335</v>
      </c>
      <c r="AF26" s="2">
        <v>2166.6666666666665</v>
      </c>
      <c r="AG26" s="2">
        <v>1625</v>
      </c>
      <c r="AH26" s="2">
        <v>1083.3333333333333</v>
      </c>
      <c r="AI26" s="2">
        <v>541.66666666666663</v>
      </c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</row>
    <row r="27" spans="2:76" x14ac:dyDescent="0.3">
      <c r="B27" t="s">
        <v>1350</v>
      </c>
      <c r="C27">
        <v>0</v>
      </c>
      <c r="D27" s="17">
        <v>0.15</v>
      </c>
      <c r="H27" s="283"/>
    </row>
    <row r="28" spans="2:76" x14ac:dyDescent="0.3">
      <c r="B28" t="s">
        <v>1351</v>
      </c>
      <c r="C28" s="2">
        <f>C13-H14-6500000</f>
        <v>10098208.904416699</v>
      </c>
      <c r="D28" s="17">
        <v>0.13</v>
      </c>
    </row>
    <row r="29" spans="2:76" x14ac:dyDescent="0.3">
      <c r="B29" t="s">
        <v>1858</v>
      </c>
      <c r="C29" s="18"/>
      <c r="D29" s="17">
        <v>0.15</v>
      </c>
      <c r="E29" s="17"/>
      <c r="F29" s="17"/>
      <c r="G29" s="17"/>
      <c r="H29" s="17"/>
      <c r="I29" s="17"/>
      <c r="J29" s="17"/>
      <c r="K29" s="117"/>
      <c r="L29" s="2"/>
      <c r="M29" s="2"/>
      <c r="N29" s="2"/>
      <c r="O29" s="2"/>
      <c r="P29" s="2"/>
      <c r="Q29" s="2"/>
      <c r="R29" s="2"/>
      <c r="S29" s="2">
        <v>412500</v>
      </c>
      <c r="T29" s="2">
        <v>587500</v>
      </c>
      <c r="U29" s="2">
        <v>662500</v>
      </c>
      <c r="V29" s="2">
        <v>662500</v>
      </c>
      <c r="W29" s="2">
        <v>662500</v>
      </c>
      <c r="Y29" s="2">
        <v>662500</v>
      </c>
      <c r="Z29" s="2">
        <v>662500</v>
      </c>
      <c r="AA29" s="2">
        <v>648697.91666666674</v>
      </c>
      <c r="AB29" s="2">
        <v>634895.83333333337</v>
      </c>
      <c r="AC29" s="2">
        <v>621093.75000000012</v>
      </c>
      <c r="AD29" s="2">
        <v>607291.66666666674</v>
      </c>
      <c r="AE29" s="2">
        <v>593489.58333333349</v>
      </c>
      <c r="AF29" s="2">
        <v>579687.50000000012</v>
      </c>
      <c r="AG29" s="2">
        <v>565885.41666666686</v>
      </c>
      <c r="AH29" s="2">
        <v>552083.33333333349</v>
      </c>
      <c r="AI29" s="2">
        <v>538281.25000000023</v>
      </c>
      <c r="AJ29" s="2">
        <v>524479.16666666698</v>
      </c>
      <c r="AL29" s="2">
        <v>510677.08333333366</v>
      </c>
      <c r="AM29" s="2">
        <v>496875.00000000047</v>
      </c>
      <c r="AN29" s="2">
        <v>483072.91666666709</v>
      </c>
      <c r="AO29" s="2">
        <v>469270.83333333372</v>
      </c>
      <c r="AP29" s="2">
        <v>455468.75000000047</v>
      </c>
      <c r="AQ29" s="2">
        <v>441666.66666666709</v>
      </c>
      <c r="AR29" s="2">
        <v>427864.58333333384</v>
      </c>
      <c r="AS29" s="2">
        <v>414062.50000000047</v>
      </c>
      <c r="AT29" s="2">
        <v>400260.41666666715</v>
      </c>
      <c r="AU29" s="2">
        <v>386458.33333333378</v>
      </c>
      <c r="AV29" s="2">
        <v>372656.25000000047</v>
      </c>
      <c r="AW29" s="2">
        <v>358854.16666666715</v>
      </c>
      <c r="AX29" s="2"/>
      <c r="AY29" s="2">
        <v>345052.08333333378</v>
      </c>
      <c r="AZ29" s="2">
        <v>331250.00000000035</v>
      </c>
      <c r="BA29" s="2">
        <v>317447.91666666704</v>
      </c>
      <c r="BB29" s="2">
        <v>303645.83333333372</v>
      </c>
      <c r="BC29" s="2">
        <v>289843.75000000035</v>
      </c>
      <c r="BD29" s="2">
        <v>276041.66666666704</v>
      </c>
      <c r="BE29" s="2">
        <v>262239.58333333366</v>
      </c>
      <c r="BF29" s="2">
        <v>248437.50000000032</v>
      </c>
      <c r="BG29" s="2">
        <v>234635.41666666698</v>
      </c>
      <c r="BH29" s="2">
        <v>220833.3333333336</v>
      </c>
      <c r="BI29" s="2">
        <v>207031.25000000032</v>
      </c>
      <c r="BJ29" s="2">
        <v>193229.16666666698</v>
      </c>
      <c r="BK29" s="2"/>
      <c r="BL29" s="2">
        <v>179427.0833333336</v>
      </c>
      <c r="BM29" s="2">
        <v>165625.00000000029</v>
      </c>
      <c r="BN29" s="2">
        <v>151822.91666666698</v>
      </c>
      <c r="BO29" s="2">
        <v>138020.83333333363</v>
      </c>
      <c r="BP29" s="2">
        <v>124218.75000000031</v>
      </c>
      <c r="BQ29" s="2">
        <v>110416.66666666698</v>
      </c>
      <c r="BR29" s="2">
        <v>96614.583333333634</v>
      </c>
      <c r="BS29" s="2">
        <v>82812.500000000291</v>
      </c>
      <c r="BT29" s="2">
        <v>69010.416666666963</v>
      </c>
      <c r="BU29" s="2">
        <v>55208.33333333362</v>
      </c>
      <c r="BV29" s="2">
        <v>41406.250000000291</v>
      </c>
      <c r="BW29" s="2">
        <v>27604.166666666955</v>
      </c>
      <c r="BX29" s="2">
        <v>13802.08333333362</v>
      </c>
    </row>
    <row r="31" spans="2:76" s="4" customFormat="1" x14ac:dyDescent="0.3">
      <c r="L31" s="150">
        <f>SUM(L23:L30)</f>
        <v>903209.08032114082</v>
      </c>
      <c r="M31" s="150">
        <f t="shared" ref="M31:BX31" si="11">SUM(M23:M30)</f>
        <v>896317.25767277507</v>
      </c>
      <c r="N31" s="150">
        <f t="shared" si="11"/>
        <v>885999.45168657671</v>
      </c>
      <c r="O31" s="150">
        <f t="shared" si="11"/>
        <v>880050.44921525917</v>
      </c>
      <c r="P31" s="150">
        <f t="shared" si="11"/>
        <v>874009.10274106194</v>
      </c>
      <c r="Q31" s="150">
        <f t="shared" si="11"/>
        <v>867873.35196984431</v>
      </c>
      <c r="R31" s="150">
        <f>SUM(R23:R30)</f>
        <v>860955.61069720425</v>
      </c>
      <c r="S31" s="150">
        <f t="shared" si="11"/>
        <v>1267197.2057774886</v>
      </c>
      <c r="T31" s="150">
        <f t="shared" si="11"/>
        <v>1435839.2742233332</v>
      </c>
      <c r="U31" s="150">
        <f t="shared" si="11"/>
        <v>1503784.3074408663</v>
      </c>
      <c r="V31" s="150">
        <f t="shared" si="11"/>
        <v>1497283.339934729</v>
      </c>
      <c r="W31" s="150">
        <f t="shared" si="11"/>
        <v>1490677.1576577767</v>
      </c>
      <c r="X31" s="150"/>
      <c r="Y31" s="150">
        <f>SUM(Y23:Y30)</f>
        <v>1483963.3997116764</v>
      </c>
      <c r="Z31" s="150">
        <f t="shared" si="11"/>
        <v>1477139.6517664865</v>
      </c>
      <c r="AA31" s="150">
        <f t="shared" si="11"/>
        <v>1456401.361507769</v>
      </c>
      <c r="AB31" s="150">
        <f t="shared" si="11"/>
        <v>1430517.0537656141</v>
      </c>
      <c r="AC31" s="150">
        <f t="shared" si="11"/>
        <v>1409801.9860672113</v>
      </c>
      <c r="AD31" s="150">
        <f t="shared" si="11"/>
        <v>1385909.1955772755</v>
      </c>
      <c r="AE31" s="150">
        <f t="shared" si="11"/>
        <v>1365318.4346950862</v>
      </c>
      <c r="AF31" s="150">
        <f t="shared" si="11"/>
        <v>1341888.3136444513</v>
      </c>
      <c r="AG31" s="150">
        <f t="shared" si="11"/>
        <v>1320143.2743857214</v>
      </c>
      <c r="AH31" s="150">
        <f t="shared" si="11"/>
        <v>1299614.8241818422</v>
      </c>
      <c r="AI31" s="150">
        <f t="shared" si="11"/>
        <v>1278977.2380678821</v>
      </c>
      <c r="AJ31" s="150">
        <f t="shared" si="11"/>
        <v>1258523.3962524862</v>
      </c>
      <c r="AK31" s="150"/>
      <c r="AL31" s="150">
        <f t="shared" si="11"/>
        <v>725835.34434498253</v>
      </c>
      <c r="AM31" s="150">
        <f t="shared" si="11"/>
        <v>705709.12168226484</v>
      </c>
      <c r="AN31" s="150">
        <f t="shared" si="11"/>
        <v>685472.38456463651</v>
      </c>
      <c r="AO31" s="150">
        <f t="shared" si="11"/>
        <v>665122.73851224105</v>
      </c>
      <c r="AP31" s="150">
        <f t="shared" si="11"/>
        <v>644657.73716482567</v>
      </c>
      <c r="AQ31" s="150">
        <f t="shared" si="11"/>
        <v>624074.88115766447</v>
      </c>
      <c r="AR31" s="150">
        <f t="shared" si="11"/>
        <v>603371.6169731298</v>
      </c>
      <c r="AS31" s="150">
        <f t="shared" si="11"/>
        <v>582545.33576737856</v>
      </c>
      <c r="AT31" s="150">
        <f t="shared" si="11"/>
        <v>561593.3696182844</v>
      </c>
      <c r="AU31" s="150">
        <f t="shared" si="11"/>
        <v>541736.47269373026</v>
      </c>
      <c r="AV31" s="150">
        <f t="shared" si="11"/>
        <v>521748.38814136648</v>
      </c>
      <c r="AW31" s="150">
        <f t="shared" si="11"/>
        <v>501626.27356259036</v>
      </c>
      <c r="AX31" s="150"/>
      <c r="AY31" s="150">
        <f t="shared" si="11"/>
        <v>481367.22497349622</v>
      </c>
      <c r="AZ31" s="150">
        <f t="shared" si="11"/>
        <v>460968.27547052724</v>
      </c>
      <c r="BA31" s="150">
        <f t="shared" si="11"/>
        <v>440426.39386721625</v>
      </c>
      <c r="BB31" s="150">
        <f t="shared" si="11"/>
        <v>419738.48330138909</v>
      </c>
      <c r="BC31" s="150">
        <f t="shared" si="11"/>
        <v>398901.37981219112</v>
      </c>
      <c r="BD31" s="150">
        <f t="shared" si="11"/>
        <v>377911.85088628292</v>
      </c>
      <c r="BE31" s="150">
        <f t="shared" si="11"/>
        <v>356766.59397253545</v>
      </c>
      <c r="BF31" s="150">
        <f t="shared" si="11"/>
        <v>335462.23496454576</v>
      </c>
      <c r="BG31" s="150">
        <f t="shared" si="11"/>
        <v>313995.32665027183</v>
      </c>
      <c r="BH31" s="150">
        <f t="shared" si="11"/>
        <v>292362.34712807747</v>
      </c>
      <c r="BI31" s="150">
        <f t="shared" si="11"/>
        <v>270559.69818845787</v>
      </c>
      <c r="BJ31" s="150">
        <f t="shared" si="11"/>
        <v>248583.70366070204</v>
      </c>
      <c r="BK31" s="150"/>
      <c r="BL31" s="150">
        <f t="shared" si="11"/>
        <v>226430.60772373364</v>
      </c>
      <c r="BM31" s="150">
        <f t="shared" si="11"/>
        <v>204096.57318035327</v>
      </c>
      <c r="BN31" s="150">
        <f t="shared" si="11"/>
        <v>181577.67969408853</v>
      </c>
      <c r="BO31" s="150">
        <f t="shared" si="11"/>
        <v>158869.92198784358</v>
      </c>
      <c r="BP31" s="150">
        <f t="shared" si="11"/>
        <v>124218.75000000031</v>
      </c>
      <c r="BQ31" s="150">
        <f t="shared" si="11"/>
        <v>110416.66666666698</v>
      </c>
      <c r="BR31" s="150">
        <f t="shared" si="11"/>
        <v>96614.583333333634</v>
      </c>
      <c r="BS31" s="150">
        <f t="shared" si="11"/>
        <v>82812.500000000291</v>
      </c>
      <c r="BT31" s="150">
        <f t="shared" si="11"/>
        <v>69010.416666666963</v>
      </c>
      <c r="BU31" s="150">
        <f t="shared" si="11"/>
        <v>55208.33333333362</v>
      </c>
      <c r="BV31" s="150">
        <f t="shared" si="11"/>
        <v>41406.250000000291</v>
      </c>
      <c r="BW31" s="150">
        <f t="shared" si="11"/>
        <v>27604.166666666955</v>
      </c>
      <c r="BX31" s="150">
        <f t="shared" si="11"/>
        <v>13802.08333333362</v>
      </c>
    </row>
    <row r="33" spans="2:67" x14ac:dyDescent="0.3">
      <c r="B33" s="4" t="s">
        <v>1898</v>
      </c>
    </row>
    <row r="34" spans="2:67" x14ac:dyDescent="0.3">
      <c r="B34" s="4" t="s">
        <v>1003</v>
      </c>
      <c r="C34" t="s">
        <v>932</v>
      </c>
      <c r="D34" s="4" t="s">
        <v>1294</v>
      </c>
      <c r="J34" s="160"/>
    </row>
    <row r="35" spans="2:67" x14ac:dyDescent="0.3">
      <c r="B35" t="s">
        <v>1004</v>
      </c>
      <c r="C35" s="16">
        <f>18248000+5000000+2000000+1500000</f>
        <v>26748000</v>
      </c>
      <c r="D35" s="17">
        <v>0.23</v>
      </c>
      <c r="L35" s="2">
        <f>$C35*($D35/12)</f>
        <v>512670.00000000006</v>
      </c>
      <c r="M35" s="2">
        <f t="shared" ref="M35:AJ35" si="12">$C35*($D35/12)</f>
        <v>512670.00000000006</v>
      </c>
      <c r="N35" s="2">
        <f t="shared" si="12"/>
        <v>512670.00000000006</v>
      </c>
      <c r="O35" s="2">
        <f t="shared" si="12"/>
        <v>512670.00000000006</v>
      </c>
      <c r="P35" s="2">
        <f t="shared" si="12"/>
        <v>512670.00000000006</v>
      </c>
      <c r="Q35" s="2">
        <f t="shared" si="12"/>
        <v>512670.00000000006</v>
      </c>
      <c r="R35" s="2">
        <f t="shared" si="12"/>
        <v>512670.00000000006</v>
      </c>
      <c r="S35" s="2">
        <f t="shared" si="12"/>
        <v>512670.00000000006</v>
      </c>
      <c r="T35" s="2">
        <f t="shared" si="12"/>
        <v>512670.00000000006</v>
      </c>
      <c r="U35" s="2">
        <f t="shared" si="12"/>
        <v>512670.00000000006</v>
      </c>
      <c r="V35" s="2">
        <f t="shared" si="12"/>
        <v>512670.00000000006</v>
      </c>
      <c r="W35" s="2">
        <f t="shared" si="12"/>
        <v>512670.00000000006</v>
      </c>
      <c r="X35" s="2"/>
      <c r="Y35" s="2">
        <f t="shared" si="12"/>
        <v>512670.00000000006</v>
      </c>
      <c r="Z35" s="2">
        <f t="shared" si="12"/>
        <v>512670.00000000006</v>
      </c>
      <c r="AA35" s="2">
        <f t="shared" si="12"/>
        <v>512670.00000000006</v>
      </c>
      <c r="AB35" s="2">
        <f t="shared" si="12"/>
        <v>512670.00000000006</v>
      </c>
      <c r="AC35" s="2">
        <f t="shared" si="12"/>
        <v>512670.00000000006</v>
      </c>
      <c r="AD35" s="2">
        <f t="shared" si="12"/>
        <v>512670.00000000006</v>
      </c>
      <c r="AE35" s="2">
        <f t="shared" si="12"/>
        <v>512670.00000000006</v>
      </c>
      <c r="AF35" s="2">
        <f t="shared" si="12"/>
        <v>512670.00000000006</v>
      </c>
      <c r="AG35" s="2">
        <f t="shared" si="12"/>
        <v>512670.00000000006</v>
      </c>
      <c r="AH35" s="2">
        <f t="shared" si="12"/>
        <v>512670.00000000006</v>
      </c>
      <c r="AI35" s="2">
        <f t="shared" si="12"/>
        <v>512670.00000000006</v>
      </c>
      <c r="AJ35" s="2">
        <f t="shared" si="12"/>
        <v>512670.00000000006</v>
      </c>
      <c r="AK35" s="2"/>
    </row>
    <row r="36" spans="2:67" x14ac:dyDescent="0.3">
      <c r="B36" t="s">
        <v>1295</v>
      </c>
      <c r="C36" s="16">
        <v>15645232.136308117</v>
      </c>
      <c r="D36" s="15">
        <v>0.27</v>
      </c>
      <c r="E36" s="17">
        <f>C36/SUM(C$6:C$13)</f>
        <v>0.15161978299987344</v>
      </c>
      <c r="F36" s="17">
        <f>E36*D36</f>
        <v>4.0937341409965834E-2</v>
      </c>
      <c r="G36" s="17"/>
      <c r="H36" s="209"/>
      <c r="I36" s="17">
        <f>H36/SUM(H$6:H$16)</f>
        <v>0</v>
      </c>
      <c r="J36" s="17">
        <f>I36*D36</f>
        <v>0</v>
      </c>
      <c r="K36" s="117">
        <f>H36*(D36/12)</f>
        <v>0</v>
      </c>
      <c r="L36" s="2">
        <v>338929.6346851408</v>
      </c>
      <c r="M36" s="2">
        <v>333802.95088310831</v>
      </c>
      <c r="N36" s="2">
        <v>325250.28374324337</v>
      </c>
      <c r="O36" s="2">
        <v>321066.42011825909</v>
      </c>
      <c r="P36" s="2">
        <v>316790.21249039524</v>
      </c>
      <c r="Q36" s="2">
        <v>312419.60056551098</v>
      </c>
      <c r="R36" s="2">
        <v>307266.99813920411</v>
      </c>
      <c r="S36" s="2">
        <v>302773.73206582188</v>
      </c>
      <c r="T36" s="2">
        <v>298180.93935799983</v>
      </c>
      <c r="U36" s="2">
        <v>292891.11142186599</v>
      </c>
      <c r="V36" s="2">
        <v>288155.28276206233</v>
      </c>
      <c r="W36" s="2">
        <v>283314.23933144339</v>
      </c>
      <c r="X36" s="2"/>
      <c r="Y36" s="2">
        <v>278365.62023167626</v>
      </c>
      <c r="Z36" s="2">
        <v>273307.01113282004</v>
      </c>
      <c r="AA36" s="2">
        <v>268135.94305376889</v>
      </c>
      <c r="AB36" s="2">
        <v>257818.85749128059</v>
      </c>
      <c r="AC36" s="2">
        <v>252671.01197254471</v>
      </c>
      <c r="AD36" s="2">
        <v>244345.44366227533</v>
      </c>
      <c r="AE36" s="2">
        <v>239321.90495975269</v>
      </c>
      <c r="AF36" s="2">
        <v>231459.00608878463</v>
      </c>
      <c r="AG36" s="2">
        <v>225281.18900972116</v>
      </c>
      <c r="AH36" s="2">
        <v>220319.96098550849</v>
      </c>
      <c r="AI36" s="2">
        <v>215249.59705121521</v>
      </c>
      <c r="AJ36" s="2">
        <v>210362.9774154858</v>
      </c>
      <c r="AK36" s="2"/>
      <c r="AL36" s="2">
        <v>205370.48102098223</v>
      </c>
      <c r="AM36" s="2">
        <v>200269.8138712644</v>
      </c>
      <c r="AN36" s="2">
        <v>195058.63226663612</v>
      </c>
      <c r="AO36" s="2">
        <v>189734.54172724075</v>
      </c>
      <c r="AP36" s="2">
        <v>184295.09589282528</v>
      </c>
      <c r="AQ36" s="2">
        <v>178737.79539866405</v>
      </c>
      <c r="AR36" s="2">
        <v>173060.08672712941</v>
      </c>
      <c r="AS36" s="2">
        <v>167259.36103437815</v>
      </c>
      <c r="AT36" s="2">
        <v>161332.95295161725</v>
      </c>
      <c r="AU36" s="2">
        <v>155278.13936039648</v>
      </c>
      <c r="AV36" s="2">
        <v>149092.13814136601</v>
      </c>
      <c r="AW36" s="2">
        <v>142772.10689592318</v>
      </c>
      <c r="AX36" s="2"/>
      <c r="AY36" s="2">
        <v>136315.14164016244</v>
      </c>
      <c r="AZ36" s="2">
        <v>129718.27547052687</v>
      </c>
      <c r="BA36" s="2">
        <v>122978.4772005492</v>
      </c>
      <c r="BB36" s="2">
        <v>116092.64996805535</v>
      </c>
      <c r="BC36" s="2">
        <v>109057.6298121908</v>
      </c>
      <c r="BD36" s="2">
        <v>101870.18421961588</v>
      </c>
      <c r="BE36" s="2">
        <v>94527.010639201791</v>
      </c>
      <c r="BF36" s="2">
        <v>87024.734964545452</v>
      </c>
      <c r="BG36" s="2">
        <v>79359.909983604841</v>
      </c>
      <c r="BH36" s="2">
        <v>71529.013794743863</v>
      </c>
      <c r="BI36" s="2">
        <v>63528.448188457558</v>
      </c>
      <c r="BJ36" s="2">
        <v>55354.536994035065</v>
      </c>
      <c r="BK36" s="2"/>
      <c r="BL36" s="2">
        <v>47003.524390400053</v>
      </c>
      <c r="BM36" s="2">
        <v>38471.573180352985</v>
      </c>
      <c r="BN36" s="2">
        <v>29754.763027421563</v>
      </c>
      <c r="BO36" s="2">
        <v>20849.088654509946</v>
      </c>
    </row>
    <row r="37" spans="2:67" x14ac:dyDescent="0.3">
      <c r="B37" t="s">
        <v>1347</v>
      </c>
      <c r="C37" s="18">
        <v>3641666.7399999984</v>
      </c>
      <c r="D37" s="17">
        <v>0.15</v>
      </c>
      <c r="E37" s="17">
        <v>3.6699509216420255E-2</v>
      </c>
      <c r="F37" s="17">
        <v>5.5049263824630381E-3</v>
      </c>
      <c r="G37" s="17"/>
      <c r="H37" s="17"/>
      <c r="I37" s="17">
        <v>0</v>
      </c>
      <c r="J37" s="17">
        <v>0</v>
      </c>
      <c r="K37" s="117">
        <v>0</v>
      </c>
      <c r="L37" s="2">
        <v>39151.112302666639</v>
      </c>
      <c r="M37" s="2">
        <v>37927.640122999976</v>
      </c>
      <c r="N37" s="2">
        <v>36704.167943333305</v>
      </c>
      <c r="O37" s="2">
        <v>35480.695763666641</v>
      </c>
      <c r="P37" s="2">
        <v>34257.22358399997</v>
      </c>
      <c r="Q37" s="2">
        <v>33033.751404333307</v>
      </c>
      <c r="R37" s="2">
        <v>31810.279224666636</v>
      </c>
      <c r="S37" s="2">
        <v>30586.807044999969</v>
      </c>
      <c r="T37" s="2">
        <v>29363.334865333301</v>
      </c>
      <c r="U37" s="2">
        <v>28139.862685666631</v>
      </c>
      <c r="V37" s="2">
        <v>26916.390505999967</v>
      </c>
      <c r="W37" s="2">
        <v>25692.918326333296</v>
      </c>
      <c r="X37" s="2"/>
      <c r="Y37" s="2">
        <v>24469.446146666629</v>
      </c>
      <c r="Z37" s="2">
        <v>23245.973966999962</v>
      </c>
      <c r="AA37" s="2">
        <v>22022.501787333294</v>
      </c>
      <c r="AB37" s="2">
        <v>20799.029607666627</v>
      </c>
      <c r="AC37" s="2">
        <v>19575.55742799996</v>
      </c>
      <c r="AD37" s="2">
        <v>18352.085248333293</v>
      </c>
      <c r="AE37" s="2">
        <v>17128.613068666626</v>
      </c>
      <c r="AF37" s="2">
        <v>15905.140888999957</v>
      </c>
      <c r="AG37" s="2">
        <v>14681.668709333288</v>
      </c>
      <c r="AH37" s="2">
        <v>13458.19652966662</v>
      </c>
      <c r="AI37" s="2">
        <v>12234.724349999957</v>
      </c>
      <c r="AJ37" s="2">
        <v>11011.252170333288</v>
      </c>
      <c r="AK37" s="2"/>
      <c r="AL37" s="2">
        <v>9787.7799906666223</v>
      </c>
      <c r="AM37" s="2">
        <v>8564.3078109999569</v>
      </c>
      <c r="AN37" s="2">
        <v>7340.8356313332897</v>
      </c>
      <c r="AO37" s="2">
        <v>6117.3634516666225</v>
      </c>
      <c r="AP37" s="2">
        <v>4893.8912719999562</v>
      </c>
      <c r="AQ37" s="2">
        <v>3670.419092333289</v>
      </c>
      <c r="AR37" s="2">
        <v>2446.9469126666222</v>
      </c>
      <c r="AS37" s="2">
        <v>1223.4747329999552</v>
      </c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</row>
    <row r="38" spans="2:67" x14ac:dyDescent="0.3">
      <c r="B38" t="s">
        <v>1348</v>
      </c>
      <c r="C38" s="18">
        <v>1450000</v>
      </c>
      <c r="D38" s="17">
        <v>0.15</v>
      </c>
      <c r="E38" s="17">
        <v>1.4612618936077989E-2</v>
      </c>
      <c r="F38" s="17">
        <v>2.1918928404116981E-3</v>
      </c>
      <c r="G38" s="17"/>
      <c r="H38" s="17"/>
      <c r="I38" s="17">
        <v>0</v>
      </c>
      <c r="J38" s="17">
        <v>0</v>
      </c>
      <c r="K38" s="117">
        <v>0</v>
      </c>
      <c r="L38" s="2">
        <v>12458.333333333334</v>
      </c>
      <c r="M38" s="2">
        <v>11916.666666666668</v>
      </c>
      <c r="N38" s="2">
        <v>11375</v>
      </c>
      <c r="O38" s="2">
        <v>10833.333333333334</v>
      </c>
      <c r="P38" s="2">
        <v>10291.666666666668</v>
      </c>
      <c r="Q38" s="2">
        <v>9750</v>
      </c>
      <c r="R38" s="2">
        <v>9208.3333333333339</v>
      </c>
      <c r="S38" s="2">
        <v>8666.6666666666661</v>
      </c>
      <c r="T38" s="2">
        <v>8125</v>
      </c>
      <c r="U38" s="2">
        <v>7583.3333333333348</v>
      </c>
      <c r="V38" s="2">
        <v>7041.666666666667</v>
      </c>
      <c r="W38" s="2">
        <v>6500</v>
      </c>
      <c r="X38" s="2"/>
      <c r="Y38" s="2">
        <v>5958.3333333333339</v>
      </c>
      <c r="Z38" s="2">
        <v>5416.666666666667</v>
      </c>
      <c r="AA38" s="2">
        <v>4875</v>
      </c>
      <c r="AB38" s="2">
        <v>4333.333333333333</v>
      </c>
      <c r="AC38" s="2">
        <v>3791.666666666667</v>
      </c>
      <c r="AD38" s="2">
        <v>3250</v>
      </c>
      <c r="AE38" s="2">
        <v>2708.3333333333335</v>
      </c>
      <c r="AF38" s="2">
        <v>2166.6666666666665</v>
      </c>
      <c r="AG38" s="2">
        <v>1625</v>
      </c>
      <c r="AH38" s="2">
        <v>1083.3333333333333</v>
      </c>
      <c r="AI38" s="2">
        <v>541.66666666666663</v>
      </c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</row>
    <row r="39" spans="2:67" x14ac:dyDescent="0.3">
      <c r="B39" t="s">
        <v>1350</v>
      </c>
      <c r="C39">
        <v>0</v>
      </c>
      <c r="D39" s="17">
        <v>0.15</v>
      </c>
      <c r="H39" s="283"/>
    </row>
    <row r="40" spans="2:67" x14ac:dyDescent="0.3">
      <c r="B40" t="s">
        <v>1351</v>
      </c>
      <c r="C40" s="2">
        <f>C13</f>
        <v>29598208.904416699</v>
      </c>
      <c r="D40" s="17">
        <v>0.13</v>
      </c>
      <c r="L40" s="2">
        <f>$C40*($D40/12)</f>
        <v>320647.26313118089</v>
      </c>
      <c r="M40" s="2">
        <f t="shared" ref="M40:AJ40" si="13">$C40*($D40/12)</f>
        <v>320647.26313118089</v>
      </c>
      <c r="N40" s="2">
        <f t="shared" si="13"/>
        <v>320647.26313118089</v>
      </c>
      <c r="O40" s="2">
        <f t="shared" si="13"/>
        <v>320647.26313118089</v>
      </c>
      <c r="P40" s="2">
        <f t="shared" si="13"/>
        <v>320647.26313118089</v>
      </c>
      <c r="Q40" s="2">
        <f t="shared" si="13"/>
        <v>320647.26313118089</v>
      </c>
      <c r="R40" s="2">
        <f t="shared" si="13"/>
        <v>320647.26313118089</v>
      </c>
      <c r="S40" s="2">
        <f t="shared" si="13"/>
        <v>320647.26313118089</v>
      </c>
      <c r="T40" s="2">
        <f t="shared" si="13"/>
        <v>320647.26313118089</v>
      </c>
      <c r="U40" s="2">
        <f t="shared" si="13"/>
        <v>320647.26313118089</v>
      </c>
      <c r="V40" s="2">
        <f t="shared" si="13"/>
        <v>320647.26313118089</v>
      </c>
      <c r="W40" s="2">
        <f t="shared" si="13"/>
        <v>320647.26313118089</v>
      </c>
      <c r="Y40" s="2">
        <f t="shared" si="13"/>
        <v>320647.26313118089</v>
      </c>
      <c r="Z40" s="2">
        <f t="shared" si="13"/>
        <v>320647.26313118089</v>
      </c>
      <c r="AA40" s="2">
        <f t="shared" si="13"/>
        <v>320647.26313118089</v>
      </c>
      <c r="AB40" s="2">
        <f t="shared" si="13"/>
        <v>320647.26313118089</v>
      </c>
      <c r="AC40" s="2">
        <f t="shared" si="13"/>
        <v>320647.26313118089</v>
      </c>
      <c r="AD40" s="2">
        <f t="shared" si="13"/>
        <v>320647.26313118089</v>
      </c>
      <c r="AE40" s="2">
        <f t="shared" si="13"/>
        <v>320647.26313118089</v>
      </c>
      <c r="AF40" s="2">
        <f t="shared" si="13"/>
        <v>320647.26313118089</v>
      </c>
      <c r="AG40" s="2">
        <f t="shared" si="13"/>
        <v>320647.26313118089</v>
      </c>
      <c r="AH40" s="2">
        <f t="shared" si="13"/>
        <v>320647.26313118089</v>
      </c>
      <c r="AI40" s="2">
        <f t="shared" si="13"/>
        <v>320647.26313118089</v>
      </c>
      <c r="AJ40" s="2">
        <f t="shared" si="13"/>
        <v>320647.26313118089</v>
      </c>
    </row>
    <row r="41" spans="2:67" x14ac:dyDescent="0.3">
      <c r="B41" t="s">
        <v>1888</v>
      </c>
      <c r="C41" s="18">
        <f ca="1">'Linea Sesajal'!G48-'Linea Sesajal'!$E44+'Linea Sesajal'!F37</f>
        <v>41653777.855710261</v>
      </c>
      <c r="D41" s="17">
        <v>0.2</v>
      </c>
      <c r="E41" s="17"/>
      <c r="F41" s="17"/>
      <c r="G41" s="17"/>
      <c r="H41" s="17"/>
      <c r="I41" s="17"/>
      <c r="J41" s="17"/>
      <c r="K41" s="117"/>
      <c r="L41" s="2"/>
      <c r="M41" s="2"/>
      <c r="N41" s="2"/>
      <c r="O41" s="2"/>
      <c r="P41" s="2"/>
      <c r="Q41" s="2"/>
      <c r="R41" s="2">
        <f>($D41/12)*('Linea Sesajal'!E48-'Linea Sesajal'!$E44+'Linea Sesajal'!D37+'Linea Sesajal'!D40)</f>
        <v>531143.78702403931</v>
      </c>
      <c r="S41" s="2">
        <f>($D41/12)*('Linea Sesajal'!F48-'Linea Sesajal'!$E44+'Linea Sesajal'!E37+'Linea Sesajal'!E40)</f>
        <v>711345.01522596565</v>
      </c>
      <c r="T41" s="2">
        <f ca="1">($D41/12)*('Linea Sesajal'!G48-'Linea Sesajal'!$E44+'Linea Sesajal'!F37+'Linea Sesajal'!F40)</f>
        <v>795146.73022600135</v>
      </c>
      <c r="U41" s="2">
        <f ca="1">($D41/12)*('Linea Sesajal'!H48-'Linea Sesajal'!$E44+'Linea Sesajal'!G37+'Linea Sesajal'!G40)</f>
        <v>867966.70175502496</v>
      </c>
      <c r="V41" s="2">
        <f ca="1">($D41/12)*('Linea Sesajal'!I48-'Linea Sesajal'!$E44+'Linea Sesajal'!H37+'Linea Sesajal'!H40)</f>
        <v>848952.86910959426</v>
      </c>
      <c r="W41" s="2">
        <f ca="1">($D41/12)*('Linea Sesajal'!J48-'Linea Sesajal'!$E44+'Linea Sesajal'!I37+'Linea Sesajal'!I40)</f>
        <v>861452.86910959426</v>
      </c>
      <c r="X41" s="2"/>
      <c r="Y41" s="2">
        <f ca="1">W41</f>
        <v>861452.86910959426</v>
      </c>
      <c r="Z41" s="2">
        <f t="shared" ref="Z41:AJ41" ca="1" si="14">Y41</f>
        <v>861452.86910959426</v>
      </c>
      <c r="AA41" s="2">
        <f t="shared" ca="1" si="14"/>
        <v>861452.86910959426</v>
      </c>
      <c r="AB41" s="2">
        <f t="shared" ca="1" si="14"/>
        <v>861452.86910959426</v>
      </c>
      <c r="AC41" s="2">
        <f t="shared" ca="1" si="14"/>
        <v>861452.86910959426</v>
      </c>
      <c r="AD41" s="2">
        <f t="shared" ca="1" si="14"/>
        <v>861452.86910959426</v>
      </c>
      <c r="AE41" s="2">
        <f t="shared" ca="1" si="14"/>
        <v>861452.86910959426</v>
      </c>
      <c r="AF41" s="2">
        <f t="shared" ca="1" si="14"/>
        <v>861452.86910959426</v>
      </c>
      <c r="AG41" s="2">
        <f t="shared" ca="1" si="14"/>
        <v>861452.86910959426</v>
      </c>
      <c r="AH41" s="2">
        <f t="shared" ca="1" si="14"/>
        <v>861452.86910959426</v>
      </c>
      <c r="AI41" s="2">
        <f t="shared" ca="1" si="14"/>
        <v>861452.86910959426</v>
      </c>
      <c r="AJ41" s="2">
        <f t="shared" ca="1" si="14"/>
        <v>861452.86910959426</v>
      </c>
      <c r="AK41" s="2"/>
      <c r="AL41" s="2">
        <f ca="1">AJ41</f>
        <v>861452.86910959426</v>
      </c>
      <c r="AM41" s="2">
        <f t="shared" ref="AM41:BO41" ca="1" si="15">AL41</f>
        <v>861452.86910959426</v>
      </c>
      <c r="AN41" s="2">
        <f t="shared" ca="1" si="15"/>
        <v>861452.86910959426</v>
      </c>
      <c r="AO41" s="2">
        <f t="shared" ca="1" si="15"/>
        <v>861452.86910959426</v>
      </c>
      <c r="AP41" s="2">
        <f t="shared" ca="1" si="15"/>
        <v>861452.86910959426</v>
      </c>
      <c r="AQ41" s="2">
        <f t="shared" ca="1" si="15"/>
        <v>861452.86910959426</v>
      </c>
      <c r="AR41" s="2">
        <f t="shared" ca="1" si="15"/>
        <v>861452.86910959426</v>
      </c>
      <c r="AS41" s="2">
        <f t="shared" ca="1" si="15"/>
        <v>861452.86910959426</v>
      </c>
      <c r="AT41" s="2">
        <f t="shared" ca="1" si="15"/>
        <v>861452.86910959426</v>
      </c>
      <c r="AU41" s="2">
        <f t="shared" ca="1" si="15"/>
        <v>861452.86910959426</v>
      </c>
      <c r="AV41" s="2">
        <f t="shared" ca="1" si="15"/>
        <v>861452.86910959426</v>
      </c>
      <c r="AW41" s="2">
        <f t="shared" ca="1" si="15"/>
        <v>861452.86910959426</v>
      </c>
      <c r="AX41" s="2"/>
      <c r="AY41" s="2">
        <f ca="1">AW41</f>
        <v>861452.86910959426</v>
      </c>
      <c r="AZ41" s="2">
        <f t="shared" ca="1" si="15"/>
        <v>861452.86910959426</v>
      </c>
      <c r="BA41" s="2">
        <f t="shared" ca="1" si="15"/>
        <v>861452.86910959426</v>
      </c>
      <c r="BB41" s="2">
        <f t="shared" ca="1" si="15"/>
        <v>861452.86910959426</v>
      </c>
      <c r="BC41" s="2">
        <f t="shared" ca="1" si="15"/>
        <v>861452.86910959426</v>
      </c>
      <c r="BD41" s="2">
        <f t="shared" ca="1" si="15"/>
        <v>861452.86910959426</v>
      </c>
      <c r="BE41" s="2">
        <f t="shared" ca="1" si="15"/>
        <v>861452.86910959426</v>
      </c>
      <c r="BF41" s="2">
        <f t="shared" ca="1" si="15"/>
        <v>861452.86910959426</v>
      </c>
      <c r="BG41" s="2">
        <f t="shared" ca="1" si="15"/>
        <v>861452.86910959426</v>
      </c>
      <c r="BH41" s="2">
        <f t="shared" ca="1" si="15"/>
        <v>861452.86910959426</v>
      </c>
      <c r="BI41" s="2">
        <f t="shared" ca="1" si="15"/>
        <v>861452.86910959426</v>
      </c>
      <c r="BJ41" s="2">
        <f t="shared" ca="1" si="15"/>
        <v>861452.86910959426</v>
      </c>
      <c r="BK41" s="2"/>
      <c r="BL41" s="2">
        <f ca="1">BJ41</f>
        <v>861452.86910959426</v>
      </c>
      <c r="BM41" s="2">
        <f t="shared" ca="1" si="15"/>
        <v>861452.86910959426</v>
      </c>
      <c r="BN41" s="2">
        <f t="shared" ca="1" si="15"/>
        <v>861452.86910959426</v>
      </c>
      <c r="BO41" s="2">
        <f t="shared" ca="1" si="15"/>
        <v>861452.86910959426</v>
      </c>
    </row>
    <row r="43" spans="2:67" x14ac:dyDescent="0.3">
      <c r="L43" s="2">
        <f>SUM(L35:L42)</f>
        <v>1223856.3434523218</v>
      </c>
      <c r="M43" s="2">
        <f t="shared" ref="M43:W43" si="16">SUM(M35:M42)</f>
        <v>1216964.5208039558</v>
      </c>
      <c r="N43" s="2">
        <f t="shared" si="16"/>
        <v>1206646.7148177577</v>
      </c>
      <c r="O43" s="2">
        <f t="shared" si="16"/>
        <v>1200697.7123464402</v>
      </c>
      <c r="P43" s="2">
        <f t="shared" si="16"/>
        <v>1194656.365872243</v>
      </c>
      <c r="Q43" s="2">
        <f t="shared" si="16"/>
        <v>1188520.6151010252</v>
      </c>
      <c r="R43" s="2">
        <f t="shared" si="16"/>
        <v>1712746.6608524243</v>
      </c>
      <c r="S43" s="2">
        <f t="shared" si="16"/>
        <v>1886689.484134635</v>
      </c>
      <c r="T43" s="2">
        <f t="shared" ca="1" si="16"/>
        <v>1964133.2675805152</v>
      </c>
      <c r="U43" s="2">
        <f t="shared" ca="1" si="16"/>
        <v>2029898.272327072</v>
      </c>
      <c r="V43" s="2">
        <f t="shared" ca="1" si="16"/>
        <v>2004383.4721755041</v>
      </c>
      <c r="W43" s="2">
        <f t="shared" ca="1" si="16"/>
        <v>2010277.289898552</v>
      </c>
      <c r="X43" s="2"/>
      <c r="Y43" s="2">
        <f ca="1">SUM(Y35:Y42)</f>
        <v>2003563.5319524514</v>
      </c>
      <c r="Z43" s="2">
        <f t="shared" ref="Z43:AJ43" ca="1" si="17">SUM(Z35:Z42)</f>
        <v>1996739.7840072617</v>
      </c>
      <c r="AA43" s="2">
        <f t="shared" ca="1" si="17"/>
        <v>1989803.5770818773</v>
      </c>
      <c r="AB43" s="2">
        <f t="shared" ca="1" si="17"/>
        <v>1977721.3526730558</v>
      </c>
      <c r="AC43" s="2">
        <f t="shared" ca="1" si="17"/>
        <v>1970808.3683079863</v>
      </c>
      <c r="AD43" s="2">
        <f t="shared" ca="1" si="17"/>
        <v>1960717.6611513838</v>
      </c>
      <c r="AE43" s="2">
        <f t="shared" ca="1" si="17"/>
        <v>1953928.983602528</v>
      </c>
      <c r="AF43" s="2">
        <f t="shared" ca="1" si="17"/>
        <v>1944300.9458852264</v>
      </c>
      <c r="AG43" s="2">
        <f t="shared" ca="1" si="17"/>
        <v>1936357.9899598295</v>
      </c>
      <c r="AH43" s="2">
        <f t="shared" ca="1" si="17"/>
        <v>1929631.6230892837</v>
      </c>
      <c r="AI43" s="2">
        <f t="shared" ca="1" si="17"/>
        <v>1922796.1203086569</v>
      </c>
      <c r="AJ43" s="2">
        <f t="shared" ca="1" si="17"/>
        <v>1916144.3618265945</v>
      </c>
      <c r="AK43" s="2"/>
      <c r="AL43" s="2">
        <f t="shared" ref="AL43:AR43" ca="1" si="18">SUM(AL35:AL42)</f>
        <v>1076611.1301212432</v>
      </c>
      <c r="AM43" s="2">
        <f t="shared" ca="1" si="18"/>
        <v>1070286.9907918586</v>
      </c>
      <c r="AN43" s="2">
        <f t="shared" ca="1" si="18"/>
        <v>1063852.3370075636</v>
      </c>
      <c r="AO43" s="2">
        <f t="shared" ca="1" si="18"/>
        <v>1057304.7742885016</v>
      </c>
      <c r="AP43" s="2">
        <f t="shared" ca="1" si="18"/>
        <v>1050641.8562744195</v>
      </c>
      <c r="AQ43" s="2">
        <f t="shared" ca="1" si="18"/>
        <v>1043861.0836005916</v>
      </c>
      <c r="AR43" s="2">
        <f t="shared" ca="1" si="18"/>
        <v>1036959.9027493903</v>
      </c>
    </row>
  </sheetData>
  <pageMargins left="0.7" right="0.7" top="0.75" bottom="0.75" header="0.3" footer="0.3"/>
  <headerFooter>
    <oddHeader>&amp;R&amp;"Calibri"&amp;10&amp;K000000 Confidencial&amp;1#_x000D_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95036-A58A-4DE2-B397-2CEBC70A0C72}">
  <sheetPr codeName="Sheet15"/>
  <dimension ref="C4:F12"/>
  <sheetViews>
    <sheetView workbookViewId="0">
      <selection activeCell="F6" sqref="F6"/>
    </sheetView>
  </sheetViews>
  <sheetFormatPr baseColWidth="10" defaultColWidth="8.88671875" defaultRowHeight="14.4" x14ac:dyDescent="0.3"/>
  <cols>
    <col min="3" max="3" width="17.6640625" customWidth="1"/>
    <col min="4" max="4" width="18.5546875" customWidth="1"/>
    <col min="5" max="5" width="14.44140625" bestFit="1" customWidth="1"/>
    <col min="6" max="6" width="11.109375" bestFit="1" customWidth="1"/>
  </cols>
  <sheetData>
    <row r="4" spans="3:6" x14ac:dyDescent="0.3">
      <c r="C4" t="s">
        <v>1704</v>
      </c>
      <c r="D4" s="181">
        <v>45536</v>
      </c>
      <c r="E4" s="181">
        <v>45778</v>
      </c>
      <c r="F4" t="s">
        <v>1707</v>
      </c>
    </row>
    <row r="5" spans="3:6" x14ac:dyDescent="0.3">
      <c r="C5" t="s">
        <v>1701</v>
      </c>
      <c r="D5" s="1">
        <v>32980000</v>
      </c>
      <c r="E5" s="2">
        <f>26046315.78+10000000</f>
        <v>36046315.780000001</v>
      </c>
      <c r="F5" s="2">
        <f>E5-D5</f>
        <v>3066315.7800000012</v>
      </c>
    </row>
    <row r="6" spans="3:6" x14ac:dyDescent="0.3">
      <c r="C6" t="s">
        <v>1702</v>
      </c>
      <c r="D6" s="2">
        <v>45424000</v>
      </c>
      <c r="E6" s="1">
        <v>24000000</v>
      </c>
      <c r="F6" s="2">
        <f>E6-D6</f>
        <v>-21424000</v>
      </c>
    </row>
    <row r="7" spans="3:6" x14ac:dyDescent="0.3">
      <c r="C7" t="s">
        <v>1703</v>
      </c>
      <c r="D7" s="2">
        <v>25459877.959997065</v>
      </c>
      <c r="E7" s="2">
        <v>24500000</v>
      </c>
      <c r="F7" s="2">
        <f>E7-D7</f>
        <v>-959877.95999706537</v>
      </c>
    </row>
    <row r="8" spans="3:6" x14ac:dyDescent="0.3">
      <c r="C8" t="s">
        <v>1706</v>
      </c>
      <c r="D8" s="2">
        <f>D7+D5-D6</f>
        <v>13015877.959997065</v>
      </c>
      <c r="E8" s="2">
        <f>E7+E5-E6</f>
        <v>36546315.780000001</v>
      </c>
      <c r="F8" s="2">
        <f>E8-D8</f>
        <v>23530437.820002936</v>
      </c>
    </row>
    <row r="10" spans="3:6" x14ac:dyDescent="0.3">
      <c r="C10" t="s">
        <v>1705</v>
      </c>
    </row>
    <row r="11" spans="3:6" x14ac:dyDescent="0.3">
      <c r="D11" s="181">
        <v>45627</v>
      </c>
      <c r="E11" s="181">
        <v>45778</v>
      </c>
      <c r="F11" t="s">
        <v>1707</v>
      </c>
    </row>
    <row r="12" spans="3:6" x14ac:dyDescent="0.3">
      <c r="C12" t="s">
        <v>33</v>
      </c>
      <c r="D12" s="61">
        <f ca="1">SUM(IS!O18:T18)</f>
        <v>103994438.19315736</v>
      </c>
      <c r="E12" s="61">
        <f>SUM('IS (ROLLING)'!P18:U18)</f>
        <v>105246652.02999996</v>
      </c>
      <c r="F12" s="92">
        <f ca="1">E12/D12-1</f>
        <v>1.2041161610169659E-2</v>
      </c>
    </row>
  </sheetData>
  <pageMargins left="0.7" right="0.7" top="0.75" bottom="0.75" header="0.3" footer="0.3"/>
  <headerFooter>
    <oddHeader>&amp;R&amp;"Calibri"&amp;10&amp;K000000 Confidencial&amp;1#_x000D_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206A-E0F3-430F-B6E1-56596021743A}">
  <sheetPr codeName="Sheet13"/>
  <dimension ref="B8:AA38"/>
  <sheetViews>
    <sheetView showGridLines="0" topLeftCell="A6" zoomScale="73" workbookViewId="0">
      <selection activeCell="P28" sqref="P28"/>
    </sheetView>
  </sheetViews>
  <sheetFormatPr baseColWidth="10" defaultColWidth="8.88671875" defaultRowHeight="18" x14ac:dyDescent="0.35"/>
  <cols>
    <col min="2" max="2" width="35.44140625" style="26" customWidth="1"/>
    <col min="3" max="5" width="11.88671875" customWidth="1"/>
    <col min="6" max="14" width="11.88671875" hidden="1" customWidth="1"/>
    <col min="15" max="15" width="15.109375" style="216" hidden="1" customWidth="1"/>
    <col min="16" max="16" width="11.5546875" customWidth="1"/>
  </cols>
  <sheetData>
    <row r="8" spans="2:27" x14ac:dyDescent="0.35">
      <c r="B8" s="28" t="s">
        <v>1817</v>
      </c>
    </row>
    <row r="10" spans="2:27" ht="15.6" x14ac:dyDescent="0.3">
      <c r="B10" s="105" t="s">
        <v>0</v>
      </c>
      <c r="C10" t="s">
        <v>1788</v>
      </c>
      <c r="D10" t="s">
        <v>1789</v>
      </c>
      <c r="E10" t="s">
        <v>1790</v>
      </c>
      <c r="F10" t="s">
        <v>1791</v>
      </c>
      <c r="G10" t="s">
        <v>1792</v>
      </c>
      <c r="H10" t="s">
        <v>1793</v>
      </c>
      <c r="I10" t="s">
        <v>1794</v>
      </c>
      <c r="J10" t="s">
        <v>1795</v>
      </c>
      <c r="K10" t="s">
        <v>1796</v>
      </c>
      <c r="L10" t="s">
        <v>1797</v>
      </c>
      <c r="M10" t="s">
        <v>1798</v>
      </c>
      <c r="N10" t="s">
        <v>1799</v>
      </c>
      <c r="O10" s="70" t="s">
        <v>1781</v>
      </c>
    </row>
    <row r="11" spans="2:27" ht="15.6" x14ac:dyDescent="0.3">
      <c r="B11" s="203"/>
      <c r="C11" s="59" t="s">
        <v>1812</v>
      </c>
      <c r="D11" s="59" t="s">
        <v>1812</v>
      </c>
      <c r="E11" s="59" t="s">
        <v>1812</v>
      </c>
      <c r="F11" s="59" t="s">
        <v>1814</v>
      </c>
      <c r="G11" s="59" t="s">
        <v>1813</v>
      </c>
      <c r="H11" s="59" t="s">
        <v>1813</v>
      </c>
      <c r="I11" s="59" t="s">
        <v>1813</v>
      </c>
      <c r="J11" s="59" t="s">
        <v>1813</v>
      </c>
      <c r="K11" s="59" t="s">
        <v>1813</v>
      </c>
      <c r="L11" s="59" t="s">
        <v>1813</v>
      </c>
      <c r="M11" s="59" t="s">
        <v>1813</v>
      </c>
      <c r="N11" s="59" t="s">
        <v>1813</v>
      </c>
      <c r="O11" s="224"/>
      <c r="P11" s="59" t="s">
        <v>1781</v>
      </c>
    </row>
    <row r="12" spans="2:27" ht="15.6" x14ac:dyDescent="0.3">
      <c r="B12" s="204" t="s">
        <v>11</v>
      </c>
      <c r="C12" s="16">
        <f>'IS (ROLLING)'!P15</f>
        <v>9677100.5999999996</v>
      </c>
      <c r="D12" s="16">
        <f>'IS (ROLLING)'!Q15</f>
        <v>8226802.8799999896</v>
      </c>
      <c r="E12" s="16">
        <f>'IS (ROLLING)'!R15</f>
        <v>5356720.1399999997</v>
      </c>
      <c r="F12" s="16">
        <f>'IS (ROLLING)'!S15</f>
        <v>13035710.949999999</v>
      </c>
      <c r="G12" s="1">
        <f>'IS (ROLLING)'!T15</f>
        <v>11700675.02</v>
      </c>
      <c r="H12" s="1">
        <f>'IS (ROLLING)'!U15</f>
        <v>8685547.9399999995</v>
      </c>
      <c r="I12" s="1">
        <f>'IS (ROLLING)'!V15</f>
        <v>15512994.25</v>
      </c>
      <c r="J12" s="1">
        <f>'IS (ROLLING)'!W15</f>
        <v>16143512.4</v>
      </c>
      <c r="K12" s="1">
        <f>'IS (ROLLING)'!X15</f>
        <v>14196903.6</v>
      </c>
      <c r="L12" s="1">
        <f>'IS (ROLLING)'!Y15</f>
        <v>12303554.789999999</v>
      </c>
      <c r="M12" s="1">
        <f>'IS (ROLLING)'!Z15</f>
        <v>10392540.699999999</v>
      </c>
      <c r="N12" s="1">
        <f>'IS (ROLLING)'!AA15</f>
        <v>12161452.189999999</v>
      </c>
      <c r="O12" s="217">
        <f>SUM(C12:N12)</f>
        <v>137393515.46000001</v>
      </c>
      <c r="P12" s="16">
        <f>SUM(C12:E12)</f>
        <v>23260623.61999999</v>
      </c>
    </row>
    <row r="13" spans="2:27" ht="15.6" x14ac:dyDescent="0.3">
      <c r="B13" s="204" t="s">
        <v>12</v>
      </c>
      <c r="C13" s="16">
        <f>'IS (ROLLING)'!P16</f>
        <v>0</v>
      </c>
      <c r="D13" s="16">
        <f>'IS (ROLLING)'!Q16</f>
        <v>0</v>
      </c>
      <c r="E13" s="16">
        <f>'IS (ROLLING)'!R16</f>
        <v>0</v>
      </c>
      <c r="F13" s="16">
        <f>'IS (ROLLING)'!S16</f>
        <v>0</v>
      </c>
      <c r="G13" s="1">
        <f>'IS (ROLLING)'!T16</f>
        <v>732871.29</v>
      </c>
      <c r="H13" s="1">
        <f>'IS (ROLLING)'!U16</f>
        <v>852760.66</v>
      </c>
      <c r="I13" s="1">
        <f>'IS (ROLLING)'!V16</f>
        <v>1184249.6399999999</v>
      </c>
      <c r="J13" s="1">
        <f>'IS (ROLLING)'!W16</f>
        <v>1557459</v>
      </c>
      <c r="K13" s="1">
        <f>'IS (ROLLING)'!X16</f>
        <v>1323398</v>
      </c>
      <c r="L13" s="1">
        <f>'IS (ROLLING)'!Y16</f>
        <v>1477644</v>
      </c>
      <c r="M13" s="1">
        <f>'IS (ROLLING)'!Z16</f>
        <v>1744133</v>
      </c>
      <c r="N13" s="1">
        <f>'IS (ROLLING)'!AA16</f>
        <v>1522217</v>
      </c>
      <c r="O13" s="217">
        <f>SUM(C13:N13)</f>
        <v>10394732.59</v>
      </c>
      <c r="P13" s="16">
        <f>SUM(C13:E13)</f>
        <v>0</v>
      </c>
    </row>
    <row r="14" spans="2:27" ht="15.6" x14ac:dyDescent="0.3">
      <c r="B14" s="205" t="s">
        <v>13</v>
      </c>
      <c r="C14" s="206">
        <f>'IS (ROLLING)'!P17</f>
        <v>9061037.5500000007</v>
      </c>
      <c r="D14" s="206">
        <f>'IS (ROLLING)'!Q17</f>
        <v>8215637.3399999999</v>
      </c>
      <c r="E14" s="206">
        <f>'IS (ROLLING)'!R17</f>
        <v>7745218.0799999898</v>
      </c>
      <c r="F14" s="206">
        <f>'IS (ROLLING)'!S17</f>
        <v>4902491.2300000004</v>
      </c>
      <c r="G14" s="199">
        <f>'IS (ROLLING)'!T17</f>
        <v>8688581.2199999895</v>
      </c>
      <c r="H14" s="199">
        <f>'IS (ROLLING)'!U17</f>
        <v>8365497.1299999896</v>
      </c>
      <c r="I14" s="199">
        <f>'IS (ROLLING)'!V17</f>
        <v>6950223.1799999997</v>
      </c>
      <c r="J14" s="199">
        <f ca="1">'IS (ROLLING)'!W17</f>
        <v>7770679.0370801566</v>
      </c>
      <c r="K14" s="199">
        <f ca="1">'IS (ROLLING)'!X17</f>
        <v>7368248.702842189</v>
      </c>
      <c r="L14" s="199">
        <f ca="1">'IS (ROLLING)'!Y17</f>
        <v>8843587.0480811708</v>
      </c>
      <c r="M14" s="199">
        <f ca="1">'IS (ROLLING)'!Z17</f>
        <v>8108764.7922038632</v>
      </c>
      <c r="N14" s="199">
        <f>'IS (ROLLING)'!AA17</f>
        <v>8108764.7922038632</v>
      </c>
      <c r="O14" s="218">
        <f ca="1">SUM(C14:N14)</f>
        <v>94128730.102411196</v>
      </c>
      <c r="P14" s="206">
        <f>SUM(C14:E14)</f>
        <v>25021892.969999991</v>
      </c>
    </row>
    <row r="15" spans="2:27" ht="15.6" x14ac:dyDescent="0.3">
      <c r="B15" s="103" t="s">
        <v>34</v>
      </c>
      <c r="C15" s="16">
        <f>'1Q Consolidado'!B18</f>
        <v>16930425.390000001</v>
      </c>
      <c r="D15" s="16">
        <f>'1Q Consolidado'!D18</f>
        <v>15998744.48</v>
      </c>
      <c r="E15" s="16">
        <f>'1Q Consolidado'!F18</f>
        <v>13102800.27</v>
      </c>
      <c r="F15" s="16">
        <f>'IS (ROLLING)'!S18</f>
        <v>17938202.18</v>
      </c>
      <c r="G15" s="1">
        <f>'IS (ROLLING)'!T18</f>
        <v>21122127.529999986</v>
      </c>
      <c r="H15" s="1">
        <f>'IS (ROLLING)'!U18</f>
        <v>17903805.729999989</v>
      </c>
      <c r="I15" s="1">
        <f>'IS (ROLLING)'!V18</f>
        <v>23647467.07</v>
      </c>
      <c r="J15" s="1">
        <f ca="1">'IS (ROLLING)'!W18</f>
        <v>25471650.437080156</v>
      </c>
      <c r="K15" s="1">
        <f ca="1">'IS (ROLLING)'!X18</f>
        <v>22888550.302842189</v>
      </c>
      <c r="L15" s="1">
        <f ca="1">'IS (ROLLING)'!Y18</f>
        <v>22624785.83808117</v>
      </c>
      <c r="M15" s="1">
        <f ca="1">'IS (ROLLING)'!Z18</f>
        <v>20245438.492203861</v>
      </c>
      <c r="N15" s="1">
        <f>'IS (ROLLING)'!AA18</f>
        <v>21792433.982203864</v>
      </c>
      <c r="O15" s="217">
        <f ca="1">SUM(C15:N15)</f>
        <v>239666431.70241123</v>
      </c>
      <c r="P15" s="16">
        <f>SUM(C15:E15)</f>
        <v>46031970.140000001</v>
      </c>
    </row>
    <row r="16" spans="2:27" s="213" customFormat="1" ht="13.8" x14ac:dyDescent="0.3">
      <c r="B16" s="212" t="s">
        <v>34</v>
      </c>
      <c r="C16" s="214">
        <f>C15/C18</f>
        <v>1.0668828877477416</v>
      </c>
      <c r="D16" s="214">
        <f>D15/D18</f>
        <v>1.0266717716536369</v>
      </c>
      <c r="E16" s="214">
        <f>E15/E18</f>
        <v>1.0486652395296763</v>
      </c>
      <c r="F16" s="214">
        <f t="shared" ref="F16:N16" si="0">F15/F18</f>
        <v>1.0251073077612769</v>
      </c>
      <c r="G16" s="214">
        <f t="shared" si="0"/>
        <v>1.0168417751715106</v>
      </c>
      <c r="H16" s="214">
        <f t="shared" si="0"/>
        <v>1.0343511513600885</v>
      </c>
      <c r="I16" s="214">
        <f t="shared" si="0"/>
        <v>1.0175878042582249</v>
      </c>
      <c r="J16" s="214">
        <f t="shared" ca="1" si="0"/>
        <v>1.0204081632653061</v>
      </c>
      <c r="K16" s="214">
        <f t="shared" ca="1" si="0"/>
        <v>1.0204081632653061</v>
      </c>
      <c r="L16" s="214">
        <f t="shared" ca="1" si="0"/>
        <v>1.0204081632653061</v>
      </c>
      <c r="M16" s="214">
        <f t="shared" ca="1" si="0"/>
        <v>1.0204081632653061</v>
      </c>
      <c r="N16" s="214">
        <f t="shared" si="0"/>
        <v>1.0204081632653061</v>
      </c>
      <c r="O16" s="219">
        <f ca="1">O15/O18</f>
        <v>1.026283806203578</v>
      </c>
      <c r="P16" s="214">
        <f>P15/P18</f>
        <v>1.047444907059722</v>
      </c>
      <c r="AA16" s="385"/>
    </row>
    <row r="17" spans="2:27" ht="15.6" x14ac:dyDescent="0.3">
      <c r="B17" s="205" t="s">
        <v>1800</v>
      </c>
      <c r="C17" s="206">
        <f>'IS (ROLLING)'!P21-'1Q Consolidado'!B35</f>
        <v>1061368.3600000001</v>
      </c>
      <c r="D17" s="206">
        <f>'IS (ROLLING)'!Q21</f>
        <v>415629.29</v>
      </c>
      <c r="E17" s="206">
        <f>'IS (ROLLING)'!R21</f>
        <v>608059.549999999</v>
      </c>
      <c r="F17" s="199">
        <f>'IS (ROLLING)'!S21</f>
        <v>439349.09</v>
      </c>
      <c r="G17" s="199">
        <f>'IS (ROLLING)'!T21</f>
        <v>349842.15999999898</v>
      </c>
      <c r="H17" s="199">
        <f>'IS (ROLLING)'!U21</f>
        <v>594591.43999999901</v>
      </c>
      <c r="I17" s="199">
        <f>'IS (ROLLING)'!V21</f>
        <v>408718.56</v>
      </c>
      <c r="J17" s="199">
        <f ca="1">'IS (ROLLING)'!W21</f>
        <v>509433.00874160312</v>
      </c>
      <c r="K17" s="199">
        <f ca="1">'IS (ROLLING)'!X21</f>
        <v>457771.00605684379</v>
      </c>
      <c r="L17" s="199">
        <f ca="1">'IS (ROLLING)'!Y21</f>
        <v>452495.71676162339</v>
      </c>
      <c r="M17" s="199">
        <f ca="1">'IS (ROLLING)'!Z21</f>
        <v>404908.76984407724</v>
      </c>
      <c r="N17" s="199">
        <f>'IS (ROLLING)'!AA21</f>
        <v>435848.67964407726</v>
      </c>
      <c r="O17" s="218">
        <f t="shared" ref="O17:O22" ca="1" si="1">SUM(C17:N17)</f>
        <v>6138015.631048223</v>
      </c>
      <c r="P17" s="206">
        <f t="shared" ref="P17:P22" si="2">SUM(C17:E17)</f>
        <v>2085057.1999999993</v>
      </c>
      <c r="AA17" s="385"/>
    </row>
    <row r="18" spans="2:27" ht="15.6" x14ac:dyDescent="0.3">
      <c r="B18" s="103" t="s">
        <v>33</v>
      </c>
      <c r="C18" s="16">
        <f>C15-C17</f>
        <v>15869057.030000001</v>
      </c>
      <c r="D18" s="16">
        <f>D15-D17</f>
        <v>15583115.190000001</v>
      </c>
      <c r="E18" s="16">
        <f>E15-E17</f>
        <v>12494740.720000001</v>
      </c>
      <c r="F18" s="1">
        <f>F15-F17</f>
        <v>17498853.09</v>
      </c>
      <c r="G18" s="1">
        <f>G15-G17</f>
        <v>20772285.369999986</v>
      </c>
      <c r="H18" s="1">
        <f t="shared" ref="H18:N18" si="3">H15-H17</f>
        <v>17309214.289999992</v>
      </c>
      <c r="I18" s="1">
        <f t="shared" si="3"/>
        <v>23238748.510000002</v>
      </c>
      <c r="J18" s="1">
        <f t="shared" ca="1" si="3"/>
        <v>24962217.428338554</v>
      </c>
      <c r="K18" s="1">
        <f t="shared" ca="1" si="3"/>
        <v>22430779.296785343</v>
      </c>
      <c r="L18" s="1">
        <f t="shared" ca="1" si="3"/>
        <v>22172290.121319547</v>
      </c>
      <c r="M18" s="1">
        <f t="shared" ca="1" si="3"/>
        <v>19840529.722359784</v>
      </c>
      <c r="N18" s="1">
        <f t="shared" si="3"/>
        <v>21356585.302559786</v>
      </c>
      <c r="O18" s="217">
        <f t="shared" ca="1" si="1"/>
        <v>233528416.07136303</v>
      </c>
      <c r="P18" s="16">
        <f t="shared" si="2"/>
        <v>43946912.940000005</v>
      </c>
      <c r="AA18" s="383"/>
    </row>
    <row r="19" spans="2:27" ht="15.6" x14ac:dyDescent="0.3">
      <c r="B19" s="204" t="s">
        <v>6</v>
      </c>
      <c r="C19" s="207">
        <f>'1Q Consolidado'!B45</f>
        <v>6374777.3000000007</v>
      </c>
      <c r="D19" s="207">
        <f>'1Q Consolidado'!D45</f>
        <v>6554330.4000000004</v>
      </c>
      <c r="E19" s="207">
        <f>'1Q Consolidado'!F45</f>
        <v>4958570.59</v>
      </c>
      <c r="F19" s="207">
        <f>'IS (ROLLING)'!S24</f>
        <v>6630608.8200000003</v>
      </c>
      <c r="G19" s="61">
        <f>'IS (ROLLING)'!T24</f>
        <v>8870567.4499999993</v>
      </c>
      <c r="H19" s="61">
        <f>'IS (ROLLING)'!U24</f>
        <v>7136545.1799999997</v>
      </c>
      <c r="I19" s="61">
        <f>'IS (ROLLING)'!V24</f>
        <v>9963239.7099999897</v>
      </c>
      <c r="J19" s="61">
        <f ca="1">'IS (ROLLING)'!W24</f>
        <v>11492516.572607253</v>
      </c>
      <c r="K19" s="61">
        <f ca="1">'IS (ROLLING)'!X24</f>
        <v>10265355.358966343</v>
      </c>
      <c r="L19" s="61">
        <f ca="1">'IS (ROLLING)'!Y24</f>
        <v>9897418.9913475979</v>
      </c>
      <c r="M19" s="61">
        <f ca="1">'IS (ROLLING)'!Z24</f>
        <v>8825316.8793493137</v>
      </c>
      <c r="N19" s="61">
        <f>'IS (ROLLING)'!AA24</f>
        <v>9598814.6243493129</v>
      </c>
      <c r="O19" s="220">
        <f t="shared" ca="1" si="1"/>
        <v>100568061.8766198</v>
      </c>
      <c r="P19" s="207">
        <f t="shared" si="2"/>
        <v>17887678.289999999</v>
      </c>
      <c r="AA19" s="383"/>
    </row>
    <row r="20" spans="2:27" ht="15.6" x14ac:dyDescent="0.3">
      <c r="B20" s="204" t="s">
        <v>1801</v>
      </c>
      <c r="C20" s="208">
        <f>'1Q Consolidado'!B53</f>
        <v>3390431.4800000004</v>
      </c>
      <c r="D20" s="208">
        <f>'1Q Consolidado'!D53</f>
        <v>2440860.4699999997</v>
      </c>
      <c r="E20" s="208">
        <f>'1Q Consolidado'!F53</f>
        <v>1928559.69</v>
      </c>
      <c r="F20" s="60">
        <f>'IS (ROLLING)'!S29</f>
        <v>2025485.98</v>
      </c>
      <c r="G20" s="60">
        <f>'IS (ROLLING)'!T29</f>
        <v>2081617.45999999</v>
      </c>
      <c r="H20" s="60">
        <f>'IS (ROLLING)'!U29</f>
        <v>2047912.43</v>
      </c>
      <c r="I20" s="60">
        <f>'IS (ROLLING)'!V29</f>
        <v>1940260.8999999899</v>
      </c>
      <c r="J20" s="60">
        <f>'IS (ROLLING)'!W29</f>
        <v>1795060.8717747501</v>
      </c>
      <c r="K20" s="60">
        <f>'IS (ROLLING)'!X29</f>
        <v>1388185.8717747501</v>
      </c>
      <c r="L20" s="60">
        <f>'IS (ROLLING)'!Y29</f>
        <v>1388185.8717747501</v>
      </c>
      <c r="M20" s="60">
        <f>'IS (ROLLING)'!Z29</f>
        <v>1388185.8717747501</v>
      </c>
      <c r="N20" s="60">
        <f>'IS (ROLLING)'!AA29</f>
        <v>1388185.8717747501</v>
      </c>
      <c r="O20" s="221">
        <f t="shared" si="1"/>
        <v>23202932.768873736</v>
      </c>
      <c r="P20" s="208">
        <f t="shared" si="2"/>
        <v>7759851.6400000006</v>
      </c>
      <c r="AA20" s="383"/>
    </row>
    <row r="21" spans="2:27" ht="15.6" x14ac:dyDescent="0.3">
      <c r="B21" s="205" t="s">
        <v>1802</v>
      </c>
      <c r="C21" s="206">
        <f>'1Q Consolidado'!B67</f>
        <v>1394621.1</v>
      </c>
      <c r="D21" s="206">
        <f>'1Q Consolidado'!D67</f>
        <v>1695025.51</v>
      </c>
      <c r="E21" s="206">
        <f>'1Q Consolidado'!F67</f>
        <v>1817295.8399999999</v>
      </c>
      <c r="F21" s="215">
        <f>'IS (ROLLING)'!S27+'IS (ROLLING)'!S30+'IS (ROLLING)'!S31+'IS (ROLLING)'!S33</f>
        <v>707655.58000000007</v>
      </c>
      <c r="G21" s="199">
        <f>'IS (ROLLING)'!T27+'IS (ROLLING)'!T30+'IS (ROLLING)'!T31+'IS (ROLLING)'!T33</f>
        <v>860732.42999999784</v>
      </c>
      <c r="H21" s="199">
        <f>'IS (ROLLING)'!U27+'IS (ROLLING)'!U30+'IS (ROLLING)'!U31+'IS (ROLLING)'!U33</f>
        <v>944018.87999999989</v>
      </c>
      <c r="I21" s="199">
        <f>'IS (ROLLING)'!V27+'IS (ROLLING)'!V30+'IS (ROLLING)'!V31+'IS (ROLLING)'!V33</f>
        <v>968156.03</v>
      </c>
      <c r="J21" s="199">
        <f ca="1">'IS (ROLLING)'!W27+'IS (ROLLING)'!W30+'IS (ROLLING)'!W31+'IS (ROLLING)'!W33</f>
        <v>1095581.8926537393</v>
      </c>
      <c r="K21" s="199">
        <f ca="1">'IS (ROLLING)'!X27+'IS (ROLLING)'!X30+'IS (ROLLING)'!X31+'IS (ROLLING)'!X33</f>
        <v>1048311.1601971844</v>
      </c>
      <c r="L21" s="199">
        <f ca="1">'IS (ROLLING)'!Y27+'IS (ROLLING)'!Y30+'IS (ROLLING)'!Y31+'IS (ROLLING)'!Y33</f>
        <v>1043484.2704920578</v>
      </c>
      <c r="M21" s="199">
        <f ca="1">'IS (ROLLING)'!Z27+'IS (ROLLING)'!Z30+'IS (ROLLING)'!Z31+'IS (ROLLING)'!Z33</f>
        <v>999942.21406250307</v>
      </c>
      <c r="N21" s="199">
        <f>'IS (ROLLING)'!AA27+'IS (ROLLING)'!AA30+'IS (ROLLING)'!AA31+'IS (ROLLING)'!AA33</f>
        <v>1028252.2315295031</v>
      </c>
      <c r="O21" s="218">
        <f t="shared" ca="1" si="1"/>
        <v>13603077.138934985</v>
      </c>
      <c r="P21" s="206">
        <f t="shared" si="2"/>
        <v>4906942.45</v>
      </c>
      <c r="AA21" s="383"/>
    </row>
    <row r="22" spans="2:27" ht="15.6" x14ac:dyDescent="0.3">
      <c r="B22" s="103" t="s">
        <v>36</v>
      </c>
      <c r="C22" s="209">
        <f>C18-SUM(C19:C21)</f>
        <v>4709227.1500000004</v>
      </c>
      <c r="D22" s="209">
        <f>D18-SUM(D19:D21)</f>
        <v>4892898.8100000005</v>
      </c>
      <c r="E22" s="209">
        <f>E18-SUM(E19:E21)</f>
        <v>3790314.6000000015</v>
      </c>
      <c r="F22" s="2">
        <f>F18-SUM(F19:F21)</f>
        <v>8135102.709999999</v>
      </c>
      <c r="G22" s="2">
        <f>G18-SUM(G19:G21)</f>
        <v>8959368.0299999993</v>
      </c>
      <c r="H22" s="2">
        <f t="shared" ref="H22:N22" si="4">H18-SUM(H19:H21)</f>
        <v>7180737.7999999933</v>
      </c>
      <c r="I22" s="2">
        <f t="shared" si="4"/>
        <v>10367091.870000023</v>
      </c>
      <c r="J22" s="2">
        <f t="shared" ca="1" si="4"/>
        <v>10579058.091302812</v>
      </c>
      <c r="K22" s="2">
        <f t="shared" ca="1" si="4"/>
        <v>9728926.9058470652</v>
      </c>
      <c r="L22" s="2">
        <f t="shared" ca="1" si="4"/>
        <v>9843200.9877051413</v>
      </c>
      <c r="M22" s="2">
        <f t="shared" ca="1" si="4"/>
        <v>8627084.7571732178</v>
      </c>
      <c r="N22" s="2">
        <f t="shared" si="4"/>
        <v>9341332.5749062188</v>
      </c>
      <c r="O22" s="222">
        <f t="shared" ca="1" si="1"/>
        <v>96154344.28693445</v>
      </c>
      <c r="P22" s="209">
        <f t="shared" si="2"/>
        <v>13392440.560000002</v>
      </c>
      <c r="AA22" s="383"/>
    </row>
    <row r="23" spans="2:27" s="213" customFormat="1" ht="13.8" x14ac:dyDescent="0.3">
      <c r="B23" s="212" t="s">
        <v>36</v>
      </c>
      <c r="C23" s="214">
        <f t="shared" ref="C23:N23" si="5">C22/C18</f>
        <v>0.29675532333757076</v>
      </c>
      <c r="D23" s="214">
        <f t="shared" si="5"/>
        <v>0.31398720668765073</v>
      </c>
      <c r="E23" s="214">
        <f t="shared" si="5"/>
        <v>0.30335280138570186</v>
      </c>
      <c r="F23" s="214">
        <f t="shared" si="5"/>
        <v>0.46489348005606917</v>
      </c>
      <c r="G23" s="214">
        <f t="shared" si="5"/>
        <v>0.43131354448554859</v>
      </c>
      <c r="H23" s="214">
        <f t="shared" si="5"/>
        <v>0.41485059227376386</v>
      </c>
      <c r="I23" s="214">
        <f t="shared" si="5"/>
        <v>0.44611231390274309</v>
      </c>
      <c r="J23" s="214">
        <f t="shared" ca="1" si="5"/>
        <v>0.42380281806586834</v>
      </c>
      <c r="K23" s="214">
        <f t="shared" ca="1" si="5"/>
        <v>0.4337311146047147</v>
      </c>
      <c r="L23" s="214">
        <f t="shared" ca="1" si="5"/>
        <v>0.44394155650347134</v>
      </c>
      <c r="M23" s="214">
        <f t="shared" ca="1" si="5"/>
        <v>0.43482129146232962</v>
      </c>
      <c r="N23" s="214">
        <f t="shared" si="5"/>
        <v>0.4373982283481701</v>
      </c>
      <c r="O23" s="219">
        <f ca="1">O22/O$18</f>
        <v>0.41174579909603387</v>
      </c>
      <c r="P23" s="214">
        <f>P22/P$18</f>
        <v>0.30474132684324107</v>
      </c>
      <c r="AA23" s="383"/>
    </row>
    <row r="24" spans="2:27" ht="15.6" x14ac:dyDescent="0.3">
      <c r="B24" s="205" t="s">
        <v>1719</v>
      </c>
      <c r="C24" s="210">
        <f>SUM('1Q Consolidado'!B71:B83)</f>
        <v>4415253.7699999996</v>
      </c>
      <c r="D24" s="210">
        <f>SUM('1Q Consolidado'!D71:D83)</f>
        <v>4108257.19</v>
      </c>
      <c r="E24" s="210">
        <f>SUM('1Q Consolidado'!F71:F83)</f>
        <v>4214679.74</v>
      </c>
      <c r="F24" s="202">
        <f>SUM('IS (ROLLING)'!S38:S40)+SUM('IS (ROLLING)'!S43:S60)</f>
        <v>7002198.0699999854</v>
      </c>
      <c r="G24" s="202">
        <f>SUM('IS (ROLLING)'!T38:T40)+SUM('IS (ROLLING)'!T43:T60)</f>
        <v>7549727.189999993</v>
      </c>
      <c r="H24" s="202">
        <f>SUM('IS (ROLLING)'!U38:U40)+SUM('IS (ROLLING)'!U43:U60)</f>
        <v>6475520.7099999953</v>
      </c>
      <c r="I24" s="202">
        <f>SUM('IS (ROLLING)'!V38:V40)+SUM('IS (ROLLING)'!V43:V60)</f>
        <v>7290202.7599999933</v>
      </c>
      <c r="J24" s="202">
        <f ca="1">SUM('IS (ROLLING)'!W38:W40)+SUM('IS (ROLLING)'!W43:W60)</f>
        <v>6105933.004066485</v>
      </c>
      <c r="K24" s="202">
        <f ca="1">SUM('IS (ROLLING)'!X38:X40)+SUM('IS (ROLLING)'!X43:X60)</f>
        <v>5911887.7897772556</v>
      </c>
      <c r="L24" s="202">
        <f ca="1">SUM('IS (ROLLING)'!Y38:Y40)+SUM('IS (ROLLING)'!Y43:Y60)</f>
        <v>6125888.1643118067</v>
      </c>
      <c r="M24" s="202">
        <f ca="1">SUM('IS (ROLLING)'!Z38:Z40)+SUM('IS (ROLLING)'!Z43:Z60)</f>
        <v>5926021.1262169983</v>
      </c>
      <c r="N24" s="202">
        <f ca="1">SUM('IS (ROLLING)'!AA38:AA40)+SUM('IS (ROLLING)'!AA43:AA60)</f>
        <v>6071863.4093346875</v>
      </c>
      <c r="O24" s="223">
        <f ca="1">SUM(C24:N24)</f>
        <v>71197432.923707187</v>
      </c>
      <c r="P24" s="210">
        <f>SUM(C24:E24)</f>
        <v>12738190.699999999</v>
      </c>
      <c r="AA24" s="383"/>
    </row>
    <row r="25" spans="2:27" ht="15.6" x14ac:dyDescent="0.3">
      <c r="B25" s="103" t="s">
        <v>37</v>
      </c>
      <c r="C25" s="209">
        <f>C22-C24</f>
        <v>293973.38000000082</v>
      </c>
      <c r="D25" s="209">
        <f>D22-D24</f>
        <v>784641.62000000058</v>
      </c>
      <c r="E25" s="209">
        <f>E22-E24</f>
        <v>-424365.13999999873</v>
      </c>
      <c r="F25" s="2">
        <f>F22-F24</f>
        <v>1132904.6400000136</v>
      </c>
      <c r="G25" s="2">
        <f>G22-G24</f>
        <v>1409640.8400000064</v>
      </c>
      <c r="H25" s="2">
        <f t="shared" ref="H25:N25" si="6">H22-H24</f>
        <v>705217.08999999799</v>
      </c>
      <c r="I25" s="2">
        <f t="shared" si="6"/>
        <v>3076889.1100000301</v>
      </c>
      <c r="J25" s="2">
        <f t="shared" ca="1" si="6"/>
        <v>4473125.0872363271</v>
      </c>
      <c r="K25" s="2">
        <f t="shared" ca="1" si="6"/>
        <v>3817039.1160698095</v>
      </c>
      <c r="L25" s="2">
        <f t="shared" ca="1" si="6"/>
        <v>3717312.8233933346</v>
      </c>
      <c r="M25" s="2">
        <f t="shared" ca="1" si="6"/>
        <v>2701063.6309562195</v>
      </c>
      <c r="N25" s="2">
        <f t="shared" ca="1" si="6"/>
        <v>3269469.1655715313</v>
      </c>
      <c r="O25" s="222">
        <f ca="1">SUM(C25:N25)</f>
        <v>24956911.363227271</v>
      </c>
      <c r="P25" s="209">
        <f>SUM(C25:E25)</f>
        <v>654249.86000000266</v>
      </c>
      <c r="AA25" s="383"/>
    </row>
    <row r="26" spans="2:27" s="213" customFormat="1" ht="13.8" x14ac:dyDescent="0.3">
      <c r="B26" s="212" t="s">
        <v>37</v>
      </c>
      <c r="C26" s="214">
        <f>C25/C18</f>
        <v>1.8524943192544618E-2</v>
      </c>
      <c r="D26" s="214">
        <f t="shared" ref="D26:N26" si="7">D25/D18</f>
        <v>5.0352038756892516E-2</v>
      </c>
      <c r="E26" s="214">
        <f t="shared" si="7"/>
        <v>-3.3963501084958783E-2</v>
      </c>
      <c r="F26" s="214">
        <f t="shared" si="7"/>
        <v>6.4741651019827706E-2</v>
      </c>
      <c r="G26" s="214">
        <f t="shared" si="7"/>
        <v>6.7861615363510069E-2</v>
      </c>
      <c r="H26" s="214">
        <f t="shared" si="7"/>
        <v>4.0742293566000926E-2</v>
      </c>
      <c r="I26" s="214">
        <f t="shared" si="7"/>
        <v>0.13240339120138056</v>
      </c>
      <c r="J26" s="214">
        <f t="shared" ca="1" si="7"/>
        <v>0.17919582264988113</v>
      </c>
      <c r="K26" s="214">
        <f t="shared" ca="1" si="7"/>
        <v>0.17016970590125002</v>
      </c>
      <c r="L26" s="214">
        <f t="shared" ca="1" si="7"/>
        <v>0.16765579031545275</v>
      </c>
      <c r="M26" s="214">
        <f t="shared" ca="1" si="7"/>
        <v>0.13613868524448658</v>
      </c>
      <c r="N26" s="214">
        <f t="shared" ca="1" si="7"/>
        <v>0.15308950935989074</v>
      </c>
      <c r="O26" s="219">
        <f ca="1">O25/O$18</f>
        <v>0.10686884184407257</v>
      </c>
      <c r="P26" s="214">
        <f>P25/P$18</f>
        <v>1.4887276858177484E-2</v>
      </c>
      <c r="AA26" s="383"/>
    </row>
    <row r="27" spans="2:27" ht="15.6" x14ac:dyDescent="0.3">
      <c r="B27" s="204" t="s">
        <v>1803</v>
      </c>
      <c r="C27" s="209">
        <f>'1Q Consolidado'!B88</f>
        <v>1344503.99</v>
      </c>
      <c r="D27" s="209">
        <f>'1Q Consolidado'!D88</f>
        <v>1290476.5</v>
      </c>
      <c r="E27" s="209">
        <f>'1Q Consolidado'!F88</f>
        <v>1077857.9500000002</v>
      </c>
      <c r="F27" s="2">
        <f>'IS (ROLLING)'!S64</f>
        <v>1330732.07</v>
      </c>
      <c r="G27" s="2">
        <f>'IS (ROLLING)'!T64</f>
        <v>1150136.8799999901</v>
      </c>
      <c r="H27" s="2">
        <f>'IS (ROLLING)'!U64</f>
        <v>784790.69</v>
      </c>
      <c r="I27" s="2">
        <f>'IS (ROLLING)'!V64</f>
        <v>1032556.85</v>
      </c>
      <c r="J27" s="2">
        <f>'IS (ROLLING)'!W64</f>
        <v>1267197.2057774886</v>
      </c>
      <c r="K27" s="2">
        <f>'IS (ROLLING)'!X64</f>
        <v>1435839.2742233332</v>
      </c>
      <c r="L27" s="2">
        <f>'IS (ROLLING)'!Y64</f>
        <v>1503784.3074408663</v>
      </c>
      <c r="M27" s="2">
        <f>'IS (ROLLING)'!Z64</f>
        <v>1497283.339934729</v>
      </c>
      <c r="N27" s="2">
        <f>'IS (ROLLING)'!AA64</f>
        <v>1490677.1576577767</v>
      </c>
      <c r="O27" s="222">
        <f>SUM(C27:N27)</f>
        <v>15205836.215034183</v>
      </c>
      <c r="P27" s="209">
        <f>SUM(C27:E27)</f>
        <v>3712838.4400000004</v>
      </c>
      <c r="AA27" s="383"/>
    </row>
    <row r="28" spans="2:27" ht="15.6" x14ac:dyDescent="0.3">
      <c r="B28" s="205" t="s">
        <v>31</v>
      </c>
      <c r="C28" s="211"/>
      <c r="D28" s="211"/>
      <c r="E28" s="211"/>
      <c r="F28" s="59"/>
      <c r="G28" s="59"/>
      <c r="H28" s="59"/>
      <c r="I28" s="59"/>
      <c r="J28" s="59"/>
      <c r="K28" s="59"/>
      <c r="L28" s="59"/>
      <c r="M28" s="59"/>
      <c r="N28" s="59"/>
      <c r="O28" s="224"/>
      <c r="P28" s="211"/>
      <c r="AA28" s="382"/>
    </row>
    <row r="29" spans="2:27" ht="15.6" x14ac:dyDescent="0.3">
      <c r="B29" s="103" t="s">
        <v>38</v>
      </c>
      <c r="C29" s="209">
        <f>C25-C27</f>
        <v>-1050530.6099999992</v>
      </c>
      <c r="D29" s="209">
        <f>D25-D27</f>
        <v>-505834.87999999942</v>
      </c>
      <c r="E29" s="209">
        <f>E25-E27</f>
        <v>-1502223.0899999989</v>
      </c>
      <c r="F29" s="2">
        <f>F25-F27</f>
        <v>-197827.42999998643</v>
      </c>
      <c r="G29" s="2">
        <f>G25-G27</f>
        <v>259503.96000001626</v>
      </c>
      <c r="H29" s="2">
        <f t="shared" ref="H29:N29" si="8">H25-H27</f>
        <v>-79573.600000001956</v>
      </c>
      <c r="I29" s="2">
        <f t="shared" si="8"/>
        <v>2044332.26000003</v>
      </c>
      <c r="J29" s="2">
        <f t="shared" ca="1" si="8"/>
        <v>3205927.8814588385</v>
      </c>
      <c r="K29" s="2">
        <f t="shared" ca="1" si="8"/>
        <v>2381199.8418464763</v>
      </c>
      <c r="L29" s="2">
        <f t="shared" ca="1" si="8"/>
        <v>2213528.5159524684</v>
      </c>
      <c r="M29" s="2">
        <f t="shared" ca="1" si="8"/>
        <v>1203780.2910214905</v>
      </c>
      <c r="N29" s="2">
        <f t="shared" ca="1" si="8"/>
        <v>1778792.0079137546</v>
      </c>
      <c r="O29" s="222">
        <f ca="1">SUM(C29:N29)</f>
        <v>9751075.1481930893</v>
      </c>
      <c r="P29" s="209">
        <f>SUM(C29:E29)</f>
        <v>-3058588.5799999973</v>
      </c>
      <c r="AA29" s="382"/>
    </row>
    <row r="30" spans="2:27" s="213" customFormat="1" ht="13.8" x14ac:dyDescent="0.3">
      <c r="B30" s="212" t="s">
        <v>38</v>
      </c>
      <c r="C30" s="214">
        <f>C29/C18</f>
        <v>-6.6199939165509383E-2</v>
      </c>
      <c r="D30" s="214">
        <f>D29/D18</f>
        <v>-3.2460446697115085E-2</v>
      </c>
      <c r="E30" s="214">
        <f>E29/E18</f>
        <v>-0.12022843239919578</v>
      </c>
      <c r="F30" s="214">
        <f>F29/F18</f>
        <v>-1.1305165486133379E-2</v>
      </c>
      <c r="G30" s="214">
        <f t="shared" ref="G30:N30" si="9">G29/G18</f>
        <v>1.2492797753240978E-2</v>
      </c>
      <c r="H30" s="214">
        <f t="shared" si="9"/>
        <v>-4.5971815165506275E-3</v>
      </c>
      <c r="I30" s="214">
        <f t="shared" si="9"/>
        <v>8.7970841421185886E-2</v>
      </c>
      <c r="J30" s="214">
        <f t="shared" ca="1" si="9"/>
        <v>0.12843121371979091</v>
      </c>
      <c r="K30" s="214">
        <f t="shared" ca="1" si="9"/>
        <v>0.10615769565294314</v>
      </c>
      <c r="L30" s="214">
        <f t="shared" ca="1" si="9"/>
        <v>9.9833102662862591E-2</v>
      </c>
      <c r="M30" s="214">
        <f t="shared" ca="1" si="9"/>
        <v>6.0672789883470704E-2</v>
      </c>
      <c r="N30" s="214">
        <f t="shared" ca="1" si="9"/>
        <v>8.3290094493736783E-2</v>
      </c>
      <c r="O30" s="219">
        <f ca="1">O29/O$18</f>
        <v>4.1755411663535184E-2</v>
      </c>
      <c r="P30" s="214">
        <f>P29/P$18</f>
        <v>-6.9597347694838954E-2</v>
      </c>
      <c r="AA30" s="383"/>
    </row>
    <row r="31" spans="2:27" ht="15.6" x14ac:dyDescent="0.3">
      <c r="B31" s="103"/>
      <c r="O31" s="70"/>
      <c r="AA31" s="383"/>
    </row>
    <row r="32" spans="2:27" x14ac:dyDescent="0.35">
      <c r="B32" s="26" t="s">
        <v>1804</v>
      </c>
      <c r="C32" s="16">
        <f>'1Q Consolidado'!B105</f>
        <v>2957032.79</v>
      </c>
      <c r="D32" s="16">
        <f>'1Q Consolidado'!D105</f>
        <v>2300445.13</v>
      </c>
      <c r="E32" s="16">
        <f>'1Q Consolidado'!F105</f>
        <v>2506004.9300000002</v>
      </c>
      <c r="O32" s="70"/>
      <c r="P32" s="16">
        <f>SUM(C32:E32)</f>
        <v>7763482.8499999996</v>
      </c>
      <c r="AA32" s="383"/>
    </row>
    <row r="33" spans="2:27" x14ac:dyDescent="0.35">
      <c r="B33" s="26" t="s">
        <v>1811</v>
      </c>
      <c r="C33" s="16">
        <f>C29-C32</f>
        <v>-4007563.3999999994</v>
      </c>
      <c r="D33" s="16">
        <f>D29-D32</f>
        <v>-2806280.0099999993</v>
      </c>
      <c r="E33" s="16">
        <f>E29-E32</f>
        <v>-4008228.0199999991</v>
      </c>
      <c r="O33" s="70"/>
      <c r="P33" s="16">
        <f>SUM(C33:E33)</f>
        <v>-10822071.429999998</v>
      </c>
      <c r="AA33" s="383"/>
    </row>
    <row r="34" spans="2:27" x14ac:dyDescent="0.35">
      <c r="O34" s="70"/>
      <c r="AA34" s="383"/>
    </row>
    <row r="35" spans="2:27" ht="15.6" x14ac:dyDescent="0.3">
      <c r="B35" s="204" t="s">
        <v>1805</v>
      </c>
      <c r="C35" s="1">
        <f>IS!O$18</f>
        <v>21880937.259496074</v>
      </c>
      <c r="D35" s="1">
        <f ca="1">IS!P$18</f>
        <v>16336216.254524469</v>
      </c>
      <c r="E35" s="1">
        <f ca="1">IS!Q$18</f>
        <v>15159887.289723761</v>
      </c>
      <c r="F35" s="1">
        <f ca="1">IS!R$18</f>
        <v>16142972.448785979</v>
      </c>
      <c r="G35" s="1">
        <f ca="1">IS!S$18</f>
        <v>16250542.276242357</v>
      </c>
      <c r="H35" s="1">
        <f ca="1">IS!T$18</f>
        <v>18223882.664384708</v>
      </c>
      <c r="I35" s="1">
        <f ca="1">IS!U$18</f>
        <v>18810587.762179449</v>
      </c>
      <c r="J35" s="1">
        <f ca="1">IS!V$18</f>
        <v>18543472.317867402</v>
      </c>
      <c r="K35" s="1">
        <f ca="1">IS!W$18</f>
        <v>20279933.097852215</v>
      </c>
      <c r="L35" s="1">
        <f ca="1">IS!X$18</f>
        <v>23081434.368469037</v>
      </c>
      <c r="M35" s="1">
        <f ca="1">IS!Y$18</f>
        <v>24185501.95859069</v>
      </c>
      <c r="N35" s="1">
        <f ca="1">IS!Z$18</f>
        <v>23889911.60808602</v>
      </c>
      <c r="O35" s="217">
        <f ca="1">IS!AA$18</f>
        <v>232785279.30620217</v>
      </c>
      <c r="AA35" s="383"/>
    </row>
    <row r="36" spans="2:27" ht="15.6" x14ac:dyDescent="0.3">
      <c r="B36" s="204" t="s">
        <v>1806</v>
      </c>
      <c r="C36" s="1">
        <f>C$15-C35</f>
        <v>-4950511.8694960736</v>
      </c>
      <c r="D36" s="1">
        <f t="shared" ref="D36:O36" ca="1" si="10">D$15-D35</f>
        <v>-337471.77452446893</v>
      </c>
      <c r="E36" s="1">
        <f t="shared" ca="1" si="10"/>
        <v>-2057087.0197237618</v>
      </c>
      <c r="F36" s="1">
        <f t="shared" ca="1" si="10"/>
        <v>1795229.7312140204</v>
      </c>
      <c r="G36" s="1">
        <f t="shared" ca="1" si="10"/>
        <v>4871585.2537576295</v>
      </c>
      <c r="H36" s="1">
        <f t="shared" ca="1" si="10"/>
        <v>-320076.93438471854</v>
      </c>
      <c r="I36" s="1">
        <f t="shared" ca="1" si="10"/>
        <v>4836879.3078205511</v>
      </c>
      <c r="J36" s="1">
        <f t="shared" ca="1" si="10"/>
        <v>6928178.1192127541</v>
      </c>
      <c r="K36" s="1">
        <f t="shared" ca="1" si="10"/>
        <v>2608617.2049899735</v>
      </c>
      <c r="L36" s="1">
        <f t="shared" ca="1" si="10"/>
        <v>-456648.53038786724</v>
      </c>
      <c r="M36" s="1">
        <f t="shared" ca="1" si="10"/>
        <v>-3940063.4663868286</v>
      </c>
      <c r="N36" s="1">
        <f t="shared" ca="1" si="10"/>
        <v>-2097477.6258821562</v>
      </c>
      <c r="O36" s="217">
        <f t="shared" ca="1" si="10"/>
        <v>6881152.3962090611</v>
      </c>
      <c r="AA36" s="384"/>
    </row>
    <row r="37" spans="2:27" ht="15.6" x14ac:dyDescent="0.3">
      <c r="B37" s="204" t="s">
        <v>1807</v>
      </c>
      <c r="C37" s="2">
        <f>C36</f>
        <v>-4950511.8694960736</v>
      </c>
      <c r="D37" s="2">
        <f ca="1">C37+D36</f>
        <v>-5287983.6440205425</v>
      </c>
      <c r="E37" s="2">
        <f ca="1">D37+E36</f>
        <v>-7345070.6637443043</v>
      </c>
      <c r="F37" s="2">
        <f t="shared" ref="F37:N37" ca="1" si="11">E37+F36</f>
        <v>-5549840.9325302839</v>
      </c>
      <c r="G37" s="2">
        <f t="shared" ca="1" si="11"/>
        <v>-678255.67877265438</v>
      </c>
      <c r="H37" s="2">
        <f t="shared" ca="1" si="11"/>
        <v>-998332.61315737292</v>
      </c>
      <c r="I37" s="2">
        <f t="shared" ca="1" si="11"/>
        <v>3838546.6946631782</v>
      </c>
      <c r="J37" s="2">
        <f t="shared" ca="1" si="11"/>
        <v>10766724.813875932</v>
      </c>
      <c r="K37" s="2">
        <f t="shared" ca="1" si="11"/>
        <v>13375342.018865906</v>
      </c>
      <c r="L37" s="2">
        <f t="shared" ca="1" si="11"/>
        <v>12918693.488478038</v>
      </c>
      <c r="M37" s="2">
        <f t="shared" ca="1" si="11"/>
        <v>8978630.0220912099</v>
      </c>
      <c r="N37" s="2">
        <f t="shared" ca="1" si="11"/>
        <v>6881152.3962090537</v>
      </c>
      <c r="O37" s="222"/>
      <c r="AA37" s="384"/>
    </row>
    <row r="38" spans="2:27" ht="15.6" x14ac:dyDescent="0.3">
      <c r="B38" s="204" t="s">
        <v>1815</v>
      </c>
      <c r="C38" s="15">
        <f>C37/SUM(C35:$C35)</f>
        <v>-0.22624770642983352</v>
      </c>
      <c r="D38" s="15">
        <f ca="1">D37/SUM($C35:D35)</f>
        <v>-0.13836675832177206</v>
      </c>
      <c r="E38" s="15">
        <f ca="1">E37/SUM($C35:E35)</f>
        <v>-0.13760730368606458</v>
      </c>
      <c r="F38" s="15">
        <f ca="1">F37/SUM($C35:F35)</f>
        <v>-7.9830838241796348E-2</v>
      </c>
      <c r="G38" s="15">
        <f ca="1">G37/SUM($C35:G35)</f>
        <v>-7.9077916027386133E-3</v>
      </c>
      <c r="H38" s="15">
        <f ca="1">H37/SUM($C35:H35)</f>
        <v>-9.599865439948705E-3</v>
      </c>
      <c r="I38" s="15">
        <f ca="1">I37/SUM($C35:I35)</f>
        <v>3.125724427646167E-2</v>
      </c>
      <c r="J38" s="15">
        <f ca="1">J37/SUM($C35:J35)</f>
        <v>7.617148357010177E-2</v>
      </c>
      <c r="K38" s="15">
        <f ca="1">K37/SUM($C35:K35)</f>
        <v>8.275364615869861E-2</v>
      </c>
      <c r="L38" s="15">
        <f ca="1">L37/SUM($C35:L35)</f>
        <v>6.9940462772550269E-2</v>
      </c>
      <c r="M38" s="15">
        <f ca="1">M37/SUM($C35:M35)</f>
        <v>4.2981470202185727E-2</v>
      </c>
      <c r="N38" s="15">
        <f ca="1">N37/SUM($C35:N35)</f>
        <v>2.9560083939662231E-2</v>
      </c>
    </row>
  </sheetData>
  <mergeCells count="11">
    <mergeCell ref="AA26:AA27"/>
    <mergeCell ref="AA16:AA17"/>
    <mergeCell ref="AA18:AA19"/>
    <mergeCell ref="AA20:AA21"/>
    <mergeCell ref="AA22:AA23"/>
    <mergeCell ref="AA24:AA25"/>
    <mergeCell ref="AA28:AA29"/>
    <mergeCell ref="AA30:AA31"/>
    <mergeCell ref="AA32:AA33"/>
    <mergeCell ref="AA34:AA35"/>
    <mergeCell ref="AA36:AA37"/>
  </mergeCells>
  <phoneticPr fontId="2" type="noConversion"/>
  <pageMargins left="0.7" right="0.7" top="0.75" bottom="0.75" header="0.3" footer="0.3"/>
  <headerFooter>
    <oddHeader>&amp;R&amp;"Calibri"&amp;10&amp;K000000 Confidencial&amp;1#_x000D_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08-4307-4081-8728-1C1719009A44}">
  <dimension ref="B1:CU78"/>
  <sheetViews>
    <sheetView showGridLines="0" topLeftCell="A6" zoomScale="50" zoomScaleNormal="50" workbookViewId="0">
      <pane xSplit="14" ySplit="6" topLeftCell="O12" activePane="bottomRight" state="frozen"/>
      <selection activeCell="A6" sqref="A6"/>
      <selection pane="topRight" activeCell="O6" sqref="O6"/>
      <selection pane="bottomLeft" activeCell="A12" sqref="A12"/>
      <selection pane="bottomRight" activeCell="A6" sqref="A6"/>
    </sheetView>
  </sheetViews>
  <sheetFormatPr baseColWidth="10" defaultColWidth="8.88671875" defaultRowHeight="18" outlineLevelCol="1" x14ac:dyDescent="0.35"/>
  <cols>
    <col min="1" max="1" width="8.88671875" style="26"/>
    <col min="2" max="2" width="45.88671875" style="26" customWidth="1"/>
    <col min="3" max="3" width="12" style="26" hidden="1" customWidth="1" outlineLevel="1"/>
    <col min="4" max="13" width="8.88671875" style="26" hidden="1" customWidth="1" outlineLevel="1"/>
    <col min="14" max="14" width="11" style="26" hidden="1" customWidth="1" outlineLevel="1"/>
    <col min="15" max="15" width="15.109375" style="26" customWidth="1" collapsed="1"/>
    <col min="16" max="17" width="15.109375" style="26" customWidth="1"/>
    <col min="18" max="18" width="15.88671875" style="26" customWidth="1"/>
    <col min="19" max="19" width="17.109375" style="26" customWidth="1"/>
    <col min="20" max="20" width="15.88671875" style="26" hidden="1" customWidth="1"/>
    <col min="21" max="24" width="14.44140625" style="26" hidden="1" customWidth="1"/>
    <col min="25" max="26" width="15.109375" style="26" hidden="1" customWidth="1"/>
    <col min="27" max="27" width="16.44140625" style="27" hidden="1" customWidth="1"/>
    <col min="28" max="28" width="17.109375" style="26" hidden="1" customWidth="1"/>
    <col min="29" max="31" width="16" style="26" hidden="1" customWidth="1"/>
    <col min="32" max="39" width="14.6640625" style="26" hidden="1" customWidth="1"/>
    <col min="40" max="40" width="16.109375" style="27" hidden="1" customWidth="1"/>
    <col min="41" max="52" width="14.6640625" style="26" hidden="1" customWidth="1"/>
    <col min="53" max="53" width="16.109375" style="27" hidden="1" customWidth="1"/>
    <col min="54" max="16384" width="8.88671875" style="26"/>
  </cols>
  <sheetData>
    <row r="1" spans="2:99" hidden="1" x14ac:dyDescent="0.35"/>
    <row r="2" spans="2:99" hidden="1" x14ac:dyDescent="0.35"/>
    <row r="3" spans="2:99" hidden="1" x14ac:dyDescent="0.35"/>
    <row r="4" spans="2:99" hidden="1" x14ac:dyDescent="0.35"/>
    <row r="5" spans="2:99" hidden="1" x14ac:dyDescent="0.35"/>
    <row r="7" spans="2:99" x14ac:dyDescent="0.35">
      <c r="B7" s="28" t="s">
        <v>1855</v>
      </c>
      <c r="R7" s="277"/>
      <c r="AB7" s="277">
        <v>19683312.059999999</v>
      </c>
      <c r="AL7" s="277"/>
      <c r="BG7" s="277">
        <v>14603982.199999999</v>
      </c>
      <c r="BH7" s="277">
        <v>8000000</v>
      </c>
      <c r="BI7" s="277">
        <v>8000000</v>
      </c>
      <c r="BJ7" s="277">
        <v>8000000</v>
      </c>
      <c r="BK7" s="277">
        <v>8000000</v>
      </c>
      <c r="BL7" s="277">
        <v>8000000</v>
      </c>
      <c r="BM7" s="277">
        <v>8000000</v>
      </c>
      <c r="BN7" s="277">
        <v>8000000</v>
      </c>
      <c r="BO7" s="277">
        <v>8000000</v>
      </c>
      <c r="BP7" s="277">
        <v>8000000</v>
      </c>
      <c r="BQ7" s="277">
        <v>23085701.699999999</v>
      </c>
      <c r="BR7" s="277">
        <v>8000000</v>
      </c>
      <c r="BS7" s="277">
        <v>8000000</v>
      </c>
      <c r="BT7" s="277">
        <v>8000000</v>
      </c>
      <c r="BU7" s="277">
        <v>8000000</v>
      </c>
      <c r="BV7" s="277">
        <v>8000000</v>
      </c>
      <c r="BW7" s="277">
        <v>8000000</v>
      </c>
      <c r="BX7" s="277">
        <v>8000000</v>
      </c>
      <c r="BY7" s="277">
        <v>8000000</v>
      </c>
      <c r="BZ7" s="277">
        <v>8000000</v>
      </c>
      <c r="CA7" s="277">
        <v>19370356.690000001</v>
      </c>
      <c r="CB7" s="277">
        <v>8000000</v>
      </c>
      <c r="CC7" s="277">
        <v>8000000</v>
      </c>
      <c r="CD7" s="277">
        <v>8000000</v>
      </c>
      <c r="CE7" s="277">
        <v>8000000</v>
      </c>
      <c r="CF7" s="277">
        <v>8000000</v>
      </c>
      <c r="CG7" s="277">
        <v>8000000</v>
      </c>
      <c r="CH7" s="277">
        <v>8000000</v>
      </c>
      <c r="CI7" s="277">
        <v>8000000</v>
      </c>
      <c r="CJ7" s="277">
        <v>8000000</v>
      </c>
      <c r="CK7" s="277">
        <v>23764811.399999999</v>
      </c>
      <c r="CL7" s="277">
        <v>8000000</v>
      </c>
      <c r="CM7" s="277">
        <v>8000000</v>
      </c>
      <c r="CN7" s="277">
        <v>8000000</v>
      </c>
      <c r="CO7" s="277">
        <v>8000000</v>
      </c>
      <c r="CP7" s="277">
        <v>8000000</v>
      </c>
      <c r="CQ7" s="277">
        <v>8000000</v>
      </c>
      <c r="CR7" s="277">
        <v>8000000</v>
      </c>
      <c r="CS7" s="277">
        <v>8000000</v>
      </c>
      <c r="CT7" s="277">
        <v>8000000</v>
      </c>
      <c r="CU7" s="277">
        <v>22053811.59</v>
      </c>
    </row>
    <row r="8" spans="2:99" x14ac:dyDescent="0.35">
      <c r="B8" s="28" t="s">
        <v>1818</v>
      </c>
    </row>
    <row r="9" spans="2:99" x14ac:dyDescent="0.35">
      <c r="S9" s="55"/>
      <c r="T9" s="55"/>
      <c r="U9" s="55"/>
      <c r="V9" s="55"/>
      <c r="W9" s="55"/>
      <c r="X9" s="55"/>
      <c r="Y9" s="55"/>
      <c r="Z9" s="55"/>
    </row>
    <row r="10" spans="2:99" x14ac:dyDescent="0.35">
      <c r="B10" s="26" t="s">
        <v>0</v>
      </c>
      <c r="S10" s="55"/>
      <c r="T10" s="55"/>
      <c r="U10" s="55"/>
      <c r="V10" s="55"/>
      <c r="W10" s="55"/>
      <c r="X10" s="55"/>
      <c r="Y10" s="55"/>
      <c r="Z10" s="55"/>
    </row>
    <row r="11" spans="2:99" s="33" customFormat="1" x14ac:dyDescent="0.35">
      <c r="B11" s="33" t="s">
        <v>1</v>
      </c>
      <c r="C11" s="33">
        <v>1</v>
      </c>
      <c r="D11" s="33">
        <v>2</v>
      </c>
      <c r="E11" s="33">
        <v>3</v>
      </c>
      <c r="F11" s="33">
        <v>4</v>
      </c>
      <c r="G11" s="33">
        <v>5</v>
      </c>
      <c r="H11" s="33">
        <v>6</v>
      </c>
      <c r="I11" s="33">
        <v>7</v>
      </c>
      <c r="J11" s="33">
        <v>8</v>
      </c>
      <c r="K11" s="33">
        <v>9</v>
      </c>
      <c r="L11" s="33">
        <v>10</v>
      </c>
      <c r="M11" s="33">
        <v>11</v>
      </c>
      <c r="N11" s="33">
        <v>12</v>
      </c>
      <c r="O11" s="33">
        <v>1</v>
      </c>
      <c r="P11" s="33">
        <v>2</v>
      </c>
      <c r="Q11" s="33">
        <v>3</v>
      </c>
      <c r="R11" s="33">
        <v>4</v>
      </c>
      <c r="S11" s="33">
        <v>5</v>
      </c>
      <c r="T11" s="33">
        <v>6</v>
      </c>
      <c r="U11" s="33">
        <v>7</v>
      </c>
      <c r="V11" s="33">
        <v>8</v>
      </c>
      <c r="W11" s="33">
        <v>9</v>
      </c>
      <c r="X11" s="33">
        <v>10</v>
      </c>
      <c r="Y11" s="33">
        <v>11</v>
      </c>
      <c r="Z11" s="33">
        <v>12</v>
      </c>
      <c r="AA11" s="161">
        <v>2025</v>
      </c>
      <c r="AB11" s="33">
        <v>1</v>
      </c>
      <c r="AC11" s="33">
        <v>2</v>
      </c>
      <c r="AD11" s="33">
        <v>3</v>
      </c>
      <c r="AE11" s="33">
        <v>4</v>
      </c>
      <c r="AF11" s="33">
        <v>5</v>
      </c>
      <c r="AG11" s="33">
        <v>6</v>
      </c>
      <c r="AH11" s="33">
        <v>7</v>
      </c>
      <c r="AI11" s="33">
        <v>8</v>
      </c>
      <c r="AJ11" s="33">
        <v>9</v>
      </c>
      <c r="AK11" s="33">
        <v>10</v>
      </c>
      <c r="AL11" s="33">
        <v>11</v>
      </c>
      <c r="AM11" s="33">
        <v>12</v>
      </c>
      <c r="AN11" s="161">
        <v>2026</v>
      </c>
      <c r="AO11" s="33">
        <v>1</v>
      </c>
      <c r="AP11" s="33">
        <v>2</v>
      </c>
      <c r="AQ11" s="33">
        <v>3</v>
      </c>
      <c r="AR11" s="33">
        <v>4</v>
      </c>
      <c r="AS11" s="33">
        <v>5</v>
      </c>
      <c r="AT11" s="33">
        <v>6</v>
      </c>
      <c r="AU11" s="33">
        <v>7</v>
      </c>
      <c r="AV11" s="33">
        <v>8</v>
      </c>
      <c r="AW11" s="33">
        <v>9</v>
      </c>
      <c r="AX11" s="33">
        <v>10</v>
      </c>
      <c r="AY11" s="33">
        <v>11</v>
      </c>
      <c r="AZ11" s="33">
        <v>12</v>
      </c>
      <c r="BA11" s="161">
        <v>2027</v>
      </c>
    </row>
    <row r="12" spans="2:99" x14ac:dyDescent="0.35">
      <c r="B12" s="26" t="s">
        <v>2</v>
      </c>
      <c r="C12" s="26">
        <v>1</v>
      </c>
      <c r="D12" s="26">
        <v>1</v>
      </c>
      <c r="E12" s="26">
        <v>1</v>
      </c>
      <c r="F12" s="26">
        <v>2</v>
      </c>
      <c r="G12" s="26">
        <v>2</v>
      </c>
      <c r="H12" s="26">
        <v>2</v>
      </c>
      <c r="I12" s="26">
        <v>3</v>
      </c>
      <c r="J12" s="26">
        <v>3</v>
      </c>
      <c r="K12" s="26">
        <v>3</v>
      </c>
      <c r="L12" s="26">
        <v>4</v>
      </c>
      <c r="M12" s="26">
        <v>4</v>
      </c>
      <c r="N12" s="26">
        <v>4</v>
      </c>
      <c r="O12" s="26">
        <v>1</v>
      </c>
      <c r="P12" s="26">
        <v>1</v>
      </c>
      <c r="Q12" s="26">
        <v>1</v>
      </c>
      <c r="R12" s="26">
        <v>2</v>
      </c>
      <c r="S12" s="26">
        <v>2</v>
      </c>
      <c r="T12" s="26">
        <v>2</v>
      </c>
      <c r="U12" s="26">
        <v>3</v>
      </c>
      <c r="V12" s="26">
        <v>3</v>
      </c>
      <c r="W12" s="26">
        <v>3</v>
      </c>
      <c r="X12" s="26">
        <v>4</v>
      </c>
      <c r="Y12" s="26">
        <v>4</v>
      </c>
      <c r="Z12" s="26">
        <v>4</v>
      </c>
      <c r="AB12" s="26">
        <v>1</v>
      </c>
      <c r="AC12" s="26">
        <v>1</v>
      </c>
      <c r="AD12" s="26">
        <v>1</v>
      </c>
      <c r="AE12" s="26">
        <v>2</v>
      </c>
      <c r="AF12" s="26">
        <v>2</v>
      </c>
      <c r="AG12" s="26">
        <v>2</v>
      </c>
      <c r="AH12" s="26">
        <v>3</v>
      </c>
      <c r="AI12" s="26">
        <v>3</v>
      </c>
      <c r="AJ12" s="26">
        <v>3</v>
      </c>
      <c r="AK12" s="26">
        <v>4</v>
      </c>
      <c r="AL12" s="26">
        <v>4</v>
      </c>
      <c r="AM12" s="26">
        <v>4</v>
      </c>
      <c r="AO12" s="26">
        <v>1</v>
      </c>
      <c r="AP12" s="26">
        <v>1</v>
      </c>
      <c r="AQ12" s="26">
        <v>1</v>
      </c>
      <c r="AR12" s="26">
        <v>2</v>
      </c>
      <c r="AS12" s="26">
        <v>2</v>
      </c>
      <c r="AT12" s="26">
        <v>2</v>
      </c>
      <c r="AU12" s="26">
        <v>3</v>
      </c>
      <c r="AV12" s="26">
        <v>3</v>
      </c>
      <c r="AW12" s="26">
        <v>3</v>
      </c>
      <c r="AX12" s="26">
        <v>4</v>
      </c>
      <c r="AY12" s="26">
        <v>4</v>
      </c>
      <c r="AZ12" s="26">
        <v>4</v>
      </c>
    </row>
    <row r="13" spans="2:99" x14ac:dyDescent="0.35">
      <c r="B13" s="26" t="s">
        <v>32</v>
      </c>
      <c r="C13" s="26">
        <v>2024</v>
      </c>
      <c r="D13" s="26">
        <v>2024</v>
      </c>
      <c r="E13" s="26">
        <v>2024</v>
      </c>
      <c r="F13" s="26">
        <v>2024</v>
      </c>
      <c r="G13" s="26">
        <v>2024</v>
      </c>
      <c r="H13" s="26">
        <v>2024</v>
      </c>
      <c r="I13" s="26">
        <v>2024</v>
      </c>
      <c r="J13" s="26">
        <v>2024</v>
      </c>
      <c r="K13" s="26">
        <v>2024</v>
      </c>
      <c r="L13" s="26">
        <v>2024</v>
      </c>
      <c r="M13" s="26">
        <v>2024</v>
      </c>
      <c r="N13" s="26">
        <v>2024</v>
      </c>
      <c r="O13" s="26">
        <v>2025</v>
      </c>
      <c r="P13" s="26">
        <v>2025</v>
      </c>
      <c r="Q13" s="26">
        <v>2025</v>
      </c>
      <c r="R13" s="26">
        <v>2025</v>
      </c>
      <c r="S13" s="26">
        <v>2025</v>
      </c>
      <c r="T13" s="26">
        <v>2025</v>
      </c>
      <c r="U13" s="26">
        <v>2025</v>
      </c>
      <c r="V13" s="26">
        <v>2025</v>
      </c>
      <c r="W13" s="26">
        <v>2025</v>
      </c>
      <c r="X13" s="26">
        <v>2025</v>
      </c>
      <c r="Y13" s="26">
        <v>2025</v>
      </c>
      <c r="Z13" s="26">
        <v>2025</v>
      </c>
      <c r="AB13" s="26">
        <v>2026</v>
      </c>
      <c r="AC13" s="26">
        <v>2026</v>
      </c>
      <c r="AD13" s="26">
        <v>2026</v>
      </c>
      <c r="AE13" s="26">
        <v>2026</v>
      </c>
      <c r="AF13" s="26">
        <v>2026</v>
      </c>
      <c r="AG13" s="26">
        <v>2026</v>
      </c>
      <c r="AH13" s="26">
        <v>2026</v>
      </c>
      <c r="AI13" s="26">
        <v>2026</v>
      </c>
      <c r="AJ13" s="26">
        <v>2026</v>
      </c>
      <c r="AK13" s="26">
        <v>2026</v>
      </c>
      <c r="AL13" s="26">
        <v>2026</v>
      </c>
      <c r="AM13" s="26">
        <v>2026</v>
      </c>
      <c r="AO13" s="26">
        <v>2027</v>
      </c>
      <c r="AP13" s="26">
        <v>2027</v>
      </c>
      <c r="AQ13" s="26">
        <v>2027</v>
      </c>
      <c r="AR13" s="26">
        <v>2027</v>
      </c>
      <c r="AS13" s="26">
        <v>2027</v>
      </c>
      <c r="AT13" s="26">
        <v>2027</v>
      </c>
      <c r="AU13" s="26">
        <v>2027</v>
      </c>
      <c r="AV13" s="26">
        <v>2027</v>
      </c>
      <c r="AW13" s="26">
        <v>2027</v>
      </c>
      <c r="AX13" s="26">
        <v>2027</v>
      </c>
      <c r="AY13" s="26">
        <v>2027</v>
      </c>
      <c r="AZ13" s="26">
        <v>2027</v>
      </c>
    </row>
    <row r="15" spans="2:99" x14ac:dyDescent="0.35">
      <c r="B15" s="29" t="s">
        <v>11</v>
      </c>
      <c r="O15" s="68">
        <v>9986850.8800000008</v>
      </c>
      <c r="P15" s="68">
        <v>9037414.3800000008</v>
      </c>
      <c r="Q15" s="68">
        <v>4999160.18</v>
      </c>
      <c r="R15" s="68">
        <v>10033729.5</v>
      </c>
      <c r="S15" s="68">
        <v>11621523.460000001</v>
      </c>
      <c r="T15" s="68">
        <v>13695626.300000001</v>
      </c>
      <c r="U15" s="68">
        <v>15341355.4</v>
      </c>
      <c r="V15" s="68">
        <v>11081642.199999999</v>
      </c>
      <c r="W15" s="68">
        <v>12685701.699999999</v>
      </c>
      <c r="X15" s="68">
        <v>11370356.689999999</v>
      </c>
      <c r="Y15" s="68">
        <v>14164811.4</v>
      </c>
      <c r="Z15" s="68">
        <v>12453811.59</v>
      </c>
      <c r="AA15" s="31">
        <f>SUM(O15:Z15)</f>
        <v>136471983.68000001</v>
      </c>
      <c r="AB15" s="39">
        <f>O15*1.25</f>
        <v>12483563.600000001</v>
      </c>
      <c r="AC15" s="39">
        <f t="shared" ref="AC15:AM17" si="0">P15*1.25</f>
        <v>11296767.975000001</v>
      </c>
      <c r="AD15" s="39">
        <f t="shared" si="0"/>
        <v>6248950.2249999996</v>
      </c>
      <c r="AE15" s="39">
        <f t="shared" si="0"/>
        <v>12542161.875</v>
      </c>
      <c r="AF15" s="39">
        <f t="shared" si="0"/>
        <v>14526904.325000001</v>
      </c>
      <c r="AG15" s="39">
        <f t="shared" si="0"/>
        <v>17119532.875</v>
      </c>
      <c r="AH15" s="39">
        <f t="shared" si="0"/>
        <v>19176694.25</v>
      </c>
      <c r="AI15" s="39">
        <f t="shared" si="0"/>
        <v>13852052.75</v>
      </c>
      <c r="AJ15" s="39">
        <f t="shared" si="0"/>
        <v>15857127.125</v>
      </c>
      <c r="AK15" s="39">
        <f t="shared" si="0"/>
        <v>14212945.862499999</v>
      </c>
      <c r="AL15" s="39">
        <f t="shared" si="0"/>
        <v>17706014.25</v>
      </c>
      <c r="AM15" s="39">
        <f t="shared" si="0"/>
        <v>15567264.487500001</v>
      </c>
      <c r="AN15" s="31">
        <f>SUM(AB15:AM15)</f>
        <v>170589979.60000002</v>
      </c>
      <c r="AO15" s="39">
        <f>AB15*1.2</f>
        <v>14980276.320000002</v>
      </c>
      <c r="AP15" s="39">
        <f t="shared" ref="AP15:AZ15" si="1">AC15*1.2</f>
        <v>13556121.570000002</v>
      </c>
      <c r="AQ15" s="39">
        <f t="shared" si="1"/>
        <v>7498740.2699999996</v>
      </c>
      <c r="AR15" s="39">
        <f t="shared" si="1"/>
        <v>15050594.25</v>
      </c>
      <c r="AS15" s="39">
        <f t="shared" si="1"/>
        <v>17432285.190000001</v>
      </c>
      <c r="AT15" s="39">
        <f t="shared" si="1"/>
        <v>20543439.449999999</v>
      </c>
      <c r="AU15" s="39">
        <f t="shared" si="1"/>
        <v>23012033.099999998</v>
      </c>
      <c r="AV15" s="39">
        <f t="shared" si="1"/>
        <v>16622463.299999999</v>
      </c>
      <c r="AW15" s="39">
        <f t="shared" si="1"/>
        <v>19028552.550000001</v>
      </c>
      <c r="AX15" s="39">
        <f t="shared" si="1"/>
        <v>17055535.034999996</v>
      </c>
      <c r="AY15" s="39">
        <f t="shared" si="1"/>
        <v>21247217.099999998</v>
      </c>
      <c r="AZ15" s="39">
        <f t="shared" si="1"/>
        <v>18680717.385000002</v>
      </c>
      <c r="BA15" s="31">
        <f>SUM(AO15:AZ15)</f>
        <v>204707975.51999998</v>
      </c>
    </row>
    <row r="16" spans="2:99" x14ac:dyDescent="0.35">
      <c r="B16" s="29" t="s">
        <v>12</v>
      </c>
      <c r="O16" s="68">
        <v>1558776</v>
      </c>
      <c r="P16" s="68">
        <v>966300.91</v>
      </c>
      <c r="Q16" s="68">
        <v>785511.60000000009</v>
      </c>
      <c r="R16" s="68">
        <v>2159841.88</v>
      </c>
      <c r="S16" s="68">
        <v>957981.61</v>
      </c>
      <c r="T16" s="68">
        <v>1378873</v>
      </c>
      <c r="U16" s="68">
        <v>1655849</v>
      </c>
      <c r="V16" s="68">
        <v>1557459</v>
      </c>
      <c r="W16" s="68">
        <v>1323398</v>
      </c>
      <c r="X16" s="68">
        <v>1477644</v>
      </c>
      <c r="Y16" s="68">
        <v>1744133</v>
      </c>
      <c r="Z16" s="68">
        <v>1522217</v>
      </c>
      <c r="AA16" s="31">
        <f t="shared" ref="AA16:AA70" si="2">SUM(O16:Z16)</f>
        <v>17087985</v>
      </c>
      <c r="AB16" s="39">
        <f>O16*1.25</f>
        <v>1948470</v>
      </c>
      <c r="AC16" s="39">
        <f t="shared" si="0"/>
        <v>1207876.1375</v>
      </c>
      <c r="AD16" s="39">
        <f t="shared" si="0"/>
        <v>981889.50000000012</v>
      </c>
      <c r="AE16" s="39">
        <f t="shared" si="0"/>
        <v>2699802.3499999996</v>
      </c>
      <c r="AF16" s="39">
        <f t="shared" si="0"/>
        <v>1197477.0125</v>
      </c>
      <c r="AG16" s="39">
        <f t="shared" si="0"/>
        <v>1723591.25</v>
      </c>
      <c r="AH16" s="39">
        <f t="shared" si="0"/>
        <v>2069811.25</v>
      </c>
      <c r="AI16" s="39">
        <f t="shared" si="0"/>
        <v>1946823.75</v>
      </c>
      <c r="AJ16" s="39">
        <f t="shared" si="0"/>
        <v>1654247.5</v>
      </c>
      <c r="AK16" s="39">
        <f t="shared" si="0"/>
        <v>1847055</v>
      </c>
      <c r="AL16" s="39">
        <f t="shared" si="0"/>
        <v>2180166.25</v>
      </c>
      <c r="AM16" s="39">
        <f t="shared" si="0"/>
        <v>1902771.25</v>
      </c>
      <c r="AN16" s="31">
        <f t="shared" ref="AN16:AN70" si="3">SUM(AB16:AM16)</f>
        <v>21359981.25</v>
      </c>
      <c r="AO16" s="39">
        <f>AB16*1.25</f>
        <v>2435587.5</v>
      </c>
      <c r="AP16" s="39">
        <f t="shared" ref="AP16:AZ16" si="4">AC16*1.25</f>
        <v>1509845.171875</v>
      </c>
      <c r="AQ16" s="39">
        <f t="shared" si="4"/>
        <v>1227361.8750000002</v>
      </c>
      <c r="AR16" s="39">
        <f t="shared" si="4"/>
        <v>3374752.9374999995</v>
      </c>
      <c r="AS16" s="39">
        <f t="shared" si="4"/>
        <v>1496846.265625</v>
      </c>
      <c r="AT16" s="39">
        <f t="shared" si="4"/>
        <v>2154489.0625</v>
      </c>
      <c r="AU16" s="39">
        <f t="shared" si="4"/>
        <v>2587264.0625</v>
      </c>
      <c r="AV16" s="39">
        <f t="shared" si="4"/>
        <v>2433529.6875</v>
      </c>
      <c r="AW16" s="39">
        <f t="shared" si="4"/>
        <v>2067809.375</v>
      </c>
      <c r="AX16" s="39">
        <f t="shared" si="4"/>
        <v>2308818.75</v>
      </c>
      <c r="AY16" s="39">
        <f t="shared" si="4"/>
        <v>2725207.8125</v>
      </c>
      <c r="AZ16" s="39">
        <f t="shared" si="4"/>
        <v>2378464.0625</v>
      </c>
      <c r="BA16" s="31">
        <f t="shared" ref="BA16:BA70" si="5">SUM(AO16:AZ16)</f>
        <v>26699976.5625</v>
      </c>
    </row>
    <row r="17" spans="2:53" x14ac:dyDescent="0.35">
      <c r="B17" s="32" t="s">
        <v>13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69">
        <v>5326774.88</v>
      </c>
      <c r="P17" s="69">
        <v>5596982.5700000003</v>
      </c>
      <c r="Q17" s="69">
        <v>7019399.6699999999</v>
      </c>
      <c r="R17" s="69">
        <v>6440645</v>
      </c>
      <c r="S17" s="69">
        <v>8658068.2800000012</v>
      </c>
      <c r="T17" s="69">
        <v>6300000</v>
      </c>
      <c r="U17" s="34">
        <f ca="1">OFFSET(INDEX(BIOMIRAL_PVT_LBL[], MATCH("TOTAL INC NUEVOS CANALES", BIOMIRAL_PVT_LBL[Column3], 0), MATCH("BIOMIRAL-ENE", 'BIOMIRAL PVT LBL'!2:2, 0)),0,T11)+OFFSET(INDEX(BIOMIRAL_PVT_LBL[], MATCH("TOTAL INC NUEVOS CANALES", BIOMIRAL_PVT_LBL[Column3], 0), MATCH("INNOV-ENE", 'BIOMIRAL PVT LBL'!2:2, 0)),0,T11)</f>
        <v>7605290.2824636325</v>
      </c>
      <c r="V17" s="34">
        <f ca="1">OFFSET(INDEX(BIOMIRAL_PVT_LBL[], MATCH("TOTAL INC NUEVOS CANALES", BIOMIRAL_PVT_LBL[Column3], 0), MATCH("BIOMIRAL-ENE", 'BIOMIRAL PVT LBL'!2:2, 0)),0,U11)+OFFSET(INDEX(BIOMIRAL_PVT_LBL[], MATCH("TOTAL INC NUEVOS CANALES", BIOMIRAL_PVT_LBL[Column3], 0), MATCH("INNOV-ENE", 'BIOMIRAL PVT LBL'!2:2, 0)),0,U11)</f>
        <v>7770679.0370801566</v>
      </c>
      <c r="W17" s="34">
        <f ca="1">OFFSET(INDEX(BIOMIRAL_PVT_LBL[], MATCH("TOTAL INC NUEVOS CANALES", BIOMIRAL_PVT_LBL[Column3], 0), MATCH("BIOMIRAL-ENE", 'BIOMIRAL PVT LBL'!2:2, 0)),0,V11)+OFFSET(INDEX(BIOMIRAL_PVT_LBL[], MATCH("TOTAL INC NUEVOS CANALES", BIOMIRAL_PVT_LBL[Column3], 0), MATCH("INNOV-ENE", 'BIOMIRAL PVT LBL'!2:2, 0)),0,V11)</f>
        <v>7368248.702842189</v>
      </c>
      <c r="X17" s="34">
        <f ca="1">OFFSET(INDEX(BIOMIRAL_PVT_LBL[], MATCH("TOTAL INC NUEVOS CANALES", BIOMIRAL_PVT_LBL[Column3], 0), MATCH("BIOMIRAL-ENE", 'BIOMIRAL PVT LBL'!2:2, 0)),0,W11)+OFFSET(INDEX(BIOMIRAL_PVT_LBL[], MATCH("TOTAL INC NUEVOS CANALES", BIOMIRAL_PVT_LBL[Column3], 0), MATCH("INNOV-ENE", 'BIOMIRAL PVT LBL'!2:2, 0)),0,W11)</f>
        <v>8843587.0480811708</v>
      </c>
      <c r="Y17" s="34">
        <f ca="1">OFFSET(INDEX(BIOMIRAL_PVT_LBL[], MATCH("TOTAL INC NUEVOS CANALES", BIOMIRAL_PVT_LBL[Column3], 0), MATCH("BIOMIRAL-ENE", 'BIOMIRAL PVT LBL'!2:2, 0)),0,X11)+OFFSET(INDEX(BIOMIRAL_PVT_LBL[], MATCH("TOTAL INC NUEVOS CANALES", BIOMIRAL_PVT_LBL[Column3], 0), MATCH("INNOV-ENE", 'BIOMIRAL PVT LBL'!2:2, 0)),0,X11)</f>
        <v>8108764.7922038632</v>
      </c>
      <c r="Z17" s="279">
        <v>8108764.7922038632</v>
      </c>
      <c r="AA17" s="50">
        <f t="shared" ca="1" si="2"/>
        <v>87147205.054874867</v>
      </c>
      <c r="AB17" s="40">
        <f>O17*1.25</f>
        <v>6658468.5999999996</v>
      </c>
      <c r="AC17" s="40">
        <f t="shared" si="0"/>
        <v>6996228.2125000004</v>
      </c>
      <c r="AD17" s="40">
        <f t="shared" si="0"/>
        <v>8774249.5875000004</v>
      </c>
      <c r="AE17" s="40">
        <f t="shared" si="0"/>
        <v>8050806.25</v>
      </c>
      <c r="AF17" s="40">
        <f t="shared" si="0"/>
        <v>10822585.350000001</v>
      </c>
      <c r="AG17" s="40">
        <f t="shared" si="0"/>
        <v>7875000</v>
      </c>
      <c r="AH17" s="40">
        <f t="shared" ca="1" si="0"/>
        <v>9506612.8530795407</v>
      </c>
      <c r="AI17" s="40">
        <f t="shared" ca="1" si="0"/>
        <v>9713348.796350196</v>
      </c>
      <c r="AJ17" s="40">
        <f t="shared" ca="1" si="0"/>
        <v>9210310.8785527367</v>
      </c>
      <c r="AK17" s="40">
        <f t="shared" ca="1" si="0"/>
        <v>11054483.810101464</v>
      </c>
      <c r="AL17" s="40">
        <f t="shared" ca="1" si="0"/>
        <v>10135955.990254829</v>
      </c>
      <c r="AM17" s="40">
        <f t="shared" si="0"/>
        <v>10135955.990254829</v>
      </c>
      <c r="AN17" s="50">
        <f t="shared" ca="1" si="3"/>
        <v>108934006.31859361</v>
      </c>
      <c r="AO17" s="40">
        <f>AB17*1.3</f>
        <v>8656009.1799999997</v>
      </c>
      <c r="AP17" s="40">
        <f t="shared" ref="AP17:AZ17" si="6">AC17*1.3</f>
        <v>9095096.6762500014</v>
      </c>
      <c r="AQ17" s="40">
        <f t="shared" si="6"/>
        <v>11406524.463750001</v>
      </c>
      <c r="AR17" s="40">
        <f t="shared" si="6"/>
        <v>10466048.125</v>
      </c>
      <c r="AS17" s="40">
        <f t="shared" si="6"/>
        <v>14069360.955000002</v>
      </c>
      <c r="AT17" s="40">
        <f t="shared" si="6"/>
        <v>10237500</v>
      </c>
      <c r="AU17" s="40">
        <f t="shared" ca="1" si="6"/>
        <v>12358596.709003404</v>
      </c>
      <c r="AV17" s="40">
        <f t="shared" ca="1" si="6"/>
        <v>12627353.435255256</v>
      </c>
      <c r="AW17" s="40">
        <f t="shared" ca="1" si="6"/>
        <v>11973404.142118558</v>
      </c>
      <c r="AX17" s="40">
        <f t="shared" ca="1" si="6"/>
        <v>14370828.953131905</v>
      </c>
      <c r="AY17" s="40">
        <f t="shared" ca="1" si="6"/>
        <v>13176742.787331278</v>
      </c>
      <c r="AZ17" s="40">
        <f t="shared" si="6"/>
        <v>13176742.787331278</v>
      </c>
      <c r="BA17" s="50">
        <f t="shared" ca="1" si="5"/>
        <v>141614208.21417168</v>
      </c>
    </row>
    <row r="18" spans="2:53" x14ac:dyDescent="0.35">
      <c r="B18" s="27" t="s">
        <v>34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35">
        <f>SUM(O15:O17)</f>
        <v>16872401.760000002</v>
      </c>
      <c r="P18" s="35">
        <f>SUM(P15:P17)</f>
        <v>15600697.860000001</v>
      </c>
      <c r="Q18" s="35">
        <f>SUM(Q15:Q17)</f>
        <v>12804071.449999999</v>
      </c>
      <c r="R18" s="35">
        <f>SUM(R15:R17)</f>
        <v>18634216.379999999</v>
      </c>
      <c r="S18" s="35">
        <f>SUM(S15:S17)</f>
        <v>21237573.350000001</v>
      </c>
      <c r="T18" s="35">
        <f t="shared" ref="T18:AZ18" si="7">SUM(T15:T17)</f>
        <v>21374499.300000001</v>
      </c>
      <c r="U18" s="35">
        <f t="shared" ca="1" si="7"/>
        <v>24602494.682463631</v>
      </c>
      <c r="V18" s="35">
        <f t="shared" ca="1" si="7"/>
        <v>20409780.237080157</v>
      </c>
      <c r="W18" s="35">
        <f t="shared" ca="1" si="7"/>
        <v>21377348.402842186</v>
      </c>
      <c r="X18" s="35">
        <f t="shared" ca="1" si="7"/>
        <v>21691587.738081172</v>
      </c>
      <c r="Y18" s="35">
        <f t="shared" ca="1" si="7"/>
        <v>24017709.192203864</v>
      </c>
      <c r="Z18" s="35">
        <f t="shared" si="7"/>
        <v>22084793.382203862</v>
      </c>
      <c r="AA18" s="31">
        <f t="shared" ca="1" si="2"/>
        <v>240707173.7348749</v>
      </c>
      <c r="AB18" s="35">
        <f t="shared" si="7"/>
        <v>21090502.200000003</v>
      </c>
      <c r="AC18" s="35">
        <f t="shared" si="7"/>
        <v>19500872.325000003</v>
      </c>
      <c r="AD18" s="35">
        <f t="shared" si="7"/>
        <v>16005089.3125</v>
      </c>
      <c r="AE18" s="35">
        <f t="shared" si="7"/>
        <v>23292770.475000001</v>
      </c>
      <c r="AF18" s="35">
        <f t="shared" si="7"/>
        <v>26546966.6875</v>
      </c>
      <c r="AG18" s="35">
        <f t="shared" si="7"/>
        <v>26718124.125</v>
      </c>
      <c r="AH18" s="35">
        <f t="shared" ca="1" si="7"/>
        <v>30753118.353079543</v>
      </c>
      <c r="AI18" s="35">
        <f t="shared" ca="1" si="7"/>
        <v>25512225.296350196</v>
      </c>
      <c r="AJ18" s="35">
        <f t="shared" ca="1" si="7"/>
        <v>26721685.503552735</v>
      </c>
      <c r="AK18" s="35">
        <f t="shared" ca="1" si="7"/>
        <v>27114484.672601461</v>
      </c>
      <c r="AL18" s="35">
        <f t="shared" ca="1" si="7"/>
        <v>30022136.490254827</v>
      </c>
      <c r="AM18" s="35">
        <f t="shared" si="7"/>
        <v>27605991.727754831</v>
      </c>
      <c r="AN18" s="31">
        <f t="shared" ca="1" si="3"/>
        <v>300883967.16859359</v>
      </c>
      <c r="AO18" s="35">
        <f t="shared" si="7"/>
        <v>26071873</v>
      </c>
      <c r="AP18" s="35">
        <f t="shared" si="7"/>
        <v>24161063.418125004</v>
      </c>
      <c r="AQ18" s="35">
        <f t="shared" si="7"/>
        <v>20132626.608750001</v>
      </c>
      <c r="AR18" s="35">
        <f t="shared" si="7"/>
        <v>28891395.3125</v>
      </c>
      <c r="AS18" s="35">
        <f t="shared" si="7"/>
        <v>32998492.410625003</v>
      </c>
      <c r="AT18" s="35">
        <f t="shared" si="7"/>
        <v>32935428.512499999</v>
      </c>
      <c r="AU18" s="35">
        <f t="shared" ca="1" si="7"/>
        <v>37957893.871503398</v>
      </c>
      <c r="AV18" s="35">
        <f t="shared" ca="1" si="7"/>
        <v>31683346.422755253</v>
      </c>
      <c r="AW18" s="35">
        <f t="shared" ca="1" si="7"/>
        <v>33069766.067118559</v>
      </c>
      <c r="AX18" s="35">
        <f t="shared" ca="1" si="7"/>
        <v>33735182.738131903</v>
      </c>
      <c r="AY18" s="35">
        <f t="shared" ca="1" si="7"/>
        <v>37149167.699831277</v>
      </c>
      <c r="AZ18" s="35">
        <f t="shared" si="7"/>
        <v>34235924.234831281</v>
      </c>
      <c r="BA18" s="31">
        <f t="shared" ca="1" si="5"/>
        <v>373022160.29667169</v>
      </c>
    </row>
    <row r="19" spans="2:53" x14ac:dyDescent="0.35">
      <c r="B19" s="36" t="s">
        <v>34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73">
        <f t="shared" ref="O19:Z19" si="8">O18/O22</f>
        <v>1.0873913700813524</v>
      </c>
      <c r="P19" s="73">
        <f t="shared" si="8"/>
        <v>1.0347875487949818</v>
      </c>
      <c r="Q19" s="73">
        <f t="shared" si="8"/>
        <v>1.0937450997328091</v>
      </c>
      <c r="R19" s="73">
        <f t="shared" si="8"/>
        <v>1.0513083253524618</v>
      </c>
      <c r="S19" s="41">
        <f t="shared" si="8"/>
        <v>1.0659977938391652</v>
      </c>
      <c r="T19" s="41">
        <f t="shared" si="8"/>
        <v>1.0204081632653061</v>
      </c>
      <c r="U19" s="41">
        <f t="shared" ca="1" si="8"/>
        <v>1.0204081632653061</v>
      </c>
      <c r="V19" s="41">
        <f t="shared" ca="1" si="8"/>
        <v>1.0204081632653061</v>
      </c>
      <c r="W19" s="41">
        <f t="shared" ca="1" si="8"/>
        <v>1.0204081632653061</v>
      </c>
      <c r="X19" s="41">
        <f t="shared" ca="1" si="8"/>
        <v>1.0204081632653061</v>
      </c>
      <c r="Y19" s="41">
        <f t="shared" ca="1" si="8"/>
        <v>1.0204081632653061</v>
      </c>
      <c r="Z19" s="41">
        <f t="shared" si="8"/>
        <v>1.0204081632653061</v>
      </c>
      <c r="AA19" s="66">
        <f ca="1">AA18/AA$22</f>
        <v>1.0357726940593821</v>
      </c>
      <c r="AB19" s="66">
        <f>AB18/AB$22</f>
        <v>1.0204081632653061</v>
      </c>
      <c r="AC19" s="66">
        <f t="shared" ref="AC19:AI19" si="9">AC18/AC$22</f>
        <v>1.0204081632653061</v>
      </c>
      <c r="AD19" s="66">
        <f t="shared" si="9"/>
        <v>1.0204081632653061</v>
      </c>
      <c r="AE19" s="66">
        <f t="shared" si="9"/>
        <v>1.0204081632653061</v>
      </c>
      <c r="AF19" s="66">
        <f t="shared" si="9"/>
        <v>1.0204081632653061</v>
      </c>
      <c r="AG19" s="66">
        <f t="shared" si="9"/>
        <v>1.0204081632653061</v>
      </c>
      <c r="AH19" s="66">
        <f t="shared" ca="1" si="9"/>
        <v>1.0204081632653061</v>
      </c>
      <c r="AI19" s="66">
        <f t="shared" ca="1" si="9"/>
        <v>1.0204081632653061</v>
      </c>
      <c r="AJ19" s="66">
        <f ca="1">AJ18/AJ$22</f>
        <v>1.0204081632653061</v>
      </c>
      <c r="AK19" s="66">
        <f ca="1">AK18/AK$22</f>
        <v>1.0204081632653061</v>
      </c>
      <c r="AL19" s="66">
        <f ca="1">AL18/AL$22</f>
        <v>1.0204081632653061</v>
      </c>
      <c r="AM19" s="66">
        <f>AM18/AM$22</f>
        <v>1.0204081632653061</v>
      </c>
      <c r="AN19" s="66">
        <f ca="1">AN18/AN$22</f>
        <v>1.0204081632653061</v>
      </c>
      <c r="BA19" s="66">
        <f ca="1">BA18/BA$22</f>
        <v>1.0204081632653061</v>
      </c>
    </row>
    <row r="20" spans="2:53" x14ac:dyDescent="0.35">
      <c r="B20" s="29" t="s">
        <v>4</v>
      </c>
      <c r="O20" s="39"/>
      <c r="P20" s="39"/>
      <c r="Q20" s="39"/>
      <c r="R20" s="39">
        <f>R$18*ASSUMPTIONS!$C12</f>
        <v>0</v>
      </c>
      <c r="S20" s="39">
        <v>482232.72</v>
      </c>
      <c r="T20" s="39">
        <f>T$18*ASSUMPTIONS!$C12</f>
        <v>0</v>
      </c>
      <c r="U20" s="39">
        <f ca="1">U$18*ASSUMPTIONS!$C12</f>
        <v>0</v>
      </c>
      <c r="V20" s="39">
        <f ca="1">V$18*ASSUMPTIONS!$C12</f>
        <v>0</v>
      </c>
      <c r="W20" s="39">
        <f ca="1">W$18*ASSUMPTIONS!$C12</f>
        <v>0</v>
      </c>
      <c r="X20" s="39">
        <f ca="1">X$18*ASSUMPTIONS!$C12</f>
        <v>0</v>
      </c>
      <c r="Y20" s="39">
        <f ca="1">Y$18*ASSUMPTIONS!$C12</f>
        <v>0</v>
      </c>
      <c r="Z20" s="39">
        <f>Z$18*ASSUMPTIONS!$C12</f>
        <v>0</v>
      </c>
      <c r="AA20" s="31">
        <f t="shared" ca="1" si="2"/>
        <v>482232.72</v>
      </c>
      <c r="AN20" s="31">
        <f t="shared" si="3"/>
        <v>0</v>
      </c>
      <c r="BA20" s="31">
        <f t="shared" si="5"/>
        <v>0</v>
      </c>
    </row>
    <row r="21" spans="2:53" x14ac:dyDescent="0.35">
      <c r="B21" s="32" t="s">
        <v>5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67">
        <v>1355999.64</v>
      </c>
      <c r="P21" s="67">
        <v>524465.17999999993</v>
      </c>
      <c r="Q21" s="67">
        <v>1097439.3899999999</v>
      </c>
      <c r="R21" s="67">
        <v>909429.15</v>
      </c>
      <c r="S21" s="67">
        <v>832622.71</v>
      </c>
      <c r="T21" s="40">
        <f>T$18*ASSUMPTIONS!$C13</f>
        <v>427489.98600000003</v>
      </c>
      <c r="U21" s="40">
        <f ca="1">U$18*ASSUMPTIONS!$C13</f>
        <v>492049.89364927262</v>
      </c>
      <c r="V21" s="40">
        <f ca="1">V$18*ASSUMPTIONS!$C13</f>
        <v>408195.60474160314</v>
      </c>
      <c r="W21" s="40">
        <f ca="1">W$18*ASSUMPTIONS!$C13</f>
        <v>427546.96805684373</v>
      </c>
      <c r="X21" s="40">
        <f ca="1">X$18*ASSUMPTIONS!$C13</f>
        <v>433831.75476162345</v>
      </c>
      <c r="Y21" s="40">
        <f ca="1">Y$18*ASSUMPTIONS!$C13</f>
        <v>480354.18384407728</v>
      </c>
      <c r="Z21" s="40">
        <f>Z$18*ASSUMPTIONS!$C13</f>
        <v>441695.86764407723</v>
      </c>
      <c r="AA21" s="50">
        <f t="shared" ca="1" si="2"/>
        <v>7831120.328697497</v>
      </c>
      <c r="AB21" s="40">
        <f>AB$18*ASSUMPTIONS!$C13</f>
        <v>421810.04400000005</v>
      </c>
      <c r="AC21" s="40">
        <f>AC$18*ASSUMPTIONS!$C13</f>
        <v>390017.44650000008</v>
      </c>
      <c r="AD21" s="40">
        <f>AD$18*ASSUMPTIONS!$C13</f>
        <v>320101.78625</v>
      </c>
      <c r="AE21" s="40">
        <f>AE$18*ASSUMPTIONS!$C13</f>
        <v>465855.40950000007</v>
      </c>
      <c r="AF21" s="40">
        <f>AF$18*ASSUMPTIONS!$C13</f>
        <v>530939.33374999999</v>
      </c>
      <c r="AG21" s="40">
        <f>AG$18*ASSUMPTIONS!$C13</f>
        <v>534362.48250000004</v>
      </c>
      <c r="AH21" s="40">
        <f ca="1">AH$18*ASSUMPTIONS!$C13</f>
        <v>615062.36706159089</v>
      </c>
      <c r="AI21" s="40">
        <f ca="1">AI$18*ASSUMPTIONS!$C13</f>
        <v>510244.50592700392</v>
      </c>
      <c r="AJ21" s="40">
        <f ca="1">AJ$18*ASSUMPTIONS!$C13</f>
        <v>534433.71007105475</v>
      </c>
      <c r="AK21" s="40">
        <f ca="1">AK$18*ASSUMPTIONS!$C13</f>
        <v>542289.69345202926</v>
      </c>
      <c r="AL21" s="40">
        <f ca="1">AL$18*ASSUMPTIONS!$C13</f>
        <v>600442.72980509652</v>
      </c>
      <c r="AM21" s="40">
        <f>AM$18*ASSUMPTIONS!$C13</f>
        <v>552119.83455509669</v>
      </c>
      <c r="AN21" s="50">
        <f t="shared" ca="1" si="3"/>
        <v>6017679.3433718719</v>
      </c>
      <c r="AO21" s="40">
        <f>AO$18*ASSUMPTIONS!$C13</f>
        <v>521437.46</v>
      </c>
      <c r="AP21" s="40">
        <f>AP$18*ASSUMPTIONS!$C13</f>
        <v>483221.26836250006</v>
      </c>
      <c r="AQ21" s="40">
        <f>AQ$18*ASSUMPTIONS!$C13</f>
        <v>402652.532175</v>
      </c>
      <c r="AR21" s="40">
        <f>AR$18*ASSUMPTIONS!$C13</f>
        <v>577827.90625</v>
      </c>
      <c r="AS21" s="40">
        <f>AS$18*ASSUMPTIONS!$C13</f>
        <v>659969.8482125001</v>
      </c>
      <c r="AT21" s="40">
        <f>AT$18*ASSUMPTIONS!$C13</f>
        <v>658708.57024999999</v>
      </c>
      <c r="AU21" s="40">
        <f ca="1">AU$18*ASSUMPTIONS!$C13</f>
        <v>759157.87743006798</v>
      </c>
      <c r="AV21" s="40">
        <f ca="1">AV$18*ASSUMPTIONS!$C13</f>
        <v>633666.92845510505</v>
      </c>
      <c r="AW21" s="40">
        <f ca="1">AW$18*ASSUMPTIONS!$C13</f>
        <v>661395.32134237117</v>
      </c>
      <c r="AX21" s="40">
        <f ca="1">AX$18*ASSUMPTIONS!$C13</f>
        <v>674703.65476263803</v>
      </c>
      <c r="AY21" s="40">
        <f ca="1">AY$18*ASSUMPTIONS!$C13</f>
        <v>742983.35399662552</v>
      </c>
      <c r="AZ21" s="40">
        <f>AZ$18*ASSUMPTIONS!$C13</f>
        <v>684718.48469662562</v>
      </c>
      <c r="BA21" s="50">
        <f t="shared" ca="1" si="5"/>
        <v>7460443.205933433</v>
      </c>
    </row>
    <row r="22" spans="2:53" x14ac:dyDescent="0.35">
      <c r="B22" s="27" t="s">
        <v>33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35">
        <f>O18-O20-O21</f>
        <v>15516402.120000001</v>
      </c>
      <c r="P22" s="35">
        <f t="shared" ref="P22:AZ22" si="10">P18-P20-P21</f>
        <v>15076232.680000002</v>
      </c>
      <c r="Q22" s="35">
        <f>Q18-Q20-Q21</f>
        <v>11706632.059999999</v>
      </c>
      <c r="R22" s="35">
        <f>R18-R20-R21</f>
        <v>17724787.23</v>
      </c>
      <c r="S22" s="35">
        <f t="shared" si="10"/>
        <v>19922717.920000002</v>
      </c>
      <c r="T22" s="35">
        <f t="shared" si="10"/>
        <v>20947009.313999999</v>
      </c>
      <c r="U22" s="35">
        <f t="shared" ca="1" si="10"/>
        <v>24110444.788814358</v>
      </c>
      <c r="V22" s="35">
        <f t="shared" ca="1" si="10"/>
        <v>20001584.632338554</v>
      </c>
      <c r="W22" s="35">
        <f t="shared" ca="1" si="10"/>
        <v>20949801.434785344</v>
      </c>
      <c r="X22" s="35">
        <f t="shared" ca="1" si="10"/>
        <v>21257755.983319547</v>
      </c>
      <c r="Y22" s="35">
        <f t="shared" ca="1" si="10"/>
        <v>23537355.008359786</v>
      </c>
      <c r="Z22" s="35">
        <f t="shared" si="10"/>
        <v>21643097.514559783</v>
      </c>
      <c r="AA22" s="31">
        <f t="shared" ca="1" si="2"/>
        <v>232393820.68617737</v>
      </c>
      <c r="AB22" s="35">
        <f t="shared" si="10"/>
        <v>20668692.156000003</v>
      </c>
      <c r="AC22" s="35">
        <f t="shared" si="10"/>
        <v>19110854.878500003</v>
      </c>
      <c r="AD22" s="35">
        <f t="shared" si="10"/>
        <v>15684987.526249999</v>
      </c>
      <c r="AE22" s="35">
        <f t="shared" si="10"/>
        <v>22826915.065500002</v>
      </c>
      <c r="AF22" s="35">
        <f t="shared" si="10"/>
        <v>26016027.353750002</v>
      </c>
      <c r="AG22" s="35">
        <f t="shared" si="10"/>
        <v>26183761.642499998</v>
      </c>
      <c r="AH22" s="35">
        <f t="shared" ca="1" si="10"/>
        <v>30138055.98601795</v>
      </c>
      <c r="AI22" s="35">
        <f t="shared" ca="1" si="10"/>
        <v>25001980.790423192</v>
      </c>
      <c r="AJ22" s="35">
        <f t="shared" ca="1" si="10"/>
        <v>26187251.793481681</v>
      </c>
      <c r="AK22" s="35">
        <f t="shared" ca="1" si="10"/>
        <v>26572194.979149431</v>
      </c>
      <c r="AL22" s="35">
        <f t="shared" ca="1" si="10"/>
        <v>29421693.76044973</v>
      </c>
      <c r="AM22" s="35">
        <f t="shared" si="10"/>
        <v>27053871.893199734</v>
      </c>
      <c r="AN22" s="31">
        <f t="shared" ca="1" si="3"/>
        <v>294866287.82522172</v>
      </c>
      <c r="AO22" s="35">
        <f t="shared" si="10"/>
        <v>25550435.539999999</v>
      </c>
      <c r="AP22" s="35">
        <f t="shared" si="10"/>
        <v>23677842.149762504</v>
      </c>
      <c r="AQ22" s="35">
        <f t="shared" si="10"/>
        <v>19729974.076575</v>
      </c>
      <c r="AR22" s="35">
        <f t="shared" si="10"/>
        <v>28313567.40625</v>
      </c>
      <c r="AS22" s="35">
        <f t="shared" si="10"/>
        <v>32338522.562412504</v>
      </c>
      <c r="AT22" s="35">
        <f t="shared" si="10"/>
        <v>32276719.942249998</v>
      </c>
      <c r="AU22" s="35">
        <f t="shared" ca="1" si="10"/>
        <v>37198735.994073331</v>
      </c>
      <c r="AV22" s="35">
        <f t="shared" ca="1" si="10"/>
        <v>31049679.494300149</v>
      </c>
      <c r="AW22" s="35">
        <f t="shared" ca="1" si="10"/>
        <v>32408370.745776188</v>
      </c>
      <c r="AX22" s="35">
        <f t="shared" ca="1" si="10"/>
        <v>33060479.083369266</v>
      </c>
      <c r="AY22" s="35">
        <f t="shared" ca="1" si="10"/>
        <v>36406184.34583465</v>
      </c>
      <c r="AZ22" s="35">
        <f t="shared" si="10"/>
        <v>33551205.750134654</v>
      </c>
      <c r="BA22" s="31">
        <f t="shared" ca="1" si="5"/>
        <v>365561717.09073824</v>
      </c>
    </row>
    <row r="23" spans="2:53" x14ac:dyDescent="0.35">
      <c r="B23" s="36" t="s">
        <v>33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73">
        <f>O22/O$22</f>
        <v>1</v>
      </c>
      <c r="P23" s="41">
        <f t="shared" ref="P23:Z23" si="11">P22/P$22</f>
        <v>1</v>
      </c>
      <c r="Q23" s="41">
        <f t="shared" si="11"/>
        <v>1</v>
      </c>
      <c r="R23" s="73">
        <f t="shared" si="11"/>
        <v>1</v>
      </c>
      <c r="S23" s="41">
        <f t="shared" si="11"/>
        <v>1</v>
      </c>
      <c r="T23" s="41">
        <f t="shared" si="11"/>
        <v>1</v>
      </c>
      <c r="U23" s="41">
        <f t="shared" ca="1" si="11"/>
        <v>1</v>
      </c>
      <c r="V23" s="41">
        <f t="shared" ca="1" si="11"/>
        <v>1</v>
      </c>
      <c r="W23" s="41">
        <f t="shared" ca="1" si="11"/>
        <v>1</v>
      </c>
      <c r="X23" s="41">
        <f t="shared" ca="1" si="11"/>
        <v>1</v>
      </c>
      <c r="Y23" s="41">
        <f t="shared" ca="1" si="11"/>
        <v>1</v>
      </c>
      <c r="Z23" s="41">
        <f t="shared" si="11"/>
        <v>1</v>
      </c>
      <c r="AA23" s="38">
        <f ca="1">AA22/AA$22</f>
        <v>1</v>
      </c>
      <c r="AN23" s="38">
        <f ca="1">AN22/AN$22</f>
        <v>1</v>
      </c>
      <c r="BA23" s="38">
        <f ca="1">BA22/BA$22</f>
        <v>1</v>
      </c>
    </row>
    <row r="24" spans="2:53" x14ac:dyDescent="0.35">
      <c r="B24" s="32" t="s">
        <v>6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67">
        <v>6374777.3000000007</v>
      </c>
      <c r="P24" s="67">
        <v>6554330.4000000004</v>
      </c>
      <c r="Q24" s="67">
        <v>4958570.59</v>
      </c>
      <c r="R24" s="67">
        <v>7495199.3043241398</v>
      </c>
      <c r="S24" s="40">
        <f>SUM(S15:S16)*0.5+S17*0.34</f>
        <v>9233495.7501999997</v>
      </c>
      <c r="T24" s="40">
        <f t="shared" ref="T24:AZ24" si="12">SUM(T14:T16)*0.5+T17*0.34</f>
        <v>9679249.6500000004</v>
      </c>
      <c r="U24" s="40">
        <f t="shared" ca="1" si="12"/>
        <v>11084400.896037634</v>
      </c>
      <c r="V24" s="40">
        <f t="shared" ca="1" si="12"/>
        <v>8961581.4726072531</v>
      </c>
      <c r="W24" s="40">
        <f t="shared" ca="1" si="12"/>
        <v>9509754.4089663438</v>
      </c>
      <c r="X24" s="40">
        <f t="shared" ca="1" si="12"/>
        <v>9430819.941347599</v>
      </c>
      <c r="Y24" s="40">
        <f t="shared" ca="1" si="12"/>
        <v>10711452.229349313</v>
      </c>
      <c r="Z24" s="40">
        <f t="shared" si="12"/>
        <v>9744994.324349314</v>
      </c>
      <c r="AA24" s="50">
        <f t="shared" ca="1" si="2"/>
        <v>103738626.26718161</v>
      </c>
      <c r="AB24" s="40">
        <f t="shared" si="12"/>
        <v>9479896.1240000017</v>
      </c>
      <c r="AC24" s="40">
        <f t="shared" si="12"/>
        <v>8631039.6485000011</v>
      </c>
      <c r="AD24" s="40">
        <f t="shared" si="12"/>
        <v>6598664.7222499996</v>
      </c>
      <c r="AE24" s="40">
        <f t="shared" si="12"/>
        <v>10358256.237500001</v>
      </c>
      <c r="AF24" s="40">
        <f t="shared" si="12"/>
        <v>11541869.687750001</v>
      </c>
      <c r="AG24" s="40">
        <f t="shared" si="12"/>
        <v>12099062.0625</v>
      </c>
      <c r="AH24" s="40">
        <f t="shared" ca="1" si="12"/>
        <v>13855501.120047044</v>
      </c>
      <c r="AI24" s="40">
        <f t="shared" ca="1" si="12"/>
        <v>11201976.840759067</v>
      </c>
      <c r="AJ24" s="40">
        <f t="shared" ca="1" si="12"/>
        <v>11887193.011207931</v>
      </c>
      <c r="AK24" s="40">
        <f t="shared" ca="1" si="12"/>
        <v>11788524.926684497</v>
      </c>
      <c r="AL24" s="40">
        <f t="shared" ca="1" si="12"/>
        <v>13389315.286686642</v>
      </c>
      <c r="AM24" s="40">
        <f t="shared" si="12"/>
        <v>12181242.905436642</v>
      </c>
      <c r="AN24" s="50">
        <f t="shared" ca="1" si="3"/>
        <v>133012542.57332185</v>
      </c>
      <c r="AO24" s="40">
        <f t="shared" si="12"/>
        <v>11650975.031199999</v>
      </c>
      <c r="AP24" s="40">
        <f t="shared" si="12"/>
        <v>10625316.240862502</v>
      </c>
      <c r="AQ24" s="40">
        <f t="shared" si="12"/>
        <v>8241269.3901749998</v>
      </c>
      <c r="AR24" s="40">
        <f t="shared" si="12"/>
        <v>12771129.956250001</v>
      </c>
      <c r="AS24" s="40">
        <f t="shared" si="12"/>
        <v>14248148.452512503</v>
      </c>
      <c r="AT24" s="40">
        <f t="shared" si="12"/>
        <v>14829714.25625</v>
      </c>
      <c r="AU24" s="40">
        <f t="shared" ca="1" si="12"/>
        <v>17001571.462311156</v>
      </c>
      <c r="AV24" s="40">
        <f t="shared" ca="1" si="12"/>
        <v>13821296.661736786</v>
      </c>
      <c r="AW24" s="40">
        <f t="shared" ca="1" si="12"/>
        <v>14619138.37082031</v>
      </c>
      <c r="AX24" s="40">
        <f t="shared" ca="1" si="12"/>
        <v>14568258.736564845</v>
      </c>
      <c r="AY24" s="40">
        <f t="shared" ca="1" si="12"/>
        <v>16466305.003942635</v>
      </c>
      <c r="AZ24" s="40">
        <f t="shared" si="12"/>
        <v>15009683.271442637</v>
      </c>
      <c r="BA24" s="50">
        <f t="shared" ca="1" si="5"/>
        <v>163852806.83406836</v>
      </c>
    </row>
    <row r="25" spans="2:53" x14ac:dyDescent="0.35">
      <c r="B25" s="27" t="s">
        <v>22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35">
        <f>O22-O24</f>
        <v>9141624.8200000003</v>
      </c>
      <c r="P25" s="35">
        <f t="shared" ref="P25:AZ25" si="13">P22-P24</f>
        <v>8521902.2800000012</v>
      </c>
      <c r="Q25" s="35">
        <f t="shared" si="13"/>
        <v>6748061.4699999988</v>
      </c>
      <c r="R25" s="35">
        <f t="shared" si="13"/>
        <v>10229587.925675862</v>
      </c>
      <c r="S25" s="35">
        <f t="shared" si="13"/>
        <v>10689222.169800002</v>
      </c>
      <c r="T25" s="35">
        <f t="shared" si="13"/>
        <v>11267759.663999999</v>
      </c>
      <c r="U25" s="35">
        <f t="shared" ca="1" si="13"/>
        <v>13026043.892776724</v>
      </c>
      <c r="V25" s="35">
        <f t="shared" ca="1" si="13"/>
        <v>11040003.159731301</v>
      </c>
      <c r="W25" s="35">
        <f t="shared" ca="1" si="13"/>
        <v>11440047.025819</v>
      </c>
      <c r="X25" s="35">
        <f t="shared" ca="1" si="13"/>
        <v>11826936.041971948</v>
      </c>
      <c r="Y25" s="35">
        <f t="shared" ca="1" si="13"/>
        <v>12825902.779010473</v>
      </c>
      <c r="Z25" s="35">
        <f t="shared" si="13"/>
        <v>11898103.190210469</v>
      </c>
      <c r="AA25" s="66">
        <f ca="1">1-AA24/AA$22</f>
        <v>0.55360849974032078</v>
      </c>
      <c r="AB25" s="35">
        <f t="shared" si="13"/>
        <v>11188796.032000002</v>
      </c>
      <c r="AC25" s="35">
        <f t="shared" si="13"/>
        <v>10479815.230000002</v>
      </c>
      <c r="AD25" s="35">
        <f t="shared" si="13"/>
        <v>9086322.8039999995</v>
      </c>
      <c r="AE25" s="35">
        <f t="shared" si="13"/>
        <v>12468658.828000002</v>
      </c>
      <c r="AF25" s="35">
        <f t="shared" si="13"/>
        <v>14474157.666000001</v>
      </c>
      <c r="AG25" s="35">
        <f t="shared" si="13"/>
        <v>14084699.579999998</v>
      </c>
      <c r="AH25" s="35">
        <f t="shared" ca="1" si="13"/>
        <v>16282554.865970906</v>
      </c>
      <c r="AI25" s="35">
        <f t="shared" ca="1" si="13"/>
        <v>13800003.949664125</v>
      </c>
      <c r="AJ25" s="35">
        <f t="shared" ca="1" si="13"/>
        <v>14300058.782273751</v>
      </c>
      <c r="AK25" s="35">
        <f t="shared" ca="1" si="13"/>
        <v>14783670.052464934</v>
      </c>
      <c r="AL25" s="35">
        <f t="shared" ca="1" si="13"/>
        <v>16032378.473763088</v>
      </c>
      <c r="AM25" s="35">
        <f t="shared" si="13"/>
        <v>14872628.987763092</v>
      </c>
      <c r="AN25" s="66">
        <f ca="1">1-AN24/AN$22</f>
        <v>0.54890556138393354</v>
      </c>
      <c r="AO25" s="35">
        <f t="shared" si="13"/>
        <v>13899460.5088</v>
      </c>
      <c r="AP25" s="35">
        <f t="shared" si="13"/>
        <v>13052525.908900002</v>
      </c>
      <c r="AQ25" s="35">
        <f t="shared" si="13"/>
        <v>11488704.6864</v>
      </c>
      <c r="AR25" s="35">
        <f t="shared" si="13"/>
        <v>15542437.449999999</v>
      </c>
      <c r="AS25" s="35">
        <f t="shared" si="13"/>
        <v>18090374.109900001</v>
      </c>
      <c r="AT25" s="35">
        <f t="shared" si="13"/>
        <v>17447005.685999997</v>
      </c>
      <c r="AU25" s="35">
        <f t="shared" ca="1" si="13"/>
        <v>20197164.531762175</v>
      </c>
      <c r="AV25" s="35">
        <f t="shared" ca="1" si="13"/>
        <v>17228382.832563363</v>
      </c>
      <c r="AW25" s="35">
        <f t="shared" ca="1" si="13"/>
        <v>17789232.374955878</v>
      </c>
      <c r="AX25" s="35">
        <f t="shared" ca="1" si="13"/>
        <v>18492220.346804421</v>
      </c>
      <c r="AY25" s="35">
        <f t="shared" ca="1" si="13"/>
        <v>19939879.341892015</v>
      </c>
      <c r="AZ25" s="35">
        <f t="shared" si="13"/>
        <v>18541522.478692017</v>
      </c>
      <c r="BA25" s="66">
        <f ca="1">1-BA24/BA$22</f>
        <v>0.55177799213204404</v>
      </c>
    </row>
    <row r="26" spans="2:53" x14ac:dyDescent="0.35">
      <c r="B26" s="36" t="s">
        <v>22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73">
        <f>O25/O$22</f>
        <v>0.58915879785152148</v>
      </c>
      <c r="P26" s="41">
        <f t="shared" ref="P26:AZ26" si="14">P25/P$22</f>
        <v>0.56525409635691559</v>
      </c>
      <c r="Q26" s="41">
        <f>Q25/Q$22</f>
        <v>0.57643064507487385</v>
      </c>
      <c r="R26" s="73">
        <f>R25/R$22</f>
        <v>0.57713459647977172</v>
      </c>
      <c r="S26" s="41">
        <f t="shared" si="14"/>
        <v>0.53653433295209763</v>
      </c>
      <c r="T26" s="41">
        <f t="shared" si="14"/>
        <v>0.53791734634257105</v>
      </c>
      <c r="U26" s="41">
        <f t="shared" ca="1" si="14"/>
        <v>0.54026559886692516</v>
      </c>
      <c r="V26" s="41">
        <f t="shared" ca="1" si="14"/>
        <v>0.55195642558649216</v>
      </c>
      <c r="W26" s="41">
        <f t="shared" ca="1" si="14"/>
        <v>0.54606947285064888</v>
      </c>
      <c r="X26" s="41">
        <f t="shared" ca="1" si="14"/>
        <v>0.55635863217417036</v>
      </c>
      <c r="Y26" s="41">
        <f t="shared" ca="1" si="14"/>
        <v>0.54491691077672422</v>
      </c>
      <c r="Z26" s="41">
        <f t="shared" si="14"/>
        <v>0.54974123654002649</v>
      </c>
      <c r="AA26" s="66">
        <f ca="1">AVERAGE(O26:Z26)</f>
        <v>0.55597817432106156</v>
      </c>
      <c r="AB26" s="41">
        <f t="shared" si="14"/>
        <v>0.54134030095135743</v>
      </c>
      <c r="AC26" s="41">
        <f t="shared" si="14"/>
        <v>0.54836977710452661</v>
      </c>
      <c r="AD26" s="41">
        <f t="shared" si="14"/>
        <v>0.57930060759011504</v>
      </c>
      <c r="AE26" s="41">
        <f t="shared" si="14"/>
        <v>0.54622618922540278</v>
      </c>
      <c r="AF26" s="41">
        <f t="shared" si="14"/>
        <v>0.55635541388349852</v>
      </c>
      <c r="AG26" s="41">
        <f t="shared" si="14"/>
        <v>0.53791734634257105</v>
      </c>
      <c r="AH26" s="41">
        <f t="shared" ca="1" si="14"/>
        <v>0.54026559886692516</v>
      </c>
      <c r="AI26" s="41">
        <f t="shared" ca="1" si="14"/>
        <v>0.55195642558649216</v>
      </c>
      <c r="AJ26" s="41">
        <f t="shared" ca="1" si="14"/>
        <v>0.54606947285064888</v>
      </c>
      <c r="AK26" s="41">
        <f t="shared" ca="1" si="14"/>
        <v>0.55635863217417036</v>
      </c>
      <c r="AL26" s="41">
        <f t="shared" ca="1" si="14"/>
        <v>0.54491691077672422</v>
      </c>
      <c r="AM26" s="41">
        <f t="shared" si="14"/>
        <v>0.5497412365400266</v>
      </c>
      <c r="AN26" s="66">
        <f ca="1">AVERAGE(AB26:AM26)</f>
        <v>0.54990149265770494</v>
      </c>
      <c r="AO26" s="41">
        <f t="shared" si="14"/>
        <v>0.54400092268642397</v>
      </c>
      <c r="AP26" s="41">
        <f t="shared" si="14"/>
        <v>0.55125487476192681</v>
      </c>
      <c r="AQ26" s="41">
        <f t="shared" si="14"/>
        <v>0.58229699855715</v>
      </c>
      <c r="AR26" s="41">
        <f t="shared" si="14"/>
        <v>0.54893956762824336</v>
      </c>
      <c r="AS26" s="41">
        <f t="shared" si="14"/>
        <v>0.55940632646361788</v>
      </c>
      <c r="AT26" s="41">
        <f t="shared" si="14"/>
        <v>0.54054456949827756</v>
      </c>
      <c r="AU26" s="41">
        <f t="shared" ca="1" si="14"/>
        <v>0.54295297923510299</v>
      </c>
      <c r="AV26" s="41">
        <f t="shared" ca="1" si="14"/>
        <v>0.55486507793827666</v>
      </c>
      <c r="AW26" s="41">
        <f t="shared" ca="1" si="14"/>
        <v>0.54890856792837583</v>
      </c>
      <c r="AX26" s="41">
        <f t="shared" ca="1" si="14"/>
        <v>0.5593452018699494</v>
      </c>
      <c r="AY26" s="41">
        <f t="shared" ca="1" si="14"/>
        <v>0.5477058280119762</v>
      </c>
      <c r="AZ26" s="41">
        <f t="shared" si="14"/>
        <v>0.55263356604159009</v>
      </c>
      <c r="BA26" s="66">
        <f ca="1">AVERAGE(AO26:AZ26)</f>
        <v>0.55273787338507585</v>
      </c>
    </row>
    <row r="27" spans="2:53" x14ac:dyDescent="0.35">
      <c r="B27" s="29" t="s">
        <v>7</v>
      </c>
      <c r="O27" s="39">
        <f>O22*ASSUMPTIONS!$C$17</f>
        <v>155164.02120000002</v>
      </c>
      <c r="P27" s="39">
        <f>P22*ASSUMPTIONS!$C$17</f>
        <v>150762.32680000001</v>
      </c>
      <c r="Q27" s="39">
        <f>Q22*ASSUMPTIONS!$C$17</f>
        <v>117066.32059999999</v>
      </c>
      <c r="R27" s="39">
        <f>R22*ASSUMPTIONS!$C$17</f>
        <v>177247.87230000002</v>
      </c>
      <c r="S27" s="39">
        <f>S22*ASSUMPTIONS!$C$17</f>
        <v>199227.17920000001</v>
      </c>
      <c r="T27" s="39">
        <f>T22*ASSUMPTIONS!$C$17</f>
        <v>209470.09314000001</v>
      </c>
      <c r="U27" s="39">
        <f ca="1">U22*ASSUMPTIONS!$C$17</f>
        <v>241104.44788814359</v>
      </c>
      <c r="V27" s="39">
        <f ca="1">V22*ASSUMPTIONS!$C$17</f>
        <v>200015.84632338554</v>
      </c>
      <c r="W27" s="39">
        <f ca="1">W22*ASSUMPTIONS!$C$17</f>
        <v>209498.01434785343</v>
      </c>
      <c r="X27" s="39">
        <f ca="1">X22*ASSUMPTIONS!$C$17</f>
        <v>212577.55983319547</v>
      </c>
      <c r="Y27" s="39">
        <f ca="1">Y22*ASSUMPTIONS!$C$17</f>
        <v>235373.55008359786</v>
      </c>
      <c r="Z27" s="39">
        <f>Z22*ASSUMPTIONS!$C$17</f>
        <v>216430.97514559783</v>
      </c>
      <c r="AA27" s="31">
        <f t="shared" ca="1" si="2"/>
        <v>2323938.206861774</v>
      </c>
      <c r="AB27" s="39">
        <f>AB22*ASSUMPTIONS!$C$17</f>
        <v>206686.92156000005</v>
      </c>
      <c r="AC27" s="39">
        <f>AC22*ASSUMPTIONS!$C$17</f>
        <v>191108.54878500005</v>
      </c>
      <c r="AD27" s="39">
        <f>AD22*ASSUMPTIONS!$C$17</f>
        <v>156849.87526249999</v>
      </c>
      <c r="AE27" s="39">
        <f>AE22*ASSUMPTIONS!$C$17</f>
        <v>228269.15065500003</v>
      </c>
      <c r="AF27" s="39">
        <f>AF22*ASSUMPTIONS!$C$17</f>
        <v>260160.27353750003</v>
      </c>
      <c r="AG27" s="39">
        <f>AG22*ASSUMPTIONS!$C$17</f>
        <v>261837.61642499999</v>
      </c>
      <c r="AH27" s="39">
        <f ca="1">AH22*ASSUMPTIONS!$C$17</f>
        <v>301380.55986017949</v>
      </c>
      <c r="AI27" s="39">
        <f ca="1">AI22*ASSUMPTIONS!$C$17</f>
        <v>250019.80790423192</v>
      </c>
      <c r="AJ27" s="39">
        <f ca="1">AJ22*ASSUMPTIONS!$C$17</f>
        <v>261872.51793481683</v>
      </c>
      <c r="AK27" s="39">
        <f ca="1">AK22*ASSUMPTIONS!$C$17</f>
        <v>265721.94979149429</v>
      </c>
      <c r="AL27" s="39">
        <f ca="1">AL22*ASSUMPTIONS!$C$17</f>
        <v>294216.9376044973</v>
      </c>
      <c r="AM27" s="39">
        <f>AM22*ASSUMPTIONS!$C$17</f>
        <v>270538.71893199737</v>
      </c>
      <c r="AN27" s="31">
        <f t="shared" ca="1" si="3"/>
        <v>2948662.8782522166</v>
      </c>
      <c r="AO27" s="39">
        <f>AO22*ASSUMPTIONS!$C$17</f>
        <v>255504.3554</v>
      </c>
      <c r="AP27" s="39">
        <f>AP22*ASSUMPTIONS!$C$17</f>
        <v>236778.42149762504</v>
      </c>
      <c r="AQ27" s="39">
        <f>AQ22*ASSUMPTIONS!$C$17</f>
        <v>197299.74076575</v>
      </c>
      <c r="AR27" s="39">
        <f>AR22*ASSUMPTIONS!$C$17</f>
        <v>283135.67406250001</v>
      </c>
      <c r="AS27" s="39">
        <f>AS22*ASSUMPTIONS!$C$17</f>
        <v>323385.22562412504</v>
      </c>
      <c r="AT27" s="39">
        <f>AT22*ASSUMPTIONS!$C$17</f>
        <v>322767.19942249998</v>
      </c>
      <c r="AU27" s="39">
        <f ca="1">AU22*ASSUMPTIONS!$C$17</f>
        <v>371987.35994073329</v>
      </c>
      <c r="AV27" s="39">
        <f ca="1">AV22*ASSUMPTIONS!$C$17</f>
        <v>310496.79494300153</v>
      </c>
      <c r="AW27" s="39">
        <f ca="1">AW22*ASSUMPTIONS!$C$17</f>
        <v>324083.70745776186</v>
      </c>
      <c r="AX27" s="39">
        <f ca="1">AX22*ASSUMPTIONS!$C$17</f>
        <v>330604.79083369265</v>
      </c>
      <c r="AY27" s="39">
        <f ca="1">AY22*ASSUMPTIONS!$C$17</f>
        <v>364061.8434583465</v>
      </c>
      <c r="AZ27" s="39">
        <f>AZ22*ASSUMPTIONS!$C$17</f>
        <v>335512.05750134657</v>
      </c>
      <c r="BA27" s="31">
        <f t="shared" ca="1" si="5"/>
        <v>3655617.1709073819</v>
      </c>
    </row>
    <row r="28" spans="2:53" x14ac:dyDescent="0.35">
      <c r="B28" s="29" t="s">
        <v>19</v>
      </c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1">
        <f t="shared" si="2"/>
        <v>0</v>
      </c>
      <c r="AN28" s="31">
        <f t="shared" si="3"/>
        <v>0</v>
      </c>
      <c r="BA28" s="31">
        <f t="shared" si="5"/>
        <v>0</v>
      </c>
    </row>
    <row r="29" spans="2:53" x14ac:dyDescent="0.35">
      <c r="B29" s="29" t="s">
        <v>9</v>
      </c>
      <c r="O29" s="159">
        <v>3242912.49</v>
      </c>
      <c r="P29" s="159">
        <v>2305460.1800000002</v>
      </c>
      <c r="Q29" s="159">
        <v>1682872.15</v>
      </c>
      <c r="R29" s="159">
        <v>1795060.8717747489</v>
      </c>
      <c r="S29" s="159">
        <v>1795060.8717747489</v>
      </c>
      <c r="T29" s="159">
        <v>1795060.8717747489</v>
      </c>
      <c r="U29" s="159">
        <f>1795060.87177475</f>
        <v>1795060.8717747501</v>
      </c>
      <c r="V29" s="159">
        <f>1795060.87177475-ASSUMPTIONS!$C48</f>
        <v>1388185.8717747501</v>
      </c>
      <c r="W29" s="159">
        <f>1795060.87177475-ASSUMPTIONS!$C48</f>
        <v>1388185.8717747501</v>
      </c>
      <c r="X29" s="159">
        <f>1795060.87177475-ASSUMPTIONS!$C48</f>
        <v>1388185.8717747501</v>
      </c>
      <c r="Y29" s="159">
        <f>1795060.87177475-ASSUMPTIONS!$C48</f>
        <v>1388185.8717747501</v>
      </c>
      <c r="Z29" s="159">
        <f>1795060.87177475-ASSUMPTIONS!$C48</f>
        <v>1388185.8717747501</v>
      </c>
      <c r="AA29" s="31">
        <f t="shared" si="2"/>
        <v>21352417.665972751</v>
      </c>
      <c r="AB29" s="159">
        <f>1795060.87177475-ASSUMPTIONS!$C48</f>
        <v>1388185.8717747501</v>
      </c>
      <c r="AC29" s="159">
        <f>1795060.87177475-ASSUMPTIONS!$C48</f>
        <v>1388185.8717747501</v>
      </c>
      <c r="AD29" s="159">
        <f>1795060.87177475-ASSUMPTIONS!$C48</f>
        <v>1388185.8717747501</v>
      </c>
      <c r="AE29" s="159">
        <f>1795060.87177475-ASSUMPTIONS!$C48</f>
        <v>1388185.8717747501</v>
      </c>
      <c r="AF29" s="159">
        <f>1795060.87177475-ASSUMPTIONS!$C48</f>
        <v>1388185.8717747501</v>
      </c>
      <c r="AG29" s="159">
        <f>1795060.87177475-ASSUMPTIONS!$C48</f>
        <v>1388185.8717747501</v>
      </c>
      <c r="AH29" s="159">
        <f>1795060.87177475-ASSUMPTIONS!$C48</f>
        <v>1388185.8717747501</v>
      </c>
      <c r="AI29" s="159">
        <f>1795060.87177475-ASSUMPTIONS!$C48</f>
        <v>1388185.8717747501</v>
      </c>
      <c r="AJ29" s="159">
        <f>1795060.87177475-ASSUMPTIONS!$C48</f>
        <v>1388185.8717747501</v>
      </c>
      <c r="AK29" s="159">
        <f>1795060.87177475-ASSUMPTIONS!$C48</f>
        <v>1388185.8717747501</v>
      </c>
      <c r="AL29" s="159">
        <f>1795060.87177475-ASSUMPTIONS!$C48</f>
        <v>1388185.8717747501</v>
      </c>
      <c r="AM29" s="159">
        <f>1795060.87177475-ASSUMPTIONS!$C48</f>
        <v>1388185.8717747501</v>
      </c>
      <c r="AN29" s="31">
        <f t="shared" si="3"/>
        <v>16658230.461297</v>
      </c>
      <c r="AO29" s="159">
        <f>1795060.87177475-ASSUMPTIONS!$C48</f>
        <v>1388185.8717747501</v>
      </c>
      <c r="AP29" s="159">
        <f>1795060.87177475-ASSUMPTIONS!$C48</f>
        <v>1388185.8717747501</v>
      </c>
      <c r="AQ29" s="159">
        <f>1795060.87177475-ASSUMPTIONS!$C48</f>
        <v>1388185.8717747501</v>
      </c>
      <c r="AR29" s="159">
        <f>1795060.87177475-ASSUMPTIONS!$C48</f>
        <v>1388185.8717747501</v>
      </c>
      <c r="AS29" s="159">
        <f>1795060.87177475-ASSUMPTIONS!$C48</f>
        <v>1388185.8717747501</v>
      </c>
      <c r="AT29" s="159">
        <f>1795060.87177475-ASSUMPTIONS!$C48</f>
        <v>1388185.8717747501</v>
      </c>
      <c r="AU29" s="159">
        <f>1795060.87177475-ASSUMPTIONS!$C48</f>
        <v>1388185.8717747501</v>
      </c>
      <c r="AV29" s="159">
        <f>1795060.87177475-ASSUMPTIONS!$C48</f>
        <v>1388185.8717747501</v>
      </c>
      <c r="AW29" s="159">
        <f>1795060.87177475-ASSUMPTIONS!$C48</f>
        <v>1388185.8717747501</v>
      </c>
      <c r="AX29" s="159">
        <f>1795060.87177475-ASSUMPTIONS!$C48</f>
        <v>1388185.8717747501</v>
      </c>
      <c r="AY29" s="159">
        <f>1795060.87177475-ASSUMPTIONS!$C48</f>
        <v>1388185.8717747501</v>
      </c>
      <c r="AZ29" s="159">
        <f>1795060.87177475-ASSUMPTIONS!$C48</f>
        <v>1388185.8717747501</v>
      </c>
      <c r="BA29" s="31">
        <f t="shared" si="5"/>
        <v>16658230.461297</v>
      </c>
    </row>
    <row r="30" spans="2:53" x14ac:dyDescent="0.35">
      <c r="B30" s="29" t="s">
        <v>943</v>
      </c>
      <c r="O30" s="39">
        <f>SUM(Gastos!T7:T10)</f>
        <v>551800</v>
      </c>
      <c r="P30" s="39">
        <f>SUM(Gastos!U7:U10)</f>
        <v>551800</v>
      </c>
      <c r="Q30" s="39">
        <f>SUM(Gastos!V7:V10)</f>
        <v>551800</v>
      </c>
      <c r="R30" s="39">
        <f>SUM(Gastos!W7:W10)</f>
        <v>551800</v>
      </c>
      <c r="S30" s="39">
        <f>SUM(Gastos!X7:X10)</f>
        <v>551800</v>
      </c>
      <c r="T30" s="39">
        <f>SUM(Gastos!Y7:Y10)</f>
        <v>551800</v>
      </c>
      <c r="U30" s="39">
        <f>SUM(Gastos!Z7:Z10)</f>
        <v>551800</v>
      </c>
      <c r="V30" s="39">
        <f>SUM(Gastos!AA7:AA10)</f>
        <v>551800</v>
      </c>
      <c r="W30" s="39">
        <f>SUM(Gastos!AB7:AB10)</f>
        <v>551800</v>
      </c>
      <c r="X30" s="39">
        <f>SUM(Gastos!AC7:AC10)</f>
        <v>551800</v>
      </c>
      <c r="Y30" s="39">
        <f>SUM(Gastos!AD7:AD10)</f>
        <v>551800</v>
      </c>
      <c r="Z30" s="39">
        <f>SUM(Gastos!AE7:AE10)</f>
        <v>551800</v>
      </c>
      <c r="AA30" s="31">
        <f t="shared" si="2"/>
        <v>6621600</v>
      </c>
      <c r="AB30" s="39">
        <f>SUM(Gastos!AG7:AG10)</f>
        <v>560283</v>
      </c>
      <c r="AC30" s="39">
        <f>SUM(Gastos!AH7:AH10)</f>
        <v>560283</v>
      </c>
      <c r="AD30" s="39">
        <f>SUM(Gastos!AI7:AI10)</f>
        <v>560283</v>
      </c>
      <c r="AE30" s="39">
        <f>SUM(Gastos!AJ7:AJ10)</f>
        <v>560283</v>
      </c>
      <c r="AF30" s="39">
        <f>SUM(Gastos!AK7:AK10)</f>
        <v>591958</v>
      </c>
      <c r="AG30" s="39">
        <f>SUM(Gastos!AL7:AL10)</f>
        <v>604234</v>
      </c>
      <c r="AH30" s="39">
        <f>SUM(Gastos!AM7:AM10)</f>
        <v>604234</v>
      </c>
      <c r="AI30" s="39">
        <f>SUM(Gastos!AN7:AN10)</f>
        <v>604234</v>
      </c>
      <c r="AJ30" s="39">
        <f>SUM(Gastos!AO7:AO10)</f>
        <v>591958</v>
      </c>
      <c r="AK30" s="39">
        <f>SUM(Gastos!AP7:AP10)</f>
        <v>591958</v>
      </c>
      <c r="AL30" s="39">
        <f>SUM(Gastos!AQ7:AQ10)</f>
        <v>591958</v>
      </c>
      <c r="AM30" s="39">
        <f>SUM(Gastos!AR7:AR10)</f>
        <v>591958</v>
      </c>
      <c r="AN30" s="31">
        <f t="shared" si="3"/>
        <v>7013624</v>
      </c>
      <c r="AO30" s="39">
        <f>SUM(Gastos!AT7:AT10)</f>
        <v>601258.01</v>
      </c>
      <c r="AP30" s="39">
        <f>SUM(Gastos!AU7:AU10)</f>
        <v>601258.01</v>
      </c>
      <c r="AQ30" s="39">
        <f>SUM(Gastos!AV7:AV10)</f>
        <v>601258.01</v>
      </c>
      <c r="AR30" s="39">
        <f>SUM(Gastos!AW7:AW10)</f>
        <v>601258.01</v>
      </c>
      <c r="AS30" s="39">
        <f>SUM(Gastos!AX7:AX10)</f>
        <v>635150.26</v>
      </c>
      <c r="AT30" s="39">
        <f>SUM(Gastos!AY7:AY10)</f>
        <v>648653.86</v>
      </c>
      <c r="AU30" s="39">
        <f>SUM(Gastos!AZ7:AZ10)</f>
        <v>648653.86</v>
      </c>
      <c r="AV30" s="39">
        <f>SUM(Gastos!BA7:BA10)</f>
        <v>648653.86</v>
      </c>
      <c r="AW30" s="39">
        <f>SUM(Gastos!BB7:BB10)</f>
        <v>635150.26</v>
      </c>
      <c r="AX30" s="39">
        <f>SUM(Gastos!BC7:BC10)</f>
        <v>635150.26</v>
      </c>
      <c r="AY30" s="39">
        <f>SUM(Gastos!BD7:BD10)</f>
        <v>635150.26</v>
      </c>
      <c r="AZ30" s="39">
        <f>SUM(Gastos!BE7:BE10)</f>
        <v>635150.26</v>
      </c>
      <c r="BA30" s="31">
        <f t="shared" si="5"/>
        <v>7526744.919999999</v>
      </c>
    </row>
    <row r="31" spans="2:53" x14ac:dyDescent="0.35">
      <c r="B31" s="29" t="s">
        <v>944</v>
      </c>
      <c r="O31" s="39">
        <f>SUM(Gastos!T13:T18)</f>
        <v>77650.689655172406</v>
      </c>
      <c r="P31" s="39">
        <f>SUM(Gastos!U13:U18)</f>
        <v>77650.689655172406</v>
      </c>
      <c r="Q31" s="39">
        <f>SUM(Gastos!V13:V18)</f>
        <v>77650.689655172406</v>
      </c>
      <c r="R31" s="39">
        <f>SUM(Gastos!W13:W18)</f>
        <v>77650.689655172406</v>
      </c>
      <c r="S31" s="39">
        <f>SUM(Gastos!X13:X18)</f>
        <v>77650.689655172406</v>
      </c>
      <c r="T31" s="39">
        <f>SUM(Gastos!Y13:Y18)</f>
        <v>77650.689655172406</v>
      </c>
      <c r="U31" s="39">
        <f>SUM(Gastos!Z13:Z18)</f>
        <v>77650.689655172406</v>
      </c>
      <c r="V31" s="39">
        <f>SUM(Gastos!AA13:AA18)</f>
        <v>77650.689655172406</v>
      </c>
      <c r="W31" s="39">
        <f>SUM(Gastos!AB13:AB18)</f>
        <v>77650.689655172406</v>
      </c>
      <c r="X31" s="39">
        <f>SUM(Gastos!AC13:AC18)</f>
        <v>77650.689655172406</v>
      </c>
      <c r="Y31" s="39">
        <f>SUM(Gastos!AD13:AD18)</f>
        <v>77650.689655172406</v>
      </c>
      <c r="Z31" s="39">
        <f>SUM(Gastos!AE13:AE18)</f>
        <v>77650.689655172406</v>
      </c>
      <c r="AA31" s="31">
        <f t="shared" si="2"/>
        <v>931808.27586206887</v>
      </c>
      <c r="AB31" s="39">
        <f>SUM(Gastos!AG13:AG18)</f>
        <v>77650.689655172406</v>
      </c>
      <c r="AC31" s="39">
        <f>SUM(Gastos!AH13:AH18)</f>
        <v>77650.689655172406</v>
      </c>
      <c r="AD31" s="39">
        <f>SUM(Gastos!AI13:AI18)</f>
        <v>77650.689655172406</v>
      </c>
      <c r="AE31" s="39">
        <f>SUM(Gastos!AJ13:AJ18)</f>
        <v>77650.689655172406</v>
      </c>
      <c r="AF31" s="39">
        <f>SUM(Gastos!AK13:AK18)</f>
        <v>77650.689655172406</v>
      </c>
      <c r="AG31" s="39">
        <f>SUM(Gastos!AL13:AL18)</f>
        <v>0</v>
      </c>
      <c r="AH31" s="39">
        <f>SUM(Gastos!AM13:AM18)</f>
        <v>0</v>
      </c>
      <c r="AI31" s="39">
        <f>SUM(Gastos!AN13:AN18)</f>
        <v>0</v>
      </c>
      <c r="AJ31" s="39">
        <f>SUM(Gastos!AO13:AO18)</f>
        <v>0</v>
      </c>
      <c r="AK31" s="39">
        <f>SUM(Gastos!AP13:AP18)</f>
        <v>0</v>
      </c>
      <c r="AL31" s="39">
        <f>SUM(Gastos!AQ13:AQ18)</f>
        <v>0</v>
      </c>
      <c r="AM31" s="39">
        <f>SUM(Gastos!AR13:AR18)</f>
        <v>0</v>
      </c>
      <c r="AN31" s="31">
        <f t="shared" si="3"/>
        <v>388253.44827586203</v>
      </c>
      <c r="AO31" s="39">
        <f>SUM(Gastos!AT13:AT18)</f>
        <v>0</v>
      </c>
      <c r="AP31" s="39">
        <f>SUM(Gastos!AU13:AU18)</f>
        <v>0</v>
      </c>
      <c r="AQ31" s="39">
        <f>SUM(Gastos!AV13:AV18)</f>
        <v>0</v>
      </c>
      <c r="AR31" s="39">
        <f>SUM(Gastos!AW13:AW18)</f>
        <v>0</v>
      </c>
      <c r="AS31" s="39">
        <f>SUM(Gastos!AX13:AX18)</f>
        <v>0</v>
      </c>
      <c r="AT31" s="39">
        <f>SUM(Gastos!AY13:AY18)</f>
        <v>0</v>
      </c>
      <c r="AU31" s="39">
        <f>SUM(Gastos!AZ13:AZ18)</f>
        <v>0</v>
      </c>
      <c r="AV31" s="39">
        <f>SUM(Gastos!BA13:BA18)</f>
        <v>0</v>
      </c>
      <c r="AW31" s="39">
        <f>SUM(Gastos!BB13:BB18)</f>
        <v>0</v>
      </c>
      <c r="AX31" s="39">
        <f>SUM(Gastos!BC13:BC18)</f>
        <v>0</v>
      </c>
      <c r="AY31" s="39">
        <f>SUM(Gastos!BD13:BD18)</f>
        <v>0</v>
      </c>
      <c r="AZ31" s="39">
        <f>SUM(Gastos!BE13:BE18)</f>
        <v>0</v>
      </c>
      <c r="BA31" s="31">
        <f t="shared" si="5"/>
        <v>0</v>
      </c>
    </row>
    <row r="32" spans="2:53" x14ac:dyDescent="0.35">
      <c r="B32" s="32" t="s">
        <v>16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40">
        <f>O18*ASSUMPTIONS!$C$24</f>
        <v>143415.41496000002</v>
      </c>
      <c r="P32" s="40">
        <f>P18*ASSUMPTIONS!$C$24</f>
        <v>132605.93181000001</v>
      </c>
      <c r="Q32" s="40">
        <f>Q18*ASSUMPTIONS!$C$24</f>
        <v>108834.607325</v>
      </c>
      <c r="R32" s="40">
        <f>R18*ASSUMPTIONS!$C$24</f>
        <v>158390.83923000001</v>
      </c>
      <c r="S32" s="40">
        <f>S18*ASSUMPTIONS!$C$24</f>
        <v>180519.37347500003</v>
      </c>
      <c r="T32" s="40">
        <f>T18*ASSUMPTIONS!$C$24</f>
        <v>181683.24405000001</v>
      </c>
      <c r="U32" s="40">
        <f ca="1">U18*ASSUMPTIONS!$C$24</f>
        <v>209121.20480094088</v>
      </c>
      <c r="V32" s="40">
        <f ca="1">V18*ASSUMPTIONS!$C$24</f>
        <v>173483.13201518136</v>
      </c>
      <c r="W32" s="40">
        <f ca="1">W18*ASSUMPTIONS!$C$24</f>
        <v>181707.4614241586</v>
      </c>
      <c r="X32" s="40">
        <f ca="1">X18*ASSUMPTIONS!$C$24</f>
        <v>184378.49577368997</v>
      </c>
      <c r="Y32" s="40">
        <f ca="1">Y18*ASSUMPTIONS!$C$24</f>
        <v>204150.52813373285</v>
      </c>
      <c r="Z32" s="40">
        <f>Z18*ASSUMPTIONS!$C$24</f>
        <v>187720.74374873284</v>
      </c>
      <c r="AA32" s="50">
        <f t="shared" ca="1" si="2"/>
        <v>2046010.9767464367</v>
      </c>
      <c r="AB32" s="40">
        <f>AB18*ASSUMPTIONS!$C$24</f>
        <v>179269.26870000004</v>
      </c>
      <c r="AC32" s="40">
        <f>AC18*ASSUMPTIONS!$C$24</f>
        <v>165757.41476250003</v>
      </c>
      <c r="AD32" s="40">
        <f>AD18*ASSUMPTIONS!$C$24</f>
        <v>136043.25915625002</v>
      </c>
      <c r="AE32" s="40">
        <f>AE18*ASSUMPTIONS!$C$24</f>
        <v>197988.54903750002</v>
      </c>
      <c r="AF32" s="40">
        <f>AF18*ASSUMPTIONS!$C$24</f>
        <v>225649.21684375001</v>
      </c>
      <c r="AG32" s="40">
        <f>AG18*ASSUMPTIONS!$C$24</f>
        <v>227104.0550625</v>
      </c>
      <c r="AH32" s="40">
        <f ca="1">AH18*ASSUMPTIONS!$C$24</f>
        <v>261401.50600117614</v>
      </c>
      <c r="AI32" s="40">
        <f ca="1">AI18*ASSUMPTIONS!$C$24</f>
        <v>216853.9150189767</v>
      </c>
      <c r="AJ32" s="40">
        <f ca="1">AJ18*ASSUMPTIONS!$C$24</f>
        <v>227134.32678019826</v>
      </c>
      <c r="AK32" s="40">
        <f ca="1">AK18*ASSUMPTIONS!$C$24</f>
        <v>230473.11971711245</v>
      </c>
      <c r="AL32" s="40">
        <f ca="1">AL18*ASSUMPTIONS!$C$24</f>
        <v>255188.16016716606</v>
      </c>
      <c r="AM32" s="40">
        <f>AM18*ASSUMPTIONS!$C$24</f>
        <v>234650.92968591608</v>
      </c>
      <c r="AN32" s="50">
        <f t="shared" ca="1" si="3"/>
        <v>2557513.7209330462</v>
      </c>
      <c r="AO32" s="40">
        <f>AO18*ASSUMPTIONS!$C$24</f>
        <v>221610.92050000001</v>
      </c>
      <c r="AP32" s="40">
        <f>AP18*ASSUMPTIONS!$C$24</f>
        <v>205369.03905406254</v>
      </c>
      <c r="AQ32" s="40">
        <f>AQ18*ASSUMPTIONS!$C$24</f>
        <v>171127.32617437502</v>
      </c>
      <c r="AR32" s="40">
        <f>AR18*ASSUMPTIONS!$C$24</f>
        <v>245576.86015625001</v>
      </c>
      <c r="AS32" s="40">
        <f>AS18*ASSUMPTIONS!$C$24</f>
        <v>280487.18549031252</v>
      </c>
      <c r="AT32" s="40">
        <f>AT18*ASSUMPTIONS!$C$24</f>
        <v>279951.14235625003</v>
      </c>
      <c r="AU32" s="40">
        <f ca="1">AU18*ASSUMPTIONS!$C$24</f>
        <v>322642.09790777892</v>
      </c>
      <c r="AV32" s="40">
        <f ca="1">AV18*ASSUMPTIONS!$C$24</f>
        <v>269308.44459341967</v>
      </c>
      <c r="AW32" s="40">
        <f ca="1">AW18*ASSUMPTIONS!$C$24</f>
        <v>281093.01157050778</v>
      </c>
      <c r="AX32" s="40">
        <f ca="1">AX18*ASSUMPTIONS!$C$24</f>
        <v>286749.05327412119</v>
      </c>
      <c r="AY32" s="40">
        <f ca="1">AY18*ASSUMPTIONS!$C$24</f>
        <v>315767.92544856586</v>
      </c>
      <c r="AZ32" s="40">
        <f>AZ18*ASSUMPTIONS!$C$24</f>
        <v>291005.35599606589</v>
      </c>
      <c r="BA32" s="50">
        <f t="shared" ca="1" si="5"/>
        <v>3170688.3625217089</v>
      </c>
    </row>
    <row r="33" spans="2:53" x14ac:dyDescent="0.35">
      <c r="B33" s="42" t="s">
        <v>1353</v>
      </c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4">
        <f>SUM(O27:O32)+O24</f>
        <v>10545719.915815173</v>
      </c>
      <c r="P33" s="44">
        <f t="shared" ref="P33:Z33" si="15">SUM(P27:P32)+P24</f>
        <v>9772609.5282651726</v>
      </c>
      <c r="Q33" s="44">
        <f t="shared" si="15"/>
        <v>7496794.3575801719</v>
      </c>
      <c r="R33" s="44">
        <f t="shared" si="15"/>
        <v>10255349.57728406</v>
      </c>
      <c r="S33" s="44">
        <f t="shared" si="15"/>
        <v>12037753.864304923</v>
      </c>
      <c r="T33" s="44">
        <f t="shared" si="15"/>
        <v>12494914.548619922</v>
      </c>
      <c r="U33" s="44">
        <f t="shared" ca="1" si="15"/>
        <v>13959138.11015664</v>
      </c>
      <c r="V33" s="44">
        <f t="shared" ca="1" si="15"/>
        <v>11352717.012375742</v>
      </c>
      <c r="W33" s="44">
        <f t="shared" ca="1" si="15"/>
        <v>11918596.446168277</v>
      </c>
      <c r="X33" s="44">
        <f t="shared" ca="1" si="15"/>
        <v>11845412.558384407</v>
      </c>
      <c r="Y33" s="44">
        <f t="shared" ca="1" si="15"/>
        <v>13168612.868996566</v>
      </c>
      <c r="Z33" s="44">
        <f t="shared" si="15"/>
        <v>12166782.604673568</v>
      </c>
      <c r="AA33" s="44">
        <f t="shared" ref="AA33:AN33" ca="1" si="16">SUM(AA27:AA32)+AA24</f>
        <v>137014401.39262465</v>
      </c>
      <c r="AB33" s="44">
        <f t="shared" si="16"/>
        <v>11891971.875689924</v>
      </c>
      <c r="AC33" s="44">
        <f t="shared" si="16"/>
        <v>11014025.173477424</v>
      </c>
      <c r="AD33" s="44">
        <f t="shared" si="16"/>
        <v>8917677.4180986714</v>
      </c>
      <c r="AE33" s="44">
        <f t="shared" si="16"/>
        <v>12810633.498622423</v>
      </c>
      <c r="AF33" s="44">
        <f t="shared" si="16"/>
        <v>14085473.739561172</v>
      </c>
      <c r="AG33" s="44">
        <f t="shared" si="16"/>
        <v>14580423.605762251</v>
      </c>
      <c r="AH33" s="44">
        <f t="shared" ca="1" si="16"/>
        <v>16410703.057683149</v>
      </c>
      <c r="AI33" s="44">
        <f t="shared" ca="1" si="16"/>
        <v>13661270.435457025</v>
      </c>
      <c r="AJ33" s="44">
        <f t="shared" ca="1" si="16"/>
        <v>14356343.727697697</v>
      </c>
      <c r="AK33" s="44">
        <f t="shared" ca="1" si="16"/>
        <v>14264863.867967853</v>
      </c>
      <c r="AL33" s="44">
        <f t="shared" ca="1" si="16"/>
        <v>15918864.256233055</v>
      </c>
      <c r="AM33" s="44">
        <f t="shared" si="16"/>
        <v>14666576.425829306</v>
      </c>
      <c r="AN33" s="44">
        <f t="shared" ca="1" si="16"/>
        <v>162578827.08207998</v>
      </c>
      <c r="AO33" s="44">
        <f t="shared" ref="AO33:AZ33" si="17">SUM(AO27:AO32)+AO24</f>
        <v>14117534.188874749</v>
      </c>
      <c r="AP33" s="44">
        <f t="shared" si="17"/>
        <v>13056907.58318894</v>
      </c>
      <c r="AQ33" s="44">
        <f t="shared" si="17"/>
        <v>10599140.338889875</v>
      </c>
      <c r="AR33" s="44">
        <f t="shared" si="17"/>
        <v>15289286.372243501</v>
      </c>
      <c r="AS33" s="44">
        <f t="shared" si="17"/>
        <v>16875356.995401692</v>
      </c>
      <c r="AT33" s="44">
        <f t="shared" si="17"/>
        <v>17469272.3298035</v>
      </c>
      <c r="AU33" s="44">
        <f t="shared" ca="1" si="17"/>
        <v>19733040.651934419</v>
      </c>
      <c r="AV33" s="44">
        <f t="shared" ca="1" si="17"/>
        <v>16437941.633047957</v>
      </c>
      <c r="AW33" s="44">
        <f t="shared" ca="1" si="17"/>
        <v>17247651.221623331</v>
      </c>
      <c r="AX33" s="44">
        <f t="shared" ca="1" si="17"/>
        <v>17208948.712447409</v>
      </c>
      <c r="AY33" s="44">
        <f t="shared" ca="1" si="17"/>
        <v>19169470.904624298</v>
      </c>
      <c r="AZ33" s="44">
        <f t="shared" si="17"/>
        <v>17659536.816714801</v>
      </c>
      <c r="BA33" s="44">
        <f ca="1">SUM(BA27:BA32)+BA24</f>
        <v>194864087.74879444</v>
      </c>
    </row>
    <row r="34" spans="2:53" x14ac:dyDescent="0.35">
      <c r="B34" s="45" t="s">
        <v>1353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74">
        <f>O33/O18</f>
        <v>0.62502778595613362</v>
      </c>
      <c r="P34" s="47">
        <f t="shared" ref="P34:AN34" si="18">P33/P18</f>
        <v>0.62642130601875345</v>
      </c>
      <c r="Q34" s="47">
        <f t="shared" si="18"/>
        <v>0.58550082189522401</v>
      </c>
      <c r="R34" s="74">
        <f t="shared" si="18"/>
        <v>0.55035046111684471</v>
      </c>
      <c r="S34" s="47">
        <f t="shared" si="18"/>
        <v>0.56681399828125478</v>
      </c>
      <c r="T34" s="47">
        <f t="shared" si="18"/>
        <v>0.58457109910499383</v>
      </c>
      <c r="U34" s="47">
        <f t="shared" ca="1" si="18"/>
        <v>0.56738709998000936</v>
      </c>
      <c r="V34" s="47">
        <f t="shared" ca="1" si="18"/>
        <v>0.55623906188613981</v>
      </c>
      <c r="W34" s="47">
        <f t="shared" ca="1" si="18"/>
        <v>0.55753390091091293</v>
      </c>
      <c r="X34" s="47">
        <f t="shared" ca="1" si="18"/>
        <v>0.54608324210352377</v>
      </c>
      <c r="Y34" s="47">
        <f t="shared" ca="1" si="18"/>
        <v>0.54828763074836007</v>
      </c>
      <c r="Z34" s="47">
        <f t="shared" si="18"/>
        <v>0.55091222245609406</v>
      </c>
      <c r="AA34" s="47">
        <f t="shared" ca="1" si="18"/>
        <v>0.56921611128855731</v>
      </c>
      <c r="AB34" s="47">
        <f t="shared" si="18"/>
        <v>0.56385437212063738</v>
      </c>
      <c r="AC34" s="47">
        <f t="shared" si="18"/>
        <v>0.56479653781218342</v>
      </c>
      <c r="AD34" s="47">
        <f t="shared" si="18"/>
        <v>0.55717761044506953</v>
      </c>
      <c r="AE34" s="47">
        <f t="shared" si="18"/>
        <v>0.5499832453323662</v>
      </c>
      <c r="AF34" s="47">
        <f t="shared" si="18"/>
        <v>0.53058693693217718</v>
      </c>
      <c r="AG34" s="47">
        <f t="shared" si="18"/>
        <v>0.54571284786118013</v>
      </c>
      <c r="AH34" s="47">
        <f t="shared" ca="1" si="18"/>
        <v>0.53362728518357949</v>
      </c>
      <c r="AI34" s="47">
        <f t="shared" ca="1" si="18"/>
        <v>0.53547937417326819</v>
      </c>
      <c r="AJ34" s="47">
        <f t="shared" ca="1" si="18"/>
        <v>0.53725442303364335</v>
      </c>
      <c r="AK34" s="47">
        <f t="shared" ca="1" si="18"/>
        <v>0.52609754676186626</v>
      </c>
      <c r="AL34" s="47">
        <f t="shared" ca="1" si="18"/>
        <v>0.53023755525861094</v>
      </c>
      <c r="AM34" s="47">
        <f t="shared" si="18"/>
        <v>0.53128235965830761</v>
      </c>
      <c r="AN34" s="47">
        <f t="shared" ca="1" si="18"/>
        <v>0.54033728886252874</v>
      </c>
      <c r="AO34" s="47">
        <f t="shared" ref="AO34:AZ34" si="19">AO33/AO18</f>
        <v>0.54148523157023465</v>
      </c>
      <c r="AP34" s="47">
        <f t="shared" si="19"/>
        <v>0.5404111299750981</v>
      </c>
      <c r="AQ34" s="47">
        <f t="shared" si="19"/>
        <v>0.52646584794272688</v>
      </c>
      <c r="AR34" s="47">
        <f t="shared" si="19"/>
        <v>0.52919861456564954</v>
      </c>
      <c r="AS34" s="47">
        <f t="shared" si="19"/>
        <v>0.5113978173732594</v>
      </c>
      <c r="AT34" s="47">
        <f t="shared" si="19"/>
        <v>0.53040974776366967</v>
      </c>
      <c r="AU34" s="47">
        <f t="shared" ca="1" si="19"/>
        <v>0.51986658476720304</v>
      </c>
      <c r="AV34" s="47">
        <f t="shared" ca="1" si="19"/>
        <v>0.51881961626509521</v>
      </c>
      <c r="AW34" s="47">
        <f t="shared" ca="1" si="19"/>
        <v>0.52155346931143731</v>
      </c>
      <c r="AX34" s="47">
        <f t="shared" ca="1" si="19"/>
        <v>0.51011873408338204</v>
      </c>
      <c r="AY34" s="47">
        <f t="shared" ca="1" si="19"/>
        <v>0.51601346925226976</v>
      </c>
      <c r="AZ34" s="47">
        <f t="shared" si="19"/>
        <v>0.51581890109302697</v>
      </c>
      <c r="BA34" s="47">
        <f ca="1">BA33/BA18</f>
        <v>0.52239279187546195</v>
      </c>
    </row>
    <row r="35" spans="2:53" x14ac:dyDescent="0.35">
      <c r="B35" s="48" t="s">
        <v>35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35">
        <f>O25-SUM(O27:O32)</f>
        <v>4970682.2041848283</v>
      </c>
      <c r="P35" s="35">
        <f>P25-SUM(P27:P31)</f>
        <v>5436229.0835448289</v>
      </c>
      <c r="Q35" s="35">
        <f>Q25-SUM(Q27:Q31)</f>
        <v>4318672.3097448265</v>
      </c>
      <c r="R35" s="35">
        <f>R25-SUM(R27:R32)</f>
        <v>7469437.65271594</v>
      </c>
      <c r="S35" s="35">
        <f t="shared" ref="S35:AM35" si="20">S25-SUM(S27:S32)</f>
        <v>7884964.0556950802</v>
      </c>
      <c r="T35" s="35">
        <f t="shared" si="20"/>
        <v>8452094.7653800771</v>
      </c>
      <c r="U35" s="35">
        <f t="shared" ca="1" si="20"/>
        <v>10151306.678657718</v>
      </c>
      <c r="V35" s="35">
        <f t="shared" ca="1" si="20"/>
        <v>8648867.6199628115</v>
      </c>
      <c r="W35" s="35">
        <f t="shared" ca="1" si="20"/>
        <v>9031204.9886170663</v>
      </c>
      <c r="X35" s="35">
        <f t="shared" ca="1" si="20"/>
        <v>9412343.4249351397</v>
      </c>
      <c r="Y35" s="35">
        <f t="shared" ca="1" si="20"/>
        <v>10368742.13936322</v>
      </c>
      <c r="Z35" s="35">
        <f t="shared" si="20"/>
        <v>9476314.9098862149</v>
      </c>
      <c r="AA35" s="31">
        <f t="shared" ca="1" si="2"/>
        <v>95620859.83268775</v>
      </c>
      <c r="AB35" s="35">
        <f t="shared" si="20"/>
        <v>8776720.2803100795</v>
      </c>
      <c r="AC35" s="35">
        <f t="shared" si="20"/>
        <v>8096829.7050225791</v>
      </c>
      <c r="AD35" s="35">
        <f t="shared" si="20"/>
        <v>6767310.1081513278</v>
      </c>
      <c r="AE35" s="35">
        <f t="shared" si="20"/>
        <v>10016281.566877579</v>
      </c>
      <c r="AF35" s="35">
        <f t="shared" si="20"/>
        <v>11930553.614188829</v>
      </c>
      <c r="AG35" s="35">
        <f t="shared" si="20"/>
        <v>11603338.036737747</v>
      </c>
      <c r="AH35" s="35">
        <f t="shared" ca="1" si="20"/>
        <v>13727352.928334801</v>
      </c>
      <c r="AI35" s="35">
        <f t="shared" ca="1" si="20"/>
        <v>11340710.354966167</v>
      </c>
      <c r="AJ35" s="35">
        <f t="shared" ca="1" si="20"/>
        <v>11830908.065783985</v>
      </c>
      <c r="AK35" s="35">
        <f t="shared" ca="1" si="20"/>
        <v>12307331.111181578</v>
      </c>
      <c r="AL35" s="35">
        <f t="shared" ca="1" si="20"/>
        <v>13502829.504216675</v>
      </c>
      <c r="AM35" s="35">
        <f t="shared" si="20"/>
        <v>12387295.467370428</v>
      </c>
      <c r="AN35" s="31">
        <f t="shared" ca="1" si="3"/>
        <v>132287460.74314177</v>
      </c>
      <c r="AO35" s="35">
        <f t="shared" ref="AO35:AZ35" si="21">AO25-SUM(AO27:AO32)</f>
        <v>11432901.35112525</v>
      </c>
      <c r="AP35" s="35">
        <f t="shared" si="21"/>
        <v>10620934.566573564</v>
      </c>
      <c r="AQ35" s="35">
        <f t="shared" si="21"/>
        <v>9130833.7376851253</v>
      </c>
      <c r="AR35" s="35">
        <f t="shared" si="21"/>
        <v>13024281.034006499</v>
      </c>
      <c r="AS35" s="35">
        <f t="shared" si="21"/>
        <v>15463165.567010814</v>
      </c>
      <c r="AT35" s="35">
        <f t="shared" si="21"/>
        <v>14807447.612446498</v>
      </c>
      <c r="AU35" s="35">
        <f t="shared" ca="1" si="21"/>
        <v>17465695.342138913</v>
      </c>
      <c r="AV35" s="35">
        <f t="shared" ca="1" si="21"/>
        <v>14611737.861252192</v>
      </c>
      <c r="AW35" s="35">
        <f t="shared" ca="1" si="21"/>
        <v>15160719.524152858</v>
      </c>
      <c r="AX35" s="35">
        <f t="shared" ca="1" si="21"/>
        <v>15851530.370921858</v>
      </c>
      <c r="AY35" s="35">
        <f t="shared" ca="1" si="21"/>
        <v>17236713.441210352</v>
      </c>
      <c r="AZ35" s="35">
        <f t="shared" si="21"/>
        <v>15891668.933419855</v>
      </c>
      <c r="BA35" s="31">
        <f t="shared" ca="1" si="5"/>
        <v>170697629.34194377</v>
      </c>
    </row>
    <row r="36" spans="2:53" x14ac:dyDescent="0.35">
      <c r="B36" s="49" t="s">
        <v>35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73">
        <f>O35/O$22</f>
        <v>0.32035017949024563</v>
      </c>
      <c r="P36" s="41">
        <f t="shared" ref="P36:AN36" si="22">P35/P$22</f>
        <v>0.36058272639666028</v>
      </c>
      <c r="Q36" s="41">
        <f t="shared" si="22"/>
        <v>0.36890817851029539</v>
      </c>
      <c r="R36" s="73">
        <f t="shared" si="22"/>
        <v>0.4214119783662949</v>
      </c>
      <c r="S36" s="41">
        <f t="shared" si="22"/>
        <v>0.39577752831502616</v>
      </c>
      <c r="T36" s="41">
        <f t="shared" si="22"/>
        <v>0.40349887846429194</v>
      </c>
      <c r="U36" s="41">
        <f t="shared" ca="1" si="22"/>
        <v>0.42103357144897008</v>
      </c>
      <c r="V36" s="41">
        <f t="shared" ca="1" si="22"/>
        <v>0.43240912052434716</v>
      </c>
      <c r="W36" s="41">
        <f t="shared" ca="1" si="22"/>
        <v>0.43108785621335421</v>
      </c>
      <c r="X36" s="41">
        <f t="shared" ca="1" si="22"/>
        <v>0.44277220193517985</v>
      </c>
      <c r="Y36" s="41">
        <f t="shared" ca="1" si="22"/>
        <v>0.44052282576697949</v>
      </c>
      <c r="Z36" s="41">
        <f t="shared" si="22"/>
        <v>0.43784467096316926</v>
      </c>
      <c r="AA36" s="41">
        <f t="shared" ca="1" si="22"/>
        <v>0.4114604233036529</v>
      </c>
      <c r="AB36" s="41">
        <f t="shared" si="22"/>
        <v>0.42463839579526796</v>
      </c>
      <c r="AC36" s="41">
        <f t="shared" si="22"/>
        <v>0.42367700223246596</v>
      </c>
      <c r="AD36" s="41">
        <f t="shared" si="22"/>
        <v>0.4314514179131943</v>
      </c>
      <c r="AE36" s="41">
        <f t="shared" si="22"/>
        <v>0.43879260680370791</v>
      </c>
      <c r="AF36" s="41">
        <f t="shared" si="22"/>
        <v>0.45858475823247224</v>
      </c>
      <c r="AG36" s="41">
        <f t="shared" si="22"/>
        <v>0.44315015524369372</v>
      </c>
      <c r="AH36" s="41">
        <f t="shared" ca="1" si="22"/>
        <v>0.45548236205757192</v>
      </c>
      <c r="AI36" s="41">
        <f t="shared" ca="1" si="22"/>
        <v>0.4535924753333998</v>
      </c>
      <c r="AJ36" s="41">
        <f t="shared" ca="1" si="22"/>
        <v>0.45178120098607821</v>
      </c>
      <c r="AK36" s="41">
        <f t="shared" ca="1" si="22"/>
        <v>0.46316576861034053</v>
      </c>
      <c r="AL36" s="41">
        <f t="shared" ca="1" si="22"/>
        <v>0.45894127014427449</v>
      </c>
      <c r="AM36" s="41">
        <f t="shared" si="22"/>
        <v>0.45787514320580858</v>
      </c>
      <c r="AN36" s="41">
        <f t="shared" ca="1" si="22"/>
        <v>0.44863541952803199</v>
      </c>
      <c r="AO36" s="41">
        <f t="shared" ref="AO36:AZ36" si="23">AO35/AO$22</f>
        <v>0.44746404941812784</v>
      </c>
      <c r="AP36" s="41">
        <f t="shared" si="23"/>
        <v>0.44856007145398152</v>
      </c>
      <c r="AQ36" s="41">
        <f t="shared" si="23"/>
        <v>0.46278995107885013</v>
      </c>
      <c r="AR36" s="41">
        <f t="shared" si="23"/>
        <v>0.46000141370852088</v>
      </c>
      <c r="AS36" s="41">
        <f t="shared" si="23"/>
        <v>0.478165492476266</v>
      </c>
      <c r="AT36" s="41">
        <f t="shared" si="23"/>
        <v>0.45876556350645947</v>
      </c>
      <c r="AU36" s="41">
        <f t="shared" ca="1" si="23"/>
        <v>0.46952389309469078</v>
      </c>
      <c r="AV36" s="41">
        <f t="shared" ca="1" si="23"/>
        <v>0.47059222830092329</v>
      </c>
      <c r="AW36" s="41">
        <f t="shared" ca="1" si="23"/>
        <v>0.46780258233526806</v>
      </c>
      <c r="AX36" s="41">
        <f t="shared" ca="1" si="23"/>
        <v>0.47947067950675304</v>
      </c>
      <c r="AY36" s="41">
        <f t="shared" ca="1" si="23"/>
        <v>0.47345564362013293</v>
      </c>
      <c r="AZ36" s="41">
        <f t="shared" si="23"/>
        <v>0.47365418255813579</v>
      </c>
      <c r="BA36" s="41">
        <f ca="1">BA35/BA$22</f>
        <v>0.46694613073932439</v>
      </c>
    </row>
    <row r="37" spans="2:53" x14ac:dyDescent="0.35">
      <c r="B37" s="29" t="s">
        <v>17</v>
      </c>
      <c r="O37" s="159">
        <v>238079.15543903608</v>
      </c>
      <c r="P37" s="159">
        <v>238079.15543903608</v>
      </c>
      <c r="Q37" s="159">
        <v>238079.15543903608</v>
      </c>
      <c r="R37" s="159">
        <v>238079.15543903608</v>
      </c>
      <c r="S37" s="159">
        <v>238079.15543903608</v>
      </c>
      <c r="T37" s="159">
        <v>238079.15543903608</v>
      </c>
      <c r="U37" s="159">
        <v>238079.15543903608</v>
      </c>
      <c r="V37" s="159">
        <f>238079.155439036+75000</f>
        <v>313079.15543903597</v>
      </c>
      <c r="W37" s="159">
        <f t="shared" ref="W37:AZ37" si="24">238079.155439036+75000</f>
        <v>313079.15543903597</v>
      </c>
      <c r="X37" s="159">
        <f t="shared" si="24"/>
        <v>313079.15543903597</v>
      </c>
      <c r="Y37" s="159">
        <f t="shared" si="24"/>
        <v>313079.15543903597</v>
      </c>
      <c r="Z37" s="159">
        <f t="shared" si="24"/>
        <v>313079.15543903597</v>
      </c>
      <c r="AA37" s="31">
        <f t="shared" si="2"/>
        <v>3231949.8652684321</v>
      </c>
      <c r="AB37" s="159">
        <f t="shared" si="24"/>
        <v>313079.15543903597</v>
      </c>
      <c r="AC37" s="159">
        <f t="shared" si="24"/>
        <v>313079.15543903597</v>
      </c>
      <c r="AD37" s="159">
        <f t="shared" si="24"/>
        <v>313079.15543903597</v>
      </c>
      <c r="AE37" s="159">
        <f t="shared" si="24"/>
        <v>313079.15543903597</v>
      </c>
      <c r="AF37" s="159">
        <f t="shared" si="24"/>
        <v>313079.15543903597</v>
      </c>
      <c r="AG37" s="159">
        <f t="shared" si="24"/>
        <v>313079.15543903597</v>
      </c>
      <c r="AH37" s="159">
        <f t="shared" si="24"/>
        <v>313079.15543903597</v>
      </c>
      <c r="AI37" s="159">
        <f t="shared" si="24"/>
        <v>313079.15543903597</v>
      </c>
      <c r="AJ37" s="159">
        <f t="shared" si="24"/>
        <v>313079.15543903597</v>
      </c>
      <c r="AK37" s="159">
        <f t="shared" si="24"/>
        <v>313079.15543903597</v>
      </c>
      <c r="AL37" s="159">
        <f t="shared" si="24"/>
        <v>313079.15543903597</v>
      </c>
      <c r="AM37" s="159">
        <f t="shared" si="24"/>
        <v>313079.15543903597</v>
      </c>
      <c r="AN37" s="31">
        <f t="shared" si="3"/>
        <v>3756949.8652684316</v>
      </c>
      <c r="AO37" s="159">
        <f t="shared" si="24"/>
        <v>313079.15543903597</v>
      </c>
      <c r="AP37" s="159">
        <f t="shared" si="24"/>
        <v>313079.15543903597</v>
      </c>
      <c r="AQ37" s="159">
        <f t="shared" si="24"/>
        <v>313079.15543903597</v>
      </c>
      <c r="AR37" s="159">
        <f t="shared" si="24"/>
        <v>313079.15543903597</v>
      </c>
      <c r="AS37" s="159">
        <f t="shared" si="24"/>
        <v>313079.15543903597</v>
      </c>
      <c r="AT37" s="159">
        <f t="shared" si="24"/>
        <v>313079.15543903597</v>
      </c>
      <c r="AU37" s="159">
        <f t="shared" si="24"/>
        <v>313079.15543903597</v>
      </c>
      <c r="AV37" s="159">
        <f t="shared" si="24"/>
        <v>313079.15543903597</v>
      </c>
      <c r="AW37" s="159">
        <f t="shared" si="24"/>
        <v>313079.15543903597</v>
      </c>
      <c r="AX37" s="159">
        <f t="shared" si="24"/>
        <v>313079.15543903597</v>
      </c>
      <c r="AY37" s="159">
        <f t="shared" si="24"/>
        <v>313079.15543903597</v>
      </c>
      <c r="AZ37" s="159">
        <f t="shared" si="24"/>
        <v>313079.15543903597</v>
      </c>
      <c r="BA37" s="31">
        <f t="shared" si="5"/>
        <v>3756949.8652684316</v>
      </c>
    </row>
    <row r="38" spans="2:53" x14ac:dyDescent="0.35">
      <c r="B38" s="29" t="s">
        <v>39</v>
      </c>
      <c r="O38" s="39">
        <f>O18*ASSUMPTIONS!$C26</f>
        <v>168724.01760000002</v>
      </c>
      <c r="P38" s="39">
        <f>P18*ASSUMPTIONS!$C26</f>
        <v>156006.9786</v>
      </c>
      <c r="Q38" s="39">
        <f>Q18*ASSUMPTIONS!$C26</f>
        <v>128040.7145</v>
      </c>
      <c r="R38" s="39">
        <f>R18*ASSUMPTIONS!$C26</f>
        <v>186342.16379999998</v>
      </c>
      <c r="S38" s="39">
        <f>S18*ASSUMPTIONS!$C26</f>
        <v>212375.73350000003</v>
      </c>
      <c r="T38" s="39">
        <f>T18*ASSUMPTIONS!$C26</f>
        <v>213744.99300000002</v>
      </c>
      <c r="U38" s="39">
        <f ca="1">U18*ASSUMPTIONS!$C26</f>
        <v>246024.94682463631</v>
      </c>
      <c r="V38" s="39">
        <f ca="1">V18*ASSUMPTIONS!$C26</f>
        <v>204097.80237080157</v>
      </c>
      <c r="W38" s="39">
        <f ca="1">W18*ASSUMPTIONS!$C26</f>
        <v>213773.48402842187</v>
      </c>
      <c r="X38" s="39">
        <f ca="1">X18*ASSUMPTIONS!$C26</f>
        <v>216915.87738081173</v>
      </c>
      <c r="Y38" s="39">
        <f ca="1">Y18*ASSUMPTIONS!$C26</f>
        <v>240177.09192203864</v>
      </c>
      <c r="Z38" s="39">
        <f>Z18*ASSUMPTIONS!$C26</f>
        <v>220847.93382203861</v>
      </c>
      <c r="AA38" s="31">
        <f t="shared" ca="1" si="2"/>
        <v>2407071.7373487488</v>
      </c>
      <c r="AB38" s="39">
        <f>AB18*ASSUMPTIONS!$C26</f>
        <v>210905.02200000003</v>
      </c>
      <c r="AC38" s="39">
        <f>AC18*ASSUMPTIONS!$C26</f>
        <v>195008.72325000004</v>
      </c>
      <c r="AD38" s="39">
        <f>AD18*ASSUMPTIONS!$C26</f>
        <v>160050.893125</v>
      </c>
      <c r="AE38" s="39">
        <f>AE18*ASSUMPTIONS!$C26</f>
        <v>232927.70475000003</v>
      </c>
      <c r="AF38" s="39">
        <f>AF18*ASSUMPTIONS!$C26</f>
        <v>265469.666875</v>
      </c>
      <c r="AG38" s="39">
        <f>AG18*ASSUMPTIONS!$C26</f>
        <v>267181.24125000002</v>
      </c>
      <c r="AH38" s="39">
        <f ca="1">AH18*ASSUMPTIONS!$C26</f>
        <v>307531.18353079545</v>
      </c>
      <c r="AI38" s="39">
        <f ca="1">AI18*ASSUMPTIONS!$C26</f>
        <v>255122.25296350196</v>
      </c>
      <c r="AJ38" s="39">
        <f ca="1">AJ18*ASSUMPTIONS!$C26</f>
        <v>267216.85503552738</v>
      </c>
      <c r="AK38" s="39">
        <f ca="1">AK18*ASSUMPTIONS!$C26</f>
        <v>271144.84672601463</v>
      </c>
      <c r="AL38" s="39">
        <f ca="1">AL18*ASSUMPTIONS!$C26</f>
        <v>300221.36490254826</v>
      </c>
      <c r="AM38" s="39">
        <f>AM18*ASSUMPTIONS!$C26</f>
        <v>276059.91727754835</v>
      </c>
      <c r="AN38" s="31">
        <f t="shared" ca="1" si="3"/>
        <v>3008839.6716859359</v>
      </c>
      <c r="AO38" s="39">
        <f>AO18*ASSUMPTIONS!$C26</f>
        <v>260718.73</v>
      </c>
      <c r="AP38" s="39">
        <f>AP18*ASSUMPTIONS!$C26</f>
        <v>241610.63418125003</v>
      </c>
      <c r="AQ38" s="39">
        <f>AQ18*ASSUMPTIONS!$C26</f>
        <v>201326.2660875</v>
      </c>
      <c r="AR38" s="39">
        <f>AR18*ASSUMPTIONS!$C26</f>
        <v>288913.953125</v>
      </c>
      <c r="AS38" s="39">
        <f>AS18*ASSUMPTIONS!$C26</f>
        <v>329984.92410625005</v>
      </c>
      <c r="AT38" s="39">
        <f>AT18*ASSUMPTIONS!$C26</f>
        <v>329354.28512499999</v>
      </c>
      <c r="AU38" s="39">
        <f ca="1">AU18*ASSUMPTIONS!$C26</f>
        <v>379578.93871503399</v>
      </c>
      <c r="AV38" s="39">
        <f ca="1">AV18*ASSUMPTIONS!$C26</f>
        <v>316833.46422755253</v>
      </c>
      <c r="AW38" s="39">
        <f ca="1">AW18*ASSUMPTIONS!$C26</f>
        <v>330697.66067118559</v>
      </c>
      <c r="AX38" s="39">
        <f ca="1">AX18*ASSUMPTIONS!$C26</f>
        <v>337351.82738131902</v>
      </c>
      <c r="AY38" s="39">
        <f ca="1">AY18*ASSUMPTIONS!$C26</f>
        <v>371491.67699831276</v>
      </c>
      <c r="AZ38" s="39">
        <f>AZ18*ASSUMPTIONS!$C26</f>
        <v>342359.24234831281</v>
      </c>
      <c r="BA38" s="31">
        <f t="shared" ca="1" si="5"/>
        <v>3730221.6029667165</v>
      </c>
    </row>
    <row r="39" spans="2:53" x14ac:dyDescent="0.35">
      <c r="B39" s="32" t="s">
        <v>20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40">
        <f>O18*ASSUMPTIONS!$C28</f>
        <v>42181.004400000005</v>
      </c>
      <c r="P39" s="40">
        <f>P18*ASSUMPTIONS!$C28</f>
        <v>39001.744650000001</v>
      </c>
      <c r="Q39" s="40">
        <f>Q18*ASSUMPTIONS!$C28</f>
        <v>32010.178625</v>
      </c>
      <c r="R39" s="40">
        <f>R18*ASSUMPTIONS!$C28</f>
        <v>46585.540949999995</v>
      </c>
      <c r="S39" s="40">
        <f>S18*ASSUMPTIONS!$C28</f>
        <v>53093.933375000008</v>
      </c>
      <c r="T39" s="40">
        <f>T18*ASSUMPTIONS!$C28</f>
        <v>53436.248250000004</v>
      </c>
      <c r="U39" s="40">
        <f ca="1">U18*ASSUMPTIONS!$C28</f>
        <v>61506.236706159078</v>
      </c>
      <c r="V39" s="40">
        <f ca="1">V18*ASSUMPTIONS!$C28</f>
        <v>51024.450592700392</v>
      </c>
      <c r="W39" s="40">
        <f ca="1">W18*ASSUMPTIONS!$C28</f>
        <v>53443.371007105467</v>
      </c>
      <c r="X39" s="40">
        <f ca="1">X18*ASSUMPTIONS!$C28</f>
        <v>54228.969345202931</v>
      </c>
      <c r="Y39" s="40">
        <f ca="1">Y18*ASSUMPTIONS!$C28</f>
        <v>60044.272980509661</v>
      </c>
      <c r="Z39" s="40">
        <f>Z18*ASSUMPTIONS!$C28</f>
        <v>55211.983455509653</v>
      </c>
      <c r="AA39" s="50">
        <f t="shared" ca="1" si="2"/>
        <v>601767.93433718721</v>
      </c>
      <c r="AB39" s="40">
        <f>AB18*ASSUMPTIONS!$C28</f>
        <v>52726.255500000007</v>
      </c>
      <c r="AC39" s="40">
        <f>AC18*ASSUMPTIONS!$C28</f>
        <v>48752.18081250001</v>
      </c>
      <c r="AD39" s="40">
        <f>AD18*ASSUMPTIONS!$C28</f>
        <v>40012.723281250001</v>
      </c>
      <c r="AE39" s="40">
        <f>AE18*ASSUMPTIONS!$C28</f>
        <v>58231.926187500008</v>
      </c>
      <c r="AF39" s="40">
        <f>AF18*ASSUMPTIONS!$C28</f>
        <v>66367.416718749999</v>
      </c>
      <c r="AG39" s="40">
        <f>AG18*ASSUMPTIONS!$C28</f>
        <v>66795.310312500005</v>
      </c>
      <c r="AH39" s="40">
        <f ca="1">AH18*ASSUMPTIONS!$C28</f>
        <v>76882.795882698862</v>
      </c>
      <c r="AI39" s="40">
        <f ca="1">AI18*ASSUMPTIONS!$C28</f>
        <v>63780.56324087549</v>
      </c>
      <c r="AJ39" s="40">
        <f ca="1">AJ18*ASSUMPTIONS!$C28</f>
        <v>66804.213758881844</v>
      </c>
      <c r="AK39" s="40">
        <f ca="1">AK18*ASSUMPTIONS!$C28</f>
        <v>67786.211681503657</v>
      </c>
      <c r="AL39" s="40">
        <f ca="1">AL18*ASSUMPTIONS!$C28</f>
        <v>75055.341225637065</v>
      </c>
      <c r="AM39" s="40">
        <f>AM18*ASSUMPTIONS!$C28</f>
        <v>69014.979319387086</v>
      </c>
      <c r="AN39" s="50">
        <f t="shared" ca="1" si="3"/>
        <v>752209.91792148398</v>
      </c>
      <c r="AO39" s="40">
        <f>AO18*ASSUMPTIONS!$C28</f>
        <v>65179.682500000003</v>
      </c>
      <c r="AP39" s="40">
        <f>AP18*ASSUMPTIONS!$C28</f>
        <v>60402.658545312508</v>
      </c>
      <c r="AQ39" s="40">
        <f>AQ18*ASSUMPTIONS!$C28</f>
        <v>50331.566521875</v>
      </c>
      <c r="AR39" s="40">
        <f>AR18*ASSUMPTIONS!$C28</f>
        <v>72228.48828125</v>
      </c>
      <c r="AS39" s="40">
        <f>AS18*ASSUMPTIONS!$C28</f>
        <v>82496.231026562513</v>
      </c>
      <c r="AT39" s="40">
        <f>AT18*ASSUMPTIONS!$C28</f>
        <v>82338.571281249999</v>
      </c>
      <c r="AU39" s="40">
        <f ca="1">AU18*ASSUMPTIONS!$C28</f>
        <v>94894.734678758497</v>
      </c>
      <c r="AV39" s="40">
        <f ca="1">AV18*ASSUMPTIONS!$C28</f>
        <v>79208.366056888131</v>
      </c>
      <c r="AW39" s="40">
        <f ca="1">AW18*ASSUMPTIONS!$C28</f>
        <v>82674.415167796396</v>
      </c>
      <c r="AX39" s="40">
        <f ca="1">AX18*ASSUMPTIONS!$C28</f>
        <v>84337.956845329754</v>
      </c>
      <c r="AY39" s="40">
        <f ca="1">AY18*ASSUMPTIONS!$C28</f>
        <v>92872.91924957819</v>
      </c>
      <c r="AZ39" s="40">
        <f>AZ18*ASSUMPTIONS!$C28</f>
        <v>85589.810587078202</v>
      </c>
      <c r="BA39" s="50">
        <f t="shared" ca="1" si="5"/>
        <v>932555.40074167913</v>
      </c>
    </row>
    <row r="40" spans="2:53" s="27" customFormat="1" x14ac:dyDescent="0.35">
      <c r="B40" s="27" t="s">
        <v>36</v>
      </c>
      <c r="O40" s="35">
        <f>O35-SUM(O37:O39)</f>
        <v>4521698.0267457925</v>
      </c>
      <c r="P40" s="35">
        <f t="shared" ref="P40:AM40" si="25">P35-SUM(P37:P39)</f>
        <v>5003141.2048557932</v>
      </c>
      <c r="Q40" s="35">
        <f t="shared" si="25"/>
        <v>3920542.2611807906</v>
      </c>
      <c r="R40" s="35">
        <f t="shared" si="25"/>
        <v>6998430.7925269036</v>
      </c>
      <c r="S40" s="35">
        <f t="shared" si="25"/>
        <v>7381415.2333810441</v>
      </c>
      <c r="T40" s="35">
        <f t="shared" si="25"/>
        <v>7946834.3686910411</v>
      </c>
      <c r="U40" s="35">
        <f t="shared" ca="1" si="25"/>
        <v>9605696.3396878857</v>
      </c>
      <c r="V40" s="35">
        <f t="shared" ca="1" si="25"/>
        <v>8080666.2115602735</v>
      </c>
      <c r="W40" s="35">
        <f t="shared" ca="1" si="25"/>
        <v>8450908.9781425036</v>
      </c>
      <c r="X40" s="35">
        <f t="shared" ca="1" si="25"/>
        <v>8828119.4227700885</v>
      </c>
      <c r="Y40" s="35">
        <f t="shared" ca="1" si="25"/>
        <v>9755441.6190216355</v>
      </c>
      <c r="Z40" s="35">
        <f t="shared" si="25"/>
        <v>8887175.8371696305</v>
      </c>
      <c r="AA40" s="31">
        <f t="shared" ca="1" si="2"/>
        <v>89380070.295733377</v>
      </c>
      <c r="AB40" s="35">
        <f t="shared" si="25"/>
        <v>8200009.8473710436</v>
      </c>
      <c r="AC40" s="35">
        <f t="shared" si="25"/>
        <v>7539989.6455210429</v>
      </c>
      <c r="AD40" s="35">
        <f t="shared" si="25"/>
        <v>6254167.336306042</v>
      </c>
      <c r="AE40" s="35">
        <f t="shared" si="25"/>
        <v>9412042.7805010434</v>
      </c>
      <c r="AF40" s="35">
        <f t="shared" si="25"/>
        <v>11285637.375156043</v>
      </c>
      <c r="AG40" s="35">
        <f t="shared" si="25"/>
        <v>10956282.329736212</v>
      </c>
      <c r="AH40" s="35">
        <f t="shared" ca="1" si="25"/>
        <v>13029859.79348227</v>
      </c>
      <c r="AI40" s="35">
        <f t="shared" ca="1" si="25"/>
        <v>10708728.383322753</v>
      </c>
      <c r="AJ40" s="35">
        <f t="shared" ca="1" si="25"/>
        <v>11183807.84155054</v>
      </c>
      <c r="AK40" s="35">
        <f t="shared" ca="1" si="25"/>
        <v>11655320.897335023</v>
      </c>
      <c r="AL40" s="35">
        <f t="shared" ca="1" si="25"/>
        <v>12814473.642649453</v>
      </c>
      <c r="AM40" s="35">
        <f t="shared" si="25"/>
        <v>11729141.415334458</v>
      </c>
      <c r="AN40" s="31">
        <f t="shared" ca="1" si="3"/>
        <v>124769461.28826594</v>
      </c>
      <c r="AO40" s="35">
        <f t="shared" ref="AO40:AZ40" si="26">AO35-SUM(AO37:AO39)</f>
        <v>10793923.783186214</v>
      </c>
      <c r="AP40" s="35">
        <f t="shared" si="26"/>
        <v>10005842.118407965</v>
      </c>
      <c r="AQ40" s="35">
        <f t="shared" si="26"/>
        <v>8566096.7496367134</v>
      </c>
      <c r="AR40" s="35">
        <f t="shared" si="26"/>
        <v>12350059.437161213</v>
      </c>
      <c r="AS40" s="35">
        <f t="shared" si="26"/>
        <v>14737605.256438965</v>
      </c>
      <c r="AT40" s="35">
        <f t="shared" si="26"/>
        <v>14082675.600601213</v>
      </c>
      <c r="AU40" s="35">
        <f t="shared" ca="1" si="26"/>
        <v>16678142.513306085</v>
      </c>
      <c r="AV40" s="35">
        <f t="shared" ca="1" si="26"/>
        <v>13902616.875528716</v>
      </c>
      <c r="AW40" s="35">
        <f t="shared" ca="1" si="26"/>
        <v>14434268.292874841</v>
      </c>
      <c r="AX40" s="35">
        <f t="shared" ca="1" si="26"/>
        <v>15116761.431256173</v>
      </c>
      <c r="AY40" s="35">
        <f t="shared" ca="1" si="26"/>
        <v>16459269.689523425</v>
      </c>
      <c r="AZ40" s="35">
        <f t="shared" si="26"/>
        <v>15150640.725045428</v>
      </c>
      <c r="BA40" s="31">
        <f t="shared" ca="1" si="5"/>
        <v>162277902.47296697</v>
      </c>
    </row>
    <row r="41" spans="2:53" x14ac:dyDescent="0.35">
      <c r="B41" s="49" t="s">
        <v>36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73">
        <f>O40/O$22</f>
        <v>0.29141407858446194</v>
      </c>
      <c r="P41" s="41">
        <f t="shared" ref="P41:AN41" si="27">P40/P$22</f>
        <v>0.33185619451820458</v>
      </c>
      <c r="Q41" s="41">
        <f t="shared" si="27"/>
        <v>0.3348992469471011</v>
      </c>
      <c r="R41" s="73">
        <f t="shared" si="27"/>
        <v>0.39483863482895548</v>
      </c>
      <c r="S41" s="41">
        <f t="shared" si="27"/>
        <v>0.3705024215582049</v>
      </c>
      <c r="T41" s="41">
        <f t="shared" si="27"/>
        <v>0.37937799375396991</v>
      </c>
      <c r="U41" s="41">
        <f t="shared" ca="1" si="27"/>
        <v>0.39840394583447458</v>
      </c>
      <c r="V41" s="41">
        <f t="shared" ca="1" si="27"/>
        <v>0.40400130090170233</v>
      </c>
      <c r="W41" s="41">
        <f t="shared" ca="1" si="27"/>
        <v>0.40338850009864513</v>
      </c>
      <c r="X41" s="41">
        <f t="shared" ca="1" si="27"/>
        <v>0.41528933861585876</v>
      </c>
      <c r="Y41" s="41">
        <f t="shared" ca="1" si="27"/>
        <v>0.41446635000223203</v>
      </c>
      <c r="Z41" s="41">
        <f t="shared" si="27"/>
        <v>0.41062402602913162</v>
      </c>
      <c r="AA41" s="41">
        <f t="shared" ca="1" si="27"/>
        <v>0.38460605377468904</v>
      </c>
      <c r="AB41" s="41">
        <f t="shared" si="27"/>
        <v>0.39673578693224804</v>
      </c>
      <c r="AC41" s="41">
        <f t="shared" si="27"/>
        <v>0.39453963171493933</v>
      </c>
      <c r="AD41" s="41">
        <f t="shared" si="27"/>
        <v>0.39873588205532362</v>
      </c>
      <c r="AE41" s="41">
        <f t="shared" si="27"/>
        <v>0.4123221536284663</v>
      </c>
      <c r="AF41" s="41">
        <f t="shared" si="27"/>
        <v>0.43379556846634809</v>
      </c>
      <c r="AG41" s="41">
        <f t="shared" si="27"/>
        <v>0.41843805635446191</v>
      </c>
      <c r="AH41" s="41">
        <f t="shared" ca="1" si="27"/>
        <v>0.4323390931229027</v>
      </c>
      <c r="AI41" s="41">
        <f t="shared" ca="1" si="27"/>
        <v>0.42831519922712064</v>
      </c>
      <c r="AJ41" s="41">
        <f t="shared" ca="1" si="27"/>
        <v>0.42707069568614769</v>
      </c>
      <c r="AK41" s="41">
        <f t="shared" ca="1" si="27"/>
        <v>0.43862845754672036</v>
      </c>
      <c r="AL41" s="41">
        <f t="shared" ca="1" si="27"/>
        <v>0.43554506912431323</v>
      </c>
      <c r="AM41" s="41">
        <f t="shared" si="27"/>
        <v>0.43354760685041527</v>
      </c>
      <c r="AN41" s="41">
        <f t="shared" ca="1" si="27"/>
        <v>0.42313911911904106</v>
      </c>
      <c r="AO41" s="41">
        <f t="shared" ref="AO41:AZ41" si="28">AO40/AO$22</f>
        <v>0.42245556895842312</v>
      </c>
      <c r="AP41" s="41">
        <f t="shared" si="28"/>
        <v>0.42258251639321476</v>
      </c>
      <c r="AQ41" s="41">
        <f t="shared" si="28"/>
        <v>0.43416665001131793</v>
      </c>
      <c r="AR41" s="41">
        <f t="shared" si="28"/>
        <v>0.43618874513266148</v>
      </c>
      <c r="AS41" s="41">
        <f t="shared" si="28"/>
        <v>0.45572908372656085</v>
      </c>
      <c r="AT41" s="41">
        <f t="shared" si="28"/>
        <v>0.43631061724357839</v>
      </c>
      <c r="AU41" s="41">
        <f t="shared" ca="1" si="28"/>
        <v>0.44835239874718652</v>
      </c>
      <c r="AV41" s="41">
        <f t="shared" ca="1" si="28"/>
        <v>0.44775395759176345</v>
      </c>
      <c r="AW41" s="41">
        <f t="shared" ca="1" si="28"/>
        <v>0.44538703923448764</v>
      </c>
      <c r="AX41" s="41">
        <f t="shared" ca="1" si="28"/>
        <v>0.45724568579710945</v>
      </c>
      <c r="AY41" s="41">
        <f t="shared" ca="1" si="28"/>
        <v>0.45210092695162063</v>
      </c>
      <c r="AZ41" s="41">
        <f t="shared" si="28"/>
        <v>0.45156769738400898</v>
      </c>
      <c r="BA41" s="41">
        <f ca="1">BA40/BA$22</f>
        <v>0.4439138314712725</v>
      </c>
    </row>
    <row r="42" spans="2:53" x14ac:dyDescent="0.35">
      <c r="B42" s="29" t="s">
        <v>18</v>
      </c>
      <c r="O42" s="159">
        <v>474620.72</v>
      </c>
      <c r="P42" s="159">
        <v>355548.01</v>
      </c>
      <c r="Q42" s="159">
        <v>338894.36</v>
      </c>
      <c r="R42" s="159">
        <v>375227.51985006098</v>
      </c>
      <c r="S42" s="159">
        <v>375227.51985006098</v>
      </c>
      <c r="T42" s="159">
        <v>375227.51985006098</v>
      </c>
      <c r="U42" s="159">
        <f t="shared" ref="U42:Z42" si="29">375227.519850061+160000</f>
        <v>535227.51985006104</v>
      </c>
      <c r="V42" s="159">
        <f t="shared" si="29"/>
        <v>535227.51985006104</v>
      </c>
      <c r="W42" s="159">
        <f t="shared" si="29"/>
        <v>535227.51985006104</v>
      </c>
      <c r="X42" s="159">
        <f t="shared" si="29"/>
        <v>535227.51985006104</v>
      </c>
      <c r="Y42" s="159">
        <f t="shared" si="29"/>
        <v>535227.51985006104</v>
      </c>
      <c r="Z42" s="159">
        <f t="shared" si="29"/>
        <v>535227.51985006104</v>
      </c>
      <c r="AA42" s="31">
        <f t="shared" ref="AA42:AA52" si="30">SUM(O42:Z42)</f>
        <v>5506110.7686505504</v>
      </c>
      <c r="AB42" s="159">
        <f>Z42*1.07</f>
        <v>572693.44623956538</v>
      </c>
      <c r="AC42" s="159">
        <f>AB42</f>
        <v>572693.44623956538</v>
      </c>
      <c r="AD42" s="159">
        <f t="shared" ref="AD42:AM46" si="31">AC42</f>
        <v>572693.44623956538</v>
      </c>
      <c r="AE42" s="159">
        <f t="shared" si="31"/>
        <v>572693.44623956538</v>
      </c>
      <c r="AF42" s="159">
        <f t="shared" si="31"/>
        <v>572693.44623956538</v>
      </c>
      <c r="AG42" s="159">
        <f t="shared" si="31"/>
        <v>572693.44623956538</v>
      </c>
      <c r="AH42" s="159">
        <f t="shared" si="31"/>
        <v>572693.44623956538</v>
      </c>
      <c r="AI42" s="159">
        <f t="shared" si="31"/>
        <v>572693.44623956538</v>
      </c>
      <c r="AJ42" s="159">
        <f t="shared" si="31"/>
        <v>572693.44623956538</v>
      </c>
      <c r="AK42" s="159">
        <f t="shared" si="31"/>
        <v>572693.44623956538</v>
      </c>
      <c r="AL42" s="159">
        <f t="shared" si="31"/>
        <v>572693.44623956538</v>
      </c>
      <c r="AM42" s="159">
        <f t="shared" si="31"/>
        <v>572693.44623956538</v>
      </c>
      <c r="AN42" s="31">
        <f t="shared" ref="AN42:AN52" si="32">SUM(AB42:AM42)</f>
        <v>6872321.3548747851</v>
      </c>
      <c r="AO42" s="159">
        <f>AM42*1.07</f>
        <v>612781.98747633502</v>
      </c>
      <c r="AP42" s="159">
        <f>AO42</f>
        <v>612781.98747633502</v>
      </c>
      <c r="AQ42" s="159">
        <f t="shared" ref="AQ42:AZ42" si="33">AP42</f>
        <v>612781.98747633502</v>
      </c>
      <c r="AR42" s="159">
        <f t="shared" si="33"/>
        <v>612781.98747633502</v>
      </c>
      <c r="AS42" s="159">
        <f t="shared" si="33"/>
        <v>612781.98747633502</v>
      </c>
      <c r="AT42" s="159">
        <f t="shared" si="33"/>
        <v>612781.98747633502</v>
      </c>
      <c r="AU42" s="159">
        <f t="shared" si="33"/>
        <v>612781.98747633502</v>
      </c>
      <c r="AV42" s="159">
        <f t="shared" si="33"/>
        <v>612781.98747633502</v>
      </c>
      <c r="AW42" s="159">
        <f t="shared" si="33"/>
        <v>612781.98747633502</v>
      </c>
      <c r="AX42" s="159">
        <f t="shared" si="33"/>
        <v>612781.98747633502</v>
      </c>
      <c r="AY42" s="159">
        <f t="shared" si="33"/>
        <v>612781.98747633502</v>
      </c>
      <c r="AZ42" s="159">
        <f t="shared" si="33"/>
        <v>612781.98747633502</v>
      </c>
      <c r="BA42" s="31">
        <f t="shared" ref="BA42:BA52" si="34">SUM(AO42:AZ42)</f>
        <v>7353383.8497160198</v>
      </c>
    </row>
    <row r="43" spans="2:53" x14ac:dyDescent="0.35">
      <c r="B43" s="29" t="s">
        <v>1572</v>
      </c>
      <c r="O43" s="159">
        <v>0</v>
      </c>
      <c r="P43" s="159">
        <v>105115.69</v>
      </c>
      <c r="Q43" s="159">
        <v>155596.78</v>
      </c>
      <c r="R43" s="159">
        <v>191005.53599028659</v>
      </c>
      <c r="S43" s="159">
        <v>191005.53599028659</v>
      </c>
      <c r="T43" s="159">
        <v>191005.53599028659</v>
      </c>
      <c r="U43" s="159">
        <v>191005.53599028659</v>
      </c>
      <c r="V43" s="159">
        <v>191005.53599028659</v>
      </c>
      <c r="W43" s="159">
        <v>191005.53599028659</v>
      </c>
      <c r="X43" s="159">
        <v>191005.53599028659</v>
      </c>
      <c r="Y43" s="159">
        <v>191005.53599028659</v>
      </c>
      <c r="Z43" s="159">
        <v>191005.53599028659</v>
      </c>
      <c r="AA43" s="31">
        <f t="shared" si="30"/>
        <v>1979762.2939125795</v>
      </c>
      <c r="AB43" s="159">
        <f>Z43*1.07</f>
        <v>204375.92350960665</v>
      </c>
      <c r="AC43" s="159">
        <f>AB43</f>
        <v>204375.92350960665</v>
      </c>
      <c r="AD43" s="159">
        <f t="shared" si="31"/>
        <v>204375.92350960665</v>
      </c>
      <c r="AE43" s="159">
        <f t="shared" si="31"/>
        <v>204375.92350960665</v>
      </c>
      <c r="AF43" s="159">
        <f t="shared" si="31"/>
        <v>204375.92350960665</v>
      </c>
      <c r="AG43" s="159">
        <f t="shared" si="31"/>
        <v>204375.92350960665</v>
      </c>
      <c r="AH43" s="159">
        <f t="shared" si="31"/>
        <v>204375.92350960665</v>
      </c>
      <c r="AI43" s="159">
        <f t="shared" si="31"/>
        <v>204375.92350960665</v>
      </c>
      <c r="AJ43" s="159">
        <f t="shared" si="31"/>
        <v>204375.92350960665</v>
      </c>
      <c r="AK43" s="159">
        <f t="shared" si="31"/>
        <v>204375.92350960665</v>
      </c>
      <c r="AL43" s="159">
        <f t="shared" si="31"/>
        <v>204375.92350960665</v>
      </c>
      <c r="AM43" s="159">
        <f t="shared" si="31"/>
        <v>204375.92350960665</v>
      </c>
      <c r="AN43" s="31">
        <f t="shared" si="32"/>
        <v>2452511.08211528</v>
      </c>
      <c r="AO43" s="159">
        <f>AM43*1.07</f>
        <v>218682.23815527913</v>
      </c>
      <c r="AP43" s="159">
        <f t="shared" ref="AP43:AZ46" si="35">AO43</f>
        <v>218682.23815527913</v>
      </c>
      <c r="AQ43" s="159">
        <f t="shared" si="35"/>
        <v>218682.23815527913</v>
      </c>
      <c r="AR43" s="159">
        <f t="shared" si="35"/>
        <v>218682.23815527913</v>
      </c>
      <c r="AS43" s="159">
        <f t="shared" si="35"/>
        <v>218682.23815527913</v>
      </c>
      <c r="AT43" s="159">
        <f t="shared" si="35"/>
        <v>218682.23815527913</v>
      </c>
      <c r="AU43" s="159">
        <f t="shared" si="35"/>
        <v>218682.23815527913</v>
      </c>
      <c r="AV43" s="159">
        <f t="shared" si="35"/>
        <v>218682.23815527913</v>
      </c>
      <c r="AW43" s="159">
        <f t="shared" si="35"/>
        <v>218682.23815527913</v>
      </c>
      <c r="AX43" s="159">
        <f t="shared" si="35"/>
        <v>218682.23815527913</v>
      </c>
      <c r="AY43" s="159">
        <f t="shared" si="35"/>
        <v>218682.23815527913</v>
      </c>
      <c r="AZ43" s="159">
        <f t="shared" si="35"/>
        <v>218682.23815527913</v>
      </c>
      <c r="BA43" s="31">
        <f t="shared" si="34"/>
        <v>2624186.8578633498</v>
      </c>
    </row>
    <row r="44" spans="2:53" x14ac:dyDescent="0.35">
      <c r="B44" s="29" t="s">
        <v>1573</v>
      </c>
      <c r="O44" s="159">
        <v>0</v>
      </c>
      <c r="P44" s="159">
        <v>39287.839999999997</v>
      </c>
      <c r="Q44" s="159">
        <v>79409.36</v>
      </c>
      <c r="R44" s="159">
        <v>87622.044463912331</v>
      </c>
      <c r="S44" s="159">
        <v>87622.044463912331</v>
      </c>
      <c r="T44" s="159">
        <v>87622.044463912331</v>
      </c>
      <c r="U44" s="159">
        <v>87622.044463912331</v>
      </c>
      <c r="V44" s="159">
        <v>87622.044463912331</v>
      </c>
      <c r="W44" s="159">
        <v>87622.044463912331</v>
      </c>
      <c r="X44" s="159">
        <v>87622.044463912331</v>
      </c>
      <c r="Y44" s="159">
        <v>87622.044463912331</v>
      </c>
      <c r="Z44" s="159">
        <v>87622.044463912331</v>
      </c>
      <c r="AA44" s="31">
        <f t="shared" si="30"/>
        <v>907295.60017521109</v>
      </c>
      <c r="AB44" s="159">
        <f>Z44*1.07</f>
        <v>93755.587576386199</v>
      </c>
      <c r="AC44" s="159">
        <f>AB44</f>
        <v>93755.587576386199</v>
      </c>
      <c r="AD44" s="159">
        <f t="shared" si="31"/>
        <v>93755.587576386199</v>
      </c>
      <c r="AE44" s="159">
        <f t="shared" si="31"/>
        <v>93755.587576386199</v>
      </c>
      <c r="AF44" s="159">
        <f t="shared" si="31"/>
        <v>93755.587576386199</v>
      </c>
      <c r="AG44" s="159">
        <f t="shared" si="31"/>
        <v>93755.587576386199</v>
      </c>
      <c r="AH44" s="159">
        <f t="shared" si="31"/>
        <v>93755.587576386199</v>
      </c>
      <c r="AI44" s="159">
        <f t="shared" si="31"/>
        <v>93755.587576386199</v>
      </c>
      <c r="AJ44" s="159">
        <f t="shared" si="31"/>
        <v>93755.587576386199</v>
      </c>
      <c r="AK44" s="159">
        <f t="shared" si="31"/>
        <v>93755.587576386199</v>
      </c>
      <c r="AL44" s="159">
        <f t="shared" si="31"/>
        <v>93755.587576386199</v>
      </c>
      <c r="AM44" s="159">
        <f t="shared" si="31"/>
        <v>93755.587576386199</v>
      </c>
      <c r="AN44" s="31">
        <f t="shared" si="32"/>
        <v>1125067.0509166343</v>
      </c>
      <c r="AO44" s="159">
        <f>AM44*1.07</f>
        <v>100318.47870673324</v>
      </c>
      <c r="AP44" s="159">
        <f t="shared" si="35"/>
        <v>100318.47870673324</v>
      </c>
      <c r="AQ44" s="159">
        <f t="shared" si="35"/>
        <v>100318.47870673324</v>
      </c>
      <c r="AR44" s="159">
        <f t="shared" si="35"/>
        <v>100318.47870673324</v>
      </c>
      <c r="AS44" s="159">
        <f t="shared" si="35"/>
        <v>100318.47870673324</v>
      </c>
      <c r="AT44" s="159">
        <f t="shared" si="35"/>
        <v>100318.47870673324</v>
      </c>
      <c r="AU44" s="159">
        <f t="shared" si="35"/>
        <v>100318.47870673324</v>
      </c>
      <c r="AV44" s="159">
        <f t="shared" si="35"/>
        <v>100318.47870673324</v>
      </c>
      <c r="AW44" s="159">
        <f t="shared" si="35"/>
        <v>100318.47870673324</v>
      </c>
      <c r="AX44" s="159">
        <f t="shared" si="35"/>
        <v>100318.47870673324</v>
      </c>
      <c r="AY44" s="159">
        <f t="shared" si="35"/>
        <v>100318.47870673324</v>
      </c>
      <c r="AZ44" s="159">
        <f t="shared" si="35"/>
        <v>100318.47870673324</v>
      </c>
      <c r="BA44" s="31">
        <f t="shared" si="34"/>
        <v>1203821.7444807987</v>
      </c>
    </row>
    <row r="45" spans="2:53" x14ac:dyDescent="0.35">
      <c r="B45" s="29" t="s">
        <v>909</v>
      </c>
      <c r="O45" s="39"/>
      <c r="P45" s="39"/>
      <c r="Q45" s="39"/>
      <c r="R45" s="159">
        <f>130519.684320294+'Subtotal Nom_Enero'!$E4</f>
        <v>321525.22031058057</v>
      </c>
      <c r="S45" s="159">
        <f>130519.684320294+'Subtotal Nom_Enero'!$E4</f>
        <v>321525.22031058057</v>
      </c>
      <c r="T45" s="159">
        <f>130519.684320294+'Subtotal Nom_Enero'!$E4</f>
        <v>321525.22031058057</v>
      </c>
      <c r="U45" s="159">
        <f>130519.684320294+'Subtotal Nom_Enero'!$E4</f>
        <v>321525.22031058057</v>
      </c>
      <c r="V45" s="159">
        <f>130519.684320294+'Subtotal Nom_Enero'!$E4</f>
        <v>321525.22031058057</v>
      </c>
      <c r="W45" s="159">
        <f>130519.684320294+'Subtotal Nom_Enero'!$E4</f>
        <v>321525.22031058057</v>
      </c>
      <c r="X45" s="159">
        <f>130519.684320294+'Subtotal Nom_Enero'!$E4</f>
        <v>321525.22031058057</v>
      </c>
      <c r="Y45" s="159">
        <f>130519.684320294+'Subtotal Nom_Enero'!$E4</f>
        <v>321525.22031058057</v>
      </c>
      <c r="Z45" s="159">
        <f>130519.684320294+'Subtotal Nom_Enero'!$E4</f>
        <v>321525.22031058057</v>
      </c>
      <c r="AA45" s="31">
        <f t="shared" si="30"/>
        <v>2893726.9827952245</v>
      </c>
      <c r="AB45" s="159">
        <f>Z45*1.07</f>
        <v>344031.98573232122</v>
      </c>
      <c r="AC45" s="159">
        <f>AB45</f>
        <v>344031.98573232122</v>
      </c>
      <c r="AD45" s="159">
        <f t="shared" si="31"/>
        <v>344031.98573232122</v>
      </c>
      <c r="AE45" s="159">
        <f t="shared" si="31"/>
        <v>344031.98573232122</v>
      </c>
      <c r="AF45" s="159">
        <f t="shared" si="31"/>
        <v>344031.98573232122</v>
      </c>
      <c r="AG45" s="159">
        <f t="shared" si="31"/>
        <v>344031.98573232122</v>
      </c>
      <c r="AH45" s="159">
        <f t="shared" si="31"/>
        <v>344031.98573232122</v>
      </c>
      <c r="AI45" s="159">
        <f t="shared" si="31"/>
        <v>344031.98573232122</v>
      </c>
      <c r="AJ45" s="159">
        <f t="shared" si="31"/>
        <v>344031.98573232122</v>
      </c>
      <c r="AK45" s="159">
        <f t="shared" si="31"/>
        <v>344031.98573232122</v>
      </c>
      <c r="AL45" s="159">
        <f t="shared" si="31"/>
        <v>344031.98573232122</v>
      </c>
      <c r="AM45" s="159">
        <f t="shared" si="31"/>
        <v>344031.98573232122</v>
      </c>
      <c r="AN45" s="31">
        <f t="shared" si="32"/>
        <v>4128383.8287878544</v>
      </c>
      <c r="AO45" s="159">
        <f>AM45*1.07</f>
        <v>368114.22473358375</v>
      </c>
      <c r="AP45" s="159">
        <f t="shared" si="35"/>
        <v>368114.22473358375</v>
      </c>
      <c r="AQ45" s="159">
        <f t="shared" si="35"/>
        <v>368114.22473358375</v>
      </c>
      <c r="AR45" s="159">
        <f t="shared" si="35"/>
        <v>368114.22473358375</v>
      </c>
      <c r="AS45" s="159">
        <f t="shared" si="35"/>
        <v>368114.22473358375</v>
      </c>
      <c r="AT45" s="159">
        <f t="shared" si="35"/>
        <v>368114.22473358375</v>
      </c>
      <c r="AU45" s="159">
        <f t="shared" si="35"/>
        <v>368114.22473358375</v>
      </c>
      <c r="AV45" s="159">
        <f t="shared" si="35"/>
        <v>368114.22473358375</v>
      </c>
      <c r="AW45" s="159">
        <f t="shared" si="35"/>
        <v>368114.22473358375</v>
      </c>
      <c r="AX45" s="159">
        <f t="shared" si="35"/>
        <v>368114.22473358375</v>
      </c>
      <c r="AY45" s="159">
        <f t="shared" si="35"/>
        <v>368114.22473358375</v>
      </c>
      <c r="AZ45" s="159">
        <f t="shared" si="35"/>
        <v>368114.22473358375</v>
      </c>
      <c r="BA45" s="31">
        <f t="shared" si="34"/>
        <v>4417370.6968030045</v>
      </c>
    </row>
    <row r="46" spans="2:53" x14ac:dyDescent="0.35">
      <c r="B46" s="29" t="s">
        <v>21</v>
      </c>
      <c r="O46" s="159">
        <v>468529.30470539199</v>
      </c>
      <c r="P46" s="159">
        <v>468529.30470539199</v>
      </c>
      <c r="Q46" s="159">
        <v>468529.30470539199</v>
      </c>
      <c r="R46" s="159">
        <v>468529.30470539199</v>
      </c>
      <c r="S46" s="159">
        <v>468529.30470539199</v>
      </c>
      <c r="T46" s="159">
        <v>468529.30470539199</v>
      </c>
      <c r="U46" s="159">
        <v>468529.30470539199</v>
      </c>
      <c r="V46" s="159">
        <v>468529.30470539199</v>
      </c>
      <c r="W46" s="159">
        <v>468529.30470539199</v>
      </c>
      <c r="X46" s="159">
        <v>468529.30470539199</v>
      </c>
      <c r="Y46" s="159">
        <v>468529.30470539199</v>
      </c>
      <c r="Z46" s="159">
        <v>468529.30470539199</v>
      </c>
      <c r="AA46" s="31">
        <f t="shared" si="30"/>
        <v>5622351.6564647034</v>
      </c>
      <c r="AB46" s="159">
        <f>Z46*1.07</f>
        <v>501326.35603476944</v>
      </c>
      <c r="AC46" s="159">
        <f>AB46</f>
        <v>501326.35603476944</v>
      </c>
      <c r="AD46" s="159">
        <f t="shared" si="31"/>
        <v>501326.35603476944</v>
      </c>
      <c r="AE46" s="159">
        <f t="shared" si="31"/>
        <v>501326.35603476944</v>
      </c>
      <c r="AF46" s="159">
        <f t="shared" si="31"/>
        <v>501326.35603476944</v>
      </c>
      <c r="AG46" s="159">
        <f t="shared" si="31"/>
        <v>501326.35603476944</v>
      </c>
      <c r="AH46" s="159">
        <f t="shared" si="31"/>
        <v>501326.35603476944</v>
      </c>
      <c r="AI46" s="159">
        <f t="shared" si="31"/>
        <v>501326.35603476944</v>
      </c>
      <c r="AJ46" s="159">
        <f t="shared" si="31"/>
        <v>501326.35603476944</v>
      </c>
      <c r="AK46" s="159">
        <f t="shared" si="31"/>
        <v>501326.35603476944</v>
      </c>
      <c r="AL46" s="159">
        <f t="shared" si="31"/>
        <v>501326.35603476944</v>
      </c>
      <c r="AM46" s="159">
        <f t="shared" si="31"/>
        <v>501326.35603476944</v>
      </c>
      <c r="AN46" s="31">
        <f t="shared" si="32"/>
        <v>6015916.2724172352</v>
      </c>
      <c r="AO46" s="159">
        <f>AM46*1.07</f>
        <v>536419.20095720328</v>
      </c>
      <c r="AP46" s="159">
        <f t="shared" si="35"/>
        <v>536419.20095720328</v>
      </c>
      <c r="AQ46" s="159">
        <f t="shared" si="35"/>
        <v>536419.20095720328</v>
      </c>
      <c r="AR46" s="159">
        <f t="shared" si="35"/>
        <v>536419.20095720328</v>
      </c>
      <c r="AS46" s="159">
        <f t="shared" si="35"/>
        <v>536419.20095720328</v>
      </c>
      <c r="AT46" s="159">
        <f t="shared" si="35"/>
        <v>536419.20095720328</v>
      </c>
      <c r="AU46" s="159">
        <f t="shared" si="35"/>
        <v>536419.20095720328</v>
      </c>
      <c r="AV46" s="159">
        <f t="shared" si="35"/>
        <v>536419.20095720328</v>
      </c>
      <c r="AW46" s="159">
        <f t="shared" si="35"/>
        <v>536419.20095720328</v>
      </c>
      <c r="AX46" s="159">
        <f t="shared" si="35"/>
        <v>536419.20095720328</v>
      </c>
      <c r="AY46" s="159">
        <f t="shared" si="35"/>
        <v>536419.20095720328</v>
      </c>
      <c r="AZ46" s="159">
        <f t="shared" si="35"/>
        <v>536419.20095720328</v>
      </c>
      <c r="BA46" s="31">
        <f t="shared" si="34"/>
        <v>6437030.4114864394</v>
      </c>
    </row>
    <row r="47" spans="2:53" x14ac:dyDescent="0.35">
      <c r="B47" s="29" t="s">
        <v>23</v>
      </c>
      <c r="O47" s="39">
        <f>INDEX(BIOMIRAL_PVT_LBL[], MATCH("TOTAL INC NUEVOS CANALES", BIOMIRAL_PVT_LBL[Column3], 0), MATCH("TMI - TRADE MARKETING INVESTMENT-ENE", 'BIOMIRAL PVT LBL'!2:2, 0))</f>
        <v>525730.20483139204</v>
      </c>
      <c r="P47" s="39">
        <f ca="1">OFFSET(INDEX(BIOMIRAL_PVT_LBL[], MATCH("TOTAL INC NUEVOS CANALES", BIOMIRAL_PVT_LBL[Column3], 0), MATCH("TMI - TRADE MARKETING INVESTMENT-ENE", 'BIOMIRAL PVT LBL'!2:2, 0)),0,O11)</f>
        <v>465458.4644833795</v>
      </c>
      <c r="Q47" s="39">
        <f ca="1">OFFSET(INDEX(BIOMIRAL_PVT_LBL[], MATCH("TOTAL INC NUEVOS CANALES", BIOMIRAL_PVT_LBL[Column3], 0), MATCH("TMI - TRADE MARKETING INVESTMENT-ENE", 'BIOMIRAL PVT LBL'!2:2, 0)),0,P11)</f>
        <v>453556.09583621897</v>
      </c>
      <c r="R47" s="39">
        <f ca="1">OFFSET(INDEX(BIOMIRAL_PVT_LBL[], MATCH("TOTAL INC NUEVOS CANALES", BIOMIRAL_PVT_LBL[Column3], 0), MATCH("TMI - TRADE MARKETING INVESTMENT-ENE", 'BIOMIRAL PVT LBL'!2:2, 0)),0,Q11)</f>
        <v>503895.63395944878</v>
      </c>
      <c r="S47" s="39">
        <f ca="1">OFFSET(INDEX(BIOMIRAL_PVT_LBL[], MATCH("TOTAL INC NUEVOS CANALES", BIOMIRAL_PVT_LBL[Column3], 0), MATCH("TMI - TRADE MARKETING INVESTMENT-ENE", 'BIOMIRAL PVT LBL'!2:2, 0)),0,R11)</f>
        <v>535432.33211832261</v>
      </c>
      <c r="T47" s="39">
        <f ca="1">OFFSET(INDEX(BIOMIRAL_PVT_LBL[], MATCH("TOTAL INC NUEVOS CANALES", BIOMIRAL_PVT_LBL[Column3], 0), MATCH("TMI - TRADE MARKETING INVESTMENT-ENE", 'BIOMIRAL PVT LBL'!2:2, 0)),0,S11)</f>
        <v>474596.11505275342</v>
      </c>
      <c r="U47" s="39">
        <f ca="1">OFFSET(INDEX(BIOMIRAL_PVT_LBL[], MATCH("TOTAL INC NUEVOS CANALES", BIOMIRAL_PVT_LBL[Column3], 0), MATCH("TMI - TRADE MARKETING INVESTMENT-ENE", 'BIOMIRAL PVT LBL'!2:2, 0)),0,T11)</f>
        <v>533708.97005682439</v>
      </c>
      <c r="V47" s="39">
        <f ca="1">OFFSET(INDEX(BIOMIRAL_PVT_LBL[], MATCH("TOTAL INC NUEVOS CANALES", BIOMIRAL_PVT_LBL[Column3], 0), MATCH("TMI - TRADE MARKETING INVESTMENT-ENE", 'BIOMIRAL PVT LBL'!2:2, 0)),0,U11)</f>
        <v>547297.73903335398</v>
      </c>
      <c r="W47" s="39">
        <f ca="1">OFFSET(INDEX(BIOMIRAL_PVT_LBL[], MATCH("TOTAL INC NUEVOS CANALES", BIOMIRAL_PVT_LBL[Column3], 0), MATCH("TMI - TRADE MARKETING INVESTMENT-ENE", 'BIOMIRAL PVT LBL'!2:2, 0)),0,V11)</f>
        <v>503181.55512450478</v>
      </c>
      <c r="X47" s="39">
        <f ca="1">OFFSET(INDEX(BIOMIRAL_PVT_LBL[], MATCH("TOTAL INC NUEVOS CANALES", BIOMIRAL_PVT_LBL[Column3], 0), MATCH("TMI - TRADE MARKETING INVESTMENT-ENE", 'BIOMIRAL PVT LBL'!2:2, 0)),0,W11)</f>
        <v>614386.9062370148</v>
      </c>
      <c r="Y47" s="39">
        <f ca="1">OFFSET(INDEX(BIOMIRAL_PVT_LBL[], MATCH("TOTAL INC NUEVOS CANALES", BIOMIRAL_PVT_LBL[Column3], 0), MATCH("TMI - TRADE MARKETING INVESTMENT-ENE", 'BIOMIRAL PVT LBL'!2:2, 0)),0,X11)</f>
        <v>578804.63150554616</v>
      </c>
      <c r="Z47" s="39">
        <f ca="1">OFFSET(INDEX(BIOMIRAL_PVT_LBL[], MATCH("TOTAL INC NUEVOS CANALES", BIOMIRAL_PVT_LBL[Column3], 0), MATCH("TMI - TRADE MARKETING INVESTMENT-ENE", 'BIOMIRAL PVT LBL'!2:2, 0)),0,Y11)</f>
        <v>657419.38541761541</v>
      </c>
      <c r="AA47" s="31">
        <f t="shared" ca="1" si="30"/>
        <v>6393468.0336563746</v>
      </c>
      <c r="AB47" s="39">
        <f>ASSUMPTIONS!$C$31*(AB17+AB16)</f>
        <v>430346.93</v>
      </c>
      <c r="AC47" s="39">
        <f>ASSUMPTIONS!$C$31*(AC17+AC16)</f>
        <v>410205.21750000003</v>
      </c>
      <c r="AD47" s="39">
        <f>ASSUMPTIONS!$C$31*(AD17+AD16)</f>
        <v>487806.95437500003</v>
      </c>
      <c r="AE47" s="39">
        <f>ASSUMPTIONS!$C$31*(AE17+AE16)</f>
        <v>537530.43000000005</v>
      </c>
      <c r="AF47" s="39">
        <f>ASSUMPTIONS!$C$31*(AF17+AF16)</f>
        <v>601003.11812500004</v>
      </c>
      <c r="AG47" s="39">
        <f>ASSUMPTIONS!$C$31*(AG17+AG16)</f>
        <v>479929.5625</v>
      </c>
      <c r="AH47" s="39">
        <f ca="1">ASSUMPTIONS!$C$31*(AH17+AH16)</f>
        <v>578821.20515397703</v>
      </c>
      <c r="AI47" s="39">
        <f ca="1">ASSUMPTIONS!$C$31*(AI17+AI16)</f>
        <v>583008.62731750985</v>
      </c>
      <c r="AJ47" s="39">
        <f ca="1">ASSUMPTIONS!$C$31*(AJ17+AJ16)</f>
        <v>543227.91892763681</v>
      </c>
      <c r="AK47" s="39">
        <f ca="1">ASSUMPTIONS!$C$31*(AK17+AK16)</f>
        <v>645076.94050507329</v>
      </c>
      <c r="AL47" s="39">
        <f ca="1">ASSUMPTIONS!$C$31*(AL17+AL16)</f>
        <v>615806.11201274151</v>
      </c>
      <c r="AM47" s="39">
        <f>ASSUMPTIONS!$C$31*(AM17+AM16)</f>
        <v>601936.36201274151</v>
      </c>
      <c r="AN47" s="31">
        <f t="shared" ca="1" si="32"/>
        <v>6514699.3784296792</v>
      </c>
      <c r="AO47" s="39">
        <f>ASSUMPTIONS!$C$31*(AO17+AO16)</f>
        <v>554579.83400000003</v>
      </c>
      <c r="AP47" s="39">
        <f>ASSUMPTIONS!$C$31*(AP17+AP16)</f>
        <v>530247.09240625007</v>
      </c>
      <c r="AQ47" s="39">
        <f>ASSUMPTIONS!$C$31*(AQ17+AQ16)</f>
        <v>631694.31693750015</v>
      </c>
      <c r="AR47" s="39">
        <f>ASSUMPTIONS!$C$31*(AR17+AR16)</f>
        <v>692040.05312500009</v>
      </c>
      <c r="AS47" s="39">
        <f>ASSUMPTIONS!$C$31*(AS17+AS16)</f>
        <v>778310.3610312501</v>
      </c>
      <c r="AT47" s="39">
        <f>ASSUMPTIONS!$C$31*(AT17+AT16)</f>
        <v>619599.453125</v>
      </c>
      <c r="AU47" s="39">
        <f ca="1">ASSUMPTIONS!$C$31*(AU17+AU16)</f>
        <v>747293.03857517021</v>
      </c>
      <c r="AV47" s="39">
        <f ca="1">ASSUMPTIONS!$C$31*(AV17+AV16)</f>
        <v>753044.15613776282</v>
      </c>
      <c r="AW47" s="39">
        <f ca="1">ASSUMPTIONS!$C$31*(AW17+AW16)</f>
        <v>702060.67585592798</v>
      </c>
      <c r="AX47" s="39">
        <f ca="1">ASSUMPTIONS!$C$31*(AX17+AX16)</f>
        <v>833982.38515659526</v>
      </c>
      <c r="AY47" s="39">
        <f ca="1">ASSUMPTIONS!$C$31*(AY17+AY16)</f>
        <v>795097.52999156388</v>
      </c>
      <c r="AZ47" s="39">
        <f>ASSUMPTIONS!$C$31*(AZ17+AZ16)</f>
        <v>777760.34249156388</v>
      </c>
      <c r="BA47" s="31">
        <f t="shared" ca="1" si="34"/>
        <v>8415709.2388335839</v>
      </c>
    </row>
    <row r="48" spans="2:53" x14ac:dyDescent="0.35">
      <c r="B48" s="29" t="s">
        <v>24</v>
      </c>
      <c r="O48" s="39">
        <f>ASSUMPTIONS!$C$31*(O16+O17)</f>
        <v>344277.54399999999</v>
      </c>
      <c r="P48" s="39">
        <f>ASSUMPTIONS!$C$31*(P16+P17)</f>
        <v>328164.17400000006</v>
      </c>
      <c r="Q48" s="39">
        <f>ASSUMPTIONS!$C$31*(Q16+Q17)</f>
        <v>390245.56349999999</v>
      </c>
      <c r="R48" s="39">
        <f>ASSUMPTIONS!$C$31*(R16+R17)</f>
        <v>430024.34399999998</v>
      </c>
      <c r="S48" s="39">
        <f>ASSUMPTIONS!$C$31*(S16+S17)</f>
        <v>480802.49450000003</v>
      </c>
      <c r="T48" s="39">
        <f>ASSUMPTIONS!$C$31*(T16+T17)</f>
        <v>383943.65</v>
      </c>
      <c r="U48" s="39">
        <f ca="1">ASSUMPTIONS!$C$31*(U16+U17)</f>
        <v>463056.96412318165</v>
      </c>
      <c r="V48" s="39">
        <f ca="1">ASSUMPTIONS!$C$31*(V16+V17)</f>
        <v>466406.90185400791</v>
      </c>
      <c r="W48" s="39">
        <f ca="1">ASSUMPTIONS!$C$31*(W16+W17)</f>
        <v>434582.33514210948</v>
      </c>
      <c r="X48" s="39">
        <f ca="1">ASSUMPTIONS!$C$31*(X16+X17)</f>
        <v>516061.55240405857</v>
      </c>
      <c r="Y48" s="39">
        <f ca="1">ASSUMPTIONS!$C$31*(Y16+Y17)</f>
        <v>492644.88961019315</v>
      </c>
      <c r="Z48" s="39">
        <f>ASSUMPTIONS!$C$31*(Z16+Z17)</f>
        <v>481549.08961019316</v>
      </c>
      <c r="AA48" s="31">
        <f t="shared" ca="1" si="30"/>
        <v>5211759.5027437434</v>
      </c>
      <c r="AB48" s="39">
        <f>ASSUMPTIONS!$C$32*(AB16+AB17)</f>
        <v>516416.31599999993</v>
      </c>
      <c r="AC48" s="39">
        <f>ASSUMPTIONS!$C$32*(AC16+AC17)</f>
        <v>492246.261</v>
      </c>
      <c r="AD48" s="39">
        <f>ASSUMPTIONS!$C$32*(AD16+AD17)</f>
        <v>585368.34525000001</v>
      </c>
      <c r="AE48" s="39">
        <f>ASSUMPTIONS!$C$32*(AE16+AE17)</f>
        <v>645036.51599999995</v>
      </c>
      <c r="AF48" s="39">
        <f>ASSUMPTIONS!$C$32*(AF16+AF17)</f>
        <v>721203.74175000004</v>
      </c>
      <c r="AG48" s="39">
        <f>ASSUMPTIONS!$C$32*(AG16+AG17)</f>
        <v>575915.47499999998</v>
      </c>
      <c r="AH48" s="39">
        <f ca="1">ASSUMPTIONS!$C$32*(AH16+AH17)</f>
        <v>694585.44618477242</v>
      </c>
      <c r="AI48" s="39">
        <f ca="1">ASSUMPTIONS!$C$32*(AI16+AI17)</f>
        <v>699610.35278101172</v>
      </c>
      <c r="AJ48" s="39">
        <f ca="1">ASSUMPTIONS!$C$32*(AJ16+AJ17)</f>
        <v>651873.5027131642</v>
      </c>
      <c r="AK48" s="39">
        <f ca="1">ASSUMPTIONS!$C$32*(AK16+AK17)</f>
        <v>774092.32860608783</v>
      </c>
      <c r="AL48" s="39">
        <f ca="1">ASSUMPTIONS!$C$32*(AL16+AL17)</f>
        <v>738967.33441528969</v>
      </c>
      <c r="AM48" s="39">
        <f>ASSUMPTIONS!$C$32*(AM16+AM17)</f>
        <v>722323.63441528974</v>
      </c>
      <c r="AN48" s="31">
        <f t="shared" ca="1" si="32"/>
        <v>7817639.254115615</v>
      </c>
      <c r="AO48" s="39">
        <f>ASSUMPTIONS!$C$32*(AO16+AO17)</f>
        <v>665495.80079999997</v>
      </c>
      <c r="AP48" s="39">
        <f>ASSUMPTIONS!$C$32*(AP16+AP17)</f>
        <v>636296.51088750002</v>
      </c>
      <c r="AQ48" s="39">
        <f>ASSUMPTIONS!$C$32*(AQ16+AQ17)</f>
        <v>758033.18032500008</v>
      </c>
      <c r="AR48" s="39">
        <f>ASSUMPTIONS!$C$32*(AR16+AR17)</f>
        <v>830448.06374999997</v>
      </c>
      <c r="AS48" s="39">
        <f>ASSUMPTIONS!$C$32*(AS16+AS17)</f>
        <v>933972.43323750014</v>
      </c>
      <c r="AT48" s="39">
        <f>ASSUMPTIONS!$C$32*(AT16+AT17)</f>
        <v>743519.34375</v>
      </c>
      <c r="AU48" s="39">
        <f ca="1">ASSUMPTIONS!$C$32*(AU16+AU17)</f>
        <v>896751.64629020414</v>
      </c>
      <c r="AV48" s="39">
        <f ca="1">ASSUMPTIONS!$C$32*(AV16+AV17)</f>
        <v>903652.98736531532</v>
      </c>
      <c r="AW48" s="39">
        <f ca="1">ASSUMPTIONS!$C$32*(AW16+AW17)</f>
        <v>842472.81102711346</v>
      </c>
      <c r="AX48" s="39">
        <f ca="1">ASSUMPTIONS!$C$32*(AX16+AX17)</f>
        <v>1000778.8621879142</v>
      </c>
      <c r="AY48" s="39">
        <f ca="1">ASSUMPTIONS!$C$32*(AY16+AY17)</f>
        <v>954117.0359898766</v>
      </c>
      <c r="AZ48" s="39">
        <f>ASSUMPTIONS!$C$32*(AZ16+AZ17)</f>
        <v>933312.4109898766</v>
      </c>
      <c r="BA48" s="31">
        <f t="shared" ca="1" si="34"/>
        <v>10098851.086600302</v>
      </c>
    </row>
    <row r="49" spans="2:53" x14ac:dyDescent="0.35">
      <c r="B49" s="29" t="s">
        <v>996</v>
      </c>
      <c r="O49" s="39">
        <f>Gastos!T49</f>
        <v>25000</v>
      </c>
      <c r="P49" s="39">
        <f>Gastos!U49</f>
        <v>25000</v>
      </c>
      <c r="Q49" s="39">
        <f>Gastos!V49</f>
        <v>25000</v>
      </c>
      <c r="R49" s="39">
        <f>Gastos!W49</f>
        <v>25000</v>
      </c>
      <c r="S49" s="39">
        <f>Gastos!X49</f>
        <v>25000</v>
      </c>
      <c r="T49" s="39">
        <f>Gastos!Y49</f>
        <v>25000</v>
      </c>
      <c r="U49" s="39">
        <f>Gastos!Z49</f>
        <v>25000</v>
      </c>
      <c r="V49" s="39">
        <f>Gastos!AA49</f>
        <v>25000</v>
      </c>
      <c r="W49" s="39">
        <f>Gastos!AB49</f>
        <v>25000</v>
      </c>
      <c r="X49" s="39">
        <f>Gastos!AC49</f>
        <v>25000</v>
      </c>
      <c r="Y49" s="39">
        <f>Gastos!AD49</f>
        <v>25000</v>
      </c>
      <c r="Z49" s="39">
        <f>Gastos!AE49</f>
        <v>25000</v>
      </c>
      <c r="AA49" s="31">
        <f t="shared" si="30"/>
        <v>300000</v>
      </c>
      <c r="AB49" s="39">
        <f>Gastos!AG49</f>
        <v>50000</v>
      </c>
      <c r="AC49" s="39">
        <f>Gastos!AH49</f>
        <v>50000</v>
      </c>
      <c r="AD49" s="39">
        <f>Gastos!AI49</f>
        <v>50000</v>
      </c>
      <c r="AE49" s="39">
        <f>Gastos!AJ49</f>
        <v>50000</v>
      </c>
      <c r="AF49" s="39">
        <f>Gastos!AK49</f>
        <v>50000</v>
      </c>
      <c r="AG49" s="39">
        <f>Gastos!AL49</f>
        <v>50000</v>
      </c>
      <c r="AH49" s="39">
        <f>Gastos!AM49</f>
        <v>50000</v>
      </c>
      <c r="AI49" s="39">
        <f>Gastos!AN49</f>
        <v>50000</v>
      </c>
      <c r="AJ49" s="39">
        <f>Gastos!AO49</f>
        <v>50000</v>
      </c>
      <c r="AK49" s="39">
        <f>Gastos!AP49</f>
        <v>50000</v>
      </c>
      <c r="AL49" s="39">
        <f>Gastos!AQ49</f>
        <v>50000</v>
      </c>
      <c r="AM49" s="39">
        <f>Gastos!AR49</f>
        <v>50000</v>
      </c>
      <c r="AN49" s="31">
        <f t="shared" si="32"/>
        <v>600000</v>
      </c>
      <c r="AO49" s="39">
        <f>Gastos!AT49</f>
        <v>75000</v>
      </c>
      <c r="AP49" s="39">
        <f>Gastos!AU49</f>
        <v>75000</v>
      </c>
      <c r="AQ49" s="39">
        <f>Gastos!AV49</f>
        <v>75000</v>
      </c>
      <c r="AR49" s="39">
        <f>Gastos!AW49</f>
        <v>75000</v>
      </c>
      <c r="AS49" s="39">
        <f>Gastos!AX49</f>
        <v>75000</v>
      </c>
      <c r="AT49" s="39">
        <f>Gastos!AY49</f>
        <v>75000</v>
      </c>
      <c r="AU49" s="39">
        <f>Gastos!AZ49</f>
        <v>75000</v>
      </c>
      <c r="AV49" s="39">
        <f>Gastos!BA49</f>
        <v>75000</v>
      </c>
      <c r="AW49" s="39">
        <f>Gastos!BB49</f>
        <v>75000</v>
      </c>
      <c r="AX49" s="39">
        <f>Gastos!BC49</f>
        <v>75000</v>
      </c>
      <c r="AY49" s="39">
        <f>Gastos!BD49</f>
        <v>75000</v>
      </c>
      <c r="AZ49" s="39">
        <f>Gastos!BE49</f>
        <v>75000</v>
      </c>
      <c r="BA49" s="31">
        <f t="shared" si="34"/>
        <v>900000</v>
      </c>
    </row>
    <row r="50" spans="2:53" x14ac:dyDescent="0.35">
      <c r="B50" s="29" t="s">
        <v>25</v>
      </c>
      <c r="O50" s="39">
        <v>224607.71097219529</v>
      </c>
      <c r="P50" s="39">
        <v>224607.71097219529</v>
      </c>
      <c r="Q50" s="39">
        <v>224607.71097219529</v>
      </c>
      <c r="R50" s="159">
        <v>224607.71097219529</v>
      </c>
      <c r="S50" s="159">
        <v>224607.71097219529</v>
      </c>
      <c r="T50" s="159">
        <v>224607.71097219529</v>
      </c>
      <c r="U50" s="159">
        <v>224607.71097219529</v>
      </c>
      <c r="V50" s="159">
        <f>224607.710972195+70000</f>
        <v>294607.71097219503</v>
      </c>
      <c r="W50" s="159">
        <f>224607.710972195+70000</f>
        <v>294607.71097219503</v>
      </c>
      <c r="X50" s="159">
        <f>224607.710972195+70000</f>
        <v>294607.71097219503</v>
      </c>
      <c r="Y50" s="159">
        <f>224607.710972195+70000</f>
        <v>294607.71097219503</v>
      </c>
      <c r="Z50" s="159">
        <f>224607.710972195+70000</f>
        <v>294607.71097219503</v>
      </c>
      <c r="AA50" s="31">
        <f t="shared" si="30"/>
        <v>3045292.5316663422</v>
      </c>
      <c r="AB50" s="159">
        <f>Z50*1.07</f>
        <v>315230.25074024871</v>
      </c>
      <c r="AC50" s="159">
        <f>AB50</f>
        <v>315230.25074024871</v>
      </c>
      <c r="AD50" s="159">
        <f t="shared" ref="AD50:AM50" si="36">AC50</f>
        <v>315230.25074024871</v>
      </c>
      <c r="AE50" s="159">
        <f t="shared" si="36"/>
        <v>315230.25074024871</v>
      </c>
      <c r="AF50" s="159">
        <f t="shared" si="36"/>
        <v>315230.25074024871</v>
      </c>
      <c r="AG50" s="159">
        <f t="shared" si="36"/>
        <v>315230.25074024871</v>
      </c>
      <c r="AH50" s="159">
        <f t="shared" si="36"/>
        <v>315230.25074024871</v>
      </c>
      <c r="AI50" s="159">
        <f t="shared" si="36"/>
        <v>315230.25074024871</v>
      </c>
      <c r="AJ50" s="159">
        <f t="shared" si="36"/>
        <v>315230.25074024871</v>
      </c>
      <c r="AK50" s="159">
        <f t="shared" si="36"/>
        <v>315230.25074024871</v>
      </c>
      <c r="AL50" s="159">
        <f t="shared" si="36"/>
        <v>315230.25074024871</v>
      </c>
      <c r="AM50" s="159">
        <f t="shared" si="36"/>
        <v>315230.25074024871</v>
      </c>
      <c r="AN50" s="31">
        <f t="shared" si="32"/>
        <v>3782763.0088829845</v>
      </c>
      <c r="AO50" s="159">
        <f>AM50*1.07</f>
        <v>337296.36829206615</v>
      </c>
      <c r="AP50" s="159">
        <f t="shared" ref="AP50:AZ50" si="37">AO50</f>
        <v>337296.36829206615</v>
      </c>
      <c r="AQ50" s="159">
        <f t="shared" si="37"/>
        <v>337296.36829206615</v>
      </c>
      <c r="AR50" s="159">
        <f t="shared" si="37"/>
        <v>337296.36829206615</v>
      </c>
      <c r="AS50" s="159">
        <f t="shared" si="37"/>
        <v>337296.36829206615</v>
      </c>
      <c r="AT50" s="159">
        <f t="shared" si="37"/>
        <v>337296.36829206615</v>
      </c>
      <c r="AU50" s="159">
        <f t="shared" si="37"/>
        <v>337296.36829206615</v>
      </c>
      <c r="AV50" s="159">
        <f t="shared" si="37"/>
        <v>337296.36829206615</v>
      </c>
      <c r="AW50" s="159">
        <f t="shared" si="37"/>
        <v>337296.36829206615</v>
      </c>
      <c r="AX50" s="159">
        <f t="shared" si="37"/>
        <v>337296.36829206615</v>
      </c>
      <c r="AY50" s="159">
        <f t="shared" si="37"/>
        <v>337296.36829206615</v>
      </c>
      <c r="AZ50" s="159">
        <f t="shared" si="37"/>
        <v>337296.36829206615</v>
      </c>
      <c r="BA50" s="31">
        <f t="shared" si="34"/>
        <v>4047556.4195047948</v>
      </c>
    </row>
    <row r="51" spans="2:53" x14ac:dyDescent="0.35">
      <c r="B51" s="29" t="s">
        <v>40</v>
      </c>
      <c r="O51" s="39">
        <f>O$18*ASSUMPTIONS!$C34</f>
        <v>84362.008800000011</v>
      </c>
      <c r="P51" s="39">
        <f>P$18*ASSUMPTIONS!$C34</f>
        <v>78003.489300000001</v>
      </c>
      <c r="Q51" s="39">
        <f>Q$18*ASSUMPTIONS!$C34</f>
        <v>64020.357250000001</v>
      </c>
      <c r="R51" s="39">
        <f>R$18*ASSUMPTIONS!$C34</f>
        <v>93171.08189999999</v>
      </c>
      <c r="S51" s="39">
        <f>S$18*ASSUMPTIONS!$C34</f>
        <v>106187.86675000002</v>
      </c>
      <c r="T51" s="39">
        <f>T$18*ASSUMPTIONS!$C34</f>
        <v>106872.49650000001</v>
      </c>
      <c r="U51" s="39">
        <f ca="1">U$18*ASSUMPTIONS!$C34</f>
        <v>123012.47341231816</v>
      </c>
      <c r="V51" s="39">
        <f ca="1">V$18*ASSUMPTIONS!$C34</f>
        <v>102048.90118540078</v>
      </c>
      <c r="W51" s="39">
        <f ca="1">W$18*ASSUMPTIONS!$C34</f>
        <v>106886.74201421093</v>
      </c>
      <c r="X51" s="39">
        <f ca="1">X$18*ASSUMPTIONS!$C34</f>
        <v>108457.93869040586</v>
      </c>
      <c r="Y51" s="39">
        <f ca="1">Y$18*ASSUMPTIONS!$C34</f>
        <v>120088.54596101932</v>
      </c>
      <c r="Z51" s="39">
        <f>Z$18*ASSUMPTIONS!$C34</f>
        <v>110423.96691101931</v>
      </c>
      <c r="AA51" s="31">
        <f t="shared" ca="1" si="30"/>
        <v>1203535.8686743744</v>
      </c>
      <c r="AB51" s="39">
        <f>AB$18*ASSUMPTIONS!$C34</f>
        <v>105452.51100000001</v>
      </c>
      <c r="AC51" s="39">
        <f>AC$18*ASSUMPTIONS!$C34</f>
        <v>97504.36162500002</v>
      </c>
      <c r="AD51" s="39">
        <f>AD$18*ASSUMPTIONS!$C34</f>
        <v>80025.446562500001</v>
      </c>
      <c r="AE51" s="39">
        <f>AE$18*ASSUMPTIONS!$C34</f>
        <v>116463.85237500002</v>
      </c>
      <c r="AF51" s="39">
        <f>AF$18*ASSUMPTIONS!$C34</f>
        <v>132734.8334375</v>
      </c>
      <c r="AG51" s="39">
        <f>AG$18*ASSUMPTIONS!$C34</f>
        <v>133590.62062500001</v>
      </c>
      <c r="AH51" s="39">
        <f ca="1">AH$18*ASSUMPTIONS!$C34</f>
        <v>153765.59176539772</v>
      </c>
      <c r="AI51" s="39">
        <f ca="1">AI$18*ASSUMPTIONS!$C34</f>
        <v>127561.12648175098</v>
      </c>
      <c r="AJ51" s="39">
        <f ca="1">AJ$18*ASSUMPTIONS!$C34</f>
        <v>133608.42751776369</v>
      </c>
      <c r="AK51" s="39">
        <f ca="1">AK$18*ASSUMPTIONS!$C34</f>
        <v>135572.42336300731</v>
      </c>
      <c r="AL51" s="39">
        <f ca="1">AL$18*ASSUMPTIONS!$C34</f>
        <v>150110.68245127413</v>
      </c>
      <c r="AM51" s="39">
        <f>AM$18*ASSUMPTIONS!$C34</f>
        <v>138029.95863877417</v>
      </c>
      <c r="AN51" s="31">
        <f t="shared" ca="1" si="32"/>
        <v>1504419.835842968</v>
      </c>
      <c r="AO51" s="39">
        <f>AO$18*ASSUMPTIONS!$C34</f>
        <v>130359.36500000001</v>
      </c>
      <c r="AP51" s="39">
        <f>AP$18*ASSUMPTIONS!$C34</f>
        <v>120805.31709062502</v>
      </c>
      <c r="AQ51" s="39">
        <f>AQ$18*ASSUMPTIONS!$C34</f>
        <v>100663.13304375</v>
      </c>
      <c r="AR51" s="39">
        <f>AR$18*ASSUMPTIONS!$C34</f>
        <v>144456.9765625</v>
      </c>
      <c r="AS51" s="39">
        <f>AS$18*ASSUMPTIONS!$C34</f>
        <v>164992.46205312503</v>
      </c>
      <c r="AT51" s="39">
        <f>AT$18*ASSUMPTIONS!$C34</f>
        <v>164677.1425625</v>
      </c>
      <c r="AU51" s="39">
        <f ca="1">AU$18*ASSUMPTIONS!$C34</f>
        <v>189789.46935751699</v>
      </c>
      <c r="AV51" s="39">
        <f ca="1">AV$18*ASSUMPTIONS!$C34</f>
        <v>158416.73211377626</v>
      </c>
      <c r="AW51" s="39">
        <f ca="1">AW$18*ASSUMPTIONS!$C34</f>
        <v>165348.83033559279</v>
      </c>
      <c r="AX51" s="39">
        <f ca="1">AX$18*ASSUMPTIONS!$C34</f>
        <v>168675.91369065951</v>
      </c>
      <c r="AY51" s="39">
        <f ca="1">AY$18*ASSUMPTIONS!$C34</f>
        <v>185745.83849915638</v>
      </c>
      <c r="AZ51" s="39">
        <f>AZ$18*ASSUMPTIONS!$C34</f>
        <v>171179.6211741564</v>
      </c>
      <c r="BA51" s="31">
        <f t="shared" ca="1" si="34"/>
        <v>1865110.8014833583</v>
      </c>
    </row>
    <row r="52" spans="2:53" x14ac:dyDescent="0.35">
      <c r="B52" s="29" t="s">
        <v>26</v>
      </c>
      <c r="O52" s="39">
        <v>323102.10727204254</v>
      </c>
      <c r="P52" s="39">
        <v>323102.10727204254</v>
      </c>
      <c r="Q52" s="39">
        <v>323102.10727204254</v>
      </c>
      <c r="R52" s="159">
        <v>323102.10727204254</v>
      </c>
      <c r="S52" s="159">
        <v>323102.10727204254</v>
      </c>
      <c r="T52" s="159">
        <v>323102.10727204254</v>
      </c>
      <c r="U52" s="159">
        <v>323102.10727204254</v>
      </c>
      <c r="V52" s="159">
        <v>323102.10727204254</v>
      </c>
      <c r="W52" s="159">
        <v>323102.10727204254</v>
      </c>
      <c r="X52" s="159">
        <v>323102.10727204254</v>
      </c>
      <c r="Y52" s="159">
        <v>323102.10727204254</v>
      </c>
      <c r="Z52" s="159">
        <v>323102.10727204254</v>
      </c>
      <c r="AA52" s="31">
        <f t="shared" si="30"/>
        <v>3877225.2872645096</v>
      </c>
      <c r="AB52" s="159">
        <f>Z52*1.07</f>
        <v>345719.25478108553</v>
      </c>
      <c r="AC52" s="159">
        <f>AB52</f>
        <v>345719.25478108553</v>
      </c>
      <c r="AD52" s="159">
        <f t="shared" ref="AD52:AM52" si="38">AC52</f>
        <v>345719.25478108553</v>
      </c>
      <c r="AE52" s="159">
        <f t="shared" si="38"/>
        <v>345719.25478108553</v>
      </c>
      <c r="AF52" s="159">
        <f t="shared" si="38"/>
        <v>345719.25478108553</v>
      </c>
      <c r="AG52" s="159">
        <f t="shared" si="38"/>
        <v>345719.25478108553</v>
      </c>
      <c r="AH52" s="159">
        <f t="shared" si="38"/>
        <v>345719.25478108553</v>
      </c>
      <c r="AI52" s="159">
        <f t="shared" si="38"/>
        <v>345719.25478108553</v>
      </c>
      <c r="AJ52" s="159">
        <f t="shared" si="38"/>
        <v>345719.25478108553</v>
      </c>
      <c r="AK52" s="159">
        <f t="shared" si="38"/>
        <v>345719.25478108553</v>
      </c>
      <c r="AL52" s="159">
        <f t="shared" si="38"/>
        <v>345719.25478108553</v>
      </c>
      <c r="AM52" s="159">
        <f t="shared" si="38"/>
        <v>345719.25478108553</v>
      </c>
      <c r="AN52" s="31">
        <f t="shared" si="32"/>
        <v>4148631.0573730264</v>
      </c>
      <c r="AO52" s="159">
        <f>AM52*1.07</f>
        <v>369919.60261576151</v>
      </c>
      <c r="AP52" s="159">
        <f t="shared" ref="AP52:AZ52" si="39">AO52</f>
        <v>369919.60261576151</v>
      </c>
      <c r="AQ52" s="159">
        <f t="shared" si="39"/>
        <v>369919.60261576151</v>
      </c>
      <c r="AR52" s="159">
        <f t="shared" si="39"/>
        <v>369919.60261576151</v>
      </c>
      <c r="AS52" s="159">
        <f t="shared" si="39"/>
        <v>369919.60261576151</v>
      </c>
      <c r="AT52" s="159">
        <f t="shared" si="39"/>
        <v>369919.60261576151</v>
      </c>
      <c r="AU52" s="159">
        <f t="shared" si="39"/>
        <v>369919.60261576151</v>
      </c>
      <c r="AV52" s="159">
        <f t="shared" si="39"/>
        <v>369919.60261576151</v>
      </c>
      <c r="AW52" s="159">
        <f t="shared" si="39"/>
        <v>369919.60261576151</v>
      </c>
      <c r="AX52" s="159">
        <f t="shared" si="39"/>
        <v>369919.60261576151</v>
      </c>
      <c r="AY52" s="159">
        <f t="shared" si="39"/>
        <v>369919.60261576151</v>
      </c>
      <c r="AZ52" s="159">
        <f t="shared" si="39"/>
        <v>369919.60261576151</v>
      </c>
      <c r="BA52" s="31">
        <f t="shared" si="34"/>
        <v>4439035.2313891379</v>
      </c>
    </row>
    <row r="53" spans="2:53" x14ac:dyDescent="0.35">
      <c r="B53" s="29" t="s">
        <v>1570</v>
      </c>
      <c r="O53" s="39">
        <f>'Subtotal Nom_Enero'!$E7</f>
        <v>679204.6794791735</v>
      </c>
      <c r="P53" s="39">
        <f>'Subtotal Nom_Enero'!$E7</f>
        <v>679204.6794791735</v>
      </c>
      <c r="Q53" s="39">
        <f>'Subtotal Nom_Enero'!$E7</f>
        <v>679204.6794791735</v>
      </c>
      <c r="R53" s="39">
        <f>'Subtotal Nom_Enero'!$E7</f>
        <v>679204.6794791735</v>
      </c>
      <c r="S53" s="39">
        <f>'Subtotal Nom_Enero'!$E7</f>
        <v>679204.6794791735</v>
      </c>
      <c r="T53" s="39">
        <f>'Subtotal Nom_Enero'!$E7</f>
        <v>679204.6794791735</v>
      </c>
      <c r="U53" s="39">
        <f>'Subtotal Nom_Enero'!$E7</f>
        <v>679204.6794791735</v>
      </c>
      <c r="V53" s="39">
        <f>'Subtotal Nom_Enero'!$E7</f>
        <v>679204.6794791735</v>
      </c>
      <c r="W53" s="39">
        <f>'Subtotal Nom_Enero'!$E7</f>
        <v>679204.6794791735</v>
      </c>
      <c r="X53" s="39">
        <f>'Subtotal Nom_Enero'!$E7</f>
        <v>679204.6794791735</v>
      </c>
      <c r="Y53" s="39">
        <f>'Subtotal Nom_Enero'!$E7</f>
        <v>679204.6794791735</v>
      </c>
      <c r="Z53" s="39">
        <f>'Subtotal Nom_Enero'!$E7</f>
        <v>679204.6794791735</v>
      </c>
      <c r="AA53" s="31">
        <f t="shared" si="2"/>
        <v>8150456.1537500815</v>
      </c>
      <c r="AB53" s="39">
        <f>'Subtotal Nom_Enero'!$E7</f>
        <v>679204.6794791735</v>
      </c>
      <c r="AC53" s="39">
        <f>'Subtotal Nom_Enero'!$E7</f>
        <v>679204.6794791735</v>
      </c>
      <c r="AD53" s="39">
        <f>'Subtotal Nom_Enero'!$E7</f>
        <v>679204.6794791735</v>
      </c>
      <c r="AE53" s="39">
        <f>'Subtotal Nom_Enero'!$E7</f>
        <v>679204.6794791735</v>
      </c>
      <c r="AF53" s="39">
        <f>'Subtotal Nom_Enero'!$E7</f>
        <v>679204.6794791735</v>
      </c>
      <c r="AG53" s="39">
        <f>'Subtotal Nom_Enero'!$E7</f>
        <v>679204.6794791735</v>
      </c>
      <c r="AH53" s="39">
        <f>'Subtotal Nom_Enero'!$E7</f>
        <v>679204.6794791735</v>
      </c>
      <c r="AI53" s="39">
        <f>'Subtotal Nom_Enero'!$E7</f>
        <v>679204.6794791735</v>
      </c>
      <c r="AJ53" s="39">
        <f>'Subtotal Nom_Enero'!$E7</f>
        <v>679204.6794791735</v>
      </c>
      <c r="AK53" s="39">
        <f>'Subtotal Nom_Enero'!$E7</f>
        <v>679204.6794791735</v>
      </c>
      <c r="AL53" s="39">
        <f>'Subtotal Nom_Enero'!$E7</f>
        <v>679204.6794791735</v>
      </c>
      <c r="AM53" s="39">
        <f>'Subtotal Nom_Enero'!$E7</f>
        <v>679204.6794791735</v>
      </c>
      <c r="AN53" s="31">
        <f t="shared" si="3"/>
        <v>8150456.1537500815</v>
      </c>
      <c r="AO53" s="39">
        <f>'Subtotal Nom_Enero'!$E7</f>
        <v>679204.6794791735</v>
      </c>
      <c r="AP53" s="39">
        <f>'Subtotal Nom_Enero'!$E7</f>
        <v>679204.6794791735</v>
      </c>
      <c r="AQ53" s="39">
        <f>'Subtotal Nom_Enero'!$E7</f>
        <v>679204.6794791735</v>
      </c>
      <c r="AR53" s="39">
        <f>'Subtotal Nom_Enero'!$E7</f>
        <v>679204.6794791735</v>
      </c>
      <c r="AS53" s="39">
        <f>'Subtotal Nom_Enero'!$E7</f>
        <v>679204.6794791735</v>
      </c>
      <c r="AT53" s="39">
        <f>'Subtotal Nom_Enero'!$E7</f>
        <v>679204.6794791735</v>
      </c>
      <c r="AU53" s="39">
        <f>'Subtotal Nom_Enero'!$E7</f>
        <v>679204.6794791735</v>
      </c>
      <c r="AV53" s="39">
        <f>'Subtotal Nom_Enero'!$E7</f>
        <v>679204.6794791735</v>
      </c>
      <c r="AW53" s="39">
        <f>'Subtotal Nom_Enero'!$E7</f>
        <v>679204.6794791735</v>
      </c>
      <c r="AX53" s="39">
        <f>'Subtotal Nom_Enero'!$E7</f>
        <v>679204.6794791735</v>
      </c>
      <c r="AY53" s="39">
        <f>'Subtotal Nom_Enero'!$E7</f>
        <v>679204.6794791735</v>
      </c>
      <c r="AZ53" s="39">
        <f>'Subtotal Nom_Enero'!$E7</f>
        <v>679204.6794791735</v>
      </c>
      <c r="BA53" s="31">
        <f t="shared" si="5"/>
        <v>8150456.1537500815</v>
      </c>
    </row>
    <row r="54" spans="2:53" x14ac:dyDescent="0.35">
      <c r="B54" s="29" t="s">
        <v>999</v>
      </c>
      <c r="O54" s="39">
        <f>SUM(Gastos!T22:T34)</f>
        <v>118921.87302681991</v>
      </c>
      <c r="P54" s="39">
        <f>SUM(Gastos!U22:U34)</f>
        <v>118921.87302681991</v>
      </c>
      <c r="Q54" s="39">
        <f>SUM(Gastos!V22:V34)</f>
        <v>118921.87302681991</v>
      </c>
      <c r="R54" s="39">
        <f>SUM(Gastos!W22:W34)</f>
        <v>118921.87302681991</v>
      </c>
      <c r="S54" s="39">
        <f>SUM(Gastos!X22:X34)</f>
        <v>118921.87302681991</v>
      </c>
      <c r="T54" s="39">
        <f>SUM(Gastos!Y22:Y34)</f>
        <v>178921.8730268199</v>
      </c>
      <c r="U54" s="39">
        <f>SUM(Gastos!Z22:Z34)</f>
        <v>178921.8730268199</v>
      </c>
      <c r="V54" s="39">
        <f>SUM(Gastos!AA22:AA34)</f>
        <v>178921.8730268199</v>
      </c>
      <c r="W54" s="39">
        <f>SUM(Gastos!AB22:AB34)</f>
        <v>178921.8730268199</v>
      </c>
      <c r="X54" s="39">
        <f>SUM(Gastos!AC22:AC34)</f>
        <v>178921.8730268199</v>
      </c>
      <c r="Y54" s="39">
        <f>SUM(Gastos!AD22:AD34)</f>
        <v>178921.8730268199</v>
      </c>
      <c r="Z54" s="39">
        <f>SUM(Gastos!AE22:AE34)</f>
        <v>178921.8730268199</v>
      </c>
      <c r="AA54" s="31">
        <f t="shared" si="2"/>
        <v>1847062.4763218388</v>
      </c>
      <c r="AB54" s="39">
        <f>SUM(Gastos!AG22:AG34)</f>
        <v>315042.56268199236</v>
      </c>
      <c r="AC54" s="39">
        <f>SUM(Gastos!AH22:AH34)</f>
        <v>315042.56268199236</v>
      </c>
      <c r="AD54" s="39">
        <f>SUM(Gastos!AI22:AI34)</f>
        <v>315042.56268199236</v>
      </c>
      <c r="AE54" s="39">
        <f>SUM(Gastos!AJ22:AJ34)</f>
        <v>315042.56268199236</v>
      </c>
      <c r="AF54" s="39">
        <f>SUM(Gastos!AK22:AK34)</f>
        <v>315042.56268199236</v>
      </c>
      <c r="AG54" s="39">
        <f>SUM(Gastos!AL22:AL34)</f>
        <v>315042.56268199236</v>
      </c>
      <c r="AH54" s="39">
        <f>SUM(Gastos!AM22:AM34)</f>
        <v>315042.56268199236</v>
      </c>
      <c r="AI54" s="39">
        <f>SUM(Gastos!AN22:AN34)</f>
        <v>315042.56268199236</v>
      </c>
      <c r="AJ54" s="39">
        <f>SUM(Gastos!AO22:AO34)</f>
        <v>315042.56268199236</v>
      </c>
      <c r="AK54" s="39">
        <f>SUM(Gastos!AP22:AP34)</f>
        <v>315042.56268199236</v>
      </c>
      <c r="AL54" s="39">
        <f>SUM(Gastos!AQ22:AQ34)</f>
        <v>315042.56268199236</v>
      </c>
      <c r="AM54" s="39">
        <f>SUM(Gastos!AR22:AR34)</f>
        <v>315042.56268199236</v>
      </c>
      <c r="AN54" s="31">
        <f t="shared" si="3"/>
        <v>3780510.7521839091</v>
      </c>
      <c r="AO54" s="39">
        <f>SUM(Gastos!AT22:AT34)</f>
        <v>336771.70061302686</v>
      </c>
      <c r="AP54" s="39">
        <f>SUM(Gastos!AU22:AU34)</f>
        <v>336771.70061302686</v>
      </c>
      <c r="AQ54" s="39">
        <f>SUM(Gastos!AV22:AV34)</f>
        <v>336771.70061302686</v>
      </c>
      <c r="AR54" s="39">
        <f>SUM(Gastos!AW22:AW34)</f>
        <v>336771.70061302686</v>
      </c>
      <c r="AS54" s="39">
        <f>SUM(Gastos!AX22:AX34)</f>
        <v>336771.70061302686</v>
      </c>
      <c r="AT54" s="39">
        <f>SUM(Gastos!AY22:AY34)</f>
        <v>336771.70061302686</v>
      </c>
      <c r="AU54" s="39">
        <f>SUM(Gastos!AZ22:AZ34)</f>
        <v>336771.70061302686</v>
      </c>
      <c r="AV54" s="39">
        <f>SUM(Gastos!BA22:BA34)</f>
        <v>336771.70061302686</v>
      </c>
      <c r="AW54" s="39">
        <f>SUM(Gastos!BB22:BB34)</f>
        <v>336771.70061302686</v>
      </c>
      <c r="AX54" s="39">
        <f>SUM(Gastos!BC22:BC34)</f>
        <v>336771.70061302686</v>
      </c>
      <c r="AY54" s="39">
        <f>SUM(Gastos!BD22:BD34)</f>
        <v>336771.70061302686</v>
      </c>
      <c r="AZ54" s="39">
        <f>SUM(Gastos!BE22:BE34)</f>
        <v>336771.70061302686</v>
      </c>
      <c r="BA54" s="31">
        <f t="shared" si="5"/>
        <v>4041260.4073563232</v>
      </c>
    </row>
    <row r="55" spans="2:53" x14ac:dyDescent="0.35">
      <c r="B55" s="29" t="s">
        <v>8</v>
      </c>
      <c r="O55" s="39">
        <f>O$18*ASSUMPTIONS!$C$37</f>
        <v>506172.0528</v>
      </c>
      <c r="P55" s="39">
        <f>P$18*ASSUMPTIONS!$C$37</f>
        <v>468020.93580000004</v>
      </c>
      <c r="Q55" s="39">
        <f>Q$18*ASSUMPTIONS!$C$37</f>
        <v>384122.14349999995</v>
      </c>
      <c r="R55" s="39">
        <f>R$18*ASSUMPTIONS!$C$37</f>
        <v>559026.49139999994</v>
      </c>
      <c r="S55" s="39">
        <f>S$18*ASSUMPTIONS!$C$37</f>
        <v>637127.20050000004</v>
      </c>
      <c r="T55" s="39">
        <f>T$18*ASSUMPTIONS!$C$37</f>
        <v>641234.97900000005</v>
      </c>
      <c r="U55" s="39">
        <f ca="1">U$18*ASSUMPTIONS!$C$37</f>
        <v>738074.84047390893</v>
      </c>
      <c r="V55" s="39">
        <f ca="1">V$18*ASSUMPTIONS!$C$37</f>
        <v>612293.4071124047</v>
      </c>
      <c r="W55" s="39">
        <f ca="1">W$18*ASSUMPTIONS!$C$37</f>
        <v>641320.45208526554</v>
      </c>
      <c r="X55" s="39">
        <f ca="1">X$18*ASSUMPTIONS!$C$37</f>
        <v>650747.63214243518</v>
      </c>
      <c r="Y55" s="39">
        <f ca="1">Y$18*ASSUMPTIONS!$C$37</f>
        <v>720531.27576611587</v>
      </c>
      <c r="Z55" s="39">
        <f>Z$18*ASSUMPTIONS!$C$37</f>
        <v>662543.80146611587</v>
      </c>
      <c r="AA55" s="31">
        <f t="shared" ca="1" si="2"/>
        <v>7221215.212046246</v>
      </c>
      <c r="AB55" s="39">
        <f>AB$18*ASSUMPTIONS!$C$37</f>
        <v>632715.06600000011</v>
      </c>
      <c r="AC55" s="39">
        <f>AC$18*ASSUMPTIONS!$C$37</f>
        <v>585026.16975000012</v>
      </c>
      <c r="AD55" s="39">
        <f>AD$18*ASSUMPTIONS!$C$37</f>
        <v>480152.67937500001</v>
      </c>
      <c r="AE55" s="39">
        <f>AE$18*ASSUMPTIONS!$C$37</f>
        <v>698783.11424999998</v>
      </c>
      <c r="AF55" s="39">
        <f>AF$18*ASSUMPTIONS!$C$37</f>
        <v>796409.00062499999</v>
      </c>
      <c r="AG55" s="39">
        <f>AG$18*ASSUMPTIONS!$C$37</f>
        <v>801543.72375</v>
      </c>
      <c r="AH55" s="39">
        <f ca="1">AH$18*ASSUMPTIONS!$C$37</f>
        <v>922593.55059238628</v>
      </c>
      <c r="AI55" s="39">
        <f ca="1">AI$18*ASSUMPTIONS!$C$37</f>
        <v>765366.75889050588</v>
      </c>
      <c r="AJ55" s="39">
        <f ca="1">AJ$18*ASSUMPTIONS!$C$37</f>
        <v>801650.56510658201</v>
      </c>
      <c r="AK55" s="39">
        <f ca="1">AK$18*ASSUMPTIONS!$C$37</f>
        <v>813434.54017804377</v>
      </c>
      <c r="AL55" s="39">
        <f ca="1">AL$18*ASSUMPTIONS!$C$37</f>
        <v>900664.09470764478</v>
      </c>
      <c r="AM55" s="39">
        <f>AM$18*ASSUMPTIONS!$C$37</f>
        <v>828179.75183264492</v>
      </c>
      <c r="AN55" s="31">
        <f t="shared" ca="1" si="3"/>
        <v>9026519.0150578078</v>
      </c>
      <c r="AO55" s="39">
        <f>AO$18*ASSUMPTIONS!$C$37</f>
        <v>782156.19</v>
      </c>
      <c r="AP55" s="39">
        <f>AP$18*ASSUMPTIONS!$C$37</f>
        <v>724831.90254375013</v>
      </c>
      <c r="AQ55" s="39">
        <f>AQ$18*ASSUMPTIONS!$C$37</f>
        <v>603978.79826249997</v>
      </c>
      <c r="AR55" s="39">
        <f>AR$18*ASSUMPTIONS!$C$37</f>
        <v>866741.859375</v>
      </c>
      <c r="AS55" s="39">
        <f>AS$18*ASSUMPTIONS!$C$37</f>
        <v>989954.77231875004</v>
      </c>
      <c r="AT55" s="39">
        <f>AT$18*ASSUMPTIONS!$C$37</f>
        <v>988062.85537499993</v>
      </c>
      <c r="AU55" s="39">
        <f ca="1">AU$18*ASSUMPTIONS!$C$37</f>
        <v>1138736.8161451018</v>
      </c>
      <c r="AV55" s="39">
        <f ca="1">AV$18*ASSUMPTIONS!$C$37</f>
        <v>950500.39268265758</v>
      </c>
      <c r="AW55" s="39">
        <f ca="1">AW$18*ASSUMPTIONS!$C$37</f>
        <v>992092.98201355676</v>
      </c>
      <c r="AX55" s="39">
        <f ca="1">AX$18*ASSUMPTIONS!$C$37</f>
        <v>1012055.4821439571</v>
      </c>
      <c r="AY55" s="39">
        <f ca="1">AY$18*ASSUMPTIONS!$C$37</f>
        <v>1114475.0309949382</v>
      </c>
      <c r="AZ55" s="39">
        <f>AZ$18*ASSUMPTIONS!$C$37</f>
        <v>1027077.7270449384</v>
      </c>
      <c r="BA55" s="31">
        <f t="shared" ca="1" si="5"/>
        <v>11190664.80890015</v>
      </c>
    </row>
    <row r="56" spans="2:53" x14ac:dyDescent="0.35">
      <c r="B56" s="29" t="s">
        <v>998</v>
      </c>
      <c r="O56" s="39">
        <f>Gastos!T33</f>
        <v>27000</v>
      </c>
      <c r="P56" s="39">
        <f>Gastos!U33</f>
        <v>27000</v>
      </c>
      <c r="Q56" s="39">
        <f>Gastos!V33</f>
        <v>27000</v>
      </c>
      <c r="R56" s="39">
        <f>Gastos!W33</f>
        <v>27000</v>
      </c>
      <c r="S56" s="39">
        <f>Gastos!X33</f>
        <v>27000</v>
      </c>
      <c r="T56" s="39">
        <f>Gastos!Y33</f>
        <v>27000</v>
      </c>
      <c r="U56" s="39">
        <f>Gastos!Z33</f>
        <v>27000</v>
      </c>
      <c r="V56" s="39">
        <f>Gastos!AA33</f>
        <v>27000</v>
      </c>
      <c r="W56" s="39">
        <f>Gastos!AB33</f>
        <v>27000</v>
      </c>
      <c r="X56" s="39">
        <f>Gastos!AC33</f>
        <v>27000</v>
      </c>
      <c r="Y56" s="39">
        <f>Gastos!AD33</f>
        <v>27000</v>
      </c>
      <c r="Z56" s="39">
        <f>Gastos!AE33</f>
        <v>27000</v>
      </c>
      <c r="AA56" s="31">
        <f t="shared" si="2"/>
        <v>324000</v>
      </c>
      <c r="AB56" s="39">
        <f>Gastos!AG33</f>
        <v>27000</v>
      </c>
      <c r="AC56" s="39">
        <f>Gastos!AH33</f>
        <v>27000</v>
      </c>
      <c r="AD56" s="39">
        <f>Gastos!AI33</f>
        <v>27000</v>
      </c>
      <c r="AE56" s="39">
        <f>Gastos!AJ33</f>
        <v>27000</v>
      </c>
      <c r="AF56" s="39">
        <f>Gastos!AK33</f>
        <v>27000</v>
      </c>
      <c r="AG56" s="39">
        <f>Gastos!AL33</f>
        <v>27000</v>
      </c>
      <c r="AH56" s="39">
        <f>Gastos!AM33</f>
        <v>27000</v>
      </c>
      <c r="AI56" s="39">
        <f>Gastos!AN33</f>
        <v>27000</v>
      </c>
      <c r="AJ56" s="39">
        <f>Gastos!AO33</f>
        <v>27000</v>
      </c>
      <c r="AK56" s="39">
        <f>Gastos!AP33</f>
        <v>27000</v>
      </c>
      <c r="AL56" s="39">
        <f>Gastos!AQ33</f>
        <v>27000</v>
      </c>
      <c r="AM56" s="39">
        <f>Gastos!AR33</f>
        <v>27000</v>
      </c>
      <c r="AN56" s="31">
        <f t="shared" si="3"/>
        <v>324000</v>
      </c>
      <c r="AO56" s="39">
        <f>Gastos!AT33</f>
        <v>27000</v>
      </c>
      <c r="AP56" s="39">
        <f>Gastos!AU33</f>
        <v>27000</v>
      </c>
      <c r="AQ56" s="39">
        <f>Gastos!AV33</f>
        <v>27000</v>
      </c>
      <c r="AR56" s="39">
        <f>Gastos!AW33</f>
        <v>27000</v>
      </c>
      <c r="AS56" s="39">
        <f>Gastos!AX33</f>
        <v>27000</v>
      </c>
      <c r="AT56" s="39">
        <f>Gastos!AY33</f>
        <v>27000</v>
      </c>
      <c r="AU56" s="39">
        <f>Gastos!AZ33</f>
        <v>27000</v>
      </c>
      <c r="AV56" s="39">
        <f>Gastos!BA33</f>
        <v>27000</v>
      </c>
      <c r="AW56" s="39">
        <f>Gastos!BB33</f>
        <v>27000</v>
      </c>
      <c r="AX56" s="39">
        <f>Gastos!BC33</f>
        <v>27000</v>
      </c>
      <c r="AY56" s="39">
        <f>Gastos!BD33</f>
        <v>27000</v>
      </c>
      <c r="AZ56" s="39">
        <f>Gastos!BE33</f>
        <v>27000</v>
      </c>
      <c r="BA56" s="31">
        <f t="shared" si="5"/>
        <v>324000</v>
      </c>
    </row>
    <row r="57" spans="2:53" x14ac:dyDescent="0.35">
      <c r="B57" s="29" t="s">
        <v>946</v>
      </c>
      <c r="O57" s="39">
        <f>SUM(Gastos!T39:T45)</f>
        <v>155000</v>
      </c>
      <c r="P57" s="39">
        <f>SUM(Gastos!U39:U45)</f>
        <v>242111.33333333331</v>
      </c>
      <c r="Q57" s="39">
        <f>SUM(Gastos!V39:V45)</f>
        <v>242111.33333333331</v>
      </c>
      <c r="R57" s="39">
        <f>SUM(Gastos!W39:W45)</f>
        <v>242111.33333333331</v>
      </c>
      <c r="S57" s="39">
        <f>SUM(Gastos!X39:X45)</f>
        <v>202111.33333333331</v>
      </c>
      <c r="T57" s="39">
        <f>SUM(Gastos!Y39:Y45)</f>
        <v>200000</v>
      </c>
      <c r="U57" s="39">
        <f>SUM(Gastos!Z39:Z45)</f>
        <v>200000</v>
      </c>
      <c r="V57" s="39">
        <f>SUM(Gastos!AA39:AA45)</f>
        <v>175000</v>
      </c>
      <c r="W57" s="39">
        <f>SUM(Gastos!AB39:AB45)</f>
        <v>175000</v>
      </c>
      <c r="X57" s="39">
        <f>SUM(Gastos!AC39:AC45)</f>
        <v>175000</v>
      </c>
      <c r="Y57" s="39">
        <f>SUM(Gastos!AD39:AD45)</f>
        <v>175000</v>
      </c>
      <c r="Z57" s="39">
        <f>SUM(Gastos!AE39:AE45)</f>
        <v>175000</v>
      </c>
      <c r="AA57" s="31">
        <f t="shared" si="2"/>
        <v>2358445.333333333</v>
      </c>
      <c r="AB57" s="39">
        <f>SUM(Gastos!AG39:AG45)</f>
        <v>175000</v>
      </c>
      <c r="AC57" s="39">
        <f>SUM(Gastos!AH39:AH45)</f>
        <v>175000</v>
      </c>
      <c r="AD57" s="39">
        <f>SUM(Gastos!AI39:AI45)</f>
        <v>175000</v>
      </c>
      <c r="AE57" s="39">
        <f>SUM(Gastos!AJ39:AJ45)</f>
        <v>175000</v>
      </c>
      <c r="AF57" s="39">
        <f>SUM(Gastos!AK39:AK45)</f>
        <v>175000</v>
      </c>
      <c r="AG57" s="39">
        <f>SUM(Gastos!AL39:AL45)</f>
        <v>175000</v>
      </c>
      <c r="AH57" s="39">
        <f>SUM(Gastos!AM39:AM45)</f>
        <v>15000</v>
      </c>
      <c r="AI57" s="39">
        <f>SUM(Gastos!AN39:AN45)</f>
        <v>15000</v>
      </c>
      <c r="AJ57" s="39">
        <f>SUM(Gastos!AO39:AO45)</f>
        <v>15000</v>
      </c>
      <c r="AK57" s="39">
        <f>SUM(Gastos!AP39:AP45)</f>
        <v>15000</v>
      </c>
      <c r="AL57" s="39">
        <f>SUM(Gastos!AQ39:AQ45)</f>
        <v>15000</v>
      </c>
      <c r="AM57" s="39">
        <f>SUM(Gastos!AR39:AR45)</f>
        <v>15000</v>
      </c>
      <c r="AN57" s="31">
        <f t="shared" si="3"/>
        <v>1140000</v>
      </c>
      <c r="AO57" s="39">
        <f>SUM(Gastos!AT39:AT45)</f>
        <v>15000</v>
      </c>
      <c r="AP57" s="39">
        <f>SUM(Gastos!AU39:AU45)</f>
        <v>15000</v>
      </c>
      <c r="AQ57" s="39">
        <f>SUM(Gastos!AV39:AV45)</f>
        <v>15000</v>
      </c>
      <c r="AR57" s="39">
        <f>SUM(Gastos!AW39:AW45)</f>
        <v>15000</v>
      </c>
      <c r="AS57" s="39">
        <f>SUM(Gastos!AX39:AX45)</f>
        <v>15000</v>
      </c>
      <c r="AT57" s="39">
        <f>SUM(Gastos!AY39:AY45)</f>
        <v>15000</v>
      </c>
      <c r="AU57" s="39">
        <f>SUM(Gastos!AZ39:AZ45)</f>
        <v>15000</v>
      </c>
      <c r="AV57" s="39">
        <f>SUM(Gastos!BA39:BA45)</f>
        <v>15000</v>
      </c>
      <c r="AW57" s="39">
        <f>SUM(Gastos!BB39:BB45)</f>
        <v>15000</v>
      </c>
      <c r="AX57" s="39">
        <f>SUM(Gastos!BC39:BC45)</f>
        <v>15000</v>
      </c>
      <c r="AY57" s="39">
        <f>SUM(Gastos!BD39:BD45)</f>
        <v>15000</v>
      </c>
      <c r="AZ57" s="39">
        <f>SUM(Gastos!BE39:BE45)</f>
        <v>15000</v>
      </c>
      <c r="BA57" s="31">
        <f t="shared" si="5"/>
        <v>180000</v>
      </c>
    </row>
    <row r="58" spans="2:53" x14ac:dyDescent="0.35">
      <c r="B58" s="29" t="s">
        <v>948</v>
      </c>
      <c r="O58" s="39">
        <f>SUM(Gastos!T55:T62)</f>
        <v>98690.106249999997</v>
      </c>
      <c r="P58" s="39">
        <f>SUM(Gastos!U55:U62)</f>
        <v>98690.106249999997</v>
      </c>
      <c r="Q58" s="39">
        <f>SUM(Gastos!V55:V62)</f>
        <v>98690.106249999997</v>
      </c>
      <c r="R58" s="39">
        <f>SUM(Gastos!W55:W62)</f>
        <v>98690.106249999997</v>
      </c>
      <c r="S58" s="39">
        <f>SUM(Gastos!X55:X62)</f>
        <v>98690.106249999997</v>
      </c>
      <c r="T58" s="39">
        <f>SUM(Gastos!Y55:Y62)</f>
        <v>98690.106249999997</v>
      </c>
      <c r="U58" s="39">
        <f>SUM(Gastos!Z55:Z62)</f>
        <v>98690.106249999997</v>
      </c>
      <c r="V58" s="39">
        <f>SUM(Gastos!AA55:AA62)</f>
        <v>98690.106249999997</v>
      </c>
      <c r="W58" s="39">
        <f>SUM(Gastos!AB55:AB62)</f>
        <v>98690.106249999997</v>
      </c>
      <c r="X58" s="39">
        <f>SUM(Gastos!AC55:AC62)</f>
        <v>98690.106249999997</v>
      </c>
      <c r="Y58" s="39">
        <f>SUM(Gastos!AD55:AD62)</f>
        <v>98690.106249999997</v>
      </c>
      <c r="Z58" s="39">
        <f>SUM(Gastos!AE55:AE62)</f>
        <v>98690.106249999997</v>
      </c>
      <c r="AA58" s="201">
        <f t="shared" si="2"/>
        <v>1184281.2749999997</v>
      </c>
      <c r="AB58" s="39">
        <f>SUM(Gastos!AG55:AG62)</f>
        <v>98690.106249999997</v>
      </c>
      <c r="AC58" s="39">
        <f>SUM(Gastos!AH55:AH62)</f>
        <v>98690.106249999997</v>
      </c>
      <c r="AD58" s="39">
        <f>SUM(Gastos!AI55:AI62)</f>
        <v>98690.106249999997</v>
      </c>
      <c r="AE58" s="39">
        <f>SUM(Gastos!AJ55:AJ62)</f>
        <v>98690.106249999997</v>
      </c>
      <c r="AF58" s="39">
        <f>SUM(Gastos!AK55:AK62)</f>
        <v>98690.106249999997</v>
      </c>
      <c r="AG58" s="39">
        <f>SUM(Gastos!AL55:AL62)</f>
        <v>98690.106249999997</v>
      </c>
      <c r="AH58" s="39">
        <f>SUM(Gastos!AM55:AM62)</f>
        <v>98690.106249999997</v>
      </c>
      <c r="AI58" s="39">
        <f>SUM(Gastos!AN55:AN62)</f>
        <v>98690.106249999997</v>
      </c>
      <c r="AJ58" s="39">
        <f>SUM(Gastos!AO55:AO62)</f>
        <v>98690.106249999997</v>
      </c>
      <c r="AK58" s="39">
        <f>SUM(Gastos!AP55:AP62)</f>
        <v>98690.106249999997</v>
      </c>
      <c r="AL58" s="39">
        <f>SUM(Gastos!AQ55:AQ62)</f>
        <v>98690.106249999997</v>
      </c>
      <c r="AM58" s="39">
        <f>SUM(Gastos!AR55:AR62)</f>
        <v>98690.106249999997</v>
      </c>
      <c r="AN58" s="201">
        <f t="shared" si="3"/>
        <v>1184281.2749999997</v>
      </c>
      <c r="AO58" s="39">
        <f>SUM(Gastos!AT55:AT62)</f>
        <v>98690.106249999997</v>
      </c>
      <c r="AP58" s="39">
        <f>SUM(Gastos!AU55:AU62)</f>
        <v>98690.106249999997</v>
      </c>
      <c r="AQ58" s="39">
        <f>SUM(Gastos!AV55:AV62)</f>
        <v>98690.106249999997</v>
      </c>
      <c r="AR58" s="39">
        <f>SUM(Gastos!AW55:AW62)</f>
        <v>98690.106249999997</v>
      </c>
      <c r="AS58" s="39">
        <f>SUM(Gastos!AX55:AX62)</f>
        <v>98690.106249999997</v>
      </c>
      <c r="AT58" s="39">
        <f>SUM(Gastos!AY55:AY62)</f>
        <v>98690.106249999997</v>
      </c>
      <c r="AU58" s="39">
        <f>SUM(Gastos!AZ55:AZ62)</f>
        <v>98690.106249999997</v>
      </c>
      <c r="AV58" s="39">
        <f>SUM(Gastos!BA55:BA62)</f>
        <v>98690.106249999997</v>
      </c>
      <c r="AW58" s="39">
        <f>SUM(Gastos!BB55:BB62)</f>
        <v>98690.106249999997</v>
      </c>
      <c r="AX58" s="39">
        <f>SUM(Gastos!BC55:BC62)</f>
        <v>98690.106249999997</v>
      </c>
      <c r="AY58" s="39">
        <f>SUM(Gastos!BD55:BD62)</f>
        <v>98690.106249999997</v>
      </c>
      <c r="AZ58" s="39">
        <f>SUM(Gastos!BE55:BE62)</f>
        <v>98690.106249999997</v>
      </c>
      <c r="BA58" s="201">
        <f t="shared" si="5"/>
        <v>1184281.2749999997</v>
      </c>
    </row>
    <row r="59" spans="2:53" x14ac:dyDescent="0.35">
      <c r="B59" s="32" t="s">
        <v>1355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40">
        <v>237459.19812367056</v>
      </c>
      <c r="P59" s="40">
        <v>277409.44291000755</v>
      </c>
      <c r="Q59" s="40">
        <v>418800.84798098123</v>
      </c>
      <c r="R59" s="40">
        <v>225124.11160587889</v>
      </c>
      <c r="S59" s="40">
        <v>229400.3192337428</v>
      </c>
      <c r="T59" s="40">
        <v>233770.93115862689</v>
      </c>
      <c r="U59" s="40">
        <v>271383.61519012187</v>
      </c>
      <c r="V59" s="40">
        <v>238809.70965831607</v>
      </c>
      <c r="W59" s="40">
        <v>243402.50236613807</v>
      </c>
      <c r="X59" s="40">
        <v>277247.12060237891</v>
      </c>
      <c r="Y59" s="40">
        <v>249398.01896207561</v>
      </c>
      <c r="Z59" s="40">
        <v>254239.06239269453</v>
      </c>
      <c r="AA59" s="50">
        <f>SUM(O59:Z59)</f>
        <v>3156444.8801846327</v>
      </c>
      <c r="AB59" s="40">
        <v>254239.06239269453</v>
      </c>
      <c r="AC59" s="40">
        <v>254239.06239269453</v>
      </c>
      <c r="AD59" s="40">
        <v>254239.06239269453</v>
      </c>
      <c r="AE59" s="40">
        <v>254239.06239269453</v>
      </c>
      <c r="AF59" s="40">
        <v>254239.06239269453</v>
      </c>
      <c r="AG59" s="40">
        <v>254239.06239269453</v>
      </c>
      <c r="AH59" s="40">
        <v>254239.06239269453</v>
      </c>
      <c r="AI59" s="40">
        <v>254239.06239269453</v>
      </c>
      <c r="AJ59" s="40">
        <v>254239.06239269453</v>
      </c>
      <c r="AK59" s="40">
        <v>254239.06239269453</v>
      </c>
      <c r="AL59" s="40">
        <v>254239.06239269453</v>
      </c>
      <c r="AM59" s="40">
        <v>254239.06239269453</v>
      </c>
      <c r="AN59" s="50">
        <f>SUM(AB59:AM59)</f>
        <v>3050868.7487123334</v>
      </c>
      <c r="AO59" s="40">
        <v>254239.06239269453</v>
      </c>
      <c r="AP59" s="40">
        <v>254239.06239269453</v>
      </c>
      <c r="AQ59" s="40">
        <v>254239.06239269453</v>
      </c>
      <c r="AR59" s="40">
        <v>254239.06239269453</v>
      </c>
      <c r="AS59" s="40">
        <v>254239.06239269453</v>
      </c>
      <c r="AT59" s="40">
        <v>254239.06239269453</v>
      </c>
      <c r="AU59" s="40">
        <v>254239.06239269453</v>
      </c>
      <c r="AV59" s="40">
        <v>254239.06239269453</v>
      </c>
      <c r="AW59" s="40">
        <v>254239.06239269453</v>
      </c>
      <c r="AX59" s="40">
        <v>254239.06239269453</v>
      </c>
      <c r="AY59" s="40">
        <v>254239.06239269453</v>
      </c>
      <c r="AZ59" s="40">
        <v>254239.06239269453</v>
      </c>
      <c r="BA59" s="50">
        <f>SUM(AO59:AZ59)</f>
        <v>3050868.7487123334</v>
      </c>
    </row>
    <row r="60" spans="2:53" s="27" customFormat="1" x14ac:dyDescent="0.35">
      <c r="B60" s="27" t="s">
        <v>37</v>
      </c>
      <c r="O60" s="35">
        <f>O40-SUM(O42:O59)</f>
        <v>229020.51648510713</v>
      </c>
      <c r="P60" s="35">
        <f ca="1">P40-SUM(P42:P59)</f>
        <v>678966.04332344886</v>
      </c>
      <c r="Q60" s="35">
        <f ca="1">Q40-SUM(Q42:Q59)</f>
        <v>-571270.36192536587</v>
      </c>
      <c r="R60" s="35">
        <f t="shared" ref="R60:AN60" ca="1" si="40">R40-SUM(R42:R59)</f>
        <v>2004641.6940077785</v>
      </c>
      <c r="S60" s="35">
        <f t="shared" ca="1" si="40"/>
        <v>2249917.5846251817</v>
      </c>
      <c r="T60" s="35">
        <f t="shared" ca="1" si="40"/>
        <v>2905980.0946591971</v>
      </c>
      <c r="U60" s="35">
        <f t="shared" ca="1" si="40"/>
        <v>4116023.3741110666</v>
      </c>
      <c r="V60" s="35">
        <f t="shared" ca="1" si="40"/>
        <v>2708373.4503963264</v>
      </c>
      <c r="W60" s="35">
        <f t="shared" ca="1" si="40"/>
        <v>3116099.289089811</v>
      </c>
      <c r="X60" s="35">
        <f t="shared" ca="1" si="40"/>
        <v>3255782.1703733327</v>
      </c>
      <c r="Y60" s="35">
        <f t="shared" ca="1" si="40"/>
        <v>4188538.1548962221</v>
      </c>
      <c r="Z60" s="35">
        <f t="shared" ca="1" si="40"/>
        <v>3315564.4290515278</v>
      </c>
      <c r="AA60" s="35">
        <f t="shared" ca="1" si="40"/>
        <v>28197636.439093627</v>
      </c>
      <c r="AB60" s="35">
        <f t="shared" si="40"/>
        <v>2538769.8089532005</v>
      </c>
      <c r="AC60" s="35">
        <f t="shared" si="40"/>
        <v>1978698.4202281991</v>
      </c>
      <c r="AD60" s="35">
        <f t="shared" si="40"/>
        <v>644504.69532569777</v>
      </c>
      <c r="AE60" s="35">
        <f t="shared" si="40"/>
        <v>3437919.6524581993</v>
      </c>
      <c r="AF60" s="35">
        <f t="shared" si="40"/>
        <v>5057977.4658006988</v>
      </c>
      <c r="AG60" s="35">
        <f t="shared" si="40"/>
        <v>4988993.7324433681</v>
      </c>
      <c r="AH60" s="35">
        <f t="shared" ca="1" si="40"/>
        <v>6863784.784367892</v>
      </c>
      <c r="AI60" s="35">
        <f t="shared" ca="1" si="40"/>
        <v>4716872.3024341306</v>
      </c>
      <c r="AJ60" s="35">
        <f t="shared" ca="1" si="40"/>
        <v>5237138.2118675495</v>
      </c>
      <c r="AK60" s="35">
        <f t="shared" ca="1" si="40"/>
        <v>5470835.4492649669</v>
      </c>
      <c r="AL60" s="35">
        <f t="shared" ca="1" si="40"/>
        <v>6592616.2036446594</v>
      </c>
      <c r="AM60" s="35">
        <f t="shared" si="40"/>
        <v>5622362.4930171622</v>
      </c>
      <c r="AN60" s="35">
        <f t="shared" ca="1" si="40"/>
        <v>53150473.219805747</v>
      </c>
      <c r="AO60" s="35">
        <f t="shared" ref="AO60:AZ60" si="41">AO40-SUM(AO42:AO59)</f>
        <v>4631894.943714357</v>
      </c>
      <c r="AP60" s="35">
        <f t="shared" si="41"/>
        <v>3964223.6458079824</v>
      </c>
      <c r="AQ60" s="35">
        <f t="shared" si="41"/>
        <v>2442289.6713961056</v>
      </c>
      <c r="AR60" s="35">
        <f t="shared" si="41"/>
        <v>5786934.8346768552</v>
      </c>
      <c r="AS60" s="35">
        <f t="shared" si="41"/>
        <v>7840937.5781264827</v>
      </c>
      <c r="AT60" s="35">
        <f t="shared" si="41"/>
        <v>7537379.1561168553</v>
      </c>
      <c r="AU60" s="35">
        <f t="shared" ca="1" si="41"/>
        <v>9676133.8932662345</v>
      </c>
      <c r="AV60" s="35">
        <f t="shared" ca="1" si="41"/>
        <v>7107564.9575573467</v>
      </c>
      <c r="AW60" s="35">
        <f t="shared" ca="1" si="41"/>
        <v>7702855.3439707924</v>
      </c>
      <c r="AX60" s="35">
        <f t="shared" ca="1" si="41"/>
        <v>8071831.1384051898</v>
      </c>
      <c r="AY60" s="35">
        <f t="shared" ca="1" si="41"/>
        <v>9380396.6043760329</v>
      </c>
      <c r="AZ60" s="35">
        <f t="shared" si="41"/>
        <v>8211872.9736730363</v>
      </c>
      <c r="BA60" s="35">
        <f ca="1">BA40-SUM(BA42:BA59)</f>
        <v>82354314.741087288</v>
      </c>
    </row>
    <row r="61" spans="2:53" x14ac:dyDescent="0.35">
      <c r="B61" s="49" t="s">
        <v>37</v>
      </c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73">
        <f>O60/O$22</f>
        <v>1.4759898249215206E-2</v>
      </c>
      <c r="P61" s="41">
        <f t="shared" ref="P61:AN61" ca="1" si="42">P60/P$22</f>
        <v>4.5035524307352942E-2</v>
      </c>
      <c r="Q61" s="41">
        <f t="shared" ca="1" si="42"/>
        <v>-4.8798865377969854E-2</v>
      </c>
      <c r="R61" s="73">
        <f t="shared" ca="1" si="42"/>
        <v>0.11309820919118466</v>
      </c>
      <c r="S61" s="41">
        <f t="shared" ca="1" si="42"/>
        <v>0.11293226123362096</v>
      </c>
      <c r="T61" s="41">
        <f t="shared" ca="1" si="42"/>
        <v>0.1387300712525571</v>
      </c>
      <c r="U61" s="41">
        <f t="shared" ca="1" si="42"/>
        <v>0.17071536465476686</v>
      </c>
      <c r="V61" s="41">
        <f t="shared" ca="1" si="42"/>
        <v>0.13540794392947395</v>
      </c>
      <c r="W61" s="41">
        <f t="shared" ca="1" si="42"/>
        <v>0.1487412326455656</v>
      </c>
      <c r="X61" s="41">
        <f t="shared" ca="1" si="42"/>
        <v>0.15315737808487723</v>
      </c>
      <c r="Y61" s="41">
        <f t="shared" ca="1" si="42"/>
        <v>0.17795279688004767</v>
      </c>
      <c r="Z61" s="41">
        <f t="shared" ca="1" si="42"/>
        <v>0.15319269466032187</v>
      </c>
      <c r="AA61" s="41">
        <f t="shared" ca="1" si="42"/>
        <v>0.12133556888834611</v>
      </c>
      <c r="AB61" s="41">
        <f t="shared" si="42"/>
        <v>0.12283166200316212</v>
      </c>
      <c r="AC61" s="41">
        <f t="shared" si="42"/>
        <v>0.10353793343144813</v>
      </c>
      <c r="AD61" s="41">
        <f t="shared" si="42"/>
        <v>4.1090545609110046E-2</v>
      </c>
      <c r="AE61" s="41">
        <f t="shared" si="42"/>
        <v>0.15060815894716234</v>
      </c>
      <c r="AF61" s="41">
        <f t="shared" si="42"/>
        <v>0.19441774860648092</v>
      </c>
      <c r="AG61" s="41">
        <f t="shared" si="42"/>
        <v>0.19053770044810964</v>
      </c>
      <c r="AH61" s="41">
        <f t="shared" ca="1" si="42"/>
        <v>0.22774477516241362</v>
      </c>
      <c r="AI61" s="41">
        <f t="shared" ca="1" si="42"/>
        <v>0.18865994426493163</v>
      </c>
      <c r="AJ61" s="41">
        <f t="shared" ca="1" si="42"/>
        <v>0.19998808019905073</v>
      </c>
      <c r="AK61" s="41">
        <f t="shared" ca="1" si="42"/>
        <v>0.20588571826895752</v>
      </c>
      <c r="AL61" s="41">
        <f t="shared" ca="1" si="42"/>
        <v>0.2240733064969502</v>
      </c>
      <c r="AM61" s="41">
        <f t="shared" si="42"/>
        <v>0.20782099195311116</v>
      </c>
      <c r="AN61" s="41">
        <f t="shared" ca="1" si="42"/>
        <v>0.18025279733337987</v>
      </c>
      <c r="AO61" s="41">
        <f t="shared" ref="AO61:AZ61" si="43">AO60/AO$22</f>
        <v>0.18128438305730568</v>
      </c>
      <c r="AP61" s="41">
        <f t="shared" si="43"/>
        <v>0.16742334967579572</v>
      </c>
      <c r="AQ61" s="41">
        <f t="shared" si="43"/>
        <v>0.12378575166481272</v>
      </c>
      <c r="AR61" s="41">
        <f t="shared" si="43"/>
        <v>0.20438734376507547</v>
      </c>
      <c r="AS61" s="41">
        <f t="shared" si="43"/>
        <v>0.24246431057552731</v>
      </c>
      <c r="AT61" s="41">
        <f t="shared" si="43"/>
        <v>0.23352370282986776</v>
      </c>
      <c r="AU61" s="41">
        <f t="shared" ca="1" si="43"/>
        <v>0.26011996468933457</v>
      </c>
      <c r="AV61" s="41">
        <f t="shared" ca="1" si="43"/>
        <v>0.22890944683864117</v>
      </c>
      <c r="AW61" s="41">
        <f t="shared" ca="1" si="43"/>
        <v>0.23768104248112235</v>
      </c>
      <c r="AX61" s="41">
        <f t="shared" ca="1" si="43"/>
        <v>0.24415348362164666</v>
      </c>
      <c r="AY61" s="41">
        <f t="shared" ca="1" si="43"/>
        <v>0.25765942718051621</v>
      </c>
      <c r="AZ61" s="41">
        <f t="shared" si="43"/>
        <v>0.24475641903391443</v>
      </c>
      <c r="BA61" s="41">
        <f ca="1">BA60/BA$22</f>
        <v>0.22528156229402335</v>
      </c>
    </row>
    <row r="62" spans="2:53" x14ac:dyDescent="0.35">
      <c r="B62" s="29" t="s">
        <v>28</v>
      </c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1">
        <f t="shared" si="2"/>
        <v>0</v>
      </c>
      <c r="AN62" s="31">
        <f t="shared" si="3"/>
        <v>0</v>
      </c>
      <c r="BA62" s="31">
        <f t="shared" si="5"/>
        <v>0</v>
      </c>
    </row>
    <row r="63" spans="2:53" x14ac:dyDescent="0.35">
      <c r="B63" s="29" t="s">
        <v>30</v>
      </c>
      <c r="O63" s="39">
        <f>SUM('Interest Expense'!L6:L13)</f>
        <v>1832060.7135801022</v>
      </c>
      <c r="P63" s="39">
        <f>SUM('Interest Expense'!M6:M13)</f>
        <v>1823914.9714730522</v>
      </c>
      <c r="Q63" s="39">
        <f>SUM('Interest Expense'!N6:N13)</f>
        <v>1812340.5280054952</v>
      </c>
      <c r="R63" s="39">
        <f>SUM('Interest Expense'!O6:O13)</f>
        <v>1805132.1111396537</v>
      </c>
      <c r="S63" s="39">
        <f>SUM('Interest Expense'!P6:P13)</f>
        <v>1860081.8482579817</v>
      </c>
      <c r="T63" s="39">
        <f>'Interest Expense'!$K18</f>
        <v>1290674.2619673936</v>
      </c>
      <c r="U63" s="39">
        <f>'Interest Expense'!$K18</f>
        <v>1290674.2619673936</v>
      </c>
      <c r="V63" s="39">
        <f>'Interest Expense'!$K18</f>
        <v>1290674.2619673936</v>
      </c>
      <c r="W63" s="39">
        <f>'Interest Expense'!$K18</f>
        <v>1290674.2619673936</v>
      </c>
      <c r="X63" s="39">
        <f>'Interest Expense'!$K18</f>
        <v>1290674.2619673936</v>
      </c>
      <c r="Y63" s="39">
        <f>'Interest Expense'!$K18</f>
        <v>1290674.2619673936</v>
      </c>
      <c r="Z63" s="39">
        <f>'Interest Expense'!$K18</f>
        <v>1290674.2619673936</v>
      </c>
      <c r="AA63" s="31">
        <f t="shared" si="2"/>
        <v>18168250.006228045</v>
      </c>
      <c r="AB63" s="39">
        <f>'Interest Expense'!$K18</f>
        <v>1290674.2619673936</v>
      </c>
      <c r="AC63" s="39">
        <f>'Interest Expense'!$K18</f>
        <v>1290674.2619673936</v>
      </c>
      <c r="AD63" s="39">
        <f>'Interest Expense'!$K18</f>
        <v>1290674.2619673936</v>
      </c>
      <c r="AE63" s="39">
        <f>'Interest Expense'!$K18</f>
        <v>1290674.2619673936</v>
      </c>
      <c r="AF63" s="39">
        <f>'Interest Expense'!$K18</f>
        <v>1290674.2619673936</v>
      </c>
      <c r="AG63" s="39">
        <f>'Interest Expense'!$K18</f>
        <v>1290674.2619673936</v>
      </c>
      <c r="AH63" s="39">
        <f>'Interest Expense'!$K18</f>
        <v>1290674.2619673936</v>
      </c>
      <c r="AI63" s="39">
        <f>'Interest Expense'!$K18</f>
        <v>1290674.2619673936</v>
      </c>
      <c r="AJ63" s="39">
        <f>'Interest Expense'!$K18</f>
        <v>1290674.2619673936</v>
      </c>
      <c r="AK63" s="39">
        <f>'Interest Expense'!$K18</f>
        <v>1290674.2619673936</v>
      </c>
      <c r="AL63" s="39">
        <f>'Interest Expense'!$K18</f>
        <v>1290674.2619673936</v>
      </c>
      <c r="AM63" s="39">
        <f>'Interest Expense'!$K18</f>
        <v>1290674.2619673936</v>
      </c>
      <c r="AN63" s="31">
        <f t="shared" si="3"/>
        <v>15488091.143608727</v>
      </c>
      <c r="AO63" s="39">
        <f>'Interest Expense'!$K18</f>
        <v>1290674.2619673936</v>
      </c>
      <c r="AP63" s="39">
        <f>'Interest Expense'!$K18</f>
        <v>1290674.2619673936</v>
      </c>
      <c r="AQ63" s="39">
        <f>'Interest Expense'!$K18</f>
        <v>1290674.2619673936</v>
      </c>
      <c r="AR63" s="39">
        <f>'Interest Expense'!$K18</f>
        <v>1290674.2619673936</v>
      </c>
      <c r="AS63" s="39">
        <f>'Interest Expense'!$K18</f>
        <v>1290674.2619673936</v>
      </c>
      <c r="AT63" s="39">
        <f>'Interest Expense'!$K18</f>
        <v>1290674.2619673936</v>
      </c>
      <c r="AU63" s="39">
        <f>'Interest Expense'!$K18</f>
        <v>1290674.2619673936</v>
      </c>
      <c r="AV63" s="39">
        <f>'Interest Expense'!$K18</f>
        <v>1290674.2619673936</v>
      </c>
      <c r="AW63" s="39">
        <f>'Interest Expense'!$K18</f>
        <v>1290674.2619673936</v>
      </c>
      <c r="AX63" s="39">
        <f>'Interest Expense'!$K18</f>
        <v>1290674.2619673936</v>
      </c>
      <c r="AY63" s="39">
        <f>'Interest Expense'!$K18</f>
        <v>1290674.2619673936</v>
      </c>
      <c r="AZ63" s="39">
        <f>'Interest Expense'!$K18</f>
        <v>1290674.2619673936</v>
      </c>
      <c r="BA63" s="31">
        <f t="shared" si="5"/>
        <v>15488091.143608727</v>
      </c>
    </row>
    <row r="64" spans="2:53" s="52" customFormat="1" x14ac:dyDescent="0.35">
      <c r="B64" s="51" t="s">
        <v>1354</v>
      </c>
      <c r="O64" s="75">
        <f t="shared" ref="O64:AN64" si="44">O63/O60</f>
        <v>7.9995484321564634</v>
      </c>
      <c r="P64" s="53">
        <f t="shared" ca="1" si="44"/>
        <v>2.686312503266334</v>
      </c>
      <c r="Q64" s="53">
        <f t="shared" ca="1" si="44"/>
        <v>-3.1724742762731846</v>
      </c>
      <c r="R64" s="75">
        <f t="shared" ca="1" si="44"/>
        <v>0.90047618810658603</v>
      </c>
      <c r="S64" s="53">
        <f t="shared" ca="1" si="44"/>
        <v>0.82673332613107975</v>
      </c>
      <c r="T64" s="53">
        <f t="shared" ca="1" si="44"/>
        <v>0.4441442198243134</v>
      </c>
      <c r="U64" s="53">
        <f t="shared" ca="1" si="44"/>
        <v>0.31357311284611916</v>
      </c>
      <c r="V64" s="53">
        <f t="shared" ca="1" si="44"/>
        <v>0.47654959170365679</v>
      </c>
      <c r="W64" s="53">
        <f t="shared" ca="1" si="44"/>
        <v>0.41419548680183094</v>
      </c>
      <c r="X64" s="53">
        <f t="shared" ca="1" si="44"/>
        <v>0.39642525034756704</v>
      </c>
      <c r="Y64" s="53">
        <f t="shared" ca="1" si="44"/>
        <v>0.30814432487827537</v>
      </c>
      <c r="Z64" s="53">
        <f t="shared" ca="1" si="44"/>
        <v>0.38927738838620984</v>
      </c>
      <c r="AA64" s="53">
        <f t="shared" ca="1" si="44"/>
        <v>0.64431818764211424</v>
      </c>
      <c r="AB64" s="53">
        <f t="shared" si="44"/>
        <v>0.50838569822900626</v>
      </c>
      <c r="AC64" s="53">
        <f t="shared" si="44"/>
        <v>0.65228447588215233</v>
      </c>
      <c r="AD64" s="53">
        <f t="shared" si="44"/>
        <v>2.0025831794990365</v>
      </c>
      <c r="AE64" s="53">
        <f t="shared" si="44"/>
        <v>0.37542304429497908</v>
      </c>
      <c r="AF64" s="53">
        <f t="shared" si="44"/>
        <v>0.25517596127982639</v>
      </c>
      <c r="AG64" s="53">
        <f t="shared" si="44"/>
        <v>0.25870432619992162</v>
      </c>
      <c r="AH64" s="53">
        <f t="shared" ca="1" si="44"/>
        <v>0.18804119046781212</v>
      </c>
      <c r="AI64" s="53">
        <f t="shared" ca="1" si="44"/>
        <v>0.2736292566795468</v>
      </c>
      <c r="AJ64" s="53">
        <f t="shared" ca="1" si="44"/>
        <v>0.24644647701729119</v>
      </c>
      <c r="AK64" s="53">
        <f t="shared" ca="1" si="44"/>
        <v>0.2359190427013852</v>
      </c>
      <c r="AL64" s="53">
        <f t="shared" ca="1" si="44"/>
        <v>0.19577573183372296</v>
      </c>
      <c r="AM64" s="53">
        <f t="shared" si="44"/>
        <v>0.22956084094015278</v>
      </c>
      <c r="AN64" s="53">
        <f t="shared" ca="1" si="44"/>
        <v>0.29140081367774756</v>
      </c>
      <c r="AO64" s="53">
        <f t="shared" ref="AO64:AZ64" si="45">AO63/AO60</f>
        <v>0.27864929529951526</v>
      </c>
      <c r="AP64" s="53">
        <f t="shared" si="45"/>
        <v>0.3255805870923133</v>
      </c>
      <c r="AQ64" s="53">
        <f t="shared" si="45"/>
        <v>0.52846895152678397</v>
      </c>
      <c r="AR64" s="53">
        <f t="shared" si="45"/>
        <v>0.22303245134770303</v>
      </c>
      <c r="AS64" s="53">
        <f t="shared" si="45"/>
        <v>0.16460713391826132</v>
      </c>
      <c r="AT64" s="53">
        <f t="shared" si="45"/>
        <v>0.17123647825517241</v>
      </c>
      <c r="AU64" s="53">
        <f t="shared" ca="1" si="45"/>
        <v>0.13338739172114938</v>
      </c>
      <c r="AV64" s="53">
        <f t="shared" ca="1" si="45"/>
        <v>0.18159162380852287</v>
      </c>
      <c r="AW64" s="53">
        <f t="shared" ca="1" si="45"/>
        <v>0.16755789954924116</v>
      </c>
      <c r="AX64" s="53">
        <f t="shared" ca="1" si="45"/>
        <v>0.15989857070057606</v>
      </c>
      <c r="AY64" s="53">
        <f t="shared" ca="1" si="45"/>
        <v>0.13759271770718984</v>
      </c>
      <c r="AZ64" s="53">
        <f t="shared" si="45"/>
        <v>0.15717172758337203</v>
      </c>
      <c r="BA64" s="53">
        <f ca="1">BA63/BA60</f>
        <v>0.18806654141075116</v>
      </c>
    </row>
    <row r="65" spans="2:53" x14ac:dyDescent="0.35">
      <c r="B65" s="32" t="s">
        <v>31</v>
      </c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50">
        <f t="shared" si="2"/>
        <v>0</v>
      </c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50">
        <f t="shared" si="3"/>
        <v>0</v>
      </c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50">
        <f t="shared" si="5"/>
        <v>0</v>
      </c>
    </row>
    <row r="66" spans="2:53" x14ac:dyDescent="0.35">
      <c r="B66" s="42" t="s">
        <v>1436</v>
      </c>
      <c r="O66" s="44">
        <f t="shared" ref="O66:Z66" si="46">SUM(O37:O39)+SUM(O42:O58)</f>
        <v>4504202.489576051</v>
      </c>
      <c r="P66" s="44">
        <f t="shared" ca="1" si="46"/>
        <v>4479853.5973113729</v>
      </c>
      <c r="Q66" s="44">
        <f t="shared" ca="1" si="46"/>
        <v>4471141.8236892112</v>
      </c>
      <c r="R66" s="44">
        <f t="shared" ca="1" si="46"/>
        <v>5239671.8471022826</v>
      </c>
      <c r="S66" s="44">
        <f t="shared" ca="1" si="46"/>
        <v>5405646.1518361559</v>
      </c>
      <c r="T66" s="44">
        <f t="shared" ca="1" si="46"/>
        <v>5312343.7395622535</v>
      </c>
      <c r="U66" s="44">
        <f t="shared" ca="1" si="46"/>
        <v>5763899.6893565282</v>
      </c>
      <c r="V66" s="44">
        <f t="shared" ca="1" si="46"/>
        <v>5701684.4599081688</v>
      </c>
      <c r="W66" s="44">
        <f t="shared" ca="1" si="46"/>
        <v>5671703.1971611185</v>
      </c>
      <c r="X66" s="44">
        <f t="shared" ca="1" si="46"/>
        <v>5879314.1339594275</v>
      </c>
      <c r="Y66" s="44">
        <f t="shared" ca="1" si="46"/>
        <v>5930805.965504922</v>
      </c>
      <c r="Z66" s="44">
        <f t="shared" ca="1" si="46"/>
        <v>5906511.4184419923</v>
      </c>
      <c r="AA66" s="31">
        <f t="shared" ca="1" si="2"/>
        <v>64266778.513409495</v>
      </c>
      <c r="AB66" s="44">
        <f t="shared" ref="AB66:AM66" si="47">SUM(AB37:AB39)+SUM(AB42:AB58)</f>
        <v>5983711.4089641841</v>
      </c>
      <c r="AC66" s="44">
        <f t="shared" si="47"/>
        <v>5863892.2224016851</v>
      </c>
      <c r="AD66" s="44">
        <f t="shared" si="47"/>
        <v>5868566.3504329352</v>
      </c>
      <c r="AE66" s="44">
        <f t="shared" si="47"/>
        <v>6324122.8520266851</v>
      </c>
      <c r="AF66" s="44">
        <f t="shared" si="47"/>
        <v>6618337.0859954357</v>
      </c>
      <c r="AG66" s="44">
        <f t="shared" si="47"/>
        <v>6360105.2419016855</v>
      </c>
      <c r="AH66" s="44">
        <f t="shared" ca="1" si="47"/>
        <v>6609329.0815742137</v>
      </c>
      <c r="AI66" s="44">
        <f t="shared" ca="1" si="47"/>
        <v>6369598.990139341</v>
      </c>
      <c r="AJ66" s="44">
        <f t="shared" ca="1" si="47"/>
        <v>6339530.7915237416</v>
      </c>
      <c r="AK66" s="44">
        <f t="shared" ca="1" si="47"/>
        <v>6582256.599523915</v>
      </c>
      <c r="AL66" s="44">
        <f t="shared" ca="1" si="47"/>
        <v>6655974.2381793205</v>
      </c>
      <c r="AM66" s="44">
        <f t="shared" si="47"/>
        <v>6510693.911960572</v>
      </c>
      <c r="AN66" s="31">
        <f t="shared" ca="1" si="3"/>
        <v>76086118.774623722</v>
      </c>
      <c r="AO66" s="44">
        <f t="shared" ref="AO66:AZ66" si="48">SUM(AO37:AO39)+SUM(AO42:AO58)</f>
        <v>6546767.3450181978</v>
      </c>
      <c r="AP66" s="44">
        <f t="shared" si="48"/>
        <v>6402471.8583728857</v>
      </c>
      <c r="AQ66" s="44">
        <f t="shared" si="48"/>
        <v>6434305.003896324</v>
      </c>
      <c r="AR66" s="44">
        <f t="shared" si="48"/>
        <v>6983107.1369369486</v>
      </c>
      <c r="AS66" s="44">
        <f t="shared" si="48"/>
        <v>7367988.9264916359</v>
      </c>
      <c r="AT66" s="44">
        <f t="shared" si="48"/>
        <v>7015829.3939369489</v>
      </c>
      <c r="AU66" s="44">
        <f t="shared" ca="1" si="48"/>
        <v>7535322.3864799831</v>
      </c>
      <c r="AV66" s="44">
        <f t="shared" ca="1" si="48"/>
        <v>7249933.8413021509</v>
      </c>
      <c r="AW66" s="44">
        <f t="shared" ca="1" si="48"/>
        <v>7203625.1177893719</v>
      </c>
      <c r="AX66" s="44">
        <f t="shared" ca="1" si="48"/>
        <v>7525460.1701239729</v>
      </c>
      <c r="AY66" s="44">
        <f t="shared" ca="1" si="48"/>
        <v>7602077.7744416231</v>
      </c>
      <c r="AZ66" s="44">
        <f t="shared" si="48"/>
        <v>7425556.8973541232</v>
      </c>
      <c r="BA66" s="31">
        <f t="shared" ca="1" si="5"/>
        <v>85292445.852144167</v>
      </c>
    </row>
    <row r="67" spans="2:53" x14ac:dyDescent="0.35">
      <c r="B67" s="45" t="s">
        <v>1436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74">
        <f t="shared" ref="O67:AN67" si="49">O66/O18</f>
        <v>0.26695680636614066</v>
      </c>
      <c r="P67" s="47">
        <f t="shared" ca="1" si="49"/>
        <v>0.28715725652232921</v>
      </c>
      <c r="Q67" s="47">
        <f t="shared" ca="1" si="49"/>
        <v>0.34919688172227525</v>
      </c>
      <c r="R67" s="74">
        <f t="shared" ca="1" si="49"/>
        <v>0.28118552131475694</v>
      </c>
      <c r="S67" s="47">
        <f t="shared" ca="1" si="49"/>
        <v>0.25453219455678328</v>
      </c>
      <c r="T67" s="47">
        <f t="shared" ca="1" si="49"/>
        <v>0.24853652312511729</v>
      </c>
      <c r="U67" s="47">
        <f t="shared" ca="1" si="49"/>
        <v>0.23428110700761448</v>
      </c>
      <c r="V67" s="47">
        <f t="shared" ca="1" si="49"/>
        <v>0.27936040435895731</v>
      </c>
      <c r="W67" s="47">
        <f t="shared" ca="1" si="49"/>
        <v>0.26531369046719788</v>
      </c>
      <c r="X67" s="47">
        <f t="shared" ca="1" si="49"/>
        <v>0.27104120753861927</v>
      </c>
      <c r="Y67" s="47">
        <f t="shared" ca="1" si="49"/>
        <v>0.24693470630538147</v>
      </c>
      <c r="Z67" s="47">
        <f t="shared" ca="1" si="49"/>
        <v>0.2674469856349897</v>
      </c>
      <c r="AA67" s="57">
        <f t="shared" ca="1" si="49"/>
        <v>0.26699153795971053</v>
      </c>
      <c r="AB67" s="47">
        <f t="shared" si="49"/>
        <v>0.28371592825154174</v>
      </c>
      <c r="AC67" s="47">
        <f t="shared" si="49"/>
        <v>0.30069897000885493</v>
      </c>
      <c r="AD67" s="47">
        <f t="shared" si="49"/>
        <v>0.36666876615612359</v>
      </c>
      <c r="AE67" s="47">
        <f t="shared" si="49"/>
        <v>0.27150582447091598</v>
      </c>
      <c r="AF67" s="47">
        <f t="shared" si="49"/>
        <v>0.24930671605173518</v>
      </c>
      <c r="AG67" s="47">
        <f t="shared" si="49"/>
        <v>0.23804460268790242</v>
      </c>
      <c r="AH67" s="47">
        <f t="shared" ca="1" si="49"/>
        <v>0.21491573653415774</v>
      </c>
      <c r="AI67" s="47">
        <f t="shared" ca="1" si="49"/>
        <v>0.24966849877460834</v>
      </c>
      <c r="AJ67" s="47">
        <f t="shared" ca="1" si="49"/>
        <v>0.23724292356785953</v>
      </c>
      <c r="AK67" s="47">
        <f t="shared" ca="1" si="49"/>
        <v>0.24275794576229318</v>
      </c>
      <c r="AL67" s="47">
        <f t="shared" ca="1" si="49"/>
        <v>0.22170221763996867</v>
      </c>
      <c r="AM67" s="47">
        <f t="shared" si="49"/>
        <v>0.23584350731420292</v>
      </c>
      <c r="AN67" s="57">
        <f t="shared" ca="1" si="49"/>
        <v>0.25287528441816431</v>
      </c>
      <c r="AO67" s="47">
        <f t="shared" ref="AO67:AZ67" si="50">AO66/AO18</f>
        <v>0.25110460399290063</v>
      </c>
      <c r="AP67" s="47">
        <f t="shared" si="50"/>
        <v>0.26499131050539426</v>
      </c>
      <c r="AQ67" s="47">
        <f t="shared" si="50"/>
        <v>0.31959590414793965</v>
      </c>
      <c r="AR67" s="47">
        <f t="shared" si="50"/>
        <v>0.2417019690951262</v>
      </c>
      <c r="AS67" s="47">
        <f t="shared" si="50"/>
        <v>0.22328259227137473</v>
      </c>
      <c r="AT67" s="47">
        <f t="shared" si="50"/>
        <v>0.2130177049700212</v>
      </c>
      <c r="AU67" s="47">
        <f t="shared" ca="1" si="50"/>
        <v>0.19851792652113054</v>
      </c>
      <c r="AV67" s="47">
        <f t="shared" ca="1" si="50"/>
        <v>0.22882475053503773</v>
      </c>
      <c r="AW67" s="47">
        <f t="shared" ca="1" si="50"/>
        <v>0.21783114834162598</v>
      </c>
      <c r="AX67" s="47">
        <f t="shared" ca="1" si="50"/>
        <v>0.22307453404180663</v>
      </c>
      <c r="AY67" s="47">
        <f t="shared" ca="1" si="50"/>
        <v>0.20463655702510261</v>
      </c>
      <c r="AZ67" s="47">
        <f t="shared" si="50"/>
        <v>0.21689371802614976</v>
      </c>
      <c r="BA67" s="57">
        <f ca="1">BA66/BA18</f>
        <v>0.22865249020141176</v>
      </c>
    </row>
    <row r="68" spans="2:53" x14ac:dyDescent="0.35">
      <c r="B68" s="42" t="s">
        <v>1435</v>
      </c>
      <c r="O68" s="76">
        <f t="shared" ref="O68:Z68" si="51">O66+O33+SUM(O62:O63)</f>
        <v>16881983.118971325</v>
      </c>
      <c r="P68" s="54">
        <f t="shared" ca="1" si="51"/>
        <v>16076378.097049598</v>
      </c>
      <c r="Q68" s="54">
        <f t="shared" ca="1" si="51"/>
        <v>13780276.709274879</v>
      </c>
      <c r="R68" s="76">
        <f t="shared" ca="1" si="51"/>
        <v>17300153.535525996</v>
      </c>
      <c r="S68" s="54">
        <f t="shared" ca="1" si="51"/>
        <v>19303481.864399061</v>
      </c>
      <c r="T68" s="54">
        <f t="shared" ca="1" si="51"/>
        <v>19097932.550149571</v>
      </c>
      <c r="U68" s="54">
        <f t="shared" ca="1" si="51"/>
        <v>21013712.061480563</v>
      </c>
      <c r="V68" s="54">
        <f t="shared" ca="1" si="51"/>
        <v>18345075.734251305</v>
      </c>
      <c r="W68" s="54">
        <f t="shared" ca="1" si="51"/>
        <v>18880973.905296791</v>
      </c>
      <c r="X68" s="54">
        <f t="shared" ca="1" si="51"/>
        <v>19015400.954311229</v>
      </c>
      <c r="Y68" s="54">
        <f t="shared" ca="1" si="51"/>
        <v>20390093.096468884</v>
      </c>
      <c r="Z68" s="54">
        <f t="shared" ca="1" si="51"/>
        <v>19363968.285082955</v>
      </c>
      <c r="AA68" s="31">
        <f t="shared" ca="1" si="2"/>
        <v>219449429.91226217</v>
      </c>
      <c r="AB68" s="54">
        <f t="shared" ref="AB68:AM68" si="52">AB66+AB33+SUM(AB62:AB63)</f>
        <v>19166357.546621501</v>
      </c>
      <c r="AC68" s="54">
        <f t="shared" si="52"/>
        <v>18168591.657846503</v>
      </c>
      <c r="AD68" s="54">
        <f t="shared" si="52"/>
        <v>16076918.030499</v>
      </c>
      <c r="AE68" s="54">
        <f t="shared" si="52"/>
        <v>20425430.612616502</v>
      </c>
      <c r="AF68" s="54">
        <f t="shared" si="52"/>
        <v>21994485.087524001</v>
      </c>
      <c r="AG68" s="54">
        <f t="shared" si="52"/>
        <v>22231203.10963133</v>
      </c>
      <c r="AH68" s="54">
        <f t="shared" ca="1" si="52"/>
        <v>24310706.401224758</v>
      </c>
      <c r="AI68" s="54">
        <f t="shared" ca="1" si="52"/>
        <v>21321543.687563758</v>
      </c>
      <c r="AJ68" s="54">
        <f t="shared" ca="1" si="52"/>
        <v>21986548.781188834</v>
      </c>
      <c r="AK68" s="54">
        <f t="shared" ca="1" si="52"/>
        <v>22137794.729459163</v>
      </c>
      <c r="AL68" s="54">
        <f t="shared" ca="1" si="52"/>
        <v>23865512.756379772</v>
      </c>
      <c r="AM68" s="54">
        <f t="shared" si="52"/>
        <v>22467944.599757273</v>
      </c>
      <c r="AN68" s="31">
        <f t="shared" ca="1" si="3"/>
        <v>254153037.00031242</v>
      </c>
      <c r="AO68" s="54">
        <f t="shared" ref="AO68:AZ68" si="53">AO66+AO33+SUM(AO62:AO63)</f>
        <v>21954975.795860343</v>
      </c>
      <c r="AP68" s="54">
        <f t="shared" si="53"/>
        <v>20750053.70352922</v>
      </c>
      <c r="AQ68" s="54">
        <f t="shared" si="53"/>
        <v>18324119.604753595</v>
      </c>
      <c r="AR68" s="54">
        <f t="shared" si="53"/>
        <v>23563067.771147843</v>
      </c>
      <c r="AS68" s="54">
        <f t="shared" si="53"/>
        <v>25534020.183860723</v>
      </c>
      <c r="AT68" s="54">
        <f t="shared" si="53"/>
        <v>25775775.985707846</v>
      </c>
      <c r="AU68" s="54">
        <f t="shared" ca="1" si="53"/>
        <v>28559037.300381798</v>
      </c>
      <c r="AV68" s="54">
        <f t="shared" ca="1" si="53"/>
        <v>24978549.736317504</v>
      </c>
      <c r="AW68" s="54">
        <f t="shared" ca="1" si="53"/>
        <v>25741950.601380099</v>
      </c>
      <c r="AX68" s="54">
        <f t="shared" ca="1" si="53"/>
        <v>26025083.144538775</v>
      </c>
      <c r="AY68" s="54">
        <f t="shared" ca="1" si="53"/>
        <v>28062222.941033315</v>
      </c>
      <c r="AZ68" s="54">
        <f t="shared" si="53"/>
        <v>26375767.976036318</v>
      </c>
      <c r="BA68" s="31">
        <f t="shared" ca="1" si="5"/>
        <v>295644624.74454737</v>
      </c>
    </row>
    <row r="69" spans="2:53" x14ac:dyDescent="0.35">
      <c r="B69" s="45" t="s">
        <v>1435</v>
      </c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74">
        <f t="shared" ref="O69:AN69" si="54">O68/O22</f>
        <v>1.0880088688350726</v>
      </c>
      <c r="P69" s="47">
        <f t="shared" ca="1" si="54"/>
        <v>1.066339213401527</v>
      </c>
      <c r="Q69" s="47">
        <f t="shared" ca="1" si="54"/>
        <v>1.1771341781860769</v>
      </c>
      <c r="R69" s="74">
        <f t="shared" ca="1" si="54"/>
        <v>0.97604294545464032</v>
      </c>
      <c r="S69" s="47">
        <f t="shared" ca="1" si="54"/>
        <v>0.96891809350072144</v>
      </c>
      <c r="T69" s="47">
        <f t="shared" ca="1" si="54"/>
        <v>0.91172597786479281</v>
      </c>
      <c r="U69" s="47">
        <f t="shared" ca="1" si="54"/>
        <v>0.87156053094588815</v>
      </c>
      <c r="V69" s="47">
        <f t="shared" ca="1" si="54"/>
        <v>0.91718111696965221</v>
      </c>
      <c r="W69" s="47">
        <f t="shared" ca="1" si="54"/>
        <v>0.90124834662855358</v>
      </c>
      <c r="X69" s="47">
        <f t="shared" ca="1" si="54"/>
        <v>0.89451591076838777</v>
      </c>
      <c r="Y69" s="47">
        <f t="shared" ca="1" si="54"/>
        <v>0.86628650879535596</v>
      </c>
      <c r="Z69" s="47">
        <f t="shared" ca="1" si="54"/>
        <v>0.89469486851668956</v>
      </c>
      <c r="AA69" s="57">
        <f t="shared" ca="1" si="54"/>
        <v>0.94429976349760525</v>
      </c>
      <c r="AB69" s="47">
        <f t="shared" si="54"/>
        <v>0.927313513693106</v>
      </c>
      <c r="AC69" s="47">
        <f t="shared" si="54"/>
        <v>0.95069486809229242</v>
      </c>
      <c r="AD69" s="47">
        <f t="shared" si="54"/>
        <v>1.0249876197601735</v>
      </c>
      <c r="AE69" s="47">
        <f t="shared" si="54"/>
        <v>0.8947959263880978</v>
      </c>
      <c r="AF69" s="47">
        <f t="shared" si="54"/>
        <v>0.8454205858741024</v>
      </c>
      <c r="AG69" s="47">
        <f t="shared" si="54"/>
        <v>0.84904542797039906</v>
      </c>
      <c r="AH69" s="47">
        <f t="shared" ca="1" si="54"/>
        <v>0.80664480856042298</v>
      </c>
      <c r="AI69" s="47">
        <f t="shared" ca="1" si="54"/>
        <v>0.85279417924082257</v>
      </c>
      <c r="AJ69" s="47">
        <f t="shared" ca="1" si="54"/>
        <v>0.83958977271000035</v>
      </c>
      <c r="AK69" s="47">
        <f t="shared" ca="1" si="54"/>
        <v>0.83311878250291949</v>
      </c>
      <c r="AL69" s="47">
        <f t="shared" ca="1" si="54"/>
        <v>0.8111535981134137</v>
      </c>
      <c r="AM69" s="47">
        <f t="shared" si="54"/>
        <v>0.83048905858849797</v>
      </c>
      <c r="AN69" s="57">
        <f t="shared" ca="1" si="54"/>
        <v>0.86192639679093608</v>
      </c>
      <c r="AO69" s="47">
        <f t="shared" ref="AO69:AZ69" si="55">AO68/AO22</f>
        <v>0.85927990391745568</v>
      </c>
      <c r="AP69" s="47">
        <f t="shared" si="55"/>
        <v>0.87634901746050153</v>
      </c>
      <c r="AQ69" s="47">
        <f t="shared" si="55"/>
        <v>0.92874524485612231</v>
      </c>
      <c r="AR69" s="47">
        <f t="shared" si="55"/>
        <v>0.83221825893781509</v>
      </c>
      <c r="AS69" s="47">
        <f t="shared" si="55"/>
        <v>0.7895852426337886</v>
      </c>
      <c r="AT69" s="47">
        <f t="shared" si="55"/>
        <v>0.79858721802668486</v>
      </c>
      <c r="AU69" s="47">
        <f t="shared" ca="1" si="55"/>
        <v>0.76774214330648094</v>
      </c>
      <c r="AV69" s="47">
        <f t="shared" ca="1" si="55"/>
        <v>0.80447045325871613</v>
      </c>
      <c r="AW69" s="47">
        <f t="shared" ca="1" si="55"/>
        <v>0.79429943588679386</v>
      </c>
      <c r="AX69" s="47">
        <f t="shared" ca="1" si="55"/>
        <v>0.78719618910877864</v>
      </c>
      <c r="AY69" s="47">
        <f t="shared" ca="1" si="55"/>
        <v>0.77080923049943317</v>
      </c>
      <c r="AZ69" s="47">
        <f t="shared" si="55"/>
        <v>0.78613472709339105</v>
      </c>
      <c r="BA69" s="57">
        <f ca="1">BA68/BA22</f>
        <v>0.80874066107738429</v>
      </c>
    </row>
    <row r="70" spans="2:53" s="27" customFormat="1" x14ac:dyDescent="0.35">
      <c r="B70" s="27" t="s">
        <v>38</v>
      </c>
      <c r="O70" s="35">
        <f>O60-SUM(O62:O63)</f>
        <v>-1603040.1970949951</v>
      </c>
      <c r="P70" s="35">
        <f t="shared" ref="P70:Z70" ca="1" si="56">P60-SUM(P62:P65)</f>
        <v>-1144951.6144621065</v>
      </c>
      <c r="Q70" s="35">
        <f t="shared" ca="1" si="56"/>
        <v>-2383607.7174565848</v>
      </c>
      <c r="R70" s="35">
        <f t="shared" ca="1" si="56"/>
        <v>199508.68239193666</v>
      </c>
      <c r="S70" s="35">
        <f t="shared" ca="1" si="56"/>
        <v>389834.90963387396</v>
      </c>
      <c r="T70" s="35">
        <f t="shared" ca="1" si="56"/>
        <v>1615305.3885475837</v>
      </c>
      <c r="U70" s="35">
        <f t="shared" ca="1" si="56"/>
        <v>2825348.7985705603</v>
      </c>
      <c r="V70" s="35">
        <f t="shared" ca="1" si="56"/>
        <v>1417698.7118793412</v>
      </c>
      <c r="W70" s="35">
        <f t="shared" ca="1" si="56"/>
        <v>1825424.6129269307</v>
      </c>
      <c r="X70" s="35">
        <f t="shared" ca="1" si="56"/>
        <v>1965107.5119806887</v>
      </c>
      <c r="Y70" s="35">
        <f t="shared" ca="1" si="56"/>
        <v>2897863.5847845036</v>
      </c>
      <c r="Z70" s="35">
        <f t="shared" ca="1" si="56"/>
        <v>2024889.7778067458</v>
      </c>
      <c r="AA70" s="31">
        <f t="shared" ca="1" si="2"/>
        <v>10029382.449508479</v>
      </c>
      <c r="AB70" s="35">
        <f t="shared" ref="AB70:AM70" si="57">AB60-SUM(AB62:AB65)</f>
        <v>1248095.0386001086</v>
      </c>
      <c r="AC70" s="35">
        <f t="shared" si="57"/>
        <v>688023.50597632956</v>
      </c>
      <c r="AD70" s="35">
        <f t="shared" si="57"/>
        <v>-646171.56922487519</v>
      </c>
      <c r="AE70" s="35">
        <f t="shared" si="57"/>
        <v>2147245.0150677618</v>
      </c>
      <c r="AF70" s="35">
        <f t="shared" si="57"/>
        <v>3767302.9486573441</v>
      </c>
      <c r="AG70" s="35">
        <f t="shared" si="57"/>
        <v>3698319.2117716484</v>
      </c>
      <c r="AH70" s="35">
        <f t="shared" ca="1" si="57"/>
        <v>5573110.3343593078</v>
      </c>
      <c r="AI70" s="35">
        <f t="shared" ca="1" si="57"/>
        <v>3426197.7668374805</v>
      </c>
      <c r="AJ70" s="35">
        <f t="shared" ca="1" si="57"/>
        <v>3946463.7034536786</v>
      </c>
      <c r="AK70" s="35">
        <f t="shared" ca="1" si="57"/>
        <v>4180160.9513785308</v>
      </c>
      <c r="AL70" s="35">
        <f t="shared" ca="1" si="57"/>
        <v>5301941.7459015343</v>
      </c>
      <c r="AM70" s="35">
        <f t="shared" si="57"/>
        <v>4331688.0014889278</v>
      </c>
      <c r="AN70" s="31">
        <f t="shared" ca="1" si="3"/>
        <v>37662376.654267773</v>
      </c>
      <c r="AO70" s="35">
        <f t="shared" ref="AO70:AZ70" si="58">AO60-SUM(AO62:AO65)</f>
        <v>3341220.4030976682</v>
      </c>
      <c r="AP70" s="35">
        <f t="shared" si="58"/>
        <v>2673549.0582600017</v>
      </c>
      <c r="AQ70" s="35">
        <f t="shared" si="58"/>
        <v>1151614.8809597604</v>
      </c>
      <c r="AR70" s="35">
        <f t="shared" si="58"/>
        <v>4496260.3496770104</v>
      </c>
      <c r="AS70" s="35">
        <f t="shared" si="58"/>
        <v>6550263.1515519554</v>
      </c>
      <c r="AT70" s="35">
        <f t="shared" si="58"/>
        <v>6246704.722912984</v>
      </c>
      <c r="AU70" s="35">
        <f t="shared" ca="1" si="58"/>
        <v>8385459.4979114495</v>
      </c>
      <c r="AV70" s="35">
        <f t="shared" ca="1" si="58"/>
        <v>5816890.5139983296</v>
      </c>
      <c r="AW70" s="35">
        <f t="shared" ca="1" si="58"/>
        <v>6412180.914445499</v>
      </c>
      <c r="AX70" s="35">
        <f t="shared" ca="1" si="58"/>
        <v>6781156.7165392255</v>
      </c>
      <c r="AY70" s="35">
        <f t="shared" ca="1" si="58"/>
        <v>8089722.2048159214</v>
      </c>
      <c r="AZ70" s="35">
        <f t="shared" si="58"/>
        <v>6921198.5545339156</v>
      </c>
      <c r="BA70" s="31">
        <f t="shared" ca="1" si="5"/>
        <v>66866220.968703717</v>
      </c>
    </row>
    <row r="71" spans="2:53" x14ac:dyDescent="0.35">
      <c r="B71" s="49" t="s">
        <v>38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73">
        <f>O70/O$22</f>
        <v>-0.10331262264908322</v>
      </c>
      <c r="P71" s="41">
        <f t="shared" ref="P71:AN71" ca="1" si="59">P70/P$22</f>
        <v>-7.5944145912591896E-2</v>
      </c>
      <c r="Q71" s="41">
        <f t="shared" ca="1" si="59"/>
        <v>-0.20361173950286304</v>
      </c>
      <c r="R71" s="73">
        <f t="shared" ca="1" si="59"/>
        <v>1.1255914093809782E-2</v>
      </c>
      <c r="S71" s="41">
        <f t="shared" ca="1" si="59"/>
        <v>1.9567355779430418E-2</v>
      </c>
      <c r="T71" s="41">
        <f t="shared" ca="1" si="59"/>
        <v>7.7113890786690453E-2</v>
      </c>
      <c r="U71" s="41">
        <f t="shared" ca="1" si="59"/>
        <v>0.11718360334361538</v>
      </c>
      <c r="V71" s="41">
        <f t="shared" ca="1" si="59"/>
        <v>7.0879319710859631E-2</v>
      </c>
      <c r="W71" s="41">
        <f t="shared" ca="1" si="59"/>
        <v>8.7133265611576152E-2</v>
      </c>
      <c r="X71" s="41">
        <f t="shared" ca="1" si="59"/>
        <v>9.2441907486503355E-2</v>
      </c>
      <c r="Y71" s="41">
        <f t="shared" ca="1" si="59"/>
        <v>0.12311763933353032</v>
      </c>
      <c r="Z71" s="41">
        <f t="shared" ca="1" si="59"/>
        <v>9.3558224576891474E-2</v>
      </c>
      <c r="AA71" s="73">
        <f t="shared" ca="1" si="59"/>
        <v>4.3156837905135484E-2</v>
      </c>
      <c r="AB71" s="41">
        <f t="shared" si="59"/>
        <v>6.0385777154157952E-2</v>
      </c>
      <c r="AC71" s="41">
        <f t="shared" si="59"/>
        <v>3.6001712657572751E-2</v>
      </c>
      <c r="AD71" s="41">
        <f t="shared" si="59"/>
        <v>-4.1196817539284537E-2</v>
      </c>
      <c r="AE71" s="41">
        <f t="shared" si="59"/>
        <v>9.4066368973048459E-2</v>
      </c>
      <c r="AF71" s="41">
        <f t="shared" si="59"/>
        <v>0.14480700290754875</v>
      </c>
      <c r="AG71" s="41">
        <f t="shared" si="59"/>
        <v>0.14124476315766435</v>
      </c>
      <c r="AH71" s="41">
        <f t="shared" ca="1" si="59"/>
        <v>0.18491937027872202</v>
      </c>
      <c r="AI71" s="41">
        <f t="shared" ca="1" si="59"/>
        <v>0.13703705300621052</v>
      </c>
      <c r="AJ71" s="41">
        <f t="shared" ca="1" si="59"/>
        <v>0.15070171297760998</v>
      </c>
      <c r="AK71" s="41">
        <f t="shared" ca="1" si="59"/>
        <v>0.15731334783064041</v>
      </c>
      <c r="AL71" s="41">
        <f t="shared" ca="1" si="59"/>
        <v>0.18020518427897914</v>
      </c>
      <c r="AM71" s="41">
        <f t="shared" si="59"/>
        <v>0.16011342179001525</v>
      </c>
      <c r="AN71" s="73">
        <f t="shared" ca="1" si="59"/>
        <v>0.12772696713498721</v>
      </c>
      <c r="AO71" s="41">
        <f t="shared" ref="AO71:AZ71" si="60">AO70/AO$22</f>
        <v>0.13076960656372702</v>
      </c>
      <c r="AP71" s="41">
        <f t="shared" si="60"/>
        <v>0.11291354344495527</v>
      </c>
      <c r="AQ71" s="41">
        <f t="shared" si="60"/>
        <v>5.83687984834734E-2</v>
      </c>
      <c r="AR71" s="41">
        <f t="shared" si="60"/>
        <v>0.15880232558347612</v>
      </c>
      <c r="AS71" s="41">
        <f t="shared" si="60"/>
        <v>0.20255295024409722</v>
      </c>
      <c r="AT71" s="41">
        <f t="shared" si="60"/>
        <v>0.19353592106291109</v>
      </c>
      <c r="AU71" s="41">
        <f t="shared" ca="1" si="60"/>
        <v>0.22542323747902235</v>
      </c>
      <c r="AV71" s="41">
        <f t="shared" ca="1" si="60"/>
        <v>0.18734140283367973</v>
      </c>
      <c r="AW71" s="41">
        <f t="shared" ca="1" si="60"/>
        <v>0.19785570107010717</v>
      </c>
      <c r="AX71" s="41">
        <f t="shared" ca="1" si="60"/>
        <v>0.20511368572243155</v>
      </c>
      <c r="AY71" s="41">
        <f t="shared" ca="1" si="60"/>
        <v>0.22220736257249363</v>
      </c>
      <c r="AZ71" s="41">
        <f t="shared" si="60"/>
        <v>0.20628762513270146</v>
      </c>
      <c r="BA71" s="73">
        <f ca="1">BA70/BA$22</f>
        <v>0.1829136308387195</v>
      </c>
    </row>
    <row r="72" spans="2:53" x14ac:dyDescent="0.35"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5"/>
      <c r="AN72" s="35"/>
      <c r="BA72" s="35"/>
    </row>
    <row r="73" spans="2:53" x14ac:dyDescent="0.35">
      <c r="O73" s="30"/>
      <c r="P73" s="63"/>
      <c r="Q73" s="63"/>
      <c r="R73" s="30">
        <f t="shared" ref="R73:Z73" ca="1" si="61">R66+SUM(R27:R32)</f>
        <v>7999822.1200622041</v>
      </c>
      <c r="S73" s="63">
        <f t="shared" ca="1" si="61"/>
        <v>8209904.2659410778</v>
      </c>
      <c r="T73" s="63">
        <f t="shared" ca="1" si="61"/>
        <v>8128008.6381821744</v>
      </c>
      <c r="U73" s="63">
        <f t="shared" ca="1" si="61"/>
        <v>8638636.9034755342</v>
      </c>
      <c r="V73" s="63">
        <f t="shared" ca="1" si="61"/>
        <v>8092819.9996766578</v>
      </c>
      <c r="W73" s="63">
        <f t="shared" ca="1" si="61"/>
        <v>8080545.234363053</v>
      </c>
      <c r="X73" s="30">
        <f t="shared" ca="1" si="61"/>
        <v>8293906.7509962358</v>
      </c>
      <c r="Y73" s="63">
        <f t="shared" ca="1" si="61"/>
        <v>8387966.6051521748</v>
      </c>
      <c r="Z73" s="63">
        <f t="shared" ca="1" si="61"/>
        <v>8328299.6987662455</v>
      </c>
      <c r="AA73" s="64"/>
      <c r="AN73" s="64"/>
      <c r="BA73" s="64"/>
    </row>
    <row r="74" spans="2:53" x14ac:dyDescent="0.35">
      <c r="O74" s="55"/>
      <c r="P74" s="55"/>
      <c r="Q74" s="55"/>
      <c r="R74" s="278">
        <f t="shared" ref="R74:Z74" ca="1" si="62">R73/R18</f>
        <v>0.42930821221161564</v>
      </c>
      <c r="S74" s="65">
        <f t="shared" ca="1" si="62"/>
        <v>0.3865744984438666</v>
      </c>
      <c r="T74" s="65">
        <f t="shared" ca="1" si="62"/>
        <v>0.38026662164583075</v>
      </c>
      <c r="U74" s="65">
        <f t="shared" ca="1" si="62"/>
        <v>0.35112849387721046</v>
      </c>
      <c r="V74" s="65">
        <f t="shared" ca="1" si="62"/>
        <v>0.39651676331985947</v>
      </c>
      <c r="W74" s="65">
        <f t="shared" ca="1" si="62"/>
        <v>0.37799567477174667</v>
      </c>
      <c r="X74" s="65">
        <f t="shared" ca="1" si="62"/>
        <v>0.38235590917282991</v>
      </c>
      <c r="Y74" s="65">
        <f t="shared" ca="1" si="62"/>
        <v>0.34924090961493132</v>
      </c>
      <c r="Z74" s="65">
        <f t="shared" ca="1" si="62"/>
        <v>0.37710561990030972</v>
      </c>
      <c r="AA74" s="56"/>
      <c r="AN74" s="56"/>
      <c r="BA74" s="56"/>
    </row>
    <row r="78" spans="2:53" x14ac:dyDescent="0.35">
      <c r="R78" s="39"/>
    </row>
  </sheetData>
  <conditionalFormatting sqref="O70:BA71">
    <cfRule type="expression" dxfId="110" priority="1">
      <formula>"&lt;0"</formula>
    </cfRule>
  </conditionalFormatting>
  <pageMargins left="0.7" right="0.7" top="0.75" bottom="0.75" header="0.3" footer="0.3"/>
  <headerFooter>
    <oddHeader>&amp;R&amp;"Calibri"&amp;10&amp;K000000 Confidencial&amp;1#_x000D_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2E099-229D-4473-A234-8AF84D1BFCD1}">
  <sheetPr codeName="Sheet17"/>
  <dimension ref="B4:E12"/>
  <sheetViews>
    <sheetView workbookViewId="0">
      <selection activeCell="C17" sqref="C17"/>
    </sheetView>
  </sheetViews>
  <sheetFormatPr baseColWidth="10" defaultColWidth="8.88671875" defaultRowHeight="14.4" x14ac:dyDescent="0.3"/>
  <cols>
    <col min="2" max="2" width="24.109375" bestFit="1" customWidth="1"/>
    <col min="3" max="3" width="13.44140625" bestFit="1" customWidth="1"/>
    <col min="4" max="4" width="13.88671875" customWidth="1"/>
    <col min="5" max="5" width="13" customWidth="1"/>
  </cols>
  <sheetData>
    <row r="4" spans="2:5" x14ac:dyDescent="0.3">
      <c r="C4" t="s">
        <v>1849</v>
      </c>
      <c r="D4" t="s">
        <v>1851</v>
      </c>
      <c r="E4" t="s">
        <v>1699</v>
      </c>
    </row>
    <row r="5" spans="2:5" x14ac:dyDescent="0.3">
      <c r="B5" t="s">
        <v>1848</v>
      </c>
      <c r="C5" s="61">
        <f ca="1">SUM('MODELO SESAJAL (ROLLING) STS QU'!N35:Q35)</f>
        <v>-24000470.226310231</v>
      </c>
      <c r="D5" s="61">
        <f ca="1">SUM('Cashflow (ROLLING) CAP'!N34:Q34)</f>
        <v>9260671.7629925571</v>
      </c>
      <c r="E5" s="2">
        <f ca="1">D5-C5</f>
        <v>33261141.989302788</v>
      </c>
    </row>
    <row r="6" spans="2:5" x14ac:dyDescent="0.3">
      <c r="B6" t="s">
        <v>1850</v>
      </c>
      <c r="C6" s="1">
        <f>SUM('Interest Expense'!$C6:$C13)+6000000</f>
        <v>109187274.29072481</v>
      </c>
      <c r="D6" s="1">
        <f>SUM('Interest Expense'!$C6:$C13)-'Interest Expense'!C13+14000000</f>
        <v>87589065.386308119</v>
      </c>
      <c r="E6" s="2">
        <f>D6-C6</f>
        <v>-21598208.904416695</v>
      </c>
    </row>
    <row r="7" spans="2:5" x14ac:dyDescent="0.3">
      <c r="B7" t="s">
        <v>1852</v>
      </c>
      <c r="C7" s="61">
        <f>SUM('MODELO SESAJAL (ROLLING) STS QU'!N26:Q26)</f>
        <v>10579770.118020117</v>
      </c>
      <c r="D7" s="1">
        <f>SUM('Cashflow (ROLLING) CAP'!N26:Q26)</f>
        <v>15318628.128717329</v>
      </c>
      <c r="E7" s="2">
        <f>D7-C7</f>
        <v>4738858.0106972121</v>
      </c>
    </row>
    <row r="8" spans="2:5" x14ac:dyDescent="0.3">
      <c r="C8" s="1"/>
      <c r="D8" s="1"/>
    </row>
    <row r="10" spans="2:5" x14ac:dyDescent="0.3">
      <c r="E10" s="15"/>
    </row>
    <row r="11" spans="2:5" x14ac:dyDescent="0.3">
      <c r="E11" s="15"/>
    </row>
    <row r="12" spans="2:5" x14ac:dyDescent="0.3">
      <c r="E12" s="15"/>
    </row>
  </sheetData>
  <pageMargins left="0.7" right="0.7" top="0.75" bottom="0.75" header="0.3" footer="0.3"/>
  <headerFooter>
    <oddHeader>&amp;R&amp;"Calibri"&amp;10&amp;K000000 Confidencial&amp;1#_x000D_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533C-DF34-42E5-A825-2A89765AD0A6}">
  <sheetPr codeName="Sheet19">
    <pageSetUpPr autoPageBreaks="0"/>
  </sheetPr>
  <dimension ref="A1:AB216"/>
  <sheetViews>
    <sheetView zoomScale="64" zoomScaleNormal="6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T6" sqref="T6"/>
    </sheetView>
  </sheetViews>
  <sheetFormatPr baseColWidth="10" defaultColWidth="11" defaultRowHeight="14.4" x14ac:dyDescent="0.3"/>
  <cols>
    <col min="1" max="1" width="37.109375" customWidth="1"/>
    <col min="2" max="2" width="12" bestFit="1" customWidth="1"/>
    <col min="3" max="4" width="11.44140625" customWidth="1"/>
    <col min="5" max="13" width="12.33203125" bestFit="1" customWidth="1"/>
    <col min="14" max="14" width="13.109375" bestFit="1" customWidth="1"/>
    <col min="15" max="18" width="12.5546875" bestFit="1" customWidth="1"/>
    <col min="19" max="25" width="12.33203125" customWidth="1"/>
    <col min="26" max="26" width="12" bestFit="1" customWidth="1"/>
  </cols>
  <sheetData>
    <row r="1" spans="1:26" ht="25.8" x14ac:dyDescent="0.5">
      <c r="A1" s="77">
        <v>2025</v>
      </c>
      <c r="G1" s="2"/>
    </row>
    <row r="2" spans="1:26" x14ac:dyDescent="0.3">
      <c r="A2" s="78" t="s">
        <v>1591</v>
      </c>
      <c r="B2" s="79">
        <f>'[2]P&amp;L CONSOLIDADO Mensual'!$C$94</f>
        <v>19.017099999999999</v>
      </c>
      <c r="C2" s="79">
        <f>'[2]P&amp;L CONSOLIDADO Mensual'!$F$94</f>
        <v>18.622199999999999</v>
      </c>
      <c r="D2" s="79">
        <f>'[2]P&amp;L CONSOLIDADO Mensual'!$I$94</f>
        <v>18.3887</v>
      </c>
      <c r="E2" s="79">
        <f>'[2]P&amp;L CONSOLIDADO Mensual'!$L$94</f>
        <v>18.087900000000001</v>
      </c>
      <c r="F2" s="79">
        <f>'[2]P&amp;L CONSOLIDADO Mensual'!$O$94</f>
        <v>17.748899999999999</v>
      </c>
      <c r="G2" s="79">
        <f>'[2]P&amp;L CONSOLIDADO Mensual'!$R$94</f>
        <v>17.268799999999999</v>
      </c>
      <c r="H2" s="79">
        <f>'[2]P&amp;L CONSOLIDADO Mensual'!$U$94</f>
        <v>0</v>
      </c>
      <c r="I2" s="79">
        <f>'[2]P&amp;L CONSOLIDADO Mensual'!$X$94</f>
        <v>0</v>
      </c>
      <c r="J2" s="79">
        <f>'[2]P&amp;L CONSOLIDADO Mensual'!$AA$94</f>
        <v>0</v>
      </c>
      <c r="K2" s="79">
        <f>'[2]P&amp;L CONSOLIDADO Mensual'!$AD$94</f>
        <v>0</v>
      </c>
      <c r="L2" s="79">
        <f>'[2]P&amp;L CONSOLIDADO Mensual'!$AG$94</f>
        <v>0</v>
      </c>
      <c r="M2" s="79">
        <f>'[2]P&amp;L CONSOLIDADO Mensual'!$AJ$94</f>
        <v>0</v>
      </c>
      <c r="N2" s="79">
        <f>'[2]P&amp;L CONSOLIDADO Mensual'!$AN$94</f>
        <v>0</v>
      </c>
      <c r="O2" s="79"/>
      <c r="P2" s="263">
        <f>687500</f>
        <v>687500</v>
      </c>
      <c r="Q2" s="264">
        <v>0.27500000000000002</v>
      </c>
      <c r="R2" s="263">
        <f>(Q2/365)*80*S2</f>
        <v>687500</v>
      </c>
      <c r="S2" s="263">
        <v>11406250</v>
      </c>
      <c r="T2" s="263">
        <f>P2-R2</f>
        <v>0</v>
      </c>
      <c r="U2" s="80"/>
      <c r="V2" s="80"/>
      <c r="W2" s="80"/>
    </row>
    <row r="3" spans="1:26" ht="15" thickBot="1" x14ac:dyDescent="0.35">
      <c r="A3" s="78">
        <f>'[2]P&amp;L CONSOLIDADO Mensual'!B95</f>
        <v>19.361499999999999</v>
      </c>
      <c r="B3" s="79">
        <f>'[2]P&amp;L CONSOLIDADO Mensual'!$C$95</f>
        <v>18.779299999999999</v>
      </c>
      <c r="C3" s="79">
        <f>'[2]P&amp;L CONSOLIDADO Mensual'!$F$95</f>
        <v>18.407699999999998</v>
      </c>
      <c r="D3" s="79">
        <f>'[2]P&amp;L CONSOLIDADO Mensual'!$I$95</f>
        <v>18.0932</v>
      </c>
      <c r="E3" s="79">
        <f>'[2]P&amp;L CONSOLIDADO Mensual'!$L$95</f>
        <v>18.072299999999998</v>
      </c>
      <c r="F3" s="79">
        <f>'[2]P&amp;L CONSOLIDADO Mensual'!$O$95</f>
        <v>17.653199999999998</v>
      </c>
      <c r="G3" s="79">
        <f>'[2]P&amp;L CONSOLIDADO Mensual'!$R$95</f>
        <v>17.1187</v>
      </c>
      <c r="H3" s="79">
        <f>'[2]P&amp;L CONSOLIDADO Mensual'!$U$95</f>
        <v>17</v>
      </c>
      <c r="I3" s="79">
        <f>'[2]P&amp;L CONSOLIDADO Mensual'!$X$95</f>
        <v>17</v>
      </c>
      <c r="J3" s="79">
        <f>'[2]P&amp;L CONSOLIDADO Mensual'!$AA$95</f>
        <v>17</v>
      </c>
      <c r="K3" s="79">
        <f>'[2]P&amp;L CONSOLIDADO Mensual'!$AD$95</f>
        <v>17.5</v>
      </c>
      <c r="L3" s="79">
        <f>'[2]P&amp;L CONSOLIDADO Mensual'!$AG$95</f>
        <v>17.5</v>
      </c>
      <c r="M3" s="79">
        <f>'[2]P&amp;L CONSOLIDADO Mensual'!$AJ$95</f>
        <v>17.5</v>
      </c>
      <c r="N3" s="79">
        <f>'[2]P&amp;L CONSOLIDADO Mensual'!$AN$95</f>
        <v>17.635366666666666</v>
      </c>
      <c r="O3" s="79"/>
      <c r="P3" s="79"/>
      <c r="Q3" s="79"/>
      <c r="R3" s="79"/>
      <c r="S3" s="79"/>
      <c r="T3" s="79"/>
      <c r="U3" s="79"/>
      <c r="V3" s="79"/>
    </row>
    <row r="4" spans="1:26" ht="18.600000000000001" thickBot="1" x14ac:dyDescent="0.4">
      <c r="A4" s="81"/>
      <c r="B4" s="154" t="s">
        <v>1592</v>
      </c>
      <c r="C4" s="154" t="s">
        <v>1593</v>
      </c>
      <c r="D4" s="154" t="s">
        <v>1594</v>
      </c>
      <c r="E4" s="82" t="s">
        <v>1687</v>
      </c>
      <c r="F4" s="82" t="s">
        <v>1688</v>
      </c>
      <c r="G4" s="82" t="s">
        <v>1689</v>
      </c>
      <c r="H4" s="82" t="s">
        <v>1595</v>
      </c>
      <c r="I4" s="82" t="s">
        <v>1596</v>
      </c>
      <c r="J4" s="82" t="s">
        <v>1597</v>
      </c>
      <c r="K4" s="82" t="s">
        <v>1598</v>
      </c>
      <c r="L4" s="82" t="s">
        <v>1599</v>
      </c>
      <c r="M4" s="82" t="s">
        <v>1600</v>
      </c>
      <c r="N4" s="82" t="s">
        <v>1601</v>
      </c>
      <c r="O4" s="82" t="s">
        <v>1698</v>
      </c>
      <c r="P4" s="82" t="s">
        <v>1822</v>
      </c>
      <c r="Q4" s="82" t="s">
        <v>1823</v>
      </c>
      <c r="R4" s="82" t="s">
        <v>1687</v>
      </c>
      <c r="S4" s="82" t="s">
        <v>1688</v>
      </c>
      <c r="T4" s="82" t="s">
        <v>1689</v>
      </c>
      <c r="U4" s="82" t="s">
        <v>1595</v>
      </c>
      <c r="V4" s="82" t="s">
        <v>1596</v>
      </c>
      <c r="W4" s="82" t="s">
        <v>1597</v>
      </c>
      <c r="X4" s="82" t="s">
        <v>1598</v>
      </c>
      <c r="Y4" s="82" t="s">
        <v>1599</v>
      </c>
    </row>
    <row r="5" spans="1:26" x14ac:dyDescent="0.3">
      <c r="A5" s="70"/>
      <c r="B5" s="84"/>
      <c r="C5" s="84"/>
      <c r="D5" s="84"/>
      <c r="E5" s="85"/>
      <c r="F5" s="85"/>
      <c r="G5" s="84"/>
      <c r="H5" s="84"/>
      <c r="I5" s="84"/>
      <c r="J5" s="84"/>
      <c r="K5" s="84"/>
      <c r="L5" s="84"/>
      <c r="M5" s="86"/>
      <c r="N5" s="84"/>
      <c r="O5" s="84"/>
      <c r="P5" s="84"/>
      <c r="Q5" s="84"/>
      <c r="R5" s="84"/>
      <c r="S5" s="84"/>
      <c r="T5" s="84"/>
      <c r="U5" s="87"/>
      <c r="V5" s="87"/>
    </row>
    <row r="6" spans="1:26" ht="15.6" x14ac:dyDescent="0.3">
      <c r="A6" s="88" t="s">
        <v>1602</v>
      </c>
      <c r="B6" s="153"/>
      <c r="C6" s="153"/>
      <c r="D6" s="153"/>
      <c r="E6" s="153"/>
      <c r="F6" s="153">
        <f>(C160+D160)/2</f>
        <v>14260344.79999999</v>
      </c>
      <c r="G6" s="153">
        <f>(D160+E160)/2</f>
        <v>14870117.424999995</v>
      </c>
      <c r="H6" s="153">
        <f>(E160+F160)/2</f>
        <v>19009320.774999991</v>
      </c>
      <c r="I6" s="153">
        <f>(F160+G160)/2-(G45/2)</f>
        <v>15040749.829999991</v>
      </c>
      <c r="J6" s="153">
        <f>(G160+H160)/2-((G45+H45)/2)</f>
        <v>15273981.399999999</v>
      </c>
      <c r="K6" s="153">
        <f ca="1">(H160+I160)/2-((H45+I45)/2)</f>
        <v>20350482.969169278</v>
      </c>
      <c r="L6" s="153">
        <f ca="1">(I160+J160)/2-((I45+J45)/2)</f>
        <v>18446498.362561949</v>
      </c>
      <c r="M6" s="153">
        <f ca="1">(J160+K160)/2-((J45+K45)/2)</f>
        <v>18801534.709052444</v>
      </c>
      <c r="N6" s="153">
        <f ca="1">SUM(B6,C6,D6,E6,F6,G6,H6,I6,J6,K6,L6,M6)</f>
        <v>136053030.27078363</v>
      </c>
      <c r="O6" s="153">
        <f ca="1">(K160+L160)/2-((K45+L45)/2)</f>
        <v>16506409.921839666</v>
      </c>
      <c r="P6" s="153">
        <f ca="1">(L160+M160)/2-((L45+M45)/2)</f>
        <v>14598557.512459785</v>
      </c>
      <c r="Q6" s="153">
        <f>(M160+O160)/2-((M45+O45)/2)</f>
        <v>16155402.268154893</v>
      </c>
      <c r="R6" s="153">
        <f>(O160+P160)/2-((O45+P45)/2)</f>
        <v>15148104.251624994</v>
      </c>
      <c r="S6" s="153">
        <f>(P160+Q160)/2-((P45+Q45)/2)</f>
        <v>12595931.794499986</v>
      </c>
      <c r="T6" s="153">
        <f>(Q160+R160)/2-((Q45+R45)/2)</f>
        <v>11412085.994999997</v>
      </c>
      <c r="U6" s="87"/>
      <c r="V6" s="87"/>
      <c r="W6" s="4"/>
    </row>
    <row r="7" spans="1:26" hidden="1" x14ac:dyDescent="0.3">
      <c r="A7" s="71" t="s">
        <v>1603</v>
      </c>
      <c r="B7" s="90"/>
      <c r="C7" s="90"/>
      <c r="D7" s="90"/>
      <c r="E7" s="90"/>
      <c r="F7" s="90">
        <f t="shared" ref="F7:M8" si="0">F6*$W7</f>
        <v>10970093.027433237</v>
      </c>
      <c r="G7" s="90">
        <f t="shared" si="0"/>
        <v>11439174.421722682</v>
      </c>
      <c r="H7" s="90">
        <f t="shared" si="0"/>
        <v>14623350.291647179</v>
      </c>
      <c r="I7" s="90">
        <f t="shared" si="0"/>
        <v>11570437.261618715</v>
      </c>
      <c r="J7" s="90">
        <f t="shared" si="0"/>
        <v>11749855.926154399</v>
      </c>
      <c r="K7" s="90">
        <f t="shared" ca="1" si="0"/>
        <v>15655069.667388611</v>
      </c>
      <c r="L7" s="90">
        <f t="shared" ca="1" si="0"/>
        <v>14190386.411112556</v>
      </c>
      <c r="M7" s="90">
        <f t="shared" ca="1" si="0"/>
        <v>14463506.157075554</v>
      </c>
      <c r="N7" s="90">
        <f ca="1">SUM(B7,C7,D7,E7,F7,G7,H7,I7,J7,K7,L7,M7)</f>
        <v>104661873.16415294</v>
      </c>
      <c r="O7" s="60"/>
      <c r="P7" s="60"/>
      <c r="Q7" s="60"/>
      <c r="R7" s="60"/>
      <c r="S7" s="60"/>
      <c r="T7" s="60"/>
      <c r="U7" s="91"/>
      <c r="V7" s="91"/>
      <c r="W7" s="92">
        <v>0.76927263549989655</v>
      </c>
      <c r="X7" s="92">
        <f ca="1">N7/($N$7+$N$8)</f>
        <v>0.81252763921941362</v>
      </c>
    </row>
    <row r="8" spans="1:26" hidden="1" x14ac:dyDescent="0.3">
      <c r="A8" s="71" t="s">
        <v>1604</v>
      </c>
      <c r="B8" s="90"/>
      <c r="C8" s="90"/>
      <c r="D8" s="90"/>
      <c r="E8" s="90"/>
      <c r="F8" s="90">
        <f t="shared" si="0"/>
        <v>2531100.652540633</v>
      </c>
      <c r="G8" s="90">
        <f t="shared" si="0"/>
        <v>2639330.5663810708</v>
      </c>
      <c r="H8" s="90">
        <f t="shared" si="0"/>
        <v>3374007.0729535744</v>
      </c>
      <c r="I8" s="90">
        <f t="shared" si="0"/>
        <v>2669616.4954870814</v>
      </c>
      <c r="J8" s="90">
        <f t="shared" si="0"/>
        <v>2711013.2910975278</v>
      </c>
      <c r="K8" s="90">
        <f t="shared" ca="1" si="0"/>
        <v>3612052.9654220869</v>
      </c>
      <c r="L8" s="90">
        <f t="shared" ca="1" si="0"/>
        <v>3274110.457874083</v>
      </c>
      <c r="M8" s="90">
        <f t="shared" ca="1" si="0"/>
        <v>3337126.6570530636</v>
      </c>
      <c r="N8" s="90">
        <f ca="1">SUM(B8,C8,D8,E8,F8,G8,H8,I8,J8,K8,L8,M8)</f>
        <v>24148358.158809122</v>
      </c>
      <c r="O8" s="60"/>
      <c r="P8" s="60"/>
      <c r="Q8" s="60"/>
      <c r="R8" s="60"/>
      <c r="S8" s="60"/>
      <c r="T8" s="60"/>
      <c r="U8" s="91"/>
      <c r="V8" s="91"/>
      <c r="W8" s="92">
        <v>0.23072736450010356</v>
      </c>
      <c r="X8" s="92">
        <f ca="1">N8/($N$7+$N$8)</f>
        <v>0.18747236078058629</v>
      </c>
    </row>
    <row r="9" spans="1:26" hidden="1" x14ac:dyDescent="0.3">
      <c r="A9" s="71" t="s">
        <v>1605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60"/>
      <c r="P9" s="60"/>
      <c r="Q9" s="60"/>
      <c r="R9" s="60"/>
      <c r="S9" s="60"/>
      <c r="T9" s="60"/>
      <c r="U9" s="91"/>
      <c r="V9" s="91"/>
      <c r="W9" s="92"/>
      <c r="X9" s="92"/>
    </row>
    <row r="10" spans="1:26" x14ac:dyDescent="0.3">
      <c r="A10" s="70"/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8"/>
      <c r="P10" s="98"/>
      <c r="Q10" s="98"/>
      <c r="R10" s="98"/>
      <c r="S10" s="98"/>
      <c r="T10" s="98"/>
      <c r="U10" s="87"/>
      <c r="V10" s="87"/>
    </row>
    <row r="11" spans="1:26" ht="15.6" x14ac:dyDescent="0.3">
      <c r="A11" s="88" t="s">
        <v>1606</v>
      </c>
      <c r="B11" s="89"/>
      <c r="C11" s="89"/>
      <c r="D11" s="89"/>
      <c r="E11" s="89"/>
      <c r="F11" s="89">
        <f>+F13+F16+F18</f>
        <v>15405064.225721162</v>
      </c>
      <c r="G11" s="89">
        <f>+G13+G16+G18</f>
        <v>16143004.535721175</v>
      </c>
      <c r="H11" s="89">
        <f t="shared" ref="H11:T11" si="1">+H13+H16+H18</f>
        <v>19068042.385721166</v>
      </c>
      <c r="I11" s="89">
        <f t="shared" ca="1" si="1"/>
        <v>16012464.169932768</v>
      </c>
      <c r="J11" s="89">
        <f t="shared" ca="1" si="1"/>
        <v>18287734.884502508</v>
      </c>
      <c r="K11" s="89">
        <f t="shared" ca="1" si="1"/>
        <v>20080956.547977239</v>
      </c>
      <c r="L11" s="89">
        <f t="shared" ca="1" si="1"/>
        <v>18608389.462486032</v>
      </c>
      <c r="M11" s="89">
        <f t="shared" ca="1" si="1"/>
        <v>18396859.947895318</v>
      </c>
      <c r="N11" s="89">
        <f t="shared" ca="1" si="1"/>
        <v>208623620.44567853</v>
      </c>
      <c r="O11" s="89">
        <f t="shared" ca="1" si="1"/>
        <v>17896792.442484714</v>
      </c>
      <c r="P11" s="89">
        <f t="shared" si="1"/>
        <v>18408509.359311711</v>
      </c>
      <c r="Q11" s="89">
        <f t="shared" si="1"/>
        <v>18426282.119774301</v>
      </c>
      <c r="R11" s="89">
        <f t="shared" si="1"/>
        <v>17080092.191206798</v>
      </c>
      <c r="S11" s="89">
        <f t="shared" si="1"/>
        <v>15921348.094206795</v>
      </c>
      <c r="T11" s="153">
        <f t="shared" si="1"/>
        <v>19253206.183061626</v>
      </c>
      <c r="U11" s="87"/>
      <c r="V11" s="87"/>
    </row>
    <row r="12" spans="1:26" x14ac:dyDescent="0.3">
      <c r="A12" s="70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8"/>
      <c r="P12" s="98"/>
      <c r="Q12" s="98"/>
      <c r="R12" s="98"/>
      <c r="S12" s="98"/>
      <c r="T12" s="98"/>
      <c r="U12" s="87"/>
      <c r="V12" s="87"/>
    </row>
    <row r="13" spans="1:26" x14ac:dyDescent="0.3">
      <c r="A13" s="4" t="s">
        <v>1607</v>
      </c>
      <c r="B13" s="155">
        <f>B14+B15</f>
        <v>7018326.9942788193</v>
      </c>
      <c r="C13" s="94">
        <f>C14+C15</f>
        <v>6012174.0042788172</v>
      </c>
      <c r="D13" s="94">
        <f>D14+D15</f>
        <v>4998330.9542788202</v>
      </c>
      <c r="E13" s="155">
        <f t="shared" ref="E13:M13" si="2">C161</f>
        <v>6015156.4000000004</v>
      </c>
      <c r="F13" s="155">
        <f t="shared" si="2"/>
        <v>5001313.3499999996</v>
      </c>
      <c r="G13" s="155">
        <f t="shared" si="2"/>
        <v>6747553.1200000001</v>
      </c>
      <c r="H13" s="155">
        <f t="shared" si="2"/>
        <v>9012876.0499999989</v>
      </c>
      <c r="I13" s="155">
        <f t="shared" si="2"/>
        <v>7262528.1799999997</v>
      </c>
      <c r="J13" s="155">
        <f t="shared" si="2"/>
        <v>10160675.45999999</v>
      </c>
      <c r="K13" s="155">
        <f t="shared" ca="1" si="2"/>
        <v>11742138.746890638</v>
      </c>
      <c r="L13" s="155">
        <f t="shared" ca="1" si="2"/>
        <v>10489663.151934197</v>
      </c>
      <c r="M13" s="155">
        <f t="shared" ca="1" si="2"/>
        <v>10119141.892560793</v>
      </c>
      <c r="N13" s="153">
        <f ca="1">SUM(B13,C13,D13,E13,F13,G13,H13,I13,J13,K13,L13,M13)</f>
        <v>94579878.304222062</v>
      </c>
      <c r="O13" s="155">
        <f ca="1">L161</f>
        <v>9023722.1765729114</v>
      </c>
      <c r="P13" s="155">
        <f>M161</f>
        <v>9812380.4773749113</v>
      </c>
      <c r="Q13" s="155">
        <f>O161</f>
        <v>10128671.0260875</v>
      </c>
      <c r="R13" s="155">
        <f>P161</f>
        <v>8834817.5621949937</v>
      </c>
      <c r="S13" s="155">
        <f>Q161</f>
        <v>6800166.5146949952</v>
      </c>
      <c r="T13" s="155">
        <f>R161</f>
        <v>10450621.093204999</v>
      </c>
      <c r="U13" s="87"/>
      <c r="V13" s="87"/>
      <c r="W13" s="95">
        <f ca="1">SUM(B13,C13,D13,E13,F13:M13)</f>
        <v>94579878.304222062</v>
      </c>
      <c r="X13" s="95"/>
      <c r="Y13" s="96" t="s">
        <v>1608</v>
      </c>
      <c r="Z13" s="96" t="s">
        <v>1609</v>
      </c>
    </row>
    <row r="14" spans="1:26" hidden="1" x14ac:dyDescent="0.3">
      <c r="A14" s="71" t="s">
        <v>1610</v>
      </c>
      <c r="B14" s="114">
        <f t="shared" ref="B14:M15" si="3">(B$143-B$16)*$X14</f>
        <v>4765471.479131192</v>
      </c>
      <c r="C14" s="90">
        <f t="shared" si="3"/>
        <v>4082289.6636648867</v>
      </c>
      <c r="D14" s="90">
        <f t="shared" si="3"/>
        <v>3393886.2673812932</v>
      </c>
      <c r="E14" s="90">
        <f t="shared" si="3"/>
        <v>4579589.9010881912</v>
      </c>
      <c r="F14" s="90">
        <f t="shared" si="3"/>
        <v>6117753.0306683592</v>
      </c>
      <c r="G14" s="90">
        <f t="shared" si="3"/>
        <v>4929259.9809939004</v>
      </c>
      <c r="H14" s="90">
        <f t="shared" si="3"/>
        <v>6897113.3193208314</v>
      </c>
      <c r="I14" s="90">
        <f t="shared" ca="1" si="3"/>
        <v>7970933.0765242176</v>
      </c>
      <c r="J14" s="90">
        <f t="shared" ca="1" si="3"/>
        <v>7120497.2488777889</v>
      </c>
      <c r="K14" s="90">
        <f t="shared" ca="1" si="3"/>
        <v>6868911.8645839114</v>
      </c>
      <c r="L14" s="90">
        <f t="shared" ca="1" si="3"/>
        <v>6125117.5930326385</v>
      </c>
      <c r="M14" s="114">
        <f t="shared" si="3"/>
        <v>6660619.663870276</v>
      </c>
      <c r="N14" s="90">
        <f ca="1">SUM(B14,C14,D14,E14,F14,G14,H14,I14,J14,K14,L14,M14)</f>
        <v>69511443.089137495</v>
      </c>
      <c r="O14" s="60"/>
      <c r="P14" s="60"/>
      <c r="Q14" s="60"/>
      <c r="R14" s="60"/>
      <c r="S14" s="60"/>
      <c r="T14" s="60"/>
      <c r="U14" s="91"/>
      <c r="V14" s="91"/>
      <c r="W14" s="95">
        <f ca="1">SUM(B14,C14,D14,E14,F14:M14)</f>
        <v>69511443.089137495</v>
      </c>
      <c r="X14" s="254">
        <v>0.67900391119078607</v>
      </c>
      <c r="Y14" s="97">
        <f ca="1">N13+N16</f>
        <v>94615667.052876249</v>
      </c>
      <c r="Z14" s="97">
        <f ca="1">N161</f>
        <v>102408458.39533344</v>
      </c>
    </row>
    <row r="15" spans="1:26" hidden="1" x14ac:dyDescent="0.3">
      <c r="A15" s="71" t="s">
        <v>1611</v>
      </c>
      <c r="B15" s="114">
        <f t="shared" si="3"/>
        <v>2252855.5151476273</v>
      </c>
      <c r="C15" s="90">
        <f t="shared" si="3"/>
        <v>1929884.3406139305</v>
      </c>
      <c r="D15" s="90">
        <f t="shared" si="3"/>
        <v>1604444.6868975272</v>
      </c>
      <c r="E15" s="90">
        <f t="shared" si="3"/>
        <v>2164980.8231906286</v>
      </c>
      <c r="F15" s="90">
        <f t="shared" si="3"/>
        <v>2892140.6236104555</v>
      </c>
      <c r="G15" s="90">
        <f t="shared" si="3"/>
        <v>2330285.803284918</v>
      </c>
      <c r="H15" s="90">
        <f t="shared" si="3"/>
        <v>3260579.7449579765</v>
      </c>
      <c r="I15" s="90">
        <f t="shared" ca="1" si="3"/>
        <v>3768223.2746452382</v>
      </c>
      <c r="J15" s="90">
        <f t="shared" ca="1" si="3"/>
        <v>3366183.5073352284</v>
      </c>
      <c r="K15" s="90">
        <f t="shared" ca="1" si="3"/>
        <v>3247247.6322557013</v>
      </c>
      <c r="L15" s="90">
        <f t="shared" ca="1" si="3"/>
        <v>2895622.1878190907</v>
      </c>
      <c r="M15" s="90">
        <f t="shared" si="3"/>
        <v>3148778.4177834531</v>
      </c>
      <c r="N15" s="90">
        <f ca="1">SUM(B15,C15,D15,E15,F15,G15,H15,I15,J15,K15,L15,M15)</f>
        <v>32861226.557541776</v>
      </c>
      <c r="O15" s="60"/>
      <c r="P15" s="60"/>
      <c r="Q15" s="60"/>
      <c r="R15" s="60"/>
      <c r="S15" s="60"/>
      <c r="T15" s="60"/>
      <c r="U15" s="91"/>
      <c r="V15" s="91"/>
      <c r="W15" s="95">
        <f ca="1">SUM(B15,C15,D15,E15,F15:M15)</f>
        <v>32861226.557541776</v>
      </c>
      <c r="X15" s="15">
        <v>0.32099608880921393</v>
      </c>
      <c r="Z15" s="92"/>
    </row>
    <row r="16" spans="1:26" hidden="1" x14ac:dyDescent="0.3">
      <c r="A16" s="71" t="s">
        <v>1612</v>
      </c>
      <c r="B16" s="90">
        <v>2982.3957211816751</v>
      </c>
      <c r="C16" s="90">
        <v>2982.3957211816751</v>
      </c>
      <c r="D16" s="90">
        <v>2982.3957211816751</v>
      </c>
      <c r="E16" s="90">
        <v>2982.3957211816751</v>
      </c>
      <c r="F16" s="90">
        <v>2982.3957211816751</v>
      </c>
      <c r="G16" s="90">
        <v>2982.3957211816751</v>
      </c>
      <c r="H16" s="90">
        <v>2982.3957211816751</v>
      </c>
      <c r="I16" s="90">
        <v>2982.3957211816751</v>
      </c>
      <c r="J16" s="90">
        <v>2982.3957211816751</v>
      </c>
      <c r="K16" s="90">
        <v>2982.3957211816751</v>
      </c>
      <c r="L16" s="90">
        <v>2982.3957211816751</v>
      </c>
      <c r="M16" s="90">
        <v>2982.3957211816751</v>
      </c>
      <c r="N16" s="90">
        <f>SUM(B16,C16,D16,E16,F16,G16,H16,I16,J16,K16,L16,M16)</f>
        <v>35788.748654180097</v>
      </c>
      <c r="O16" s="60"/>
      <c r="P16" s="60"/>
      <c r="Q16" s="60"/>
      <c r="R16" s="60"/>
      <c r="S16" s="60"/>
      <c r="T16" s="125"/>
      <c r="U16" s="91"/>
      <c r="V16" s="91"/>
      <c r="W16" s="95">
        <f>SUM(B16,C16,D16,E16,F16:M16)</f>
        <v>35788.748654180097</v>
      </c>
      <c r="X16" s="92"/>
      <c r="Z16" s="92"/>
    </row>
    <row r="17" spans="1:26" x14ac:dyDescent="0.3">
      <c r="A17" s="70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8"/>
      <c r="P17" s="98"/>
      <c r="Q17" s="98"/>
      <c r="R17" s="98"/>
      <c r="S17" s="98"/>
      <c r="T17" s="98"/>
      <c r="U17" s="87"/>
      <c r="V17" s="87"/>
    </row>
    <row r="18" spans="1:26" x14ac:dyDescent="0.3">
      <c r="A18" s="4" t="s">
        <v>1613</v>
      </c>
      <c r="B18" s="94">
        <f t="shared" ref="B18:G18" si="4">SUM(B19:B23)</f>
        <v>12019046.289999994</v>
      </c>
      <c r="C18" s="94">
        <f t="shared" si="4"/>
        <v>10041523.159999987</v>
      </c>
      <c r="D18" s="94">
        <f t="shared" si="4"/>
        <v>10835221.569999997</v>
      </c>
      <c r="E18" s="94">
        <f t="shared" si="4"/>
        <v>9669395.3299999852</v>
      </c>
      <c r="F18" s="94">
        <f t="shared" si="4"/>
        <v>10400768.479999982</v>
      </c>
      <c r="G18" s="94">
        <f t="shared" si="4"/>
        <v>9392469.019999994</v>
      </c>
      <c r="H18" s="94">
        <f t="shared" ref="H18:T18" si="5">SUM(H19:H23)</f>
        <v>10052183.939999985</v>
      </c>
      <c r="I18" s="94">
        <f t="shared" ca="1" si="5"/>
        <v>8746953.5942115877</v>
      </c>
      <c r="J18" s="94">
        <f t="shared" ca="1" si="5"/>
        <v>8124077.0287813377</v>
      </c>
      <c r="K18" s="94">
        <f t="shared" ca="1" si="5"/>
        <v>8335835.4053654196</v>
      </c>
      <c r="L18" s="94">
        <f t="shared" ca="1" si="5"/>
        <v>8115743.914830653</v>
      </c>
      <c r="M18" s="94">
        <f t="shared" ca="1" si="5"/>
        <v>8274735.659613342</v>
      </c>
      <c r="N18" s="153">
        <f t="shared" ref="N18:N23" ca="1" si="6">SUM(B18,C18,D18,E18,F18,G18,H18,I18,J18,K18,L18,M18)</f>
        <v>114007953.39280228</v>
      </c>
      <c r="O18" s="94">
        <f t="shared" si="5"/>
        <v>8873070.2659118008</v>
      </c>
      <c r="P18" s="94">
        <f t="shared" si="5"/>
        <v>8596128.8819367997</v>
      </c>
      <c r="Q18" s="94">
        <f t="shared" si="5"/>
        <v>8297611.0936867995</v>
      </c>
      <c r="R18" s="94">
        <f t="shared" si="5"/>
        <v>8245274.6290118024</v>
      </c>
      <c r="S18" s="94">
        <f t="shared" si="5"/>
        <v>9121181.5795117989</v>
      </c>
      <c r="T18" s="155">
        <f t="shared" si="5"/>
        <v>8802585.0898566265</v>
      </c>
      <c r="U18" s="98"/>
      <c r="V18" s="98"/>
      <c r="W18" s="4"/>
      <c r="X18" s="4"/>
      <c r="Y18" s="4"/>
      <c r="Z18" s="4"/>
    </row>
    <row r="19" spans="1:26" hidden="1" x14ac:dyDescent="0.3">
      <c r="A19" s="71" t="s">
        <v>1614</v>
      </c>
      <c r="B19" s="90">
        <f t="shared" ref="B19:G19" si="7">B165</f>
        <v>494367.55999999901</v>
      </c>
      <c r="C19" s="90">
        <f t="shared" si="7"/>
        <v>396171.07</v>
      </c>
      <c r="D19" s="90">
        <f t="shared" si="7"/>
        <v>343227.86</v>
      </c>
      <c r="E19" s="114">
        <f t="shared" si="7"/>
        <v>535156.62</v>
      </c>
      <c r="F19" s="90">
        <f t="shared" si="7"/>
        <v>519993.989999999</v>
      </c>
      <c r="G19" s="90">
        <f t="shared" si="7"/>
        <v>560717.71999999904</v>
      </c>
      <c r="H19" s="90">
        <f t="shared" ref="H19:M19" si="8">H165</f>
        <v>570275.00999999896</v>
      </c>
      <c r="I19" s="90">
        <f t="shared" ca="1" si="8"/>
        <v>764149.51311240462</v>
      </c>
      <c r="J19" s="90">
        <f t="shared" ca="1" si="8"/>
        <v>686656.50908526569</v>
      </c>
      <c r="K19" s="90">
        <f t="shared" ca="1" si="8"/>
        <v>678743.57514243503</v>
      </c>
      <c r="L19" s="90">
        <f t="shared" ca="1" si="8"/>
        <v>607363.15476611583</v>
      </c>
      <c r="M19" s="114">
        <f t="shared" si="8"/>
        <v>653773.01946611586</v>
      </c>
      <c r="N19" s="90">
        <f t="shared" ca="1" si="6"/>
        <v>6810595.601572332</v>
      </c>
      <c r="O19" s="114">
        <f t="shared" ref="O19:T19" si="9">O165</f>
        <v>702680.18062499992</v>
      </c>
      <c r="P19" s="114">
        <f t="shared" si="9"/>
        <v>616591.50824999961</v>
      </c>
      <c r="Q19" s="114">
        <f t="shared" si="9"/>
        <v>491322.68324999959</v>
      </c>
      <c r="R19" s="114">
        <f t="shared" si="9"/>
        <v>672682.58175000001</v>
      </c>
      <c r="S19" s="114">
        <f t="shared" si="9"/>
        <v>792079.7823749996</v>
      </c>
      <c r="T19" s="114">
        <f t="shared" si="9"/>
        <v>671392.7148749996</v>
      </c>
      <c r="U19" s="91"/>
      <c r="V19" s="91"/>
      <c r="W19" s="95">
        <f ca="1">SUM(B19,C19,D19,E19,F19:M19)</f>
        <v>6810595.601572332</v>
      </c>
      <c r="X19" s="92">
        <f ca="1">N19/N$18</f>
        <v>5.9737898970145961E-2</v>
      </c>
    </row>
    <row r="20" spans="1:26" hidden="1" x14ac:dyDescent="0.3">
      <c r="A20" s="71" t="s">
        <v>1615</v>
      </c>
      <c r="B20" s="90">
        <f t="shared" ref="B20:G20" si="10">B162</f>
        <v>3242912.49</v>
      </c>
      <c r="C20" s="90">
        <f t="shared" si="10"/>
        <v>2305460.1800000002</v>
      </c>
      <c r="D20" s="90">
        <f t="shared" si="10"/>
        <v>1787305.32</v>
      </c>
      <c r="E20" s="114">
        <f t="shared" si="10"/>
        <v>2025485.98</v>
      </c>
      <c r="F20" s="90">
        <f t="shared" si="10"/>
        <v>2081617.45999999</v>
      </c>
      <c r="G20" s="90">
        <f t="shared" si="10"/>
        <v>2047912.43</v>
      </c>
      <c r="H20" s="90">
        <f t="shared" ref="H20:M21" si="11">H162</f>
        <v>1940260.8999999899</v>
      </c>
      <c r="I20" s="90">
        <f t="shared" si="11"/>
        <v>1795060.8717747501</v>
      </c>
      <c r="J20" s="90">
        <f t="shared" si="11"/>
        <v>1388185.8717747501</v>
      </c>
      <c r="K20" s="90">
        <f t="shared" si="11"/>
        <v>1388185.8717747501</v>
      </c>
      <c r="L20" s="90">
        <f t="shared" si="11"/>
        <v>1388185.8717747501</v>
      </c>
      <c r="M20" s="90">
        <f t="shared" si="11"/>
        <v>1388185.8717747501</v>
      </c>
      <c r="N20" s="90">
        <f t="shared" si="6"/>
        <v>22778759.118873738</v>
      </c>
      <c r="O20" s="90">
        <f t="shared" ref="O20:T20" si="12">O162</f>
        <v>1388185.8717747501</v>
      </c>
      <c r="P20" s="90">
        <f t="shared" si="12"/>
        <v>1388185.8717747501</v>
      </c>
      <c r="Q20" s="90">
        <f t="shared" si="12"/>
        <v>1388185.8717747501</v>
      </c>
      <c r="R20" s="90">
        <f t="shared" si="12"/>
        <v>1388185.8717747501</v>
      </c>
      <c r="S20" s="90">
        <f t="shared" si="12"/>
        <v>1388185.8717747501</v>
      </c>
      <c r="T20" s="90">
        <f t="shared" si="12"/>
        <v>1388185.8717747501</v>
      </c>
      <c r="U20" s="91"/>
      <c r="V20" s="91"/>
      <c r="W20" s="95">
        <f>SUM(B20,C20,D20,E20,F20:M20)</f>
        <v>22778759.118873738</v>
      </c>
      <c r="X20" s="92">
        <f ca="1">N20/N$18</f>
        <v>0.1997997371323029</v>
      </c>
    </row>
    <row r="21" spans="1:26" hidden="1" x14ac:dyDescent="0.3">
      <c r="A21" s="71" t="s">
        <v>7</v>
      </c>
      <c r="B21" s="90">
        <f t="shared" ref="B21:G21" si="13">B163</f>
        <v>2217469.0799999963</v>
      </c>
      <c r="C21" s="90">
        <f t="shared" si="13"/>
        <v>2265220.0599999977</v>
      </c>
      <c r="D21" s="114">
        <f t="shared" si="13"/>
        <v>2320283.319999997</v>
      </c>
      <c r="E21" s="114">
        <f t="shared" si="13"/>
        <v>2494447.6399999987</v>
      </c>
      <c r="F21" s="90">
        <f t="shared" si="13"/>
        <v>2406419.3599999947</v>
      </c>
      <c r="G21" s="90">
        <f t="shared" si="13"/>
        <v>2922932.399999998</v>
      </c>
      <c r="H21" s="90">
        <f t="shared" si="11"/>
        <v>2546500.9999999981</v>
      </c>
      <c r="I21" s="90">
        <f t="shared" ca="1" si="11"/>
        <v>2776624.5345460479</v>
      </c>
      <c r="J21" s="90">
        <f t="shared" ca="1" si="11"/>
        <v>2726972.2244348736</v>
      </c>
      <c r="K21" s="90">
        <f t="shared" ca="1" si="11"/>
        <v>2755277.7889111326</v>
      </c>
      <c r="L21" s="90">
        <f t="shared" ca="1" si="11"/>
        <v>2677462.3930074056</v>
      </c>
      <c r="M21" s="90">
        <f t="shared" si="11"/>
        <v>2714790.3417280247</v>
      </c>
      <c r="N21" s="90">
        <f t="shared" ca="1" si="6"/>
        <v>30824400.14262747</v>
      </c>
      <c r="O21" s="90">
        <f t="shared" ref="O21:T21" si="14">O163</f>
        <v>2911984.976982282</v>
      </c>
      <c r="P21" s="90">
        <f t="shared" si="14"/>
        <v>2851722.9063197817</v>
      </c>
      <c r="Q21" s="90">
        <f t="shared" si="14"/>
        <v>2764034.7288197819</v>
      </c>
      <c r="R21" s="90">
        <f t="shared" si="14"/>
        <v>2890986.657769782</v>
      </c>
      <c r="S21" s="90">
        <f t="shared" si="14"/>
        <v>3006239.698207282</v>
      </c>
      <c r="T21" s="90">
        <f t="shared" si="14"/>
        <v>2856384.0613021092</v>
      </c>
      <c r="U21" s="91"/>
      <c r="V21" s="91"/>
      <c r="W21" s="95">
        <f ca="1">SUM(B21,C21,D21,E21,F21:M21)</f>
        <v>30824400.14262747</v>
      </c>
      <c r="X21" s="92">
        <f ca="1">N21/N$18</f>
        <v>0.27037061209602875</v>
      </c>
    </row>
    <row r="22" spans="1:26" hidden="1" x14ac:dyDescent="0.3">
      <c r="A22" s="71" t="s">
        <v>1616</v>
      </c>
      <c r="B22" s="114">
        <f t="shared" ref="B22:G22" si="15">B166</f>
        <v>1160984.1099999989</v>
      </c>
      <c r="C22" s="90">
        <f t="shared" si="15"/>
        <v>1314802.3399999999</v>
      </c>
      <c r="D22" s="90">
        <f t="shared" si="15"/>
        <v>1630274.21</v>
      </c>
      <c r="E22" s="114">
        <f t="shared" si="15"/>
        <v>1744545.4399999981</v>
      </c>
      <c r="F22" s="90">
        <f t="shared" si="15"/>
        <v>2118876.5899999989</v>
      </c>
      <c r="G22" s="90">
        <f t="shared" si="15"/>
        <v>1773434.42</v>
      </c>
      <c r="H22" s="90">
        <f t="shared" ref="H22:M23" si="16">H166</f>
        <v>2415689.6599999988</v>
      </c>
      <c r="I22" s="90">
        <f t="shared" ca="1" si="16"/>
        <v>1507233.9455927538</v>
      </c>
      <c r="J22" s="90">
        <f t="shared" ca="1" si="16"/>
        <v>1431293.1949720064</v>
      </c>
      <c r="K22" s="90">
        <f t="shared" ca="1" si="16"/>
        <v>1623977.7633464653</v>
      </c>
      <c r="L22" s="90">
        <f t="shared" ca="1" si="16"/>
        <v>1564978.8258211315</v>
      </c>
      <c r="M22" s="90">
        <f t="shared" ca="1" si="16"/>
        <v>1632497.7797332006</v>
      </c>
      <c r="N22" s="90">
        <f t="shared" ca="1" si="6"/>
        <v>19918588.279465552</v>
      </c>
      <c r="O22" s="90">
        <f t="shared" ref="O22:T22" si="17">O166</f>
        <v>1797219.0191597696</v>
      </c>
      <c r="P22" s="90">
        <f t="shared" si="17"/>
        <v>1680976.4902847693</v>
      </c>
      <c r="Q22" s="90">
        <f t="shared" si="17"/>
        <v>1616293.8420347681</v>
      </c>
      <c r="R22" s="90">
        <f t="shared" si="17"/>
        <v>1225418.9001597695</v>
      </c>
      <c r="S22" s="90">
        <f t="shared" si="17"/>
        <v>1846776.0761597683</v>
      </c>
      <c r="T22" s="90">
        <f t="shared" si="17"/>
        <v>1818836.8021597678</v>
      </c>
      <c r="U22" s="91"/>
      <c r="V22" s="91"/>
      <c r="W22" s="95">
        <f ca="1">SUM(B22,C22,D22,E22,F22:M22)</f>
        <v>19918588.279465552</v>
      </c>
      <c r="X22" s="92">
        <f ca="1">N22/N$18</f>
        <v>0.17471226951016455</v>
      </c>
    </row>
    <row r="23" spans="1:26" hidden="1" x14ac:dyDescent="0.3">
      <c r="A23" s="71" t="s">
        <v>1617</v>
      </c>
      <c r="B23" s="90">
        <f t="shared" ref="B23:G23" si="18">B167</f>
        <v>4903313.0499999989</v>
      </c>
      <c r="C23" s="90">
        <f t="shared" si="18"/>
        <v>3759869.5099999895</v>
      </c>
      <c r="D23" s="90">
        <f t="shared" si="18"/>
        <v>4754130.8600000003</v>
      </c>
      <c r="E23" s="114">
        <f t="shared" si="18"/>
        <v>2869759.6499999887</v>
      </c>
      <c r="F23" s="90">
        <f t="shared" si="18"/>
        <v>3273861.0799999991</v>
      </c>
      <c r="G23" s="90">
        <f t="shared" si="18"/>
        <v>2087472.0499999968</v>
      </c>
      <c r="H23" s="90">
        <f t="shared" si="16"/>
        <v>2579457.3699999987</v>
      </c>
      <c r="I23" s="90">
        <f t="shared" ca="1" si="16"/>
        <v>1903884.7291856317</v>
      </c>
      <c r="J23" s="90">
        <f t="shared" ca="1" si="16"/>
        <v>1890969.228514442</v>
      </c>
      <c r="K23" s="90">
        <f t="shared" ca="1" si="16"/>
        <v>1889650.4061906368</v>
      </c>
      <c r="L23" s="90">
        <f t="shared" ca="1" si="16"/>
        <v>1877753.6694612501</v>
      </c>
      <c r="M23" s="90">
        <f t="shared" si="16"/>
        <v>1885488.6469112502</v>
      </c>
      <c r="N23" s="90">
        <f t="shared" ca="1" si="6"/>
        <v>33675610.250263184</v>
      </c>
      <c r="O23" s="90">
        <f t="shared" ref="O23:T23" si="19">O167</f>
        <v>2073000.21737</v>
      </c>
      <c r="P23" s="90">
        <f t="shared" si="19"/>
        <v>2058652.1053074999</v>
      </c>
      <c r="Q23" s="90">
        <f t="shared" si="19"/>
        <v>2037773.9678074999</v>
      </c>
      <c r="R23" s="90">
        <f t="shared" si="19"/>
        <v>2068000.6175575</v>
      </c>
      <c r="S23" s="90">
        <f t="shared" si="19"/>
        <v>2087900.1509949998</v>
      </c>
      <c r="T23" s="90">
        <f t="shared" si="19"/>
        <v>2067785.6397449998</v>
      </c>
      <c r="U23" s="91"/>
      <c r="V23" s="91"/>
      <c r="W23" s="95">
        <f ca="1">SUM(B23,C23,D23,E23,F23:M23)</f>
        <v>33675610.250263184</v>
      </c>
      <c r="X23" s="92">
        <f ca="1">N23/N$18</f>
        <v>0.2953794822913578</v>
      </c>
    </row>
    <row r="24" spans="1:26" x14ac:dyDescent="0.3">
      <c r="A24" s="70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8"/>
      <c r="P24" s="98"/>
      <c r="Q24" s="98"/>
      <c r="R24" s="98"/>
      <c r="S24" s="98"/>
      <c r="T24" s="98"/>
      <c r="U24" s="87"/>
      <c r="V24" s="87"/>
    </row>
    <row r="25" spans="1:26" x14ac:dyDescent="0.3">
      <c r="A25" s="4" t="s">
        <v>1618</v>
      </c>
      <c r="B25" s="89">
        <f t="shared" ref="B25:G25" si="20">+B6-B11</f>
        <v>0</v>
      </c>
      <c r="C25" s="89">
        <f t="shared" si="20"/>
        <v>0</v>
      </c>
      <c r="D25" s="89">
        <f t="shared" si="20"/>
        <v>0</v>
      </c>
      <c r="E25" s="89"/>
      <c r="F25" s="153">
        <f t="shared" si="20"/>
        <v>-1144719.4257211722</v>
      </c>
      <c r="G25" s="89">
        <f t="shared" si="20"/>
        <v>-1272887.1107211802</v>
      </c>
      <c r="H25" s="89">
        <f t="shared" ref="H25:T25" si="21">+H6-H11</f>
        <v>-58721.610721174628</v>
      </c>
      <c r="I25" s="89">
        <f t="shared" ca="1" si="21"/>
        <v>-971714.33993277699</v>
      </c>
      <c r="J25" s="89">
        <f t="shared" ca="1" si="21"/>
        <v>-3013753.4845025092</v>
      </c>
      <c r="K25" s="89">
        <f t="shared" ca="1" si="21"/>
        <v>269526.4211920388</v>
      </c>
      <c r="L25" s="89">
        <f t="shared" ca="1" si="21"/>
        <v>-161891.0999240838</v>
      </c>
      <c r="M25" s="89">
        <f t="shared" ca="1" si="21"/>
        <v>404674.76115712523</v>
      </c>
      <c r="N25" s="153">
        <f ca="1">SUM(B25,C25,D25,E25,F25,G25,H25,I25,J25,K25,L25,M25)</f>
        <v>-5949485.8891737331</v>
      </c>
      <c r="O25" s="89">
        <f t="shared" ca="1" si="21"/>
        <v>-1390382.5206450485</v>
      </c>
      <c r="P25" s="89">
        <f t="shared" ca="1" si="21"/>
        <v>-3809951.8468519263</v>
      </c>
      <c r="Q25" s="89">
        <f t="shared" si="21"/>
        <v>-2270879.8516194075</v>
      </c>
      <c r="R25" s="89">
        <f t="shared" si="21"/>
        <v>-1931987.939581804</v>
      </c>
      <c r="S25" s="89">
        <f t="shared" si="21"/>
        <v>-3325416.2997068092</v>
      </c>
      <c r="T25" s="89">
        <f t="shared" si="21"/>
        <v>-7841120.1880616285</v>
      </c>
      <c r="U25" s="91"/>
      <c r="V25" s="91"/>
    </row>
    <row r="26" spans="1:26" x14ac:dyDescent="0.3">
      <c r="A26" s="71" t="s">
        <v>1587</v>
      </c>
      <c r="B26" s="265"/>
      <c r="C26" s="265"/>
      <c r="D26" s="265"/>
      <c r="E26" s="265"/>
      <c r="F26" s="265">
        <f>F171</f>
        <v>1150136.8799999901</v>
      </c>
      <c r="G26" s="265">
        <f>G171</f>
        <v>784790.69</v>
      </c>
      <c r="H26" s="265">
        <f>H171</f>
        <v>1032556.85</v>
      </c>
      <c r="I26" s="265">
        <f>I171-500000</f>
        <v>767197.20577748865</v>
      </c>
      <c r="J26" s="265">
        <f>J171-500000</f>
        <v>935839.27422333322</v>
      </c>
      <c r="K26" s="265">
        <f>K171-500000</f>
        <v>1003784.3074408663</v>
      </c>
      <c r="L26" s="265">
        <f>L171-500000</f>
        <v>997283.33993472904</v>
      </c>
      <c r="M26" s="265">
        <f>M171-500000</f>
        <v>990677.15765777673</v>
      </c>
      <c r="N26" s="266">
        <f>SUM(B26,C26,D26,E26,F26,G26,H26,I26,J26,K26,L26,M26)</f>
        <v>7662265.7050341843</v>
      </c>
      <c r="O26" s="265">
        <f>O171-500000</f>
        <v>983963.39971167641</v>
      </c>
      <c r="P26" s="265">
        <f>P171-500000</f>
        <v>977139.65176648647</v>
      </c>
      <c r="Q26" s="265">
        <f>Q171-500000</f>
        <v>956401.36150776898</v>
      </c>
      <c r="R26" s="265">
        <f>R171-500000</f>
        <v>930517.05376561405</v>
      </c>
      <c r="S26" s="265">
        <f>S171</f>
        <v>1409801.9860672113</v>
      </c>
      <c r="T26" s="265">
        <f>T171</f>
        <v>1385909.1955772755</v>
      </c>
      <c r="U26" s="91"/>
      <c r="V26" s="91"/>
      <c r="W26" s="95">
        <f>SUM(B26,C26,D26,E26,F26:M26)</f>
        <v>7662265.7050341843</v>
      </c>
      <c r="X26" s="4">
        <v>0</v>
      </c>
    </row>
    <row r="27" spans="1:26" x14ac:dyDescent="0.3">
      <c r="A27" s="71" t="s">
        <v>1831</v>
      </c>
      <c r="B27" s="93"/>
      <c r="C27" s="93"/>
      <c r="D27" s="93"/>
      <c r="F27" s="100"/>
      <c r="G27" s="268">
        <v>312419.60056551098</v>
      </c>
      <c r="H27" s="268">
        <v>307266.99813920411</v>
      </c>
      <c r="I27" s="268">
        <v>302773.73206582188</v>
      </c>
      <c r="J27" s="268">
        <v>298180.93935799983</v>
      </c>
      <c r="K27" s="268">
        <v>292891.11142186599</v>
      </c>
      <c r="L27" s="268">
        <v>288155.28276206233</v>
      </c>
      <c r="M27" s="268">
        <v>283314.23933144339</v>
      </c>
      <c r="N27" s="266">
        <f>SUM(B27,C27,D27,E27,F27,G27,H27,I27,J27,K27,L27,M27)</f>
        <v>2085001.9036439084</v>
      </c>
      <c r="O27" s="269">
        <v>278365.62023167626</v>
      </c>
      <c r="P27" s="269">
        <v>273307.01113282004</v>
      </c>
      <c r="Q27" s="269">
        <v>268135.94305376889</v>
      </c>
      <c r="R27" s="269">
        <v>257818.85749128059</v>
      </c>
      <c r="S27" s="269">
        <v>252671.01197254471</v>
      </c>
      <c r="T27" s="269">
        <v>244345.44366227533</v>
      </c>
      <c r="U27" s="87"/>
      <c r="V27" s="87"/>
    </row>
    <row r="28" spans="1:26" hidden="1" x14ac:dyDescent="0.3">
      <c r="A28" s="4" t="s">
        <v>31</v>
      </c>
      <c r="B28" s="94">
        <f t="shared" ref="B28:N28" si="22">+B29-B30-B31-B32</f>
        <v>0</v>
      </c>
      <c r="C28" s="94">
        <f t="shared" si="22"/>
        <v>0</v>
      </c>
      <c r="D28" s="94">
        <f t="shared" si="22"/>
        <v>0</v>
      </c>
      <c r="E28" s="94">
        <f t="shared" si="22"/>
        <v>0</v>
      </c>
      <c r="F28" s="155">
        <f t="shared" si="22"/>
        <v>0</v>
      </c>
      <c r="G28" s="94">
        <f t="shared" si="22"/>
        <v>0</v>
      </c>
      <c r="H28" s="94">
        <f t="shared" si="22"/>
        <v>0</v>
      </c>
      <c r="I28" s="94">
        <f t="shared" si="22"/>
        <v>0</v>
      </c>
      <c r="J28" s="94">
        <f t="shared" si="22"/>
        <v>0</v>
      </c>
      <c r="K28" s="94">
        <f t="shared" si="22"/>
        <v>0</v>
      </c>
      <c r="L28" s="94">
        <f t="shared" si="22"/>
        <v>0</v>
      </c>
      <c r="M28" s="94">
        <f t="shared" si="22"/>
        <v>0</v>
      </c>
      <c r="N28" s="155">
        <f t="shared" si="22"/>
        <v>0</v>
      </c>
      <c r="O28" s="238"/>
      <c r="P28" s="238"/>
      <c r="Q28" s="238"/>
      <c r="R28" s="238"/>
      <c r="S28" s="238"/>
      <c r="T28" s="238"/>
      <c r="U28" s="98"/>
      <c r="V28" s="98"/>
    </row>
    <row r="29" spans="1:26" hidden="1" x14ac:dyDescent="0.3">
      <c r="A29" s="71" t="s">
        <v>1619</v>
      </c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>
        <f>SUM(B29,C29,D29,E29,F29,G29,H29,I29,J29,K29,L29,M29)</f>
        <v>0</v>
      </c>
      <c r="O29" s="60"/>
      <c r="P29" s="60"/>
      <c r="Q29" s="60"/>
      <c r="R29" s="60"/>
      <c r="S29" s="60"/>
      <c r="T29" s="60"/>
      <c r="W29" s="95">
        <f>SUM(B29,C29,D29,E29,F29:M29)</f>
        <v>0</v>
      </c>
    </row>
    <row r="30" spans="1:26" hidden="1" x14ac:dyDescent="0.3">
      <c r="A30" s="71" t="s">
        <v>1620</v>
      </c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>
        <f>SUM(B30,C30,D30,E30,F30,G30,H30,I30,J30,K30,L30,M30)</f>
        <v>0</v>
      </c>
      <c r="O30" s="60"/>
      <c r="P30" s="60"/>
      <c r="Q30" s="60"/>
      <c r="R30" s="60"/>
      <c r="S30" s="60"/>
      <c r="T30" s="60"/>
      <c r="U30" s="91"/>
      <c r="V30" s="91"/>
      <c r="W30" s="95">
        <f>SUM(B30,C30,D30,E30,F30:M30)</f>
        <v>0</v>
      </c>
    </row>
    <row r="31" spans="1:26" hidden="1" x14ac:dyDescent="0.3">
      <c r="A31" s="71" t="s">
        <v>1621</v>
      </c>
      <c r="B31" s="90"/>
      <c r="C31" s="90"/>
      <c r="D31" s="90"/>
      <c r="E31" s="90">
        <f>'MODELO SESAJAL (ROLLING) STS QU'!E174</f>
        <v>0</v>
      </c>
      <c r="F31" s="90">
        <f>'MODELO SESAJAL (ROLLING) STS QU'!F174</f>
        <v>0</v>
      </c>
      <c r="G31" s="90">
        <f>'MODELO SESAJAL (ROLLING) STS QU'!G174</f>
        <v>0</v>
      </c>
      <c r="H31" s="90">
        <f>'MODELO SESAJAL (ROLLING) STS QU'!H174</f>
        <v>0</v>
      </c>
      <c r="I31" s="90">
        <f>'MODELO SESAJAL (ROLLING) STS QU'!I174</f>
        <v>0</v>
      </c>
      <c r="J31" s="90">
        <f>'MODELO SESAJAL (ROLLING) STS QU'!J174</f>
        <v>0</v>
      </c>
      <c r="K31" s="90">
        <f>'MODELO SESAJAL (ROLLING) STS QU'!K174</f>
        <v>0</v>
      </c>
      <c r="L31" s="90">
        <f>'MODELO SESAJAL (ROLLING) STS QU'!L174</f>
        <v>0</v>
      </c>
      <c r="M31" s="90">
        <f>'MODELO SESAJAL (ROLLING) STS QU'!M174</f>
        <v>0</v>
      </c>
      <c r="N31" s="90">
        <f>SUM(B31,C31,D31,E31,F31,G31,H31,I31,J31,K31,L31,M31)</f>
        <v>0</v>
      </c>
      <c r="O31" s="60"/>
      <c r="P31" s="60"/>
      <c r="Q31" s="60"/>
      <c r="R31" s="60"/>
      <c r="S31" s="60"/>
      <c r="T31" s="60"/>
      <c r="U31" s="91"/>
      <c r="V31" s="91"/>
      <c r="W31" s="95">
        <f>SUM(B31,C31,D31,E31,F31:M31)</f>
        <v>0</v>
      </c>
    </row>
    <row r="32" spans="1:26" hidden="1" x14ac:dyDescent="0.3">
      <c r="A32" s="71" t="s">
        <v>1690</v>
      </c>
      <c r="B32" s="90">
        <v>0</v>
      </c>
      <c r="C32" s="90">
        <v>0</v>
      </c>
      <c r="D32" s="90">
        <v>0</v>
      </c>
      <c r="E32" s="90"/>
      <c r="F32" s="90"/>
      <c r="G32" s="90"/>
      <c r="H32" s="90"/>
      <c r="I32" s="90"/>
      <c r="J32" s="90"/>
      <c r="K32" s="90"/>
      <c r="L32" s="90"/>
      <c r="M32" s="90"/>
      <c r="N32" s="90">
        <f>SUM(B32,C32,D32,E32,F32,G32,H32,I32,J32,K32,L32,M32)</f>
        <v>0</v>
      </c>
      <c r="O32" s="60"/>
      <c r="P32" s="60"/>
      <c r="Q32" s="60"/>
      <c r="R32" s="60"/>
      <c r="S32" s="60"/>
      <c r="T32" s="60"/>
      <c r="U32" s="1"/>
      <c r="V32" s="1"/>
      <c r="W32" s="95">
        <f>SUM(B32,C32,D32,E32,F32:M32)</f>
        <v>0</v>
      </c>
    </row>
    <row r="33" spans="1:28" hidden="1" x14ac:dyDescent="0.3"/>
    <row r="34" spans="1:28" x14ac:dyDescent="0.3">
      <c r="A34" s="70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8"/>
      <c r="P34" s="98"/>
      <c r="Q34" s="98"/>
      <c r="R34" s="98"/>
      <c r="S34" s="98"/>
      <c r="T34" s="98"/>
      <c r="U34" s="87"/>
      <c r="V34" s="87"/>
    </row>
    <row r="35" spans="1:28" ht="15.6" x14ac:dyDescent="0.3">
      <c r="A35" s="88" t="s">
        <v>1622</v>
      </c>
      <c r="B35" s="89">
        <f t="shared" ref="B35:T35" si="23">+B25-B26+B28</f>
        <v>0</v>
      </c>
      <c r="C35" s="89">
        <f t="shared" si="23"/>
        <v>0</v>
      </c>
      <c r="D35" s="89">
        <f t="shared" si="23"/>
        <v>0</v>
      </c>
      <c r="E35" s="89">
        <f t="shared" si="23"/>
        <v>0</v>
      </c>
      <c r="F35" s="153">
        <f t="shared" si="23"/>
        <v>-2294856.3057211624</v>
      </c>
      <c r="G35" s="153">
        <f t="shared" si="23"/>
        <v>-2057677.8007211802</v>
      </c>
      <c r="H35" s="153">
        <f t="shared" si="23"/>
        <v>-1091278.4607211747</v>
      </c>
      <c r="I35" s="153">
        <f t="shared" ca="1" si="23"/>
        <v>-1738911.5457102656</v>
      </c>
      <c r="J35" s="153">
        <f t="shared" ca="1" si="23"/>
        <v>-3949592.7587258425</v>
      </c>
      <c r="K35" s="153">
        <f t="shared" ca="1" si="23"/>
        <v>-734257.88624882745</v>
      </c>
      <c r="L35" s="153">
        <f t="shared" ca="1" si="23"/>
        <v>-1159174.4398588128</v>
      </c>
      <c r="M35" s="153">
        <f t="shared" ca="1" si="23"/>
        <v>-586002.39650065149</v>
      </c>
      <c r="N35" s="153">
        <f t="shared" ca="1" si="23"/>
        <v>-13611751.594207916</v>
      </c>
      <c r="O35" s="153">
        <f t="shared" ca="1" si="23"/>
        <v>-2374345.9203567249</v>
      </c>
      <c r="P35" s="153">
        <f t="shared" ca="1" si="23"/>
        <v>-4787091.4986184128</v>
      </c>
      <c r="Q35" s="153">
        <f t="shared" si="23"/>
        <v>-3227281.2131271763</v>
      </c>
      <c r="R35" s="153">
        <f t="shared" si="23"/>
        <v>-2862504.993347418</v>
      </c>
      <c r="S35" s="153">
        <f t="shared" si="23"/>
        <v>-4735218.2857740205</v>
      </c>
      <c r="T35" s="153">
        <f t="shared" si="23"/>
        <v>-9227029.3836389035</v>
      </c>
      <c r="U35" s="91"/>
      <c r="V35" s="91"/>
      <c r="W35" s="4"/>
    </row>
    <row r="36" spans="1:28" x14ac:dyDescent="0.3">
      <c r="A36" s="70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8"/>
      <c r="P36" s="98"/>
      <c r="Q36" s="98"/>
      <c r="R36" s="98"/>
      <c r="S36" s="98"/>
      <c r="T36" s="98"/>
      <c r="U36" s="87"/>
      <c r="V36" s="87"/>
    </row>
    <row r="37" spans="1:28" x14ac:dyDescent="0.3">
      <c r="A37" s="71" t="s">
        <v>1623</v>
      </c>
      <c r="B37" s="90"/>
      <c r="C37" s="90"/>
      <c r="D37" s="90"/>
      <c r="E37" s="90">
        <v>200000</v>
      </c>
      <c r="F37" s="90">
        <v>200000</v>
      </c>
      <c r="G37" s="90">
        <v>200000</v>
      </c>
      <c r="H37" s="90">
        <v>200000</v>
      </c>
      <c r="I37" s="90">
        <v>200000</v>
      </c>
      <c r="J37" s="90">
        <v>200000</v>
      </c>
      <c r="K37" s="90">
        <v>200000</v>
      </c>
      <c r="L37" s="90">
        <v>200000</v>
      </c>
      <c r="M37" s="90">
        <v>200000</v>
      </c>
      <c r="N37" s="267">
        <f>SUM(B37,C37,D37,E37,F37,G37,H37,I37,J37,K37,L37,M37)</f>
        <v>1800000</v>
      </c>
      <c r="O37" s="90">
        <v>200000</v>
      </c>
      <c r="P37" s="90">
        <v>200000</v>
      </c>
      <c r="Q37" s="90">
        <v>200000</v>
      </c>
      <c r="R37" s="90">
        <v>200000</v>
      </c>
      <c r="S37" s="90">
        <v>200000</v>
      </c>
      <c r="T37" s="90">
        <v>200000</v>
      </c>
      <c r="U37" s="91"/>
      <c r="V37" s="91"/>
      <c r="W37" s="95">
        <f>SUM(B37,C37,D37,E37,F37:M37)</f>
        <v>1800000</v>
      </c>
    </row>
    <row r="38" spans="1:28" x14ac:dyDescent="0.3">
      <c r="A38" s="71" t="s">
        <v>1691</v>
      </c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>
        <f>SUM(B38,C38,D38,E38,F38,G38,H38,I38,J38,K38,L38,M38)</f>
        <v>0</v>
      </c>
      <c r="O38" s="60"/>
      <c r="P38" s="60"/>
      <c r="Q38" s="60"/>
      <c r="R38" s="60"/>
      <c r="S38" s="60"/>
      <c r="T38" s="60"/>
      <c r="U38" s="91"/>
      <c r="V38" s="91"/>
      <c r="W38" s="95">
        <f>SUM(B38,C38,D38,E38,F38:M38)</f>
        <v>0</v>
      </c>
    </row>
    <row r="39" spans="1:28" x14ac:dyDescent="0.3">
      <c r="A39" s="70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8"/>
      <c r="P39" s="98"/>
      <c r="Q39" s="98"/>
      <c r="R39" s="98"/>
      <c r="S39" s="98"/>
      <c r="T39" s="98"/>
      <c r="U39" s="87"/>
      <c r="V39" s="87"/>
    </row>
    <row r="40" spans="1:28" ht="15.6" x14ac:dyDescent="0.3">
      <c r="A40" s="88" t="s">
        <v>1624</v>
      </c>
      <c r="B40" s="99">
        <f>-B37-B38</f>
        <v>0</v>
      </c>
      <c r="C40" s="99">
        <f>-C37-C38</f>
        <v>0</v>
      </c>
      <c r="D40" s="99">
        <f>-D37-D38</f>
        <v>0</v>
      </c>
      <c r="E40" s="99">
        <f>-E37-E38</f>
        <v>-200000</v>
      </c>
      <c r="F40" s="99">
        <f>-F37-F38</f>
        <v>-200000</v>
      </c>
      <c r="G40" s="255">
        <f t="shared" ref="G40:T40" si="24">-G37-G38</f>
        <v>-200000</v>
      </c>
      <c r="H40" s="99">
        <f t="shared" si="24"/>
        <v>-200000</v>
      </c>
      <c r="I40" s="99">
        <f t="shared" si="24"/>
        <v>-200000</v>
      </c>
      <c r="J40" s="99">
        <f t="shared" si="24"/>
        <v>-200000</v>
      </c>
      <c r="K40" s="99">
        <f t="shared" si="24"/>
        <v>-200000</v>
      </c>
      <c r="L40" s="99">
        <f t="shared" si="24"/>
        <v>-200000</v>
      </c>
      <c r="M40" s="99">
        <f t="shared" si="24"/>
        <v>-200000</v>
      </c>
      <c r="N40" s="99">
        <f t="shared" si="24"/>
        <v>-1800000</v>
      </c>
      <c r="O40" s="99">
        <f t="shared" si="24"/>
        <v>-200000</v>
      </c>
      <c r="P40" s="99">
        <f t="shared" si="24"/>
        <v>-200000</v>
      </c>
      <c r="Q40" s="99">
        <f t="shared" si="24"/>
        <v>-200000</v>
      </c>
      <c r="R40" s="99">
        <f t="shared" si="24"/>
        <v>-200000</v>
      </c>
      <c r="S40" s="99">
        <f t="shared" si="24"/>
        <v>-200000</v>
      </c>
      <c r="T40" s="99">
        <f t="shared" si="24"/>
        <v>-200000</v>
      </c>
      <c r="U40" s="91"/>
      <c r="V40" s="91"/>
      <c r="W40" s="4"/>
    </row>
    <row r="42" spans="1:28" x14ac:dyDescent="0.3">
      <c r="A42" s="70"/>
      <c r="B42" s="93"/>
      <c r="C42" s="93"/>
      <c r="D42" s="93"/>
      <c r="E42" s="93">
        <v>30000000</v>
      </c>
      <c r="F42" s="93"/>
      <c r="G42" s="93"/>
      <c r="H42" s="93"/>
      <c r="I42" s="93"/>
      <c r="J42" s="93"/>
      <c r="K42" s="93"/>
      <c r="L42" s="93"/>
      <c r="M42" s="93"/>
      <c r="N42" s="93"/>
      <c r="O42" s="98"/>
      <c r="P42" s="98"/>
      <c r="Q42" s="98"/>
      <c r="R42" s="98"/>
      <c r="S42" s="98"/>
      <c r="T42" s="98"/>
      <c r="U42" s="87"/>
      <c r="V42" s="87"/>
    </row>
    <row r="43" spans="1:28" x14ac:dyDescent="0.3">
      <c r="A43" s="71" t="s">
        <v>1827</v>
      </c>
      <c r="B43" s="93"/>
      <c r="C43" s="93"/>
      <c r="D43" s="93"/>
      <c r="E43" s="93"/>
      <c r="F43" s="100">
        <v>22000000</v>
      </c>
      <c r="G43" s="100">
        <f>F46</f>
        <v>27700000</v>
      </c>
      <c r="H43" s="100">
        <f>G46</f>
        <v>30000000</v>
      </c>
      <c r="I43" s="100">
        <f>H46</f>
        <v>20860000</v>
      </c>
      <c r="J43" s="100">
        <f>I46</f>
        <v>11500000</v>
      </c>
      <c r="K43" s="100">
        <f>J46</f>
        <v>11500000</v>
      </c>
      <c r="L43" s="100">
        <f t="shared" ref="L43:T43" si="25">K46</f>
        <v>9750000</v>
      </c>
      <c r="M43" s="100">
        <f t="shared" si="25"/>
        <v>11500000</v>
      </c>
      <c r="N43" s="100"/>
      <c r="O43" s="100">
        <f>M46</f>
        <v>13000000</v>
      </c>
      <c r="P43" s="100">
        <f t="shared" si="25"/>
        <v>15500000</v>
      </c>
      <c r="Q43" s="100">
        <f t="shared" si="25"/>
        <v>15300000</v>
      </c>
      <c r="R43" s="100">
        <f t="shared" si="25"/>
        <v>14500000</v>
      </c>
      <c r="S43" s="100">
        <f t="shared" si="25"/>
        <v>18100000</v>
      </c>
      <c r="T43" s="100">
        <f t="shared" si="25"/>
        <v>29600000</v>
      </c>
      <c r="U43" s="87"/>
      <c r="V43" s="87"/>
    </row>
    <row r="44" spans="1:28" x14ac:dyDescent="0.3">
      <c r="A44" s="71" t="s">
        <v>1825</v>
      </c>
      <c r="B44" s="93"/>
      <c r="C44" s="93"/>
      <c r="D44" s="93"/>
      <c r="E44" s="93"/>
      <c r="F44" s="261">
        <v>3200000</v>
      </c>
      <c r="G44" s="261">
        <v>5700000</v>
      </c>
      <c r="H44" s="261">
        <v>11140000</v>
      </c>
      <c r="I44" s="261">
        <f>5660000+G45/2+5200000</f>
        <v>14860000</v>
      </c>
      <c r="J44" s="100">
        <f>(G45+H45)/2</f>
        <v>5000000</v>
      </c>
      <c r="K44" s="100">
        <f>(H45+I45)/2</f>
        <v>3750000</v>
      </c>
      <c r="L44" s="100">
        <f>(I45+J45)/2</f>
        <v>5250000</v>
      </c>
      <c r="M44" s="100">
        <f>(J45+K45)/2</f>
        <v>3500000</v>
      </c>
      <c r="N44" s="93">
        <f t="shared" ref="N44:N49" si="26">SUM(B44,C44,D44,E44,F44,G44,H44,I44,J44,K44,L44,M44)</f>
        <v>52400000</v>
      </c>
      <c r="O44" s="100">
        <f>(K45+L45)/2</f>
        <v>4500000</v>
      </c>
      <c r="P44" s="100">
        <f>(L45+M45)/2</f>
        <v>6000000</v>
      </c>
      <c r="Q44" s="100">
        <f>(M45+O45)/2</f>
        <v>6000000</v>
      </c>
      <c r="R44" s="100">
        <f>(O45+P45)/2</f>
        <v>6400000</v>
      </c>
      <c r="S44" s="100">
        <f>(P45+Q45)/2</f>
        <v>5500000</v>
      </c>
      <c r="T44" s="100">
        <f>(Q45+R45)/2</f>
        <v>7600000</v>
      </c>
      <c r="U44" s="87"/>
      <c r="V44" s="87"/>
      <c r="AB44">
        <v>5758333.333333333</v>
      </c>
    </row>
    <row r="45" spans="1:28" x14ac:dyDescent="0.3">
      <c r="A45" s="71" t="s">
        <v>1826</v>
      </c>
      <c r="B45" s="93"/>
      <c r="C45" s="93"/>
      <c r="D45" s="93"/>
      <c r="E45" s="93"/>
      <c r="F45" s="261">
        <v>8900000</v>
      </c>
      <c r="G45" s="262">
        <v>8000000</v>
      </c>
      <c r="H45" s="262">
        <v>2000000</v>
      </c>
      <c r="I45" s="262">
        <v>5500000</v>
      </c>
      <c r="J45" s="262">
        <v>5000000</v>
      </c>
      <c r="K45" s="262">
        <v>2000000</v>
      </c>
      <c r="L45" s="262">
        <v>7000000</v>
      </c>
      <c r="M45" s="262">
        <v>5000000</v>
      </c>
      <c r="N45" s="260">
        <f t="shared" si="26"/>
        <v>43400000</v>
      </c>
      <c r="O45" s="262">
        <v>7000000</v>
      </c>
      <c r="P45" s="262">
        <v>5800000</v>
      </c>
      <c r="Q45" s="262">
        <v>5200000</v>
      </c>
      <c r="R45" s="262">
        <v>10000000</v>
      </c>
      <c r="S45" s="262">
        <v>17000000</v>
      </c>
      <c r="T45" s="262">
        <v>8000000</v>
      </c>
      <c r="U45" s="87"/>
      <c r="V45" s="87"/>
      <c r="AB45">
        <v>4180999.9999999995</v>
      </c>
    </row>
    <row r="46" spans="1:28" x14ac:dyDescent="0.3">
      <c r="A46" s="71" t="s">
        <v>1828</v>
      </c>
      <c r="B46" s="93"/>
      <c r="C46" s="93"/>
      <c r="D46" s="93"/>
      <c r="E46" s="93"/>
      <c r="F46" s="100">
        <f t="shared" ref="F46:M46" si="27">F43-F44+F45</f>
        <v>27700000</v>
      </c>
      <c r="G46" s="100">
        <f t="shared" si="27"/>
        <v>30000000</v>
      </c>
      <c r="H46" s="100">
        <f t="shared" si="27"/>
        <v>20860000</v>
      </c>
      <c r="I46" s="100">
        <f t="shared" si="27"/>
        <v>11500000</v>
      </c>
      <c r="J46" s="100">
        <f t="shared" si="27"/>
        <v>11500000</v>
      </c>
      <c r="K46" s="100">
        <f t="shared" si="27"/>
        <v>9750000</v>
      </c>
      <c r="L46" s="100">
        <f t="shared" si="27"/>
        <v>11500000</v>
      </c>
      <c r="M46" s="100">
        <f t="shared" si="27"/>
        <v>13000000</v>
      </c>
      <c r="N46" s="93"/>
      <c r="O46" s="100">
        <f t="shared" ref="O46:T46" si="28">O43-O44+O45</f>
        <v>15500000</v>
      </c>
      <c r="P46" s="100">
        <f t="shared" si="28"/>
        <v>15300000</v>
      </c>
      <c r="Q46" s="100">
        <f t="shared" si="28"/>
        <v>14500000</v>
      </c>
      <c r="R46" s="275">
        <f t="shared" si="28"/>
        <v>18100000</v>
      </c>
      <c r="S46" s="100">
        <f t="shared" si="28"/>
        <v>29600000</v>
      </c>
      <c r="T46" s="100">
        <f t="shared" si="28"/>
        <v>30000000</v>
      </c>
      <c r="U46" s="87"/>
      <c r="V46" s="87"/>
      <c r="AB46">
        <v>7909999.9999999991</v>
      </c>
    </row>
    <row r="47" spans="1:28" x14ac:dyDescent="0.3">
      <c r="A47" s="71" t="s">
        <v>1829</v>
      </c>
      <c r="B47" s="93"/>
      <c r="C47" s="93"/>
      <c r="D47" s="93"/>
      <c r="E47" s="93"/>
      <c r="F47" s="100">
        <f t="shared" ref="F47:M47" si="29">$E42-F46</f>
        <v>2300000</v>
      </c>
      <c r="G47" s="100">
        <f t="shared" si="29"/>
        <v>0</v>
      </c>
      <c r="H47" s="100">
        <f t="shared" si="29"/>
        <v>9140000</v>
      </c>
      <c r="I47" s="100">
        <f t="shared" si="29"/>
        <v>18500000</v>
      </c>
      <c r="J47" s="100">
        <f t="shared" si="29"/>
        <v>18500000</v>
      </c>
      <c r="K47" s="100">
        <f t="shared" si="29"/>
        <v>20250000</v>
      </c>
      <c r="L47" s="100">
        <f t="shared" si="29"/>
        <v>18500000</v>
      </c>
      <c r="M47" s="100">
        <f t="shared" si="29"/>
        <v>17000000</v>
      </c>
      <c r="N47" s="93"/>
      <c r="O47" s="100">
        <f>$E42-O46</f>
        <v>14500000</v>
      </c>
      <c r="P47" s="100">
        <f>$E42-P46</f>
        <v>14700000</v>
      </c>
      <c r="Q47" s="100">
        <f>$E42-Q46</f>
        <v>15500000</v>
      </c>
      <c r="R47" s="100">
        <f>$E42-R46</f>
        <v>11900000</v>
      </c>
      <c r="S47" s="100">
        <f>30000000-S46</f>
        <v>400000</v>
      </c>
      <c r="T47" s="100">
        <f>30000000-T46</f>
        <v>0</v>
      </c>
      <c r="U47" s="87"/>
      <c r="V47" s="87"/>
      <c r="AB47">
        <v>3954999.9999999995</v>
      </c>
    </row>
    <row r="48" spans="1:28" x14ac:dyDescent="0.3">
      <c r="A48" s="71" t="s">
        <v>1832</v>
      </c>
      <c r="B48" s="93"/>
      <c r="C48" s="93"/>
      <c r="D48" s="93"/>
      <c r="E48" s="93"/>
      <c r="F48" s="100">
        <f>14300000-5500000+630000+1100000</f>
        <v>10530000</v>
      </c>
      <c r="G48" s="100">
        <f>12937548.51+5500000</f>
        <v>18437548.509999998</v>
      </c>
      <c r="H48" s="100">
        <v>5530638.8899999997</v>
      </c>
      <c r="I48" s="100">
        <v>5966214.3399999999</v>
      </c>
      <c r="J48" s="100">
        <v>12721292.689999999</v>
      </c>
      <c r="K48" s="100">
        <v>10335895.42</v>
      </c>
      <c r="L48" s="100">
        <v>14716989.34</v>
      </c>
      <c r="M48" s="100">
        <v>12524330.630000001</v>
      </c>
      <c r="N48" s="93">
        <f t="shared" si="26"/>
        <v>90762909.819999993</v>
      </c>
      <c r="O48" s="239">
        <v>7369040.6900000004</v>
      </c>
      <c r="P48" s="239">
        <v>5987786.29</v>
      </c>
      <c r="Q48" s="239">
        <v>5293459.0999999996</v>
      </c>
      <c r="R48" s="239">
        <v>10865459.85</v>
      </c>
      <c r="S48" s="239">
        <v>17495434.390000001</v>
      </c>
      <c r="T48" s="239">
        <v>12937548.51</v>
      </c>
      <c r="U48" s="87"/>
      <c r="V48" s="87"/>
      <c r="AB48">
        <v>2824999.9999999995</v>
      </c>
    </row>
    <row r="49" spans="1:28" x14ac:dyDescent="0.3">
      <c r="A49" s="71" t="s">
        <v>1830</v>
      </c>
      <c r="B49" s="93"/>
      <c r="C49" s="93"/>
      <c r="D49" s="93"/>
      <c r="E49" s="93"/>
      <c r="F49" s="100">
        <f t="shared" ref="F49:M49" si="30">F48-F45</f>
        <v>1630000</v>
      </c>
      <c r="G49" s="100">
        <f t="shared" si="30"/>
        <v>10437548.509999998</v>
      </c>
      <c r="H49" s="100">
        <f t="shared" si="30"/>
        <v>3530638.8899999997</v>
      </c>
      <c r="I49" s="100">
        <f t="shared" si="30"/>
        <v>466214.33999999985</v>
      </c>
      <c r="J49" s="100">
        <f t="shared" si="30"/>
        <v>7721292.6899999995</v>
      </c>
      <c r="K49" s="100">
        <f t="shared" si="30"/>
        <v>8335895.4199999999</v>
      </c>
      <c r="L49" s="100">
        <f t="shared" si="30"/>
        <v>7716989.3399999999</v>
      </c>
      <c r="M49" s="100">
        <f t="shared" si="30"/>
        <v>7524330.6300000008</v>
      </c>
      <c r="N49" s="93">
        <f t="shared" si="26"/>
        <v>47362909.82</v>
      </c>
      <c r="O49" s="100">
        <f t="shared" ref="O49:T49" si="31">O48-O45</f>
        <v>369040.69000000041</v>
      </c>
      <c r="P49" s="100">
        <f t="shared" si="31"/>
        <v>187786.29000000004</v>
      </c>
      <c r="Q49" s="100">
        <f t="shared" si="31"/>
        <v>93459.099999999627</v>
      </c>
      <c r="R49" s="100">
        <f t="shared" si="31"/>
        <v>865459.84999999963</v>
      </c>
      <c r="S49" s="100">
        <f t="shared" si="31"/>
        <v>495434.3900000006</v>
      </c>
      <c r="T49" s="100">
        <f t="shared" si="31"/>
        <v>4937548.51</v>
      </c>
      <c r="U49" s="87"/>
      <c r="V49" s="87"/>
      <c r="AB49">
        <v>1669847.3299999998</v>
      </c>
    </row>
    <row r="50" spans="1:28" x14ac:dyDescent="0.3">
      <c r="A50" s="71"/>
      <c r="B50" s="93"/>
      <c r="C50" s="93"/>
      <c r="D50" s="93"/>
      <c r="E50" s="93"/>
      <c r="F50" s="100"/>
      <c r="G50" s="100"/>
      <c r="H50" s="100"/>
      <c r="I50" s="100"/>
      <c r="J50" s="100"/>
      <c r="K50" s="100"/>
      <c r="L50" s="100"/>
      <c r="M50" s="100"/>
      <c r="N50" s="100"/>
      <c r="O50" s="239"/>
      <c r="P50" s="239"/>
      <c r="Q50" s="239"/>
      <c r="R50" s="239"/>
      <c r="S50" s="239"/>
      <c r="T50" s="239"/>
      <c r="U50" s="87"/>
      <c r="V50" s="87"/>
      <c r="AB50">
        <v>1694999.9999999998</v>
      </c>
    </row>
    <row r="51" spans="1:28" x14ac:dyDescent="0.3">
      <c r="A51" s="70" t="s">
        <v>1856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1">
        <v>4180999.9999999995</v>
      </c>
      <c r="P51" s="1">
        <v>5758333.333333333</v>
      </c>
      <c r="Q51" s="1">
        <v>7909999.9999999991</v>
      </c>
      <c r="R51" s="1">
        <v>6780000</v>
      </c>
      <c r="S51" s="1"/>
      <c r="T51" s="1">
        <v>3364847</v>
      </c>
      <c r="U51" s="1">
        <v>1694999.9999999998</v>
      </c>
      <c r="V51" s="87"/>
    </row>
    <row r="52" spans="1:28" x14ac:dyDescent="0.3">
      <c r="A52" s="70" t="s">
        <v>1857</v>
      </c>
      <c r="B52" s="93"/>
      <c r="C52" s="93"/>
      <c r="D52" s="93"/>
      <c r="E52" s="93"/>
      <c r="F52" s="93"/>
      <c r="G52" s="100">
        <f>(G43+G46)/2</f>
        <v>28850000</v>
      </c>
      <c r="H52" s="100">
        <f t="shared" ref="H52:T52" si="32">(H43+H46)/2</f>
        <v>25430000</v>
      </c>
      <c r="I52" s="100">
        <f t="shared" si="32"/>
        <v>16180000</v>
      </c>
      <c r="J52" s="100">
        <f t="shared" si="32"/>
        <v>11500000</v>
      </c>
      <c r="K52" s="100">
        <f t="shared" si="32"/>
        <v>10625000</v>
      </c>
      <c r="L52" s="100">
        <f t="shared" si="32"/>
        <v>10625000</v>
      </c>
      <c r="M52" s="100">
        <f t="shared" si="32"/>
        <v>12250000</v>
      </c>
      <c r="N52" s="93"/>
      <c r="O52" s="100">
        <f t="shared" si="32"/>
        <v>14250000</v>
      </c>
      <c r="P52" s="100">
        <f t="shared" si="32"/>
        <v>15400000</v>
      </c>
      <c r="Q52" s="100">
        <f t="shared" si="32"/>
        <v>14900000</v>
      </c>
      <c r="R52" s="100">
        <f t="shared" si="32"/>
        <v>16300000</v>
      </c>
      <c r="S52" s="100">
        <f t="shared" si="32"/>
        <v>23850000</v>
      </c>
      <c r="T52" s="100">
        <f t="shared" si="32"/>
        <v>29800000</v>
      </c>
      <c r="U52" s="1"/>
      <c r="V52" s="87"/>
    </row>
    <row r="53" spans="1:28" x14ac:dyDescent="0.3">
      <c r="A53" s="71" t="s">
        <v>1625</v>
      </c>
      <c r="B53" s="90"/>
      <c r="C53" s="90"/>
      <c r="D53" s="90"/>
      <c r="E53" s="90"/>
      <c r="F53" s="90"/>
      <c r="G53" s="100"/>
      <c r="H53" s="100"/>
      <c r="I53" s="100"/>
      <c r="J53" s="100"/>
      <c r="K53" s="90"/>
      <c r="L53" s="90"/>
      <c r="M53" s="90"/>
      <c r="N53" s="100">
        <f>SUM(B53,C53,D53,E53,F53,G53,H53,I53,J53,K53,L53,M53)</f>
        <v>0</v>
      </c>
      <c r="O53" s="239"/>
      <c r="P53" s="239"/>
      <c r="Q53" s="239"/>
      <c r="R53" s="239"/>
      <c r="S53" s="239"/>
      <c r="T53" s="239"/>
      <c r="U53" s="91"/>
      <c r="V53" s="91"/>
      <c r="W53" s="4"/>
    </row>
    <row r="54" spans="1:28" x14ac:dyDescent="0.3">
      <c r="A54" s="71" t="s">
        <v>1626</v>
      </c>
      <c r="B54" s="90"/>
      <c r="C54" s="90"/>
      <c r="D54" s="90"/>
      <c r="E54" s="200"/>
      <c r="F54" s="200"/>
      <c r="G54" s="90"/>
      <c r="H54" s="90"/>
      <c r="I54" s="90"/>
      <c r="J54" s="90"/>
      <c r="K54" s="90"/>
      <c r="L54" s="90"/>
      <c r="M54" s="90"/>
      <c r="N54" s="267">
        <f>SUM(B54,C54,D54,E54,F54,G54,H54,I54,J54,K54,L54,M54)</f>
        <v>0</v>
      </c>
      <c r="O54" s="60"/>
      <c r="P54" s="60"/>
      <c r="Q54" s="60"/>
      <c r="R54" s="60"/>
      <c r="S54" s="60"/>
      <c r="T54" s="60"/>
      <c r="U54" s="91"/>
      <c r="V54" s="91"/>
      <c r="W54" s="4"/>
    </row>
    <row r="55" spans="1:28" x14ac:dyDescent="0.3">
      <c r="A55" s="71" t="s">
        <v>1281</v>
      </c>
      <c r="B55" s="90"/>
      <c r="C55" s="90"/>
      <c r="D55" s="90"/>
      <c r="E55" s="90"/>
      <c r="F55" s="100"/>
      <c r="G55" s="100">
        <v>-1500000</v>
      </c>
      <c r="H55" s="100">
        <v>-1500000</v>
      </c>
      <c r="I55" s="100">
        <v>-1500000</v>
      </c>
      <c r="J55" s="100">
        <v>-1500000</v>
      </c>
      <c r="K55" s="100">
        <v>-1500000</v>
      </c>
      <c r="L55" s="100">
        <v>-1500000</v>
      </c>
      <c r="M55" s="100">
        <v>-1500000</v>
      </c>
      <c r="N55" s="93">
        <f>SUM(B55,C55,D55,E55,F55,G55,H55,I55,J55,K55,L55,M55)</f>
        <v>-10500000</v>
      </c>
      <c r="O55" s="100">
        <v>-1500000</v>
      </c>
      <c r="P55" s="100">
        <v>-1500000</v>
      </c>
      <c r="Q55" s="100">
        <v>-1500000</v>
      </c>
      <c r="R55" s="239"/>
      <c r="S55" s="239"/>
      <c r="T55" s="239"/>
      <c r="U55" s="91"/>
      <c r="V55" s="91"/>
      <c r="W55" s="4"/>
    </row>
    <row r="56" spans="1:28" x14ac:dyDescent="0.3">
      <c r="A56" s="257" t="s">
        <v>1632</v>
      </c>
      <c r="B56" s="200"/>
      <c r="C56" s="200"/>
      <c r="D56" s="200"/>
      <c r="E56" s="200"/>
      <c r="F56" s="273"/>
      <c r="G56" s="274"/>
      <c r="H56" s="274"/>
      <c r="I56" s="258"/>
      <c r="J56" s="258"/>
      <c r="K56" s="258"/>
      <c r="L56" s="258"/>
      <c r="M56" s="258"/>
      <c r="N56" s="180"/>
      <c r="O56" s="259"/>
      <c r="P56" s="259"/>
      <c r="Q56" s="259"/>
      <c r="R56" s="259"/>
      <c r="S56" s="259"/>
      <c r="T56" s="259"/>
      <c r="U56" s="91"/>
      <c r="V56" s="91"/>
      <c r="W56" s="4"/>
    </row>
    <row r="57" spans="1:28" x14ac:dyDescent="0.3">
      <c r="A57" s="70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8"/>
      <c r="P57" s="98"/>
      <c r="Q57" s="98"/>
      <c r="R57" s="98"/>
      <c r="S57" s="98"/>
      <c r="T57" s="98"/>
      <c r="U57" s="87"/>
      <c r="V57" s="87"/>
    </row>
    <row r="58" spans="1:28" ht="15.6" x14ac:dyDescent="0.3">
      <c r="A58" s="88" t="s">
        <v>1628</v>
      </c>
      <c r="B58" s="89">
        <f>-B53+B54+B55</f>
        <v>0</v>
      </c>
      <c r="C58" s="89">
        <f>-C53+C54+C55</f>
        <v>0</v>
      </c>
      <c r="D58" s="89">
        <f>-D53+D54+D55</f>
        <v>0</v>
      </c>
      <c r="E58" s="89"/>
      <c r="F58" s="89">
        <f t="shared" ref="F58:M58" si="33">-F53+F54+F55+F56</f>
        <v>0</v>
      </c>
      <c r="G58" s="89">
        <f t="shared" si="33"/>
        <v>-1500000</v>
      </c>
      <c r="H58" s="89">
        <f t="shared" si="33"/>
        <v>-1500000</v>
      </c>
      <c r="I58" s="89">
        <f t="shared" si="33"/>
        <v>-1500000</v>
      </c>
      <c r="J58" s="89">
        <f t="shared" si="33"/>
        <v>-1500000</v>
      </c>
      <c r="K58" s="89">
        <f t="shared" si="33"/>
        <v>-1500000</v>
      </c>
      <c r="L58" s="89">
        <f t="shared" si="33"/>
        <v>-1500000</v>
      </c>
      <c r="M58" s="89">
        <f t="shared" si="33"/>
        <v>-1500000</v>
      </c>
      <c r="N58" s="89">
        <f>SUM(B58,C58,D58,E58,F58,G58,H58,I58,J58,K58,L58,M58)</f>
        <v>-10500000</v>
      </c>
      <c r="O58" s="89">
        <f t="shared" ref="O58:T58" si="34">-O53+O54+O55+O56</f>
        <v>-1500000</v>
      </c>
      <c r="P58" s="89">
        <f t="shared" si="34"/>
        <v>-1500000</v>
      </c>
      <c r="Q58" s="89">
        <f t="shared" si="34"/>
        <v>-1500000</v>
      </c>
      <c r="R58" s="89">
        <f t="shared" si="34"/>
        <v>0</v>
      </c>
      <c r="S58" s="89">
        <f t="shared" si="34"/>
        <v>0</v>
      </c>
      <c r="T58" s="89">
        <f t="shared" si="34"/>
        <v>0</v>
      </c>
      <c r="U58" s="91"/>
      <c r="V58" s="91"/>
      <c r="W58" s="4"/>
    </row>
    <row r="59" spans="1:28" x14ac:dyDescent="0.3">
      <c r="A59" s="70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8"/>
      <c r="P59" s="98"/>
      <c r="Q59" s="98"/>
      <c r="R59" s="98"/>
      <c r="S59" s="98"/>
      <c r="T59" s="98"/>
      <c r="U59" s="87"/>
      <c r="V59" s="87"/>
    </row>
    <row r="60" spans="1:28" ht="15.6" x14ac:dyDescent="0.3">
      <c r="A60" s="72" t="s">
        <v>1629</v>
      </c>
      <c r="B60" s="101"/>
      <c r="C60" s="101"/>
      <c r="D60" s="101">
        <v>0</v>
      </c>
      <c r="E60" s="101"/>
      <c r="F60" s="101">
        <f>+F35+F40+F58</f>
        <v>-2494856.3057211624</v>
      </c>
      <c r="G60" s="256">
        <f t="shared" ref="G60:M60" si="35">+G35+G40+G58</f>
        <v>-3757677.8007211802</v>
      </c>
      <c r="H60" s="256">
        <f t="shared" si="35"/>
        <v>-2791278.4607211747</v>
      </c>
      <c r="I60" s="101">
        <f t="shared" ca="1" si="35"/>
        <v>-3438911.5457102656</v>
      </c>
      <c r="J60" s="101">
        <f t="shared" ca="1" si="35"/>
        <v>-5649592.7587258425</v>
      </c>
      <c r="K60" s="256">
        <f t="shared" ca="1" si="35"/>
        <v>-2434257.8862488274</v>
      </c>
      <c r="L60" s="256">
        <f t="shared" ca="1" si="35"/>
        <v>-2859174.4398588128</v>
      </c>
      <c r="M60" s="256">
        <f t="shared" ca="1" si="35"/>
        <v>-2286002.3965006517</v>
      </c>
      <c r="N60" s="101"/>
      <c r="O60" s="256">
        <f t="shared" ref="O60:T60" ca="1" si="36">+O35+O40+O58</f>
        <v>-4074345.9203567249</v>
      </c>
      <c r="P60" s="101">
        <f ca="1">+P35+P40+P58</f>
        <v>-6487091.4986184128</v>
      </c>
      <c r="Q60" s="101">
        <f t="shared" si="36"/>
        <v>-4927281.2131271763</v>
      </c>
      <c r="R60" s="101">
        <f t="shared" si="36"/>
        <v>-3062504.993347418</v>
      </c>
      <c r="S60" s="101">
        <f t="shared" si="36"/>
        <v>-4935218.2857740205</v>
      </c>
      <c r="T60" s="101">
        <f t="shared" si="36"/>
        <v>-9427029.3836389035</v>
      </c>
      <c r="U60" s="102"/>
      <c r="V60" s="102"/>
      <c r="W60" s="103"/>
    </row>
    <row r="61" spans="1:28" x14ac:dyDescent="0.3">
      <c r="A61" s="70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87"/>
      <c r="V61" s="87"/>
    </row>
    <row r="62" spans="1:28" ht="15.6" x14ac:dyDescent="0.3">
      <c r="A62" s="72" t="s">
        <v>1630</v>
      </c>
      <c r="B62" s="104"/>
      <c r="C62" s="104"/>
      <c r="D62" s="232">
        <f t="shared" ref="D62:M62" si="37">C64</f>
        <v>0</v>
      </c>
      <c r="E62" s="232"/>
      <c r="F62" s="232">
        <f t="shared" si="37"/>
        <v>0</v>
      </c>
      <c r="G62" s="232">
        <f t="shared" si="37"/>
        <v>-2494856.3057211624</v>
      </c>
      <c r="H62" s="232">
        <f t="shared" si="37"/>
        <v>1747465.8935576575</v>
      </c>
      <c r="I62" s="104">
        <f t="shared" si="37"/>
        <v>956187.43283648277</v>
      </c>
      <c r="J62" s="104">
        <f t="shared" ca="1" si="37"/>
        <v>3017275.8871262171</v>
      </c>
      <c r="K62" s="232">
        <f t="shared" ca="1" si="37"/>
        <v>2367683.1284003747</v>
      </c>
      <c r="L62" s="232">
        <f t="shared" ca="1" si="37"/>
        <v>1933425.2421515472</v>
      </c>
      <c r="M62" s="232">
        <f t="shared" ca="1" si="37"/>
        <v>6074250.8022927344</v>
      </c>
      <c r="N62" s="104"/>
      <c r="O62" s="232">
        <f ca="1">M64</f>
        <v>8788248.4057920836</v>
      </c>
      <c r="P62" s="104">
        <f ca="1">O65</f>
        <v>7532902.4854353592</v>
      </c>
      <c r="Q62" s="104">
        <f ca="1">P65</f>
        <v>1087477.6534836134</v>
      </c>
      <c r="R62" s="104">
        <f ca="1">Q65</f>
        <v>-6549803.559643562</v>
      </c>
      <c r="S62" s="104">
        <f ca="1">R65</f>
        <v>-6392308.5529909804</v>
      </c>
      <c r="T62" s="104">
        <f ca="1">S65</f>
        <v>5672473.1612349991</v>
      </c>
      <c r="U62" s="102"/>
      <c r="V62" s="102"/>
      <c r="W62" s="105"/>
    </row>
    <row r="63" spans="1:28" x14ac:dyDescent="0.3">
      <c r="A63" s="70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87"/>
      <c r="V63" s="87"/>
    </row>
    <row r="64" spans="1:28" ht="15.6" x14ac:dyDescent="0.3">
      <c r="A64" s="72" t="s">
        <v>1631</v>
      </c>
      <c r="B64" s="104"/>
      <c r="C64" s="104"/>
      <c r="D64" s="104">
        <f>+D60+D62</f>
        <v>0</v>
      </c>
      <c r="E64" s="232"/>
      <c r="F64" s="104">
        <f>+F60+F62</f>
        <v>-2494856.3057211624</v>
      </c>
      <c r="G64" s="232">
        <f t="shared" ref="G64:M64" si="38">+G60+G62+G45</f>
        <v>1747465.8935576575</v>
      </c>
      <c r="H64" s="232">
        <f t="shared" si="38"/>
        <v>956187.43283648277</v>
      </c>
      <c r="I64" s="232">
        <f t="shared" ca="1" si="38"/>
        <v>3017275.8871262171</v>
      </c>
      <c r="J64" s="232">
        <f t="shared" ca="1" si="38"/>
        <v>2367683.1284003747</v>
      </c>
      <c r="K64" s="232">
        <f t="shared" ca="1" si="38"/>
        <v>1933425.2421515472</v>
      </c>
      <c r="L64" s="232">
        <f t="shared" ca="1" si="38"/>
        <v>6074250.8022927344</v>
      </c>
      <c r="M64" s="232">
        <f t="shared" ca="1" si="38"/>
        <v>8788248.4057920836</v>
      </c>
      <c r="N64" s="104"/>
      <c r="O64" s="232">
        <f t="shared" ref="O64:T64" ca="1" si="39">+O60+O62+O45</f>
        <v>11713902.485435359</v>
      </c>
      <c r="P64" s="232">
        <f t="shared" ca="1" si="39"/>
        <v>6845810.9868169464</v>
      </c>
      <c r="Q64" s="232">
        <f t="shared" ca="1" si="39"/>
        <v>1360196.4403564371</v>
      </c>
      <c r="R64" s="232">
        <f t="shared" ca="1" si="39"/>
        <v>387691.44700901955</v>
      </c>
      <c r="S64" s="232">
        <f t="shared" ca="1" si="39"/>
        <v>5672473.1612349991</v>
      </c>
      <c r="T64" s="232">
        <f t="shared" ca="1" si="39"/>
        <v>4245443.7775960956</v>
      </c>
      <c r="U64" s="102"/>
      <c r="V64" s="102"/>
      <c r="W64" s="105"/>
    </row>
    <row r="65" spans="1:22" ht="15.6" x14ac:dyDescent="0.3">
      <c r="A65" s="7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280">
        <f t="shared" ref="O65:T65" ca="1" si="40">O64-O51</f>
        <v>7532902.4854353592</v>
      </c>
      <c r="P65" s="280">
        <f t="shared" ca="1" si="40"/>
        <v>1087477.6534836134</v>
      </c>
      <c r="Q65" s="280">
        <f t="shared" ca="1" si="40"/>
        <v>-6549803.559643562</v>
      </c>
      <c r="R65" s="280">
        <f t="shared" ca="1" si="40"/>
        <v>-6392308.5529909804</v>
      </c>
      <c r="S65" s="280">
        <f t="shared" ca="1" si="40"/>
        <v>5672473.1612349991</v>
      </c>
      <c r="T65" s="280">
        <f t="shared" ca="1" si="40"/>
        <v>880596.77759609558</v>
      </c>
      <c r="U65" s="87"/>
      <c r="V65" s="87"/>
    </row>
    <row r="66" spans="1:22" x14ac:dyDescent="0.3">
      <c r="A66" s="7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87"/>
      <c r="V66" s="87"/>
    </row>
    <row r="67" spans="1:22" x14ac:dyDescent="0.3">
      <c r="A67" s="70" t="s">
        <v>1843</v>
      </c>
      <c r="B67" s="60">
        <v>221000000</v>
      </c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87"/>
      <c r="V67" s="87"/>
    </row>
    <row r="68" spans="1:22" x14ac:dyDescent="0.3">
      <c r="A68" s="70" t="s">
        <v>1844</v>
      </c>
      <c r="B68" s="60">
        <v>94000000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87"/>
      <c r="V68" s="87"/>
    </row>
    <row r="69" spans="1:22" x14ac:dyDescent="0.3">
      <c r="A69" s="70"/>
      <c r="B69" s="60"/>
      <c r="C69" s="60"/>
      <c r="D69" s="60"/>
      <c r="E69" s="60"/>
      <c r="F69" s="60">
        <f>(F70/$B$67)*365</f>
        <v>61.108597285067866</v>
      </c>
      <c r="G69">
        <v>65</v>
      </c>
      <c r="H69" s="60">
        <v>70</v>
      </c>
      <c r="I69" s="60">
        <v>75</v>
      </c>
      <c r="J69" s="60">
        <v>75</v>
      </c>
      <c r="K69" s="60">
        <v>75</v>
      </c>
      <c r="L69" s="60">
        <v>75</v>
      </c>
      <c r="M69" s="60">
        <v>75</v>
      </c>
      <c r="N69" s="60"/>
      <c r="O69" s="60">
        <v>75</v>
      </c>
      <c r="P69" s="60">
        <v>75</v>
      </c>
      <c r="Q69" s="60">
        <v>75</v>
      </c>
      <c r="R69" s="60">
        <v>75</v>
      </c>
      <c r="S69" s="60">
        <v>75</v>
      </c>
      <c r="T69" s="60">
        <v>75</v>
      </c>
      <c r="U69" s="87"/>
      <c r="V69" s="87"/>
    </row>
    <row r="70" spans="1:22" x14ac:dyDescent="0.3">
      <c r="A70" s="70" t="s">
        <v>1834</v>
      </c>
      <c r="B70" s="60"/>
      <c r="C70" s="60"/>
      <c r="D70" s="60"/>
      <c r="E70" s="60"/>
      <c r="F70" s="60">
        <v>37000000</v>
      </c>
      <c r="G70" s="60">
        <f t="shared" ref="G70:M70" si="41">(G69/365)*($B$67-($B$67/12)+F160)</f>
        <v>39775658.125251137</v>
      </c>
      <c r="H70" s="60">
        <f t="shared" si="41"/>
        <v>42171173.516803652</v>
      </c>
      <c r="I70" s="60">
        <f t="shared" si="41"/>
        <v>46401797.639041096</v>
      </c>
      <c r="J70" s="60">
        <f t="shared" ca="1" si="41"/>
        <v>46755935.088014774</v>
      </c>
      <c r="K70" s="60">
        <f t="shared" ca="1" si="41"/>
        <v>46235776.567832604</v>
      </c>
      <c r="L70" s="60">
        <f t="shared" ca="1" si="41"/>
        <v>46182662.353695802</v>
      </c>
      <c r="M70" s="60">
        <f t="shared" ca="1" si="41"/>
        <v>45703533.504594475</v>
      </c>
      <c r="N70" s="60"/>
      <c r="O70" s="60">
        <f t="shared" ref="O70:T70" si="42">(O69/365)*($B$67-($B$67/12)+O160)</f>
        <v>46343332.719263703</v>
      </c>
      <c r="P70" s="60">
        <f t="shared" si="42"/>
        <v>45765477.247157529</v>
      </c>
      <c r="Q70" s="60">
        <f t="shared" si="42"/>
        <v>44924631.709486298</v>
      </c>
      <c r="R70" s="60">
        <f t="shared" si="42"/>
        <v>46141978.973390415</v>
      </c>
      <c r="S70" s="60">
        <f t="shared" si="42"/>
        <v>46943412.237859584</v>
      </c>
      <c r="T70" s="60">
        <f t="shared" si="42"/>
        <v>46133320.962859586</v>
      </c>
      <c r="U70" s="87"/>
      <c r="V70" s="87"/>
    </row>
    <row r="71" spans="1:22" x14ac:dyDescent="0.3">
      <c r="A71" s="70" t="s">
        <v>1836</v>
      </c>
      <c r="B71" s="60"/>
      <c r="C71" s="60"/>
      <c r="D71" s="60"/>
      <c r="E71" s="60"/>
      <c r="F71" s="60">
        <f t="shared" ref="F71:M71" si="43">F72-F70</f>
        <v>2775658.1252511367</v>
      </c>
      <c r="G71" s="60">
        <f t="shared" si="43"/>
        <v>2395515.3915525153</v>
      </c>
      <c r="H71" s="60">
        <f t="shared" si="43"/>
        <v>4230624.1222374439</v>
      </c>
      <c r="I71" s="60">
        <f t="shared" ca="1" si="43"/>
        <v>354137.44897367805</v>
      </c>
      <c r="J71" s="60">
        <f t="shared" ca="1" si="43"/>
        <v>-520158.52018216997</v>
      </c>
      <c r="K71" s="60">
        <f t="shared" ca="1" si="43"/>
        <v>-53114.21413680166</v>
      </c>
      <c r="L71" s="60">
        <f t="shared" ca="1" si="43"/>
        <v>-479128.84910132736</v>
      </c>
      <c r="M71" s="60">
        <f t="shared" ca="1" si="43"/>
        <v>639799.2146692276</v>
      </c>
      <c r="N71" s="60"/>
      <c r="O71" s="60">
        <f t="shared" ref="O71:T71" si="44">O72-O70</f>
        <v>-577855.47210617363</v>
      </c>
      <c r="P71" s="60">
        <f t="shared" si="44"/>
        <v>-840845.53767123073</v>
      </c>
      <c r="Q71" s="60">
        <f t="shared" si="44"/>
        <v>1217347.263904117</v>
      </c>
      <c r="R71" s="60">
        <f t="shared" si="44"/>
        <v>801433.26446916908</v>
      </c>
      <c r="S71" s="60">
        <f t="shared" si="44"/>
        <v>-810091.27499999851</v>
      </c>
      <c r="T71" s="60">
        <f t="shared" si="44"/>
        <v>507192.91946917772</v>
      </c>
      <c r="U71" s="87"/>
      <c r="V71" s="87"/>
    </row>
    <row r="72" spans="1:22" x14ac:dyDescent="0.3">
      <c r="A72" s="70" t="s">
        <v>1835</v>
      </c>
      <c r="B72" s="60"/>
      <c r="C72" s="60"/>
      <c r="D72" s="60"/>
      <c r="E72" s="60"/>
      <c r="F72" s="60">
        <f t="shared" ref="F72:L72" si="45">G70</f>
        <v>39775658.125251137</v>
      </c>
      <c r="G72" s="60">
        <f t="shared" si="45"/>
        <v>42171173.516803652</v>
      </c>
      <c r="H72" s="60">
        <f t="shared" si="45"/>
        <v>46401797.639041096</v>
      </c>
      <c r="I72" s="60">
        <f t="shared" ca="1" si="45"/>
        <v>46755935.088014774</v>
      </c>
      <c r="J72" s="60">
        <f t="shared" ca="1" si="45"/>
        <v>46235776.567832604</v>
      </c>
      <c r="K72" s="60">
        <f t="shared" ca="1" si="45"/>
        <v>46182662.353695802</v>
      </c>
      <c r="L72" s="60">
        <f t="shared" ca="1" si="45"/>
        <v>45703533.504594475</v>
      </c>
      <c r="M72" s="60">
        <f>O70</f>
        <v>46343332.719263703</v>
      </c>
      <c r="N72" s="60"/>
      <c r="O72" s="60">
        <f>P70</f>
        <v>45765477.247157529</v>
      </c>
      <c r="P72" s="60">
        <f>Q70</f>
        <v>44924631.709486298</v>
      </c>
      <c r="Q72" s="60">
        <f>R70</f>
        <v>46141978.973390415</v>
      </c>
      <c r="R72" s="60">
        <f>S70</f>
        <v>46943412.237859584</v>
      </c>
      <c r="S72" s="60">
        <f>T70</f>
        <v>46133320.962859586</v>
      </c>
      <c r="T72" s="60">
        <v>46640513.882328764</v>
      </c>
      <c r="U72" s="87"/>
      <c r="V72" s="87"/>
    </row>
    <row r="73" spans="1:22" x14ac:dyDescent="0.3">
      <c r="A73" s="70"/>
      <c r="B73" s="60"/>
      <c r="C73" s="60"/>
      <c r="D73" s="60"/>
      <c r="E73" s="60"/>
      <c r="F73" s="60">
        <f>(F74/$B$68)*365</f>
        <v>104.06382978723406</v>
      </c>
      <c r="G73" s="60">
        <v>100</v>
      </c>
      <c r="H73" s="60">
        <v>100</v>
      </c>
      <c r="I73" s="60">
        <v>100</v>
      </c>
      <c r="J73" s="60">
        <v>100</v>
      </c>
      <c r="K73" s="60">
        <v>100</v>
      </c>
      <c r="L73" s="60">
        <v>100</v>
      </c>
      <c r="M73" s="60">
        <v>100</v>
      </c>
      <c r="N73" s="60"/>
      <c r="O73" s="60">
        <v>100</v>
      </c>
      <c r="P73" s="60">
        <v>100</v>
      </c>
      <c r="Q73" s="60">
        <v>100</v>
      </c>
      <c r="R73" s="60">
        <v>100</v>
      </c>
      <c r="S73" s="60">
        <v>100</v>
      </c>
      <c r="T73" s="60">
        <v>100</v>
      </c>
      <c r="U73" s="87"/>
      <c r="V73" s="87"/>
    </row>
    <row r="74" spans="1:22" x14ac:dyDescent="0.3">
      <c r="A74" s="70" t="s">
        <v>1840</v>
      </c>
      <c r="B74" s="60"/>
      <c r="C74" s="60"/>
      <c r="D74" s="60"/>
      <c r="E74" s="60"/>
      <c r="F74" s="60">
        <v>26800000</v>
      </c>
      <c r="G74" s="60">
        <f>(G73/365)*($B$68-($B$68/12)+G$161)</f>
        <v>25597039.684018262</v>
      </c>
      <c r="H74" s="60">
        <f t="shared" ref="H74:M74" si="46">(H73/365)*($B$68-($B$68/12)+H$161)</f>
        <v>26391052.63744292</v>
      </c>
      <c r="I74" s="60">
        <f t="shared" ca="1" si="46"/>
        <v>26824330.250289671</v>
      </c>
      <c r="J74" s="60">
        <f t="shared" ca="1" si="46"/>
        <v>26481186.251671467</v>
      </c>
      <c r="K74" s="60">
        <f t="shared" ca="1" si="46"/>
        <v>26379673.577870537</v>
      </c>
      <c r="L74" s="60">
        <f t="shared" ca="1" si="46"/>
        <v>26079558.587188922</v>
      </c>
      <c r="M74" s="60">
        <f t="shared" si="46"/>
        <v>26295629.35453194</v>
      </c>
      <c r="N74" s="60"/>
      <c r="O74" s="60">
        <f t="shared" ref="O74:T74" si="47">(O73/365)*($B$68-($B$68/12)+O$161)</f>
        <v>26382284.299384706</v>
      </c>
      <c r="P74" s="60">
        <f t="shared" si="47"/>
        <v>26027803.898318261</v>
      </c>
      <c r="Q74" s="60">
        <f t="shared" si="47"/>
        <v>25470365.255167577</v>
      </c>
      <c r="R74" s="60">
        <f t="shared" si="47"/>
        <v>26470489.797225114</v>
      </c>
      <c r="S74" s="60">
        <f t="shared" si="47"/>
        <v>26818911.285249088</v>
      </c>
      <c r="T74" s="60">
        <f t="shared" si="47"/>
        <v>26274730.806057304</v>
      </c>
      <c r="U74" s="87"/>
      <c r="V74" s="87"/>
    </row>
    <row r="75" spans="1:22" x14ac:dyDescent="0.3">
      <c r="A75" s="70" t="s">
        <v>1841</v>
      </c>
      <c r="B75" s="60"/>
      <c r="C75" s="60"/>
      <c r="D75" s="60"/>
      <c r="E75" s="60"/>
      <c r="F75" s="60">
        <f t="shared" ref="F75:M75" si="48">F76-F74</f>
        <v>-1202960.3159817383</v>
      </c>
      <c r="G75" s="60">
        <f t="shared" si="48"/>
        <v>794012.95342465863</v>
      </c>
      <c r="H75" s="60">
        <f t="shared" ca="1" si="48"/>
        <v>433277.61284675077</v>
      </c>
      <c r="I75" s="60">
        <f t="shared" ca="1" si="48"/>
        <v>-343143.99861820415</v>
      </c>
      <c r="J75" s="60">
        <f t="shared" ca="1" si="48"/>
        <v>-101512.67380093038</v>
      </c>
      <c r="K75" s="60">
        <f t="shared" ca="1" si="48"/>
        <v>-300114.99068161473</v>
      </c>
      <c r="L75" s="60">
        <f t="shared" ca="1" si="48"/>
        <v>216070.7673430182</v>
      </c>
      <c r="M75" s="60">
        <f t="shared" si="48"/>
        <v>86654.94485276565</v>
      </c>
      <c r="N75" s="60"/>
      <c r="O75" s="60">
        <f t="shared" ref="O75:T75" si="49">O76-O74</f>
        <v>-354480.40106644481</v>
      </c>
      <c r="P75" s="60">
        <f t="shared" si="49"/>
        <v>-557438.64315068349</v>
      </c>
      <c r="Q75" s="60">
        <f t="shared" si="49"/>
        <v>1000124.5420575365</v>
      </c>
      <c r="R75" s="60">
        <f t="shared" si="49"/>
        <v>348421.488023974</v>
      </c>
      <c r="S75" s="60">
        <f t="shared" si="49"/>
        <v>-544180.47919178382</v>
      </c>
      <c r="T75" s="60">
        <f t="shared" si="49"/>
        <v>2269250.6949255392</v>
      </c>
      <c r="U75" s="87"/>
      <c r="V75" s="87"/>
    </row>
    <row r="76" spans="1:22" x14ac:dyDescent="0.3">
      <c r="A76" s="70" t="s">
        <v>1842</v>
      </c>
      <c r="B76" s="60"/>
      <c r="C76" s="60"/>
      <c r="D76" s="60"/>
      <c r="E76" s="60"/>
      <c r="F76" s="60">
        <f t="shared" ref="F76:L76" si="50">G74</f>
        <v>25597039.684018262</v>
      </c>
      <c r="G76" s="60">
        <f t="shared" si="50"/>
        <v>26391052.63744292</v>
      </c>
      <c r="H76" s="60">
        <f t="shared" ca="1" si="50"/>
        <v>26824330.250289671</v>
      </c>
      <c r="I76" s="60">
        <f t="shared" ca="1" si="50"/>
        <v>26481186.251671467</v>
      </c>
      <c r="J76" s="60">
        <f t="shared" ca="1" si="50"/>
        <v>26379673.577870537</v>
      </c>
      <c r="K76" s="60">
        <f t="shared" ca="1" si="50"/>
        <v>26079558.587188922</v>
      </c>
      <c r="L76" s="60">
        <f t="shared" si="50"/>
        <v>26295629.35453194</v>
      </c>
      <c r="M76" s="60">
        <f>O74</f>
        <v>26382284.299384706</v>
      </c>
      <c r="N76" s="60"/>
      <c r="O76" s="60">
        <f>P74</f>
        <v>26027803.898318261</v>
      </c>
      <c r="P76" s="60">
        <f>Q74</f>
        <v>25470365.255167577</v>
      </c>
      <c r="Q76" s="60">
        <f>R74</f>
        <v>26470489.797225114</v>
      </c>
      <c r="R76" s="60">
        <f>S74</f>
        <v>26818911.285249088</v>
      </c>
      <c r="S76" s="60">
        <f>T74</f>
        <v>26274730.806057304</v>
      </c>
      <c r="T76" s="60">
        <v>28543981.500982843</v>
      </c>
      <c r="U76" s="87"/>
      <c r="V76" s="87"/>
    </row>
    <row r="77" spans="1:22" x14ac:dyDescent="0.3">
      <c r="A77" s="70"/>
      <c r="B77" s="60"/>
      <c r="C77" s="60"/>
      <c r="D77" s="60"/>
      <c r="E77" s="60"/>
      <c r="F77" s="60">
        <f>(F78/$B$68)*365</f>
        <v>80.183510638297875</v>
      </c>
      <c r="G77" s="125">
        <v>80.183510638297875</v>
      </c>
      <c r="H77" s="60">
        <v>80.183510638297875</v>
      </c>
      <c r="I77" s="60">
        <v>80.183510638297875</v>
      </c>
      <c r="J77" s="60">
        <v>80.183510638297875</v>
      </c>
      <c r="K77" s="60">
        <v>80.183510638297875</v>
      </c>
      <c r="L77" s="60">
        <v>80.183510638297875</v>
      </c>
      <c r="M77" s="60">
        <v>80.183510638297875</v>
      </c>
      <c r="N77" s="60"/>
      <c r="O77" s="60">
        <v>80.183510638297875</v>
      </c>
      <c r="P77" s="60">
        <v>80.183510638297875</v>
      </c>
      <c r="Q77" s="60">
        <v>80.183510638297875</v>
      </c>
      <c r="R77" s="60">
        <v>80.183510638297875</v>
      </c>
      <c r="S77" s="60">
        <v>80.183510638297875</v>
      </c>
      <c r="T77" s="60">
        <v>80.183510638297875</v>
      </c>
      <c r="U77" s="87"/>
      <c r="V77" s="87"/>
    </row>
    <row r="78" spans="1:22" x14ac:dyDescent="0.3">
      <c r="A78" s="70" t="s">
        <v>1837</v>
      </c>
      <c r="C78" s="60"/>
      <c r="D78" s="60"/>
      <c r="F78" s="60">
        <v>20650000</v>
      </c>
      <c r="G78" s="125">
        <f t="shared" ref="G78:M78" si="51">(G77/365)*($B$68-($B$68/12)+G$161)</f>
        <v>20524605.038124114</v>
      </c>
      <c r="H78" s="60">
        <f t="shared" si="51"/>
        <v>21161272.499102835</v>
      </c>
      <c r="I78" s="60">
        <f t="shared" ca="1" si="51"/>
        <v>21508689.699893173</v>
      </c>
      <c r="J78" s="60">
        <f t="shared" ca="1" si="51"/>
        <v>21233544.795256466</v>
      </c>
      <c r="K78" s="60">
        <f t="shared" ca="1" si="51"/>
        <v>21152148.369660076</v>
      </c>
      <c r="L78" s="60">
        <f t="shared" ca="1" si="51"/>
        <v>20911505.634179756</v>
      </c>
      <c r="M78" s="60">
        <f t="shared" si="51"/>
        <v>21084758.760898497</v>
      </c>
      <c r="N78" s="60"/>
      <c r="O78" s="60">
        <f t="shared" ref="O78:T78" si="52">(O77/365)*($B$68-($B$68/12)+O$161)</f>
        <v>21154241.737823125</v>
      </c>
      <c r="P78" s="60">
        <f t="shared" si="52"/>
        <v>20870006.907723334</v>
      </c>
      <c r="Q78" s="60">
        <f t="shared" si="52"/>
        <v>20423033.033990622</v>
      </c>
      <c r="R78" s="60">
        <f t="shared" si="52"/>
        <v>21224968.002567556</v>
      </c>
      <c r="S78" s="60">
        <f t="shared" si="52"/>
        <v>21504344.583483372</v>
      </c>
      <c r="T78" s="60">
        <f t="shared" si="52"/>
        <v>21068001.571059089</v>
      </c>
      <c r="U78" s="87"/>
      <c r="V78" s="87"/>
    </row>
    <row r="79" spans="1:22" x14ac:dyDescent="0.3">
      <c r="A79" s="70" t="s">
        <v>1838</v>
      </c>
      <c r="B79" s="60"/>
      <c r="C79" s="60"/>
      <c r="D79" s="60"/>
      <c r="E79" s="60"/>
      <c r="F79" s="60">
        <f t="shared" ref="F79:M79" si="53">F80-F78</f>
        <v>-125394.96187588573</v>
      </c>
      <c r="G79" s="60">
        <f t="shared" si="53"/>
        <v>636667.46097872034</v>
      </c>
      <c r="H79" s="60">
        <f t="shared" ca="1" si="53"/>
        <v>347417.20079033822</v>
      </c>
      <c r="I79" s="60">
        <f t="shared" ca="1" si="53"/>
        <v>-275144.90463670716</v>
      </c>
      <c r="J79" s="60">
        <f t="shared" ca="1" si="53"/>
        <v>-81396.42559638992</v>
      </c>
      <c r="K79" s="60">
        <f t="shared" ca="1" si="53"/>
        <v>-240642.73548031971</v>
      </c>
      <c r="L79" s="60">
        <f t="shared" ca="1" si="53"/>
        <v>173253.12671874091</v>
      </c>
      <c r="M79" s="60">
        <f t="shared" si="53"/>
        <v>69482.976924628019</v>
      </c>
      <c r="N79" s="60"/>
      <c r="O79" s="60">
        <f t="shared" ref="O79:T79" si="54">O80-O78</f>
        <v>-284234.83009979129</v>
      </c>
      <c r="P79" s="60">
        <f t="shared" si="54"/>
        <v>-446973.87373271212</v>
      </c>
      <c r="Q79" s="60">
        <f t="shared" si="54"/>
        <v>801934.96857693419</v>
      </c>
      <c r="R79" s="60">
        <f t="shared" si="54"/>
        <v>279376.58091581613</v>
      </c>
      <c r="S79" s="60">
        <f t="shared" si="54"/>
        <v>-436343.01242428273</v>
      </c>
      <c r="T79" s="60">
        <f t="shared" si="54"/>
        <v>1819564.8723752685</v>
      </c>
      <c r="U79" s="87"/>
      <c r="V79" s="87"/>
    </row>
    <row r="80" spans="1:22" x14ac:dyDescent="0.3">
      <c r="A80" s="70" t="s">
        <v>1839</v>
      </c>
      <c r="B80" s="60"/>
      <c r="C80" s="60"/>
      <c r="D80" s="60"/>
      <c r="E80" s="60"/>
      <c r="F80" s="60">
        <f t="shared" ref="F80:L80" si="55">G78</f>
        <v>20524605.038124114</v>
      </c>
      <c r="G80" s="60">
        <f t="shared" si="55"/>
        <v>21161272.499102835</v>
      </c>
      <c r="H80" s="60">
        <f t="shared" ca="1" si="55"/>
        <v>21508689.699893173</v>
      </c>
      <c r="I80" s="60">
        <f t="shared" ca="1" si="55"/>
        <v>21233544.795256466</v>
      </c>
      <c r="J80" s="60">
        <f t="shared" ca="1" si="55"/>
        <v>21152148.369660076</v>
      </c>
      <c r="K80" s="60">
        <f t="shared" ca="1" si="55"/>
        <v>20911505.634179756</v>
      </c>
      <c r="L80" s="60">
        <f t="shared" si="55"/>
        <v>21084758.760898497</v>
      </c>
      <c r="M80" s="60">
        <f>O78</f>
        <v>21154241.737823125</v>
      </c>
      <c r="N80" s="60"/>
      <c r="O80" s="60">
        <f>P78</f>
        <v>20870006.907723334</v>
      </c>
      <c r="P80" s="60">
        <f>Q78</f>
        <v>20423033.033990622</v>
      </c>
      <c r="Q80" s="60">
        <f>R78</f>
        <v>21224968.002567556</v>
      </c>
      <c r="R80" s="60">
        <f>S78</f>
        <v>21504344.583483372</v>
      </c>
      <c r="S80" s="60">
        <f>T78</f>
        <v>21068001.571059089</v>
      </c>
      <c r="T80" s="60">
        <v>22887566.443434358</v>
      </c>
      <c r="U80" s="87"/>
      <c r="V80" s="87"/>
    </row>
    <row r="81" spans="1:22" x14ac:dyDescent="0.3">
      <c r="A81" s="7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87"/>
      <c r="V81" s="87"/>
    </row>
    <row r="82" spans="1:22" x14ac:dyDescent="0.3">
      <c r="A82" s="70" t="s">
        <v>1845</v>
      </c>
      <c r="B82" s="60"/>
      <c r="C82" s="60"/>
      <c r="D82" s="60"/>
      <c r="E82" s="60"/>
      <c r="F82" s="60">
        <f>F71+F75-F79</f>
        <v>1698092.7711452842</v>
      </c>
      <c r="G82" s="60">
        <f t="shared" ref="G82:T82" si="56">G71+G75-G79</f>
        <v>2552860.8839984536</v>
      </c>
      <c r="H82" s="60">
        <f t="shared" ca="1" si="56"/>
        <v>4316484.5342938565</v>
      </c>
      <c r="I82" s="60">
        <f t="shared" ca="1" si="56"/>
        <v>286138.35499218106</v>
      </c>
      <c r="J82" s="60">
        <f t="shared" ca="1" si="56"/>
        <v>-540274.76838671044</v>
      </c>
      <c r="K82" s="60">
        <f t="shared" ca="1" si="56"/>
        <v>-112586.46933809668</v>
      </c>
      <c r="L82" s="60">
        <f t="shared" ca="1" si="56"/>
        <v>-436311.20847705007</v>
      </c>
      <c r="M82" s="60">
        <f t="shared" ca="1" si="56"/>
        <v>656971.18259736523</v>
      </c>
      <c r="N82" s="60"/>
      <c r="O82" s="60">
        <f t="shared" si="56"/>
        <v>-648101.04307282716</v>
      </c>
      <c r="P82" s="60">
        <f t="shared" si="56"/>
        <v>-951310.30708920211</v>
      </c>
      <c r="Q82" s="60">
        <f t="shared" si="56"/>
        <v>1415536.8373847194</v>
      </c>
      <c r="R82" s="60">
        <f t="shared" si="56"/>
        <v>870478.17157732695</v>
      </c>
      <c r="S82" s="60">
        <f t="shared" si="56"/>
        <v>-917928.7417674996</v>
      </c>
      <c r="T82" s="60">
        <f t="shared" si="56"/>
        <v>956878.74201944843</v>
      </c>
      <c r="U82" s="87"/>
      <c r="V82" s="87"/>
    </row>
    <row r="83" spans="1:22" x14ac:dyDescent="0.3">
      <c r="A83" s="7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87"/>
      <c r="V83" s="87"/>
    </row>
    <row r="84" spans="1:22" x14ac:dyDescent="0.3">
      <c r="A84" s="70" t="s">
        <v>1846</v>
      </c>
      <c r="B84" s="60"/>
      <c r="C84" s="60"/>
      <c r="D84" s="60"/>
      <c r="E84" s="60"/>
      <c r="F84" s="60">
        <f>F168-F82</f>
        <v>-339451.93114527874</v>
      </c>
      <c r="G84" s="60">
        <f t="shared" ref="G84:U84" si="57">G168-G82</f>
        <v>-1898643.7939984554</v>
      </c>
      <c r="H84" s="60">
        <f t="shared" ca="1" si="57"/>
        <v>-1290595.4242938287</v>
      </c>
      <c r="I84" s="60">
        <f t="shared" ca="1" si="57"/>
        <v>4186986.7322441479</v>
      </c>
      <c r="J84" s="60">
        <f t="shared" ca="1" si="57"/>
        <v>4357313.884456519</v>
      </c>
      <c r="K84" s="60">
        <f t="shared" ca="1" si="57"/>
        <v>3829899.2927314322</v>
      </c>
      <c r="L84" s="60">
        <f t="shared" ca="1" si="57"/>
        <v>3137374.8394332696</v>
      </c>
      <c r="M84" s="60">
        <f t="shared" ca="1" si="57"/>
        <v>2612497.9829741679</v>
      </c>
      <c r="N84" s="60"/>
      <c r="O84" s="60">
        <f t="shared" si="57"/>
        <v>4600578.9848235259</v>
      </c>
      <c r="P84" s="60">
        <f t="shared" si="57"/>
        <v>3662353.1324573951</v>
      </c>
      <c r="Q84" s="60">
        <f t="shared" si="57"/>
        <v>-463440.12626652722</v>
      </c>
      <c r="R84" s="60">
        <f t="shared" si="57"/>
        <v>2407923.7767058746</v>
      </c>
      <c r="S84" s="60">
        <f t="shared" si="57"/>
        <v>5948993.8620131891</v>
      </c>
      <c r="T84" s="60">
        <f t="shared" si="57"/>
        <v>2436597.4119314188</v>
      </c>
      <c r="U84" s="60">
        <f t="shared" si="57"/>
        <v>0</v>
      </c>
      <c r="V84" s="87"/>
    </row>
    <row r="85" spans="1:22" x14ac:dyDescent="0.3">
      <c r="A85" s="7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87"/>
    </row>
    <row r="86" spans="1:22" x14ac:dyDescent="0.3">
      <c r="A86" s="70" t="s">
        <v>1847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87"/>
    </row>
    <row r="87" spans="1:22" x14ac:dyDescent="0.3">
      <c r="A87" s="7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87"/>
    </row>
    <row r="88" spans="1:22" x14ac:dyDescent="0.3">
      <c r="A88" s="7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87"/>
      <c r="V88" s="87"/>
    </row>
    <row r="89" spans="1:22" ht="18" x14ac:dyDescent="0.35">
      <c r="A89" s="81" t="s">
        <v>1632</v>
      </c>
    </row>
    <row r="90" spans="1:22" ht="5.25" customHeight="1" x14ac:dyDescent="0.3">
      <c r="A90" s="70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8"/>
      <c r="P90" s="98"/>
      <c r="Q90" s="98"/>
      <c r="R90" s="98"/>
      <c r="S90" s="98"/>
      <c r="T90" s="98"/>
      <c r="U90" s="87"/>
      <c r="V90" s="87"/>
    </row>
    <row r="91" spans="1:22" x14ac:dyDescent="0.3">
      <c r="A91" s="8" t="s">
        <v>1633</v>
      </c>
      <c r="B91" s="89">
        <v>75534.164590097716</v>
      </c>
      <c r="C91" s="89">
        <f>B96</f>
        <v>76337.787242822567</v>
      </c>
      <c r="D91" s="89">
        <f t="shared" ref="D91:M91" si="58">C96</f>
        <v>77100.294585943921</v>
      </c>
      <c r="E91" s="89">
        <f t="shared" si="58"/>
        <v>77767.651533316937</v>
      </c>
      <c r="F91" s="89">
        <f t="shared" si="58"/>
        <v>77814.325883708385</v>
      </c>
      <c r="G91" s="89">
        <f t="shared" si="58"/>
        <v>78688.649725199139</v>
      </c>
      <c r="H91" s="89">
        <f t="shared" si="58"/>
        <v>79935.719636612324</v>
      </c>
      <c r="I91" s="89">
        <f t="shared" si="58"/>
        <v>99000</v>
      </c>
      <c r="J91" s="89">
        <f t="shared" si="58"/>
        <v>99000</v>
      </c>
      <c r="K91" s="89">
        <f t="shared" si="58"/>
        <v>99000</v>
      </c>
      <c r="L91" s="89">
        <f t="shared" si="58"/>
        <v>99000</v>
      </c>
      <c r="M91" s="89">
        <f t="shared" si="58"/>
        <v>99000</v>
      </c>
      <c r="N91" s="89">
        <f>B91</f>
        <v>75534.164590097716</v>
      </c>
      <c r="O91" s="237"/>
      <c r="P91" s="237"/>
      <c r="Q91" s="237"/>
      <c r="R91" s="237"/>
      <c r="S91" s="237"/>
      <c r="T91" s="237"/>
      <c r="U91" s="91"/>
      <c r="V91" s="91"/>
    </row>
    <row r="92" spans="1:22" x14ac:dyDescent="0.3">
      <c r="A92" s="71" t="s">
        <v>1634</v>
      </c>
      <c r="B92" s="90">
        <f>+B54</f>
        <v>0</v>
      </c>
      <c r="C92" s="90">
        <f>+C54</f>
        <v>0</v>
      </c>
      <c r="D92" s="90">
        <f>+D54</f>
        <v>0</v>
      </c>
      <c r="E92" s="90">
        <f>+E54</f>
        <v>0</v>
      </c>
      <c r="F92" s="90">
        <f>+F54</f>
        <v>0</v>
      </c>
      <c r="G92" s="90">
        <f t="shared" ref="G92:M92" si="59">+G54</f>
        <v>0</v>
      </c>
      <c r="H92" s="90">
        <f t="shared" si="59"/>
        <v>0</v>
      </c>
      <c r="I92" s="90">
        <f t="shared" si="59"/>
        <v>0</v>
      </c>
      <c r="J92" s="90">
        <f t="shared" si="59"/>
        <v>0</v>
      </c>
      <c r="K92" s="90">
        <f t="shared" si="59"/>
        <v>0</v>
      </c>
      <c r="L92" s="90">
        <f t="shared" si="59"/>
        <v>0</v>
      </c>
      <c r="M92" s="90">
        <f t="shared" si="59"/>
        <v>0</v>
      </c>
      <c r="N92" s="90">
        <f>SUM(B92,C92,D92,E92,F92,G92,H92,I92,J92,K92,L92,M92)</f>
        <v>0</v>
      </c>
      <c r="O92" s="60"/>
      <c r="P92" s="60"/>
      <c r="Q92" s="60"/>
      <c r="R92" s="60"/>
      <c r="S92" s="60"/>
      <c r="T92" s="60"/>
      <c r="U92" s="91"/>
      <c r="V92" s="91"/>
    </row>
    <row r="93" spans="1:22" x14ac:dyDescent="0.3">
      <c r="A93" s="71" t="s">
        <v>1282</v>
      </c>
      <c r="B93" s="90">
        <f>+B53</f>
        <v>0</v>
      </c>
      <c r="C93" s="90">
        <f>+C53</f>
        <v>0</v>
      </c>
      <c r="D93" s="90">
        <f>+D53</f>
        <v>0</v>
      </c>
      <c r="E93" s="90">
        <f>+E53</f>
        <v>0</v>
      </c>
      <c r="F93" s="90">
        <f>+F53</f>
        <v>0</v>
      </c>
      <c r="G93" s="90">
        <f t="shared" ref="G93:M93" si="60">+G53</f>
        <v>0</v>
      </c>
      <c r="H93" s="90">
        <f t="shared" si="60"/>
        <v>0</v>
      </c>
      <c r="I93" s="90">
        <f t="shared" si="60"/>
        <v>0</v>
      </c>
      <c r="J93" s="90">
        <f t="shared" si="60"/>
        <v>0</v>
      </c>
      <c r="K93" s="90">
        <f t="shared" si="60"/>
        <v>0</v>
      </c>
      <c r="L93" s="90">
        <f t="shared" si="60"/>
        <v>0</v>
      </c>
      <c r="M93" s="90">
        <f t="shared" si="60"/>
        <v>0</v>
      </c>
      <c r="N93" s="90">
        <f>SUM(B93,C93,D93,E93,F93,G93,H93,I93,J93,K93,L93,M93)</f>
        <v>0</v>
      </c>
      <c r="O93" s="60"/>
      <c r="P93" s="60"/>
      <c r="Q93" s="60"/>
      <c r="R93" s="60"/>
      <c r="S93" s="60"/>
      <c r="T93" s="60"/>
      <c r="U93" s="91"/>
      <c r="V93" s="91"/>
    </row>
    <row r="94" spans="1:22" x14ac:dyDescent="0.3">
      <c r="A94" s="71" t="s">
        <v>1635</v>
      </c>
      <c r="B94" s="90">
        <v>-803.62265272485274</v>
      </c>
      <c r="C94" s="90">
        <v>-762.50734312134944</v>
      </c>
      <c r="D94" s="90">
        <v>-667.35694737301412</v>
      </c>
      <c r="E94" s="90">
        <v>-46.674350391453132</v>
      </c>
      <c r="F94" s="90">
        <f>-915456.469696268/1000--41.1326282055088</f>
        <v>-874.32384149075915</v>
      </c>
      <c r="G94" s="90">
        <f>-1247069.91141318/1000</f>
        <v>-1247.0699114131799</v>
      </c>
      <c r="H94" s="90"/>
      <c r="I94" s="90"/>
      <c r="J94" s="90"/>
      <c r="K94" s="90"/>
      <c r="L94" s="90"/>
      <c r="M94" s="90"/>
      <c r="N94" s="90">
        <f>SUM(B94,C94,D94,E94,F94,G94,H94,I94,J94,K94,L94,M94)</f>
        <v>-4401.555046514608</v>
      </c>
      <c r="O94" s="60"/>
      <c r="P94" s="60"/>
      <c r="Q94" s="60"/>
      <c r="R94" s="60"/>
      <c r="S94" s="60"/>
      <c r="T94" s="60"/>
      <c r="U94" s="91"/>
      <c r="V94" s="91"/>
    </row>
    <row r="95" spans="1:22" x14ac:dyDescent="0.3">
      <c r="A95" s="70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8"/>
      <c r="P95" s="98"/>
      <c r="Q95" s="98"/>
      <c r="R95" s="98"/>
      <c r="S95" s="98"/>
      <c r="T95" s="98"/>
      <c r="U95" s="87"/>
      <c r="V95" s="87"/>
    </row>
    <row r="96" spans="1:22" x14ac:dyDescent="0.3">
      <c r="A96" s="8" t="s">
        <v>1636</v>
      </c>
      <c r="B96" s="89">
        <f t="shared" ref="B96:N96" si="61">+B91+B92-B93-B94</f>
        <v>76337.787242822567</v>
      </c>
      <c r="C96" s="89">
        <f t="shared" si="61"/>
        <v>77100.294585943921</v>
      </c>
      <c r="D96" s="89">
        <f t="shared" si="61"/>
        <v>77767.651533316937</v>
      </c>
      <c r="E96" s="89">
        <f t="shared" si="61"/>
        <v>77814.325883708385</v>
      </c>
      <c r="F96" s="89">
        <f>+F91+F92-F93-F94</f>
        <v>78688.649725199139</v>
      </c>
      <c r="G96" s="89">
        <f>+G91+G92-G93-G94</f>
        <v>79935.719636612324</v>
      </c>
      <c r="H96" s="89">
        <v>99000</v>
      </c>
      <c r="I96" s="89">
        <f t="shared" si="61"/>
        <v>99000</v>
      </c>
      <c r="J96" s="89">
        <f>+J91+J92-J93-J94</f>
        <v>99000</v>
      </c>
      <c r="K96" s="89">
        <f t="shared" si="61"/>
        <v>99000</v>
      </c>
      <c r="L96" s="89">
        <f t="shared" si="61"/>
        <v>99000</v>
      </c>
      <c r="M96" s="89">
        <f>+M91+M92-M93-M94</f>
        <v>99000</v>
      </c>
      <c r="N96" s="89">
        <f t="shared" si="61"/>
        <v>79935.719636612324</v>
      </c>
      <c r="O96" s="237"/>
      <c r="P96" s="237"/>
      <c r="Q96" s="237"/>
      <c r="R96" s="237"/>
      <c r="S96" s="237"/>
      <c r="T96" s="237"/>
      <c r="U96" s="91"/>
      <c r="V96" s="91"/>
    </row>
    <row r="97" spans="1:24" x14ac:dyDescent="0.3">
      <c r="A97" s="70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87"/>
      <c r="M97" s="87">
        <f>G96-M96</f>
        <v>-19064.280363387676</v>
      </c>
    </row>
    <row r="98" spans="1:24" x14ac:dyDescent="0.3">
      <c r="A98" s="71" t="s">
        <v>1295</v>
      </c>
      <c r="B98" s="100">
        <v>3733</v>
      </c>
      <c r="C98" s="100">
        <v>3733</v>
      </c>
      <c r="D98" s="100">
        <v>3900</v>
      </c>
      <c r="E98" s="100">
        <v>3733</v>
      </c>
      <c r="F98" s="100">
        <v>3733</v>
      </c>
      <c r="G98" s="100">
        <f>2050+2071</f>
        <v>4121</v>
      </c>
      <c r="H98" s="100">
        <f>G98</f>
        <v>4121</v>
      </c>
      <c r="I98" s="100">
        <f t="shared" ref="I98:N98" si="62">H98</f>
        <v>4121</v>
      </c>
      <c r="J98" s="100">
        <f t="shared" si="62"/>
        <v>4121</v>
      </c>
      <c r="K98" s="100">
        <f t="shared" si="62"/>
        <v>4121</v>
      </c>
      <c r="L98" s="100">
        <f t="shared" si="62"/>
        <v>4121</v>
      </c>
      <c r="M98" s="100">
        <f t="shared" si="62"/>
        <v>4121</v>
      </c>
      <c r="N98" s="100">
        <f t="shared" si="62"/>
        <v>4121</v>
      </c>
      <c r="O98" s="239"/>
      <c r="P98" s="239"/>
      <c r="Q98" s="239"/>
      <c r="R98" s="239"/>
      <c r="S98" s="239"/>
      <c r="T98" s="239"/>
      <c r="U98" s="2"/>
      <c r="V98" s="2"/>
    </row>
    <row r="99" spans="1:24" x14ac:dyDescent="0.3">
      <c r="A99" s="71" t="s">
        <v>1637</v>
      </c>
      <c r="B99" s="106">
        <v>10000</v>
      </c>
      <c r="C99" s="106">
        <v>10000</v>
      </c>
      <c r="D99" s="106">
        <v>12500</v>
      </c>
      <c r="E99" s="106">
        <f>D99</f>
        <v>12500</v>
      </c>
      <c r="F99" s="106">
        <f>E99</f>
        <v>12500</v>
      </c>
      <c r="G99" s="106">
        <f>10818333.37/1000</f>
        <v>10818.333369999998</v>
      </c>
      <c r="H99" s="106">
        <f t="shared" ref="H99:M99" si="63">G99</f>
        <v>10818.333369999998</v>
      </c>
      <c r="I99" s="106">
        <f t="shared" si="63"/>
        <v>10818.333369999998</v>
      </c>
      <c r="J99" s="106">
        <f t="shared" si="63"/>
        <v>10818.333369999998</v>
      </c>
      <c r="K99" s="106">
        <f t="shared" si="63"/>
        <v>10818.333369999998</v>
      </c>
      <c r="L99" s="106">
        <f t="shared" si="63"/>
        <v>10818.333369999998</v>
      </c>
      <c r="M99" s="106">
        <f t="shared" si="63"/>
        <v>10818.333369999998</v>
      </c>
      <c r="N99" s="106">
        <f>M99</f>
        <v>10818.333369999998</v>
      </c>
      <c r="O99" s="240"/>
      <c r="P99" s="240"/>
      <c r="Q99" s="240"/>
      <c r="R99" s="240"/>
      <c r="S99" s="240"/>
      <c r="T99" s="240"/>
    </row>
    <row r="100" spans="1:24" x14ac:dyDescent="0.3">
      <c r="A100" s="8" t="s">
        <v>1638</v>
      </c>
      <c r="B100" s="93">
        <f t="shared" ref="B100:N100" si="64">+B96+B98+B99</f>
        <v>90070.787242822567</v>
      </c>
      <c r="C100" s="93">
        <f t="shared" si="64"/>
        <v>90833.294585943921</v>
      </c>
      <c r="D100" s="93">
        <f t="shared" si="64"/>
        <v>94167.651533316937</v>
      </c>
      <c r="E100" s="93">
        <f t="shared" si="64"/>
        <v>94047.325883708385</v>
      </c>
      <c r="F100" s="93">
        <f t="shared" si="64"/>
        <v>94921.649725199139</v>
      </c>
      <c r="G100" s="93">
        <f t="shared" si="64"/>
        <v>94875.053006612317</v>
      </c>
      <c r="H100" s="93">
        <f t="shared" si="64"/>
        <v>113939.33336999999</v>
      </c>
      <c r="I100" s="93">
        <f t="shared" si="64"/>
        <v>113939.33336999999</v>
      </c>
      <c r="J100" s="93">
        <f t="shared" si="64"/>
        <v>113939.33336999999</v>
      </c>
      <c r="K100" s="93">
        <f t="shared" si="64"/>
        <v>113939.33336999999</v>
      </c>
      <c r="L100" s="93">
        <f t="shared" si="64"/>
        <v>113939.33336999999</v>
      </c>
      <c r="M100" s="93">
        <f t="shared" si="64"/>
        <v>113939.33336999999</v>
      </c>
      <c r="N100" s="93">
        <f t="shared" si="64"/>
        <v>94875.053006612317</v>
      </c>
      <c r="O100" s="98"/>
      <c r="P100" s="98"/>
      <c r="Q100" s="98"/>
      <c r="R100" s="98"/>
      <c r="S100" s="98"/>
      <c r="T100" s="98"/>
    </row>
    <row r="101" spans="1:24" x14ac:dyDescent="0.3">
      <c r="B101" s="107"/>
      <c r="C101" s="107"/>
      <c r="D101" s="108">
        <f>D102*D115</f>
        <v>90198.835155869194</v>
      </c>
      <c r="E101" s="108"/>
      <c r="F101" s="108"/>
      <c r="G101" s="108">
        <f>G102*G115</f>
        <v>133250.00464881249</v>
      </c>
      <c r="I101" s="108"/>
      <c r="J101" s="108">
        <f>J102*J115</f>
        <v>122686.99234049294</v>
      </c>
      <c r="K101" s="108"/>
      <c r="L101" s="108"/>
      <c r="M101" s="108">
        <f>M102*M115</f>
        <v>136357.17593936488</v>
      </c>
      <c r="N101" s="107"/>
    </row>
    <row r="102" spans="1:24" x14ac:dyDescent="0.3">
      <c r="A102" s="109" t="s">
        <v>1639</v>
      </c>
      <c r="B102" s="107"/>
      <c r="C102" s="107"/>
      <c r="D102" s="90">
        <f>+D104+D103+D105+($M$108-D108)+($M$110-D110)+($M$109-D109)</f>
        <v>18039.76703117384</v>
      </c>
      <c r="E102" s="90"/>
      <c r="F102" s="90"/>
      <c r="G102" s="90">
        <f>+G104+G103+G105+($M$108-G108)+($M$110-G110)+($M$109-G109)</f>
        <v>26650.000929762497</v>
      </c>
      <c r="H102" s="110">
        <f>G100/G115</f>
        <v>18975.010601322465</v>
      </c>
      <c r="I102" s="111">
        <f>+G100/21000</f>
        <v>4.517859666981539</v>
      </c>
      <c r="J102" s="90">
        <f>+J104+J103+J105+($M$108-J108)+($M$110-J110)+($M$109-J109)</f>
        <v>30671.748085123236</v>
      </c>
      <c r="K102" s="112">
        <f>+J100/J115</f>
        <v>28484.833342499998</v>
      </c>
      <c r="L102" s="90"/>
      <c r="M102" s="90">
        <f>+M104+M103+M105+($M$108-M108)+($M$110-M110)+($M$109-M109)</f>
        <v>35883.467352464446</v>
      </c>
      <c r="N102" s="112">
        <f>+M100/M115</f>
        <v>29984.035097368422</v>
      </c>
      <c r="O102" s="241"/>
      <c r="P102" s="241"/>
      <c r="Q102" s="241"/>
      <c r="R102" s="241"/>
      <c r="S102" s="241"/>
      <c r="T102" s="241"/>
      <c r="U102" s="4"/>
      <c r="V102" s="4"/>
    </row>
    <row r="103" spans="1:24" x14ac:dyDescent="0.3">
      <c r="A103" s="71" t="s">
        <v>1640</v>
      </c>
      <c r="B103" s="107"/>
      <c r="C103" s="107"/>
      <c r="D103" s="90">
        <v>400</v>
      </c>
      <c r="E103" s="90"/>
      <c r="F103" s="90"/>
      <c r="G103" s="90">
        <v>7237</v>
      </c>
      <c r="H103" s="112">
        <f>+G103-D103</f>
        <v>6837</v>
      </c>
      <c r="I103" s="90"/>
      <c r="J103" s="90">
        <f>(83000/J3)+G103</f>
        <v>12119.35294117647</v>
      </c>
      <c r="K103" s="112">
        <f>J103-G103</f>
        <v>4882.3529411764703</v>
      </c>
      <c r="L103" s="90"/>
      <c r="M103" s="90">
        <f>(83000/M3)+J103</f>
        <v>16862.210084033613</v>
      </c>
      <c r="N103" s="112">
        <f>M103-J103</f>
        <v>4742.8571428571431</v>
      </c>
      <c r="O103" s="241"/>
      <c r="P103" s="241"/>
      <c r="Q103" s="241"/>
      <c r="R103" s="241"/>
      <c r="S103" s="241"/>
      <c r="T103" s="241"/>
      <c r="W103" s="85"/>
    </row>
    <row r="104" spans="1:24" x14ac:dyDescent="0.3">
      <c r="A104" s="71" t="s">
        <v>1641</v>
      </c>
      <c r="B104" s="107"/>
      <c r="C104" s="107"/>
      <c r="D104" s="90">
        <v>4000</v>
      </c>
      <c r="E104" s="90"/>
      <c r="F104" s="113"/>
      <c r="G104" s="114">
        <f>8242856.92430608/1000</f>
        <v>8242.8569243060792</v>
      </c>
      <c r="H104" s="112">
        <f>G104-D104</f>
        <v>4242.8569243060792</v>
      </c>
      <c r="I104" s="113"/>
      <c r="J104" s="115">
        <f>0+G104</f>
        <v>8242.8569243060792</v>
      </c>
      <c r="K104" s="90">
        <f>J104-G104</f>
        <v>0</v>
      </c>
      <c r="L104" s="113"/>
      <c r="M104" s="115">
        <f>2827+J104</f>
        <v>11069.856924306079</v>
      </c>
      <c r="N104" s="90">
        <f>M104-J104</f>
        <v>2827</v>
      </c>
      <c r="O104" s="60"/>
      <c r="P104" s="60"/>
      <c r="Q104" s="60"/>
      <c r="R104" s="60"/>
      <c r="S104" s="60"/>
      <c r="T104" s="60"/>
      <c r="W104" s="116"/>
      <c r="X104" s="117"/>
    </row>
    <row r="105" spans="1:24" x14ac:dyDescent="0.3">
      <c r="A105" s="71" t="s">
        <v>1642</v>
      </c>
      <c r="B105" s="107"/>
      <c r="C105" s="107"/>
      <c r="D105" s="90">
        <v>1911</v>
      </c>
      <c r="E105" s="90"/>
      <c r="F105" s="114"/>
      <c r="G105" s="114">
        <v>3840.4003441247555</v>
      </c>
      <c r="H105" s="112">
        <f>+G105-D105</f>
        <v>1929.4003441247555</v>
      </c>
      <c r="I105" s="90"/>
      <c r="J105" s="115">
        <f>1592+G105</f>
        <v>5432.4003441247551</v>
      </c>
      <c r="K105" s="112">
        <f>+J105-G105</f>
        <v>1591.9999999999995</v>
      </c>
      <c r="L105" s="90"/>
      <c r="M105" s="115">
        <f>2519+J105</f>
        <v>7951.4003441247551</v>
      </c>
      <c r="N105" s="112">
        <f>+M105-J105</f>
        <v>2519</v>
      </c>
      <c r="O105" s="241"/>
      <c r="P105" s="241"/>
      <c r="Q105" s="241"/>
      <c r="R105" s="241"/>
      <c r="S105" s="241"/>
      <c r="T105" s="241"/>
      <c r="W105" s="118"/>
    </row>
    <row r="106" spans="1:24" ht="5.25" customHeight="1" x14ac:dyDescent="0.3">
      <c r="A106" s="71"/>
      <c r="B106" s="107"/>
      <c r="C106" s="107"/>
      <c r="D106" s="90"/>
      <c r="E106" s="90"/>
      <c r="F106" s="90"/>
      <c r="G106" s="90"/>
      <c r="H106" s="108"/>
      <c r="I106" s="90"/>
      <c r="J106" s="90"/>
      <c r="K106" s="108"/>
      <c r="L106" s="90"/>
      <c r="M106" s="90"/>
      <c r="N106" s="108"/>
      <c r="O106" s="242"/>
      <c r="P106" s="242"/>
      <c r="Q106" s="242"/>
      <c r="R106" s="242"/>
      <c r="S106" s="242"/>
      <c r="T106" s="242"/>
    </row>
    <row r="107" spans="1:24" ht="5.25" customHeight="1" x14ac:dyDescent="0.3">
      <c r="A107" s="71"/>
      <c r="B107" s="107"/>
      <c r="C107" s="107"/>
      <c r="D107" s="90"/>
      <c r="E107" s="90"/>
      <c r="F107" s="90"/>
      <c r="G107" s="90"/>
      <c r="H107" s="108"/>
      <c r="I107" s="90"/>
      <c r="J107" s="90"/>
      <c r="K107" s="108"/>
      <c r="L107" s="90"/>
      <c r="M107" s="90"/>
      <c r="N107" s="108"/>
      <c r="O107" s="242"/>
      <c r="P107" s="242"/>
      <c r="Q107" s="242"/>
      <c r="R107" s="242"/>
      <c r="S107" s="242"/>
      <c r="T107" s="242"/>
    </row>
    <row r="108" spans="1:24" x14ac:dyDescent="0.3">
      <c r="A108" s="71" t="s">
        <v>1643</v>
      </c>
      <c r="B108" s="107"/>
      <c r="C108" s="107"/>
      <c r="D108" s="114">
        <f>5512-7381-1890+2267+250-D109</f>
        <v>-1971</v>
      </c>
      <c r="E108" s="90"/>
      <c r="F108" s="90"/>
      <c r="G108" s="114">
        <f>17552-13768-4562+2680+510-G109</f>
        <v>1461</v>
      </c>
      <c r="H108" s="90">
        <f>+G108-D108</f>
        <v>3432</v>
      </c>
      <c r="I108" s="90"/>
      <c r="J108" s="114">
        <f>24518-21335-5381+5455+766-J109</f>
        <v>4292</v>
      </c>
      <c r="K108" s="90">
        <f>+J108-G108</f>
        <v>2831</v>
      </c>
      <c r="L108" s="90"/>
      <c r="M108" s="114">
        <f>35723-28351-6696+8332+1029-M109-2106</f>
        <v>2645</v>
      </c>
      <c r="N108" s="90">
        <f>+M108-J108</f>
        <v>-1647</v>
      </c>
      <c r="O108" s="60"/>
      <c r="P108" s="60"/>
      <c r="Q108" s="60"/>
      <c r="R108" s="60"/>
      <c r="S108" s="60"/>
      <c r="T108" s="60"/>
      <c r="W108" s="115">
        <f>M108+M109</f>
        <v>7931</v>
      </c>
    </row>
    <row r="109" spans="1:24" x14ac:dyDescent="0.3">
      <c r="A109" s="71" t="s">
        <v>1644</v>
      </c>
      <c r="B109" s="107"/>
      <c r="C109" s="107"/>
      <c r="D109" s="114">
        <f>1114-650+265</f>
        <v>729</v>
      </c>
      <c r="E109" s="90"/>
      <c r="F109" s="90"/>
      <c r="G109" s="114">
        <f>1320-934+565</f>
        <v>951</v>
      </c>
      <c r="H109" s="90">
        <f>+G109-D109</f>
        <v>222</v>
      </c>
      <c r="I109" s="90"/>
      <c r="J109" s="114">
        <f>134-1245+842</f>
        <v>-269</v>
      </c>
      <c r="K109" s="90">
        <f>+J109-G109</f>
        <v>-1220</v>
      </c>
      <c r="L109" s="90"/>
      <c r="M109" s="114">
        <f>5363-1602+1525</f>
        <v>5286</v>
      </c>
      <c r="N109" s="90">
        <f>+M109-J109</f>
        <v>5555</v>
      </c>
      <c r="O109" s="60"/>
      <c r="P109" s="60"/>
      <c r="Q109" s="60"/>
      <c r="R109" s="60"/>
      <c r="S109" s="60"/>
      <c r="T109" s="60"/>
      <c r="W109" s="2"/>
    </row>
    <row r="110" spans="1:24" x14ac:dyDescent="0.3">
      <c r="A110" s="71" t="s">
        <v>1645</v>
      </c>
      <c r="B110" s="107"/>
      <c r="C110" s="107"/>
      <c r="D110" s="114">
        <f>(29787-18865-2545+5295)/20.5127</f>
        <v>666.51391576925516</v>
      </c>
      <c r="E110" s="90"/>
      <c r="F110" s="90"/>
      <c r="G110" s="114">
        <f>(62333-36318-7674+10283)/20.2786</f>
        <v>1411.5372856114327</v>
      </c>
      <c r="H110" s="90">
        <f>+G110-D110</f>
        <v>745.02336984217754</v>
      </c>
      <c r="I110" s="90"/>
      <c r="J110" s="114">
        <f>(93338-52553-13186+18065)/20.2668</f>
        <v>2253.1430714271619</v>
      </c>
      <c r="K110" s="90">
        <f>+J110-G110</f>
        <v>841.60578581572918</v>
      </c>
      <c r="L110" s="90"/>
      <c r="M110" s="114">
        <v>3222.280946943094</v>
      </c>
      <c r="N110" s="90">
        <f>+M110-J110</f>
        <v>969.13787551593214</v>
      </c>
      <c r="O110" s="60"/>
      <c r="P110" s="60"/>
      <c r="Q110" s="60"/>
      <c r="R110" s="60"/>
      <c r="S110" s="60"/>
      <c r="T110" s="60"/>
      <c r="W110" s="2"/>
    </row>
    <row r="111" spans="1:24" ht="5.25" customHeight="1" x14ac:dyDescent="0.3">
      <c r="A111" s="71"/>
      <c r="B111" s="107"/>
      <c r="C111" s="107"/>
      <c r="D111" s="107"/>
      <c r="E111" s="107"/>
      <c r="F111" s="107"/>
      <c r="G111" s="107"/>
      <c r="H111" s="107"/>
      <c r="I111" s="107"/>
      <c r="J111" s="107"/>
      <c r="K111" s="119"/>
      <c r="L111" s="107"/>
      <c r="M111" s="107"/>
      <c r="N111" s="119"/>
      <c r="O111" s="243"/>
      <c r="P111" s="243"/>
      <c r="Q111" s="243"/>
      <c r="R111" s="243"/>
      <c r="S111" s="243"/>
      <c r="T111" s="243"/>
    </row>
    <row r="112" spans="1:24" x14ac:dyDescent="0.3">
      <c r="A112" s="8" t="s">
        <v>1646</v>
      </c>
      <c r="B112" s="107"/>
      <c r="C112" s="107"/>
      <c r="D112" s="120">
        <f>D100/D102</f>
        <v>5.2200037489724433</v>
      </c>
      <c r="E112" s="120"/>
      <c r="F112" s="120"/>
      <c r="G112" s="120">
        <f>G100/G102</f>
        <v>3.5600393882409458</v>
      </c>
      <c r="H112" s="120"/>
      <c r="I112" s="120"/>
      <c r="J112" s="120">
        <f>J100/J102</f>
        <v>3.7147975085666589</v>
      </c>
      <c r="K112" s="120"/>
      <c r="L112" s="120"/>
      <c r="M112" s="120">
        <f>M100/M102</f>
        <v>3.1752598557668295</v>
      </c>
      <c r="N112" s="107"/>
    </row>
    <row r="113" spans="1:22" x14ac:dyDescent="0.3">
      <c r="A113" s="8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</row>
    <row r="114" spans="1:22" x14ac:dyDescent="0.3">
      <c r="A114" s="71" t="s">
        <v>1647</v>
      </c>
      <c r="B114" s="107"/>
      <c r="C114" s="107"/>
      <c r="D114" s="121">
        <f>D100/D115</f>
        <v>18833.530306663386</v>
      </c>
      <c r="E114" s="107"/>
      <c r="F114" s="107"/>
      <c r="G114" s="121">
        <f>G100/G115</f>
        <v>18975.010601322465</v>
      </c>
      <c r="H114" s="107"/>
      <c r="I114" s="107">
        <f>29*3.5</f>
        <v>101.5</v>
      </c>
      <c r="J114" s="121">
        <f>J100/J115</f>
        <v>28484.833342499998</v>
      </c>
      <c r="K114" s="107"/>
      <c r="L114" s="107"/>
      <c r="M114" s="121">
        <f>M100/M115</f>
        <v>29984.035097368422</v>
      </c>
      <c r="N114" s="107"/>
    </row>
    <row r="115" spans="1:22" x14ac:dyDescent="0.3">
      <c r="A115" s="122" t="s">
        <v>1648</v>
      </c>
      <c r="B115" s="107"/>
      <c r="C115" s="107"/>
      <c r="D115" s="123">
        <v>5</v>
      </c>
      <c r="E115" s="123"/>
      <c r="F115" s="123"/>
      <c r="G115" s="123">
        <v>5</v>
      </c>
      <c r="H115" s="123"/>
      <c r="I115" s="123"/>
      <c r="J115" s="123">
        <v>4</v>
      </c>
      <c r="K115" s="123"/>
      <c r="L115" s="123"/>
      <c r="M115" s="123">
        <v>3.8</v>
      </c>
      <c r="N115" s="107"/>
    </row>
    <row r="116" spans="1:22" x14ac:dyDescent="0.3">
      <c r="A116" s="8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</row>
    <row r="117" spans="1:22" x14ac:dyDescent="0.3">
      <c r="A117" s="8" t="s">
        <v>1649</v>
      </c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</row>
    <row r="118" spans="1:22" x14ac:dyDescent="0.3">
      <c r="A118" s="8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</row>
    <row r="119" spans="1:22" x14ac:dyDescent="0.3">
      <c r="A119" s="71" t="s">
        <v>1650</v>
      </c>
      <c r="B119" s="111"/>
      <c r="C119" s="111"/>
      <c r="D119" s="114">
        <f>400+12769.6194212088</f>
        <v>13169.619421208799</v>
      </c>
      <c r="E119" s="114"/>
      <c r="F119" s="114"/>
      <c r="G119" s="114">
        <f>400+12100.9944512088</f>
        <v>12500.9944512088</v>
      </c>
      <c r="H119" s="114"/>
      <c r="I119" s="114"/>
      <c r="J119" s="114">
        <f>400+11869.8694812088</f>
        <v>12269.8694812088</v>
      </c>
      <c r="K119" s="114"/>
      <c r="L119" s="114"/>
      <c r="M119" s="114">
        <f>400+13915.530231685</f>
        <v>14315.530231684999</v>
      </c>
      <c r="N119" s="111"/>
      <c r="O119" s="244"/>
      <c r="P119" s="244"/>
      <c r="Q119" s="244"/>
      <c r="R119" s="244"/>
      <c r="S119" s="244"/>
      <c r="T119" s="244"/>
    </row>
    <row r="120" spans="1:22" x14ac:dyDescent="0.3">
      <c r="A120" s="71" t="s">
        <v>1651</v>
      </c>
      <c r="B120" s="107"/>
      <c r="C120" s="107"/>
      <c r="D120" s="90">
        <f>+D121+D122+$M$123-D123</f>
        <v>8694.2216666666664</v>
      </c>
      <c r="E120" s="90"/>
      <c r="F120" s="90"/>
      <c r="G120" s="90">
        <f>+G121+G122+$M$123-G123</f>
        <v>9255.7216666666664</v>
      </c>
      <c r="H120" s="90"/>
      <c r="I120" s="90"/>
      <c r="J120" s="90">
        <f>+J121+J122+$M$123-J123</f>
        <v>8634.6784227859462</v>
      </c>
      <c r="K120" s="90"/>
      <c r="L120" s="90"/>
      <c r="M120" s="90">
        <f>+M121+M122+$M$123-M123</f>
        <v>8097.9895589995813</v>
      </c>
      <c r="N120" s="107"/>
    </row>
    <row r="121" spans="1:22" x14ac:dyDescent="0.3">
      <c r="A121" s="124" t="s">
        <v>1652</v>
      </c>
      <c r="B121" s="107"/>
      <c r="C121" s="107"/>
      <c r="D121" s="90">
        <f>10000*6.9%*90/360</f>
        <v>172.50000000000003</v>
      </c>
      <c r="E121" s="90"/>
      <c r="F121" s="90"/>
      <c r="G121" s="90">
        <f>10000*6.9%*180/360</f>
        <v>345.00000000000006</v>
      </c>
      <c r="H121" s="90"/>
      <c r="I121" s="90"/>
      <c r="J121" s="90">
        <f>10000*6.9%*270/360</f>
        <v>517.50000000000011</v>
      </c>
      <c r="K121" s="90"/>
      <c r="L121" s="90"/>
      <c r="M121" s="90">
        <f>10000*6.9%*360/360</f>
        <v>690.00000000000011</v>
      </c>
      <c r="N121" s="107"/>
    </row>
    <row r="122" spans="1:22" x14ac:dyDescent="0.3">
      <c r="A122" s="124" t="s">
        <v>1653</v>
      </c>
      <c r="B122" s="107"/>
      <c r="C122" s="107"/>
      <c r="D122" s="90">
        <v>2198</v>
      </c>
      <c r="E122" s="90"/>
      <c r="F122" s="90"/>
      <c r="G122" s="90">
        <v>4252</v>
      </c>
      <c r="H122" s="90"/>
      <c r="I122" s="90"/>
      <c r="J122" s="90">
        <v>5828.4567561192807</v>
      </c>
      <c r="K122" s="90"/>
      <c r="L122" s="90"/>
      <c r="M122" s="90">
        <v>7407.9895589995813</v>
      </c>
      <c r="N122" s="107"/>
    </row>
    <row r="123" spans="1:22" x14ac:dyDescent="0.3">
      <c r="A123" s="124" t="s">
        <v>1654</v>
      </c>
      <c r="B123" s="107"/>
      <c r="C123" s="107"/>
      <c r="D123" s="90">
        <v>1348</v>
      </c>
      <c r="E123" s="90"/>
      <c r="F123" s="90"/>
      <c r="G123" s="90">
        <v>3013</v>
      </c>
      <c r="H123" s="90"/>
      <c r="I123" s="90"/>
      <c r="J123" s="90">
        <v>5383</v>
      </c>
      <c r="K123" s="90"/>
      <c r="L123" s="90"/>
      <c r="M123" s="90">
        <f>7052+((75000+12800)*8.47%*30/360)</f>
        <v>7671.7216666666664</v>
      </c>
      <c r="N123" s="107"/>
    </row>
    <row r="124" spans="1:22" x14ac:dyDescent="0.3">
      <c r="A124" s="71" t="s">
        <v>1655</v>
      </c>
      <c r="B124" s="107"/>
      <c r="C124" s="107"/>
      <c r="D124" s="111">
        <f>D102/(D119+D120)</f>
        <v>0.82509596363549054</v>
      </c>
      <c r="E124" s="111"/>
      <c r="F124" s="111"/>
      <c r="G124" s="111">
        <f>G102/(G119+G120)</f>
        <v>1.2249091630085973</v>
      </c>
      <c r="H124" s="111"/>
      <c r="I124" s="111"/>
      <c r="J124" s="111">
        <f>J102/(J119+J120)</f>
        <v>1.4672284818588222</v>
      </c>
      <c r="K124" s="111"/>
      <c r="L124" s="111"/>
      <c r="M124" s="111">
        <f>M102/(M119+M120)</f>
        <v>1.6009742194699021</v>
      </c>
      <c r="N124" s="107"/>
    </row>
    <row r="125" spans="1:22" x14ac:dyDescent="0.3">
      <c r="A125" s="8" t="s">
        <v>1656</v>
      </c>
      <c r="B125" s="107"/>
      <c r="C125" s="107"/>
      <c r="D125" s="111">
        <v>1</v>
      </c>
      <c r="E125" s="111"/>
      <c r="F125" s="111"/>
      <c r="G125" s="111">
        <v>1.25</v>
      </c>
      <c r="H125" s="111"/>
      <c r="I125" s="111"/>
      <c r="J125" s="111">
        <v>1.25</v>
      </c>
      <c r="K125" s="111"/>
      <c r="L125" s="111"/>
      <c r="M125" s="111">
        <v>1.25</v>
      </c>
      <c r="N125" s="107"/>
    </row>
    <row r="126" spans="1:22" ht="18" x14ac:dyDescent="0.35">
      <c r="A126" s="81" t="s">
        <v>1657</v>
      </c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8"/>
      <c r="P126" s="98"/>
      <c r="Q126" s="98"/>
      <c r="R126" s="98"/>
      <c r="S126" s="98"/>
      <c r="T126" s="98"/>
      <c r="U126" s="91"/>
      <c r="V126" s="91"/>
    </row>
    <row r="127" spans="1:22" x14ac:dyDescent="0.3">
      <c r="A127" s="70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8"/>
      <c r="P127" s="98"/>
      <c r="Q127" s="98"/>
      <c r="R127" s="98"/>
      <c r="S127" s="98"/>
      <c r="T127" s="98"/>
      <c r="U127" s="87"/>
      <c r="V127" s="87"/>
    </row>
    <row r="128" spans="1:22" ht="15.6" x14ac:dyDescent="0.3">
      <c r="A128" s="88" t="s">
        <v>1658</v>
      </c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</row>
    <row r="129" spans="1:24" x14ac:dyDescent="0.3">
      <c r="A129" s="4" t="s">
        <v>1633</v>
      </c>
      <c r="B129" s="153">
        <v>24000000</v>
      </c>
      <c r="C129" s="153">
        <v>24000000</v>
      </c>
      <c r="D129" s="153">
        <v>24000000</v>
      </c>
      <c r="E129" s="153">
        <v>24000000</v>
      </c>
      <c r="F129" s="153">
        <v>24000000</v>
      </c>
      <c r="G129" s="153">
        <v>24000000</v>
      </c>
      <c r="H129" s="153">
        <v>24000000</v>
      </c>
      <c r="I129" s="153">
        <v>24000000</v>
      </c>
      <c r="J129" s="153">
        <v>24000000</v>
      </c>
      <c r="K129" s="153">
        <v>24000000</v>
      </c>
      <c r="L129" s="153">
        <v>24000000</v>
      </c>
      <c r="M129" s="153">
        <v>24000000</v>
      </c>
      <c r="N129" s="153">
        <v>24000000</v>
      </c>
      <c r="O129" s="236"/>
      <c r="P129" s="236"/>
      <c r="Q129" s="236"/>
      <c r="R129" s="236"/>
      <c r="S129" s="236"/>
      <c r="T129" s="236"/>
      <c r="U129" s="91"/>
      <c r="V129" s="91"/>
      <c r="W129" s="2">
        <f>B129</f>
        <v>24000000</v>
      </c>
    </row>
    <row r="130" spans="1:24" x14ac:dyDescent="0.3">
      <c r="A130" s="71" t="s">
        <v>1659</v>
      </c>
      <c r="B130" s="100">
        <f>+B132-B129+B131</f>
        <v>7021309.3899999997</v>
      </c>
      <c r="C130" s="100">
        <f t="shared" ref="C130:N130" si="65">+C132-C129+C131</f>
        <v>6015156.4000000004</v>
      </c>
      <c r="D130" s="100">
        <f t="shared" si="65"/>
        <v>5001313.3499999996</v>
      </c>
      <c r="E130" s="100">
        <f t="shared" si="65"/>
        <v>6747553.1200000001</v>
      </c>
      <c r="F130" s="100">
        <f t="shared" si="65"/>
        <v>9012876.0499999989</v>
      </c>
      <c r="G130" s="100">
        <f t="shared" si="65"/>
        <v>7262528.1799999997</v>
      </c>
      <c r="H130" s="100">
        <f t="shared" si="65"/>
        <v>10160675.45999999</v>
      </c>
      <c r="I130" s="100">
        <f t="shared" ca="1" si="65"/>
        <v>11742138.746890638</v>
      </c>
      <c r="J130" s="100">
        <f t="shared" ca="1" si="65"/>
        <v>10489663.151934197</v>
      </c>
      <c r="K130" s="100">
        <f t="shared" ca="1" si="65"/>
        <v>10119141.892560793</v>
      </c>
      <c r="L130" s="100">
        <f t="shared" ca="1" si="65"/>
        <v>9023722.1765729114</v>
      </c>
      <c r="M130" s="100">
        <f t="shared" si="65"/>
        <v>9812380.4773749113</v>
      </c>
      <c r="N130" s="100">
        <f t="shared" ca="1" si="65"/>
        <v>102408458.39533344</v>
      </c>
      <c r="O130" s="239"/>
      <c r="P130" s="239"/>
      <c r="Q130" s="239"/>
      <c r="R130" s="239"/>
      <c r="S130" s="239"/>
      <c r="T130" s="239"/>
      <c r="U130" s="125"/>
      <c r="V130" s="125"/>
      <c r="W130" s="95">
        <f ca="1">SUM(B130,C130,D130,E130,F130,G130,H130,I130,J130,K130,L130,M130)</f>
        <v>102408458.39533344</v>
      </c>
    </row>
    <row r="131" spans="1:24" x14ac:dyDescent="0.3">
      <c r="A131" s="71" t="s">
        <v>1660</v>
      </c>
      <c r="B131" s="114">
        <f>+B161</f>
        <v>7021309.3899999997</v>
      </c>
      <c r="C131" s="114">
        <f t="shared" ref="C131:N131" si="66">+C161</f>
        <v>6015156.4000000004</v>
      </c>
      <c r="D131" s="114">
        <f t="shared" si="66"/>
        <v>5001313.3499999996</v>
      </c>
      <c r="E131" s="114">
        <f t="shared" si="66"/>
        <v>6747553.1200000001</v>
      </c>
      <c r="F131" s="114">
        <f t="shared" si="66"/>
        <v>9012876.0499999989</v>
      </c>
      <c r="G131" s="114">
        <f t="shared" si="66"/>
        <v>7262528.1799999997</v>
      </c>
      <c r="H131" s="114">
        <f t="shared" si="66"/>
        <v>10160675.45999999</v>
      </c>
      <c r="I131" s="114">
        <f t="shared" ca="1" si="66"/>
        <v>11742138.746890638</v>
      </c>
      <c r="J131" s="114">
        <f t="shared" ca="1" si="66"/>
        <v>10489663.151934197</v>
      </c>
      <c r="K131" s="114">
        <f t="shared" ca="1" si="66"/>
        <v>10119141.892560793</v>
      </c>
      <c r="L131" s="114">
        <f t="shared" ca="1" si="66"/>
        <v>9023722.1765729114</v>
      </c>
      <c r="M131" s="114">
        <f t="shared" si="66"/>
        <v>9812380.4773749113</v>
      </c>
      <c r="N131" s="114">
        <f t="shared" ca="1" si="66"/>
        <v>102408458.39533344</v>
      </c>
      <c r="O131" s="125"/>
      <c r="P131" s="125"/>
      <c r="Q131" s="125"/>
      <c r="R131" s="125"/>
      <c r="S131" s="125"/>
      <c r="T131" s="125"/>
      <c r="U131" s="125"/>
      <c r="V131" s="125"/>
      <c r="W131" s="95">
        <f ca="1">SUM(B131,C131,D131,E131,F131,G131,H131,I131,J131,K131,L131,M131)</f>
        <v>102408458.39533344</v>
      </c>
    </row>
    <row r="132" spans="1:24" x14ac:dyDescent="0.3">
      <c r="A132" s="4" t="s">
        <v>1661</v>
      </c>
      <c r="B132" s="153">
        <v>24000000</v>
      </c>
      <c r="C132" s="153">
        <v>24000000</v>
      </c>
      <c r="D132" s="153">
        <v>24000000</v>
      </c>
      <c r="E132" s="153">
        <v>24000000</v>
      </c>
      <c r="F132" s="153">
        <v>24000000</v>
      </c>
      <c r="G132" s="153">
        <v>24000000</v>
      </c>
      <c r="H132" s="153">
        <v>24000000</v>
      </c>
      <c r="I132" s="153">
        <v>24000000</v>
      </c>
      <c r="J132" s="153">
        <v>24000000</v>
      </c>
      <c r="K132" s="153">
        <v>24000000</v>
      </c>
      <c r="L132" s="153">
        <v>24000000</v>
      </c>
      <c r="M132" s="153">
        <v>24000000</v>
      </c>
      <c r="N132" s="153">
        <v>24000000</v>
      </c>
      <c r="O132" s="236"/>
      <c r="P132" s="236"/>
      <c r="Q132" s="236"/>
      <c r="R132" s="236"/>
      <c r="S132" s="236"/>
      <c r="T132" s="236"/>
      <c r="U132" s="91"/>
      <c r="V132" s="91"/>
      <c r="W132" s="2">
        <f>M132</f>
        <v>24000000</v>
      </c>
      <c r="X132" s="2">
        <f>W132-W129</f>
        <v>0</v>
      </c>
    </row>
    <row r="133" spans="1:24" x14ac:dyDescent="0.3">
      <c r="A133" s="70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8"/>
      <c r="P133" s="98"/>
      <c r="Q133" s="98"/>
      <c r="R133" s="98"/>
      <c r="S133" s="98"/>
      <c r="T133" s="98"/>
      <c r="U133" s="87"/>
      <c r="V133" s="87"/>
    </row>
    <row r="134" spans="1:24" ht="15.6" x14ac:dyDescent="0.3">
      <c r="A134" s="88" t="s">
        <v>1662</v>
      </c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W134" s="2"/>
    </row>
    <row r="135" spans="1:24" x14ac:dyDescent="0.3">
      <c r="A135" s="4" t="s">
        <v>1633</v>
      </c>
      <c r="B135" s="153">
        <v>24000000</v>
      </c>
      <c r="C135" s="153">
        <v>24000000</v>
      </c>
      <c r="D135" s="153">
        <v>24000000</v>
      </c>
      <c r="E135" s="153">
        <v>24000000</v>
      </c>
      <c r="F135" s="153">
        <v>24000000</v>
      </c>
      <c r="G135" s="153">
        <v>24000000</v>
      </c>
      <c r="H135" s="153">
        <v>24000000</v>
      </c>
      <c r="I135" s="153">
        <v>24000000</v>
      </c>
      <c r="J135" s="153">
        <v>24000000</v>
      </c>
      <c r="K135" s="153">
        <v>24000000</v>
      </c>
      <c r="L135" s="153">
        <v>24000000</v>
      </c>
      <c r="M135" s="153">
        <v>24000000</v>
      </c>
      <c r="N135" s="153">
        <v>24000000</v>
      </c>
      <c r="O135" s="236"/>
      <c r="P135" s="236"/>
      <c r="Q135" s="236"/>
      <c r="R135" s="236"/>
      <c r="S135" s="236"/>
      <c r="T135" s="236"/>
      <c r="U135" s="91"/>
      <c r="V135" s="91"/>
      <c r="W135" s="2">
        <f>B135</f>
        <v>24000000</v>
      </c>
    </row>
    <row r="136" spans="1:24" x14ac:dyDescent="0.3">
      <c r="A136" s="71" t="s">
        <v>1616</v>
      </c>
      <c r="B136" s="114"/>
      <c r="C136" s="90"/>
      <c r="D136" s="90"/>
      <c r="E136" s="90">
        <f t="shared" ref="E136:N136" si="67">+E160</f>
        <v>17246356.18</v>
      </c>
      <c r="F136" s="90">
        <f t="shared" si="67"/>
        <v>20772285.369999986</v>
      </c>
      <c r="G136" s="90">
        <f t="shared" si="67"/>
        <v>17309214.289999992</v>
      </c>
      <c r="H136" s="90">
        <f t="shared" si="67"/>
        <v>23238748.510000002</v>
      </c>
      <c r="I136" s="90">
        <f t="shared" ca="1" si="67"/>
        <v>24962217.428338554</v>
      </c>
      <c r="J136" s="90">
        <f t="shared" ca="1" si="67"/>
        <v>22430779.296785343</v>
      </c>
      <c r="K136" s="90">
        <f t="shared" ca="1" si="67"/>
        <v>22172290.121319547</v>
      </c>
      <c r="L136" s="90">
        <f t="shared" ca="1" si="67"/>
        <v>19840529.722359784</v>
      </c>
      <c r="M136" s="90">
        <f t="shared" si="67"/>
        <v>21356585.302559786</v>
      </c>
      <c r="N136" s="90">
        <f t="shared" ca="1" si="67"/>
        <v>235453665.61136299</v>
      </c>
      <c r="O136" s="60"/>
      <c r="P136" s="60"/>
      <c r="Q136" s="60"/>
      <c r="R136" s="60"/>
      <c r="S136" s="60"/>
      <c r="T136" s="60"/>
      <c r="U136" s="125"/>
      <c r="V136" s="125"/>
      <c r="W136" s="95">
        <f ca="1">SUM(B136,C136,D136,E136,F136,G136,H136,I136,J136,K136,L136,M136)</f>
        <v>189329006.22136301</v>
      </c>
    </row>
    <row r="137" spans="1:24" x14ac:dyDescent="0.3">
      <c r="A137" s="71" t="s">
        <v>1663</v>
      </c>
      <c r="B137" s="114"/>
      <c r="C137" s="90"/>
      <c r="D137" s="90"/>
      <c r="E137" s="90">
        <f t="shared" ref="E137:N137" si="68">E135+E136-E138</f>
        <v>17246356.18</v>
      </c>
      <c r="F137" s="90">
        <f t="shared" si="68"/>
        <v>20772285.36999999</v>
      </c>
      <c r="G137" s="90">
        <f t="shared" si="68"/>
        <v>17309214.289999992</v>
      </c>
      <c r="H137" s="90">
        <f t="shared" si="68"/>
        <v>23238748.510000005</v>
      </c>
      <c r="I137" s="90">
        <f t="shared" ca="1" si="68"/>
        <v>24962217.428338557</v>
      </c>
      <c r="J137" s="90">
        <f t="shared" ca="1" si="68"/>
        <v>22430779.29678534</v>
      </c>
      <c r="K137" s="90">
        <f t="shared" ca="1" si="68"/>
        <v>22172290.121319547</v>
      </c>
      <c r="L137" s="90">
        <f t="shared" ca="1" si="68"/>
        <v>19840529.722359784</v>
      </c>
      <c r="M137" s="90">
        <f t="shared" si="68"/>
        <v>21356585.302559786</v>
      </c>
      <c r="N137" s="90">
        <f t="shared" ca="1" si="68"/>
        <v>235453665.61136299</v>
      </c>
      <c r="O137" s="60"/>
      <c r="P137" s="60"/>
      <c r="Q137" s="60"/>
      <c r="R137" s="60"/>
      <c r="S137" s="60"/>
      <c r="T137" s="60"/>
      <c r="U137" s="125"/>
      <c r="V137" s="125"/>
      <c r="W137" s="95">
        <f ca="1">SUM(B137,C137,D137,E137,F137,G137,H137,I137,J137,K137,L137,M137)</f>
        <v>189329006.22136301</v>
      </c>
    </row>
    <row r="138" spans="1:24" x14ac:dyDescent="0.3">
      <c r="A138" s="4" t="s">
        <v>1664</v>
      </c>
      <c r="B138" s="153">
        <v>24000000</v>
      </c>
      <c r="C138" s="153">
        <v>24000000</v>
      </c>
      <c r="D138" s="153">
        <v>24000000</v>
      </c>
      <c r="E138" s="153">
        <v>24000000</v>
      </c>
      <c r="F138" s="153">
        <v>24000000</v>
      </c>
      <c r="G138" s="153">
        <v>24000000</v>
      </c>
      <c r="H138" s="153">
        <v>24000000</v>
      </c>
      <c r="I138" s="153">
        <v>24000000</v>
      </c>
      <c r="J138" s="153">
        <v>24000000</v>
      </c>
      <c r="K138" s="153">
        <v>24000000</v>
      </c>
      <c r="L138" s="153">
        <v>24000000</v>
      </c>
      <c r="M138" s="153">
        <v>24000000</v>
      </c>
      <c r="N138" s="153">
        <v>24000000</v>
      </c>
      <c r="O138" s="236"/>
      <c r="P138" s="236"/>
      <c r="Q138" s="236"/>
      <c r="R138" s="236"/>
      <c r="S138" s="236"/>
      <c r="T138" s="236"/>
      <c r="U138" s="91"/>
      <c r="V138" s="91"/>
      <c r="W138" s="2">
        <f>M138</f>
        <v>24000000</v>
      </c>
      <c r="X138" s="2">
        <f>W138-W135</f>
        <v>0</v>
      </c>
    </row>
    <row r="139" spans="1:24" x14ac:dyDescent="0.3">
      <c r="A139" s="70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8"/>
      <c r="P139" s="98"/>
      <c r="Q139" s="98"/>
      <c r="R139" s="98"/>
      <c r="S139" s="98"/>
      <c r="T139" s="98"/>
      <c r="U139" s="87"/>
      <c r="V139" s="87"/>
      <c r="W139" s="2"/>
    </row>
    <row r="140" spans="1:24" ht="15.6" x14ac:dyDescent="0.3">
      <c r="A140" s="88" t="s">
        <v>1665</v>
      </c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60"/>
      <c r="P140" s="60"/>
      <c r="Q140" s="60"/>
      <c r="R140" s="60"/>
      <c r="S140" s="60"/>
      <c r="T140" s="60"/>
      <c r="U140" s="125"/>
      <c r="V140" s="125"/>
    </row>
    <row r="141" spans="1:24" x14ac:dyDescent="0.3">
      <c r="A141" s="4" t="s">
        <v>1633</v>
      </c>
      <c r="B141" s="89">
        <v>16000000</v>
      </c>
      <c r="C141" s="89">
        <v>16000000</v>
      </c>
      <c r="D141" s="89">
        <v>16000000</v>
      </c>
      <c r="E141" s="89">
        <v>16000000</v>
      </c>
      <c r="F141" s="89">
        <v>16000000</v>
      </c>
      <c r="G141" s="89">
        <v>16000000</v>
      </c>
      <c r="H141" s="89">
        <v>16000000</v>
      </c>
      <c r="I141" s="89">
        <v>16000000</v>
      </c>
      <c r="J141" s="89">
        <v>16000000</v>
      </c>
      <c r="K141" s="89">
        <v>16000000</v>
      </c>
      <c r="L141" s="89">
        <v>16000000</v>
      </c>
      <c r="M141" s="89">
        <v>16000000</v>
      </c>
      <c r="N141" s="89">
        <v>16000000</v>
      </c>
      <c r="O141" s="237"/>
      <c r="P141" s="237"/>
      <c r="Q141" s="237"/>
      <c r="R141" s="237"/>
      <c r="S141" s="237"/>
      <c r="T141" s="237"/>
      <c r="U141" s="91"/>
      <c r="V141" s="91"/>
      <c r="W141" s="2">
        <f>B141</f>
        <v>16000000</v>
      </c>
    </row>
    <row r="142" spans="1:24" x14ac:dyDescent="0.3">
      <c r="A142" s="71" t="s">
        <v>1659</v>
      </c>
      <c r="B142" s="114">
        <f>B130</f>
        <v>7021309.3899999997</v>
      </c>
      <c r="C142" s="90">
        <f t="shared" ref="C142:N142" si="69">C130</f>
        <v>6015156.4000000004</v>
      </c>
      <c r="D142" s="90">
        <f t="shared" si="69"/>
        <v>5001313.3499999996</v>
      </c>
      <c r="E142" s="90">
        <f t="shared" si="69"/>
        <v>6747553.1200000001</v>
      </c>
      <c r="F142" s="90">
        <f t="shared" si="69"/>
        <v>9012876.0499999989</v>
      </c>
      <c r="G142" s="90">
        <f t="shared" si="69"/>
        <v>7262528.1799999997</v>
      </c>
      <c r="H142" s="90">
        <f t="shared" si="69"/>
        <v>10160675.45999999</v>
      </c>
      <c r="I142" s="90">
        <f t="shared" ca="1" si="69"/>
        <v>11742138.746890638</v>
      </c>
      <c r="J142" s="90">
        <f t="shared" ca="1" si="69"/>
        <v>10489663.151934197</v>
      </c>
      <c r="K142" s="90">
        <f t="shared" ca="1" si="69"/>
        <v>10119141.892560793</v>
      </c>
      <c r="L142" s="90">
        <f t="shared" ca="1" si="69"/>
        <v>9023722.1765729114</v>
      </c>
      <c r="M142" s="90">
        <f t="shared" si="69"/>
        <v>9812380.4773749113</v>
      </c>
      <c r="N142" s="90">
        <f t="shared" ca="1" si="69"/>
        <v>102408458.39533344</v>
      </c>
      <c r="O142" s="60"/>
      <c r="P142" s="60"/>
      <c r="Q142" s="60"/>
      <c r="R142" s="60"/>
      <c r="S142" s="60"/>
      <c r="T142" s="60"/>
      <c r="U142" s="125"/>
      <c r="V142" s="125"/>
      <c r="W142" s="95">
        <f ca="1">SUM(B142,C142,D142,E142,F142,G142,H142,I142,J142,K142,L142,M142)</f>
        <v>102408458.39533344</v>
      </c>
    </row>
    <row r="143" spans="1:24" x14ac:dyDescent="0.3">
      <c r="A143" s="71" t="s">
        <v>1666</v>
      </c>
      <c r="B143" s="90">
        <f>B141+B142-B144</f>
        <v>7021309.3900000006</v>
      </c>
      <c r="C143" s="90">
        <f t="shared" ref="C143:N143" si="70">C141+C142-C144</f>
        <v>6015156.3999999985</v>
      </c>
      <c r="D143" s="90">
        <f t="shared" si="70"/>
        <v>5001313.3500000015</v>
      </c>
      <c r="E143" s="90">
        <f t="shared" si="70"/>
        <v>6747553.120000001</v>
      </c>
      <c r="F143" s="90">
        <f t="shared" si="70"/>
        <v>9012876.049999997</v>
      </c>
      <c r="G143" s="90">
        <f t="shared" si="70"/>
        <v>7262528.1799999997</v>
      </c>
      <c r="H143" s="90">
        <f t="shared" si="70"/>
        <v>10160675.45999999</v>
      </c>
      <c r="I143" s="90">
        <f t="shared" ca="1" si="70"/>
        <v>11742138.746890638</v>
      </c>
      <c r="J143" s="90">
        <f t="shared" ca="1" si="70"/>
        <v>10489663.151934199</v>
      </c>
      <c r="K143" s="90">
        <f t="shared" ca="1" si="70"/>
        <v>10119141.892560795</v>
      </c>
      <c r="L143" s="90">
        <f t="shared" ca="1" si="70"/>
        <v>9023722.1765729114</v>
      </c>
      <c r="M143" s="90">
        <f t="shared" si="70"/>
        <v>9812380.4773749113</v>
      </c>
      <c r="N143" s="90">
        <f t="shared" ca="1" si="70"/>
        <v>102408458.39533344</v>
      </c>
      <c r="O143" s="60"/>
      <c r="P143" s="60"/>
      <c r="Q143" s="60"/>
      <c r="R143" s="60"/>
      <c r="S143" s="60"/>
      <c r="T143" s="60"/>
      <c r="U143" s="125"/>
      <c r="V143" s="125"/>
      <c r="W143" s="95">
        <f ca="1">SUM(B143,C143,D143,E143,F143,G143,H143,I143,J143,K143,L143,M143)</f>
        <v>102408458.39533344</v>
      </c>
    </row>
    <row r="144" spans="1:24" x14ac:dyDescent="0.3">
      <c r="A144" s="4" t="s">
        <v>1667</v>
      </c>
      <c r="B144" s="89">
        <v>16000000</v>
      </c>
      <c r="C144" s="89">
        <v>16000000</v>
      </c>
      <c r="D144" s="89">
        <v>16000000</v>
      </c>
      <c r="E144" s="89">
        <v>16000000</v>
      </c>
      <c r="F144" s="89">
        <v>16000000</v>
      </c>
      <c r="G144" s="89">
        <v>16000000</v>
      </c>
      <c r="H144" s="89">
        <v>16000000</v>
      </c>
      <c r="I144" s="89">
        <v>16000000</v>
      </c>
      <c r="J144" s="89">
        <v>16000000</v>
      </c>
      <c r="K144" s="89">
        <v>16000000</v>
      </c>
      <c r="L144" s="89">
        <v>16000000</v>
      </c>
      <c r="M144" s="89">
        <v>16000000</v>
      </c>
      <c r="N144" s="89">
        <v>16000000</v>
      </c>
      <c r="O144" s="237"/>
      <c r="P144" s="237"/>
      <c r="Q144" s="237"/>
      <c r="R144" s="237"/>
      <c r="S144" s="237"/>
      <c r="T144" s="237"/>
      <c r="U144" s="91"/>
      <c r="V144" s="91"/>
      <c r="W144" s="2">
        <f>M144</f>
        <v>16000000</v>
      </c>
      <c r="X144" s="2">
        <f>W144-W141</f>
        <v>0</v>
      </c>
    </row>
    <row r="145" spans="1:24" x14ac:dyDescent="0.3">
      <c r="A145" s="70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8"/>
      <c r="P145" s="98"/>
      <c r="Q145" s="98"/>
      <c r="R145" s="98"/>
      <c r="S145" s="98"/>
      <c r="T145" s="98"/>
      <c r="U145" s="87"/>
      <c r="V145" s="87"/>
    </row>
    <row r="146" spans="1:24" ht="15.6" x14ac:dyDescent="0.3">
      <c r="A146" s="70"/>
      <c r="B146" s="126">
        <f>+B129+B135-B141</f>
        <v>32000000</v>
      </c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>
        <f>+N129+N135-N141</f>
        <v>32000000</v>
      </c>
      <c r="O146" s="245"/>
      <c r="P146" s="245"/>
      <c r="Q146" s="245"/>
      <c r="R146" s="245"/>
      <c r="S146" s="245"/>
      <c r="T146" s="245"/>
      <c r="U146" s="87"/>
      <c r="V146" s="87"/>
      <c r="W146" s="2"/>
    </row>
    <row r="147" spans="1:24" ht="15.6" x14ac:dyDescent="0.3">
      <c r="A147" s="72" t="s">
        <v>1668</v>
      </c>
      <c r="B147" s="126">
        <f t="shared" ref="B147:N147" si="71">+B132+B138-B144</f>
        <v>32000000</v>
      </c>
      <c r="C147" s="126">
        <f t="shared" si="71"/>
        <v>32000000</v>
      </c>
      <c r="D147" s="126">
        <f t="shared" si="71"/>
        <v>32000000</v>
      </c>
      <c r="E147" s="126">
        <f t="shared" si="71"/>
        <v>32000000</v>
      </c>
      <c r="F147" s="126">
        <f t="shared" si="71"/>
        <v>32000000</v>
      </c>
      <c r="G147" s="126">
        <f t="shared" si="71"/>
        <v>32000000</v>
      </c>
      <c r="H147" s="126">
        <f t="shared" si="71"/>
        <v>32000000</v>
      </c>
      <c r="I147" s="126">
        <f t="shared" si="71"/>
        <v>32000000</v>
      </c>
      <c r="J147" s="126">
        <f t="shared" si="71"/>
        <v>32000000</v>
      </c>
      <c r="K147" s="126">
        <f t="shared" si="71"/>
        <v>32000000</v>
      </c>
      <c r="L147" s="126">
        <f t="shared" si="71"/>
        <v>32000000</v>
      </c>
      <c r="M147" s="126">
        <f t="shared" si="71"/>
        <v>32000000</v>
      </c>
      <c r="N147" s="126">
        <f t="shared" si="71"/>
        <v>32000000</v>
      </c>
      <c r="O147" s="245"/>
      <c r="P147" s="245"/>
      <c r="Q147" s="245"/>
      <c r="R147" s="245"/>
      <c r="S147" s="245"/>
      <c r="T147" s="245"/>
      <c r="U147" s="102"/>
      <c r="V147" s="102"/>
    </row>
    <row r="148" spans="1:24" ht="15.6" x14ac:dyDescent="0.3">
      <c r="A148" s="72" t="s">
        <v>1669</v>
      </c>
      <c r="B148" s="127">
        <f>B147-B146</f>
        <v>0</v>
      </c>
      <c r="C148" s="127">
        <f t="shared" ref="C148:M148" si="72">C147-B147</f>
        <v>0</v>
      </c>
      <c r="D148" s="127">
        <f t="shared" si="72"/>
        <v>0</v>
      </c>
      <c r="E148" s="127">
        <f t="shared" si="72"/>
        <v>0</v>
      </c>
      <c r="F148" s="127">
        <f t="shared" si="72"/>
        <v>0</v>
      </c>
      <c r="G148" s="127">
        <f t="shared" si="72"/>
        <v>0</v>
      </c>
      <c r="H148" s="127">
        <f t="shared" si="72"/>
        <v>0</v>
      </c>
      <c r="I148" s="127">
        <f t="shared" si="72"/>
        <v>0</v>
      </c>
      <c r="J148" s="127">
        <f t="shared" si="72"/>
        <v>0</v>
      </c>
      <c r="K148" s="127">
        <f t="shared" si="72"/>
        <v>0</v>
      </c>
      <c r="L148" s="127">
        <f t="shared" si="72"/>
        <v>0</v>
      </c>
      <c r="M148" s="127">
        <f t="shared" si="72"/>
        <v>0</v>
      </c>
      <c r="N148" s="127">
        <f>N147-B146</f>
        <v>0</v>
      </c>
      <c r="O148" s="246"/>
      <c r="P148" s="246"/>
      <c r="Q148" s="246"/>
      <c r="R148" s="246"/>
      <c r="S148" s="246"/>
      <c r="T148" s="246"/>
      <c r="U148" s="102"/>
      <c r="V148" s="102"/>
      <c r="X148" s="127">
        <f>X132+X138-X144</f>
        <v>0</v>
      </c>
    </row>
    <row r="149" spans="1:24" x14ac:dyDescent="0.3">
      <c r="A149" s="70"/>
      <c r="B149" s="93"/>
      <c r="C149" s="93">
        <f t="shared" ref="C149:M149" si="73">B147+C148</f>
        <v>32000000</v>
      </c>
      <c r="D149" s="93">
        <f t="shared" si="73"/>
        <v>32000000</v>
      </c>
      <c r="E149" s="93">
        <f t="shared" si="73"/>
        <v>32000000</v>
      </c>
      <c r="F149" s="93">
        <f t="shared" si="73"/>
        <v>32000000</v>
      </c>
      <c r="G149" s="93">
        <f t="shared" si="73"/>
        <v>32000000</v>
      </c>
      <c r="H149" s="93">
        <f t="shared" si="73"/>
        <v>32000000</v>
      </c>
      <c r="I149" s="93">
        <f t="shared" si="73"/>
        <v>32000000</v>
      </c>
      <c r="J149" s="93">
        <f t="shared" si="73"/>
        <v>32000000</v>
      </c>
      <c r="K149" s="93">
        <f t="shared" si="73"/>
        <v>32000000</v>
      </c>
      <c r="L149" s="93">
        <f t="shared" si="73"/>
        <v>32000000</v>
      </c>
      <c r="M149" s="93">
        <f t="shared" si="73"/>
        <v>32000000</v>
      </c>
      <c r="N149" s="93"/>
      <c r="O149" s="98"/>
      <c r="P149" s="98"/>
      <c r="Q149" s="98"/>
      <c r="R149" s="98"/>
      <c r="S149" s="98"/>
      <c r="T149" s="98"/>
      <c r="U149" s="87"/>
      <c r="V149" s="87"/>
    </row>
    <row r="150" spans="1:24" x14ac:dyDescent="0.3">
      <c r="A150" s="71" t="s">
        <v>1670</v>
      </c>
      <c r="B150" s="179">
        <f ca="1">(B132*B3)/($N$158*$N$182/360)</f>
        <v>50202.576444987346</v>
      </c>
      <c r="C150" s="128">
        <f t="shared" ref="C150:N150" ca="1" si="74">(C132*C3)/($N$158*$N$182/360)</f>
        <v>49209.180663091458</v>
      </c>
      <c r="D150" s="128">
        <f t="shared" ca="1" si="74"/>
        <v>48368.429927337282</v>
      </c>
      <c r="E150" s="128">
        <f t="shared" ca="1" si="74"/>
        <v>48312.558097838824</v>
      </c>
      <c r="F150" s="128">
        <f t="shared" ca="1" si="74"/>
        <v>47192.18088526465</v>
      </c>
      <c r="G150" s="128">
        <f t="shared" ca="1" si="74"/>
        <v>45763.305628474161</v>
      </c>
      <c r="H150" s="128">
        <f t="shared" ca="1" si="74"/>
        <v>45445.985716442301</v>
      </c>
      <c r="I150" s="128">
        <f t="shared" ca="1" si="74"/>
        <v>45445.985716442301</v>
      </c>
      <c r="J150" s="128">
        <f t="shared" ca="1" si="74"/>
        <v>45445.985716442301</v>
      </c>
      <c r="K150" s="128">
        <f t="shared" ca="1" si="74"/>
        <v>46782.632355161193</v>
      </c>
      <c r="L150" s="128">
        <f t="shared" ca="1" si="74"/>
        <v>46782.632355161193</v>
      </c>
      <c r="M150" s="128">
        <f t="shared" ca="1" si="74"/>
        <v>46782.632355161193</v>
      </c>
      <c r="N150" s="128">
        <f t="shared" ca="1" si="74"/>
        <v>47144.50715515035</v>
      </c>
      <c r="O150" s="247"/>
      <c r="P150" s="247"/>
      <c r="Q150" s="247"/>
      <c r="R150" s="247"/>
      <c r="S150" s="247"/>
      <c r="T150" s="247"/>
      <c r="U150" s="129"/>
      <c r="V150" s="129"/>
    </row>
    <row r="151" spans="1:24" x14ac:dyDescent="0.3">
      <c r="A151" s="130" t="s">
        <v>1671</v>
      </c>
      <c r="B151" s="131">
        <f>'[2]P&amp;L CONSOLIDADO Mensual'!$AN$44</f>
        <v>121.11864230285606</v>
      </c>
      <c r="C151" s="131">
        <f>'[2]P&amp;L CONSOLIDADO Mensual'!$AN$44</f>
        <v>121.11864230285606</v>
      </c>
      <c r="D151" s="131">
        <f>'[2]P&amp;L CONSOLIDADO Mensual'!$AN$44</f>
        <v>121.11864230285606</v>
      </c>
      <c r="E151" s="131">
        <f>'[2]P&amp;L CONSOLIDADO Mensual'!$AN$44</f>
        <v>121.11864230285606</v>
      </c>
      <c r="F151" s="131">
        <f>'[2]P&amp;L CONSOLIDADO Mensual'!$AN$44</f>
        <v>121.11864230285606</v>
      </c>
      <c r="G151" s="131">
        <f>'[2]P&amp;L CONSOLIDADO Mensual'!$AN$44</f>
        <v>121.11864230285606</v>
      </c>
      <c r="H151" s="131">
        <f>'[2]P&amp;L CONSOLIDADO Mensual'!$AN$44</f>
        <v>121.11864230285606</v>
      </c>
      <c r="I151" s="131">
        <f>'[2]P&amp;L CONSOLIDADO Mensual'!$AN$44</f>
        <v>121.11864230285606</v>
      </c>
      <c r="J151" s="131">
        <f>'[2]P&amp;L CONSOLIDADO Mensual'!$AN$44</f>
        <v>121.11864230285606</v>
      </c>
      <c r="K151" s="131">
        <f>'[2]P&amp;L CONSOLIDADO Mensual'!$AN$44</f>
        <v>121.11864230285606</v>
      </c>
      <c r="L151" s="131">
        <f>'[2]P&amp;L CONSOLIDADO Mensual'!$AN$44</f>
        <v>121.11864230285606</v>
      </c>
      <c r="M151" s="131">
        <f>'[2]P&amp;L CONSOLIDADO Mensual'!$AN$44</f>
        <v>121.11864230285606</v>
      </c>
      <c r="N151" s="131">
        <f>'[2]P&amp;L CONSOLIDADO Mensual'!$AN$44</f>
        <v>121.11864230285606</v>
      </c>
      <c r="O151" s="134"/>
      <c r="P151" s="134"/>
      <c r="Q151" s="134"/>
      <c r="R151" s="134"/>
      <c r="S151" s="134"/>
      <c r="T151" s="134"/>
      <c r="U151" s="129"/>
      <c r="V151" s="129"/>
    </row>
    <row r="152" spans="1:24" x14ac:dyDescent="0.3">
      <c r="A152" s="71" t="s">
        <v>1672</v>
      </c>
      <c r="B152" s="132">
        <f t="shared" ref="B152:N152" ca="1" si="75">+B150/30</f>
        <v>1673.4192148329116</v>
      </c>
      <c r="C152" s="132">
        <f t="shared" ca="1" si="75"/>
        <v>1640.3060221030487</v>
      </c>
      <c r="D152" s="132">
        <f t="shared" ca="1" si="75"/>
        <v>1612.2809975779094</v>
      </c>
      <c r="E152" s="132">
        <f t="shared" ca="1" si="75"/>
        <v>1610.418603261294</v>
      </c>
      <c r="F152" s="132">
        <f t="shared" ca="1" si="75"/>
        <v>1573.0726961754883</v>
      </c>
      <c r="G152" s="132">
        <f t="shared" ca="1" si="75"/>
        <v>1525.4435209491387</v>
      </c>
      <c r="H152" s="132">
        <f t="shared" ca="1" si="75"/>
        <v>1514.8661905480767</v>
      </c>
      <c r="I152" s="132">
        <f t="shared" ca="1" si="75"/>
        <v>1514.8661905480767</v>
      </c>
      <c r="J152" s="132">
        <f t="shared" ca="1" si="75"/>
        <v>1514.8661905480767</v>
      </c>
      <c r="K152" s="132">
        <f t="shared" ca="1" si="75"/>
        <v>1559.4210785053731</v>
      </c>
      <c r="L152" s="132">
        <f t="shared" ca="1" si="75"/>
        <v>1559.4210785053731</v>
      </c>
      <c r="M152" s="132">
        <f t="shared" ca="1" si="75"/>
        <v>1559.4210785053731</v>
      </c>
      <c r="N152" s="132">
        <f t="shared" ca="1" si="75"/>
        <v>1571.4835718383449</v>
      </c>
      <c r="O152" s="248"/>
      <c r="P152" s="248"/>
      <c r="Q152" s="248"/>
      <c r="R152" s="248"/>
      <c r="S152" s="248"/>
      <c r="T152" s="248"/>
      <c r="U152" s="133"/>
      <c r="V152" s="133"/>
    </row>
    <row r="153" spans="1:24" x14ac:dyDescent="0.3">
      <c r="A153" s="71" t="s">
        <v>1673</v>
      </c>
      <c r="B153" s="128">
        <f>(+B138*B3)/($N$158/360)</f>
        <v>21608.461880618252</v>
      </c>
      <c r="C153" s="128">
        <f t="shared" ref="C153:N153" si="76">(+C138*C3)/($N$158/360)</f>
        <v>21180.879146712417</v>
      </c>
      <c r="D153" s="128">
        <f t="shared" si="76"/>
        <v>20818.998711261982</v>
      </c>
      <c r="E153" s="128">
        <f t="shared" si="76"/>
        <v>20794.950059112809</v>
      </c>
      <c r="F153" s="128">
        <f t="shared" si="76"/>
        <v>20312.71129759523</v>
      </c>
      <c r="G153" s="128">
        <f t="shared" si="76"/>
        <v>19697.687155311414</v>
      </c>
      <c r="H153" s="128">
        <f t="shared" si="76"/>
        <v>19561.104618942682</v>
      </c>
      <c r="I153" s="128">
        <f t="shared" si="76"/>
        <v>19561.104618942682</v>
      </c>
      <c r="J153" s="128">
        <f t="shared" si="76"/>
        <v>19561.104618942682</v>
      </c>
      <c r="K153" s="128">
        <f t="shared" si="76"/>
        <v>20136.43122538217</v>
      </c>
      <c r="L153" s="128">
        <f t="shared" si="76"/>
        <v>20136.43122538217</v>
      </c>
      <c r="M153" s="128">
        <f t="shared" si="76"/>
        <v>20136.43122538217</v>
      </c>
      <c r="N153" s="128">
        <f t="shared" si="76"/>
        <v>20292.191315298889</v>
      </c>
      <c r="O153" s="247"/>
      <c r="P153" s="247"/>
      <c r="Q153" s="247"/>
      <c r="R153" s="247"/>
      <c r="S153" s="247"/>
      <c r="T153" s="247"/>
      <c r="U153" s="129"/>
      <c r="V153" s="129"/>
    </row>
    <row r="154" spans="1:24" x14ac:dyDescent="0.3">
      <c r="A154" s="130" t="s">
        <v>1671</v>
      </c>
      <c r="B154" s="131">
        <f>'[2]P&amp;L CONSOLIDADO Mensual'!$AN$42</f>
        <v>36.83009031576416</v>
      </c>
      <c r="C154" s="131">
        <f>'[2]P&amp;L CONSOLIDADO Mensual'!$AN$42</f>
        <v>36.83009031576416</v>
      </c>
      <c r="D154" s="131">
        <f>'[2]P&amp;L CONSOLIDADO Mensual'!$AN$42</f>
        <v>36.83009031576416</v>
      </c>
      <c r="E154" s="131">
        <f>'[2]P&amp;L CONSOLIDADO Mensual'!$AN$42</f>
        <v>36.83009031576416</v>
      </c>
      <c r="F154" s="131">
        <f>'[2]P&amp;L CONSOLIDADO Mensual'!$AN$42</f>
        <v>36.83009031576416</v>
      </c>
      <c r="G154" s="131">
        <f>'[2]P&amp;L CONSOLIDADO Mensual'!$AN$42</f>
        <v>36.83009031576416</v>
      </c>
      <c r="H154" s="131">
        <f>'[2]P&amp;L CONSOLIDADO Mensual'!$AN$42</f>
        <v>36.83009031576416</v>
      </c>
      <c r="I154" s="131">
        <f>'[2]P&amp;L CONSOLIDADO Mensual'!$AN$42</f>
        <v>36.83009031576416</v>
      </c>
      <c r="J154" s="131">
        <f>'[2]P&amp;L CONSOLIDADO Mensual'!$AN$42</f>
        <v>36.83009031576416</v>
      </c>
      <c r="K154" s="131">
        <f>'[2]P&amp;L CONSOLIDADO Mensual'!$AN$42</f>
        <v>36.83009031576416</v>
      </c>
      <c r="L154" s="131">
        <f>'[2]P&amp;L CONSOLIDADO Mensual'!$AN$42</f>
        <v>36.83009031576416</v>
      </c>
      <c r="M154" s="131">
        <f>'[2]P&amp;L CONSOLIDADO Mensual'!$AN$42</f>
        <v>36.83009031576416</v>
      </c>
      <c r="N154" s="131">
        <f>'[2]P&amp;L CONSOLIDADO Mensual'!$AN$42</f>
        <v>36.83009031576416</v>
      </c>
      <c r="O154" s="134"/>
      <c r="P154" s="134"/>
      <c r="Q154" s="134"/>
      <c r="R154" s="134"/>
      <c r="S154" s="134"/>
      <c r="T154" s="134"/>
      <c r="U154" s="129"/>
      <c r="V154" s="129"/>
    </row>
    <row r="155" spans="1:24" x14ac:dyDescent="0.3">
      <c r="A155" s="71" t="s">
        <v>1674</v>
      </c>
      <c r="B155" s="128">
        <f t="shared" ref="B155:N155" ca="1" si="77">(B144*B3)/($W$130*$N$3/360)</f>
        <v>59.893757654511496</v>
      </c>
      <c r="C155" s="128">
        <f t="shared" ca="1" si="77"/>
        <v>58.708595249926852</v>
      </c>
      <c r="D155" s="128">
        <f t="shared" ca="1" si="77"/>
        <v>57.705544721827088</v>
      </c>
      <c r="E155" s="128">
        <f t="shared" ca="1" si="77"/>
        <v>57.638887309943826</v>
      </c>
      <c r="F155" s="128">
        <f t="shared" ca="1" si="77"/>
        <v>56.302230787442682</v>
      </c>
      <c r="G155" s="128">
        <f t="shared" ca="1" si="77"/>
        <v>54.597523292150719</v>
      </c>
      <c r="H155" s="128">
        <f t="shared" ca="1" si="77"/>
        <v>54.218947464852015</v>
      </c>
      <c r="I155" s="128">
        <f t="shared" ca="1" si="77"/>
        <v>54.218947464852015</v>
      </c>
      <c r="J155" s="128">
        <f t="shared" ca="1" si="77"/>
        <v>54.218947464852015</v>
      </c>
      <c r="K155" s="128">
        <f t="shared" ca="1" si="77"/>
        <v>55.813622390288842</v>
      </c>
      <c r="L155" s="128">
        <f t="shared" ca="1" si="77"/>
        <v>55.813622390288842</v>
      </c>
      <c r="M155" s="128">
        <f t="shared" ca="1" si="77"/>
        <v>55.813622390288842</v>
      </c>
      <c r="N155" s="128">
        <f t="shared" ca="1" si="77"/>
        <v>56.245354048435438</v>
      </c>
      <c r="O155" s="247"/>
      <c r="P155" s="247"/>
      <c r="Q155" s="247"/>
      <c r="R155" s="247"/>
      <c r="S155" s="247"/>
      <c r="T155" s="247"/>
      <c r="U155" s="129"/>
      <c r="V155" s="129"/>
    </row>
    <row r="156" spans="1:24" x14ac:dyDescent="0.3">
      <c r="A156" s="130" t="s">
        <v>1671</v>
      </c>
      <c r="B156" s="131">
        <f>'[2]P&amp;L CONSOLIDADO Mensual'!$AN$43</f>
        <v>29.063337072535958</v>
      </c>
      <c r="C156" s="131">
        <f>'[2]P&amp;L CONSOLIDADO Mensual'!$AN$43</f>
        <v>29.063337072535958</v>
      </c>
      <c r="D156" s="131">
        <f>'[2]P&amp;L CONSOLIDADO Mensual'!$AN$43</f>
        <v>29.063337072535958</v>
      </c>
      <c r="E156" s="131">
        <f>'[2]P&amp;L CONSOLIDADO Mensual'!$AN$43</f>
        <v>29.063337072535958</v>
      </c>
      <c r="F156" s="131">
        <f>'[2]P&amp;L CONSOLIDADO Mensual'!$AN$43</f>
        <v>29.063337072535958</v>
      </c>
      <c r="G156" s="131">
        <f>'[2]P&amp;L CONSOLIDADO Mensual'!$AN$43</f>
        <v>29.063337072535958</v>
      </c>
      <c r="H156" s="131">
        <f>'[2]P&amp;L CONSOLIDADO Mensual'!$AN$43</f>
        <v>29.063337072535958</v>
      </c>
      <c r="I156" s="131">
        <f>'[2]P&amp;L CONSOLIDADO Mensual'!$AN$43</f>
        <v>29.063337072535958</v>
      </c>
      <c r="J156" s="131">
        <f>'[2]P&amp;L CONSOLIDADO Mensual'!$AN$43</f>
        <v>29.063337072535958</v>
      </c>
      <c r="K156" s="131">
        <f>'[2]P&amp;L CONSOLIDADO Mensual'!$AN$43</f>
        <v>29.063337072535958</v>
      </c>
      <c r="L156" s="131">
        <f>'[2]P&amp;L CONSOLIDADO Mensual'!$AN$43</f>
        <v>29.063337072535958</v>
      </c>
      <c r="M156" s="131">
        <f>'[2]P&amp;L CONSOLIDADO Mensual'!$AN$43</f>
        <v>29.063337072535958</v>
      </c>
      <c r="N156" s="131">
        <f>'[2]P&amp;L CONSOLIDADO Mensual'!$AN$43</f>
        <v>29.063337072535958</v>
      </c>
      <c r="O156" s="134"/>
      <c r="P156" s="134"/>
      <c r="Q156" s="134"/>
      <c r="R156" s="134"/>
      <c r="S156" s="134"/>
      <c r="T156" s="134"/>
      <c r="U156" s="134"/>
      <c r="V156" s="134"/>
    </row>
    <row r="157" spans="1:24" x14ac:dyDescent="0.3">
      <c r="A157" s="70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35"/>
      <c r="O157" s="249"/>
      <c r="P157" s="249"/>
      <c r="Q157" s="249"/>
      <c r="R157" s="249"/>
      <c r="S157" s="249"/>
      <c r="T157" s="249"/>
      <c r="U157" s="87"/>
      <c r="V157" s="87"/>
    </row>
    <row r="158" spans="1:24" ht="18" x14ac:dyDescent="0.35">
      <c r="A158" s="81" t="s">
        <v>1675</v>
      </c>
      <c r="B158" s="136">
        <f>'[2]P&amp;L CONSOLIDADO Mensual'!$C$8</f>
        <v>552356.32105132553</v>
      </c>
      <c r="C158" s="136">
        <f>'[2]P&amp;L CONSOLIDADO Mensual'!$F$8</f>
        <v>611195.64604420704</v>
      </c>
      <c r="D158" s="136">
        <f>'[2]P&amp;L CONSOLIDADO Mensual'!$I$8</f>
        <v>655582.42836229037</v>
      </c>
      <c r="E158" s="136">
        <f>'[2]P&amp;L CONSOLIDADO Mensual'!$L$8</f>
        <v>649240.22959262133</v>
      </c>
      <c r="F158" s="136">
        <f>'[2]P&amp;L CONSOLIDADO Mensual'!$O$8</f>
        <v>684294.28473040985</v>
      </c>
      <c r="G158" s="136">
        <f>'[2]P&amp;L CONSOLIDADO Mensual'!$R$8</f>
        <v>677966.42227962671</v>
      </c>
      <c r="H158" s="136">
        <f>'[2]P&amp;L CONSOLIDADO Mensual'!$U$8</f>
        <v>633479.10003273387</v>
      </c>
      <c r="I158" s="136">
        <f>'[2]P&amp;L CONSOLIDADO Mensual'!$X$8</f>
        <v>674547.63802615297</v>
      </c>
      <c r="J158" s="136">
        <f>'[2]P&amp;L CONSOLIDADO Mensual'!$AA$8</f>
        <v>720482.21282809786</v>
      </c>
      <c r="K158" s="136">
        <f>'[2]P&amp;L CONSOLIDADO Mensual'!$AD$8</f>
        <v>383549.01471550495</v>
      </c>
      <c r="L158" s="136">
        <f>'[2]P&amp;L CONSOLIDADO Mensual'!$AG$8</f>
        <v>636677.78067545989</v>
      </c>
      <c r="M158" s="136">
        <f>'[2]P&amp;L CONSOLIDADO Mensual'!$AJ$8</f>
        <v>629407.32969500998</v>
      </c>
      <c r="N158" s="178">
        <f>'[2]P&amp;L CONSOLIDADO Mensual'!$AN$8</f>
        <v>7508778.4080334408</v>
      </c>
      <c r="O158" s="137"/>
      <c r="P158" s="137"/>
      <c r="Q158" s="137"/>
      <c r="R158" s="137"/>
      <c r="S158" s="137"/>
      <c r="T158" s="137"/>
      <c r="U158" s="137"/>
      <c r="V158" s="137"/>
      <c r="W158" s="95">
        <f>SUM(B158,C158,D158,E158,F158:M158)</f>
        <v>7508778.408033439</v>
      </c>
    </row>
    <row r="159" spans="1:24" x14ac:dyDescent="0.3">
      <c r="A159" s="70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93"/>
      <c r="O159" s="98"/>
      <c r="P159" s="98"/>
      <c r="Q159" s="98"/>
      <c r="R159" s="98"/>
      <c r="S159" s="98"/>
      <c r="T159" s="98"/>
      <c r="U159" s="87"/>
      <c r="V159" s="87"/>
      <c r="W159" s="138"/>
    </row>
    <row r="160" spans="1:24" x14ac:dyDescent="0.3">
      <c r="A160" s="70" t="s">
        <v>1576</v>
      </c>
      <c r="B160" s="139">
        <f>'AUX MODELO SESAJAL (ROLLING)'!D4</f>
        <v>17603969.789999999</v>
      </c>
      <c r="C160" s="139">
        <f>'AUX MODELO SESAJAL (ROLLING)'!E4</f>
        <v>16026810.92999999</v>
      </c>
      <c r="D160" s="139">
        <f>'AUX MODELO SESAJAL (ROLLING)'!F4</f>
        <v>12493878.669999991</v>
      </c>
      <c r="E160" s="139">
        <v>17246356.18</v>
      </c>
      <c r="F160" s="139">
        <f>'AUX MODELO SESAJAL (ROLLING)'!H4</f>
        <v>20772285.369999986</v>
      </c>
      <c r="G160" s="139">
        <f>'AUX MODELO SESAJAL (ROLLING)'!I4</f>
        <v>17309214.289999992</v>
      </c>
      <c r="H160" s="139">
        <f>'AUX MODELO SESAJAL (ROLLING)'!J4</f>
        <v>23238748.510000002</v>
      </c>
      <c r="I160" s="139">
        <f ca="1">'AUX MODELO SESAJAL (ROLLING)'!K4</f>
        <v>24962217.428338554</v>
      </c>
      <c r="J160" s="139">
        <f ca="1">'AUX MODELO SESAJAL (ROLLING)'!L4</f>
        <v>22430779.296785343</v>
      </c>
      <c r="K160" s="139">
        <f ca="1">'AUX MODELO SESAJAL (ROLLING)'!M4</f>
        <v>22172290.121319547</v>
      </c>
      <c r="L160" s="139">
        <f ca="1">'AUX MODELO SESAJAL (ROLLING)'!N4</f>
        <v>19840529.722359784</v>
      </c>
      <c r="M160" s="139">
        <f>'AUX MODELO SESAJAL (ROLLING)'!O4</f>
        <v>21356585.302559786</v>
      </c>
      <c r="N160" s="153">
        <f ca="1">SUM(B160,C160,D160,E160,F160,G160,H160,I160,J160,K160,L160,M160)</f>
        <v>235453665.61136299</v>
      </c>
      <c r="O160" s="139">
        <f>'AUX MODELO SESAJAL (ROLLING)'!Q4</f>
        <v>22954219.233750001</v>
      </c>
      <c r="P160" s="139">
        <f>'AUX MODELO SESAJAL (ROLLING)'!R4</f>
        <v>20141989.269499987</v>
      </c>
      <c r="Q160" s="139">
        <f>'AUX MODELO SESAJAL (ROLLING)'!S4</f>
        <v>16049874.319499988</v>
      </c>
      <c r="R160" s="139">
        <f>'AUX MODELO SESAJAL (ROLLING)'!T4</f>
        <v>21974297.670500003</v>
      </c>
      <c r="S160" s="139">
        <f>'AUX MODELO SESAJAL (ROLLING)'!U4</f>
        <v>25874606.224249985</v>
      </c>
      <c r="T160" s="139">
        <f>'AUX MODELO SESAJAL (ROLLING)'!V4</f>
        <v>21932162.019249987</v>
      </c>
      <c r="U160" s="98"/>
      <c r="V160" s="98"/>
      <c r="W160" s="95">
        <f ca="1">SUM(B160,C160,D160,E160,F160:M160)</f>
        <v>235453665.61136299</v>
      </c>
    </row>
    <row r="161" spans="1:23" x14ac:dyDescent="0.3">
      <c r="A161" s="71" t="s">
        <v>1577</v>
      </c>
      <c r="B161" s="114">
        <f>'AUX MODELO SESAJAL (ROLLING)'!D5</f>
        <v>7021309.3899999997</v>
      </c>
      <c r="C161" s="114">
        <f>'AUX MODELO SESAJAL (ROLLING)'!E5</f>
        <v>6015156.4000000004</v>
      </c>
      <c r="D161" s="114">
        <f>'AUX MODELO SESAJAL (ROLLING)'!F5</f>
        <v>5001313.3499999996</v>
      </c>
      <c r="E161" s="114">
        <f>'AUX MODELO SESAJAL (ROLLING)'!G5</f>
        <v>6747553.1200000001</v>
      </c>
      <c r="F161" s="114">
        <f>'AUX MODELO SESAJAL (ROLLING)'!H5</f>
        <v>9012876.0499999989</v>
      </c>
      <c r="G161" s="114">
        <f>'AUX MODELO SESAJAL (ROLLING)'!I5</f>
        <v>7262528.1799999997</v>
      </c>
      <c r="H161" s="114">
        <f>'AUX MODELO SESAJAL (ROLLING)'!J5</f>
        <v>10160675.45999999</v>
      </c>
      <c r="I161" s="114">
        <f ca="1">'AUX MODELO SESAJAL (ROLLING)'!K5</f>
        <v>11742138.746890638</v>
      </c>
      <c r="J161" s="114">
        <f ca="1">'AUX MODELO SESAJAL (ROLLING)'!L5</f>
        <v>10489663.151934197</v>
      </c>
      <c r="K161" s="114">
        <f ca="1">'AUX MODELO SESAJAL (ROLLING)'!M5</f>
        <v>10119141.892560793</v>
      </c>
      <c r="L161" s="114">
        <f ca="1">'AUX MODELO SESAJAL (ROLLING)'!N5</f>
        <v>9023722.1765729114</v>
      </c>
      <c r="M161" s="114">
        <f>'AUX MODELO SESAJAL (ROLLING)'!O5</f>
        <v>9812380.4773749113</v>
      </c>
      <c r="N161" s="114">
        <f ca="1">SUM(B161,C161,D161,E161,F161,G161,H161,I161,J161,K161,L161,M161)</f>
        <v>102408458.39533344</v>
      </c>
      <c r="O161" s="114">
        <f>'AUX MODELO SESAJAL (ROLLING)'!Q5</f>
        <v>10128671.0260875</v>
      </c>
      <c r="P161" s="114">
        <f>'AUX MODELO SESAJAL (ROLLING)'!R5</f>
        <v>8834817.5621949937</v>
      </c>
      <c r="Q161" s="114">
        <f>'AUX MODELO SESAJAL (ROLLING)'!S5</f>
        <v>6800166.5146949952</v>
      </c>
      <c r="R161" s="114">
        <f>'AUX MODELO SESAJAL (ROLLING)'!T5</f>
        <v>10450621.093204999</v>
      </c>
      <c r="S161" s="114">
        <f>'AUX MODELO SESAJAL (ROLLING)'!U5</f>
        <v>11722359.524492497</v>
      </c>
      <c r="T161" s="114">
        <f>'AUX MODELO SESAJAL (ROLLING)'!V5</f>
        <v>9736100.7754424941</v>
      </c>
      <c r="U161" s="125"/>
      <c r="V161" s="125"/>
      <c r="W161" s="95">
        <f ca="1">SUM(B161,C161,D161,E161,F161:M161)</f>
        <v>102408458.39533344</v>
      </c>
    </row>
    <row r="162" spans="1:23" x14ac:dyDescent="0.3">
      <c r="A162" s="71" t="s">
        <v>1578</v>
      </c>
      <c r="B162" s="114">
        <f>'AUX MODELO SESAJAL (ROLLING)'!D6</f>
        <v>3242912.49</v>
      </c>
      <c r="C162" s="114">
        <f>'AUX MODELO SESAJAL (ROLLING)'!E6</f>
        <v>2305460.1800000002</v>
      </c>
      <c r="D162" s="114">
        <f>'AUX MODELO SESAJAL (ROLLING)'!F6</f>
        <v>1787305.32</v>
      </c>
      <c r="E162" s="114">
        <f>'AUX MODELO SESAJAL (ROLLING)'!G6</f>
        <v>2025485.98</v>
      </c>
      <c r="F162" s="114">
        <f>'AUX MODELO SESAJAL (ROLLING)'!H6</f>
        <v>2081617.45999999</v>
      </c>
      <c r="G162" s="114">
        <f>'AUX MODELO SESAJAL (ROLLING)'!I6</f>
        <v>2047912.43</v>
      </c>
      <c r="H162" s="114">
        <f>'AUX MODELO SESAJAL (ROLLING)'!J6</f>
        <v>1940260.8999999899</v>
      </c>
      <c r="I162" s="114">
        <f>'AUX MODELO SESAJAL (ROLLING)'!K6</f>
        <v>1795060.8717747501</v>
      </c>
      <c r="J162" s="114">
        <f>'AUX MODELO SESAJAL (ROLLING)'!L6</f>
        <v>1388185.8717747501</v>
      </c>
      <c r="K162" s="114">
        <f>'AUX MODELO SESAJAL (ROLLING)'!M6</f>
        <v>1388185.8717747501</v>
      </c>
      <c r="L162" s="114">
        <f>'AUX MODELO SESAJAL (ROLLING)'!N6</f>
        <v>1388185.8717747501</v>
      </c>
      <c r="M162" s="114">
        <f>'AUX MODELO SESAJAL (ROLLING)'!O6</f>
        <v>1388185.8717747501</v>
      </c>
      <c r="N162" s="114">
        <f>SUM(B162,C162,D162,E162,F162,G162,H162,I162,J162,K162,L162,M162)</f>
        <v>22778759.118873738</v>
      </c>
      <c r="O162" s="114">
        <f>'AUX MODELO SESAJAL (ROLLING)'!Q6</f>
        <v>1388185.8717747501</v>
      </c>
      <c r="P162" s="114">
        <f>'AUX MODELO SESAJAL (ROLLING)'!R6</f>
        <v>1388185.8717747501</v>
      </c>
      <c r="Q162" s="114">
        <f>'AUX MODELO SESAJAL (ROLLING)'!S6</f>
        <v>1388185.8717747501</v>
      </c>
      <c r="R162" s="114">
        <f>'AUX MODELO SESAJAL (ROLLING)'!T6</f>
        <v>1388185.8717747501</v>
      </c>
      <c r="S162" s="114">
        <f>'AUX MODELO SESAJAL (ROLLING)'!U6</f>
        <v>1388185.8717747501</v>
      </c>
      <c r="T162" s="114">
        <f>'AUX MODELO SESAJAL (ROLLING)'!V6</f>
        <v>1388185.8717747501</v>
      </c>
      <c r="U162" s="125"/>
      <c r="V162" s="125"/>
      <c r="W162" s="95">
        <f>SUM(B162,C162,D162,E162,F162:M162)</f>
        <v>22778759.118873738</v>
      </c>
    </row>
    <row r="163" spans="1:23" x14ac:dyDescent="0.3">
      <c r="A163" s="71" t="s">
        <v>1579</v>
      </c>
      <c r="B163" s="114">
        <f>'AUX MODELO SESAJAL (ROLLING)'!D7</f>
        <v>2217469.0799999963</v>
      </c>
      <c r="C163" s="114">
        <f>'AUX MODELO SESAJAL (ROLLING)'!E7</f>
        <v>2265220.0599999977</v>
      </c>
      <c r="D163" s="114">
        <f>'AUX MODELO SESAJAL (ROLLING)'!F7</f>
        <v>2320283.319999997</v>
      </c>
      <c r="E163" s="114">
        <f>'AUX MODELO SESAJAL (ROLLING)'!G7</f>
        <v>2494447.6399999987</v>
      </c>
      <c r="F163" s="114">
        <f>'AUX MODELO SESAJAL (ROLLING)'!H7</f>
        <v>2406419.3599999947</v>
      </c>
      <c r="G163" s="114">
        <f>'AUX MODELO SESAJAL (ROLLING)'!I7</f>
        <v>2922932.399999998</v>
      </c>
      <c r="H163" s="114">
        <f>'AUX MODELO SESAJAL (ROLLING)'!J7</f>
        <v>2546500.9999999981</v>
      </c>
      <c r="I163" s="114">
        <f ca="1">'AUX MODELO SESAJAL (ROLLING)'!K7</f>
        <v>2776624.5345460479</v>
      </c>
      <c r="J163" s="114">
        <f ca="1">'AUX MODELO SESAJAL (ROLLING)'!L7</f>
        <v>2726972.2244348736</v>
      </c>
      <c r="K163" s="114">
        <f ca="1">'AUX MODELO SESAJAL (ROLLING)'!M7</f>
        <v>2755277.7889111326</v>
      </c>
      <c r="L163" s="114">
        <f ca="1">'AUX MODELO SESAJAL (ROLLING)'!N7</f>
        <v>2677462.3930074056</v>
      </c>
      <c r="M163" s="114">
        <f>'AUX MODELO SESAJAL (ROLLING)'!O7</f>
        <v>2714790.3417280247</v>
      </c>
      <c r="N163" s="114">
        <f ca="1">SUM(B163,C163,D163,E163,F163,G163,H163,I163,J163,K163,L163,M163)</f>
        <v>30824400.14262747</v>
      </c>
      <c r="O163" s="114">
        <f>'AUX MODELO SESAJAL (ROLLING)'!Q7</f>
        <v>2911984.976982282</v>
      </c>
      <c r="P163" s="114">
        <f>'AUX MODELO SESAJAL (ROLLING)'!R7</f>
        <v>2851722.9063197817</v>
      </c>
      <c r="Q163" s="114">
        <f>'AUX MODELO SESAJAL (ROLLING)'!S7</f>
        <v>2764034.7288197819</v>
      </c>
      <c r="R163" s="114">
        <f>'AUX MODELO SESAJAL (ROLLING)'!T7</f>
        <v>2890986.657769782</v>
      </c>
      <c r="S163" s="114">
        <f>'AUX MODELO SESAJAL (ROLLING)'!U7</f>
        <v>3006239.698207282</v>
      </c>
      <c r="T163" s="114">
        <f>'AUX MODELO SESAJAL (ROLLING)'!V7</f>
        <v>2856384.0613021092</v>
      </c>
      <c r="U163" s="125"/>
      <c r="V163" s="125"/>
      <c r="W163" s="95">
        <f ca="1">SUM(B163,C163,D163,E163,F163:M163)</f>
        <v>30824400.14262747</v>
      </c>
    </row>
    <row r="164" spans="1:23" x14ac:dyDescent="0.3">
      <c r="A164" s="70" t="s">
        <v>1580</v>
      </c>
      <c r="B164" s="139">
        <f>'AUX MODELO SESAJAL (ROLLING)'!D8</f>
        <v>5122278.8300000019</v>
      </c>
      <c r="C164" s="89">
        <f>'AUX MODELO SESAJAL (ROLLING)'!E8</f>
        <v>5440974.2899999926</v>
      </c>
      <c r="D164" s="89">
        <f>'AUX MODELO SESAJAL (ROLLING)'!F8</f>
        <v>3384976.6799999936</v>
      </c>
      <c r="E164" s="89">
        <f>'AUX MODELO SESAJAL (ROLLING)'!G8</f>
        <v>6231366.3499999996</v>
      </c>
      <c r="F164" s="89">
        <f>'AUX MODELO SESAJAL (ROLLING)'!H8</f>
        <v>7271372.5000000028</v>
      </c>
      <c r="G164" s="89">
        <f>'AUX MODELO SESAJAL (ROLLING)'!I8</f>
        <v>5075841.2799999937</v>
      </c>
      <c r="H164" s="89">
        <f>'AUX MODELO SESAJAL (ROLLING)'!J8</f>
        <v>8591311.1500000246</v>
      </c>
      <c r="I164" s="89">
        <f ca="1">'AUX MODELO SESAJAL (ROLLING)'!K8</f>
        <v>8648393.2751271185</v>
      </c>
      <c r="J164" s="89">
        <f ca="1">'AUX MODELO SESAJAL (ROLLING)'!L8</f>
        <v>7825958.0486415233</v>
      </c>
      <c r="K164" s="89">
        <f ca="1">'AUX MODELO SESAJAL (ROLLING)'!M8</f>
        <v>7909684.5680728722</v>
      </c>
      <c r="L164" s="89">
        <f ca="1">'AUX MODELO SESAJAL (ROLLING)'!N8</f>
        <v>6751159.2810047176</v>
      </c>
      <c r="M164" s="89">
        <f>'AUX MODELO SESAJAL (ROLLING)'!O8</f>
        <v>7441228.6116821002</v>
      </c>
      <c r="N164" s="89">
        <f ca="1">SUM(B164,C164,D164,E164,F164,G164,H164,I164,J164,K164,L164,M164)</f>
        <v>79694544.864528343</v>
      </c>
      <c r="O164" s="89">
        <f>'AUX MODELO SESAJAL (ROLLING)'!Q8</f>
        <v>8525377.3589054681</v>
      </c>
      <c r="P164" s="89">
        <f>'AUX MODELO SESAJAL (ROLLING)'!R8</f>
        <v>7067262.9292104617</v>
      </c>
      <c r="Q164" s="89">
        <f>'AUX MODELO SESAJAL (ROLLING)'!S8</f>
        <v>5097487.2042104602</v>
      </c>
      <c r="R164" s="89">
        <f>'AUX MODELO SESAJAL (ROLLING)'!T8</f>
        <v>7244504.0477504712</v>
      </c>
      <c r="S164" s="89">
        <f>'AUX MODELO SESAJAL (ROLLING)'!U8</f>
        <v>9757821.1297754571</v>
      </c>
      <c r="T164" s="89">
        <f>'AUX MODELO SESAJAL (ROLLING)'!V8</f>
        <v>7951491.3107306343</v>
      </c>
      <c r="U164" s="98"/>
      <c r="V164" s="98"/>
    </row>
    <row r="165" spans="1:23" x14ac:dyDescent="0.3">
      <c r="A165" s="71" t="s">
        <v>1581</v>
      </c>
      <c r="B165" s="114">
        <f>'AUX MODELO SESAJAL (ROLLING)'!D9</f>
        <v>494367.55999999901</v>
      </c>
      <c r="C165" s="114">
        <f>'AUX MODELO SESAJAL (ROLLING)'!E9</f>
        <v>396171.07</v>
      </c>
      <c r="D165" s="114">
        <f>'AUX MODELO SESAJAL (ROLLING)'!F9</f>
        <v>343227.86</v>
      </c>
      <c r="E165" s="114">
        <f>'AUX MODELO SESAJAL (ROLLING)'!G9</f>
        <v>535156.62</v>
      </c>
      <c r="F165" s="114">
        <f>'AUX MODELO SESAJAL (ROLLING)'!H9</f>
        <v>519993.989999999</v>
      </c>
      <c r="G165" s="114">
        <f>'AUX MODELO SESAJAL (ROLLING)'!I9</f>
        <v>560717.71999999904</v>
      </c>
      <c r="H165" s="114">
        <f>'AUX MODELO SESAJAL (ROLLING)'!J9</f>
        <v>570275.00999999896</v>
      </c>
      <c r="I165" s="114">
        <f ca="1">'AUX MODELO SESAJAL (ROLLING)'!K9</f>
        <v>764149.51311240462</v>
      </c>
      <c r="J165" s="114">
        <f ca="1">'AUX MODELO SESAJAL (ROLLING)'!L9</f>
        <v>686656.50908526569</v>
      </c>
      <c r="K165" s="114">
        <f ca="1">'AUX MODELO SESAJAL (ROLLING)'!M9</f>
        <v>678743.57514243503</v>
      </c>
      <c r="L165" s="114">
        <f ca="1">'AUX MODELO SESAJAL (ROLLING)'!N9</f>
        <v>607363.15476611583</v>
      </c>
      <c r="M165" s="114">
        <f>'AUX MODELO SESAJAL (ROLLING)'!O9</f>
        <v>653773.01946611586</v>
      </c>
      <c r="N165" s="114">
        <f ca="1">SUM(B165,C165,D165,E165,F165:M165)</f>
        <v>6810595.601572332</v>
      </c>
      <c r="O165" s="114">
        <f>'AUX MODELO SESAJAL (ROLLING)'!Q9</f>
        <v>702680.18062499992</v>
      </c>
      <c r="P165" s="114">
        <f>'AUX MODELO SESAJAL (ROLLING)'!R9</f>
        <v>616591.50824999961</v>
      </c>
      <c r="Q165" s="114">
        <f>'AUX MODELO SESAJAL (ROLLING)'!S9</f>
        <v>491322.68324999959</v>
      </c>
      <c r="R165" s="114">
        <f>'AUX MODELO SESAJAL (ROLLING)'!T9</f>
        <v>672682.58175000001</v>
      </c>
      <c r="S165" s="114">
        <f>'AUX MODELO SESAJAL (ROLLING)'!U9</f>
        <v>792079.7823749996</v>
      </c>
      <c r="T165" s="114">
        <f>'AUX MODELO SESAJAL (ROLLING)'!V9</f>
        <v>671392.7148749996</v>
      </c>
      <c r="U165" s="125"/>
      <c r="V165" s="125"/>
    </row>
    <row r="166" spans="1:23" x14ac:dyDescent="0.3">
      <c r="A166" s="71" t="s">
        <v>1582</v>
      </c>
      <c r="B166" s="114">
        <f>'AUX MODELO SESAJAL (ROLLING)'!D10</f>
        <v>1160984.1099999989</v>
      </c>
      <c r="C166" s="114">
        <f>'AUX MODELO SESAJAL (ROLLING)'!E10</f>
        <v>1314802.3399999999</v>
      </c>
      <c r="D166" s="114">
        <f>'AUX MODELO SESAJAL (ROLLING)'!F10</f>
        <v>1630274.21</v>
      </c>
      <c r="E166" s="114">
        <f>'AUX MODELO SESAJAL (ROLLING)'!G10</f>
        <v>1744545.4399999981</v>
      </c>
      <c r="F166" s="114">
        <f>'AUX MODELO SESAJAL (ROLLING)'!H10</f>
        <v>2118876.5899999989</v>
      </c>
      <c r="G166" s="114">
        <f>'AUX MODELO SESAJAL (ROLLING)'!I10</f>
        <v>1773434.42</v>
      </c>
      <c r="H166" s="114">
        <f>'AUX MODELO SESAJAL (ROLLING)'!J10</f>
        <v>2415689.6599999988</v>
      </c>
      <c r="I166" s="114">
        <f ca="1">'AUX MODELO SESAJAL (ROLLING)'!K10</f>
        <v>1507233.9455927538</v>
      </c>
      <c r="J166" s="114">
        <f ca="1">'AUX MODELO SESAJAL (ROLLING)'!L10</f>
        <v>1431293.1949720064</v>
      </c>
      <c r="K166" s="114">
        <f ca="1">'AUX MODELO SESAJAL (ROLLING)'!M10</f>
        <v>1623977.7633464653</v>
      </c>
      <c r="L166" s="114">
        <f ca="1">'AUX MODELO SESAJAL (ROLLING)'!N10</f>
        <v>1564978.8258211315</v>
      </c>
      <c r="M166" s="114">
        <f ca="1">'AUX MODELO SESAJAL (ROLLING)'!O10</f>
        <v>1632497.7797332006</v>
      </c>
      <c r="N166" s="114">
        <f t="shared" ref="N166:N175" ca="1" si="78">SUM(B166,C166,D166,E166,F166,G166,H166,I166,J166,K166,L166,M166)</f>
        <v>19918588.279465552</v>
      </c>
      <c r="O166" s="114">
        <f>'AUX MODELO SESAJAL (ROLLING)'!Q10</f>
        <v>1797219.0191597696</v>
      </c>
      <c r="P166" s="114">
        <f>'AUX MODELO SESAJAL (ROLLING)'!R10</f>
        <v>1680976.4902847693</v>
      </c>
      <c r="Q166" s="114">
        <f>'AUX MODELO SESAJAL (ROLLING)'!S10</f>
        <v>1616293.8420347681</v>
      </c>
      <c r="R166" s="114">
        <f>'AUX MODELO SESAJAL (ROLLING)'!T10</f>
        <v>1225418.9001597695</v>
      </c>
      <c r="S166" s="114">
        <f>'AUX MODELO SESAJAL (ROLLING)'!U10</f>
        <v>1846776.0761597683</v>
      </c>
      <c r="T166" s="114">
        <f>'AUX MODELO SESAJAL (ROLLING)'!V10</f>
        <v>1818836.8021597678</v>
      </c>
      <c r="U166" s="125"/>
      <c r="V166" s="125"/>
    </row>
    <row r="167" spans="1:23" x14ac:dyDescent="0.3">
      <c r="A167" s="71" t="s">
        <v>1583</v>
      </c>
      <c r="B167" s="114">
        <f>'AUX MODELO SESAJAL (ROLLING)'!D11</f>
        <v>4903313.0499999989</v>
      </c>
      <c r="C167" s="114">
        <f>'AUX MODELO SESAJAL (ROLLING)'!E11</f>
        <v>3759869.5099999895</v>
      </c>
      <c r="D167" s="114">
        <f>'AUX MODELO SESAJAL (ROLLING)'!F11</f>
        <v>4754130.8600000003</v>
      </c>
      <c r="E167" s="114">
        <f>'AUX MODELO SESAJAL (ROLLING)'!G11</f>
        <v>2869759.6499999887</v>
      </c>
      <c r="F167" s="114">
        <f>'AUX MODELO SESAJAL (ROLLING)'!H11</f>
        <v>3273861.0799999991</v>
      </c>
      <c r="G167" s="114">
        <f>'AUX MODELO SESAJAL (ROLLING)'!I11</f>
        <v>2087472.0499999968</v>
      </c>
      <c r="H167" s="114">
        <f>'AUX MODELO SESAJAL (ROLLING)'!J11</f>
        <v>2579457.3699999987</v>
      </c>
      <c r="I167" s="114">
        <f ca="1">'AUX MODELO SESAJAL (ROLLING)'!K11</f>
        <v>1903884.7291856317</v>
      </c>
      <c r="J167" s="114">
        <f ca="1">'AUX MODELO SESAJAL (ROLLING)'!L11</f>
        <v>1890969.228514442</v>
      </c>
      <c r="K167" s="114">
        <f ca="1">'AUX MODELO SESAJAL (ROLLING)'!M11</f>
        <v>1889650.4061906368</v>
      </c>
      <c r="L167" s="114">
        <f ca="1">'AUX MODELO SESAJAL (ROLLING)'!N11</f>
        <v>1877753.6694612501</v>
      </c>
      <c r="M167" s="114">
        <f>'AUX MODELO SESAJAL (ROLLING)'!O11</f>
        <v>1885488.6469112502</v>
      </c>
      <c r="N167" s="114">
        <f t="shared" ca="1" si="78"/>
        <v>33675610.250263184</v>
      </c>
      <c r="O167" s="114">
        <f>'AUX MODELO SESAJAL (ROLLING)'!Q11</f>
        <v>2073000.21737</v>
      </c>
      <c r="P167" s="114">
        <f>'AUX MODELO SESAJAL (ROLLING)'!R11</f>
        <v>2058652.1053074999</v>
      </c>
      <c r="Q167" s="114">
        <f>'AUX MODELO SESAJAL (ROLLING)'!S11</f>
        <v>2037773.9678074999</v>
      </c>
      <c r="R167" s="114">
        <f>'AUX MODELO SESAJAL (ROLLING)'!T11</f>
        <v>2068000.6175575</v>
      </c>
      <c r="S167" s="114">
        <f>'AUX MODELO SESAJAL (ROLLING)'!U11</f>
        <v>2087900.1509949998</v>
      </c>
      <c r="T167" s="114">
        <f>'AUX MODELO SESAJAL (ROLLING)'!V11</f>
        <v>2067785.6397449998</v>
      </c>
      <c r="U167" s="125"/>
      <c r="V167" s="125"/>
      <c r="W167" s="95">
        <f ca="1">SUM(B167,C167,D167,E167,F167:M167)</f>
        <v>33675610.250263184</v>
      </c>
    </row>
    <row r="168" spans="1:23" x14ac:dyDescent="0.3">
      <c r="A168" s="70" t="s">
        <v>1584</v>
      </c>
      <c r="B168" s="89">
        <f>'AUX MODELO SESAJAL (ROLLING)'!D12</f>
        <v>-1436385.8899999945</v>
      </c>
      <c r="C168" s="89">
        <f>'AUX MODELO SESAJAL (ROLLING)'!E12</f>
        <v>-29868.629999997094</v>
      </c>
      <c r="D168" s="89">
        <f>'AUX MODELO SESAJAL (ROLLING)'!F12</f>
        <v>-3342656.2500000065</v>
      </c>
      <c r="E168" s="89">
        <f>'AUX MODELO SESAJAL (ROLLING)'!G12</f>
        <v>1081904.6400000127</v>
      </c>
      <c r="F168" s="89">
        <f>'AUX MODELO SESAJAL (ROLLING)'!H12</f>
        <v>1358640.8400000054</v>
      </c>
      <c r="G168" s="89">
        <f>'AUX MODELO SESAJAL (ROLLING)'!I12</f>
        <v>654217.08999999822</v>
      </c>
      <c r="H168" s="89">
        <f>'AUX MODELO SESAJAL (ROLLING)'!J12</f>
        <v>3025889.1100000278</v>
      </c>
      <c r="I168" s="89">
        <f ca="1">'AUX MODELO SESAJAL (ROLLING)'!K12</f>
        <v>4473125.087236329</v>
      </c>
      <c r="J168" s="89">
        <f ca="1">'AUX MODELO SESAJAL (ROLLING)'!L12</f>
        <v>3817039.1160698086</v>
      </c>
      <c r="K168" s="89">
        <f ca="1">'AUX MODELO SESAJAL (ROLLING)'!M12</f>
        <v>3717312.8233933356</v>
      </c>
      <c r="L168" s="89">
        <f ca="1">'AUX MODELO SESAJAL (ROLLING)'!N12</f>
        <v>2701063.6309562195</v>
      </c>
      <c r="M168" s="89">
        <f ca="1">'AUX MODELO SESAJAL (ROLLING)'!O12</f>
        <v>3269469.1655715331</v>
      </c>
      <c r="N168" s="89">
        <f t="shared" ca="1" si="78"/>
        <v>19289750.733227272</v>
      </c>
      <c r="O168" s="89">
        <f>'AUX MODELO SESAJAL (ROLLING)'!Q12</f>
        <v>3952477.9417506987</v>
      </c>
      <c r="P168" s="89">
        <f>'AUX MODELO SESAJAL (ROLLING)'!R12</f>
        <v>2711042.825368193</v>
      </c>
      <c r="Q168" s="89">
        <f>'AUX MODELO SESAJAL (ROLLING)'!S12</f>
        <v>952096.71111819218</v>
      </c>
      <c r="R168" s="89">
        <f>'AUX MODELO SESAJAL (ROLLING)'!T12</f>
        <v>3278401.9482832015</v>
      </c>
      <c r="S168" s="89">
        <f>'AUX MODELO SESAJAL (ROLLING)'!U12</f>
        <v>5031065.1202456895</v>
      </c>
      <c r="T168" s="89">
        <f>'AUX MODELO SESAJAL (ROLLING)'!V12</f>
        <v>3393476.1539508672</v>
      </c>
      <c r="U168" s="98"/>
      <c r="V168" s="98"/>
      <c r="W168" s="95">
        <f ca="1">SUM(B168,C168,D168,E168,F168:M168)</f>
        <v>19289750.733227272</v>
      </c>
    </row>
    <row r="169" spans="1:23" x14ac:dyDescent="0.3">
      <c r="A169" s="71" t="s">
        <v>1585</v>
      </c>
      <c r="B169" s="114">
        <f>'AUX MODELO SESAJAL (ROLLING)'!D13</f>
        <v>0</v>
      </c>
      <c r="C169" s="114">
        <f>'AUX MODELO SESAJAL (ROLLING)'!E13</f>
        <v>0</v>
      </c>
      <c r="D169" s="114">
        <f>'AUX MODELO SESAJAL (ROLLING)'!F13</f>
        <v>0</v>
      </c>
      <c r="E169" s="114">
        <f>'AUX MODELO SESAJAL (ROLLING)'!G13</f>
        <v>0</v>
      </c>
      <c r="F169" s="114">
        <f>'AUX MODELO SESAJAL (ROLLING)'!H13</f>
        <v>0</v>
      </c>
      <c r="G169" s="114">
        <f>'AUX MODELO SESAJAL (ROLLING)'!I13</f>
        <v>0</v>
      </c>
      <c r="H169" s="114">
        <f>'AUX MODELO SESAJAL (ROLLING)'!J13</f>
        <v>0</v>
      </c>
      <c r="I169" s="114">
        <f>'AUX MODELO SESAJAL (ROLLING)'!K13</f>
        <v>0</v>
      </c>
      <c r="J169" s="114">
        <f>'AUX MODELO SESAJAL (ROLLING)'!L13</f>
        <v>0</v>
      </c>
      <c r="K169" s="114">
        <f>'AUX MODELO SESAJAL (ROLLING)'!M13</f>
        <v>0</v>
      </c>
      <c r="L169" s="114">
        <f>'AUX MODELO SESAJAL (ROLLING)'!N13</f>
        <v>0</v>
      </c>
      <c r="M169" s="114">
        <f>'AUX MODELO SESAJAL (ROLLING)'!O13</f>
        <v>0</v>
      </c>
      <c r="N169" s="114">
        <f t="shared" si="78"/>
        <v>0</v>
      </c>
      <c r="O169" s="114">
        <f>'AUX MODELO SESAJAL (ROLLING)'!Q13</f>
        <v>0</v>
      </c>
      <c r="P169" s="114">
        <f>'AUX MODELO SESAJAL (ROLLING)'!R13</f>
        <v>0</v>
      </c>
      <c r="Q169" s="114">
        <f>'AUX MODELO SESAJAL (ROLLING)'!S13</f>
        <v>0</v>
      </c>
      <c r="R169" s="114">
        <f>'AUX MODELO SESAJAL (ROLLING)'!T13</f>
        <v>0</v>
      </c>
      <c r="S169" s="114">
        <f>'AUX MODELO SESAJAL (ROLLING)'!U13</f>
        <v>0</v>
      </c>
      <c r="T169" s="114">
        <f>'AUX MODELO SESAJAL (ROLLING)'!V13</f>
        <v>0</v>
      </c>
      <c r="U169" s="125"/>
      <c r="V169" s="125"/>
    </row>
    <row r="170" spans="1:23" x14ac:dyDescent="0.3">
      <c r="A170" s="70" t="s">
        <v>1586</v>
      </c>
      <c r="B170" s="89">
        <f>'AUX MODELO SESAJAL (ROLLING)'!D14</f>
        <v>-1436385.8899999945</v>
      </c>
      <c r="C170" s="89">
        <f>'AUX MODELO SESAJAL (ROLLING)'!E14</f>
        <v>-29868.629999997094</v>
      </c>
      <c r="D170" s="89">
        <f>'AUX MODELO SESAJAL (ROLLING)'!F14</f>
        <v>-3342656.2500000065</v>
      </c>
      <c r="E170" s="89">
        <f>'AUX MODELO SESAJAL (ROLLING)'!G14</f>
        <v>1081904.6400000127</v>
      </c>
      <c r="F170" s="89">
        <f>'AUX MODELO SESAJAL (ROLLING)'!H14</f>
        <v>1358640.8400000054</v>
      </c>
      <c r="G170" s="89">
        <f>'AUX MODELO SESAJAL (ROLLING)'!I14</f>
        <v>654217.08999999822</v>
      </c>
      <c r="H170" s="89">
        <f>'AUX MODELO SESAJAL (ROLLING)'!J14</f>
        <v>3025889.1100000278</v>
      </c>
      <c r="I170" s="89">
        <f ca="1">'AUX MODELO SESAJAL (ROLLING)'!K14</f>
        <v>4473125.087236329</v>
      </c>
      <c r="J170" s="89">
        <f ca="1">'AUX MODELO SESAJAL (ROLLING)'!L14</f>
        <v>3817039.1160698086</v>
      </c>
      <c r="K170" s="89">
        <f ca="1">'AUX MODELO SESAJAL (ROLLING)'!M14</f>
        <v>3717312.8233933356</v>
      </c>
      <c r="L170" s="89">
        <f ca="1">'AUX MODELO SESAJAL (ROLLING)'!N14</f>
        <v>2701063.6309562195</v>
      </c>
      <c r="M170" s="89">
        <f ca="1">'AUX MODELO SESAJAL (ROLLING)'!O14</f>
        <v>3269469.1655715331</v>
      </c>
      <c r="N170" s="89">
        <f t="shared" ca="1" si="78"/>
        <v>19289750.733227272</v>
      </c>
      <c r="O170" s="89">
        <f>'AUX MODELO SESAJAL (ROLLING)'!Q14</f>
        <v>3952477.9417506987</v>
      </c>
      <c r="P170" s="89">
        <f>'AUX MODELO SESAJAL (ROLLING)'!R14</f>
        <v>2711042.825368193</v>
      </c>
      <c r="Q170" s="89">
        <f>'AUX MODELO SESAJAL (ROLLING)'!S14</f>
        <v>952096.71111819218</v>
      </c>
      <c r="R170" s="89">
        <f>'AUX MODELO SESAJAL (ROLLING)'!T14</f>
        <v>3278401.9482832015</v>
      </c>
      <c r="S170" s="89">
        <f>'AUX MODELO SESAJAL (ROLLING)'!U14</f>
        <v>5031065.1202456895</v>
      </c>
      <c r="T170" s="89">
        <f>'AUX MODELO SESAJAL (ROLLING)'!V14</f>
        <v>3393476.1539508672</v>
      </c>
      <c r="U170" s="98"/>
      <c r="V170" s="98"/>
    </row>
    <row r="171" spans="1:23" x14ac:dyDescent="0.3">
      <c r="A171" s="71" t="s">
        <v>1587</v>
      </c>
      <c r="B171" s="114">
        <f>'AUX MODELO SESAJAL (ROLLING)'!D15</f>
        <v>1125368.8799999901</v>
      </c>
      <c r="C171" s="114">
        <f>'AUX MODELO SESAJAL (ROLLING)'!E15</f>
        <v>1176022.8899999999</v>
      </c>
      <c r="D171" s="114">
        <f>'AUX MODELO SESAJAL (ROLLING)'!F15</f>
        <v>1028103.30999999</v>
      </c>
      <c r="E171" s="114">
        <f>'AUX MODELO SESAJAL (ROLLING)'!G15</f>
        <v>1330732.07</v>
      </c>
      <c r="F171" s="114">
        <f>'AUX MODELO SESAJAL (ROLLING)'!H15</f>
        <v>1150136.8799999901</v>
      </c>
      <c r="G171" s="114">
        <f>'AUX MODELO SESAJAL (ROLLING)'!I15</f>
        <v>784790.69</v>
      </c>
      <c r="H171" s="114">
        <f>'AUX MODELO SESAJAL (ROLLING)'!J15</f>
        <v>1032556.85</v>
      </c>
      <c r="I171" s="114">
        <f>'AUX MODELO SESAJAL (ROLLING)'!K15</f>
        <v>1267197.2057774886</v>
      </c>
      <c r="J171" s="114">
        <f>'AUX MODELO SESAJAL (ROLLING)'!L15</f>
        <v>1435839.2742233332</v>
      </c>
      <c r="K171" s="114">
        <f>'AUX MODELO SESAJAL (ROLLING)'!M15</f>
        <v>1503784.3074408663</v>
      </c>
      <c r="L171" s="114">
        <f>'AUX MODELO SESAJAL (ROLLING)'!N15</f>
        <v>1497283.339934729</v>
      </c>
      <c r="M171" s="114">
        <f>'AUX MODELO SESAJAL (ROLLING)'!O15</f>
        <v>1490677.1576577767</v>
      </c>
      <c r="N171" s="114">
        <f t="shared" si="78"/>
        <v>14822492.855034163</v>
      </c>
      <c r="O171" s="114">
        <f>'AUX MODELO SESAJAL (ROLLING)'!Q15</f>
        <v>1483963.3997116764</v>
      </c>
      <c r="P171" s="114">
        <f>'AUX MODELO SESAJAL (ROLLING)'!R15</f>
        <v>1477139.6517664865</v>
      </c>
      <c r="Q171" s="114">
        <f>'AUX MODELO SESAJAL (ROLLING)'!S15</f>
        <v>1456401.361507769</v>
      </c>
      <c r="R171" s="114">
        <f>'AUX MODELO SESAJAL (ROLLING)'!T15</f>
        <v>1430517.0537656141</v>
      </c>
      <c r="S171" s="114">
        <f>'AUX MODELO SESAJAL (ROLLING)'!U15</f>
        <v>1409801.9860672113</v>
      </c>
      <c r="T171" s="114">
        <f>'AUX MODELO SESAJAL (ROLLING)'!V15</f>
        <v>1385909.1955772755</v>
      </c>
      <c r="U171" s="125"/>
      <c r="V171" s="125"/>
      <c r="W171" s="95">
        <f>SUM(B171,C171,D171,E171,F171:M171)</f>
        <v>14822492.855034163</v>
      </c>
    </row>
    <row r="172" spans="1:23" x14ac:dyDescent="0.3">
      <c r="A172" s="71" t="s">
        <v>1588</v>
      </c>
      <c r="B172" s="114">
        <f>'AUX MODELO SESAJAL (ROLLING)'!D16</f>
        <v>0</v>
      </c>
      <c r="C172" s="114">
        <f>'AUX MODELO SESAJAL (ROLLING)'!E16</f>
        <v>0</v>
      </c>
      <c r="D172" s="114">
        <f>'AUX MODELO SESAJAL (ROLLING)'!F16</f>
        <v>0</v>
      </c>
      <c r="E172" s="114">
        <f>'AUX MODELO SESAJAL (ROLLING)'!G16</f>
        <v>0</v>
      </c>
      <c r="F172" s="114">
        <f>'AUX MODELO SESAJAL (ROLLING)'!H16</f>
        <v>0</v>
      </c>
      <c r="G172" s="114">
        <f>'AUX MODELO SESAJAL (ROLLING)'!I16</f>
        <v>0</v>
      </c>
      <c r="H172" s="114">
        <f>'AUX MODELO SESAJAL (ROLLING)'!J16</f>
        <v>0</v>
      </c>
      <c r="I172" s="114">
        <f>'AUX MODELO SESAJAL (ROLLING)'!K16</f>
        <v>0</v>
      </c>
      <c r="J172" s="114">
        <f>'AUX MODELO SESAJAL (ROLLING)'!L16</f>
        <v>0</v>
      </c>
      <c r="K172" s="114">
        <f>'AUX MODELO SESAJAL (ROLLING)'!M16</f>
        <v>0</v>
      </c>
      <c r="L172" s="114">
        <f>'AUX MODELO SESAJAL (ROLLING)'!N16</f>
        <v>0</v>
      </c>
      <c r="M172" s="114">
        <f>'AUX MODELO SESAJAL (ROLLING)'!O16</f>
        <v>0</v>
      </c>
      <c r="N172" s="114">
        <f t="shared" si="78"/>
        <v>0</v>
      </c>
      <c r="O172" s="114">
        <f>'AUX MODELO SESAJAL (ROLLING)'!Q16</f>
        <v>0</v>
      </c>
      <c r="P172" s="114">
        <f>'AUX MODELO SESAJAL (ROLLING)'!R16</f>
        <v>0</v>
      </c>
      <c r="Q172" s="114">
        <f>'AUX MODELO SESAJAL (ROLLING)'!S16</f>
        <v>0</v>
      </c>
      <c r="R172" s="114">
        <f>'AUX MODELO SESAJAL (ROLLING)'!T16</f>
        <v>0</v>
      </c>
      <c r="S172" s="114">
        <f>'AUX MODELO SESAJAL (ROLLING)'!U16</f>
        <v>0</v>
      </c>
      <c r="T172" s="114">
        <f>'AUX MODELO SESAJAL (ROLLING)'!V16</f>
        <v>0</v>
      </c>
      <c r="U172" s="125"/>
      <c r="V172" s="125"/>
      <c r="W172" s="95">
        <f>SUM(B172,C172,D172,E172,F172:M172)</f>
        <v>0</v>
      </c>
    </row>
    <row r="173" spans="1:23" x14ac:dyDescent="0.3">
      <c r="A173" s="70" t="s">
        <v>1589</v>
      </c>
      <c r="B173" s="89">
        <f>'AUX MODELO SESAJAL (ROLLING)'!D17</f>
        <v>-2561754.7699999847</v>
      </c>
      <c r="C173" s="89">
        <f>'AUX MODELO SESAJAL (ROLLING)'!E17</f>
        <v>-1205891.519999997</v>
      </c>
      <c r="D173" s="89">
        <f>'AUX MODELO SESAJAL (ROLLING)'!F17</f>
        <v>-4370759.5599999968</v>
      </c>
      <c r="E173" s="89">
        <f>'AUX MODELO SESAJAL (ROLLING)'!G17</f>
        <v>-248827.42999998736</v>
      </c>
      <c r="F173" s="89">
        <f>'AUX MODELO SESAJAL (ROLLING)'!H17</f>
        <v>208503.96000001533</v>
      </c>
      <c r="G173" s="89">
        <f>'AUX MODELO SESAJAL (ROLLING)'!I17</f>
        <v>-130573.60000000172</v>
      </c>
      <c r="H173" s="89">
        <f>'AUX MODELO SESAJAL (ROLLING)'!J17</f>
        <v>1993332.2600000277</v>
      </c>
      <c r="I173" s="89">
        <f ca="1">'AUX MODELO SESAJAL (ROLLING)'!K17</f>
        <v>3205927.8814588403</v>
      </c>
      <c r="J173" s="89">
        <f ca="1">'AUX MODELO SESAJAL (ROLLING)'!L17</f>
        <v>2381199.8418464754</v>
      </c>
      <c r="K173" s="89">
        <f ca="1">'AUX MODELO SESAJAL (ROLLING)'!M17</f>
        <v>2213528.5159524693</v>
      </c>
      <c r="L173" s="89">
        <f ca="1">'AUX MODELO SESAJAL (ROLLING)'!N17</f>
        <v>1203780.2910214905</v>
      </c>
      <c r="M173" s="89">
        <f ca="1">'AUX MODELO SESAJAL (ROLLING)'!O17</f>
        <v>1778792.0079137564</v>
      </c>
      <c r="N173" s="89">
        <f t="shared" ca="1" si="78"/>
        <v>4467257.8781931084</v>
      </c>
      <c r="O173" s="89">
        <f>'AUX MODELO SESAJAL (ROLLING)'!Q17</f>
        <v>2468514.5420390223</v>
      </c>
      <c r="P173" s="89">
        <f>'AUX MODELO SESAJAL (ROLLING)'!R17</f>
        <v>1233903.1736017065</v>
      </c>
      <c r="Q173" s="89">
        <f>'AUX MODELO SESAJAL (ROLLING)'!S17</f>
        <v>-504304.6503895768</v>
      </c>
      <c r="R173" s="89">
        <f>'AUX MODELO SESAJAL (ROLLING)'!T17</f>
        <v>1847884.8945175875</v>
      </c>
      <c r="S173" s="89">
        <f>'AUX MODELO SESAJAL (ROLLING)'!U17</f>
        <v>3621263.1341784783</v>
      </c>
      <c r="T173" s="89">
        <f>'AUX MODELO SESAJAL (ROLLING)'!V17</f>
        <v>2007566.9583735918</v>
      </c>
      <c r="U173" s="98"/>
      <c r="V173" s="98"/>
    </row>
    <row r="174" spans="1:23" x14ac:dyDescent="0.3">
      <c r="A174" s="71" t="s">
        <v>31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>
        <f t="shared" si="78"/>
        <v>0</v>
      </c>
      <c r="O174" s="125"/>
      <c r="P174" s="125"/>
      <c r="Q174" s="125"/>
      <c r="R174" s="125"/>
      <c r="S174" s="125"/>
      <c r="T174" s="125"/>
      <c r="U174" s="125"/>
      <c r="V174" s="125"/>
    </row>
    <row r="175" spans="1:23" ht="15.6" x14ac:dyDescent="0.3">
      <c r="A175" s="72" t="s">
        <v>1590</v>
      </c>
      <c r="B175" s="140">
        <f>'AUX MODELO SESAJAL (ROLLING)'!D19</f>
        <v>-2561754.7699999847</v>
      </c>
      <c r="C175" s="140">
        <f>'AUX MODELO SESAJAL (ROLLING)'!E19</f>
        <v>-1205891.519999997</v>
      </c>
      <c r="D175" s="140">
        <f>'AUX MODELO SESAJAL (ROLLING)'!F19</f>
        <v>-4370759.5599999968</v>
      </c>
      <c r="E175" s="140">
        <f>'AUX MODELO SESAJAL (ROLLING)'!G19</f>
        <v>-248827.42999998736</v>
      </c>
      <c r="F175" s="140">
        <f>'AUX MODELO SESAJAL (ROLLING)'!H19</f>
        <v>145952.77200001074</v>
      </c>
      <c r="G175" s="140">
        <f>'AUX MODELO SESAJAL (ROLLING)'!I19</f>
        <v>-130573.60000000172</v>
      </c>
      <c r="H175" s="140">
        <f>'AUX MODELO SESAJAL (ROLLING)'!J19</f>
        <v>1395332.5820000195</v>
      </c>
      <c r="I175" s="140">
        <f ca="1">'AUX MODELO SESAJAL (ROLLING)'!K19</f>
        <v>2244149.5170211885</v>
      </c>
      <c r="J175" s="140">
        <f ca="1">'AUX MODELO SESAJAL (ROLLING)'!L19</f>
        <v>1666839.8892925328</v>
      </c>
      <c r="K175" s="140">
        <f ca="1">'AUX MODELO SESAJAL (ROLLING)'!M19</f>
        <v>1549469.9611667285</v>
      </c>
      <c r="L175" s="140">
        <f ca="1">'AUX MODELO SESAJAL (ROLLING)'!N19</f>
        <v>842646.20371504338</v>
      </c>
      <c r="M175" s="140">
        <f ca="1">'AUX MODELO SESAJAL (ROLLING)'!O19</f>
        <v>1245154.4055396295</v>
      </c>
      <c r="N175" s="140">
        <f t="shared" ca="1" si="78"/>
        <v>571738.4507351853</v>
      </c>
      <c r="O175" s="140">
        <f>'AUX MODELO SESAJAL (ROLLING)'!Q19</f>
        <v>1727960.1794273155</v>
      </c>
      <c r="P175" s="140">
        <f>'AUX MODELO SESAJAL (ROLLING)'!R19</f>
        <v>863732.22152119456</v>
      </c>
      <c r="Q175" s="140">
        <f>'AUX MODELO SESAJAL (ROLLING)'!S19</f>
        <v>-504304.6503895768</v>
      </c>
      <c r="R175" s="140">
        <f>'AUX MODELO SESAJAL (ROLLING)'!T19</f>
        <v>1293519.4261623113</v>
      </c>
      <c r="S175" s="140">
        <f>'AUX MODELO SESAJAL (ROLLING)'!U19</f>
        <v>2534884.1939249346</v>
      </c>
      <c r="T175" s="140">
        <f>'AUX MODELO SESAJAL (ROLLING)'!V19</f>
        <v>1405296.8708615142</v>
      </c>
      <c r="U175" s="141"/>
      <c r="V175" s="141"/>
      <c r="W175" s="105"/>
    </row>
    <row r="176" spans="1:23" x14ac:dyDescent="0.3">
      <c r="A176" s="70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8"/>
      <c r="P176" s="98"/>
      <c r="Q176" s="98"/>
      <c r="R176" s="98"/>
      <c r="S176" s="98"/>
      <c r="T176" s="98"/>
      <c r="U176" s="87"/>
      <c r="V176" s="87"/>
    </row>
    <row r="177" spans="1:23" x14ac:dyDescent="0.3">
      <c r="A177" s="70" t="s">
        <v>1435</v>
      </c>
      <c r="B177" s="89">
        <f t="shared" ref="B177:T177" si="79">+B162+B163+B165+B166+B167+B169+B171</f>
        <v>13144415.169999983</v>
      </c>
      <c r="C177" s="89">
        <f t="shared" si="79"/>
        <v>11217546.04999999</v>
      </c>
      <c r="D177" s="89">
        <f t="shared" si="79"/>
        <v>11863324.879999986</v>
      </c>
      <c r="E177" s="89">
        <f t="shared" si="79"/>
        <v>11000127.399999987</v>
      </c>
      <c r="F177" s="89">
        <f t="shared" si="79"/>
        <v>11550905.359999971</v>
      </c>
      <c r="G177" s="89">
        <f t="shared" si="79"/>
        <v>10177259.709999993</v>
      </c>
      <c r="H177" s="89">
        <f t="shared" si="79"/>
        <v>11084740.789999984</v>
      </c>
      <c r="I177" s="89">
        <f t="shared" ca="1" si="79"/>
        <v>10014150.799989076</v>
      </c>
      <c r="J177" s="89">
        <f t="shared" ca="1" si="79"/>
        <v>9559916.3030046709</v>
      </c>
      <c r="K177" s="89">
        <f t="shared" ca="1" si="79"/>
        <v>9839619.7128062863</v>
      </c>
      <c r="L177" s="89">
        <f t="shared" ca="1" si="79"/>
        <v>9613027.254765382</v>
      </c>
      <c r="M177" s="89">
        <f t="shared" ca="1" si="79"/>
        <v>9765412.817271119</v>
      </c>
      <c r="N177" s="89">
        <f ca="1">SUM(B177,C177,D177,E177,F177,G177,H177,I177,J177,K177,L177,M177)</f>
        <v>128830446.24783641</v>
      </c>
      <c r="O177" s="89">
        <f t="shared" si="79"/>
        <v>10357033.665623479</v>
      </c>
      <c r="P177" s="89">
        <f t="shared" si="79"/>
        <v>10073268.533703286</v>
      </c>
      <c r="Q177" s="89">
        <f t="shared" si="79"/>
        <v>9754012.4551945683</v>
      </c>
      <c r="R177" s="89">
        <f t="shared" si="79"/>
        <v>9675791.682777416</v>
      </c>
      <c r="S177" s="89">
        <f t="shared" si="79"/>
        <v>10530983.56557901</v>
      </c>
      <c r="T177" s="89">
        <f t="shared" si="79"/>
        <v>10188494.285433901</v>
      </c>
      <c r="U177" s="98"/>
      <c r="V177" s="98"/>
    </row>
    <row r="178" spans="1:23" x14ac:dyDescent="0.3">
      <c r="B178" s="142">
        <f t="shared" ref="B178:M178" si="80">+B177*B2</f>
        <v>249968657.72940665</v>
      </c>
      <c r="C178" s="142">
        <f t="shared" si="80"/>
        <v>208895386.05230981</v>
      </c>
      <c r="D178" s="142">
        <f t="shared" si="80"/>
        <v>218151122.22085574</v>
      </c>
      <c r="E178" s="142">
        <f t="shared" si="80"/>
        <v>198969204.39845979</v>
      </c>
      <c r="F178" s="142">
        <f t="shared" si="80"/>
        <v>205015864.14410347</v>
      </c>
      <c r="G178" s="142">
        <f t="shared" si="80"/>
        <v>175749062.48004788</v>
      </c>
      <c r="H178" s="142">
        <f t="shared" si="80"/>
        <v>0</v>
      </c>
      <c r="I178" s="142">
        <f t="shared" ca="1" si="80"/>
        <v>0</v>
      </c>
      <c r="J178" s="142">
        <f t="shared" ca="1" si="80"/>
        <v>0</v>
      </c>
      <c r="K178" s="142">
        <f t="shared" ca="1" si="80"/>
        <v>0</v>
      </c>
      <c r="L178" s="142">
        <f t="shared" ca="1" si="80"/>
        <v>0</v>
      </c>
      <c r="M178" s="142">
        <f t="shared" ca="1" si="80"/>
        <v>0</v>
      </c>
      <c r="N178" s="142">
        <f ca="1">SUM(B178,C178,D178,E178,F178,G178,H178,I178,J178,K178,L178,M178)</f>
        <v>1256749297.0251834</v>
      </c>
      <c r="O178" s="143"/>
      <c r="P178" s="143"/>
      <c r="Q178" s="143"/>
      <c r="R178" s="143"/>
      <c r="S178" s="143"/>
      <c r="T178" s="143"/>
      <c r="U178" s="143"/>
      <c r="V178" s="143"/>
      <c r="W178" s="95">
        <f ca="1">SUM(B178,C178,D178,E178,F178:M178)</f>
        <v>1256749297.0251834</v>
      </c>
    </row>
    <row r="179" spans="1:23" ht="18" x14ac:dyDescent="0.35">
      <c r="A179" s="81" t="s">
        <v>1676</v>
      </c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25"/>
      <c r="P179" s="125"/>
      <c r="Q179" s="125"/>
      <c r="R179" s="125"/>
      <c r="S179" s="125"/>
      <c r="T179" s="125"/>
      <c r="U179" s="125"/>
      <c r="V179" s="125"/>
    </row>
    <row r="180" spans="1:23" x14ac:dyDescent="0.3">
      <c r="A180" s="70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8"/>
      <c r="P180" s="98"/>
      <c r="Q180" s="98"/>
      <c r="R180" s="98"/>
      <c r="S180" s="98"/>
      <c r="T180" s="98"/>
      <c r="U180" s="87"/>
      <c r="V180" s="87"/>
    </row>
    <row r="181" spans="1:23" x14ac:dyDescent="0.3">
      <c r="A181" s="70" t="s">
        <v>1576</v>
      </c>
      <c r="B181" s="144">
        <f t="shared" ref="B181:M181" si="81">+B160/B$160</f>
        <v>1</v>
      </c>
      <c r="C181" s="144">
        <f t="shared" si="81"/>
        <v>1</v>
      </c>
      <c r="D181" s="144">
        <f t="shared" si="81"/>
        <v>1</v>
      </c>
      <c r="E181" s="144">
        <f t="shared" si="81"/>
        <v>1</v>
      </c>
      <c r="F181" s="144">
        <f t="shared" si="81"/>
        <v>1</v>
      </c>
      <c r="G181" s="144">
        <f t="shared" si="81"/>
        <v>1</v>
      </c>
      <c r="H181" s="144">
        <f t="shared" si="81"/>
        <v>1</v>
      </c>
      <c r="I181" s="144">
        <f t="shared" ca="1" si="81"/>
        <v>1</v>
      </c>
      <c r="J181" s="144">
        <f t="shared" ca="1" si="81"/>
        <v>1</v>
      </c>
      <c r="K181" s="144">
        <f t="shared" ca="1" si="81"/>
        <v>1</v>
      </c>
      <c r="L181" s="144">
        <f t="shared" ca="1" si="81"/>
        <v>1</v>
      </c>
      <c r="M181" s="144">
        <f t="shared" si="81"/>
        <v>1</v>
      </c>
      <c r="N181" s="144">
        <f t="shared" ref="N181:N193" ca="1" si="82">AVERAGE(B181:M181)</f>
        <v>1</v>
      </c>
      <c r="O181" s="250"/>
      <c r="P181" s="250"/>
      <c r="Q181" s="250"/>
      <c r="R181" s="250"/>
      <c r="S181" s="250"/>
      <c r="T181" s="250"/>
      <c r="U181" s="145"/>
      <c r="V181" s="145"/>
    </row>
    <row r="182" spans="1:23" x14ac:dyDescent="0.3">
      <c r="A182" s="71" t="s">
        <v>1577</v>
      </c>
      <c r="B182" s="146">
        <f>B161/B$160</f>
        <v>0.39884807084754714</v>
      </c>
      <c r="C182" s="146">
        <f t="shared" ref="C182:M182" si="83">C161/C$160</f>
        <v>0.3753183603570473</v>
      </c>
      <c r="D182" s="146">
        <f t="shared" si="83"/>
        <v>0.4003010980096226</v>
      </c>
      <c r="E182" s="146">
        <f t="shared" si="83"/>
        <v>0.39124514474685979</v>
      </c>
      <c r="F182" s="146">
        <f t="shared" si="83"/>
        <v>0.43388947770844172</v>
      </c>
      <c r="G182" s="146">
        <f t="shared" si="83"/>
        <v>0.41957584315053292</v>
      </c>
      <c r="H182" s="146">
        <f t="shared" si="83"/>
        <v>0.43722989022527137</v>
      </c>
      <c r="I182" s="146">
        <f t="shared" ca="1" si="83"/>
        <v>0.47039646139610508</v>
      </c>
      <c r="J182" s="146">
        <f t="shared" ca="1" si="83"/>
        <v>0.46764595260573572</v>
      </c>
      <c r="K182" s="146">
        <f t="shared" ca="1" si="83"/>
        <v>0.45638686113126548</v>
      </c>
      <c r="L182" s="146">
        <f t="shared" ca="1" si="83"/>
        <v>0.45481256311435075</v>
      </c>
      <c r="M182" s="146">
        <f t="shared" si="83"/>
        <v>0.45945455878654939</v>
      </c>
      <c r="N182" s="146">
        <f t="shared" ca="1" si="82"/>
        <v>0.4304253568399441</v>
      </c>
      <c r="O182" s="147"/>
      <c r="P182" s="147"/>
      <c r="Q182" s="147"/>
      <c r="R182" s="147"/>
      <c r="S182" s="147"/>
      <c r="T182" s="147"/>
      <c r="U182" s="147"/>
      <c r="V182" s="147"/>
    </row>
    <row r="183" spans="1:23" x14ac:dyDescent="0.3">
      <c r="A183" s="70" t="s">
        <v>1692</v>
      </c>
      <c r="B183" s="144">
        <f>B181-B182</f>
        <v>0.60115192915245286</v>
      </c>
      <c r="C183" s="144">
        <f t="shared" ref="C183:M183" si="84">C181-C182</f>
        <v>0.62468163964295265</v>
      </c>
      <c r="D183" s="144">
        <f t="shared" si="84"/>
        <v>0.59969890199037734</v>
      </c>
      <c r="E183" s="144">
        <f t="shared" si="84"/>
        <v>0.60875485525314021</v>
      </c>
      <c r="F183" s="144">
        <f t="shared" si="84"/>
        <v>0.56611052229155834</v>
      </c>
      <c r="G183" s="144">
        <f t="shared" si="84"/>
        <v>0.58042415684946702</v>
      </c>
      <c r="H183" s="144">
        <f t="shared" si="84"/>
        <v>0.56277010977472863</v>
      </c>
      <c r="I183" s="144">
        <f t="shared" ca="1" si="84"/>
        <v>0.52960353860389486</v>
      </c>
      <c r="J183" s="144">
        <f t="shared" ca="1" si="84"/>
        <v>0.53235404739426428</v>
      </c>
      <c r="K183" s="144">
        <f t="shared" ca="1" si="84"/>
        <v>0.54361313886873452</v>
      </c>
      <c r="L183" s="144">
        <f t="shared" ca="1" si="84"/>
        <v>0.5451874368856493</v>
      </c>
      <c r="M183" s="144">
        <f t="shared" si="84"/>
        <v>0.54054544121345061</v>
      </c>
      <c r="N183" s="144">
        <f t="shared" ca="1" si="82"/>
        <v>0.5695746431600559</v>
      </c>
      <c r="O183" s="250"/>
      <c r="P183" s="250"/>
      <c r="Q183" s="250"/>
      <c r="R183" s="250"/>
      <c r="S183" s="250"/>
      <c r="T183" s="250"/>
      <c r="U183" s="147"/>
      <c r="V183" s="147"/>
    </row>
    <row r="184" spans="1:23" x14ac:dyDescent="0.3">
      <c r="A184" s="71" t="s">
        <v>1578</v>
      </c>
      <c r="B184" s="146">
        <f t="shared" ref="B184:M184" si="85">B162/B$160</f>
        <v>0.18421484066861718</v>
      </c>
      <c r="C184" s="146">
        <f t="shared" si="85"/>
        <v>0.14385021387408364</v>
      </c>
      <c r="D184" s="146">
        <f t="shared" si="85"/>
        <v>0.14305448029454904</v>
      </c>
      <c r="E184" s="146">
        <f t="shared" si="85"/>
        <v>0.11744428555574457</v>
      </c>
      <c r="F184" s="146">
        <f t="shared" si="85"/>
        <v>0.10021128744005847</v>
      </c>
      <c r="G184" s="146">
        <f t="shared" si="85"/>
        <v>0.11831342519013906</v>
      </c>
      <c r="H184" s="146">
        <f t="shared" si="85"/>
        <v>8.3492486661451024E-2</v>
      </c>
      <c r="I184" s="146">
        <f t="shared" ca="1" si="85"/>
        <v>7.1911114344228616E-2</v>
      </c>
      <c r="J184" s="146">
        <f t="shared" ca="1" si="85"/>
        <v>6.188754538607124E-2</v>
      </c>
      <c r="K184" s="146">
        <f t="shared" ca="1" si="85"/>
        <v>6.2609043277850385E-2</v>
      </c>
      <c r="L184" s="146">
        <f t="shared" ca="1" si="85"/>
        <v>6.9967177852630569E-2</v>
      </c>
      <c r="M184" s="146">
        <f t="shared" si="85"/>
        <v>6.5000366496247089E-2</v>
      </c>
      <c r="N184" s="146">
        <f t="shared" ca="1" si="82"/>
        <v>0.10182968892013923</v>
      </c>
      <c r="O184" s="147"/>
      <c r="P184" s="147"/>
      <c r="Q184" s="147"/>
      <c r="R184" s="147"/>
      <c r="S184" s="147"/>
      <c r="T184" s="147"/>
      <c r="U184" s="147"/>
      <c r="V184" s="147"/>
    </row>
    <row r="185" spans="1:23" x14ac:dyDescent="0.3">
      <c r="A185" s="71" t="s">
        <v>1579</v>
      </c>
      <c r="B185" s="146">
        <f t="shared" ref="B185:M187" si="86">B163/B$160</f>
        <v>0.12596414936247152</v>
      </c>
      <c r="C185" s="146">
        <f t="shared" si="86"/>
        <v>0.14133941367959965</v>
      </c>
      <c r="D185" s="146">
        <f t="shared" si="86"/>
        <v>0.18571361074374823</v>
      </c>
      <c r="E185" s="146">
        <f t="shared" si="86"/>
        <v>0.14463621265648699</v>
      </c>
      <c r="F185" s="146">
        <f t="shared" si="86"/>
        <v>0.11584759775520051</v>
      </c>
      <c r="G185" s="146">
        <f t="shared" si="86"/>
        <v>0.16886568916583675</v>
      </c>
      <c r="H185" s="146">
        <f t="shared" si="86"/>
        <v>0.10957995431226421</v>
      </c>
      <c r="I185" s="146">
        <f t="shared" ca="1" si="86"/>
        <v>0.11123308826698478</v>
      </c>
      <c r="J185" s="146">
        <f t="shared" ca="1" si="86"/>
        <v>0.12157278123750646</v>
      </c>
      <c r="K185" s="146">
        <f t="shared" ca="1" si="86"/>
        <v>0.12426672093117808</v>
      </c>
      <c r="L185" s="146">
        <f t="shared" ca="1" si="86"/>
        <v>0.13494913847940118</v>
      </c>
      <c r="M185" s="146">
        <f t="shared" si="86"/>
        <v>0.1271172475968165</v>
      </c>
      <c r="N185" s="146">
        <f t="shared" ca="1" si="82"/>
        <v>0.13425713368229125</v>
      </c>
      <c r="O185" s="147"/>
      <c r="P185" s="147"/>
      <c r="Q185" s="147"/>
      <c r="R185" s="147"/>
      <c r="S185" s="147"/>
      <c r="T185" s="147"/>
      <c r="U185" s="147"/>
      <c r="V185" s="147"/>
    </row>
    <row r="186" spans="1:23" x14ac:dyDescent="0.3">
      <c r="A186" s="70" t="s">
        <v>1580</v>
      </c>
      <c r="B186" s="144">
        <f t="shared" ref="B186:M186" si="87">+B181-B182-B184-B185</f>
        <v>0.29097293912136418</v>
      </c>
      <c r="C186" s="144">
        <f t="shared" si="87"/>
        <v>0.33949201208926938</v>
      </c>
      <c r="D186" s="144">
        <f t="shared" si="87"/>
        <v>0.27093081095208005</v>
      </c>
      <c r="E186" s="144">
        <f t="shared" si="87"/>
        <v>0.34667435704090865</v>
      </c>
      <c r="F186" s="144">
        <f t="shared" si="87"/>
        <v>0.35005163709629938</v>
      </c>
      <c r="G186" s="144">
        <f t="shared" si="87"/>
        <v>0.29324504249349126</v>
      </c>
      <c r="H186" s="144">
        <f t="shared" si="87"/>
        <v>0.3696976688010134</v>
      </c>
      <c r="I186" s="144">
        <f t="shared" ca="1" si="87"/>
        <v>0.34645933599268153</v>
      </c>
      <c r="J186" s="144">
        <f t="shared" ca="1" si="87"/>
        <v>0.34889372077068659</v>
      </c>
      <c r="K186" s="144">
        <f t="shared" ca="1" si="87"/>
        <v>0.35673737465970606</v>
      </c>
      <c r="L186" s="144">
        <f t="shared" ca="1" si="87"/>
        <v>0.34027112055361752</v>
      </c>
      <c r="M186" s="144">
        <f t="shared" si="87"/>
        <v>0.348427827120387</v>
      </c>
      <c r="N186" s="144">
        <f t="shared" ca="1" si="82"/>
        <v>0.33348782055762549</v>
      </c>
      <c r="O186" s="250"/>
      <c r="P186" s="250"/>
      <c r="Q186" s="250"/>
      <c r="R186" s="250"/>
      <c r="S186" s="250"/>
      <c r="T186" s="250"/>
      <c r="U186" s="145"/>
      <c r="V186" s="145"/>
    </row>
    <row r="187" spans="1:23" x14ac:dyDescent="0.3">
      <c r="A187" s="71" t="s">
        <v>1581</v>
      </c>
      <c r="B187" s="146">
        <f t="shared" si="86"/>
        <v>2.8082731673444834E-2</v>
      </c>
      <c r="C187" s="146">
        <f t="shared" si="86"/>
        <v>2.4719270211045051E-2</v>
      </c>
      <c r="D187" s="146">
        <f t="shared" si="86"/>
        <v>2.7471681858424853E-2</v>
      </c>
      <c r="E187" s="146">
        <f t="shared" si="86"/>
        <v>3.1030126851989904E-2</v>
      </c>
      <c r="F187" s="146">
        <f t="shared" si="86"/>
        <v>2.503306596928383E-2</v>
      </c>
      <c r="G187" s="146">
        <f t="shared" si="86"/>
        <v>3.2394175183557646E-2</v>
      </c>
      <c r="H187" s="146">
        <f t="shared" si="86"/>
        <v>2.4539833104807712E-2</v>
      </c>
      <c r="I187" s="146">
        <f t="shared" ca="1" si="86"/>
        <v>3.0612244897959179E-2</v>
      </c>
      <c r="J187" s="146">
        <f t="shared" ca="1" si="86"/>
        <v>3.0612244897959186E-2</v>
      </c>
      <c r="K187" s="146">
        <f t="shared" ca="1" si="86"/>
        <v>3.0612244897959179E-2</v>
      </c>
      <c r="L187" s="146">
        <f t="shared" ca="1" si="86"/>
        <v>3.0612244897959183E-2</v>
      </c>
      <c r="M187" s="146">
        <f t="shared" si="86"/>
        <v>3.0612244897959183E-2</v>
      </c>
      <c r="N187" s="146">
        <f t="shared" ca="1" si="82"/>
        <v>2.8861009111862471E-2</v>
      </c>
      <c r="O187" s="147"/>
      <c r="P187" s="147"/>
      <c r="Q187" s="147"/>
      <c r="R187" s="147"/>
      <c r="S187" s="147"/>
      <c r="T187" s="147"/>
      <c r="U187" s="147"/>
      <c r="V187" s="147"/>
    </row>
    <row r="188" spans="1:23" x14ac:dyDescent="0.3">
      <c r="A188" s="71" t="s">
        <v>1582</v>
      </c>
      <c r="B188" s="146">
        <f t="shared" ref="B188:M188" si="88">B166/B$160</f>
        <v>6.5950130785812883E-2</v>
      </c>
      <c r="C188" s="146">
        <f t="shared" si="88"/>
        <v>8.2037677098871262E-2</v>
      </c>
      <c r="D188" s="146">
        <f t="shared" si="88"/>
        <v>0.13048583654926763</v>
      </c>
      <c r="E188" s="146">
        <f t="shared" si="88"/>
        <v>0.10115443643817856</v>
      </c>
      <c r="F188" s="146">
        <f t="shared" si="88"/>
        <v>0.10200498174650295</v>
      </c>
      <c r="G188" s="146">
        <f t="shared" si="88"/>
        <v>0.10245609016606616</v>
      </c>
      <c r="H188" s="146">
        <f t="shared" si="88"/>
        <v>0.10395093603945536</v>
      </c>
      <c r="I188" s="146">
        <f t="shared" ca="1" si="88"/>
        <v>6.0380611214517127E-2</v>
      </c>
      <c r="J188" s="146">
        <f t="shared" ca="1" si="88"/>
        <v>6.3809338767696386E-2</v>
      </c>
      <c r="K188" s="146">
        <f t="shared" ca="1" si="88"/>
        <v>7.3243573598423442E-2</v>
      </c>
      <c r="L188" s="146">
        <f t="shared" ca="1" si="88"/>
        <v>7.8877875123336008E-2</v>
      </c>
      <c r="M188" s="146">
        <f t="shared" ca="1" si="88"/>
        <v>7.6440018692385744E-2</v>
      </c>
      <c r="N188" s="146">
        <f t="shared" ca="1" si="82"/>
        <v>8.6732625518376127E-2</v>
      </c>
      <c r="O188" s="147"/>
      <c r="P188" s="147"/>
      <c r="Q188" s="147"/>
      <c r="R188" s="147"/>
      <c r="S188" s="147"/>
      <c r="T188" s="147"/>
      <c r="U188" s="147"/>
      <c r="V188" s="147"/>
    </row>
    <row r="189" spans="1:23" x14ac:dyDescent="0.3">
      <c r="A189" s="71" t="s">
        <v>1583</v>
      </c>
      <c r="B189" s="146">
        <f t="shared" ref="B189:M193" si="89">B167/B$160</f>
        <v>0.27853450718742678</v>
      </c>
      <c r="C189" s="146">
        <f t="shared" si="89"/>
        <v>0.23459873123991434</v>
      </c>
      <c r="D189" s="146">
        <f t="shared" si="89"/>
        <v>0.38051681031732026</v>
      </c>
      <c r="E189" s="146">
        <f t="shared" si="89"/>
        <v>0.16639802750496069</v>
      </c>
      <c r="F189" s="146">
        <f t="shared" si="89"/>
        <v>0.15760716847883366</v>
      </c>
      <c r="G189" s="146">
        <f t="shared" si="89"/>
        <v>0.12059889114701103</v>
      </c>
      <c r="H189" s="146">
        <f t="shared" si="89"/>
        <v>0.11099811889138597</v>
      </c>
      <c r="I189" s="146">
        <f t="shared" ca="1" si="89"/>
        <v>7.6270657230324085E-2</v>
      </c>
      <c r="J189" s="146">
        <f t="shared" ca="1" si="89"/>
        <v>8.4302431203781017E-2</v>
      </c>
      <c r="K189" s="146">
        <f t="shared" ca="1" si="89"/>
        <v>8.5225765847870713E-2</v>
      </c>
      <c r="L189" s="146">
        <f t="shared" ca="1" si="89"/>
        <v>9.4642315287835704E-2</v>
      </c>
      <c r="M189" s="146">
        <f t="shared" si="89"/>
        <v>8.8286054170151299E-2</v>
      </c>
      <c r="N189" s="146">
        <f t="shared" ca="1" si="82"/>
        <v>0.15649828987556799</v>
      </c>
      <c r="O189" s="147"/>
      <c r="P189" s="147"/>
      <c r="Q189" s="147"/>
      <c r="R189" s="147"/>
      <c r="S189" s="147"/>
      <c r="T189" s="147"/>
      <c r="U189" s="147"/>
      <c r="V189" s="147"/>
    </row>
    <row r="190" spans="1:23" x14ac:dyDescent="0.3">
      <c r="A190" s="70" t="s">
        <v>1584</v>
      </c>
      <c r="B190" s="144">
        <f t="shared" ref="B190:M190" si="90">+B186-B187-B188-B189</f>
        <v>-8.1594430525320311E-2</v>
      </c>
      <c r="C190" s="144">
        <f t="shared" si="90"/>
        <v>-1.8636664605612696E-3</v>
      </c>
      <c r="D190" s="144">
        <f t="shared" si="90"/>
        <v>-0.26754351777293273</v>
      </c>
      <c r="E190" s="144">
        <f t="shared" si="90"/>
        <v>4.8091766245779488E-2</v>
      </c>
      <c r="F190" s="144">
        <f t="shared" si="90"/>
        <v>6.5406420901678919E-2</v>
      </c>
      <c r="G190" s="144">
        <f t="shared" si="90"/>
        <v>3.7795885996856432E-2</v>
      </c>
      <c r="H190" s="144">
        <f t="shared" si="90"/>
        <v>0.13020878076536432</v>
      </c>
      <c r="I190" s="144">
        <f t="shared" ca="1" si="90"/>
        <v>0.17919582264988113</v>
      </c>
      <c r="J190" s="144">
        <f t="shared" ca="1" si="90"/>
        <v>0.17016970590125002</v>
      </c>
      <c r="K190" s="144">
        <f t="shared" ca="1" si="90"/>
        <v>0.16765579031545275</v>
      </c>
      <c r="L190" s="144">
        <f t="shared" ca="1" si="90"/>
        <v>0.13613868524448666</v>
      </c>
      <c r="M190" s="144">
        <f t="shared" ca="1" si="90"/>
        <v>0.1530895093598908</v>
      </c>
      <c r="N190" s="144">
        <f t="shared" ca="1" si="82"/>
        <v>6.1395896051818853E-2</v>
      </c>
      <c r="O190" s="250"/>
      <c r="P190" s="250"/>
      <c r="Q190" s="250"/>
      <c r="R190" s="250"/>
      <c r="S190" s="250"/>
      <c r="T190" s="250"/>
      <c r="U190" s="145"/>
      <c r="V190" s="145"/>
    </row>
    <row r="191" spans="1:23" x14ac:dyDescent="0.3">
      <c r="A191" s="71" t="s">
        <v>1585</v>
      </c>
      <c r="B191" s="146">
        <f t="shared" si="89"/>
        <v>0</v>
      </c>
      <c r="C191" s="146">
        <f t="shared" si="89"/>
        <v>0</v>
      </c>
      <c r="D191" s="146">
        <f t="shared" si="89"/>
        <v>0</v>
      </c>
      <c r="E191" s="146">
        <f t="shared" si="89"/>
        <v>0</v>
      </c>
      <c r="F191" s="146">
        <f t="shared" si="89"/>
        <v>0</v>
      </c>
      <c r="G191" s="146">
        <f t="shared" si="89"/>
        <v>0</v>
      </c>
      <c r="H191" s="146">
        <f t="shared" si="89"/>
        <v>0</v>
      </c>
      <c r="I191" s="146">
        <f t="shared" ca="1" si="89"/>
        <v>0</v>
      </c>
      <c r="J191" s="146">
        <f t="shared" ca="1" si="89"/>
        <v>0</v>
      </c>
      <c r="K191" s="146">
        <f t="shared" ca="1" si="89"/>
        <v>0</v>
      </c>
      <c r="L191" s="146">
        <f t="shared" ca="1" si="89"/>
        <v>0</v>
      </c>
      <c r="M191" s="146">
        <f t="shared" si="89"/>
        <v>0</v>
      </c>
      <c r="N191" s="146">
        <f t="shared" ca="1" si="82"/>
        <v>0</v>
      </c>
      <c r="O191" s="147"/>
      <c r="P191" s="147"/>
      <c r="Q191" s="147"/>
      <c r="R191" s="147"/>
      <c r="S191" s="147"/>
      <c r="T191" s="147"/>
      <c r="U191" s="147"/>
      <c r="V191" s="147"/>
    </row>
    <row r="192" spans="1:23" x14ac:dyDescent="0.3">
      <c r="A192" s="70" t="s">
        <v>1586</v>
      </c>
      <c r="B192" s="144">
        <f t="shared" ref="B192:M192" si="91">+B170/B$160</f>
        <v>-8.1594430525320422E-2</v>
      </c>
      <c r="C192" s="144">
        <f t="shared" si="91"/>
        <v>-1.8636664605612286E-3</v>
      </c>
      <c r="D192" s="144">
        <f t="shared" si="91"/>
        <v>-0.26754351777293262</v>
      </c>
      <c r="E192" s="144">
        <f t="shared" si="91"/>
        <v>6.2732360894567393E-2</v>
      </c>
      <c r="F192" s="144">
        <f t="shared" si="91"/>
        <v>6.5406420901678877E-2</v>
      </c>
      <c r="G192" s="144">
        <f t="shared" si="91"/>
        <v>3.7795885996856446E-2</v>
      </c>
      <c r="H192" s="144">
        <f t="shared" si="91"/>
        <v>0.13020878076536435</v>
      </c>
      <c r="I192" s="144">
        <f t="shared" ca="1" si="91"/>
        <v>0.17919582264988121</v>
      </c>
      <c r="J192" s="144">
        <f t="shared" ca="1" si="91"/>
        <v>0.17016970590124997</v>
      </c>
      <c r="K192" s="144">
        <f t="shared" ca="1" si="91"/>
        <v>0.1676557903154528</v>
      </c>
      <c r="L192" s="144">
        <f t="shared" ca="1" si="91"/>
        <v>0.13613868524448658</v>
      </c>
      <c r="M192" s="144">
        <f t="shared" ca="1" si="91"/>
        <v>0.15308950935989082</v>
      </c>
      <c r="N192" s="144">
        <f t="shared" ca="1" si="82"/>
        <v>6.2615945605884529E-2</v>
      </c>
      <c r="O192" s="250"/>
      <c r="P192" s="250"/>
      <c r="Q192" s="250"/>
      <c r="R192" s="250"/>
      <c r="S192" s="250"/>
      <c r="T192" s="250"/>
      <c r="U192" s="145"/>
      <c r="V192" s="145"/>
    </row>
    <row r="193" spans="1:23" x14ac:dyDescent="0.3">
      <c r="A193" s="71" t="s">
        <v>1587</v>
      </c>
      <c r="B193" s="146">
        <f t="shared" si="89"/>
        <v>6.392699450320917E-2</v>
      </c>
      <c r="C193" s="146">
        <f t="shared" si="89"/>
        <v>7.3378471558471214E-2</v>
      </c>
      <c r="D193" s="146">
        <f t="shared" si="89"/>
        <v>8.2288562035474841E-2</v>
      </c>
      <c r="E193" s="146">
        <f t="shared" si="89"/>
        <v>7.7160187120755619E-2</v>
      </c>
      <c r="F193" s="146">
        <f t="shared" si="89"/>
        <v>5.5368817610269086E-2</v>
      </c>
      <c r="G193" s="146">
        <f t="shared" si="89"/>
        <v>4.5339475082551553E-2</v>
      </c>
      <c r="H193" s="146">
        <f t="shared" si="89"/>
        <v>4.4432549780194681E-2</v>
      </c>
      <c r="I193" s="146">
        <f t="shared" ca="1" si="89"/>
        <v>5.0764608930090202E-2</v>
      </c>
      <c r="J193" s="146">
        <f t="shared" ca="1" si="89"/>
        <v>6.4012010248306883E-2</v>
      </c>
      <c r="K193" s="146">
        <f t="shared" ca="1" si="89"/>
        <v>6.7822687652590169E-2</v>
      </c>
      <c r="L193" s="146">
        <f t="shared" ca="1" si="89"/>
        <v>7.5465895361015889E-2</v>
      </c>
      <c r="M193" s="146">
        <f t="shared" si="89"/>
        <v>6.9799414866153958E-2</v>
      </c>
      <c r="N193" s="146">
        <f t="shared" ca="1" si="82"/>
        <v>6.4146639562423599E-2</v>
      </c>
      <c r="O193" s="147"/>
      <c r="P193" s="147"/>
      <c r="Q193" s="147"/>
      <c r="R193" s="147"/>
      <c r="S193" s="147"/>
      <c r="T193" s="147"/>
      <c r="U193" s="147"/>
      <c r="V193" s="147"/>
    </row>
    <row r="194" spans="1:23" x14ac:dyDescent="0.3">
      <c r="A194" s="70"/>
      <c r="B194" s="146"/>
      <c r="C194" s="146"/>
      <c r="D194" s="146"/>
      <c r="E194" s="146"/>
      <c r="F194" s="146"/>
      <c r="G194" s="146"/>
      <c r="H194" s="146"/>
      <c r="I194" s="146"/>
      <c r="J194" s="146"/>
      <c r="K194" s="146"/>
      <c r="L194" s="146"/>
      <c r="M194" s="146"/>
      <c r="N194" s="146"/>
      <c r="O194" s="147"/>
      <c r="P194" s="147"/>
      <c r="Q194" s="147"/>
      <c r="R194" s="147"/>
      <c r="S194" s="147"/>
      <c r="T194" s="147"/>
      <c r="U194" s="87"/>
      <c r="V194" s="87"/>
    </row>
    <row r="195" spans="1:23" x14ac:dyDescent="0.3">
      <c r="A195" s="70" t="s">
        <v>1677</v>
      </c>
      <c r="B195" s="144">
        <f t="shared" ref="B195:M195" si="92">+B177/B160</f>
        <v>0.74667335418098235</v>
      </c>
      <c r="C195" s="144">
        <f t="shared" si="92"/>
        <v>0.69992377766198532</v>
      </c>
      <c r="D195" s="144">
        <f t="shared" si="92"/>
        <v>0.9495309817987847</v>
      </c>
      <c r="E195" s="144">
        <f t="shared" si="92"/>
        <v>0.6378232761281164</v>
      </c>
      <c r="F195" s="144">
        <f t="shared" si="92"/>
        <v>0.55607291900014844</v>
      </c>
      <c r="G195" s="144">
        <f t="shared" si="92"/>
        <v>0.58796774593516221</v>
      </c>
      <c r="H195" s="144">
        <f t="shared" si="92"/>
        <v>0.47699387878955896</v>
      </c>
      <c r="I195" s="144">
        <f t="shared" ca="1" si="92"/>
        <v>0.40117232488410398</v>
      </c>
      <c r="J195" s="144">
        <f t="shared" ca="1" si="92"/>
        <v>0.42619635174132114</v>
      </c>
      <c r="K195" s="144">
        <f t="shared" ca="1" si="92"/>
        <v>0.44378003620587197</v>
      </c>
      <c r="L195" s="144">
        <f t="shared" ca="1" si="92"/>
        <v>0.48451464700217856</v>
      </c>
      <c r="M195" s="144">
        <f t="shared" ca="1" si="92"/>
        <v>0.4572553467197138</v>
      </c>
      <c r="N195" s="144">
        <f ca="1">AVERAGE(B195:M195)</f>
        <v>0.57232538667066069</v>
      </c>
      <c r="O195" s="250"/>
      <c r="P195" s="250"/>
      <c r="Q195" s="250"/>
      <c r="R195" s="250"/>
      <c r="S195" s="250"/>
      <c r="T195" s="250"/>
      <c r="U195" s="145"/>
      <c r="V195" s="145"/>
    </row>
    <row r="196" spans="1:23" x14ac:dyDescent="0.3"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</row>
    <row r="197" spans="1:23" ht="18" x14ac:dyDescent="0.35">
      <c r="A197" s="81" t="s">
        <v>1678</v>
      </c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</row>
    <row r="198" spans="1:23" x14ac:dyDescent="0.3">
      <c r="A198" s="71" t="s">
        <v>1584</v>
      </c>
      <c r="B198" s="148">
        <f t="shared" ref="B198:M198" si="93">+B168</f>
        <v>-1436385.8899999945</v>
      </c>
      <c r="C198" s="148">
        <f t="shared" si="93"/>
        <v>-29868.629999997094</v>
      </c>
      <c r="D198" s="148">
        <f t="shared" si="93"/>
        <v>-3342656.2500000065</v>
      </c>
      <c r="E198" s="148">
        <f t="shared" si="93"/>
        <v>1081904.6400000127</v>
      </c>
      <c r="F198" s="148">
        <f t="shared" si="93"/>
        <v>1358640.8400000054</v>
      </c>
      <c r="G198" s="148">
        <f t="shared" si="93"/>
        <v>654217.08999999822</v>
      </c>
      <c r="H198" s="148">
        <f t="shared" si="93"/>
        <v>3025889.1100000278</v>
      </c>
      <c r="I198" s="148">
        <f t="shared" ca="1" si="93"/>
        <v>4473125.087236329</v>
      </c>
      <c r="J198" s="148">
        <f t="shared" ca="1" si="93"/>
        <v>3817039.1160698086</v>
      </c>
      <c r="K198" s="148">
        <f t="shared" ca="1" si="93"/>
        <v>3717312.8233933356</v>
      </c>
      <c r="L198" s="148">
        <f t="shared" ca="1" si="93"/>
        <v>2701063.6309562195</v>
      </c>
      <c r="M198" s="148">
        <f t="shared" ca="1" si="93"/>
        <v>3269469.1655715331</v>
      </c>
      <c r="N198" s="148">
        <f t="shared" ref="N198:N209" ca="1" si="94">SUM(B198,C198,D198,E198,F198,G198,H198,I198,J198,K198,L198,M198)</f>
        <v>19289750.733227272</v>
      </c>
      <c r="O198" s="2"/>
      <c r="P198" s="2"/>
      <c r="Q198" s="2"/>
      <c r="R198" s="2"/>
      <c r="S198" s="2"/>
      <c r="T198" s="2"/>
      <c r="U198" s="2"/>
      <c r="V198" s="2"/>
    </row>
    <row r="199" spans="1:23" x14ac:dyDescent="0.3">
      <c r="A199" s="71" t="s">
        <v>1587</v>
      </c>
      <c r="B199" s="148">
        <f t="shared" ref="B199:M199" si="95">-B171</f>
        <v>-1125368.8799999901</v>
      </c>
      <c r="C199" s="148">
        <f t="shared" si="95"/>
        <v>-1176022.8899999999</v>
      </c>
      <c r="D199" s="148">
        <f t="shared" si="95"/>
        <v>-1028103.30999999</v>
      </c>
      <c r="E199" s="148">
        <f t="shared" si="95"/>
        <v>-1330732.07</v>
      </c>
      <c r="F199" s="148">
        <f t="shared" si="95"/>
        <v>-1150136.8799999901</v>
      </c>
      <c r="G199" s="148">
        <f t="shared" si="95"/>
        <v>-784790.69</v>
      </c>
      <c r="H199" s="148">
        <f t="shared" si="95"/>
        <v>-1032556.85</v>
      </c>
      <c r="I199" s="148">
        <f t="shared" si="95"/>
        <v>-1267197.2057774886</v>
      </c>
      <c r="J199" s="148">
        <f t="shared" si="95"/>
        <v>-1435839.2742233332</v>
      </c>
      <c r="K199" s="148">
        <f t="shared" si="95"/>
        <v>-1503784.3074408663</v>
      </c>
      <c r="L199" s="148">
        <f t="shared" si="95"/>
        <v>-1497283.339934729</v>
      </c>
      <c r="M199" s="148">
        <f t="shared" si="95"/>
        <v>-1490677.1576577767</v>
      </c>
      <c r="N199" s="148">
        <f t="shared" si="94"/>
        <v>-14822492.855034163</v>
      </c>
      <c r="O199" s="2"/>
      <c r="P199" s="2"/>
      <c r="Q199" s="2"/>
      <c r="R199" s="2"/>
      <c r="S199" s="2"/>
      <c r="T199" s="2"/>
      <c r="U199" s="2"/>
      <c r="V199" s="2"/>
      <c r="W199" s="95"/>
    </row>
    <row r="200" spans="1:23" x14ac:dyDescent="0.3">
      <c r="A200" s="71" t="s">
        <v>1679</v>
      </c>
      <c r="B200" s="148">
        <f t="shared" ref="B200:M200" si="96">-B31</f>
        <v>0</v>
      </c>
      <c r="C200" s="148">
        <f t="shared" si="96"/>
        <v>0</v>
      </c>
      <c r="D200" s="148">
        <f t="shared" si="96"/>
        <v>0</v>
      </c>
      <c r="E200" s="148">
        <f t="shared" si="96"/>
        <v>0</v>
      </c>
      <c r="F200" s="148">
        <f t="shared" si="96"/>
        <v>0</v>
      </c>
      <c r="G200" s="148">
        <f t="shared" si="96"/>
        <v>0</v>
      </c>
      <c r="H200" s="148">
        <f t="shared" si="96"/>
        <v>0</v>
      </c>
      <c r="I200" s="148">
        <f t="shared" si="96"/>
        <v>0</v>
      </c>
      <c r="J200" s="148">
        <f t="shared" si="96"/>
        <v>0</v>
      </c>
      <c r="K200" s="148">
        <f t="shared" si="96"/>
        <v>0</v>
      </c>
      <c r="L200" s="148">
        <f t="shared" si="96"/>
        <v>0</v>
      </c>
      <c r="M200" s="148">
        <f t="shared" si="96"/>
        <v>0</v>
      </c>
      <c r="N200" s="148">
        <f t="shared" si="94"/>
        <v>0</v>
      </c>
      <c r="O200" s="2"/>
      <c r="P200" s="2"/>
      <c r="Q200" s="2"/>
      <c r="R200" s="2"/>
      <c r="S200" s="2"/>
      <c r="T200" s="2"/>
      <c r="U200" s="2"/>
      <c r="V200" s="2"/>
    </row>
    <row r="201" spans="1:23" x14ac:dyDescent="0.3">
      <c r="A201" s="71" t="s">
        <v>1680</v>
      </c>
      <c r="B201" s="148">
        <f t="shared" ref="B201:M201" si="97">-B30-B32</f>
        <v>0</v>
      </c>
      <c r="C201" s="148">
        <f t="shared" si="97"/>
        <v>0</v>
      </c>
      <c r="D201" s="148">
        <f t="shared" si="97"/>
        <v>0</v>
      </c>
      <c r="E201" s="148">
        <f t="shared" si="97"/>
        <v>0</v>
      </c>
      <c r="F201" s="148">
        <f t="shared" si="97"/>
        <v>0</v>
      </c>
      <c r="G201" s="148">
        <f t="shared" si="97"/>
        <v>0</v>
      </c>
      <c r="H201" s="148">
        <f t="shared" si="97"/>
        <v>0</v>
      </c>
      <c r="I201" s="148">
        <f t="shared" si="97"/>
        <v>0</v>
      </c>
      <c r="J201" s="148">
        <f t="shared" si="97"/>
        <v>0</v>
      </c>
      <c r="K201" s="148">
        <f t="shared" si="97"/>
        <v>0</v>
      </c>
      <c r="L201" s="148">
        <f t="shared" si="97"/>
        <v>0</v>
      </c>
      <c r="M201" s="148">
        <f t="shared" si="97"/>
        <v>0</v>
      </c>
      <c r="N201" s="148">
        <f t="shared" si="94"/>
        <v>0</v>
      </c>
      <c r="O201" s="2"/>
      <c r="P201" s="2"/>
      <c r="Q201" s="2"/>
      <c r="R201" s="2"/>
      <c r="S201" s="2"/>
      <c r="T201" s="2"/>
      <c r="U201" s="2"/>
      <c r="V201" s="2"/>
    </row>
    <row r="202" spans="1:23" x14ac:dyDescent="0.3">
      <c r="A202" s="71" t="s">
        <v>1681</v>
      </c>
      <c r="B202" s="148">
        <f>+B29</f>
        <v>0</v>
      </c>
      <c r="C202" s="148">
        <f>+C29</f>
        <v>0</v>
      </c>
      <c r="D202" s="148">
        <f>+D29</f>
        <v>0</v>
      </c>
      <c r="E202" s="148">
        <f>+E29</f>
        <v>0</v>
      </c>
      <c r="F202" s="148">
        <f>+F29</f>
        <v>0</v>
      </c>
      <c r="G202" s="148">
        <f t="shared" ref="G202:M202" si="98">+G29</f>
        <v>0</v>
      </c>
      <c r="H202" s="148">
        <f t="shared" si="98"/>
        <v>0</v>
      </c>
      <c r="I202" s="148">
        <f t="shared" si="98"/>
        <v>0</v>
      </c>
      <c r="J202" s="148">
        <f t="shared" si="98"/>
        <v>0</v>
      </c>
      <c r="K202" s="148">
        <f t="shared" si="98"/>
        <v>0</v>
      </c>
      <c r="L202" s="148">
        <f t="shared" si="98"/>
        <v>0</v>
      </c>
      <c r="M202" s="148">
        <f t="shared" si="98"/>
        <v>0</v>
      </c>
      <c r="N202" s="148">
        <f t="shared" si="94"/>
        <v>0</v>
      </c>
      <c r="O202" s="2"/>
      <c r="P202" s="2"/>
      <c r="Q202" s="2"/>
      <c r="R202" s="2"/>
      <c r="S202" s="2"/>
      <c r="T202" s="2"/>
      <c r="U202" s="2"/>
      <c r="V202" s="2"/>
    </row>
    <row r="203" spans="1:23" x14ac:dyDescent="0.3">
      <c r="A203" s="71" t="s">
        <v>1588</v>
      </c>
      <c r="B203" s="148">
        <f t="shared" ref="B203:M203" si="99">+B9</f>
        <v>0</v>
      </c>
      <c r="C203" s="148">
        <f t="shared" si="99"/>
        <v>0</v>
      </c>
      <c r="D203" s="148">
        <f t="shared" si="99"/>
        <v>0</v>
      </c>
      <c r="E203" s="148">
        <f t="shared" si="99"/>
        <v>0</v>
      </c>
      <c r="F203" s="148">
        <f t="shared" si="99"/>
        <v>0</v>
      </c>
      <c r="G203" s="148">
        <f t="shared" si="99"/>
        <v>0</v>
      </c>
      <c r="H203" s="148">
        <f t="shared" si="99"/>
        <v>0</v>
      </c>
      <c r="I203" s="148">
        <f t="shared" si="99"/>
        <v>0</v>
      </c>
      <c r="J203" s="148">
        <f t="shared" si="99"/>
        <v>0</v>
      </c>
      <c r="K203" s="148">
        <f t="shared" si="99"/>
        <v>0</v>
      </c>
      <c r="L203" s="148">
        <f t="shared" si="99"/>
        <v>0</v>
      </c>
      <c r="M203" s="148">
        <f t="shared" si="99"/>
        <v>0</v>
      </c>
      <c r="N203" s="148">
        <f t="shared" si="94"/>
        <v>0</v>
      </c>
      <c r="O203" s="2"/>
      <c r="P203" s="2"/>
      <c r="Q203" s="2"/>
      <c r="R203" s="2"/>
      <c r="S203" s="2"/>
      <c r="T203" s="2"/>
      <c r="U203" s="2"/>
      <c r="V203" s="2"/>
    </row>
    <row r="204" spans="1:23" x14ac:dyDescent="0.3">
      <c r="A204" s="71" t="s">
        <v>1682</v>
      </c>
      <c r="B204" s="148">
        <f t="shared" ref="B204:M204" si="100">-B148</f>
        <v>0</v>
      </c>
      <c r="C204" s="148">
        <f t="shared" si="100"/>
        <v>0</v>
      </c>
      <c r="D204" s="148">
        <f t="shared" si="100"/>
        <v>0</v>
      </c>
      <c r="E204" s="148">
        <f t="shared" si="100"/>
        <v>0</v>
      </c>
      <c r="F204" s="148">
        <f t="shared" si="100"/>
        <v>0</v>
      </c>
      <c r="G204" s="148">
        <f t="shared" si="100"/>
        <v>0</v>
      </c>
      <c r="H204" s="148">
        <f t="shared" si="100"/>
        <v>0</v>
      </c>
      <c r="I204" s="148">
        <f t="shared" si="100"/>
        <v>0</v>
      </c>
      <c r="J204" s="148">
        <f t="shared" si="100"/>
        <v>0</v>
      </c>
      <c r="K204" s="148">
        <f t="shared" si="100"/>
        <v>0</v>
      </c>
      <c r="L204" s="148">
        <f t="shared" si="100"/>
        <v>0</v>
      </c>
      <c r="M204" s="148">
        <f t="shared" si="100"/>
        <v>0</v>
      </c>
      <c r="N204" s="148">
        <f t="shared" si="94"/>
        <v>0</v>
      </c>
      <c r="O204" s="2"/>
      <c r="P204" s="2"/>
      <c r="Q204" s="2"/>
      <c r="R204" s="2"/>
      <c r="S204" s="2"/>
      <c r="T204" s="2"/>
      <c r="U204" s="2"/>
      <c r="V204" s="2"/>
    </row>
    <row r="205" spans="1:23" x14ac:dyDescent="0.3">
      <c r="A205" s="71" t="s">
        <v>1623</v>
      </c>
      <c r="B205" s="148">
        <f t="shared" ref="B205:M205" si="101">-B37</f>
        <v>0</v>
      </c>
      <c r="C205" s="148">
        <f t="shared" si="101"/>
        <v>0</v>
      </c>
      <c r="D205" s="148">
        <f t="shared" si="101"/>
        <v>0</v>
      </c>
      <c r="E205" s="148">
        <f t="shared" si="101"/>
        <v>-200000</v>
      </c>
      <c r="F205" s="148">
        <f t="shared" si="101"/>
        <v>-200000</v>
      </c>
      <c r="G205" s="148">
        <f t="shared" si="101"/>
        <v>-200000</v>
      </c>
      <c r="H205" s="148">
        <f t="shared" si="101"/>
        <v>-200000</v>
      </c>
      <c r="I205" s="148">
        <f t="shared" si="101"/>
        <v>-200000</v>
      </c>
      <c r="J205" s="148">
        <f t="shared" si="101"/>
        <v>-200000</v>
      </c>
      <c r="K205" s="148">
        <f t="shared" si="101"/>
        <v>-200000</v>
      </c>
      <c r="L205" s="148">
        <f t="shared" si="101"/>
        <v>-200000</v>
      </c>
      <c r="M205" s="148">
        <f t="shared" si="101"/>
        <v>-200000</v>
      </c>
      <c r="N205" s="148">
        <f t="shared" si="94"/>
        <v>-1800000</v>
      </c>
      <c r="O205" s="2"/>
      <c r="P205" s="2"/>
      <c r="Q205" s="2"/>
      <c r="R205" s="2"/>
      <c r="S205" s="2"/>
      <c r="T205" s="2"/>
      <c r="U205" s="2"/>
      <c r="V205" s="2"/>
    </row>
    <row r="206" spans="1:23" x14ac:dyDescent="0.3">
      <c r="A206" s="71" t="str">
        <f>+A38</f>
        <v>Otras Deudas Pre-Operación</v>
      </c>
      <c r="B206" s="148">
        <f t="shared" ref="B206:M206" si="102">-B38</f>
        <v>0</v>
      </c>
      <c r="C206" s="148">
        <f t="shared" si="102"/>
        <v>0</v>
      </c>
      <c r="D206" s="148">
        <f t="shared" si="102"/>
        <v>0</v>
      </c>
      <c r="E206" s="148">
        <f t="shared" si="102"/>
        <v>0</v>
      </c>
      <c r="F206" s="148">
        <f t="shared" si="102"/>
        <v>0</v>
      </c>
      <c r="G206" s="148">
        <f t="shared" si="102"/>
        <v>0</v>
      </c>
      <c r="H206" s="148">
        <f t="shared" si="102"/>
        <v>0</v>
      </c>
      <c r="I206" s="148">
        <f t="shared" si="102"/>
        <v>0</v>
      </c>
      <c r="J206" s="148">
        <f t="shared" si="102"/>
        <v>0</v>
      </c>
      <c r="K206" s="148">
        <f t="shared" si="102"/>
        <v>0</v>
      </c>
      <c r="L206" s="148">
        <f t="shared" si="102"/>
        <v>0</v>
      </c>
      <c r="M206" s="148">
        <f t="shared" si="102"/>
        <v>0</v>
      </c>
      <c r="N206" s="148">
        <f t="shared" si="94"/>
        <v>0</v>
      </c>
      <c r="O206" s="2"/>
      <c r="P206" s="2"/>
      <c r="Q206" s="2"/>
      <c r="R206" s="2"/>
      <c r="S206" s="2"/>
      <c r="T206" s="2"/>
      <c r="U206" s="2"/>
      <c r="V206" s="2"/>
    </row>
    <row r="207" spans="1:23" x14ac:dyDescent="0.3">
      <c r="A207" s="71" t="s">
        <v>1683</v>
      </c>
      <c r="B207" s="148">
        <f>+B92</f>
        <v>0</v>
      </c>
      <c r="C207" s="148">
        <f>+C92</f>
        <v>0</v>
      </c>
      <c r="D207" s="148">
        <f>+D92</f>
        <v>0</v>
      </c>
      <c r="E207" s="148">
        <f>+E92</f>
        <v>0</v>
      </c>
      <c r="F207" s="148">
        <f>+F92</f>
        <v>0</v>
      </c>
      <c r="G207" s="148">
        <f t="shared" ref="G207:M207" si="103">+G92</f>
        <v>0</v>
      </c>
      <c r="H207" s="148">
        <f t="shared" si="103"/>
        <v>0</v>
      </c>
      <c r="I207" s="148">
        <f t="shared" si="103"/>
        <v>0</v>
      </c>
      <c r="J207" s="148">
        <f t="shared" si="103"/>
        <v>0</v>
      </c>
      <c r="K207" s="148">
        <f t="shared" si="103"/>
        <v>0</v>
      </c>
      <c r="L207" s="148">
        <f t="shared" si="103"/>
        <v>0</v>
      </c>
      <c r="M207" s="148">
        <f t="shared" si="103"/>
        <v>0</v>
      </c>
      <c r="N207" s="148">
        <f t="shared" si="94"/>
        <v>0</v>
      </c>
      <c r="O207" s="2"/>
      <c r="P207" s="2"/>
      <c r="Q207" s="2"/>
      <c r="R207" s="2"/>
      <c r="S207" s="2"/>
      <c r="T207" s="2"/>
      <c r="U207" s="2"/>
      <c r="V207" s="2"/>
    </row>
    <row r="208" spans="1:23" x14ac:dyDescent="0.3">
      <c r="A208" s="71" t="s">
        <v>1684</v>
      </c>
      <c r="B208" s="148">
        <f t="shared" ref="B208:M208" si="104">-B93</f>
        <v>0</v>
      </c>
      <c r="C208" s="148">
        <f t="shared" si="104"/>
        <v>0</v>
      </c>
      <c r="D208" s="148">
        <f t="shared" si="104"/>
        <v>0</v>
      </c>
      <c r="E208" s="148">
        <f t="shared" si="104"/>
        <v>0</v>
      </c>
      <c r="F208" s="148">
        <f t="shared" si="104"/>
        <v>0</v>
      </c>
      <c r="G208" s="148">
        <f t="shared" si="104"/>
        <v>0</v>
      </c>
      <c r="H208" s="148">
        <f t="shared" si="104"/>
        <v>0</v>
      </c>
      <c r="I208" s="148">
        <f t="shared" si="104"/>
        <v>0</v>
      </c>
      <c r="J208" s="148">
        <f t="shared" si="104"/>
        <v>0</v>
      </c>
      <c r="K208" s="148">
        <f t="shared" si="104"/>
        <v>0</v>
      </c>
      <c r="L208" s="148">
        <f t="shared" si="104"/>
        <v>0</v>
      </c>
      <c r="M208" s="148">
        <f t="shared" si="104"/>
        <v>0</v>
      </c>
      <c r="N208" s="148">
        <f t="shared" si="94"/>
        <v>0</v>
      </c>
      <c r="O208" s="2"/>
      <c r="P208" s="2"/>
      <c r="Q208" s="2"/>
      <c r="R208" s="2"/>
      <c r="S208" s="2"/>
      <c r="T208" s="2"/>
      <c r="U208" s="2"/>
      <c r="V208" s="2"/>
    </row>
    <row r="209" spans="1:22" x14ac:dyDescent="0.3">
      <c r="A209" s="71" t="s">
        <v>1685</v>
      </c>
      <c r="B209" s="148">
        <f t="shared" ref="B209:M209" si="105">+B55</f>
        <v>0</v>
      </c>
      <c r="C209" s="148">
        <f t="shared" si="105"/>
        <v>0</v>
      </c>
      <c r="D209" s="148">
        <f t="shared" si="105"/>
        <v>0</v>
      </c>
      <c r="E209" s="148">
        <f t="shared" si="105"/>
        <v>0</v>
      </c>
      <c r="F209" s="148">
        <f t="shared" si="105"/>
        <v>0</v>
      </c>
      <c r="G209" s="148">
        <f t="shared" si="105"/>
        <v>-1500000</v>
      </c>
      <c r="H209" s="148">
        <f t="shared" si="105"/>
        <v>-1500000</v>
      </c>
      <c r="I209" s="148">
        <f t="shared" si="105"/>
        <v>-1500000</v>
      </c>
      <c r="J209" s="148">
        <f t="shared" si="105"/>
        <v>-1500000</v>
      </c>
      <c r="K209" s="148">
        <f t="shared" si="105"/>
        <v>-1500000</v>
      </c>
      <c r="L209" s="148">
        <f t="shared" si="105"/>
        <v>-1500000</v>
      </c>
      <c r="M209" s="148">
        <f t="shared" si="105"/>
        <v>-1500000</v>
      </c>
      <c r="N209" s="148">
        <f t="shared" si="94"/>
        <v>-10500000</v>
      </c>
      <c r="O209" s="2"/>
      <c r="P209" s="2"/>
      <c r="Q209" s="2"/>
      <c r="R209" s="2"/>
      <c r="S209" s="2"/>
      <c r="T209" s="2"/>
      <c r="U209" s="2"/>
      <c r="V209" s="2"/>
    </row>
    <row r="210" spans="1:22" x14ac:dyDescent="0.3">
      <c r="A210" s="70" t="s">
        <v>1629</v>
      </c>
      <c r="B210" s="149">
        <f t="shared" ref="B210:N210" si="106">SUM(B198:B209)</f>
        <v>-2561754.7699999847</v>
      </c>
      <c r="C210" s="149">
        <f t="shared" si="106"/>
        <v>-1205891.519999997</v>
      </c>
      <c r="D210" s="149">
        <f t="shared" si="106"/>
        <v>-4370759.5599999968</v>
      </c>
      <c r="E210" s="149">
        <f t="shared" si="106"/>
        <v>-448827.42999998736</v>
      </c>
      <c r="F210" s="149">
        <f t="shared" si="106"/>
        <v>8503.9600000153296</v>
      </c>
      <c r="G210" s="149">
        <f t="shared" si="106"/>
        <v>-1830573.6000000017</v>
      </c>
      <c r="H210" s="149">
        <f t="shared" si="106"/>
        <v>293332.26000002772</v>
      </c>
      <c r="I210" s="149">
        <f t="shared" ca="1" si="106"/>
        <v>1505927.8814588403</v>
      </c>
      <c r="J210" s="149">
        <f t="shared" ca="1" si="106"/>
        <v>681199.84184647538</v>
      </c>
      <c r="K210" s="149">
        <f t="shared" ca="1" si="106"/>
        <v>513528.51595246932</v>
      </c>
      <c r="L210" s="149">
        <f t="shared" ca="1" si="106"/>
        <v>-496219.70897850953</v>
      </c>
      <c r="M210" s="149">
        <f t="shared" ca="1" si="106"/>
        <v>78792.007913756417</v>
      </c>
      <c r="N210" s="149">
        <f t="shared" ca="1" si="106"/>
        <v>-7832742.1218068916</v>
      </c>
      <c r="O210" s="251"/>
      <c r="P210" s="251"/>
      <c r="Q210" s="251"/>
      <c r="R210" s="251"/>
      <c r="S210" s="251"/>
      <c r="T210" s="251"/>
      <c r="U210" s="150"/>
      <c r="V210" s="150"/>
    </row>
    <row r="211" spans="1:22" x14ac:dyDescent="0.3">
      <c r="A211" s="70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8"/>
      <c r="P211" s="98"/>
      <c r="Q211" s="98"/>
      <c r="R211" s="98"/>
      <c r="S211" s="98"/>
      <c r="T211" s="98"/>
      <c r="U211" s="87"/>
      <c r="V211" s="87"/>
    </row>
    <row r="212" spans="1:22" x14ac:dyDescent="0.3">
      <c r="A212" s="70" t="s">
        <v>1630</v>
      </c>
      <c r="B212" s="151">
        <f>+B62</f>
        <v>0</v>
      </c>
      <c r="C212" s="151">
        <f>+C62</f>
        <v>0</v>
      </c>
      <c r="D212" s="151">
        <f>+D62</f>
        <v>0</v>
      </c>
      <c r="E212" s="151">
        <f>+E62</f>
        <v>0</v>
      </c>
      <c r="F212" s="151">
        <f>+F62</f>
        <v>0</v>
      </c>
      <c r="G212" s="151">
        <f t="shared" ref="G212:M212" si="107">+G62</f>
        <v>-2494856.3057211624</v>
      </c>
      <c r="H212" s="151">
        <f t="shared" si="107"/>
        <v>1747465.8935576575</v>
      </c>
      <c r="I212" s="151">
        <f t="shared" si="107"/>
        <v>956187.43283648277</v>
      </c>
      <c r="J212" s="151">
        <f t="shared" ca="1" si="107"/>
        <v>3017275.8871262171</v>
      </c>
      <c r="K212" s="151">
        <f t="shared" ca="1" si="107"/>
        <v>2367683.1284003747</v>
      </c>
      <c r="L212" s="151">
        <f t="shared" ca="1" si="107"/>
        <v>1933425.2421515472</v>
      </c>
      <c r="M212" s="151">
        <f t="shared" ca="1" si="107"/>
        <v>6074250.8022927344</v>
      </c>
      <c r="N212" s="151">
        <f>B212</f>
        <v>0</v>
      </c>
      <c r="O212" s="252"/>
      <c r="P212" s="252"/>
      <c r="Q212" s="252"/>
      <c r="R212" s="252"/>
      <c r="S212" s="252"/>
      <c r="T212" s="252"/>
      <c r="U212" s="150"/>
      <c r="V212" s="150"/>
    </row>
    <row r="213" spans="1:22" x14ac:dyDescent="0.3">
      <c r="A213" s="70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8"/>
      <c r="P213" s="98"/>
      <c r="Q213" s="98"/>
      <c r="R213" s="98"/>
      <c r="S213" s="98"/>
      <c r="T213" s="98"/>
      <c r="U213" s="87"/>
      <c r="V213" s="87"/>
    </row>
    <row r="214" spans="1:22" x14ac:dyDescent="0.3">
      <c r="A214" s="70" t="s">
        <v>1631</v>
      </c>
      <c r="B214" s="151">
        <f t="shared" ref="B214:N214" si="108">+B210+B212</f>
        <v>-2561754.7699999847</v>
      </c>
      <c r="C214" s="151">
        <f t="shared" si="108"/>
        <v>-1205891.519999997</v>
      </c>
      <c r="D214" s="151">
        <f t="shared" si="108"/>
        <v>-4370759.5599999968</v>
      </c>
      <c r="E214" s="151">
        <f t="shared" si="108"/>
        <v>-448827.42999998736</v>
      </c>
      <c r="F214" s="151">
        <f t="shared" si="108"/>
        <v>8503.9600000153296</v>
      </c>
      <c r="G214" s="151">
        <f t="shared" si="108"/>
        <v>-4325429.9057211643</v>
      </c>
      <c r="H214" s="151">
        <f t="shared" si="108"/>
        <v>2040798.1535576852</v>
      </c>
      <c r="I214" s="151">
        <f t="shared" ca="1" si="108"/>
        <v>2462115.3142953231</v>
      </c>
      <c r="J214" s="151">
        <f t="shared" ca="1" si="108"/>
        <v>3698475.7289726925</v>
      </c>
      <c r="K214" s="151">
        <f t="shared" ca="1" si="108"/>
        <v>2881211.644352844</v>
      </c>
      <c r="L214" s="151">
        <f t="shared" ca="1" si="108"/>
        <v>1437205.5331730377</v>
      </c>
      <c r="M214" s="151">
        <f t="shared" ca="1" si="108"/>
        <v>6153042.8102064906</v>
      </c>
      <c r="N214" s="151">
        <f t="shared" ca="1" si="108"/>
        <v>-7832742.1218068916</v>
      </c>
      <c r="O214" s="252"/>
      <c r="P214" s="252"/>
      <c r="Q214" s="252"/>
      <c r="R214" s="252"/>
      <c r="S214" s="252"/>
      <c r="T214" s="252"/>
      <c r="U214" s="150"/>
      <c r="V214" s="150"/>
    </row>
    <row r="215" spans="1:22" x14ac:dyDescent="0.3">
      <c r="A215" s="70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8"/>
      <c r="P215" s="98"/>
      <c r="Q215" s="98"/>
      <c r="R215" s="98"/>
      <c r="S215" s="98"/>
      <c r="T215" s="98"/>
      <c r="U215" s="87"/>
      <c r="V215" s="87"/>
    </row>
    <row r="216" spans="1:22" x14ac:dyDescent="0.3">
      <c r="A216" s="70" t="s">
        <v>1686</v>
      </c>
      <c r="B216" s="152">
        <f>+B214-B64</f>
        <v>-2561754.7699999847</v>
      </c>
      <c r="C216" s="152">
        <f>+C214-C64</f>
        <v>-1205891.519999997</v>
      </c>
      <c r="D216" s="152">
        <f>+D214-D64</f>
        <v>-4370759.5599999968</v>
      </c>
      <c r="E216" s="152">
        <f>+E214-E64</f>
        <v>-448827.42999998736</v>
      </c>
      <c r="F216" s="152">
        <f>+F214-F64</f>
        <v>2503360.2657211777</v>
      </c>
      <c r="G216" s="152">
        <f t="shared" ref="G216:N216" si="109">+G214-G64</f>
        <v>-6072895.7992788218</v>
      </c>
      <c r="H216" s="152">
        <f t="shared" si="109"/>
        <v>1084610.7207212024</v>
      </c>
      <c r="I216" s="152">
        <f t="shared" ca="1" si="109"/>
        <v>-555160.57283089403</v>
      </c>
      <c r="J216" s="152">
        <f t="shared" ca="1" si="109"/>
        <v>1330792.6005723178</v>
      </c>
      <c r="K216" s="152">
        <f t="shared" ca="1" si="109"/>
        <v>947786.40220129676</v>
      </c>
      <c r="L216" s="152">
        <f t="shared" ca="1" si="109"/>
        <v>-4637045.2691196967</v>
      </c>
      <c r="M216" s="152">
        <f t="shared" ca="1" si="109"/>
        <v>-2635205.595585593</v>
      </c>
      <c r="N216" s="152">
        <f t="shared" ca="1" si="109"/>
        <v>-7832742.1218068916</v>
      </c>
      <c r="O216" s="253"/>
      <c r="P216" s="253"/>
      <c r="Q216" s="253"/>
      <c r="R216" s="253"/>
      <c r="S216" s="253"/>
      <c r="T216" s="253"/>
      <c r="U216" s="150"/>
      <c r="V216" s="150"/>
    </row>
  </sheetData>
  <phoneticPr fontId="2" type="noConversion"/>
  <conditionalFormatting sqref="B92:T92">
    <cfRule type="cellIs" dxfId="109" priority="37" operator="greaterThan">
      <formula>0</formula>
    </cfRule>
  </conditionalFormatting>
  <conditionalFormatting sqref="B93:T93">
    <cfRule type="cellIs" dxfId="108" priority="36" operator="greaterThan">
      <formula>0</formula>
    </cfRule>
  </conditionalFormatting>
  <conditionalFormatting sqref="B113:T113">
    <cfRule type="cellIs" dxfId="107" priority="25" operator="greaterThan">
      <formula>5</formula>
    </cfRule>
  </conditionalFormatting>
  <conditionalFormatting sqref="B148:T148">
    <cfRule type="cellIs" dxfId="106" priority="35" operator="lessThan">
      <formula>0</formula>
    </cfRule>
    <cfRule type="cellIs" dxfId="105" priority="34" operator="greaterThan">
      <formula>0</formula>
    </cfRule>
  </conditionalFormatting>
  <conditionalFormatting sqref="B150:T150">
    <cfRule type="cellIs" dxfId="104" priority="13" operator="lessThan">
      <formula>B151</formula>
    </cfRule>
    <cfRule type="cellIs" dxfId="103" priority="39" operator="greaterThan">
      <formula>B151*1.05</formula>
    </cfRule>
  </conditionalFormatting>
  <conditionalFormatting sqref="B153:T153">
    <cfRule type="cellIs" dxfId="102" priority="40" operator="lessThan">
      <formula>B154</formula>
    </cfRule>
    <cfRule type="cellIs" dxfId="101" priority="41" operator="greaterThan">
      <formula>B154*1.02</formula>
    </cfRule>
  </conditionalFormatting>
  <conditionalFormatting sqref="B155:T155">
    <cfRule type="cellIs" dxfId="100" priority="38" operator="lessThan">
      <formula>B156*1.05</formula>
    </cfRule>
    <cfRule type="cellIs" dxfId="99" priority="12" operator="greaterThan">
      <formula>B156</formula>
    </cfRule>
  </conditionalFormatting>
  <conditionalFormatting sqref="C119">
    <cfRule type="cellIs" dxfId="98" priority="30" operator="greaterThan">
      <formula>5</formula>
    </cfRule>
  </conditionalFormatting>
  <conditionalFormatting sqref="C153">
    <cfRule type="cellIs" dxfId="97" priority="14" operator="greaterThan">
      <formula>C154*1.02</formula>
    </cfRule>
    <cfRule type="cellIs" dxfId="96" priority="54" operator="lessThan">
      <formula>C154</formula>
    </cfRule>
  </conditionalFormatting>
  <conditionalFormatting sqref="C155:T155">
    <cfRule type="cellIs" dxfId="95" priority="10" operator="lessThan">
      <formula>C156*1.05</formula>
    </cfRule>
  </conditionalFormatting>
  <conditionalFormatting sqref="D100">
    <cfRule type="cellIs" dxfId="94" priority="24" operator="lessThan">
      <formula>D101</formula>
    </cfRule>
    <cfRule type="cellIs" dxfId="93" priority="23" operator="greaterThan">
      <formula>D101</formula>
    </cfRule>
  </conditionalFormatting>
  <conditionalFormatting sqref="D102:D103">
    <cfRule type="cellIs" dxfId="92" priority="27" operator="greaterThan">
      <formula>D114</formula>
    </cfRule>
    <cfRule type="cellIs" dxfId="91" priority="26" operator="lessThan">
      <formula>D114</formula>
    </cfRule>
  </conditionalFormatting>
  <conditionalFormatting sqref="D112">
    <cfRule type="cellIs" dxfId="90" priority="28" operator="greaterThan">
      <formula>D115</formula>
    </cfRule>
    <cfRule type="cellIs" dxfId="89" priority="29" operator="lessThan">
      <formula>D115</formula>
    </cfRule>
  </conditionalFormatting>
  <conditionalFormatting sqref="D124">
    <cfRule type="cellIs" dxfId="88" priority="22" operator="greaterThan">
      <formula>D125</formula>
    </cfRule>
    <cfRule type="cellIs" dxfId="87" priority="21" operator="lessThan">
      <formula>D125</formula>
    </cfRule>
  </conditionalFormatting>
  <conditionalFormatting sqref="D153:T153">
    <cfRule type="cellIs" dxfId="86" priority="11" operator="lessThan">
      <formula>D154</formula>
    </cfRule>
  </conditionalFormatting>
  <conditionalFormatting sqref="G100">
    <cfRule type="cellIs" dxfId="85" priority="46" operator="greaterThan">
      <formula>G101</formula>
    </cfRule>
    <cfRule type="cellIs" dxfId="84" priority="47" operator="lessThan">
      <formula>G101</formula>
    </cfRule>
  </conditionalFormatting>
  <conditionalFormatting sqref="G102:G103">
    <cfRule type="cellIs" dxfId="83" priority="6" operator="greaterThan">
      <formula>G114</formula>
    </cfRule>
    <cfRule type="cellIs" dxfId="82" priority="5" operator="lessThan">
      <formula>G114</formula>
    </cfRule>
  </conditionalFormatting>
  <conditionalFormatting sqref="G112">
    <cfRule type="cellIs" dxfId="81" priority="52" operator="greaterThan">
      <formula>G115</formula>
    </cfRule>
    <cfRule type="cellIs" dxfId="80" priority="53" operator="lessThan">
      <formula>G115</formula>
    </cfRule>
  </conditionalFormatting>
  <conditionalFormatting sqref="G118">
    <cfRule type="cellIs" dxfId="79" priority="33" operator="greaterThan">
      <formula>5</formula>
    </cfRule>
  </conditionalFormatting>
  <conditionalFormatting sqref="G124">
    <cfRule type="cellIs" dxfId="78" priority="20" operator="greaterThan">
      <formula>G125</formula>
    </cfRule>
    <cfRule type="cellIs" dxfId="77" priority="19" operator="lessThan">
      <formula>G125</formula>
    </cfRule>
  </conditionalFormatting>
  <conditionalFormatting sqref="J100">
    <cfRule type="cellIs" dxfId="76" priority="44" operator="greaterThan">
      <formula>J101</formula>
    </cfRule>
    <cfRule type="cellIs" dxfId="75" priority="45" operator="lessThan">
      <formula>J101</formula>
    </cfRule>
  </conditionalFormatting>
  <conditionalFormatting sqref="J102:J103">
    <cfRule type="cellIs" dxfId="74" priority="4" operator="greaterThan">
      <formula>J114</formula>
    </cfRule>
    <cfRule type="cellIs" dxfId="73" priority="3" operator="lessThan">
      <formula>J114</formula>
    </cfRule>
  </conditionalFormatting>
  <conditionalFormatting sqref="J112">
    <cfRule type="cellIs" dxfId="72" priority="50" operator="greaterThan">
      <formula>J115</formula>
    </cfRule>
    <cfRule type="cellIs" dxfId="71" priority="51" operator="lessThan">
      <formula>J115</formula>
    </cfRule>
  </conditionalFormatting>
  <conditionalFormatting sqref="J118">
    <cfRule type="cellIs" dxfId="70" priority="32" operator="greaterThan">
      <formula>5</formula>
    </cfRule>
  </conditionalFormatting>
  <conditionalFormatting sqref="J124">
    <cfRule type="cellIs" dxfId="69" priority="18" operator="greaterThan">
      <formula>J125</formula>
    </cfRule>
    <cfRule type="cellIs" dxfId="68" priority="17" operator="lessThan">
      <formula>J125</formula>
    </cfRule>
  </conditionalFormatting>
  <conditionalFormatting sqref="M100">
    <cfRule type="cellIs" dxfId="67" priority="42" operator="greaterThan">
      <formula>M101</formula>
    </cfRule>
    <cfRule type="cellIs" dxfId="66" priority="43" operator="lessThan">
      <formula>M101</formula>
    </cfRule>
  </conditionalFormatting>
  <conditionalFormatting sqref="M102:M103">
    <cfRule type="cellIs" dxfId="65" priority="1" operator="lessThan">
      <formula>M114</formula>
    </cfRule>
    <cfRule type="cellIs" dxfId="64" priority="2" operator="greaterThan">
      <formula>M114</formula>
    </cfRule>
  </conditionalFormatting>
  <conditionalFormatting sqref="M112">
    <cfRule type="cellIs" dxfId="63" priority="49" operator="lessThan">
      <formula>M115</formula>
    </cfRule>
    <cfRule type="cellIs" dxfId="62" priority="48" operator="greaterThan">
      <formula>M115</formula>
    </cfRule>
  </conditionalFormatting>
  <conditionalFormatting sqref="M118">
    <cfRule type="cellIs" dxfId="61" priority="31" operator="greaterThan">
      <formula>5</formula>
    </cfRule>
  </conditionalFormatting>
  <conditionalFormatting sqref="M124">
    <cfRule type="cellIs" dxfId="60" priority="16" operator="greaterThan">
      <formula>M125</formula>
    </cfRule>
    <cfRule type="cellIs" dxfId="59" priority="15" operator="lessThan">
      <formula>M125</formula>
    </cfRule>
  </conditionalFormatting>
  <conditionalFormatting sqref="N150:T150">
    <cfRule type="cellIs" dxfId="58" priority="9" operator="greaterThan">
      <formula>N151*1.05</formula>
    </cfRule>
  </conditionalFormatting>
  <conditionalFormatting sqref="X148">
    <cfRule type="cellIs" dxfId="57" priority="7" operator="greaterThan">
      <formula>0</formula>
    </cfRule>
    <cfRule type="cellIs" dxfId="56" priority="8" operator="lessThan">
      <formula>0</formula>
    </cfRule>
  </conditionalFormatting>
  <pageMargins left="0.7" right="0.7" top="0.75" bottom="0.75" header="0.3" footer="0.3"/>
  <pageSetup orientation="portrait" r:id="rId1"/>
  <headerFooter>
    <oddHeader>&amp;R&amp;"Calibri"&amp;10&amp;K000000 Confidencial&amp;1#_x000D_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25B8C-69F3-4E83-BD02-A082D6D84C26}">
  <sheetPr codeName="Sheet20"/>
  <dimension ref="C2:AP21"/>
  <sheetViews>
    <sheetView topLeftCell="F1" workbookViewId="0">
      <selection activeCell="D1" sqref="D1"/>
    </sheetView>
  </sheetViews>
  <sheetFormatPr baseColWidth="10" defaultColWidth="8.88671875" defaultRowHeight="14.4" x14ac:dyDescent="0.3"/>
  <cols>
    <col min="3" max="3" width="21.88671875" bestFit="1" customWidth="1"/>
    <col min="4" max="4" width="13.5546875" bestFit="1" customWidth="1"/>
    <col min="5" max="15" width="13.44140625" bestFit="1" customWidth="1"/>
    <col min="16" max="16" width="11.88671875" bestFit="1" customWidth="1"/>
    <col min="17" max="28" width="10.88671875" bestFit="1" customWidth="1"/>
    <col min="29" max="29" width="11.88671875" bestFit="1" customWidth="1"/>
    <col min="30" max="41" width="10.88671875" bestFit="1" customWidth="1"/>
    <col min="42" max="42" width="11.88671875" bestFit="1" customWidth="1"/>
  </cols>
  <sheetData>
    <row r="2" spans="3:42" x14ac:dyDescent="0.3">
      <c r="D2" t="s">
        <v>141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  <c r="K2" t="s">
        <v>148</v>
      </c>
      <c r="L2" t="s">
        <v>149</v>
      </c>
      <c r="M2" t="s">
        <v>150</v>
      </c>
      <c r="N2" t="s">
        <v>151</v>
      </c>
      <c r="O2" t="s">
        <v>152</v>
      </c>
      <c r="Q2" t="s">
        <v>141</v>
      </c>
      <c r="R2" t="s">
        <v>142</v>
      </c>
      <c r="S2" t="s">
        <v>143</v>
      </c>
      <c r="T2" t="s">
        <v>144</v>
      </c>
      <c r="U2" t="s">
        <v>145</v>
      </c>
      <c r="V2" t="s">
        <v>146</v>
      </c>
      <c r="W2" t="s">
        <v>147</v>
      </c>
      <c r="X2" t="s">
        <v>148</v>
      </c>
      <c r="Y2" t="s">
        <v>149</v>
      </c>
      <c r="Z2" t="s">
        <v>150</v>
      </c>
      <c r="AA2" t="s">
        <v>151</v>
      </c>
      <c r="AB2" t="s">
        <v>152</v>
      </c>
      <c r="AD2" t="s">
        <v>141</v>
      </c>
      <c r="AE2" t="s">
        <v>142</v>
      </c>
      <c r="AF2" t="s">
        <v>143</v>
      </c>
      <c r="AG2" t="s">
        <v>144</v>
      </c>
      <c r="AH2" t="s">
        <v>145</v>
      </c>
      <c r="AI2" t="s">
        <v>146</v>
      </c>
      <c r="AJ2" t="s">
        <v>147</v>
      </c>
      <c r="AK2" t="s">
        <v>148</v>
      </c>
      <c r="AL2" t="s">
        <v>149</v>
      </c>
      <c r="AM2" t="s">
        <v>150</v>
      </c>
      <c r="AN2" t="s">
        <v>151</v>
      </c>
      <c r="AO2" t="s">
        <v>152</v>
      </c>
    </row>
    <row r="3" spans="3:42" x14ac:dyDescent="0.3">
      <c r="D3" s="59">
        <v>1</v>
      </c>
      <c r="E3" s="59">
        <v>2</v>
      </c>
      <c r="F3" s="59">
        <v>3</v>
      </c>
      <c r="G3" s="59">
        <v>4</v>
      </c>
      <c r="H3" s="59">
        <v>5</v>
      </c>
      <c r="I3" s="59">
        <v>6</v>
      </c>
      <c r="J3" s="59">
        <v>7</v>
      </c>
      <c r="K3" s="59">
        <v>8</v>
      </c>
      <c r="L3" s="59">
        <v>9</v>
      </c>
      <c r="M3" s="59">
        <v>10</v>
      </c>
      <c r="N3" s="59">
        <v>11</v>
      </c>
      <c r="O3" s="59">
        <v>12</v>
      </c>
      <c r="P3" s="58">
        <v>2025</v>
      </c>
      <c r="Q3" s="59">
        <v>1</v>
      </c>
      <c r="R3" s="59">
        <v>2</v>
      </c>
      <c r="S3" s="59">
        <v>3</v>
      </c>
      <c r="T3" s="59">
        <v>4</v>
      </c>
      <c r="U3" s="59">
        <v>5</v>
      </c>
      <c r="V3" s="59">
        <v>6</v>
      </c>
      <c r="W3" s="59">
        <v>7</v>
      </c>
      <c r="X3" s="59">
        <v>8</v>
      </c>
      <c r="Y3" s="59">
        <v>9</v>
      </c>
      <c r="Z3" s="59">
        <v>10</v>
      </c>
      <c r="AA3" s="59">
        <v>11</v>
      </c>
      <c r="AB3" s="59">
        <v>12</v>
      </c>
      <c r="AC3" s="58">
        <v>2026</v>
      </c>
      <c r="AD3" s="59">
        <v>1</v>
      </c>
      <c r="AE3" s="59">
        <v>2</v>
      </c>
      <c r="AF3" s="59">
        <v>3</v>
      </c>
      <c r="AG3" s="59">
        <v>4</v>
      </c>
      <c r="AH3" s="59">
        <v>5</v>
      </c>
      <c r="AI3" s="59">
        <v>6</v>
      </c>
      <c r="AJ3" s="59">
        <v>7</v>
      </c>
      <c r="AK3" s="59">
        <v>8</v>
      </c>
      <c r="AL3" s="59">
        <v>9</v>
      </c>
      <c r="AM3" s="59">
        <v>10</v>
      </c>
      <c r="AN3" s="59">
        <v>11</v>
      </c>
      <c r="AO3" s="59">
        <v>12</v>
      </c>
      <c r="AP3" s="58">
        <v>2027</v>
      </c>
    </row>
    <row r="4" spans="3:42" x14ac:dyDescent="0.3">
      <c r="C4" s="70" t="s">
        <v>1576</v>
      </c>
      <c r="D4" s="1">
        <f>'IS (ROLLING)'!P22</f>
        <v>17603969.789999999</v>
      </c>
      <c r="E4" s="1">
        <f>'IS (ROLLING)'!Q22</f>
        <v>16026810.92999999</v>
      </c>
      <c r="F4" s="1">
        <f>'IS (ROLLING)'!R22</f>
        <v>12493878.669999991</v>
      </c>
      <c r="G4" s="1">
        <f>'IS (ROLLING)'!S22</f>
        <v>17498853.09</v>
      </c>
      <c r="H4" s="61">
        <f>'IS (ROLLING)'!T22</f>
        <v>20772285.369999986</v>
      </c>
      <c r="I4" s="1">
        <f>'IS (ROLLING)'!U22</f>
        <v>17309214.289999992</v>
      </c>
      <c r="J4" s="61">
        <f>'IS (ROLLING)'!V22</f>
        <v>23238748.510000002</v>
      </c>
      <c r="K4" s="1">
        <f ca="1">'IS (ROLLING)'!W22</f>
        <v>24962217.428338554</v>
      </c>
      <c r="L4" s="1">
        <f ca="1">'IS (ROLLING)'!X22</f>
        <v>22430779.296785343</v>
      </c>
      <c r="M4" s="61">
        <f ca="1">'IS (ROLLING)'!Y22</f>
        <v>22172290.121319547</v>
      </c>
      <c r="N4" s="1">
        <f ca="1">'IS (ROLLING)'!Z22</f>
        <v>19840529.722359784</v>
      </c>
      <c r="O4" s="1">
        <f>'IS (ROLLING)'!AA22</f>
        <v>21356585.302559786</v>
      </c>
      <c r="P4" s="2">
        <f ca="1">SUM(D4:O4)</f>
        <v>235706162.52136302</v>
      </c>
      <c r="Q4" s="1">
        <f>'IS (ROLLING)'!AD22</f>
        <v>22954219.233750001</v>
      </c>
      <c r="R4" s="1">
        <f>'IS (ROLLING)'!AE22</f>
        <v>20141989.269499987</v>
      </c>
      <c r="S4" s="1">
        <f>'IS (ROLLING)'!AF22</f>
        <v>16049874.319499988</v>
      </c>
      <c r="T4" s="1">
        <f>'IS (ROLLING)'!AG22</f>
        <v>21974297.670500003</v>
      </c>
      <c r="U4" s="1">
        <f>'IS (ROLLING)'!AH22</f>
        <v>25874606.224249985</v>
      </c>
      <c r="V4" s="1">
        <f>'IS (ROLLING)'!AI22</f>
        <v>21932162.019249987</v>
      </c>
      <c r="W4" s="1">
        <f>'IS (ROLLING)'!AJ22</f>
        <v>28968147.160749998</v>
      </c>
      <c r="X4" s="1">
        <f ca="1">'IS (ROLLING)'!AK22</f>
        <v>31202771.785423193</v>
      </c>
      <c r="Y4" s="1">
        <f ca="1">'IS (ROLLING)'!AL22</f>
        <v>28038474.120981678</v>
      </c>
      <c r="Z4" s="1">
        <f ca="1">'IS (ROLLING)'!AM22</f>
        <v>27715362.65164943</v>
      </c>
      <c r="AA4" s="1">
        <f ca="1">'IS (ROLLING)'!AN22</f>
        <v>24800662.152949732</v>
      </c>
      <c r="AB4" s="1">
        <f>'IS (ROLLING)'!AO22</f>
        <v>26695731.628199726</v>
      </c>
      <c r="AC4" s="2">
        <f ca="1">SUM(Q4:AB4)</f>
        <v>296348298.23670375</v>
      </c>
      <c r="AD4" s="1">
        <f>'IS (ROLLING)'!AR22</f>
        <v>28655040.180375002</v>
      </c>
      <c r="AE4" s="1">
        <f>'IS (ROLLING)'!AS22</f>
        <v>25176802.697549988</v>
      </c>
      <c r="AF4" s="1">
        <f>'IS (ROLLING)'!AT22</f>
        <v>20208638.398199983</v>
      </c>
      <c r="AG4" s="1">
        <f>'IS (ROLLING)'!AU22</f>
        <v>26969712.380275004</v>
      </c>
      <c r="AH4" s="1">
        <f>'IS (ROLLING)'!AV22</f>
        <v>32158767.035062481</v>
      </c>
      <c r="AI4" s="1">
        <f>'IS (ROLLING)'!AW22</f>
        <v>27395599.411949981</v>
      </c>
      <c r="AJ4" s="1">
        <f>'IS (ROLLING)'!AX22</f>
        <v>35685714.222900003</v>
      </c>
      <c r="AK4" s="1">
        <f ca="1">'IS (ROLLING)'!AY22</f>
        <v>38490628.688300148</v>
      </c>
      <c r="AL4" s="1">
        <f ca="1">'IS (ROLLING)'!AZ22</f>
        <v>34629837.538776189</v>
      </c>
      <c r="AM4" s="1">
        <f ca="1">'IS (ROLLING)'!BA22</f>
        <v>34432280.290369265</v>
      </c>
      <c r="AN4" s="1">
        <f ca="1">'IS (ROLLING)'!BB22</f>
        <v>30860946.416834649</v>
      </c>
      <c r="AO4" s="1">
        <f>'IS (ROLLING)'!BC22</f>
        <v>33121437.432134647</v>
      </c>
      <c r="AP4" s="2">
        <f ca="1">SUM(AD4:AO4)</f>
        <v>367785404.69272739</v>
      </c>
    </row>
    <row r="5" spans="3:42" x14ac:dyDescent="0.3">
      <c r="C5" s="71" t="s">
        <v>1577</v>
      </c>
      <c r="D5" s="61">
        <f>'IS (ROLLING)'!P24+'IS (ROLLING)'!P27</f>
        <v>7021309.3899999997</v>
      </c>
      <c r="E5" s="61">
        <f>'IS (ROLLING)'!Q24+'IS (ROLLING)'!Q27</f>
        <v>6015156.4000000004</v>
      </c>
      <c r="F5" s="1">
        <f>'IS (ROLLING)'!R24+'IS (ROLLING)'!R27</f>
        <v>5001313.3499999996</v>
      </c>
      <c r="G5" s="1">
        <f>'IS (ROLLING)'!S24+'IS (ROLLING)'!S27</f>
        <v>6747553.1200000001</v>
      </c>
      <c r="H5" s="1">
        <f>'IS (ROLLING)'!T24+'IS (ROLLING)'!T27</f>
        <v>9012876.0499999989</v>
      </c>
      <c r="I5" s="1">
        <f>'IS (ROLLING)'!U24+'IS (ROLLING)'!U27</f>
        <v>7262528.1799999997</v>
      </c>
      <c r="J5" s="1">
        <f>'IS (ROLLING)'!V24+'IS (ROLLING)'!V27</f>
        <v>10160675.45999999</v>
      </c>
      <c r="K5" s="1">
        <f ca="1">'IS (ROLLING)'!W24+'IS (ROLLING)'!W27</f>
        <v>11742138.746890638</v>
      </c>
      <c r="L5" s="1">
        <f ca="1">'IS (ROLLING)'!X24+'IS (ROLLING)'!X27</f>
        <v>10489663.151934197</v>
      </c>
      <c r="M5" s="1">
        <f ca="1">'IS (ROLLING)'!Y24+'IS (ROLLING)'!Y27</f>
        <v>10119141.892560793</v>
      </c>
      <c r="N5" s="1">
        <f ca="1">'IS (ROLLING)'!Z24+'IS (ROLLING)'!Z27</f>
        <v>9023722.1765729114</v>
      </c>
      <c r="O5" s="1">
        <f>'IS (ROLLING)'!AA24+'IS (ROLLING)'!AA27</f>
        <v>9812380.4773749113</v>
      </c>
      <c r="P5" s="2">
        <f t="shared" ref="P5:P19" ca="1" si="0">SUM(D5:O5)</f>
        <v>102408458.39533344</v>
      </c>
      <c r="Q5" s="1">
        <f>'IS (ROLLING)'!AD24+'IS (ROLLING)'!AD27</f>
        <v>10128671.0260875</v>
      </c>
      <c r="R5" s="1">
        <f>'IS (ROLLING)'!AE24+'IS (ROLLING)'!AE27</f>
        <v>8834817.5621949937</v>
      </c>
      <c r="S5" s="1">
        <f>'IS (ROLLING)'!AF24+'IS (ROLLING)'!AF27</f>
        <v>6800166.5146949952</v>
      </c>
      <c r="T5" s="61">
        <f>'IS (ROLLING)'!AG24+'IS (ROLLING)'!AG27</f>
        <v>10450621.093204999</v>
      </c>
      <c r="U5" s="1">
        <f>'IS (ROLLING)'!AH24+'IS (ROLLING)'!AH27</f>
        <v>11722359.524492497</v>
      </c>
      <c r="V5" s="1">
        <f>'IS (ROLLING)'!AI24+'IS (ROLLING)'!AI27</f>
        <v>9736100.7754424941</v>
      </c>
      <c r="W5" s="1">
        <f>'IS (ROLLING)'!AJ24+'IS (ROLLING)'!AJ27</f>
        <v>13679303.7543575</v>
      </c>
      <c r="X5" s="1">
        <f ca="1">'IS (ROLLING)'!AK24+'IS (ROLLING)'!AK27</f>
        <v>14677673.433613298</v>
      </c>
      <c r="Y5" s="1">
        <f ca="1">'IS (ROLLING)'!AL24+'IS (ROLLING)'!AL27</f>
        <v>13112078.939917747</v>
      </c>
      <c r="Z5" s="1">
        <f ca="1">'IS (ROLLING)'!AM24+'IS (ROLLING)'!AM27</f>
        <v>12648927.365700992</v>
      </c>
      <c r="AA5" s="1">
        <f ca="1">'IS (ROLLING)'!AN24+'IS (ROLLING)'!AN27</f>
        <v>11279652.720716139</v>
      </c>
      <c r="AB5" s="1">
        <f>'IS (ROLLING)'!AO24+'IS (ROLLING)'!AO27</f>
        <v>12265475.596718637</v>
      </c>
      <c r="AC5" s="2">
        <f t="shared" ref="AC5:AC19" ca="1" si="1">SUM(Q5:AB5)</f>
        <v>135335848.30714178</v>
      </c>
      <c r="AD5" s="1">
        <f>'IS (ROLLING)'!AR24+'IS (ROLLING)'!AR27</f>
        <v>12550599.098178752</v>
      </c>
      <c r="AE5" s="1">
        <f>'IS (ROLLING)'!AS24+'IS (ROLLING)'!AS27</f>
        <v>10961009.817325493</v>
      </c>
      <c r="AF5" s="1">
        <f>'IS (ROLLING)'!AT24+'IS (ROLLING)'!AT27</f>
        <v>8498859.4781819936</v>
      </c>
      <c r="AG5" s="1">
        <f>'IS (ROLLING)'!AU24+'IS (ROLLING)'!AU27</f>
        <v>12755106.740877749</v>
      </c>
      <c r="AH5" s="1">
        <f>'IS (ROLLING)'!AV24+'IS (ROLLING)'!AV27</f>
        <v>14470090.754713116</v>
      </c>
      <c r="AI5" s="1">
        <f>'IS (ROLLING)'!AW24+'IS (ROLLING)'!AW27</f>
        <v>12076273.379069492</v>
      </c>
      <c r="AJ5" s="1">
        <f>'IS (ROLLING)'!AX24+'IS (ROLLING)'!AX27</f>
        <v>16756796.167929001</v>
      </c>
      <c r="AK5" s="1">
        <f ca="1">'IS (ROLLING)'!AY24+'IS (ROLLING)'!AY27</f>
        <v>18002605.598619785</v>
      </c>
      <c r="AL5" s="1">
        <f ca="1">'IS (ROLLING)'!AZ24+'IS (ROLLING)'!AZ27</f>
        <v>16098838.171208071</v>
      </c>
      <c r="AM5" s="1">
        <f ca="1">'IS (ROLLING)'!BA24+'IS (ROLLING)'!BA27</f>
        <v>15612480.114468541</v>
      </c>
      <c r="AN5" s="1">
        <f ca="1">'IS (ROLLING)'!BB24+'IS (ROLLING)'!BB27</f>
        <v>13945711.44311098</v>
      </c>
      <c r="AO5" s="1">
        <f>'IS (ROLLING)'!BC24+'IS (ROLLING)'!BC27</f>
        <v>15121628.095763979</v>
      </c>
      <c r="AP5" s="2">
        <f t="shared" ref="AP5:AP19" ca="1" si="2">SUM(AD5:AO5)</f>
        <v>166849998.85944694</v>
      </c>
    </row>
    <row r="6" spans="3:42" x14ac:dyDescent="0.3">
      <c r="C6" s="71" t="s">
        <v>1578</v>
      </c>
      <c r="D6" s="61">
        <f>'IS (ROLLING)'!P29</f>
        <v>3242912.49</v>
      </c>
      <c r="E6" s="1">
        <f>'IS (ROLLING)'!Q29</f>
        <v>2305460.1800000002</v>
      </c>
      <c r="F6" s="1">
        <f>'IS (ROLLING)'!R29</f>
        <v>1787305.32</v>
      </c>
      <c r="G6" s="1">
        <f>'IS (ROLLING)'!S29</f>
        <v>2025485.98</v>
      </c>
      <c r="H6" s="1">
        <f>'IS (ROLLING)'!T29</f>
        <v>2081617.45999999</v>
      </c>
      <c r="I6" s="1">
        <f>'IS (ROLLING)'!U29</f>
        <v>2047912.43</v>
      </c>
      <c r="J6" s="1">
        <f>'IS (ROLLING)'!V29</f>
        <v>1940260.8999999899</v>
      </c>
      <c r="K6" s="1">
        <f>'IS (ROLLING)'!W29</f>
        <v>1795060.8717747501</v>
      </c>
      <c r="L6" s="1">
        <f>'IS (ROLLING)'!X29</f>
        <v>1388185.8717747501</v>
      </c>
      <c r="M6" s="1">
        <f>'IS (ROLLING)'!Y29</f>
        <v>1388185.8717747501</v>
      </c>
      <c r="N6" s="1">
        <f>'IS (ROLLING)'!Z29</f>
        <v>1388185.8717747501</v>
      </c>
      <c r="O6" s="1">
        <f>'IS (ROLLING)'!AA29</f>
        <v>1388185.8717747501</v>
      </c>
      <c r="P6" s="2">
        <f t="shared" si="0"/>
        <v>22778759.118873738</v>
      </c>
      <c r="Q6" s="1">
        <f>'IS (ROLLING)'!AD29</f>
        <v>1388185.8717747501</v>
      </c>
      <c r="R6" s="1">
        <f>'IS (ROLLING)'!AE29</f>
        <v>1388185.8717747501</v>
      </c>
      <c r="S6" s="1">
        <f>'IS (ROLLING)'!AF29</f>
        <v>1388185.8717747501</v>
      </c>
      <c r="T6" s="1">
        <f>'IS (ROLLING)'!AG29</f>
        <v>1388185.8717747501</v>
      </c>
      <c r="U6" s="1">
        <f>'IS (ROLLING)'!AH29</f>
        <v>1388185.8717747501</v>
      </c>
      <c r="V6" s="1">
        <f>'IS (ROLLING)'!AI29</f>
        <v>1388185.8717747501</v>
      </c>
      <c r="W6" s="1">
        <f>'IS (ROLLING)'!AJ29</f>
        <v>1388185.8717747501</v>
      </c>
      <c r="X6" s="1">
        <f>'IS (ROLLING)'!AK29</f>
        <v>1388185.8717747501</v>
      </c>
      <c r="Y6" s="1">
        <f>'IS (ROLLING)'!AL29</f>
        <v>1388185.8717747501</v>
      </c>
      <c r="Z6" s="1">
        <f>'IS (ROLLING)'!AM29</f>
        <v>1388185.8717747501</v>
      </c>
      <c r="AA6" s="1">
        <f>'IS (ROLLING)'!AN29</f>
        <v>1388185.8717747501</v>
      </c>
      <c r="AB6" s="1">
        <f>'IS (ROLLING)'!AO29</f>
        <v>1388185.8717747501</v>
      </c>
      <c r="AC6" s="2">
        <f t="shared" si="1"/>
        <v>16658230.461297</v>
      </c>
      <c r="AD6" s="1">
        <f>'IS (ROLLING)'!AR29</f>
        <v>1388185.8717747501</v>
      </c>
      <c r="AE6" s="1">
        <f>'IS (ROLLING)'!AS29</f>
        <v>1388185.8717747501</v>
      </c>
      <c r="AF6" s="1">
        <f>'IS (ROLLING)'!AT29</f>
        <v>1388185.8717747501</v>
      </c>
      <c r="AG6" s="1">
        <f>'IS (ROLLING)'!AU29</f>
        <v>1388185.8717747501</v>
      </c>
      <c r="AH6" s="1">
        <f>'IS (ROLLING)'!AV29</f>
        <v>1388185.8717747501</v>
      </c>
      <c r="AI6" s="1">
        <f>'IS (ROLLING)'!AW29</f>
        <v>1388185.8717747501</v>
      </c>
      <c r="AJ6" s="1">
        <f>'IS (ROLLING)'!AX29</f>
        <v>1388185.8717747501</v>
      </c>
      <c r="AK6" s="1">
        <f>'IS (ROLLING)'!AY29</f>
        <v>1388185.8717747501</v>
      </c>
      <c r="AL6" s="1">
        <f>'IS (ROLLING)'!AZ29</f>
        <v>1388185.8717747501</v>
      </c>
      <c r="AM6" s="1">
        <f>'IS (ROLLING)'!BA29</f>
        <v>1388185.8717747501</v>
      </c>
      <c r="AN6" s="1">
        <f>'IS (ROLLING)'!BB29</f>
        <v>1388185.8717747501</v>
      </c>
      <c r="AO6" s="1">
        <f>'IS (ROLLING)'!BC29</f>
        <v>1388185.8717747501</v>
      </c>
      <c r="AP6" s="2">
        <f t="shared" si="2"/>
        <v>16658230.461297</v>
      </c>
    </row>
    <row r="7" spans="3:42" x14ac:dyDescent="0.3">
      <c r="C7" s="71" t="s">
        <v>1579</v>
      </c>
      <c r="D7" s="61">
        <f>SUM('IS (ROLLING)'!P30:P33)+SUM('IS (ROLLING)'!P38:P40)+SUM('IS (ROLLING)'!P43:P46)+'IS (ROLLING)'!P60</f>
        <v>2217469.0799999963</v>
      </c>
      <c r="E7" s="61">
        <f>SUM('IS (ROLLING)'!Q30:Q33)+SUM('IS (ROLLING)'!Q38:Q40)+SUM('IS (ROLLING)'!Q43:Q46)+'IS (ROLLING)'!Q60</f>
        <v>2265220.0599999977</v>
      </c>
      <c r="F7" s="61">
        <f>SUM('IS (ROLLING)'!R30:R33)+SUM('IS (ROLLING)'!R38:R40)+SUM('IS (ROLLING)'!R43:R46)+'IS (ROLLING)'!R60</f>
        <v>2320283.319999997</v>
      </c>
      <c r="G7" s="61">
        <f>SUM('IS (ROLLING)'!S30:S33)+SUM('IS (ROLLING)'!S38:S40)+SUM('IS (ROLLING)'!S43:S46)+'IS (ROLLING)'!S60</f>
        <v>2494447.6399999987</v>
      </c>
      <c r="H7" s="61">
        <f>SUM('IS (ROLLING)'!T30:T33)+SUM('IS (ROLLING)'!T38:T40)+SUM('IS (ROLLING)'!T43:T46)+'IS (ROLLING)'!T60</f>
        <v>2406419.3599999947</v>
      </c>
      <c r="I7" s="61">
        <f>SUM('IS (ROLLING)'!U30:U33)+SUM('IS (ROLLING)'!U38:U40)+SUM('IS (ROLLING)'!U43:U46)+'IS (ROLLING)'!U60</f>
        <v>2922932.399999998</v>
      </c>
      <c r="J7" s="61">
        <f>SUM('IS (ROLLING)'!V30:V33)+SUM('IS (ROLLING)'!V38:V40)+SUM('IS (ROLLING)'!V43:V46)+'IS (ROLLING)'!V60</f>
        <v>2546500.9999999981</v>
      </c>
      <c r="K7" s="61">
        <f ca="1">SUM('IS (ROLLING)'!W30:W33)+SUM('IS (ROLLING)'!W38:W40)+SUM('IS (ROLLING)'!W43:W46)+'IS (ROLLING)'!W60</f>
        <v>2776624.5345460479</v>
      </c>
      <c r="L7" s="61">
        <f ca="1">SUM('IS (ROLLING)'!X30:X33)+SUM('IS (ROLLING)'!X38:X40)+SUM('IS (ROLLING)'!X43:X46)+'IS (ROLLING)'!X60</f>
        <v>2726972.2244348736</v>
      </c>
      <c r="M7" s="61">
        <f ca="1">SUM('IS (ROLLING)'!Y30:Y33)+SUM('IS (ROLLING)'!Y38:Y40)+SUM('IS (ROLLING)'!Y43:Y46)+'IS (ROLLING)'!Y60</f>
        <v>2755277.7889111326</v>
      </c>
      <c r="N7" s="61">
        <f ca="1">SUM('IS (ROLLING)'!Z30:Z33)+SUM('IS (ROLLING)'!Z38:Z40)+SUM('IS (ROLLING)'!Z43:Z46)+'IS (ROLLING)'!Z60</f>
        <v>2677462.3930074056</v>
      </c>
      <c r="O7" s="61">
        <f>SUM('IS (ROLLING)'!AA30:AA33)+SUM('IS (ROLLING)'!AA38:AA40)+SUM('IS (ROLLING)'!AA43:AA46)+'IS (ROLLING)'!AA60</f>
        <v>2714790.3417280247</v>
      </c>
      <c r="P7" s="2">
        <f t="shared" ca="1" si="0"/>
        <v>30824400.14262747</v>
      </c>
      <c r="Q7" s="61">
        <f>SUM('IS (ROLLING)'!AD30:AD33)+SUM('IS (ROLLING)'!AD38:AD40)+SUM('IS (ROLLING)'!AD43:AD46)+'IS (ROLLING)'!AD60</f>
        <v>2911984.976982282</v>
      </c>
      <c r="R7" s="61">
        <f>SUM('IS (ROLLING)'!AE30:AE33)+SUM('IS (ROLLING)'!AE38:AE40)+SUM('IS (ROLLING)'!AE43:AE46)+'IS (ROLLING)'!AE60</f>
        <v>2851722.9063197817</v>
      </c>
      <c r="S7" s="61">
        <f>SUM('IS (ROLLING)'!AF30:AF33)+SUM('IS (ROLLING)'!AF38:AF40)+SUM('IS (ROLLING)'!AF43:AF46)+'IS (ROLLING)'!AF60</f>
        <v>2764034.7288197819</v>
      </c>
      <c r="T7" s="61">
        <f>SUM('IS (ROLLING)'!AG30:AG33)+SUM('IS (ROLLING)'!AG38:AG40)+SUM('IS (ROLLING)'!AG43:AG46)+'IS (ROLLING)'!AG60</f>
        <v>2890986.657769782</v>
      </c>
      <c r="U7" s="61">
        <f>SUM('IS (ROLLING)'!AH30:AH33)+SUM('IS (ROLLING)'!AH38:AH40)+SUM('IS (ROLLING)'!AH43:AH46)+'IS (ROLLING)'!AH60</f>
        <v>3006239.698207282</v>
      </c>
      <c r="V7" s="61">
        <f>SUM('IS (ROLLING)'!AI30:AI33)+SUM('IS (ROLLING)'!AI38:AI40)+SUM('IS (ROLLING)'!AI43:AI46)+'IS (ROLLING)'!AI60</f>
        <v>2856384.0613021092</v>
      </c>
      <c r="W7" s="61">
        <f>SUM('IS (ROLLING)'!AJ30:AJ33)+SUM('IS (ROLLING)'!AJ38:AJ40)+SUM('IS (ROLLING)'!AJ43:AJ46)+'IS (ROLLING)'!AJ60</f>
        <v>3007155.1714771097</v>
      </c>
      <c r="X7" s="61">
        <f ca="1">SUM('IS (ROLLING)'!AK30:AK33)+SUM('IS (ROLLING)'!AK38:AK40)+SUM('IS (ROLLING)'!AK43:AK46)+'IS (ROLLING)'!AK60</f>
        <v>3055039.9848629637</v>
      </c>
      <c r="Y7" s="61">
        <f ca="1">SUM('IS (ROLLING)'!AL30:AL33)+SUM('IS (ROLLING)'!AL38:AL40)+SUM('IS (ROLLING)'!AL43:AL46)+'IS (ROLLING)'!AL60</f>
        <v>2974957.6063392172</v>
      </c>
      <c r="Z7" s="61">
        <f ca="1">SUM('IS (ROLLING)'!AM30:AM33)+SUM('IS (ROLLING)'!AM38:AM40)+SUM('IS (ROLLING)'!AM43:AM46)+'IS (ROLLING)'!AM60</f>
        <v>2968033.7891392405</v>
      </c>
      <c r="AA7" s="61">
        <f ca="1">SUM('IS (ROLLING)'!AN30:AN33)+SUM('IS (ROLLING)'!AN38:AN40)+SUM('IS (ROLLING)'!AN43:AN46)+'IS (ROLLING)'!AN60</f>
        <v>2905575.921309961</v>
      </c>
      <c r="AB7" s="61">
        <f>SUM('IS (ROLLING)'!AO30:AO33)+SUM('IS (ROLLING)'!AO38:AO40)+SUM('IS (ROLLING)'!AO43:AO46)+'IS (ROLLING)'!AO60</f>
        <v>2946184.5529224612</v>
      </c>
      <c r="AC7" s="2">
        <f t="shared" ca="1" si="1"/>
        <v>35138300.055451974</v>
      </c>
      <c r="AD7" s="61">
        <f>SUM('IS (ROLLING)'!AR30:AR33)+SUM('IS (ROLLING)'!AR38:AR40)+SUM('IS (ROLLING)'!AR43:AR46)+'IS (ROLLING)'!AR60</f>
        <v>3082509.7321974118</v>
      </c>
      <c r="AE7" s="61">
        <f>SUM('IS (ROLLING)'!AS30:AS33)+SUM('IS (ROLLING)'!AS38:AS40)+SUM('IS (ROLLING)'!AS43:AS46)+'IS (ROLLING)'!AS60</f>
        <v>3007976.0718511613</v>
      </c>
      <c r="AF7" s="61">
        <f>SUM('IS (ROLLING)'!AT30:AT33)+SUM('IS (ROLLING)'!AT38:AT40)+SUM('IS (ROLLING)'!AT43:AT46)+'IS (ROLLING)'!AT60</f>
        <v>2901515.4082936612</v>
      </c>
      <c r="AG7" s="61">
        <f>SUM('IS (ROLLING)'!AU30:AU33)+SUM('IS (ROLLING)'!AU38:AU40)+SUM('IS (ROLLING)'!AU43:AU46)+'IS (ROLLING)'!AU60</f>
        <v>3046395.565052412</v>
      </c>
      <c r="AH7" s="61">
        <f>SUM('IS (ROLLING)'!AV30:AV33)+SUM('IS (ROLLING)'!AV38:AV40)+SUM('IS (ROLLING)'!AV43:AV46)+'IS (ROLLING)'!AV60</f>
        <v>3191481.843369286</v>
      </c>
      <c r="AI7" s="61">
        <f>SUM('IS (ROLLING)'!AW30:AW33)+SUM('IS (ROLLING)'!AW38:AW40)+SUM('IS (ROLLING)'!AW43:AW46)+'IS (ROLLING)'!AW60</f>
        <v>3102917.5657311613</v>
      </c>
      <c r="AJ7" s="61">
        <f>SUM('IS (ROLLING)'!AX30:AX33)+SUM('IS (ROLLING)'!AX38:AX40)+SUM('IS (ROLLING)'!AX43:AX46)+'IS (ROLLING)'!AX60</f>
        <v>3280562.8831086615</v>
      </c>
      <c r="AK7" s="61">
        <f ca="1">SUM('IS (ROLLING)'!AY30:AY33)+SUM('IS (ROLLING)'!AY38:AY40)+SUM('IS (ROLLING)'!AY43:AY46)+'IS (ROLLING)'!AY60</f>
        <v>3340668.1930815219</v>
      </c>
      <c r="AL7" s="61">
        <f ca="1">SUM('IS (ROLLING)'!AZ30:AZ33)+SUM('IS (ROLLING)'!AZ38:AZ40)+SUM('IS (ROLLING)'!AZ43:AZ46)+'IS (ROLLING)'!AZ60</f>
        <v>3244433.3541631512</v>
      </c>
      <c r="AM7" s="61">
        <f ca="1">SUM('IS (ROLLING)'!BA30:BA33)+SUM('IS (ROLLING)'!BA38:BA40)+SUM('IS (ROLLING)'!BA43:BA46)+'IS (ROLLING)'!BA60</f>
        <v>3240199.9845544314</v>
      </c>
      <c r="AN7" s="61">
        <f ca="1">SUM('IS (ROLLING)'!BB30:BB33)+SUM('IS (ROLLING)'!BB38:BB40)+SUM('IS (ROLLING)'!BB43:BB46)+'IS (ROLLING)'!BB60</f>
        <v>3163671.4015501183</v>
      </c>
      <c r="AO7" s="61">
        <f>SUM('IS (ROLLING)'!BC30:BC33)+SUM('IS (ROLLING)'!BC38:BC40)+SUM('IS (ROLLING)'!BC43:BC46)+'IS (ROLLING)'!BC60</f>
        <v>3212110.4947351185</v>
      </c>
      <c r="AP7" s="2">
        <f t="shared" ca="1" si="2"/>
        <v>37814442.4976881</v>
      </c>
    </row>
    <row r="8" spans="3:42" x14ac:dyDescent="0.3">
      <c r="C8" s="70" t="s">
        <v>1580</v>
      </c>
      <c r="D8" s="1">
        <f>D4-D5-D6-D7</f>
        <v>5122278.8300000019</v>
      </c>
      <c r="E8" s="1">
        <f t="shared" ref="E8:O8" si="3">E4-E5-E6-E7</f>
        <v>5440974.2899999926</v>
      </c>
      <c r="F8" s="1">
        <f t="shared" si="3"/>
        <v>3384976.6799999936</v>
      </c>
      <c r="G8" s="1">
        <f t="shared" si="3"/>
        <v>6231366.3499999996</v>
      </c>
      <c r="H8" s="1">
        <f t="shared" si="3"/>
        <v>7271372.5000000028</v>
      </c>
      <c r="I8" s="1">
        <f t="shared" si="3"/>
        <v>5075841.2799999937</v>
      </c>
      <c r="J8" s="1">
        <f t="shared" si="3"/>
        <v>8591311.1500000246</v>
      </c>
      <c r="K8" s="1">
        <f t="shared" ca="1" si="3"/>
        <v>8648393.2751271185</v>
      </c>
      <c r="L8" s="1">
        <f t="shared" ca="1" si="3"/>
        <v>7825958.0486415233</v>
      </c>
      <c r="M8" s="61">
        <f t="shared" ca="1" si="3"/>
        <v>7909684.5680728722</v>
      </c>
      <c r="N8" s="1">
        <f t="shared" ca="1" si="3"/>
        <v>6751159.2810047176</v>
      </c>
      <c r="O8" s="1">
        <f t="shared" si="3"/>
        <v>7441228.6116821002</v>
      </c>
      <c r="P8" s="2">
        <f t="shared" ca="1" si="0"/>
        <v>79694544.864528343</v>
      </c>
      <c r="Q8" s="1">
        <f t="shared" ref="Q8:V8" si="4">Q4-Q5-Q6-Q7</f>
        <v>8525377.3589054681</v>
      </c>
      <c r="R8" s="1">
        <f t="shared" si="4"/>
        <v>7067262.9292104617</v>
      </c>
      <c r="S8" s="1">
        <f t="shared" si="4"/>
        <v>5097487.2042104602</v>
      </c>
      <c r="T8" s="1">
        <f t="shared" si="4"/>
        <v>7244504.0477504712</v>
      </c>
      <c r="U8" s="1">
        <f t="shared" si="4"/>
        <v>9757821.1297754571</v>
      </c>
      <c r="V8" s="1">
        <f t="shared" si="4"/>
        <v>7951491.3107306343</v>
      </c>
      <c r="W8" s="1">
        <f>W4-W5-W6-W7</f>
        <v>10893502.363140639</v>
      </c>
      <c r="X8" s="1">
        <f ca="1">X4-X5-X6-X7</f>
        <v>12081872.49517218</v>
      </c>
      <c r="Y8" s="1">
        <f ca="1">Y4-Y5-Y6-Y7</f>
        <v>10563251.702949964</v>
      </c>
      <c r="Z8" s="1">
        <f ca="1">Z4-Z5-Z6-Z7</f>
        <v>10710215.625034448</v>
      </c>
      <c r="AA8" s="1">
        <f ca="1">AA4-AA5-AA6-AA7</f>
        <v>9227247.6391488817</v>
      </c>
      <c r="AB8" s="1">
        <f t="shared" ref="AB8:AO8" si="5">AB4-AB5-AB6-AB7</f>
        <v>10095885.606783878</v>
      </c>
      <c r="AC8" s="2">
        <f t="shared" ca="1" si="1"/>
        <v>109215919.41281295</v>
      </c>
      <c r="AD8" s="1">
        <f t="shared" si="5"/>
        <v>11633745.478224089</v>
      </c>
      <c r="AE8" s="1">
        <f t="shared" si="5"/>
        <v>9819630.9365985841</v>
      </c>
      <c r="AF8" s="1">
        <f t="shared" si="5"/>
        <v>7420077.6399495788</v>
      </c>
      <c r="AG8" s="1">
        <f t="shared" si="5"/>
        <v>9780024.2025700919</v>
      </c>
      <c r="AH8" s="1">
        <f t="shared" si="5"/>
        <v>13109008.56520533</v>
      </c>
      <c r="AI8" s="1">
        <f t="shared" si="5"/>
        <v>10828222.595374577</v>
      </c>
      <c r="AJ8" s="1">
        <f t="shared" si="5"/>
        <v>14260169.30008759</v>
      </c>
      <c r="AK8" s="1">
        <f t="shared" ca="1" si="5"/>
        <v>15759169.024824088</v>
      </c>
      <c r="AL8" s="1">
        <f t="shared" ca="1" si="5"/>
        <v>13898380.141630217</v>
      </c>
      <c r="AM8" s="1">
        <f t="shared" ca="1" si="5"/>
        <v>14191414.31957154</v>
      </c>
      <c r="AN8" s="1">
        <f t="shared" ca="1" si="5"/>
        <v>12363377.700398801</v>
      </c>
      <c r="AO8" s="1">
        <f t="shared" si="5"/>
        <v>13399512.969860801</v>
      </c>
      <c r="AP8" s="2">
        <f t="shared" ca="1" si="2"/>
        <v>146462732.87429529</v>
      </c>
    </row>
    <row r="9" spans="3:42" x14ac:dyDescent="0.3">
      <c r="C9" s="71" t="s">
        <v>1581</v>
      </c>
      <c r="D9" s="61">
        <f>'IS (ROLLING)'!P56</f>
        <v>494367.55999999901</v>
      </c>
      <c r="E9" s="61">
        <f>'IS (ROLLING)'!Q56</f>
        <v>396171.07</v>
      </c>
      <c r="F9" s="61">
        <f>'IS (ROLLING)'!R56</f>
        <v>343227.86</v>
      </c>
      <c r="G9" s="61">
        <f>'IS (ROLLING)'!S56</f>
        <v>535156.62</v>
      </c>
      <c r="H9" s="61">
        <f>'IS (ROLLING)'!T56</f>
        <v>519993.989999999</v>
      </c>
      <c r="I9" s="61">
        <f>'IS (ROLLING)'!U56</f>
        <v>560717.71999999904</v>
      </c>
      <c r="J9" s="61">
        <f>'IS (ROLLING)'!V56</f>
        <v>570275.00999999896</v>
      </c>
      <c r="K9" s="61">
        <f ca="1">'IS (ROLLING)'!W56</f>
        <v>764149.51311240462</v>
      </c>
      <c r="L9" s="61">
        <f ca="1">'IS (ROLLING)'!X56</f>
        <v>686656.50908526569</v>
      </c>
      <c r="M9" s="61">
        <f ca="1">'IS (ROLLING)'!Y56</f>
        <v>678743.57514243503</v>
      </c>
      <c r="N9" s="61">
        <f ca="1">'IS (ROLLING)'!Z56</f>
        <v>607363.15476611583</v>
      </c>
      <c r="O9" s="61">
        <f>'IS (ROLLING)'!AA56</f>
        <v>653773.01946611586</v>
      </c>
      <c r="P9" s="2">
        <f t="shared" ca="1" si="0"/>
        <v>6810595.601572332</v>
      </c>
      <c r="Q9" s="61">
        <f>'IS (ROLLING)'!AD56</f>
        <v>702680.18062499992</v>
      </c>
      <c r="R9" s="61">
        <f>'IS (ROLLING)'!AE56</f>
        <v>616591.50824999961</v>
      </c>
      <c r="S9" s="61">
        <f>'IS (ROLLING)'!AF56</f>
        <v>491322.68324999959</v>
      </c>
      <c r="T9" s="61">
        <f>'IS (ROLLING)'!AG56</f>
        <v>672682.58175000001</v>
      </c>
      <c r="U9" s="61">
        <f>'IS (ROLLING)'!AH56</f>
        <v>792079.7823749996</v>
      </c>
      <c r="V9" s="61">
        <f>'IS (ROLLING)'!AI56</f>
        <v>671392.7148749996</v>
      </c>
      <c r="W9" s="61">
        <f>'IS (ROLLING)'!AJ56</f>
        <v>886780.01512499992</v>
      </c>
      <c r="X9" s="61">
        <f ca="1">'IS (ROLLING)'!AK56</f>
        <v>955186.89139050583</v>
      </c>
      <c r="Y9" s="61">
        <f ca="1">'IS (ROLLING)'!AL56</f>
        <v>858320.63635658205</v>
      </c>
      <c r="Z9" s="61">
        <f ca="1">'IS (ROLLING)'!AM56</f>
        <v>848429.46892804385</v>
      </c>
      <c r="AA9" s="61">
        <f ca="1">'IS (ROLLING)'!AN56</f>
        <v>759203.94345764478</v>
      </c>
      <c r="AB9" s="61">
        <f>'IS (ROLLING)'!AO56</f>
        <v>817216.27433264465</v>
      </c>
      <c r="AC9" s="2">
        <f t="shared" ca="1" si="1"/>
        <v>9071886.6807154194</v>
      </c>
      <c r="AD9" s="61">
        <f>'IS (ROLLING)'!AR56</f>
        <v>877195.10756250005</v>
      </c>
      <c r="AE9" s="61">
        <f>'IS (ROLLING)'!AS56</f>
        <v>770718.44992499962</v>
      </c>
      <c r="AF9" s="61">
        <f>'IS (ROLLING)'!AT56</f>
        <v>618631.7876999994</v>
      </c>
      <c r="AG9" s="61">
        <f>'IS (ROLLING)'!AU56</f>
        <v>825603.44021250005</v>
      </c>
      <c r="AH9" s="61">
        <f>'IS (ROLLING)'!AV56</f>
        <v>984452.0520937494</v>
      </c>
      <c r="AI9" s="61">
        <f>'IS (ROLLING)'!AW56</f>
        <v>838640.7983249994</v>
      </c>
      <c r="AJ9" s="61">
        <f>'IS (ROLLING)'!AX56</f>
        <v>1092419.8231500001</v>
      </c>
      <c r="AK9" s="61">
        <f ca="1">'IS (ROLLING)'!AY56</f>
        <v>1178284.5516826576</v>
      </c>
      <c r="AL9" s="61">
        <f ca="1">'IS (ROLLING)'!AZ56</f>
        <v>1060097.0675135567</v>
      </c>
      <c r="AM9" s="61">
        <f ca="1">'IS (ROLLING)'!BA56</f>
        <v>1054049.3966439571</v>
      </c>
      <c r="AN9" s="61">
        <f ca="1">'IS (ROLLING)'!BB56</f>
        <v>944722.84949493816</v>
      </c>
      <c r="AO9" s="61">
        <f>'IS (ROLLING)'!BC56</f>
        <v>1013921.5540449382</v>
      </c>
      <c r="AP9" s="2">
        <f t="shared" ca="1" si="2"/>
        <v>11258736.878348794</v>
      </c>
    </row>
    <row r="10" spans="3:42" x14ac:dyDescent="0.3">
      <c r="C10" s="71" t="s">
        <v>1582</v>
      </c>
      <c r="D10" s="61">
        <f>'IS (ROLLING)'!P47+'IS (ROLLING)'!P48+'IS (ROLLING)'!P50+'IS (ROLLING)'!P49</f>
        <v>1160984.1099999989</v>
      </c>
      <c r="E10" s="61">
        <f>'IS (ROLLING)'!Q47+'IS (ROLLING)'!Q48+'IS (ROLLING)'!Q50+'IS (ROLLING)'!Q49</f>
        <v>1314802.3399999999</v>
      </c>
      <c r="F10" s="61">
        <f>'IS (ROLLING)'!R47+'IS (ROLLING)'!R48+'IS (ROLLING)'!R50+'IS (ROLLING)'!R49</f>
        <v>1630274.21</v>
      </c>
      <c r="G10" s="61">
        <f>'IS (ROLLING)'!S47+'IS (ROLLING)'!S48+'IS (ROLLING)'!S50+'IS (ROLLING)'!S49</f>
        <v>1744545.4399999981</v>
      </c>
      <c r="H10" s="61">
        <f>'IS (ROLLING)'!T47+'IS (ROLLING)'!T48+'IS (ROLLING)'!T50+'IS (ROLLING)'!T49</f>
        <v>2118876.5899999989</v>
      </c>
      <c r="I10" s="61">
        <f>'IS (ROLLING)'!U47+'IS (ROLLING)'!U48+'IS (ROLLING)'!U50+'IS (ROLLING)'!U49</f>
        <v>1773434.42</v>
      </c>
      <c r="J10" s="61">
        <f>'IS (ROLLING)'!V47+'IS (ROLLING)'!V48+'IS (ROLLING)'!V50+'IS (ROLLING)'!V49</f>
        <v>2415689.6599999988</v>
      </c>
      <c r="K10" s="61">
        <f ca="1">'IS (ROLLING)'!W47+'IS (ROLLING)'!W48+'IS (ROLLING)'!W50+'IS (ROLLING)'!W49</f>
        <v>1507233.9455927538</v>
      </c>
      <c r="L10" s="61">
        <f ca="1">'IS (ROLLING)'!X47+'IS (ROLLING)'!X48+'IS (ROLLING)'!X50+'IS (ROLLING)'!X49</f>
        <v>1431293.1949720064</v>
      </c>
      <c r="M10" s="61">
        <f ca="1">'IS (ROLLING)'!Y47+'IS (ROLLING)'!Y48+'IS (ROLLING)'!Y50+'IS (ROLLING)'!Y49</f>
        <v>1623977.7633464653</v>
      </c>
      <c r="N10" s="61">
        <f ca="1">'IS (ROLLING)'!Z47+'IS (ROLLING)'!Z48+'IS (ROLLING)'!Z50+'IS (ROLLING)'!Z49</f>
        <v>1564978.8258211315</v>
      </c>
      <c r="O10" s="61">
        <f ca="1">'IS (ROLLING)'!AA47+'IS (ROLLING)'!AA48+'IS (ROLLING)'!AA50+'IS (ROLLING)'!AA49</f>
        <v>1632497.7797332006</v>
      </c>
      <c r="P10" s="2">
        <f t="shared" ca="1" si="0"/>
        <v>19918588.279465552</v>
      </c>
      <c r="Q10" s="61">
        <f>'IS (ROLLING)'!AD47+'IS (ROLLING)'!AD48+'IS (ROLLING)'!AD50+'IS (ROLLING)'!AD49</f>
        <v>1797219.0191597696</v>
      </c>
      <c r="R10" s="61">
        <f>'IS (ROLLING)'!AE47+'IS (ROLLING)'!AE48+'IS (ROLLING)'!AE50+'IS (ROLLING)'!AE49</f>
        <v>1680976.4902847693</v>
      </c>
      <c r="S10" s="61">
        <f>'IS (ROLLING)'!AF47+'IS (ROLLING)'!AF48+'IS (ROLLING)'!AF50+'IS (ROLLING)'!AF49</f>
        <v>1616293.8420347681</v>
      </c>
      <c r="T10" s="61">
        <f>'IS (ROLLING)'!AG47+'IS (ROLLING)'!AG48+'IS (ROLLING)'!AG50+'IS (ROLLING)'!AG49</f>
        <v>1225418.9001597695</v>
      </c>
      <c r="U10" s="61">
        <f>'IS (ROLLING)'!AH47+'IS (ROLLING)'!AH48+'IS (ROLLING)'!AH50+'IS (ROLLING)'!AH49</f>
        <v>1846776.0761597683</v>
      </c>
      <c r="V10" s="61">
        <f>'IS (ROLLING)'!AI47+'IS (ROLLING)'!AI48+'IS (ROLLING)'!AI50+'IS (ROLLING)'!AI49</f>
        <v>1818836.8021597678</v>
      </c>
      <c r="W10" s="61">
        <f>'IS (ROLLING)'!AJ47+'IS (ROLLING)'!AJ48+'IS (ROLLING)'!AJ50+'IS (ROLLING)'!AJ49</f>
        <v>1669816.3687847694</v>
      </c>
      <c r="X10" s="61">
        <f ca="1">'IS (ROLLING)'!AK47+'IS (ROLLING)'!AK48+'IS (ROLLING)'!AK50+'IS (ROLLING)'!AK49</f>
        <v>1833945.336133291</v>
      </c>
      <c r="Y10" s="61">
        <f ca="1">'IS (ROLLING)'!AL47+'IS (ROLLING)'!AL48+'IS (ROLLING)'!AL50+'IS (ROLLING)'!AL49</f>
        <v>1746427.7776755705</v>
      </c>
      <c r="Z10" s="61">
        <f ca="1">'IS (ROLLING)'!AM47+'IS (ROLLING)'!AM48+'IS (ROLLING)'!AM50+'IS (ROLLING)'!AM49</f>
        <v>1970495.6251459303</v>
      </c>
      <c r="AA10" s="61">
        <f ca="1">'IS (ROLLING)'!AN47+'IS (ROLLING)'!AN48+'IS (ROLLING)'!AN50+'IS (ROLLING)'!AN49</f>
        <v>1906099.8024628004</v>
      </c>
      <c r="AB10" s="61">
        <f>'IS (ROLLING)'!AO47+'IS (ROLLING)'!AO48+'IS (ROLLING)'!AO50+'IS (ROLLING)'!AO49</f>
        <v>1875586.3524628007</v>
      </c>
      <c r="AC10" s="2">
        <f t="shared" ca="1" si="1"/>
        <v>20987892.392623775</v>
      </c>
      <c r="AD10" s="61">
        <f>'IS (ROLLING)'!AR47+'IS (ROLLING)'!AR48+'IS (ROLLING)'!AR50+'IS (ROLLING)'!AR49</f>
        <v>2231079.6630197032</v>
      </c>
      <c r="AE10" s="61">
        <f>'IS (ROLLING)'!AS47+'IS (ROLLING)'!AS48+'IS (ROLLING)'!AS50+'IS (ROLLING)'!AS49</f>
        <v>2079964.3754822034</v>
      </c>
      <c r="AF10" s="61">
        <f>'IS (ROLLING)'!AT47+'IS (ROLLING)'!AT48+'IS (ROLLING)'!AT50+'IS (ROLLING)'!AT49</f>
        <v>1995876.9327572011</v>
      </c>
      <c r="AG10" s="61">
        <f>'IS (ROLLING)'!AU47+'IS (ROLLING)'!AU48+'IS (ROLLING)'!AU50+'IS (ROLLING)'!AU49</f>
        <v>1487739.5083197034</v>
      </c>
      <c r="AH10" s="61">
        <f>'IS (ROLLING)'!AV47+'IS (ROLLING)'!AV48+'IS (ROLLING)'!AV50+'IS (ROLLING)'!AV49</f>
        <v>2290465.3470009514</v>
      </c>
      <c r="AI10" s="61">
        <f>'IS (ROLLING)'!AW47+'IS (ROLLING)'!AW48+'IS (ROLLING)'!AW50+'IS (ROLLING)'!AW49</f>
        <v>2253320.0513822017</v>
      </c>
      <c r="AJ10" s="61">
        <f>'IS (ROLLING)'!AX47+'IS (ROLLING)'!AX48+'IS (ROLLING)'!AX50+'IS (ROLLING)'!AX49</f>
        <v>2057314.5012572033</v>
      </c>
      <c r="AK10" s="61">
        <f ca="1">'IS (ROLLING)'!AY47+'IS (ROLLING)'!AY48+'IS (ROLLING)'!AY50+'IS (ROLLING)'!AY49</f>
        <v>2268116.3444602815</v>
      </c>
      <c r="AL10" s="61">
        <f ca="1">'IS (ROLLING)'!AZ47+'IS (ROLLING)'!AZ48+'IS (ROLLING)'!AZ50+'IS (ROLLING)'!AZ49</f>
        <v>2155952.6878402447</v>
      </c>
      <c r="AM10" s="61">
        <f ca="1">'IS (ROLLING)'!BA47+'IS (ROLLING)'!BA48+'IS (ROLLING)'!BA50+'IS (ROLLING)'!BA49</f>
        <v>2446180.4483017125</v>
      </c>
      <c r="AN10" s="61">
        <f ca="1">'IS (ROLLING)'!BB47+'IS (ROLLING)'!BB48+'IS (ROLLING)'!BB50+'IS (ROLLING)'!BB49</f>
        <v>2360633.7669386435</v>
      </c>
      <c r="AO10" s="61">
        <f>'IS (ROLLING)'!BC47+'IS (ROLLING)'!BC48+'IS (ROLLING)'!BC50+'IS (ROLLING)'!BC49</f>
        <v>2322491.9544386435</v>
      </c>
      <c r="AP10" s="2">
        <f t="shared" ca="1" si="2"/>
        <v>25949135.581198692</v>
      </c>
    </row>
    <row r="11" spans="3:42" x14ac:dyDescent="0.3">
      <c r="C11" s="71" t="s">
        <v>1583</v>
      </c>
      <c r="D11" s="61">
        <f>SUM('IS (ROLLING)'!P51:'IS (ROLLING)'!P55)+'IS (ROLLING)'!P57+'IS (ROLLING)'!P58+'IS (ROLLING)'!P59</f>
        <v>4903313.0499999989</v>
      </c>
      <c r="E11" s="61">
        <f>SUM('IS (ROLLING)'!Q51:'IS (ROLLING)'!Q55)+'IS (ROLLING)'!Q57+'IS (ROLLING)'!Q58+'IS (ROLLING)'!Q59</f>
        <v>3759869.5099999895</v>
      </c>
      <c r="F11" s="61">
        <f>SUM('IS (ROLLING)'!R51:'IS (ROLLING)'!R55)+'IS (ROLLING)'!R57+'IS (ROLLING)'!R58+'IS (ROLLING)'!R59</f>
        <v>4754130.8600000003</v>
      </c>
      <c r="G11" s="61">
        <f>SUM('IS (ROLLING)'!S51:'IS (ROLLING)'!S55)+'IS (ROLLING)'!S57+'IS (ROLLING)'!S58+'IS (ROLLING)'!S59</f>
        <v>2869759.6499999887</v>
      </c>
      <c r="H11" s="61">
        <f>SUM('IS (ROLLING)'!T51:'IS (ROLLING)'!T55)+'IS (ROLLING)'!T57+'IS (ROLLING)'!T58+'IS (ROLLING)'!T59</f>
        <v>3273861.0799999991</v>
      </c>
      <c r="I11" s="61">
        <f>SUM('IS (ROLLING)'!U51:'IS (ROLLING)'!U55)+'IS (ROLLING)'!U57+'IS (ROLLING)'!U58+'IS (ROLLING)'!U59</f>
        <v>2087472.0499999968</v>
      </c>
      <c r="J11" s="61">
        <f>SUM('IS (ROLLING)'!V51:'IS (ROLLING)'!V55)+'IS (ROLLING)'!V57+'IS (ROLLING)'!V58+'IS (ROLLING)'!V59</f>
        <v>2579457.3699999987</v>
      </c>
      <c r="K11" s="61">
        <f ca="1">SUM('IS (ROLLING)'!W51:'IS (ROLLING)'!W55)+'IS (ROLLING)'!W57+'IS (ROLLING)'!W58+'IS (ROLLING)'!W59</f>
        <v>1903884.7291856317</v>
      </c>
      <c r="L11" s="61">
        <f ca="1">SUM('IS (ROLLING)'!X51:'IS (ROLLING)'!X55)+'IS (ROLLING)'!X57+'IS (ROLLING)'!X58+'IS (ROLLING)'!X59</f>
        <v>1890969.228514442</v>
      </c>
      <c r="M11" s="61">
        <f ca="1">SUM('IS (ROLLING)'!Y51:'IS (ROLLING)'!Y55)+'IS (ROLLING)'!Y57+'IS (ROLLING)'!Y58+'IS (ROLLING)'!Y59</f>
        <v>1889650.4061906368</v>
      </c>
      <c r="N11" s="61">
        <f ca="1">SUM('IS (ROLLING)'!Z51:'IS (ROLLING)'!Z55)+'IS (ROLLING)'!Z57+'IS (ROLLING)'!Z58+'IS (ROLLING)'!Z59</f>
        <v>1877753.6694612501</v>
      </c>
      <c r="O11" s="61">
        <f>SUM('IS (ROLLING)'!AA51:'IS (ROLLING)'!AA55)+'IS (ROLLING)'!AA57+'IS (ROLLING)'!AA58+'IS (ROLLING)'!AA59</f>
        <v>1885488.6469112502</v>
      </c>
      <c r="P11" s="2">
        <f t="shared" ca="1" si="0"/>
        <v>33675610.250263184</v>
      </c>
      <c r="Q11" s="61">
        <f>SUM('IS (ROLLING)'!AD51:'IS (ROLLING)'!AD55)+'IS (ROLLING)'!AD57+'IS (ROLLING)'!AD58+'IS (ROLLING)'!AD59</f>
        <v>2073000.21737</v>
      </c>
      <c r="R11" s="61">
        <f>SUM('IS (ROLLING)'!AE51:'IS (ROLLING)'!AE55)+'IS (ROLLING)'!AE57+'IS (ROLLING)'!AE58+'IS (ROLLING)'!AE59</f>
        <v>2058652.1053074999</v>
      </c>
      <c r="S11" s="61">
        <f>SUM('IS (ROLLING)'!AF51:'IS (ROLLING)'!AF55)+'IS (ROLLING)'!AF57+'IS (ROLLING)'!AF58+'IS (ROLLING)'!AF59</f>
        <v>2037773.9678074999</v>
      </c>
      <c r="T11" s="61">
        <f>SUM('IS (ROLLING)'!AG51:'IS (ROLLING)'!AG55)+'IS (ROLLING)'!AG57+'IS (ROLLING)'!AG58+'IS (ROLLING)'!AG59</f>
        <v>2068000.6175575</v>
      </c>
      <c r="U11" s="61">
        <f>SUM('IS (ROLLING)'!AH51:'IS (ROLLING)'!AH55)+'IS (ROLLING)'!AH57+'IS (ROLLING)'!AH58+'IS (ROLLING)'!AH59</f>
        <v>2087900.1509949998</v>
      </c>
      <c r="V11" s="61">
        <f>SUM('IS (ROLLING)'!AI51:'IS (ROLLING)'!AI55)+'IS (ROLLING)'!AI57+'IS (ROLLING)'!AI58+'IS (ROLLING)'!AI59</f>
        <v>2067785.6397449998</v>
      </c>
      <c r="W11" s="61">
        <f>SUM('IS (ROLLING)'!AJ51:'IS (ROLLING)'!AJ55)+'IS (ROLLING)'!AJ57+'IS (ROLLING)'!AJ58+'IS (ROLLING)'!AJ59</f>
        <v>1943683.52312</v>
      </c>
      <c r="X11" s="61">
        <f ca="1">SUM('IS (ROLLING)'!AK51:'IS (ROLLING)'!AK55)+'IS (ROLLING)'!AK57+'IS (ROLLING)'!AK58+'IS (ROLLING)'!AK59</f>
        <v>1955084.6691642511</v>
      </c>
      <c r="Y11" s="61">
        <f ca="1">SUM('IS (ROLLING)'!AL51:'IS (ROLLING)'!AL55)+'IS (ROLLING)'!AL57+'IS (ROLLING)'!AL58+'IS (ROLLING)'!AL59</f>
        <v>1938940.2933252635</v>
      </c>
      <c r="Z11" s="61">
        <f ca="1">SUM('IS (ROLLING)'!AM51:'IS (ROLLING)'!AM55)+'IS (ROLLING)'!AM57+'IS (ROLLING)'!AM58+'IS (ROLLING)'!AM59</f>
        <v>1937291.7654205072</v>
      </c>
      <c r="AA11" s="61">
        <f ca="1">SUM('IS (ROLLING)'!AN51:'IS (ROLLING)'!AN55)+'IS (ROLLING)'!AN57+'IS (ROLLING)'!AN58+'IS (ROLLING)'!AN59</f>
        <v>1922420.8445087741</v>
      </c>
      <c r="AB11" s="61">
        <f>SUM('IS (ROLLING)'!AO51:'IS (ROLLING)'!AO55)+'IS (ROLLING)'!AO57+'IS (ROLLING)'!AO58+'IS (ROLLING)'!AO59</f>
        <v>1932089.5663212743</v>
      </c>
      <c r="AC11" s="2">
        <f t="shared" ca="1" si="1"/>
        <v>24022623.360642575</v>
      </c>
      <c r="AD11" s="61">
        <f>SUM('IS (ROLLING)'!AR51:'IS (ROLLING)'!AR55)+'IS (ROLLING)'!AR57+'IS (ROLLING)'!AR58+'IS (ROLLING)'!AR59</f>
        <v>2010081.6418437783</v>
      </c>
      <c r="AE11" s="61">
        <f>SUM('IS (ROLLING)'!AS51:'IS (ROLLING)'!AS55)+'IS (ROLLING)'!AS57+'IS (ROLLING)'!AS58+'IS (ROLLING)'!AS59</f>
        <v>1992335.5322375281</v>
      </c>
      <c r="AF11" s="61">
        <f>SUM('IS (ROLLING)'!AT51:'IS (ROLLING)'!AT55)+'IS (ROLLING)'!AT57+'IS (ROLLING)'!AT58+'IS (ROLLING)'!AT59</f>
        <v>1966987.7552000282</v>
      </c>
      <c r="AG11" s="61">
        <f>SUM('IS (ROLLING)'!AU51:'IS (ROLLING)'!AU55)+'IS (ROLLING)'!AU57+'IS (ROLLING)'!AU58+'IS (ROLLING)'!AU59</f>
        <v>2001483.0306187782</v>
      </c>
      <c r="AH11" s="61">
        <f>SUM('IS (ROLLING)'!AV51:'IS (ROLLING)'!AV55)+'IS (ROLLING)'!AV57+'IS (ROLLING)'!AV58+'IS (ROLLING)'!AV59</f>
        <v>2027957.7992656531</v>
      </c>
      <c r="AI11" s="61">
        <f>SUM('IS (ROLLING)'!AW51:'IS (ROLLING)'!AW55)+'IS (ROLLING)'!AW57+'IS (ROLLING)'!AW58+'IS (ROLLING)'!AW59</f>
        <v>2003655.9236375282</v>
      </c>
      <c r="AJ11" s="61">
        <f>SUM('IS (ROLLING)'!AX51:'IS (ROLLING)'!AX55)+'IS (ROLLING)'!AX57+'IS (ROLLING)'!AX58+'IS (ROLLING)'!AX59</f>
        <v>2045952.4277750279</v>
      </c>
      <c r="AK11" s="61">
        <f ca="1">SUM('IS (ROLLING)'!AY51:'IS (ROLLING)'!AY55)+'IS (ROLLING)'!AY57+'IS (ROLLING)'!AY58+'IS (ROLLING)'!AY59</f>
        <v>2060263.2158638046</v>
      </c>
      <c r="AL11" s="61">
        <f ca="1">SUM('IS (ROLLING)'!AZ51:'IS (ROLLING)'!AZ55)+'IS (ROLLING)'!AZ57+'IS (ROLLING)'!AZ58+'IS (ROLLING)'!AZ59</f>
        <v>2040565.301835621</v>
      </c>
      <c r="AM11" s="61">
        <f ca="1">SUM('IS (ROLLING)'!BA51:'IS (ROLLING)'!BA55)+'IS (ROLLING)'!BA57+'IS (ROLLING)'!BA58+'IS (ROLLING)'!BA59</f>
        <v>2039557.3566906874</v>
      </c>
      <c r="AN11" s="61">
        <f ca="1">SUM('IS (ROLLING)'!BB51:'IS (ROLLING)'!BB55)+'IS (ROLLING)'!BB57+'IS (ROLLING)'!BB58+'IS (ROLLING)'!BB59</f>
        <v>2021336.2654991846</v>
      </c>
      <c r="AO11" s="61">
        <f>SUM('IS (ROLLING)'!BC51:'IS (ROLLING)'!BC55)+'IS (ROLLING)'!BC57+'IS (ROLLING)'!BC58+'IS (ROLLING)'!BC59</f>
        <v>2032869.3829241844</v>
      </c>
      <c r="AP11" s="2">
        <f t="shared" ca="1" si="2"/>
        <v>24243045.633391805</v>
      </c>
    </row>
    <row r="12" spans="3:42" x14ac:dyDescent="0.3">
      <c r="C12" s="70" t="s">
        <v>1584</v>
      </c>
      <c r="D12" s="61">
        <f>D8-D9-D10-D11</f>
        <v>-1436385.8899999945</v>
      </c>
      <c r="E12" s="1">
        <f t="shared" ref="E12:O12" si="6">E8-E9-E10-E11</f>
        <v>-29868.629999997094</v>
      </c>
      <c r="F12" s="1">
        <f t="shared" si="6"/>
        <v>-3342656.2500000065</v>
      </c>
      <c r="G12" s="1">
        <f t="shared" si="6"/>
        <v>1081904.6400000127</v>
      </c>
      <c r="H12" s="1">
        <f t="shared" si="6"/>
        <v>1358640.8400000054</v>
      </c>
      <c r="I12" s="1">
        <f t="shared" si="6"/>
        <v>654217.08999999822</v>
      </c>
      <c r="J12" s="1">
        <f t="shared" si="6"/>
        <v>3025889.1100000278</v>
      </c>
      <c r="K12" s="1">
        <f t="shared" ca="1" si="6"/>
        <v>4473125.087236329</v>
      </c>
      <c r="L12" s="1">
        <f t="shared" ca="1" si="6"/>
        <v>3817039.1160698086</v>
      </c>
      <c r="M12" s="1">
        <f t="shared" ca="1" si="6"/>
        <v>3717312.8233933356</v>
      </c>
      <c r="N12" s="1">
        <f t="shared" ca="1" si="6"/>
        <v>2701063.6309562195</v>
      </c>
      <c r="O12" s="1">
        <f t="shared" ca="1" si="6"/>
        <v>3269469.1655715331</v>
      </c>
      <c r="P12" s="2">
        <f t="shared" ca="1" si="0"/>
        <v>19289750.733227272</v>
      </c>
      <c r="Q12" s="1">
        <f t="shared" ref="Q12:V12" si="7">Q8-Q9-Q10-Q11</f>
        <v>3952477.9417506987</v>
      </c>
      <c r="R12" s="1">
        <f t="shared" si="7"/>
        <v>2711042.825368193</v>
      </c>
      <c r="S12" s="1">
        <f t="shared" si="7"/>
        <v>952096.71111819218</v>
      </c>
      <c r="T12" s="1">
        <f t="shared" si="7"/>
        <v>3278401.9482832015</v>
      </c>
      <c r="U12" s="1">
        <f t="shared" si="7"/>
        <v>5031065.1202456895</v>
      </c>
      <c r="V12" s="1">
        <f t="shared" si="7"/>
        <v>3393476.1539508672</v>
      </c>
      <c r="W12" s="1">
        <f>W8-W9-W10-W11</f>
        <v>6393222.4561108705</v>
      </c>
      <c r="X12" s="1">
        <f ca="1">X8-X9-X10-X11</f>
        <v>7337655.5984841324</v>
      </c>
      <c r="Y12" s="1">
        <f ca="1">Y8-Y9-Y10-Y11</f>
        <v>6019562.9955925457</v>
      </c>
      <c r="Z12" s="1">
        <f ca="1">Z8-Z9-Z10-Z11</f>
        <v>5953998.7655399647</v>
      </c>
      <c r="AA12" s="1">
        <f ca="1">AA8-AA9-AA10-AA11</f>
        <v>4639523.0487196632</v>
      </c>
      <c r="AB12" s="1">
        <f t="shared" ref="AB12:AO12" si="8">AB8-AB9-AB10-AB11</f>
        <v>5470993.4136671592</v>
      </c>
      <c r="AC12" s="2">
        <f t="shared" ca="1" si="1"/>
        <v>55133516.978831172</v>
      </c>
      <c r="AD12" s="1">
        <f t="shared" si="8"/>
        <v>6515389.0657981085</v>
      </c>
      <c r="AE12" s="1">
        <f t="shared" si="8"/>
        <v>4976612.5789538529</v>
      </c>
      <c r="AF12" s="1">
        <f t="shared" si="8"/>
        <v>2838581.1642923504</v>
      </c>
      <c r="AG12" s="1">
        <f t="shared" si="8"/>
        <v>5465198.2234191103</v>
      </c>
      <c r="AH12" s="1">
        <f t="shared" si="8"/>
        <v>7806133.3668449763</v>
      </c>
      <c r="AI12" s="1">
        <f t="shared" si="8"/>
        <v>5732605.8220298486</v>
      </c>
      <c r="AJ12" s="1">
        <f t="shared" si="8"/>
        <v>9064482.5479053594</v>
      </c>
      <c r="AK12" s="1">
        <f t="shared" ca="1" si="8"/>
        <v>10252504.912817344</v>
      </c>
      <c r="AL12" s="1">
        <f t="shared" ca="1" si="8"/>
        <v>8641765.0844407957</v>
      </c>
      <c r="AM12" s="1">
        <f t="shared" ca="1" si="8"/>
        <v>8651627.1179351825</v>
      </c>
      <c r="AN12" s="1">
        <f t="shared" ca="1" si="8"/>
        <v>7036684.8184660347</v>
      </c>
      <c r="AO12" s="1">
        <f t="shared" si="8"/>
        <v>8030230.078453036</v>
      </c>
      <c r="AP12" s="2">
        <f t="shared" ca="1" si="2"/>
        <v>85011814.781356007</v>
      </c>
    </row>
    <row r="13" spans="3:42" x14ac:dyDescent="0.3">
      <c r="C13" s="71" t="s">
        <v>1585</v>
      </c>
      <c r="D13" s="6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2">
        <f t="shared" si="0"/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2">
        <f t="shared" si="1"/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2">
        <f t="shared" si="2"/>
        <v>0</v>
      </c>
    </row>
    <row r="14" spans="3:42" x14ac:dyDescent="0.3">
      <c r="C14" s="70" t="s">
        <v>1586</v>
      </c>
      <c r="D14" s="1">
        <f>D12-D13</f>
        <v>-1436385.8899999945</v>
      </c>
      <c r="E14" s="1">
        <f t="shared" ref="E14:O14" si="9">E12-E13</f>
        <v>-29868.629999997094</v>
      </c>
      <c r="F14" s="1">
        <f t="shared" si="9"/>
        <v>-3342656.2500000065</v>
      </c>
      <c r="G14" s="1">
        <f t="shared" si="9"/>
        <v>1081904.6400000127</v>
      </c>
      <c r="H14" s="1">
        <f t="shared" si="9"/>
        <v>1358640.8400000054</v>
      </c>
      <c r="I14" s="1">
        <f t="shared" si="9"/>
        <v>654217.08999999822</v>
      </c>
      <c r="J14" s="1">
        <f t="shared" si="9"/>
        <v>3025889.1100000278</v>
      </c>
      <c r="K14" s="1">
        <f t="shared" ca="1" si="9"/>
        <v>4473125.087236329</v>
      </c>
      <c r="L14" s="1">
        <f t="shared" ca="1" si="9"/>
        <v>3817039.1160698086</v>
      </c>
      <c r="M14" s="1">
        <f t="shared" ca="1" si="9"/>
        <v>3717312.8233933356</v>
      </c>
      <c r="N14" s="1">
        <f t="shared" ca="1" si="9"/>
        <v>2701063.6309562195</v>
      </c>
      <c r="O14" s="1">
        <f t="shared" ca="1" si="9"/>
        <v>3269469.1655715331</v>
      </c>
      <c r="P14" s="2">
        <f t="shared" ca="1" si="0"/>
        <v>19289750.733227272</v>
      </c>
      <c r="Q14" s="1">
        <f t="shared" ref="Q14:V14" si="10">Q12-Q13</f>
        <v>3952477.9417506987</v>
      </c>
      <c r="R14" s="1">
        <f t="shared" si="10"/>
        <v>2711042.825368193</v>
      </c>
      <c r="S14" s="1">
        <f t="shared" si="10"/>
        <v>952096.71111819218</v>
      </c>
      <c r="T14" s="1">
        <f t="shared" si="10"/>
        <v>3278401.9482832015</v>
      </c>
      <c r="U14" s="1">
        <f t="shared" si="10"/>
        <v>5031065.1202456895</v>
      </c>
      <c r="V14" s="1">
        <f t="shared" si="10"/>
        <v>3393476.1539508672</v>
      </c>
      <c r="W14" s="1">
        <f>W12-W13</f>
        <v>6393222.4561108705</v>
      </c>
      <c r="X14" s="1">
        <f ca="1">X12-X13</f>
        <v>7337655.5984841324</v>
      </c>
      <c r="Y14" s="1">
        <f ca="1">Y12-Y13</f>
        <v>6019562.9955925457</v>
      </c>
      <c r="Z14" s="1">
        <f ca="1">Z12-Z13</f>
        <v>5953998.7655399647</v>
      </c>
      <c r="AA14" s="1">
        <f ca="1">AA12-AA13</f>
        <v>4639523.0487196632</v>
      </c>
      <c r="AB14" s="1">
        <f t="shared" ref="AB14:AO14" si="11">AB12-AB13</f>
        <v>5470993.4136671592</v>
      </c>
      <c r="AC14" s="2">
        <f t="shared" ca="1" si="1"/>
        <v>55133516.978831172</v>
      </c>
      <c r="AD14" s="1">
        <f t="shared" si="11"/>
        <v>6515389.0657981085</v>
      </c>
      <c r="AE14" s="1">
        <f t="shared" si="11"/>
        <v>4976612.5789538529</v>
      </c>
      <c r="AF14" s="1">
        <f t="shared" si="11"/>
        <v>2838581.1642923504</v>
      </c>
      <c r="AG14" s="1">
        <f t="shared" si="11"/>
        <v>5465198.2234191103</v>
      </c>
      <c r="AH14" s="1">
        <f t="shared" si="11"/>
        <v>7806133.3668449763</v>
      </c>
      <c r="AI14" s="1">
        <f t="shared" si="11"/>
        <v>5732605.8220298486</v>
      </c>
      <c r="AJ14" s="1">
        <f t="shared" si="11"/>
        <v>9064482.5479053594</v>
      </c>
      <c r="AK14" s="1">
        <f t="shared" ca="1" si="11"/>
        <v>10252504.912817344</v>
      </c>
      <c r="AL14" s="1">
        <f t="shared" ca="1" si="11"/>
        <v>8641765.0844407957</v>
      </c>
      <c r="AM14" s="1">
        <f t="shared" ca="1" si="11"/>
        <v>8651627.1179351825</v>
      </c>
      <c r="AN14" s="1">
        <f t="shared" ca="1" si="11"/>
        <v>7036684.8184660347</v>
      </c>
      <c r="AO14" s="1">
        <f t="shared" si="11"/>
        <v>8030230.078453036</v>
      </c>
      <c r="AP14" s="2">
        <f t="shared" ca="1" si="2"/>
        <v>85011814.781356007</v>
      </c>
    </row>
    <row r="15" spans="3:42" x14ac:dyDescent="0.3">
      <c r="C15" s="71" t="s">
        <v>1587</v>
      </c>
      <c r="D15" s="1">
        <f>'IS (ROLLING)'!P64</f>
        <v>1125368.8799999901</v>
      </c>
      <c r="E15" s="1">
        <f>'IS (ROLLING)'!Q64</f>
        <v>1176022.8899999999</v>
      </c>
      <c r="F15" s="1">
        <f>'IS (ROLLING)'!R64</f>
        <v>1028103.30999999</v>
      </c>
      <c r="G15" s="1">
        <f>'IS (ROLLING)'!S64</f>
        <v>1330732.07</v>
      </c>
      <c r="H15" s="1">
        <f>'IS (ROLLING)'!T64</f>
        <v>1150136.8799999901</v>
      </c>
      <c r="I15" s="1">
        <f>'IS (ROLLING)'!U64</f>
        <v>784790.69</v>
      </c>
      <c r="J15" s="1">
        <f>'IS (ROLLING)'!V64</f>
        <v>1032556.85</v>
      </c>
      <c r="K15" s="1">
        <f>'IS (ROLLING)'!W64</f>
        <v>1267197.2057774886</v>
      </c>
      <c r="L15" s="1">
        <f>'IS (ROLLING)'!X64</f>
        <v>1435839.2742233332</v>
      </c>
      <c r="M15" s="1">
        <f>'IS (ROLLING)'!Y64</f>
        <v>1503784.3074408663</v>
      </c>
      <c r="N15" s="1">
        <f>'IS (ROLLING)'!Z64</f>
        <v>1497283.339934729</v>
      </c>
      <c r="O15" s="1">
        <f>'IS (ROLLING)'!AA64</f>
        <v>1490677.1576577767</v>
      </c>
      <c r="P15" s="2">
        <f t="shared" si="0"/>
        <v>14822492.855034163</v>
      </c>
      <c r="Q15" s="1">
        <f>'IS (ROLLING)'!AD64</f>
        <v>1483963.3997116764</v>
      </c>
      <c r="R15" s="1">
        <f>'IS (ROLLING)'!AE64</f>
        <v>1477139.6517664865</v>
      </c>
      <c r="S15" s="1">
        <f>'IS (ROLLING)'!AF64</f>
        <v>1456401.361507769</v>
      </c>
      <c r="T15" s="1">
        <f>'IS (ROLLING)'!AG64</f>
        <v>1430517.0537656141</v>
      </c>
      <c r="U15" s="1">
        <f>'IS (ROLLING)'!AH64</f>
        <v>1409801.9860672113</v>
      </c>
      <c r="V15" s="1">
        <f>'IS (ROLLING)'!AI64</f>
        <v>1385909.1955772755</v>
      </c>
      <c r="W15" s="1">
        <f>'IS (ROLLING)'!AJ64</f>
        <v>1365318.4346950862</v>
      </c>
      <c r="X15" s="1">
        <f>'IS (ROLLING)'!AK64</f>
        <v>1341888.3136444513</v>
      </c>
      <c r="Y15" s="1">
        <f>'IS (ROLLING)'!AL64</f>
        <v>1320143.2743857214</v>
      </c>
      <c r="Z15" s="1">
        <f>'IS (ROLLING)'!AM64</f>
        <v>1299614.8241818422</v>
      </c>
      <c r="AA15" s="1">
        <f>'IS (ROLLING)'!AN64</f>
        <v>1278977.2380678821</v>
      </c>
      <c r="AB15" s="1">
        <f>'IS (ROLLING)'!AO64</f>
        <v>1258523.3962524862</v>
      </c>
      <c r="AC15" s="2">
        <f t="shared" si="1"/>
        <v>16508198.129623502</v>
      </c>
      <c r="AD15" s="1">
        <f>'IS (ROLLING)'!AR64</f>
        <v>725835.34434498253</v>
      </c>
      <c r="AE15" s="1">
        <f>'IS (ROLLING)'!AS64</f>
        <v>705709.12168226484</v>
      </c>
      <c r="AF15" s="1">
        <f>'IS (ROLLING)'!AT64</f>
        <v>685472.38456463651</v>
      </c>
      <c r="AG15" s="1">
        <f>'IS (ROLLING)'!AU64</f>
        <v>665122.73851224105</v>
      </c>
      <c r="AH15" s="1">
        <f>'IS (ROLLING)'!AV64</f>
        <v>644657.73716482567</v>
      </c>
      <c r="AI15" s="1">
        <f>'IS (ROLLING)'!AW64</f>
        <v>624074.88115766447</v>
      </c>
      <c r="AJ15" s="1">
        <f>'IS (ROLLING)'!AX64</f>
        <v>603371.6169731298</v>
      </c>
      <c r="AK15" s="1">
        <f>'IS (ROLLING)'!AY64</f>
        <v>582545.33576737856</v>
      </c>
      <c r="AL15" s="1">
        <f>'IS (ROLLING)'!AZ64</f>
        <v>561593.3696182844</v>
      </c>
      <c r="AM15" s="1">
        <f>'IS (ROLLING)'!BA64</f>
        <v>541736.47269373026</v>
      </c>
      <c r="AN15" s="1">
        <f>'IS (ROLLING)'!BB64</f>
        <v>521748.38814136648</v>
      </c>
      <c r="AO15" s="1">
        <f>'IS (ROLLING)'!BC64</f>
        <v>501626.27356259036</v>
      </c>
      <c r="AP15" s="2">
        <f t="shared" si="2"/>
        <v>7363493.664183096</v>
      </c>
    </row>
    <row r="16" spans="3:42" x14ac:dyDescent="0.3">
      <c r="C16" s="71" t="s">
        <v>1588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2">
        <f t="shared" si="0"/>
        <v>0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2">
        <f t="shared" si="1"/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2">
        <f t="shared" si="2"/>
        <v>0</v>
      </c>
    </row>
    <row r="17" spans="3:42" x14ac:dyDescent="0.3">
      <c r="C17" s="70" t="s">
        <v>1589</v>
      </c>
      <c r="D17" s="1">
        <f>D14-D15</f>
        <v>-2561754.7699999847</v>
      </c>
      <c r="E17" s="1">
        <f t="shared" ref="E17:O17" si="12">E14-E15</f>
        <v>-1205891.519999997</v>
      </c>
      <c r="F17" s="1">
        <f t="shared" si="12"/>
        <v>-4370759.5599999968</v>
      </c>
      <c r="G17" s="1">
        <f t="shared" si="12"/>
        <v>-248827.42999998736</v>
      </c>
      <c r="H17" s="1">
        <f t="shared" si="12"/>
        <v>208503.96000001533</v>
      </c>
      <c r="I17" s="1">
        <f t="shared" si="12"/>
        <v>-130573.60000000172</v>
      </c>
      <c r="J17" s="1">
        <f t="shared" si="12"/>
        <v>1993332.2600000277</v>
      </c>
      <c r="K17" s="1">
        <f t="shared" ca="1" si="12"/>
        <v>3205927.8814588403</v>
      </c>
      <c r="L17" s="1">
        <f t="shared" ca="1" si="12"/>
        <v>2381199.8418464754</v>
      </c>
      <c r="M17" s="1">
        <f t="shared" ca="1" si="12"/>
        <v>2213528.5159524693</v>
      </c>
      <c r="N17" s="1">
        <f t="shared" ca="1" si="12"/>
        <v>1203780.2910214905</v>
      </c>
      <c r="O17" s="1">
        <f t="shared" ca="1" si="12"/>
        <v>1778792.0079137564</v>
      </c>
      <c r="P17" s="2">
        <f t="shared" ca="1" si="0"/>
        <v>4467257.8781931084</v>
      </c>
      <c r="Q17" s="1">
        <f t="shared" ref="Q17:V17" si="13">Q14-Q15</f>
        <v>2468514.5420390223</v>
      </c>
      <c r="R17" s="1">
        <f t="shared" si="13"/>
        <v>1233903.1736017065</v>
      </c>
      <c r="S17" s="1">
        <f t="shared" si="13"/>
        <v>-504304.6503895768</v>
      </c>
      <c r="T17" s="1">
        <f t="shared" si="13"/>
        <v>1847884.8945175875</v>
      </c>
      <c r="U17" s="1">
        <f t="shared" si="13"/>
        <v>3621263.1341784783</v>
      </c>
      <c r="V17" s="1">
        <f t="shared" si="13"/>
        <v>2007566.9583735918</v>
      </c>
      <c r="W17" s="1">
        <f>W14-W15</f>
        <v>5027904.021415784</v>
      </c>
      <c r="X17" s="1">
        <f ca="1">X14-X15</f>
        <v>5995767.2848396813</v>
      </c>
      <c r="Y17" s="1">
        <f ca="1">Y14-Y15</f>
        <v>4699419.7212068243</v>
      </c>
      <c r="Z17" s="1">
        <f ca="1">Z14-Z15</f>
        <v>4654383.941358123</v>
      </c>
      <c r="AA17" s="1">
        <f ca="1">AA14-AA15</f>
        <v>3360545.810651781</v>
      </c>
      <c r="AB17" s="1">
        <f t="shared" ref="AB17:AO17" si="14">AB14-AB15</f>
        <v>4212470.0174146732</v>
      </c>
      <c r="AC17" s="2">
        <f t="shared" ca="1" si="1"/>
        <v>38625318.849207677</v>
      </c>
      <c r="AD17" s="1">
        <f t="shared" si="14"/>
        <v>5789553.7214531256</v>
      </c>
      <c r="AE17" s="1">
        <f t="shared" si="14"/>
        <v>4270903.457271588</v>
      </c>
      <c r="AF17" s="1">
        <f t="shared" si="14"/>
        <v>2153108.7797277141</v>
      </c>
      <c r="AG17" s="1">
        <f t="shared" si="14"/>
        <v>4800075.484906869</v>
      </c>
      <c r="AH17" s="1">
        <f t="shared" si="14"/>
        <v>7161475.6296801511</v>
      </c>
      <c r="AI17" s="1">
        <f t="shared" si="14"/>
        <v>5108530.940872184</v>
      </c>
      <c r="AJ17" s="1">
        <f t="shared" si="14"/>
        <v>8461110.9309322294</v>
      </c>
      <c r="AK17" s="1">
        <f t="shared" ca="1" si="14"/>
        <v>9669959.577049965</v>
      </c>
      <c r="AL17" s="1">
        <f t="shared" ca="1" si="14"/>
        <v>8080171.7148225112</v>
      </c>
      <c r="AM17" s="1">
        <f t="shared" ca="1" si="14"/>
        <v>8109890.6452414524</v>
      </c>
      <c r="AN17" s="1">
        <f t="shared" ca="1" si="14"/>
        <v>6514936.4303246681</v>
      </c>
      <c r="AO17" s="1">
        <f t="shared" si="14"/>
        <v>7528603.8048904454</v>
      </c>
      <c r="AP17" s="2">
        <f t="shared" ca="1" si="2"/>
        <v>77648321.117172897</v>
      </c>
    </row>
    <row r="18" spans="3:42" x14ac:dyDescent="0.3">
      <c r="C18" s="71" t="s">
        <v>31</v>
      </c>
      <c r="D18" s="1">
        <f>IF(D17&gt;0,D17*0.3,0)</f>
        <v>0</v>
      </c>
      <c r="E18" s="1">
        <f t="shared" ref="E18:O18" si="15">IF(E17&gt;0,E17*0.3,0)</f>
        <v>0</v>
      </c>
      <c r="F18" s="1">
        <f t="shared" si="15"/>
        <v>0</v>
      </c>
      <c r="G18" s="1">
        <f t="shared" si="15"/>
        <v>0</v>
      </c>
      <c r="H18" s="1">
        <f t="shared" si="15"/>
        <v>62551.188000004593</v>
      </c>
      <c r="I18" s="1">
        <f t="shared" si="15"/>
        <v>0</v>
      </c>
      <c r="J18" s="1">
        <f t="shared" si="15"/>
        <v>597999.67800000834</v>
      </c>
      <c r="K18" s="1">
        <f t="shared" ca="1" si="15"/>
        <v>961778.36443765205</v>
      </c>
      <c r="L18" s="1">
        <f t="shared" ca="1" si="15"/>
        <v>714359.95255394257</v>
      </c>
      <c r="M18" s="1">
        <f t="shared" ca="1" si="15"/>
        <v>664058.55478574079</v>
      </c>
      <c r="N18" s="1">
        <f t="shared" ca="1" si="15"/>
        <v>361134.08730644715</v>
      </c>
      <c r="O18" s="1">
        <f t="shared" ca="1" si="15"/>
        <v>533637.6023741269</v>
      </c>
      <c r="P18" s="2">
        <f t="shared" ca="1" si="0"/>
        <v>3895519.4274579231</v>
      </c>
      <c r="Q18" s="1">
        <f t="shared" ref="Q18:V18" si="16">IF(Q17&gt;0,Q17*0.3,0)</f>
        <v>740554.36261170672</v>
      </c>
      <c r="R18" s="1">
        <f t="shared" si="16"/>
        <v>370170.95208051195</v>
      </c>
      <c r="S18" s="1">
        <f t="shared" si="16"/>
        <v>0</v>
      </c>
      <c r="T18" s="1">
        <f t="shared" si="16"/>
        <v>554365.46835527627</v>
      </c>
      <c r="U18" s="1">
        <f t="shared" si="16"/>
        <v>1086378.9402535434</v>
      </c>
      <c r="V18" s="1">
        <f t="shared" si="16"/>
        <v>602270.08751207753</v>
      </c>
      <c r="W18" s="1">
        <f>IF(W17&gt;0,W17*0.3,0)</f>
        <v>1508371.2064247353</v>
      </c>
      <c r="X18" s="1">
        <f ca="1">IF(X17&gt;0,X17*0.3,0)</f>
        <v>1798730.1854519043</v>
      </c>
      <c r="Y18" s="1">
        <f ca="1">IF(Y17&gt;0,Y17*0.3,0)</f>
        <v>1409825.9163620472</v>
      </c>
      <c r="Z18" s="1">
        <f ca="1">IF(Z17&gt;0,Z17*0.3,0)</f>
        <v>1396315.1824074369</v>
      </c>
      <c r="AA18" s="1">
        <f ca="1">IF(AA17&gt;0,AA17*0.3,0)</f>
        <v>1008163.7431955342</v>
      </c>
      <c r="AB18" s="1">
        <f t="shared" ref="AB18:AO18" si="17">IF(AB17&gt;0,AB17*0.3,0)</f>
        <v>1263741.0052244018</v>
      </c>
      <c r="AC18" s="2">
        <f t="shared" ca="1" si="1"/>
        <v>11738887.049879175</v>
      </c>
      <c r="AD18" s="1">
        <f t="shared" si="17"/>
        <v>1736866.1164359376</v>
      </c>
      <c r="AE18" s="1">
        <f t="shared" si="17"/>
        <v>1281271.0371814764</v>
      </c>
      <c r="AF18" s="1">
        <f t="shared" si="17"/>
        <v>645932.63391831424</v>
      </c>
      <c r="AG18" s="1">
        <f t="shared" si="17"/>
        <v>1440022.6454720607</v>
      </c>
      <c r="AH18" s="1">
        <f t="shared" si="17"/>
        <v>2148442.6889040451</v>
      </c>
      <c r="AI18" s="1">
        <f t="shared" si="17"/>
        <v>1532559.2822616552</v>
      </c>
      <c r="AJ18" s="1">
        <f t="shared" si="17"/>
        <v>2538333.2792796688</v>
      </c>
      <c r="AK18" s="1">
        <f t="shared" ca="1" si="17"/>
        <v>2900987.8731149896</v>
      </c>
      <c r="AL18" s="1">
        <f t="shared" ca="1" si="17"/>
        <v>2424051.5144467531</v>
      </c>
      <c r="AM18" s="1">
        <f t="shared" ca="1" si="17"/>
        <v>2432967.1935724355</v>
      </c>
      <c r="AN18" s="1">
        <f t="shared" ca="1" si="17"/>
        <v>1954480.9290974003</v>
      </c>
      <c r="AO18" s="1">
        <f t="shared" si="17"/>
        <v>2258581.1414671335</v>
      </c>
      <c r="AP18" s="2">
        <f t="shared" ca="1" si="2"/>
        <v>23294496.335151866</v>
      </c>
    </row>
    <row r="19" spans="3:42" ht="15.6" x14ac:dyDescent="0.3">
      <c r="C19" s="72" t="s">
        <v>1590</v>
      </c>
      <c r="D19" s="1">
        <f>D17-D18</f>
        <v>-2561754.7699999847</v>
      </c>
      <c r="E19" s="1">
        <f t="shared" ref="E19:O19" si="18">E17-E18</f>
        <v>-1205891.519999997</v>
      </c>
      <c r="F19" s="1">
        <f t="shared" si="18"/>
        <v>-4370759.5599999968</v>
      </c>
      <c r="G19" s="1">
        <f t="shared" si="18"/>
        <v>-248827.42999998736</v>
      </c>
      <c r="H19" s="1">
        <f t="shared" si="18"/>
        <v>145952.77200001074</v>
      </c>
      <c r="I19" s="1">
        <f t="shared" si="18"/>
        <v>-130573.60000000172</v>
      </c>
      <c r="J19" s="1">
        <f t="shared" si="18"/>
        <v>1395332.5820000195</v>
      </c>
      <c r="K19" s="1">
        <f t="shared" ca="1" si="18"/>
        <v>2244149.5170211885</v>
      </c>
      <c r="L19" s="1">
        <f t="shared" ca="1" si="18"/>
        <v>1666839.8892925328</v>
      </c>
      <c r="M19" s="1">
        <f t="shared" ca="1" si="18"/>
        <v>1549469.9611667285</v>
      </c>
      <c r="N19" s="1">
        <f t="shared" ca="1" si="18"/>
        <v>842646.20371504338</v>
      </c>
      <c r="O19" s="1">
        <f t="shared" ca="1" si="18"/>
        <v>1245154.4055396295</v>
      </c>
      <c r="P19" s="2">
        <f t="shared" ca="1" si="0"/>
        <v>571738.4507351853</v>
      </c>
      <c r="Q19" s="1">
        <f t="shared" ref="Q19:V19" si="19">Q17-Q18</f>
        <v>1727960.1794273155</v>
      </c>
      <c r="R19" s="1">
        <f t="shared" si="19"/>
        <v>863732.22152119456</v>
      </c>
      <c r="S19" s="1">
        <f t="shared" si="19"/>
        <v>-504304.6503895768</v>
      </c>
      <c r="T19" s="1">
        <f t="shared" si="19"/>
        <v>1293519.4261623113</v>
      </c>
      <c r="U19" s="1">
        <f t="shared" si="19"/>
        <v>2534884.1939249346</v>
      </c>
      <c r="V19" s="1">
        <f t="shared" si="19"/>
        <v>1405296.8708615142</v>
      </c>
      <c r="W19" s="1">
        <f>W17-W18</f>
        <v>3519532.8149910485</v>
      </c>
      <c r="X19" s="1">
        <f ca="1">X17-X18</f>
        <v>4197037.099387777</v>
      </c>
      <c r="Y19" s="1">
        <f ca="1">Y17-Y18</f>
        <v>3289593.8048447771</v>
      </c>
      <c r="Z19" s="1">
        <f ca="1">Z17-Z18</f>
        <v>3258068.7589506861</v>
      </c>
      <c r="AA19" s="1">
        <f ca="1">AA17-AA18</f>
        <v>2352382.0674562468</v>
      </c>
      <c r="AB19" s="1">
        <f t="shared" ref="AB19:AO19" si="20">AB17-AB18</f>
        <v>2948729.0121902712</v>
      </c>
      <c r="AC19" s="2">
        <f t="shared" ca="1" si="1"/>
        <v>26886431.799328502</v>
      </c>
      <c r="AD19" s="1">
        <f t="shared" si="20"/>
        <v>4052687.605017188</v>
      </c>
      <c r="AE19" s="1">
        <f t="shared" si="20"/>
        <v>2989632.4200901119</v>
      </c>
      <c r="AF19" s="1">
        <f t="shared" si="20"/>
        <v>1507176.1458093999</v>
      </c>
      <c r="AG19" s="1">
        <f t="shared" si="20"/>
        <v>3360052.8394348081</v>
      </c>
      <c r="AH19" s="1">
        <f t="shared" si="20"/>
        <v>5013032.940776106</v>
      </c>
      <c r="AI19" s="1">
        <f t="shared" si="20"/>
        <v>3575971.6586105288</v>
      </c>
      <c r="AJ19" s="1">
        <f t="shared" si="20"/>
        <v>5922777.6516525606</v>
      </c>
      <c r="AK19" s="1">
        <f t="shared" ca="1" si="20"/>
        <v>6768971.703934975</v>
      </c>
      <c r="AL19" s="1">
        <f t="shared" ca="1" si="20"/>
        <v>5656120.2003757581</v>
      </c>
      <c r="AM19" s="1">
        <f t="shared" ca="1" si="20"/>
        <v>5676923.4516690169</v>
      </c>
      <c r="AN19" s="1">
        <f t="shared" ca="1" si="20"/>
        <v>4560455.501227268</v>
      </c>
      <c r="AO19" s="1">
        <f t="shared" si="20"/>
        <v>5270022.6634233119</v>
      </c>
      <c r="AP19" s="2">
        <f t="shared" ca="1" si="2"/>
        <v>54353824.782021031</v>
      </c>
    </row>
    <row r="21" spans="3:42" x14ac:dyDescent="0.3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</sheetData>
  <phoneticPr fontId="2" type="noConversion"/>
  <pageMargins left="0.7" right="0.7" top="0.75" bottom="0.75" header="0.3" footer="0.3"/>
  <headerFooter>
    <oddHeader>&amp;R&amp;"Calibri"&amp;10&amp;K000000 Confidencial&amp;1#_x000D_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1B0C1-E94E-43D5-9764-085DD022B70C}">
  <sheetPr codeName="Sheet21"/>
  <dimension ref="B1:AY78"/>
  <sheetViews>
    <sheetView showGridLines="0" zoomScale="48" workbookViewId="0">
      <pane xSplit="17" ySplit="14" topLeftCell="R36" activePane="bottomRight" state="frozen"/>
      <selection pane="topRight" activeCell="R1" sqref="R1"/>
      <selection pane="bottomLeft" activeCell="A15" sqref="A15"/>
      <selection pane="bottomRight" activeCell="T63" sqref="T63"/>
    </sheetView>
  </sheetViews>
  <sheetFormatPr baseColWidth="10" defaultColWidth="8.88671875" defaultRowHeight="18" outlineLevelCol="1" x14ac:dyDescent="0.35"/>
  <cols>
    <col min="1" max="1" width="8.88671875" style="26"/>
    <col min="2" max="2" width="45.88671875" style="26" customWidth="1"/>
    <col min="3" max="3" width="12" style="26" hidden="1" customWidth="1" outlineLevel="1"/>
    <col min="4" max="13" width="8.88671875" style="26" hidden="1" customWidth="1" outlineLevel="1"/>
    <col min="14" max="14" width="11" style="26" hidden="1" customWidth="1" outlineLevel="1"/>
    <col min="15" max="15" width="15.109375" style="26" customWidth="1" collapsed="1"/>
    <col min="16" max="17" width="15.109375" style="26" customWidth="1"/>
    <col min="18" max="20" width="15.88671875" style="26" bestFit="1" customWidth="1"/>
    <col min="21" max="24" width="14.44140625" style="26" bestFit="1" customWidth="1"/>
    <col min="25" max="26" width="15.109375" style="26" bestFit="1" customWidth="1"/>
    <col min="27" max="27" width="16.44140625" style="27" bestFit="1" customWidth="1"/>
    <col min="28" max="28" width="14" style="26" bestFit="1" customWidth="1"/>
    <col min="29" max="36" width="16" style="26" bestFit="1" customWidth="1"/>
    <col min="37" max="37" width="17.44140625" style="26" bestFit="1" customWidth="1"/>
    <col min="38" max="38" width="6" style="26" bestFit="1" customWidth="1"/>
    <col min="39" max="40" width="16" style="26" bestFit="1" customWidth="1"/>
    <col min="41" max="16384" width="8.88671875" style="26"/>
  </cols>
  <sheetData>
    <row r="1" spans="2:51" hidden="1" x14ac:dyDescent="0.35"/>
    <row r="2" spans="2:51" hidden="1" x14ac:dyDescent="0.35"/>
    <row r="3" spans="2:51" hidden="1" x14ac:dyDescent="0.35"/>
    <row r="4" spans="2:51" hidden="1" x14ac:dyDescent="0.35"/>
    <row r="5" spans="2:51" hidden="1" x14ac:dyDescent="0.35"/>
    <row r="6" spans="2:51" hidden="1" x14ac:dyDescent="0.35"/>
    <row r="7" spans="2:51" hidden="1" x14ac:dyDescent="0.35"/>
    <row r="8" spans="2:51" hidden="1" x14ac:dyDescent="0.35">
      <c r="B8" s="28" t="s">
        <v>1001</v>
      </c>
    </row>
    <row r="10" spans="2:51" x14ac:dyDescent="0.35">
      <c r="B10" s="26" t="s">
        <v>0</v>
      </c>
    </row>
    <row r="11" spans="2:51" s="33" customFormat="1" x14ac:dyDescent="0.35">
      <c r="B11" s="33" t="s">
        <v>1</v>
      </c>
      <c r="C11" s="33">
        <v>1</v>
      </c>
      <c r="D11" s="33">
        <v>2</v>
      </c>
      <c r="E11" s="33">
        <v>3</v>
      </c>
      <c r="F11" s="33">
        <v>4</v>
      </c>
      <c r="G11" s="33">
        <v>5</v>
      </c>
      <c r="H11" s="33">
        <v>6</v>
      </c>
      <c r="I11" s="33">
        <v>7</v>
      </c>
      <c r="J11" s="33">
        <v>8</v>
      </c>
      <c r="K11" s="33">
        <v>9</v>
      </c>
      <c r="L11" s="33">
        <v>10</v>
      </c>
      <c r="M11" s="33">
        <v>11</v>
      </c>
      <c r="N11" s="33">
        <v>12</v>
      </c>
      <c r="O11" s="33">
        <v>1</v>
      </c>
      <c r="P11" s="33">
        <v>2</v>
      </c>
      <c r="Q11" s="33">
        <v>3</v>
      </c>
      <c r="R11" s="33">
        <v>4</v>
      </c>
      <c r="S11" s="33">
        <v>5</v>
      </c>
      <c r="T11" s="33">
        <v>6</v>
      </c>
      <c r="U11" s="33">
        <v>7</v>
      </c>
      <c r="V11" s="33">
        <v>8</v>
      </c>
      <c r="W11" s="33">
        <v>9</v>
      </c>
      <c r="X11" s="33">
        <v>10</v>
      </c>
      <c r="Y11" s="33">
        <v>11</v>
      </c>
      <c r="Z11" s="33">
        <v>12</v>
      </c>
      <c r="AA11" s="161">
        <v>2025</v>
      </c>
      <c r="AB11" s="33">
        <v>1</v>
      </c>
      <c r="AC11" s="33">
        <v>2</v>
      </c>
      <c r="AD11" s="33">
        <v>3</v>
      </c>
      <c r="AE11" s="33">
        <v>4</v>
      </c>
      <c r="AF11" s="33">
        <v>5</v>
      </c>
      <c r="AG11" s="33">
        <v>6</v>
      </c>
      <c r="AH11" s="33">
        <v>7</v>
      </c>
      <c r="AI11" s="33">
        <v>8</v>
      </c>
      <c r="AJ11" s="33">
        <v>9</v>
      </c>
      <c r="AK11" s="33">
        <v>10</v>
      </c>
      <c r="AL11" s="33">
        <v>11</v>
      </c>
      <c r="AM11" s="33">
        <v>12</v>
      </c>
      <c r="AN11" s="33">
        <v>1</v>
      </c>
      <c r="AO11" s="33">
        <v>2</v>
      </c>
      <c r="AP11" s="33">
        <v>3</v>
      </c>
      <c r="AQ11" s="33">
        <v>4</v>
      </c>
      <c r="AR11" s="33">
        <v>5</v>
      </c>
      <c r="AS11" s="33">
        <v>6</v>
      </c>
      <c r="AT11" s="33">
        <v>7</v>
      </c>
      <c r="AU11" s="33">
        <v>8</v>
      </c>
      <c r="AV11" s="33">
        <v>9</v>
      </c>
      <c r="AW11" s="33">
        <v>10</v>
      </c>
      <c r="AX11" s="33">
        <v>11</v>
      </c>
      <c r="AY11" s="33">
        <v>12</v>
      </c>
    </row>
    <row r="12" spans="2:51" hidden="1" x14ac:dyDescent="0.35">
      <c r="B12" s="26" t="s">
        <v>2</v>
      </c>
      <c r="C12" s="26">
        <v>1</v>
      </c>
      <c r="D12" s="26">
        <v>1</v>
      </c>
      <c r="E12" s="26">
        <v>1</v>
      </c>
      <c r="F12" s="26">
        <v>2</v>
      </c>
      <c r="G12" s="26">
        <v>2</v>
      </c>
      <c r="H12" s="26">
        <v>2</v>
      </c>
      <c r="I12" s="26">
        <v>3</v>
      </c>
      <c r="J12" s="26">
        <v>3</v>
      </c>
      <c r="K12" s="26">
        <v>3</v>
      </c>
      <c r="L12" s="26">
        <v>4</v>
      </c>
      <c r="M12" s="26">
        <v>4</v>
      </c>
      <c r="N12" s="26">
        <v>4</v>
      </c>
      <c r="O12" s="26">
        <v>1</v>
      </c>
      <c r="P12" s="26">
        <v>1</v>
      </c>
      <c r="Q12" s="26">
        <v>1</v>
      </c>
      <c r="R12" s="26">
        <v>2</v>
      </c>
      <c r="S12" s="26">
        <v>2</v>
      </c>
      <c r="T12" s="26">
        <v>2</v>
      </c>
      <c r="U12" s="26">
        <v>3</v>
      </c>
      <c r="V12" s="26">
        <v>3</v>
      </c>
      <c r="W12" s="26">
        <v>3</v>
      </c>
      <c r="X12" s="26">
        <v>4</v>
      </c>
      <c r="Y12" s="26">
        <v>4</v>
      </c>
      <c r="Z12" s="26">
        <v>4</v>
      </c>
      <c r="AB12" s="26">
        <v>1</v>
      </c>
      <c r="AC12" s="26">
        <v>1</v>
      </c>
      <c r="AD12" s="26">
        <v>1</v>
      </c>
      <c r="AE12" s="26">
        <v>2</v>
      </c>
      <c r="AF12" s="26">
        <v>2</v>
      </c>
      <c r="AG12" s="26">
        <v>2</v>
      </c>
      <c r="AH12" s="26">
        <v>3</v>
      </c>
      <c r="AI12" s="26">
        <v>3</v>
      </c>
      <c r="AJ12" s="26">
        <v>3</v>
      </c>
      <c r="AK12" s="26">
        <v>4</v>
      </c>
      <c r="AL12" s="26">
        <v>4</v>
      </c>
      <c r="AM12" s="26">
        <v>4</v>
      </c>
      <c r="AN12" s="26">
        <v>1</v>
      </c>
      <c r="AO12" s="26">
        <v>1</v>
      </c>
      <c r="AP12" s="26">
        <v>1</v>
      </c>
      <c r="AQ12" s="26">
        <v>2</v>
      </c>
      <c r="AR12" s="26">
        <v>2</v>
      </c>
      <c r="AS12" s="26">
        <v>2</v>
      </c>
      <c r="AT12" s="26">
        <v>3</v>
      </c>
      <c r="AU12" s="26">
        <v>3</v>
      </c>
      <c r="AV12" s="26">
        <v>3</v>
      </c>
      <c r="AW12" s="26">
        <v>4</v>
      </c>
      <c r="AX12" s="26">
        <v>4</v>
      </c>
      <c r="AY12" s="26">
        <v>4</v>
      </c>
    </row>
    <row r="13" spans="2:51" hidden="1" x14ac:dyDescent="0.35">
      <c r="B13" s="26" t="s">
        <v>32</v>
      </c>
      <c r="C13" s="26">
        <v>2024</v>
      </c>
      <c r="D13" s="26">
        <v>2024</v>
      </c>
      <c r="E13" s="26">
        <v>2024</v>
      </c>
      <c r="F13" s="26">
        <v>2024</v>
      </c>
      <c r="G13" s="26">
        <v>2024</v>
      </c>
      <c r="H13" s="26">
        <v>2024</v>
      </c>
      <c r="I13" s="26">
        <v>2024</v>
      </c>
      <c r="J13" s="26">
        <v>2024</v>
      </c>
      <c r="K13" s="26">
        <v>2024</v>
      </c>
      <c r="L13" s="26">
        <v>2024</v>
      </c>
      <c r="M13" s="26">
        <v>2024</v>
      </c>
      <c r="N13" s="26">
        <v>2024</v>
      </c>
      <c r="O13" s="26">
        <v>2025</v>
      </c>
      <c r="P13" s="26">
        <v>2025</v>
      </c>
      <c r="Q13" s="26">
        <v>2025</v>
      </c>
      <c r="R13" s="26">
        <v>2025</v>
      </c>
      <c r="S13" s="26">
        <v>2025</v>
      </c>
      <c r="T13" s="26">
        <v>2025</v>
      </c>
      <c r="U13" s="26">
        <v>2025</v>
      </c>
      <c r="V13" s="26">
        <v>2025</v>
      </c>
      <c r="W13" s="26">
        <v>2025</v>
      </c>
      <c r="X13" s="26">
        <v>2025</v>
      </c>
      <c r="Y13" s="26">
        <v>2025</v>
      </c>
      <c r="Z13" s="26">
        <v>2025</v>
      </c>
      <c r="AB13" s="26">
        <v>2026</v>
      </c>
      <c r="AC13" s="26">
        <v>2026</v>
      </c>
      <c r="AD13" s="26">
        <v>2026</v>
      </c>
      <c r="AE13" s="26">
        <v>2026</v>
      </c>
      <c r="AF13" s="26">
        <v>2026</v>
      </c>
      <c r="AG13" s="26">
        <v>2026</v>
      </c>
      <c r="AH13" s="26">
        <v>2026</v>
      </c>
      <c r="AI13" s="26">
        <v>2026</v>
      </c>
      <c r="AJ13" s="26">
        <v>2026</v>
      </c>
      <c r="AK13" s="26">
        <v>2026</v>
      </c>
      <c r="AL13" s="26">
        <v>2026</v>
      </c>
      <c r="AM13" s="26">
        <v>2026</v>
      </c>
      <c r="AN13" s="26">
        <v>2027</v>
      </c>
      <c r="AO13" s="26">
        <v>2027</v>
      </c>
      <c r="AP13" s="26">
        <v>2027</v>
      </c>
      <c r="AQ13" s="26">
        <v>2027</v>
      </c>
      <c r="AR13" s="26">
        <v>2027</v>
      </c>
      <c r="AS13" s="26">
        <v>2027</v>
      </c>
      <c r="AT13" s="26">
        <v>2027</v>
      </c>
      <c r="AU13" s="26">
        <v>2027</v>
      </c>
      <c r="AV13" s="26">
        <v>2027</v>
      </c>
      <c r="AW13" s="26">
        <v>2027</v>
      </c>
      <c r="AX13" s="26">
        <v>2027</v>
      </c>
      <c r="AY13" s="26">
        <v>2027</v>
      </c>
    </row>
    <row r="15" spans="2:51" x14ac:dyDescent="0.35">
      <c r="B15" s="29" t="s">
        <v>11</v>
      </c>
      <c r="O15" s="68">
        <v>9986850.8800000008</v>
      </c>
      <c r="P15" s="68">
        <v>9037414.3800000008</v>
      </c>
      <c r="Q15" s="68">
        <v>4999160.18</v>
      </c>
      <c r="R15" s="165">
        <v>10033729.5</v>
      </c>
      <c r="S15" s="68">
        <v>19000000</v>
      </c>
      <c r="T15" s="68">
        <v>15000000</v>
      </c>
      <c r="U15" s="68">
        <v>6300000</v>
      </c>
      <c r="V15" s="68">
        <v>6400000</v>
      </c>
      <c r="W15" s="68">
        <v>12500000</v>
      </c>
      <c r="X15" s="68">
        <v>10300000</v>
      </c>
      <c r="Y15" s="68">
        <v>13200000</v>
      </c>
      <c r="Z15" s="68">
        <v>12300000</v>
      </c>
      <c r="AA15" s="31">
        <f>SUM(O15:Z15)</f>
        <v>129057154.94</v>
      </c>
    </row>
    <row r="16" spans="2:51" x14ac:dyDescent="0.35">
      <c r="B16" s="29" t="s">
        <v>12</v>
      </c>
      <c r="O16" s="68">
        <v>1558776</v>
      </c>
      <c r="P16" s="68">
        <v>966300.91</v>
      </c>
      <c r="Q16" s="68">
        <v>785511.60000000009</v>
      </c>
      <c r="R16" s="165">
        <v>2159841.88</v>
      </c>
      <c r="S16" s="68">
        <v>1285000</v>
      </c>
      <c r="T16" s="68">
        <v>1378873</v>
      </c>
      <c r="U16" s="68">
        <v>1469881</v>
      </c>
      <c r="V16" s="68">
        <v>1512624</v>
      </c>
      <c r="W16" s="68">
        <v>1278563</v>
      </c>
      <c r="X16" s="68">
        <v>1282709</v>
      </c>
      <c r="Y16" s="68">
        <v>1327282</v>
      </c>
      <c r="Z16" s="68">
        <v>1327282</v>
      </c>
      <c r="AA16" s="31">
        <f t="shared" ref="AA16:AA70" si="0">SUM(O16:Z16)</f>
        <v>16332644.390000001</v>
      </c>
    </row>
    <row r="17" spans="2:40" x14ac:dyDescent="0.35">
      <c r="B17" s="32" t="s">
        <v>13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69">
        <v>5326774.88</v>
      </c>
      <c r="P17" s="69">
        <v>5596982.5700000003</v>
      </c>
      <c r="Q17" s="69">
        <v>7019399.6699999999</v>
      </c>
      <c r="R17" s="166">
        <v>6440645</v>
      </c>
      <c r="S17" s="69">
        <v>6434464</v>
      </c>
      <c r="T17" s="69">
        <v>6300000</v>
      </c>
      <c r="U17" s="69">
        <v>6500000</v>
      </c>
      <c r="V17" s="69">
        <v>6500000</v>
      </c>
      <c r="W17" s="69">
        <v>6500000</v>
      </c>
      <c r="X17" s="69">
        <v>6500000</v>
      </c>
      <c r="Y17" s="69">
        <v>6500000</v>
      </c>
      <c r="Z17" s="69">
        <v>6500000</v>
      </c>
      <c r="AA17" s="50">
        <f t="shared" si="0"/>
        <v>76118266.120000005</v>
      </c>
    </row>
    <row r="18" spans="2:40" x14ac:dyDescent="0.35">
      <c r="B18" s="27" t="s">
        <v>34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35">
        <f>SUM(O15:O17)</f>
        <v>16872401.760000002</v>
      </c>
      <c r="P18" s="35">
        <f>SUM(P15:P17)</f>
        <v>15600697.860000001</v>
      </c>
      <c r="Q18" s="35">
        <f>SUM(Q15:Q17)</f>
        <v>12804071.449999999</v>
      </c>
      <c r="R18" s="164">
        <f>SUM(R15:R17)</f>
        <v>18634216.379999999</v>
      </c>
      <c r="S18" s="35">
        <f>SUM(S15:S17)</f>
        <v>26719464</v>
      </c>
      <c r="T18" s="35">
        <f t="shared" ref="T18:Z18" si="1">SUM(T15:T17)</f>
        <v>22678873</v>
      </c>
      <c r="U18" s="35">
        <f t="shared" si="1"/>
        <v>14269881</v>
      </c>
      <c r="V18" s="35">
        <f t="shared" si="1"/>
        <v>14412624</v>
      </c>
      <c r="W18" s="35">
        <f t="shared" si="1"/>
        <v>20278563</v>
      </c>
      <c r="X18" s="35">
        <f t="shared" si="1"/>
        <v>18082709</v>
      </c>
      <c r="Y18" s="35">
        <f t="shared" si="1"/>
        <v>21027282</v>
      </c>
      <c r="Z18" s="35">
        <f t="shared" si="1"/>
        <v>20127282</v>
      </c>
      <c r="AA18" s="31">
        <f t="shared" si="0"/>
        <v>221508065.44999999</v>
      </c>
      <c r="AC18" s="162"/>
      <c r="AD18" s="162"/>
      <c r="AE18" s="162"/>
      <c r="AF18" s="162"/>
      <c r="AG18" s="162"/>
      <c r="AH18" s="162"/>
      <c r="AI18" s="162"/>
      <c r="AJ18" s="162"/>
      <c r="AK18" s="162"/>
      <c r="AL18" s="162"/>
      <c r="AM18" s="162"/>
      <c r="AN18" s="162"/>
    </row>
    <row r="19" spans="2:40" x14ac:dyDescent="0.35">
      <c r="B19" s="36" t="s">
        <v>34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73">
        <f t="shared" ref="O19:Z19" si="2">O18/O22</f>
        <v>1.0873913700813524</v>
      </c>
      <c r="P19" s="73">
        <f t="shared" si="2"/>
        <v>1.0347875487949818</v>
      </c>
      <c r="Q19" s="73">
        <f t="shared" si="2"/>
        <v>1.0937450997328091</v>
      </c>
      <c r="R19" s="169">
        <f t="shared" si="2"/>
        <v>1.0204081632653061</v>
      </c>
      <c r="S19" s="41" t="s">
        <v>1224</v>
      </c>
      <c r="T19" s="41">
        <f t="shared" si="2"/>
        <v>1.0204081632653061</v>
      </c>
      <c r="U19" s="41">
        <f t="shared" si="2"/>
        <v>1.0204081632653061</v>
      </c>
      <c r="V19" s="41">
        <f t="shared" si="2"/>
        <v>1.0204081632653061</v>
      </c>
      <c r="W19" s="41">
        <f t="shared" si="2"/>
        <v>1.0204081632653061</v>
      </c>
      <c r="X19" s="41">
        <f t="shared" si="2"/>
        <v>1.0204081632653061</v>
      </c>
      <c r="Y19" s="41">
        <f t="shared" si="2"/>
        <v>1.0204081632653061</v>
      </c>
      <c r="Z19" s="41">
        <f t="shared" si="2"/>
        <v>1.0204081632653061</v>
      </c>
      <c r="AA19" s="66">
        <f>AA18/AA$22</f>
        <v>1.0302435090566116</v>
      </c>
    </row>
    <row r="20" spans="2:40" x14ac:dyDescent="0.35">
      <c r="B20" s="29" t="s">
        <v>4</v>
      </c>
      <c r="O20" s="39"/>
      <c r="P20" s="39"/>
      <c r="Q20" s="39"/>
      <c r="R20" s="167">
        <f>R$18*ASSUMPTIONS!$C12</f>
        <v>0</v>
      </c>
      <c r="S20" s="39">
        <f>S$18*ASSUMPTIONS!$C12</f>
        <v>0</v>
      </c>
      <c r="T20" s="39">
        <f>T$18*ASSUMPTIONS!$C12</f>
        <v>0</v>
      </c>
      <c r="U20" s="39">
        <f>U$18*ASSUMPTIONS!$C12</f>
        <v>0</v>
      </c>
      <c r="V20" s="39">
        <f>V$18*ASSUMPTIONS!$C12</f>
        <v>0</v>
      </c>
      <c r="W20" s="39">
        <f>W$18*ASSUMPTIONS!$C12</f>
        <v>0</v>
      </c>
      <c r="X20" s="39">
        <f>X$18*ASSUMPTIONS!$C12</f>
        <v>0</v>
      </c>
      <c r="Y20" s="39">
        <f>Y$18*ASSUMPTIONS!$C12</f>
        <v>0</v>
      </c>
      <c r="Z20" s="39">
        <f>Z$18*ASSUMPTIONS!$C12</f>
        <v>0</v>
      </c>
      <c r="AA20" s="31">
        <f t="shared" si="0"/>
        <v>0</v>
      </c>
    </row>
    <row r="21" spans="2:40" x14ac:dyDescent="0.35">
      <c r="B21" s="32" t="s">
        <v>5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67">
        <v>1355999.64</v>
      </c>
      <c r="P21" s="67">
        <v>524465.17999999993</v>
      </c>
      <c r="Q21" s="67">
        <v>1097439.3899999999</v>
      </c>
      <c r="R21" s="168">
        <f>R$18*ASSUMPTIONS!$C13</f>
        <v>372684.32759999996</v>
      </c>
      <c r="S21" s="40">
        <f>S$18*ASSUMPTIONS!$C13</f>
        <v>534389.28</v>
      </c>
      <c r="T21" s="40">
        <f>T$18*ASSUMPTIONS!$C13</f>
        <v>453577.46</v>
      </c>
      <c r="U21" s="40">
        <f>U$18*ASSUMPTIONS!$C13</f>
        <v>285397.62</v>
      </c>
      <c r="V21" s="40">
        <f>V$18*ASSUMPTIONS!$C13</f>
        <v>288252.48</v>
      </c>
      <c r="W21" s="40">
        <f>W$18*ASSUMPTIONS!$C13</f>
        <v>405571.26</v>
      </c>
      <c r="X21" s="40">
        <f>X$18*ASSUMPTIONS!$C13</f>
        <v>361654.18</v>
      </c>
      <c r="Y21" s="40">
        <f>Y$18*ASSUMPTIONS!$C13</f>
        <v>420545.64</v>
      </c>
      <c r="Z21" s="40">
        <f>Z$18*ASSUMPTIONS!$C13</f>
        <v>402545.64</v>
      </c>
      <c r="AA21" s="50">
        <f t="shared" si="0"/>
        <v>6502522.0975999981</v>
      </c>
    </row>
    <row r="22" spans="2:40" x14ac:dyDescent="0.35">
      <c r="B22" s="27" t="s">
        <v>33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35">
        <f>O18-O20-O21</f>
        <v>15516402.120000001</v>
      </c>
      <c r="P22" s="35">
        <f t="shared" ref="P22:Z22" si="3">P18-P20-P21</f>
        <v>15076232.680000002</v>
      </c>
      <c r="Q22" s="35">
        <f>Q18-Q20-Q21</f>
        <v>11706632.059999999</v>
      </c>
      <c r="R22" s="164">
        <f>R18-R20-R21</f>
        <v>18261532.0524</v>
      </c>
      <c r="S22" s="35">
        <f t="shared" si="3"/>
        <v>26185074.719999999</v>
      </c>
      <c r="T22" s="35">
        <f t="shared" si="3"/>
        <v>22225295.539999999</v>
      </c>
      <c r="U22" s="35">
        <f t="shared" si="3"/>
        <v>13984483.380000001</v>
      </c>
      <c r="V22" s="35">
        <f t="shared" si="3"/>
        <v>14124371.52</v>
      </c>
      <c r="W22" s="35">
        <f t="shared" si="3"/>
        <v>19872991.739999998</v>
      </c>
      <c r="X22" s="35">
        <f t="shared" si="3"/>
        <v>17721054.82</v>
      </c>
      <c r="Y22" s="35">
        <f t="shared" si="3"/>
        <v>20606736.359999999</v>
      </c>
      <c r="Z22" s="35">
        <f t="shared" si="3"/>
        <v>19724736.359999999</v>
      </c>
      <c r="AA22" s="31">
        <f t="shared" si="0"/>
        <v>215005543.3524</v>
      </c>
    </row>
    <row r="23" spans="2:40" x14ac:dyDescent="0.35">
      <c r="B23" s="36" t="s">
        <v>33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73">
        <f>O22/O$22</f>
        <v>1</v>
      </c>
      <c r="P23" s="41">
        <f t="shared" ref="P23:Z23" si="4">P22/P$22</f>
        <v>1</v>
      </c>
      <c r="Q23" s="41">
        <f t="shared" si="4"/>
        <v>1</v>
      </c>
      <c r="R23" s="169">
        <f t="shared" si="4"/>
        <v>1</v>
      </c>
      <c r="S23" s="41">
        <f t="shared" si="4"/>
        <v>1</v>
      </c>
      <c r="T23" s="41">
        <f t="shared" si="4"/>
        <v>1</v>
      </c>
      <c r="U23" s="41">
        <f t="shared" si="4"/>
        <v>1</v>
      </c>
      <c r="V23" s="41">
        <f t="shared" si="4"/>
        <v>1</v>
      </c>
      <c r="W23" s="41">
        <f t="shared" si="4"/>
        <v>1</v>
      </c>
      <c r="X23" s="41">
        <f t="shared" si="4"/>
        <v>1</v>
      </c>
      <c r="Y23" s="41">
        <f t="shared" si="4"/>
        <v>1</v>
      </c>
      <c r="Z23" s="41">
        <f t="shared" si="4"/>
        <v>1</v>
      </c>
      <c r="AA23" s="38">
        <f>AA22/AA$22</f>
        <v>1</v>
      </c>
    </row>
    <row r="24" spans="2:40" x14ac:dyDescent="0.35">
      <c r="B24" s="32" t="s">
        <v>6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67">
        <v>6374777.3000000007</v>
      </c>
      <c r="P24" s="67">
        <v>6554330.4000000004</v>
      </c>
      <c r="Q24" s="67">
        <v>4958570.59</v>
      </c>
      <c r="R24" s="170">
        <v>7495199.3043241398</v>
      </c>
      <c r="S24" s="40">
        <f t="shared" ref="S24:Z24" si="5">SUM(S14:S16)*0.5+S17*0.34</f>
        <v>12330217.76</v>
      </c>
      <c r="T24" s="40">
        <f t="shared" si="5"/>
        <v>10331436.5</v>
      </c>
      <c r="U24" s="40">
        <f t="shared" si="5"/>
        <v>6094940.5</v>
      </c>
      <c r="V24" s="40">
        <f t="shared" si="5"/>
        <v>6166312</v>
      </c>
      <c r="W24" s="40">
        <f t="shared" si="5"/>
        <v>9099281.5</v>
      </c>
      <c r="X24" s="40">
        <f t="shared" si="5"/>
        <v>8001354.5</v>
      </c>
      <c r="Y24" s="40">
        <f t="shared" si="5"/>
        <v>9473641</v>
      </c>
      <c r="Z24" s="40">
        <f t="shared" si="5"/>
        <v>9023641</v>
      </c>
      <c r="AA24" s="50">
        <f t="shared" si="0"/>
        <v>95903702.354324132</v>
      </c>
    </row>
    <row r="25" spans="2:40" x14ac:dyDescent="0.35">
      <c r="B25" s="27" t="s">
        <v>22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35">
        <f>O22-O24</f>
        <v>9141624.8200000003</v>
      </c>
      <c r="P25" s="35">
        <f t="shared" ref="P25:Z25" si="6">P22-P24</f>
        <v>8521902.2800000012</v>
      </c>
      <c r="Q25" s="35">
        <f t="shared" si="6"/>
        <v>6748061.4699999988</v>
      </c>
      <c r="R25" s="164">
        <f t="shared" si="6"/>
        <v>10766332.748075861</v>
      </c>
      <c r="S25" s="35">
        <f t="shared" si="6"/>
        <v>13854856.959999999</v>
      </c>
      <c r="T25" s="35">
        <f t="shared" si="6"/>
        <v>11893859.039999999</v>
      </c>
      <c r="U25" s="35">
        <f t="shared" si="6"/>
        <v>7889542.8800000008</v>
      </c>
      <c r="V25" s="35">
        <f t="shared" si="6"/>
        <v>7958059.5199999996</v>
      </c>
      <c r="W25" s="35">
        <f t="shared" si="6"/>
        <v>10773710.239999998</v>
      </c>
      <c r="X25" s="35">
        <f t="shared" si="6"/>
        <v>9719700.3200000003</v>
      </c>
      <c r="Y25" s="35">
        <f t="shared" si="6"/>
        <v>11133095.359999999</v>
      </c>
      <c r="Z25" s="35">
        <f t="shared" si="6"/>
        <v>10701095.359999999</v>
      </c>
      <c r="AA25" s="66">
        <f>1-AA24/AA$22</f>
        <v>0.55394776869945472</v>
      </c>
    </row>
    <row r="26" spans="2:40" x14ac:dyDescent="0.35">
      <c r="B26" s="36" t="s">
        <v>22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73">
        <f>O25/O$22</f>
        <v>0.58915879785152148</v>
      </c>
      <c r="P26" s="41">
        <f t="shared" ref="P26:Z26" si="7">P25/P$22</f>
        <v>0.56525409635691559</v>
      </c>
      <c r="Q26" s="41">
        <f>Q25/Q$22</f>
        <v>0.57643064507487385</v>
      </c>
      <c r="R26" s="169">
        <f>R25/R$22</f>
        <v>0.58956349977552447</v>
      </c>
      <c r="S26" s="41">
        <f t="shared" si="7"/>
        <v>0.52911275251843159</v>
      </c>
      <c r="T26" s="41">
        <f t="shared" si="7"/>
        <v>0.53514964597856585</v>
      </c>
      <c r="U26" s="41">
        <f t="shared" si="7"/>
        <v>0.56416405709225426</v>
      </c>
      <c r="V26" s="41">
        <f t="shared" si="7"/>
        <v>0.56342751312732386</v>
      </c>
      <c r="W26" s="41">
        <f t="shared" si="7"/>
        <v>0.54212825028829803</v>
      </c>
      <c r="X26" s="41">
        <f t="shared" si="7"/>
        <v>0.54848316980715717</v>
      </c>
      <c r="Y26" s="41">
        <f t="shared" si="7"/>
        <v>0.54026485152741577</v>
      </c>
      <c r="Z26" s="41">
        <f t="shared" si="7"/>
        <v>0.54252159140138689</v>
      </c>
      <c r="AA26" s="66">
        <f>AVERAGE(O26:Z26)</f>
        <v>0.55713823923330574</v>
      </c>
    </row>
    <row r="27" spans="2:40" x14ac:dyDescent="0.35">
      <c r="B27" s="29" t="s">
        <v>7</v>
      </c>
      <c r="O27" s="39">
        <f>O22*ASSUMPTIONS!$C$17</f>
        <v>155164.02120000002</v>
      </c>
      <c r="P27" s="39">
        <f>P22*ASSUMPTIONS!$C$17</f>
        <v>150762.32680000001</v>
      </c>
      <c r="Q27" s="39">
        <f>Q22*ASSUMPTIONS!$C$17</f>
        <v>117066.32059999999</v>
      </c>
      <c r="R27" s="167">
        <f>R22*ASSUMPTIONS!$C$17</f>
        <v>182615.32052400001</v>
      </c>
      <c r="S27" s="39">
        <f>S22*ASSUMPTIONS!$C$17</f>
        <v>261850.74719999998</v>
      </c>
      <c r="T27" s="39">
        <f>T22*ASSUMPTIONS!$C$17</f>
        <v>222252.95540000001</v>
      </c>
      <c r="U27" s="39">
        <f>U22*ASSUMPTIONS!$C$17</f>
        <v>139844.83380000002</v>
      </c>
      <c r="V27" s="39">
        <f>V22*ASSUMPTIONS!$C$17</f>
        <v>141243.71520000001</v>
      </c>
      <c r="W27" s="39">
        <f>W22*ASSUMPTIONS!$C$17</f>
        <v>198729.91739999998</v>
      </c>
      <c r="X27" s="39">
        <f>X22*ASSUMPTIONS!$C$17</f>
        <v>177210.54820000002</v>
      </c>
      <c r="Y27" s="39">
        <f>Y22*ASSUMPTIONS!$C$17</f>
        <v>206067.36360000001</v>
      </c>
      <c r="Z27" s="39">
        <f>Z22*ASSUMPTIONS!$C$17</f>
        <v>197247.36360000001</v>
      </c>
      <c r="AA27" s="31">
        <f t="shared" si="0"/>
        <v>2150055.433524</v>
      </c>
    </row>
    <row r="28" spans="2:40" x14ac:dyDescent="0.35">
      <c r="B28" s="29" t="s">
        <v>19</v>
      </c>
      <c r="O28" s="39"/>
      <c r="P28" s="39"/>
      <c r="Q28" s="39"/>
      <c r="R28" s="167"/>
      <c r="S28" s="39"/>
      <c r="T28" s="39"/>
      <c r="U28" s="39"/>
      <c r="V28" s="39"/>
      <c r="W28" s="39"/>
      <c r="X28" s="39"/>
      <c r="Y28" s="39"/>
      <c r="Z28" s="39"/>
      <c r="AA28" s="31">
        <f t="shared" si="0"/>
        <v>0</v>
      </c>
    </row>
    <row r="29" spans="2:40" x14ac:dyDescent="0.35">
      <c r="B29" s="29" t="s">
        <v>9</v>
      </c>
      <c r="O29" s="159">
        <v>3242912.49</v>
      </c>
      <c r="P29" s="159">
        <v>2305460.1800000002</v>
      </c>
      <c r="Q29" s="159">
        <v>1682872.15</v>
      </c>
      <c r="R29" s="171">
        <v>1795060.8717747489</v>
      </c>
      <c r="S29" s="159">
        <v>1795060.8717747489</v>
      </c>
      <c r="T29" s="159">
        <v>1795060.8717747489</v>
      </c>
      <c r="U29" s="159">
        <f>1795060.87177475</f>
        <v>1795060.8717747501</v>
      </c>
      <c r="V29" s="159">
        <f>1795060.87177475-ASSUMPTIONS!$C48</f>
        <v>1388185.8717747501</v>
      </c>
      <c r="W29" s="159">
        <f>1795060.87177475-ASSUMPTIONS!$C48</f>
        <v>1388185.8717747501</v>
      </c>
      <c r="X29" s="159">
        <f>1795060.87177475-ASSUMPTIONS!$C48</f>
        <v>1388185.8717747501</v>
      </c>
      <c r="Y29" s="159">
        <f>1795060.87177475-ASSUMPTIONS!$C48</f>
        <v>1388185.8717747501</v>
      </c>
      <c r="Z29" s="159">
        <f>1795060.87177475-ASSUMPTIONS!$C48</f>
        <v>1388185.8717747501</v>
      </c>
      <c r="AA29" s="31">
        <f t="shared" si="0"/>
        <v>21352417.665972751</v>
      </c>
    </row>
    <row r="30" spans="2:40" x14ac:dyDescent="0.35">
      <c r="B30" s="29" t="s">
        <v>943</v>
      </c>
      <c r="O30" s="39">
        <f>SUM(Gastos!T7:T10)</f>
        <v>551800</v>
      </c>
      <c r="P30" s="39">
        <f>SUM(Gastos!U7:U10)</f>
        <v>551800</v>
      </c>
      <c r="Q30" s="39">
        <f>SUM(Gastos!V7:V10)</f>
        <v>551800</v>
      </c>
      <c r="R30" s="167">
        <f>SUM(Gastos!W7:W10)</f>
        <v>551800</v>
      </c>
      <c r="S30" s="39">
        <f>SUM(Gastos!X7:X10)</f>
        <v>551800</v>
      </c>
      <c r="T30" s="39">
        <f>SUM(Gastos!Y7:Y10)</f>
        <v>551800</v>
      </c>
      <c r="U30" s="39">
        <f>SUM(Gastos!Z7:Z10)</f>
        <v>551800</v>
      </c>
      <c r="V30" s="39">
        <f>SUM(Gastos!AA7:AA10)</f>
        <v>551800</v>
      </c>
      <c r="W30" s="39">
        <f>SUM(Gastos!AB7:AB10)</f>
        <v>551800</v>
      </c>
      <c r="X30" s="39">
        <f>SUM(Gastos!AC7:AC10)</f>
        <v>551800</v>
      </c>
      <c r="Y30" s="39">
        <f>SUM(Gastos!AD7:AD10)</f>
        <v>551800</v>
      </c>
      <c r="Z30" s="39">
        <f>SUM(Gastos!AE7:AE10)</f>
        <v>551800</v>
      </c>
      <c r="AA30" s="31">
        <f t="shared" si="0"/>
        <v>6621600</v>
      </c>
    </row>
    <row r="31" spans="2:40" x14ac:dyDescent="0.35">
      <c r="B31" s="29" t="s">
        <v>944</v>
      </c>
      <c r="O31" s="39">
        <f>SUM(Gastos!T13:T18)</f>
        <v>77650.689655172406</v>
      </c>
      <c r="P31" s="39">
        <f>SUM(Gastos!U13:U18)</f>
        <v>77650.689655172406</v>
      </c>
      <c r="Q31" s="39">
        <f>SUM(Gastos!V13:V18)</f>
        <v>77650.689655172406</v>
      </c>
      <c r="R31" s="39">
        <f>SUM(Gastos!W13:W18)</f>
        <v>77650.689655172406</v>
      </c>
      <c r="S31" s="39">
        <f>SUM(Gastos!X13:X18)</f>
        <v>77650.689655172406</v>
      </c>
      <c r="T31" s="39">
        <f>SUM(Gastos!Y13:Y18)</f>
        <v>77650.689655172406</v>
      </c>
      <c r="U31" s="39">
        <f>SUM(Gastos!Z13:Z18)</f>
        <v>77650.689655172406</v>
      </c>
      <c r="V31" s="39">
        <f>SUM(Gastos!AA13:AA18)</f>
        <v>77650.689655172406</v>
      </c>
      <c r="W31" s="39">
        <f>SUM(Gastos!AB13:AB18)</f>
        <v>77650.689655172406</v>
      </c>
      <c r="X31" s="39">
        <f>SUM(Gastos!AC13:AC18)</f>
        <v>77650.689655172406</v>
      </c>
      <c r="Y31" s="39">
        <f>SUM(Gastos!AD13:AD18)</f>
        <v>77650.689655172406</v>
      </c>
      <c r="Z31" s="39">
        <f>SUM(Gastos!AE13:AE18)</f>
        <v>77650.689655172406</v>
      </c>
      <c r="AA31" s="31">
        <f t="shared" si="0"/>
        <v>931808.27586206887</v>
      </c>
    </row>
    <row r="32" spans="2:40" x14ac:dyDescent="0.35">
      <c r="B32" s="32" t="s">
        <v>16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40">
        <f>O18*ASSUMPTIONS!$C$24</f>
        <v>143415.41496000002</v>
      </c>
      <c r="P32" s="40">
        <f>P18*ASSUMPTIONS!$C$24</f>
        <v>132605.93181000001</v>
      </c>
      <c r="Q32" s="40">
        <f>Q18*ASSUMPTIONS!$C$24</f>
        <v>108834.607325</v>
      </c>
      <c r="R32" s="168">
        <f>R18*ASSUMPTIONS!$C$24</f>
        <v>158390.83923000001</v>
      </c>
      <c r="S32" s="40">
        <f>S18*ASSUMPTIONS!$C$24</f>
        <v>227115.44400000002</v>
      </c>
      <c r="T32" s="40">
        <f>T18*ASSUMPTIONS!$C$24</f>
        <v>192770.42050000001</v>
      </c>
      <c r="U32" s="40">
        <f>U18*ASSUMPTIONS!$C$24</f>
        <v>121293.98850000001</v>
      </c>
      <c r="V32" s="40">
        <f>V18*ASSUMPTIONS!$C$24</f>
        <v>122507.304</v>
      </c>
      <c r="W32" s="40">
        <f>W18*ASSUMPTIONS!$C$24</f>
        <v>172367.7855</v>
      </c>
      <c r="X32" s="40">
        <f>X18*ASSUMPTIONS!$C$24</f>
        <v>153703.02650000001</v>
      </c>
      <c r="Y32" s="40">
        <f>Y18*ASSUMPTIONS!$C$24</f>
        <v>178731.89700000003</v>
      </c>
      <c r="Z32" s="40">
        <f>Z18*ASSUMPTIONS!$C$24</f>
        <v>171081.89700000003</v>
      </c>
      <c r="AA32" s="50">
        <f t="shared" si="0"/>
        <v>1882818.5563250002</v>
      </c>
    </row>
    <row r="33" spans="2:27" x14ac:dyDescent="0.35">
      <c r="B33" s="42" t="s">
        <v>1353</v>
      </c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4">
        <f>SUM(O27:O32)+O24</f>
        <v>10545719.915815173</v>
      </c>
      <c r="P33" s="44">
        <f t="shared" ref="P33:Z33" si="8">SUM(P27:P32)+P24</f>
        <v>9772609.5282651726</v>
      </c>
      <c r="Q33" s="44">
        <f t="shared" si="8"/>
        <v>7496794.3575801719</v>
      </c>
      <c r="R33" s="172">
        <f t="shared" si="8"/>
        <v>10260717.025508061</v>
      </c>
      <c r="S33" s="44">
        <f t="shared" si="8"/>
        <v>15243695.512629922</v>
      </c>
      <c r="T33" s="44">
        <f t="shared" si="8"/>
        <v>13170971.437329922</v>
      </c>
      <c r="U33" s="44">
        <f t="shared" si="8"/>
        <v>8780590.8837299235</v>
      </c>
      <c r="V33" s="44">
        <f t="shared" si="8"/>
        <v>8447699.5806299224</v>
      </c>
      <c r="W33" s="44">
        <f t="shared" si="8"/>
        <v>11488015.764329921</v>
      </c>
      <c r="X33" s="44">
        <f t="shared" si="8"/>
        <v>10349904.636129923</v>
      </c>
      <c r="Y33" s="44">
        <f t="shared" si="8"/>
        <v>11876076.822029922</v>
      </c>
      <c r="Z33" s="44">
        <f t="shared" si="8"/>
        <v>11409606.822029922</v>
      </c>
      <c r="AA33" s="31">
        <f t="shared" si="0"/>
        <v>128842402.28600794</v>
      </c>
    </row>
    <row r="34" spans="2:27" x14ac:dyDescent="0.35">
      <c r="B34" s="45" t="s">
        <v>1353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74">
        <f>O33/O18</f>
        <v>0.62502778595613362</v>
      </c>
      <c r="P34" s="47">
        <f t="shared" ref="P34:Z34" si="9">P33/P18</f>
        <v>0.62642130601875345</v>
      </c>
      <c r="Q34" s="47">
        <f t="shared" si="9"/>
        <v>0.58550082189522401</v>
      </c>
      <c r="R34" s="173">
        <f t="shared" si="9"/>
        <v>0.55063850372161782</v>
      </c>
      <c r="S34" s="47">
        <f t="shared" si="9"/>
        <v>0.57050903089335636</v>
      </c>
      <c r="T34" s="47">
        <f t="shared" si="9"/>
        <v>0.58075952175092305</v>
      </c>
      <c r="U34" s="47">
        <f t="shared" si="9"/>
        <v>0.61532334318204362</v>
      </c>
      <c r="V34" s="47">
        <f t="shared" si="9"/>
        <v>0.58613196185718319</v>
      </c>
      <c r="W34" s="47">
        <f t="shared" si="9"/>
        <v>0.56651034712518444</v>
      </c>
      <c r="X34" s="47">
        <f t="shared" si="9"/>
        <v>0.5723647179263861</v>
      </c>
      <c r="Y34" s="47">
        <f t="shared" si="9"/>
        <v>0.56479371998862826</v>
      </c>
      <c r="Z34" s="47">
        <f t="shared" si="9"/>
        <v>0.56687270650999588</v>
      </c>
      <c r="AA34" s="57">
        <f>AA33/AA18</f>
        <v>0.58166009451737533</v>
      </c>
    </row>
    <row r="35" spans="2:27" x14ac:dyDescent="0.35">
      <c r="B35" s="48" t="s">
        <v>35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35">
        <f>O25-SUM(O27:O32)</f>
        <v>4970682.2041848283</v>
      </c>
      <c r="P35" s="35">
        <f>P25-SUM(P27:P31)</f>
        <v>5436229.0835448289</v>
      </c>
      <c r="Q35" s="35">
        <f>Q25-SUM(Q27:Q31)</f>
        <v>4318672.3097448265</v>
      </c>
      <c r="R35" s="164">
        <f>R25-SUM(R27:R32)</f>
        <v>8000815.0268919403</v>
      </c>
      <c r="S35" s="35">
        <f t="shared" ref="S35:Z35" si="10">S25-SUM(S27:S32)</f>
        <v>10941379.207370076</v>
      </c>
      <c r="T35" s="35">
        <f t="shared" si="10"/>
        <v>9054324.1026700772</v>
      </c>
      <c r="U35" s="35">
        <f t="shared" si="10"/>
        <v>5203892.4962700782</v>
      </c>
      <c r="V35" s="35">
        <f t="shared" si="10"/>
        <v>5676671.9393700771</v>
      </c>
      <c r="W35" s="35">
        <f t="shared" si="10"/>
        <v>8384975.975670076</v>
      </c>
      <c r="X35" s="35">
        <f t="shared" si="10"/>
        <v>7371150.1838700771</v>
      </c>
      <c r="Y35" s="35">
        <f t="shared" si="10"/>
        <v>8730659.5379700772</v>
      </c>
      <c r="Z35" s="35">
        <f t="shared" si="10"/>
        <v>8315129.5379700772</v>
      </c>
      <c r="AA35" s="31">
        <f t="shared" si="0"/>
        <v>86404581.605527043</v>
      </c>
    </row>
    <row r="36" spans="2:27" x14ac:dyDescent="0.35">
      <c r="B36" s="49" t="s">
        <v>35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73">
        <f>O35/O$22</f>
        <v>0.32035017949024563</v>
      </c>
      <c r="P36" s="41">
        <f t="shared" ref="P36:AA36" si="11">P35/P$22</f>
        <v>0.36058272639666028</v>
      </c>
      <c r="Q36" s="41">
        <f t="shared" si="11"/>
        <v>0.36890817851029539</v>
      </c>
      <c r="R36" s="169">
        <f t="shared" si="11"/>
        <v>0.43812397579426765</v>
      </c>
      <c r="S36" s="41">
        <f t="shared" si="11"/>
        <v>0.41784792765984047</v>
      </c>
      <c r="T36" s="41">
        <f t="shared" si="11"/>
        <v>0.40738824311130295</v>
      </c>
      <c r="U36" s="41">
        <f t="shared" si="11"/>
        <v>0.37211903756934339</v>
      </c>
      <c r="V36" s="41">
        <f t="shared" si="11"/>
        <v>0.40190616137022128</v>
      </c>
      <c r="W36" s="41">
        <f t="shared" si="11"/>
        <v>0.42192821721919949</v>
      </c>
      <c r="X36" s="41">
        <f t="shared" si="11"/>
        <v>0.41595436946287134</v>
      </c>
      <c r="Y36" s="41">
        <f t="shared" si="11"/>
        <v>0.42367987756262426</v>
      </c>
      <c r="Z36" s="41">
        <f t="shared" si="11"/>
        <v>0.42155846274490216</v>
      </c>
      <c r="AA36" s="41">
        <f t="shared" si="11"/>
        <v>0.40187141344494337</v>
      </c>
    </row>
    <row r="37" spans="2:27" x14ac:dyDescent="0.35">
      <c r="B37" s="29" t="s">
        <v>17</v>
      </c>
      <c r="O37" s="159">
        <v>238079.15543903608</v>
      </c>
      <c r="P37" s="159">
        <v>238079.15543903608</v>
      </c>
      <c r="Q37" s="159">
        <v>238079.15543903608</v>
      </c>
      <c r="R37" s="171">
        <v>238079.15543903608</v>
      </c>
      <c r="S37" s="159">
        <v>238079.15543903608</v>
      </c>
      <c r="T37" s="159">
        <v>238079.15543903608</v>
      </c>
      <c r="U37" s="159">
        <v>238079.15543903608</v>
      </c>
      <c r="V37" s="159">
        <v>238079.15543903608</v>
      </c>
      <c r="W37" s="159">
        <v>238079.15543903608</v>
      </c>
      <c r="X37" s="159">
        <v>238079.15543903608</v>
      </c>
      <c r="Y37" s="159">
        <v>238079.15543903608</v>
      </c>
      <c r="Z37" s="159">
        <v>238079.15543903608</v>
      </c>
      <c r="AA37" s="31">
        <f t="shared" si="0"/>
        <v>2856949.8652684321</v>
      </c>
    </row>
    <row r="38" spans="2:27" x14ac:dyDescent="0.35">
      <c r="B38" s="29" t="s">
        <v>39</v>
      </c>
      <c r="O38" s="39">
        <f>O18*ASSUMPTIONS!$C26</f>
        <v>168724.01760000002</v>
      </c>
      <c r="P38" s="39">
        <f>P18*ASSUMPTIONS!$C26</f>
        <v>156006.9786</v>
      </c>
      <c r="Q38" s="39">
        <f>Q18*ASSUMPTIONS!$C26</f>
        <v>128040.7145</v>
      </c>
      <c r="R38" s="167">
        <f>R18*ASSUMPTIONS!$C26</f>
        <v>186342.16379999998</v>
      </c>
      <c r="S38" s="39">
        <f>S18*ASSUMPTIONS!$C26</f>
        <v>267194.64</v>
      </c>
      <c r="T38" s="39">
        <f>T18*ASSUMPTIONS!$C26</f>
        <v>226788.73</v>
      </c>
      <c r="U38" s="39">
        <f>U18*ASSUMPTIONS!$C26</f>
        <v>142698.81</v>
      </c>
      <c r="V38" s="39">
        <f>V18*ASSUMPTIONS!$C26</f>
        <v>144126.24</v>
      </c>
      <c r="W38" s="39">
        <f>W18*ASSUMPTIONS!$C26</f>
        <v>202785.63</v>
      </c>
      <c r="X38" s="39">
        <f>X18*ASSUMPTIONS!$C26</f>
        <v>180827.09</v>
      </c>
      <c r="Y38" s="39">
        <f>Y18*ASSUMPTIONS!$C26</f>
        <v>210272.82</v>
      </c>
      <c r="Z38" s="39">
        <f>Z18*ASSUMPTIONS!$C26</f>
        <v>201272.82</v>
      </c>
      <c r="AA38" s="31">
        <f t="shared" si="0"/>
        <v>2215080.6545000002</v>
      </c>
    </row>
    <row r="39" spans="2:27" x14ac:dyDescent="0.35">
      <c r="B39" s="32" t="s">
        <v>20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40">
        <f>O18*ASSUMPTIONS!$C28</f>
        <v>42181.004400000005</v>
      </c>
      <c r="P39" s="40">
        <f>P18*ASSUMPTIONS!$C28</f>
        <v>39001.744650000001</v>
      </c>
      <c r="Q39" s="40">
        <f>Q18*ASSUMPTIONS!$C28</f>
        <v>32010.178625</v>
      </c>
      <c r="R39" s="168">
        <f>R18*ASSUMPTIONS!$C28</f>
        <v>46585.540949999995</v>
      </c>
      <c r="S39" s="40">
        <f>S18*ASSUMPTIONS!$C28</f>
        <v>66798.66</v>
      </c>
      <c r="T39" s="40">
        <f>T18*ASSUMPTIONS!$C28</f>
        <v>56697.182500000003</v>
      </c>
      <c r="U39" s="40">
        <f>U18*ASSUMPTIONS!$C28</f>
        <v>35674.702499999999</v>
      </c>
      <c r="V39" s="40">
        <f>V18*ASSUMPTIONS!$C28</f>
        <v>36031.56</v>
      </c>
      <c r="W39" s="40">
        <f>W18*ASSUMPTIONS!$C28</f>
        <v>50696.407500000001</v>
      </c>
      <c r="X39" s="40">
        <f>X18*ASSUMPTIONS!$C28</f>
        <v>45206.772499999999</v>
      </c>
      <c r="Y39" s="40">
        <f>Y18*ASSUMPTIONS!$C28</f>
        <v>52568.205000000002</v>
      </c>
      <c r="Z39" s="40">
        <f>Z18*ASSUMPTIONS!$C28</f>
        <v>50318.205000000002</v>
      </c>
      <c r="AA39" s="50">
        <f t="shared" si="0"/>
        <v>553770.16362500004</v>
      </c>
    </row>
    <row r="40" spans="2:27" s="27" customFormat="1" x14ac:dyDescent="0.35">
      <c r="B40" s="27" t="s">
        <v>36</v>
      </c>
      <c r="O40" s="35">
        <f>O35-SUM(O37:O39)</f>
        <v>4521698.0267457925</v>
      </c>
      <c r="P40" s="35">
        <f t="shared" ref="P40:Z40" si="12">P35-SUM(P37:P39)</f>
        <v>5003141.2048557932</v>
      </c>
      <c r="Q40" s="35">
        <f t="shared" si="12"/>
        <v>3920542.2611807906</v>
      </c>
      <c r="R40" s="164">
        <f t="shared" si="12"/>
        <v>7529808.1667029038</v>
      </c>
      <c r="S40" s="35">
        <f t="shared" si="12"/>
        <v>10369306.75193104</v>
      </c>
      <c r="T40" s="35">
        <f t="shared" si="12"/>
        <v>8532759.0347310416</v>
      </c>
      <c r="U40" s="35">
        <f t="shared" si="12"/>
        <v>4787439.8283310421</v>
      </c>
      <c r="V40" s="35">
        <f t="shared" si="12"/>
        <v>5258434.9839310413</v>
      </c>
      <c r="W40" s="35">
        <f t="shared" si="12"/>
        <v>7893414.7827310394</v>
      </c>
      <c r="X40" s="35">
        <f t="shared" si="12"/>
        <v>6907037.1659310414</v>
      </c>
      <c r="Y40" s="35">
        <f t="shared" si="12"/>
        <v>8229739.3575310409</v>
      </c>
      <c r="Z40" s="35">
        <f t="shared" si="12"/>
        <v>7825459.3575310409</v>
      </c>
      <c r="AA40" s="31">
        <f t="shared" si="0"/>
        <v>80778780.92213361</v>
      </c>
    </row>
    <row r="41" spans="2:27" x14ac:dyDescent="0.35">
      <c r="B41" s="49" t="s">
        <v>36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73">
        <f>O40/O$22</f>
        <v>0.29141407858446194</v>
      </c>
      <c r="P41" s="41">
        <f t="shared" ref="P41:AA41" si="13">P40/P$22</f>
        <v>0.33185619451820458</v>
      </c>
      <c r="Q41" s="41">
        <f t="shared" si="13"/>
        <v>0.3348992469471011</v>
      </c>
      <c r="R41" s="169">
        <f t="shared" si="13"/>
        <v>0.41233167869468584</v>
      </c>
      <c r="S41" s="41">
        <f t="shared" si="13"/>
        <v>0.39600065544250773</v>
      </c>
      <c r="T41" s="41">
        <f t="shared" si="13"/>
        <v>0.38392106054896769</v>
      </c>
      <c r="U41" s="41">
        <f t="shared" si="13"/>
        <v>0.34233941277929725</v>
      </c>
      <c r="V41" s="41">
        <f t="shared" si="13"/>
        <v>0.37229514789278506</v>
      </c>
      <c r="W41" s="41">
        <f t="shared" si="13"/>
        <v>0.39719307923040681</v>
      </c>
      <c r="X41" s="41">
        <f t="shared" si="13"/>
        <v>0.38976444890491235</v>
      </c>
      <c r="Y41" s="41">
        <f t="shared" si="13"/>
        <v>0.39937131303848261</v>
      </c>
      <c r="Z41" s="41">
        <f t="shared" si="13"/>
        <v>0.39673328021764448</v>
      </c>
      <c r="AA41" s="41">
        <f t="shared" si="13"/>
        <v>0.37570557327322007</v>
      </c>
    </row>
    <row r="42" spans="2:27" x14ac:dyDescent="0.35">
      <c r="B42" s="29" t="s">
        <v>18</v>
      </c>
      <c r="O42" s="159">
        <v>474620.72</v>
      </c>
      <c r="P42" s="159">
        <v>355548.01</v>
      </c>
      <c r="Q42" s="159">
        <v>338894.36</v>
      </c>
      <c r="R42" s="171">
        <v>375227.51985006098</v>
      </c>
      <c r="S42" s="159">
        <v>375227.51985006098</v>
      </c>
      <c r="T42" s="159">
        <v>375227.51985006098</v>
      </c>
      <c r="U42" s="159">
        <v>375227.51985006098</v>
      </c>
      <c r="V42" s="159">
        <v>375227.51985006098</v>
      </c>
      <c r="W42" s="159">
        <v>375227.51985006098</v>
      </c>
      <c r="X42" s="159">
        <v>375227.51985006098</v>
      </c>
      <c r="Y42" s="159">
        <v>375227.51985006098</v>
      </c>
      <c r="Z42" s="159">
        <v>375227.51985006098</v>
      </c>
      <c r="AA42" s="31">
        <f t="shared" si="0"/>
        <v>4546110.7686505476</v>
      </c>
    </row>
    <row r="43" spans="2:27" x14ac:dyDescent="0.35">
      <c r="B43" s="29" t="s">
        <v>1572</v>
      </c>
      <c r="O43" s="159">
        <v>0</v>
      </c>
      <c r="P43" s="159">
        <v>105115.69</v>
      </c>
      <c r="Q43" s="159">
        <v>155596.78</v>
      </c>
      <c r="R43" s="171">
        <v>191005.53599028659</v>
      </c>
      <c r="S43" s="159">
        <v>191005.53599028659</v>
      </c>
      <c r="T43" s="159">
        <v>191005.53599028659</v>
      </c>
      <c r="U43" s="159">
        <v>191005.53599028659</v>
      </c>
      <c r="V43" s="159">
        <v>191005.53599028659</v>
      </c>
      <c r="W43" s="159">
        <v>191005.53599028659</v>
      </c>
      <c r="X43" s="159">
        <v>191005.53599028659</v>
      </c>
      <c r="Y43" s="159">
        <v>191005.53599028659</v>
      </c>
      <c r="Z43" s="159">
        <v>191005.53599028659</v>
      </c>
      <c r="AA43" s="31">
        <f t="shared" si="0"/>
        <v>1979762.2939125795</v>
      </c>
    </row>
    <row r="44" spans="2:27" x14ac:dyDescent="0.35">
      <c r="B44" s="29" t="s">
        <v>1573</v>
      </c>
      <c r="O44" s="159">
        <v>0</v>
      </c>
      <c r="P44" s="159">
        <v>39287.839999999997</v>
      </c>
      <c r="Q44" s="159">
        <v>79409.36</v>
      </c>
      <c r="R44" s="171">
        <v>87622.044463912331</v>
      </c>
      <c r="S44" s="159">
        <v>87622.044463912331</v>
      </c>
      <c r="T44" s="159">
        <v>87622.044463912331</v>
      </c>
      <c r="U44" s="159">
        <v>87622.044463912331</v>
      </c>
      <c r="V44" s="159">
        <v>87622.044463912331</v>
      </c>
      <c r="W44" s="159">
        <v>87622.044463912331</v>
      </c>
      <c r="X44" s="159">
        <v>87622.044463912331</v>
      </c>
      <c r="Y44" s="159">
        <v>87622.044463912331</v>
      </c>
      <c r="Z44" s="159">
        <v>87622.044463912331</v>
      </c>
      <c r="AA44" s="31">
        <f t="shared" si="0"/>
        <v>907295.60017521109</v>
      </c>
    </row>
    <row r="45" spans="2:27" x14ac:dyDescent="0.35">
      <c r="B45" s="29" t="s">
        <v>909</v>
      </c>
      <c r="O45" s="159"/>
      <c r="P45" s="159"/>
      <c r="Q45" s="159"/>
      <c r="R45" s="171">
        <f>130519.684320294+'Subtotal Nom_Enero'!$E4</f>
        <v>321525.22031058057</v>
      </c>
      <c r="S45" s="159">
        <f>130519.684320294+'Subtotal Nom_Enero'!$E4</f>
        <v>321525.22031058057</v>
      </c>
      <c r="T45" s="159">
        <f>130519.684320294+'Subtotal Nom_Enero'!$E4</f>
        <v>321525.22031058057</v>
      </c>
      <c r="U45" s="159">
        <f>130519.684320294+'Subtotal Nom_Enero'!$E4</f>
        <v>321525.22031058057</v>
      </c>
      <c r="V45" s="159">
        <f>130519.684320294+'Subtotal Nom_Enero'!$E4</f>
        <v>321525.22031058057</v>
      </c>
      <c r="W45" s="159">
        <f>130519.684320294+'Subtotal Nom_Enero'!$E4</f>
        <v>321525.22031058057</v>
      </c>
      <c r="X45" s="159">
        <f>130519.684320294+'Subtotal Nom_Enero'!$E4</f>
        <v>321525.22031058057</v>
      </c>
      <c r="Y45" s="159">
        <f>130519.684320294+'Subtotal Nom_Enero'!$E4</f>
        <v>321525.22031058057</v>
      </c>
      <c r="Z45" s="159">
        <f>130519.684320294+'Subtotal Nom_Enero'!$E4</f>
        <v>321525.22031058057</v>
      </c>
      <c r="AA45" s="31">
        <f t="shared" si="0"/>
        <v>2893726.9827952245</v>
      </c>
    </row>
    <row r="46" spans="2:27" x14ac:dyDescent="0.35">
      <c r="B46" s="29" t="s">
        <v>21</v>
      </c>
      <c r="O46" s="159">
        <v>468529.30470539199</v>
      </c>
      <c r="P46" s="159">
        <v>468529.30470539199</v>
      </c>
      <c r="Q46" s="159">
        <v>468529.30470539199</v>
      </c>
      <c r="R46" s="171">
        <v>468529.30470539199</v>
      </c>
      <c r="S46" s="159">
        <v>468529.30470539199</v>
      </c>
      <c r="T46" s="159">
        <v>468529.30470539199</v>
      </c>
      <c r="U46" s="159">
        <v>468529.30470539199</v>
      </c>
      <c r="V46" s="159">
        <v>468529.30470539199</v>
      </c>
      <c r="W46" s="159">
        <v>468529.30470539199</v>
      </c>
      <c r="X46" s="159">
        <v>468529.30470539199</v>
      </c>
      <c r="Y46" s="159">
        <v>468529.30470539199</v>
      </c>
      <c r="Z46" s="159">
        <v>468529.30470539199</v>
      </c>
      <c r="AA46" s="31">
        <f t="shared" si="0"/>
        <v>5622351.6564647034</v>
      </c>
    </row>
    <row r="47" spans="2:27" x14ac:dyDescent="0.35">
      <c r="B47" s="29" t="s">
        <v>23</v>
      </c>
      <c r="O47" s="39">
        <f>INDEX(BIOMIRAL_PVT_LBL[], MATCH("TOTAL INC NUEVOS CANALES", BIOMIRAL_PVT_LBL[Column3], 0), MATCH("TMI - TRADE MARKETING INVESTMENT-ENE", 'BIOMIRAL PVT LBL'!2:2, 0))</f>
        <v>525730.20483139204</v>
      </c>
      <c r="P47" s="39">
        <f ca="1">OFFSET(INDEX(BIOMIRAL_PVT_LBL[], MATCH("TOTAL INC NUEVOS CANALES", BIOMIRAL_PVT_LBL[Column3], 0), MATCH("TMI - TRADE MARKETING INVESTMENT-ENE", 'BIOMIRAL PVT LBL'!2:2, 0)),0,O11)</f>
        <v>465458.4644833795</v>
      </c>
      <c r="Q47" s="39">
        <f ca="1">OFFSET(INDEX(BIOMIRAL_PVT_LBL[], MATCH("TOTAL INC NUEVOS CANALES", BIOMIRAL_PVT_LBL[Column3], 0), MATCH("TMI - TRADE MARKETING INVESTMENT-ENE", 'BIOMIRAL PVT LBL'!2:2, 0)),0,P11)</f>
        <v>453556.09583621897</v>
      </c>
      <c r="R47" s="167">
        <f ca="1">OFFSET(INDEX(BIOMIRAL_PVT_LBL[], MATCH("TOTAL INC NUEVOS CANALES", BIOMIRAL_PVT_LBL[Column3], 0), MATCH("TMI - TRADE MARKETING INVESTMENT-ENE", 'BIOMIRAL PVT LBL'!2:2, 0)),0,Q11)</f>
        <v>503895.63395944878</v>
      </c>
      <c r="S47" s="39">
        <f ca="1">OFFSET(INDEX(BIOMIRAL_PVT_LBL[], MATCH("TOTAL INC NUEVOS CANALES", BIOMIRAL_PVT_LBL[Column3], 0), MATCH("TMI - TRADE MARKETING INVESTMENT-ENE", 'BIOMIRAL PVT LBL'!2:2, 0)),0,R11)</f>
        <v>535432.33211832261</v>
      </c>
      <c r="T47" s="39">
        <f ca="1">OFFSET(INDEX(BIOMIRAL_PVT_LBL[], MATCH("TOTAL INC NUEVOS CANALES", BIOMIRAL_PVT_LBL[Column3], 0), MATCH("TMI - TRADE MARKETING INVESTMENT-ENE", 'BIOMIRAL PVT LBL'!2:2, 0)),0,S11)</f>
        <v>474596.11505275342</v>
      </c>
      <c r="U47" s="39">
        <f ca="1">OFFSET(INDEX(BIOMIRAL_PVT_LBL[], MATCH("TOTAL INC NUEVOS CANALES", BIOMIRAL_PVT_LBL[Column3], 0), MATCH("TMI - TRADE MARKETING INVESTMENT-ENE", 'BIOMIRAL PVT LBL'!2:2, 0)),0,T11)</f>
        <v>533708.97005682439</v>
      </c>
      <c r="V47" s="39">
        <f ca="1">OFFSET(INDEX(BIOMIRAL_PVT_LBL[], MATCH("TOTAL INC NUEVOS CANALES", BIOMIRAL_PVT_LBL[Column3], 0), MATCH("TMI - TRADE MARKETING INVESTMENT-ENE", 'BIOMIRAL PVT LBL'!2:2, 0)),0,U11)</f>
        <v>547297.73903335398</v>
      </c>
      <c r="W47" s="39">
        <f ca="1">OFFSET(INDEX(BIOMIRAL_PVT_LBL[], MATCH("TOTAL INC NUEVOS CANALES", BIOMIRAL_PVT_LBL[Column3], 0), MATCH("TMI - TRADE MARKETING INVESTMENT-ENE", 'BIOMIRAL PVT LBL'!2:2, 0)),0,V11)</f>
        <v>503181.55512450478</v>
      </c>
      <c r="X47" s="39">
        <f ca="1">OFFSET(INDEX(BIOMIRAL_PVT_LBL[], MATCH("TOTAL INC NUEVOS CANALES", BIOMIRAL_PVT_LBL[Column3], 0), MATCH("TMI - TRADE MARKETING INVESTMENT-ENE", 'BIOMIRAL PVT LBL'!2:2, 0)),0,W11)</f>
        <v>614386.9062370148</v>
      </c>
      <c r="Y47" s="39">
        <f ca="1">OFFSET(INDEX(BIOMIRAL_PVT_LBL[], MATCH("TOTAL INC NUEVOS CANALES", BIOMIRAL_PVT_LBL[Column3], 0), MATCH("TMI - TRADE MARKETING INVESTMENT-ENE", 'BIOMIRAL PVT LBL'!2:2, 0)),0,X11)</f>
        <v>578804.63150554616</v>
      </c>
      <c r="Z47" s="39">
        <f ca="1">OFFSET(INDEX(BIOMIRAL_PVT_LBL[], MATCH("TOTAL INC NUEVOS CANALES", BIOMIRAL_PVT_LBL[Column3], 0), MATCH("TMI - TRADE MARKETING INVESTMENT-ENE", 'BIOMIRAL PVT LBL'!2:2, 0)),0,Y11)</f>
        <v>657419.38541761541</v>
      </c>
      <c r="AA47" s="31">
        <f t="shared" ca="1" si="0"/>
        <v>6393468.0336563746</v>
      </c>
    </row>
    <row r="48" spans="2:27" x14ac:dyDescent="0.35">
      <c r="B48" s="29" t="s">
        <v>24</v>
      </c>
      <c r="O48" s="39">
        <f>ASSUMPTIONS!$C$31*(O16+O17)</f>
        <v>344277.54399999999</v>
      </c>
      <c r="P48" s="39">
        <f>ASSUMPTIONS!$C$31*(P16+P17)</f>
        <v>328164.17400000006</v>
      </c>
      <c r="Q48" s="39">
        <f>ASSUMPTIONS!$C$31*(Q16+Q17)</f>
        <v>390245.56349999999</v>
      </c>
      <c r="R48" s="167">
        <f>ASSUMPTIONS!$C$31*(R16+R17)</f>
        <v>430024.34399999998</v>
      </c>
      <c r="S48" s="39">
        <f>ASSUMPTIONS!$C$31*(S16+S17)</f>
        <v>385973.2</v>
      </c>
      <c r="T48" s="39">
        <f>ASSUMPTIONS!$C$31*(T16+T17)</f>
        <v>383943.65</v>
      </c>
      <c r="U48" s="39">
        <f>ASSUMPTIONS!$C$31*(U16+U17)</f>
        <v>398494.05000000005</v>
      </c>
      <c r="V48" s="39">
        <f>ASSUMPTIONS!$C$31*(V16+V17)</f>
        <v>400631.2</v>
      </c>
      <c r="W48" s="39">
        <f>ASSUMPTIONS!$C$31*(W16+W17)</f>
        <v>388928.15</v>
      </c>
      <c r="X48" s="39">
        <f>ASSUMPTIONS!$C$31*(X16+X17)</f>
        <v>389135.45</v>
      </c>
      <c r="Y48" s="39">
        <f>ASSUMPTIONS!$C$31*(Y16+Y17)</f>
        <v>391364.10000000003</v>
      </c>
      <c r="Z48" s="39">
        <f>ASSUMPTIONS!$C$31*(Z16+Z17)</f>
        <v>391364.10000000003</v>
      </c>
      <c r="AA48" s="31">
        <f t="shared" si="0"/>
        <v>4622545.5255000005</v>
      </c>
    </row>
    <row r="49" spans="2:28" x14ac:dyDescent="0.35">
      <c r="B49" s="29" t="s">
        <v>996</v>
      </c>
      <c r="O49" s="39">
        <f>Gastos!T49</f>
        <v>25000</v>
      </c>
      <c r="P49" s="39">
        <f>Gastos!U49</f>
        <v>25000</v>
      </c>
      <c r="Q49" s="39">
        <f>Gastos!V49</f>
        <v>25000</v>
      </c>
      <c r="R49" s="167">
        <f>Gastos!W49</f>
        <v>25000</v>
      </c>
      <c r="S49" s="39">
        <f>Gastos!X49</f>
        <v>25000</v>
      </c>
      <c r="T49" s="39">
        <f>Gastos!Y49</f>
        <v>25000</v>
      </c>
      <c r="U49" s="39">
        <f>Gastos!Z49</f>
        <v>25000</v>
      </c>
      <c r="V49" s="39">
        <f>Gastos!AA49</f>
        <v>25000</v>
      </c>
      <c r="W49" s="39">
        <f>Gastos!AB49</f>
        <v>25000</v>
      </c>
      <c r="X49" s="39">
        <f>Gastos!AC49</f>
        <v>25000</v>
      </c>
      <c r="Y49" s="39">
        <f>Gastos!AD49</f>
        <v>25000</v>
      </c>
      <c r="Z49" s="39">
        <f>Gastos!AE49</f>
        <v>25000</v>
      </c>
      <c r="AA49" s="31">
        <f t="shared" si="0"/>
        <v>300000</v>
      </c>
    </row>
    <row r="50" spans="2:28" x14ac:dyDescent="0.35">
      <c r="B50" s="29" t="s">
        <v>25</v>
      </c>
      <c r="O50" s="159">
        <v>224607.71097219529</v>
      </c>
      <c r="P50" s="159">
        <v>224607.71097219529</v>
      </c>
      <c r="Q50" s="159">
        <v>224607.71097219529</v>
      </c>
      <c r="R50" s="171">
        <v>224607.71097219529</v>
      </c>
      <c r="S50" s="159">
        <v>224607.71097219529</v>
      </c>
      <c r="T50" s="159">
        <v>224607.71097219529</v>
      </c>
      <c r="U50" s="159">
        <v>224607.71097219529</v>
      </c>
      <c r="V50" s="159">
        <v>224607.71097219529</v>
      </c>
      <c r="W50" s="159">
        <v>224607.71097219529</v>
      </c>
      <c r="X50" s="159">
        <v>224607.71097219529</v>
      </c>
      <c r="Y50" s="159">
        <v>224607.71097219529</v>
      </c>
      <c r="Z50" s="159">
        <v>224607.71097219529</v>
      </c>
      <c r="AA50" s="31">
        <f t="shared" si="0"/>
        <v>2695292.531666344</v>
      </c>
    </row>
    <row r="51" spans="2:28" x14ac:dyDescent="0.35">
      <c r="B51" s="29" t="s">
        <v>40</v>
      </c>
      <c r="O51" s="39">
        <f>O$18*ASSUMPTIONS!$C34</f>
        <v>84362.008800000011</v>
      </c>
      <c r="P51" s="39">
        <f>P$18*ASSUMPTIONS!$C34</f>
        <v>78003.489300000001</v>
      </c>
      <c r="Q51" s="39">
        <f>Q$18*ASSUMPTIONS!$C34</f>
        <v>64020.357250000001</v>
      </c>
      <c r="R51" s="167">
        <f>R$18*ASSUMPTIONS!$C34</f>
        <v>93171.08189999999</v>
      </c>
      <c r="S51" s="39">
        <f>S$18*ASSUMPTIONS!$C34</f>
        <v>133597.32</v>
      </c>
      <c r="T51" s="39">
        <f>T$18*ASSUMPTIONS!$C34</f>
        <v>113394.36500000001</v>
      </c>
      <c r="U51" s="39">
        <f>U$18*ASSUMPTIONS!$C34</f>
        <v>71349.404999999999</v>
      </c>
      <c r="V51" s="39">
        <f>V$18*ASSUMPTIONS!$C34</f>
        <v>72063.12</v>
      </c>
      <c r="W51" s="39">
        <f>W$18*ASSUMPTIONS!$C34</f>
        <v>101392.815</v>
      </c>
      <c r="X51" s="39">
        <f>X$18*ASSUMPTIONS!$C34</f>
        <v>90413.544999999998</v>
      </c>
      <c r="Y51" s="39">
        <f>Y$18*ASSUMPTIONS!$C34</f>
        <v>105136.41</v>
      </c>
      <c r="Z51" s="39">
        <f>Z$18*ASSUMPTIONS!$C34</f>
        <v>100636.41</v>
      </c>
      <c r="AA51" s="31">
        <f t="shared" si="0"/>
        <v>1107540.3272500001</v>
      </c>
    </row>
    <row r="52" spans="2:28" x14ac:dyDescent="0.35">
      <c r="B52" s="29" t="s">
        <v>26</v>
      </c>
      <c r="O52" s="159">
        <v>323102.10727204254</v>
      </c>
      <c r="P52" s="159">
        <v>323102.10727204254</v>
      </c>
      <c r="Q52" s="159">
        <v>323102.10727204254</v>
      </c>
      <c r="R52" s="171">
        <v>323102.10727204254</v>
      </c>
      <c r="S52" s="159">
        <v>323102.10727204254</v>
      </c>
      <c r="T52" s="159">
        <v>323102.10727204254</v>
      </c>
      <c r="U52" s="159">
        <v>323102.10727204254</v>
      </c>
      <c r="V52" s="159">
        <v>323102.10727204254</v>
      </c>
      <c r="W52" s="159">
        <v>323102.10727204254</v>
      </c>
      <c r="X52" s="159">
        <v>323102.10727204254</v>
      </c>
      <c r="Y52" s="159">
        <v>323102.10727204254</v>
      </c>
      <c r="Z52" s="159">
        <v>323102.10727204254</v>
      </c>
      <c r="AA52" s="31">
        <f t="shared" si="0"/>
        <v>3877225.2872645096</v>
      </c>
    </row>
    <row r="53" spans="2:28" x14ac:dyDescent="0.35">
      <c r="B53" s="29" t="s">
        <v>1570</v>
      </c>
      <c r="O53" s="39">
        <f>'Subtotal Nom_Enero'!$D3</f>
        <v>425267.77066186437</v>
      </c>
      <c r="P53" s="39">
        <f>'Subtotal Nom_Enero'!$D3</f>
        <v>425267.77066186437</v>
      </c>
      <c r="Q53" s="39">
        <f>'Subtotal Nom_Enero'!$D3</f>
        <v>425267.77066186437</v>
      </c>
      <c r="R53" s="167">
        <f>'Subtotal Nom_Enero'!$D3</f>
        <v>425267.77066186437</v>
      </c>
      <c r="S53" s="39">
        <f>'Subtotal Nom_Enero'!$D3</f>
        <v>425267.77066186437</v>
      </c>
      <c r="T53" s="39">
        <f>'Subtotal Nom_Enero'!$D3</f>
        <v>425267.77066186437</v>
      </c>
      <c r="U53" s="39">
        <f>'Subtotal Nom_Enero'!$D3</f>
        <v>425267.77066186437</v>
      </c>
      <c r="V53" s="39">
        <f>'Subtotal Nom_Enero'!$D3</f>
        <v>425267.77066186437</v>
      </c>
      <c r="W53" s="39">
        <f>'Subtotal Nom_Enero'!$D3</f>
        <v>425267.77066186437</v>
      </c>
      <c r="X53" s="39">
        <f>'Subtotal Nom_Enero'!$D3</f>
        <v>425267.77066186437</v>
      </c>
      <c r="Y53" s="39">
        <f>'Subtotal Nom_Enero'!$D3</f>
        <v>425267.77066186437</v>
      </c>
      <c r="Z53" s="39">
        <f>'Subtotal Nom_Enero'!$D3</f>
        <v>425267.77066186437</v>
      </c>
      <c r="AA53" s="31">
        <f t="shared" si="0"/>
        <v>5103213.2479423722</v>
      </c>
    </row>
    <row r="54" spans="2:28" x14ac:dyDescent="0.35">
      <c r="B54" s="29" t="s">
        <v>999</v>
      </c>
      <c r="O54" s="39">
        <f>SUM(Gastos!T22:T34)</f>
        <v>118921.87302681991</v>
      </c>
      <c r="P54" s="39">
        <f>SUM(Gastos!U22:U34)</f>
        <v>118921.87302681991</v>
      </c>
      <c r="Q54" s="39">
        <f>SUM(Gastos!V22:V34)</f>
        <v>118921.87302681991</v>
      </c>
      <c r="R54" s="167">
        <f>SUM(Gastos!W22:W34)</f>
        <v>118921.87302681991</v>
      </c>
      <c r="S54" s="39">
        <f>SUM(Gastos!X22:X34)</f>
        <v>118921.87302681991</v>
      </c>
      <c r="T54" s="39">
        <f>SUM(Gastos!Y22:Y34)</f>
        <v>178921.8730268199</v>
      </c>
      <c r="U54" s="39">
        <f>SUM(Gastos!Z22:Z34)</f>
        <v>178921.8730268199</v>
      </c>
      <c r="V54" s="39">
        <f>SUM(Gastos!AA22:AA34)</f>
        <v>178921.8730268199</v>
      </c>
      <c r="W54" s="39">
        <f>SUM(Gastos!AB22:AB34)</f>
        <v>178921.8730268199</v>
      </c>
      <c r="X54" s="39">
        <f>SUM(Gastos!AC22:AC34)</f>
        <v>178921.8730268199</v>
      </c>
      <c r="Y54" s="39">
        <f>SUM(Gastos!AD22:AD34)</f>
        <v>178921.8730268199</v>
      </c>
      <c r="Z54" s="39">
        <f>SUM(Gastos!AE22:AE34)</f>
        <v>178921.8730268199</v>
      </c>
      <c r="AA54" s="31">
        <f t="shared" si="0"/>
        <v>1847062.4763218388</v>
      </c>
    </row>
    <row r="55" spans="2:28" x14ac:dyDescent="0.35">
      <c r="B55" s="29" t="s">
        <v>8</v>
      </c>
      <c r="O55" s="39">
        <f>O$18*ASSUMPTIONS!$C$37</f>
        <v>506172.0528</v>
      </c>
      <c r="P55" s="39">
        <f>P$18*ASSUMPTIONS!$C$37</f>
        <v>468020.93580000004</v>
      </c>
      <c r="Q55" s="39">
        <f>Q$18*ASSUMPTIONS!$C$37</f>
        <v>384122.14349999995</v>
      </c>
      <c r="R55" s="167">
        <f>R$18*ASSUMPTIONS!$C$37</f>
        <v>559026.49139999994</v>
      </c>
      <c r="S55" s="39">
        <f>S$18*ASSUMPTIONS!$C$37</f>
        <v>801583.91999999993</v>
      </c>
      <c r="T55" s="39">
        <f>T$18*ASSUMPTIONS!$C$37</f>
        <v>680366.19</v>
      </c>
      <c r="U55" s="39">
        <f>U$18*ASSUMPTIONS!$C$37</f>
        <v>428096.43</v>
      </c>
      <c r="V55" s="39">
        <f>V$18*ASSUMPTIONS!$C$37</f>
        <v>432378.72</v>
      </c>
      <c r="W55" s="39">
        <f>W$18*ASSUMPTIONS!$C$37</f>
        <v>608356.89</v>
      </c>
      <c r="X55" s="39">
        <f>X$18*ASSUMPTIONS!$C$37</f>
        <v>542481.27</v>
      </c>
      <c r="Y55" s="39">
        <f>Y$18*ASSUMPTIONS!$C$37</f>
        <v>630818.46</v>
      </c>
      <c r="Z55" s="39">
        <f>Z$18*ASSUMPTIONS!$C$37</f>
        <v>603818.46</v>
      </c>
      <c r="AA55" s="31">
        <f t="shared" si="0"/>
        <v>6645241.9634999987</v>
      </c>
    </row>
    <row r="56" spans="2:28" x14ac:dyDescent="0.35">
      <c r="B56" s="29" t="s">
        <v>998</v>
      </c>
      <c r="O56" s="39">
        <f>Gastos!T33</f>
        <v>27000</v>
      </c>
      <c r="P56" s="39">
        <f>Gastos!U33</f>
        <v>27000</v>
      </c>
      <c r="Q56" s="39">
        <f>Gastos!V33</f>
        <v>27000</v>
      </c>
      <c r="R56" s="167">
        <f>Gastos!W33</f>
        <v>27000</v>
      </c>
      <c r="S56" s="39">
        <f>Gastos!X33</f>
        <v>27000</v>
      </c>
      <c r="T56" s="39">
        <f>Gastos!Y33</f>
        <v>27000</v>
      </c>
      <c r="U56" s="39">
        <f>Gastos!Z33</f>
        <v>27000</v>
      </c>
      <c r="V56" s="39">
        <f>Gastos!AA33</f>
        <v>27000</v>
      </c>
      <c r="W56" s="39">
        <f>Gastos!AB33</f>
        <v>27000</v>
      </c>
      <c r="X56" s="39">
        <f>Gastos!AC33</f>
        <v>27000</v>
      </c>
      <c r="Y56" s="39">
        <f>Gastos!AD33</f>
        <v>27000</v>
      </c>
      <c r="Z56" s="39">
        <f>Gastos!AE33</f>
        <v>27000</v>
      </c>
      <c r="AA56" s="31">
        <f t="shared" si="0"/>
        <v>324000</v>
      </c>
    </row>
    <row r="57" spans="2:28" x14ac:dyDescent="0.35">
      <c r="B57" s="29" t="s">
        <v>946</v>
      </c>
      <c r="O57" s="39">
        <f>SUM(Gastos!T39:T45)</f>
        <v>155000</v>
      </c>
      <c r="P57" s="39">
        <f>SUM(Gastos!U39:U45)</f>
        <v>242111.33333333331</v>
      </c>
      <c r="Q57" s="39">
        <f>SUM(Gastos!V39:V45)</f>
        <v>242111.33333333331</v>
      </c>
      <c r="R57" s="167">
        <f>SUM(Gastos!W39:W45)</f>
        <v>242111.33333333331</v>
      </c>
      <c r="S57" s="39">
        <f>SUM(Gastos!X39:X45)</f>
        <v>202111.33333333331</v>
      </c>
      <c r="T57" s="39">
        <f>SUM(Gastos!Y39:Y45)</f>
        <v>200000</v>
      </c>
      <c r="U57" s="39">
        <f>SUM(Gastos!Z39:Z45)</f>
        <v>200000</v>
      </c>
      <c r="V57" s="39">
        <f>SUM(Gastos!AA39:AA45)</f>
        <v>175000</v>
      </c>
      <c r="W57" s="39">
        <f>SUM(Gastos!AB39:AB45)</f>
        <v>175000</v>
      </c>
      <c r="X57" s="39">
        <f>SUM(Gastos!AC39:AC45)</f>
        <v>175000</v>
      </c>
      <c r="Y57" s="39">
        <f>SUM(Gastos!AD39:AD45)</f>
        <v>175000</v>
      </c>
      <c r="Z57" s="39">
        <f>SUM(Gastos!AE39:AE45)</f>
        <v>175000</v>
      </c>
      <c r="AA57" s="31">
        <f t="shared" si="0"/>
        <v>2358445.333333333</v>
      </c>
    </row>
    <row r="58" spans="2:28" x14ac:dyDescent="0.35">
      <c r="B58" s="32" t="s">
        <v>948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40">
        <f>SUM(Gastos!T55:T62)</f>
        <v>98690.106249999997</v>
      </c>
      <c r="P58" s="40">
        <f>SUM(Gastos!U55:U62)</f>
        <v>98690.106249999997</v>
      </c>
      <c r="Q58" s="40">
        <f>SUM(Gastos!V55:V62)</f>
        <v>98690.106249999997</v>
      </c>
      <c r="R58" s="168">
        <f>SUM(Gastos!W55:W62)</f>
        <v>98690.106249999997</v>
      </c>
      <c r="S58" s="40">
        <f>SUM(Gastos!X55:X62)</f>
        <v>98690.106249999997</v>
      </c>
      <c r="T58" s="40">
        <f>SUM(Gastos!Y55:Y62)</f>
        <v>98690.106249999997</v>
      </c>
      <c r="U58" s="40">
        <f>SUM(Gastos!Z55:Z62)</f>
        <v>98690.106249999997</v>
      </c>
      <c r="V58" s="40">
        <f>SUM(Gastos!AA55:AA62)</f>
        <v>98690.106249999997</v>
      </c>
      <c r="W58" s="40">
        <f>SUM(Gastos!AB55:AB62)</f>
        <v>98690.106249999997</v>
      </c>
      <c r="X58" s="40">
        <f>SUM(Gastos!AC55:AC62)</f>
        <v>98690.106249999997</v>
      </c>
      <c r="Y58" s="40">
        <f>SUM(Gastos!AD55:AD62)</f>
        <v>98690.106249999997</v>
      </c>
      <c r="Z58" s="40">
        <f>SUM(Gastos!AE55:AE62)</f>
        <v>98690.106249999997</v>
      </c>
      <c r="AA58" s="50">
        <f t="shared" si="0"/>
        <v>1184281.2749999997</v>
      </c>
    </row>
    <row r="59" spans="2:28" s="27" customFormat="1" x14ac:dyDescent="0.35">
      <c r="B59" s="27" t="s">
        <v>37</v>
      </c>
      <c r="O59" s="35">
        <f>O40-SUM(O42:O58)</f>
        <v>720416.62342608627</v>
      </c>
      <c r="P59" s="35">
        <f t="shared" ref="P59:Z59" ca="1" si="14">P40-SUM(P42:P58)</f>
        <v>1210312.3950507655</v>
      </c>
      <c r="Q59" s="35">
        <f t="shared" ca="1" si="14"/>
        <v>101467.39487292431</v>
      </c>
      <c r="R59" s="164">
        <f t="shared" ca="1" si="14"/>
        <v>3015080.0886069667</v>
      </c>
      <c r="S59" s="35">
        <f t="shared" ca="1" si="14"/>
        <v>5624109.4529762287</v>
      </c>
      <c r="T59" s="35">
        <f t="shared" ca="1" si="14"/>
        <v>3933959.5211751331</v>
      </c>
      <c r="U59" s="35">
        <f t="shared" ca="1" si="14"/>
        <v>409291.77977106255</v>
      </c>
      <c r="V59" s="35">
        <f t="shared" ca="1" si="14"/>
        <v>884565.0113945324</v>
      </c>
      <c r="W59" s="35">
        <f t="shared" ca="1" si="14"/>
        <v>3370056.1791033801</v>
      </c>
      <c r="X59" s="35">
        <f t="shared" ca="1" si="14"/>
        <v>2349120.8011908717</v>
      </c>
      <c r="Y59" s="35">
        <f t="shared" ca="1" si="14"/>
        <v>3602116.5625223396</v>
      </c>
      <c r="Z59" s="35">
        <f t="shared" ca="1" si="14"/>
        <v>3150721.8086102707</v>
      </c>
      <c r="AA59" s="31">
        <f t="shared" ca="1" si="0"/>
        <v>28371217.618700564</v>
      </c>
      <c r="AB59" s="31"/>
    </row>
    <row r="60" spans="2:28" x14ac:dyDescent="0.35">
      <c r="B60" s="49" t="s">
        <v>37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73">
        <f>O59/O$22</f>
        <v>4.6429360225042057E-2</v>
      </c>
      <c r="P60" s="41">
        <f t="shared" ref="P60:AA60" ca="1" si="15">P59/P$22</f>
        <v>8.0279498250007464E-2</v>
      </c>
      <c r="Q60" s="41">
        <f t="shared" ca="1" si="15"/>
        <v>8.6675137949901813E-3</v>
      </c>
      <c r="R60" s="169">
        <f t="shared" ca="1" si="15"/>
        <v>0.16510553878806206</v>
      </c>
      <c r="S60" s="41">
        <f t="shared" ca="1" si="15"/>
        <v>0.21478302098105409</v>
      </c>
      <c r="T60" s="41">
        <f t="shared" ca="1" si="15"/>
        <v>0.1770036989652167</v>
      </c>
      <c r="U60" s="41">
        <f t="shared" ca="1" si="15"/>
        <v>2.9267565247094778E-2</v>
      </c>
      <c r="V60" s="41">
        <f t="shared" ca="1" si="15"/>
        <v>6.2626858132554447E-2</v>
      </c>
      <c r="W60" s="41">
        <f t="shared" ca="1" si="15"/>
        <v>0.16957971015104847</v>
      </c>
      <c r="X60" s="41">
        <f t="shared" ca="1" si="15"/>
        <v>0.13256100300190096</v>
      </c>
      <c r="Y60" s="41">
        <f t="shared" ca="1" si="15"/>
        <v>0.17480286541222773</v>
      </c>
      <c r="Z60" s="41">
        <f t="shared" ca="1" si="15"/>
        <v>0.15973454605961945</v>
      </c>
      <c r="AA60" s="41">
        <f t="shared" ca="1" si="15"/>
        <v>0.13195574949525538</v>
      </c>
    </row>
    <row r="61" spans="2:28" x14ac:dyDescent="0.35">
      <c r="B61" s="29" t="s">
        <v>28</v>
      </c>
      <c r="O61" s="39"/>
      <c r="P61" s="39"/>
      <c r="Q61" s="39"/>
      <c r="R61" s="167"/>
      <c r="S61" s="39"/>
      <c r="T61" s="39"/>
      <c r="U61" s="39"/>
      <c r="V61" s="39"/>
      <c r="W61" s="39"/>
      <c r="X61" s="39"/>
      <c r="Y61" s="39"/>
      <c r="Z61" s="39"/>
      <c r="AA61" s="31">
        <f t="shared" si="0"/>
        <v>0</v>
      </c>
    </row>
    <row r="62" spans="2:28" x14ac:dyDescent="0.35">
      <c r="B62" s="29" t="s">
        <v>1355</v>
      </c>
      <c r="O62" s="39">
        <v>237459.19812367056</v>
      </c>
      <c r="P62" s="39">
        <v>277409.44291000755</v>
      </c>
      <c r="Q62" s="39">
        <v>418800.84798098123</v>
      </c>
      <c r="R62" s="167">
        <v>225124.11160587889</v>
      </c>
      <c r="S62" s="39">
        <v>229400.3192337428</v>
      </c>
      <c r="T62" s="39">
        <v>233770.93115862689</v>
      </c>
      <c r="U62" s="39">
        <v>271383.61519012187</v>
      </c>
      <c r="V62" s="39">
        <v>238809.70965831607</v>
      </c>
      <c r="W62" s="39">
        <v>243402.50236613807</v>
      </c>
      <c r="X62" s="39">
        <v>277247.12060237891</v>
      </c>
      <c r="Y62" s="39">
        <v>249398.01896207561</v>
      </c>
      <c r="Z62" s="39">
        <v>254239.06239269453</v>
      </c>
      <c r="AA62" s="31">
        <f t="shared" si="0"/>
        <v>3156444.8801846327</v>
      </c>
    </row>
    <row r="63" spans="2:28" x14ac:dyDescent="0.35">
      <c r="B63" s="29" t="s">
        <v>30</v>
      </c>
      <c r="O63" s="159">
        <v>1261340.8</v>
      </c>
      <c r="P63" s="159">
        <v>1276737.3500000001</v>
      </c>
      <c r="Q63" s="159">
        <v>986915.25</v>
      </c>
      <c r="R63" s="167">
        <f>SUM('Interest Expense'!O6:O13)</f>
        <v>1805132.1111396537</v>
      </c>
      <c r="S63" s="39">
        <f>SUM('Interest Expense'!P6:P13)</f>
        <v>1860081.8482579817</v>
      </c>
      <c r="T63" s="39">
        <f>SUM('Interest Expense'!Q6:Q13)</f>
        <v>1853809.4197212798</v>
      </c>
      <c r="U63" s="39">
        <f>SUM('Interest Expense'!R6:R13)</f>
        <v>1846752.0393315698</v>
      </c>
      <c r="V63" s="39">
        <f>SUM('Interest Expense'!S6:S13)</f>
        <v>1840350.9697805815</v>
      </c>
      <c r="W63" s="39">
        <f>SUM('Interest Expense'!T6:T13)</f>
        <v>1833847.2825281429</v>
      </c>
      <c r="X63" s="39">
        <f>SUM('Interest Expense'!U6:U13)</f>
        <v>1826643.4020072627</v>
      </c>
      <c r="Y63" s="39">
        <f>SUM('Interest Expense'!V6:V13)</f>
        <v>1819990.2942983801</v>
      </c>
      <c r="Z63" s="39">
        <f>SUM('Interest Expense'!W6:W13)</f>
        <v>1813228.6754476232</v>
      </c>
      <c r="AA63" s="31">
        <f t="shared" si="0"/>
        <v>20024829.442512475</v>
      </c>
    </row>
    <row r="64" spans="2:28" s="52" customFormat="1" x14ac:dyDescent="0.35">
      <c r="B64" s="51" t="s">
        <v>1354</v>
      </c>
      <c r="O64" s="75">
        <f>O63/O59</f>
        <v>1.7508491045104428</v>
      </c>
      <c r="P64" s="53">
        <f t="shared" ref="P64:AA64" ca="1" si="16">P63/P59</f>
        <v>1.0548824875469018</v>
      </c>
      <c r="Q64" s="53">
        <f t="shared" ca="1" si="16"/>
        <v>9.7264274029701117</v>
      </c>
      <c r="R64" s="174">
        <f t="shared" ca="1" si="16"/>
        <v>0.59870121459150505</v>
      </c>
      <c r="S64" s="53">
        <f t="shared" ca="1" si="16"/>
        <v>0.33073357903332462</v>
      </c>
      <c r="T64" s="53">
        <f t="shared" ca="1" si="16"/>
        <v>0.47123245924185791</v>
      </c>
      <c r="U64" s="53">
        <f t="shared" ca="1" si="16"/>
        <v>4.512067260096333</v>
      </c>
      <c r="V64" s="53">
        <f t="shared" ca="1" si="16"/>
        <v>2.0805152205593522</v>
      </c>
      <c r="W64" s="53">
        <f t="shared" ca="1" si="16"/>
        <v>0.54415926176519913</v>
      </c>
      <c r="X64" s="53">
        <f t="shared" ca="1" si="16"/>
        <v>0.77758598071297891</v>
      </c>
      <c r="Y64" s="53">
        <f t="shared" ca="1" si="16"/>
        <v>0.50525580244520274</v>
      </c>
      <c r="Z64" s="53">
        <f t="shared" ca="1" si="16"/>
        <v>0.57549627850114993</v>
      </c>
      <c r="AA64" s="53">
        <f t="shared" ca="1" si="16"/>
        <v>0.70581494638824871</v>
      </c>
    </row>
    <row r="65" spans="2:27" x14ac:dyDescent="0.35">
      <c r="B65" s="32" t="s">
        <v>31</v>
      </c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175"/>
      <c r="S65" s="33"/>
      <c r="T65" s="33"/>
      <c r="U65" s="33"/>
      <c r="V65" s="33"/>
      <c r="W65" s="33"/>
      <c r="X65" s="33"/>
      <c r="Y65" s="33"/>
      <c r="Z65" s="33"/>
      <c r="AA65" s="50">
        <f t="shared" si="0"/>
        <v>0</v>
      </c>
    </row>
    <row r="66" spans="2:27" x14ac:dyDescent="0.35">
      <c r="B66" s="42" t="s">
        <v>1436</v>
      </c>
      <c r="O66" s="44">
        <f>SUM(O37:O39)+SUM(O42:O58)</f>
        <v>4250265.5807587421</v>
      </c>
      <c r="P66" s="44">
        <f t="shared" ref="P66:Y66" ca="1" si="17">SUM(P37:P39)+SUM(P42:P58)</f>
        <v>4225916.6884940639</v>
      </c>
      <c r="Q66" s="44">
        <f t="shared" ca="1" si="17"/>
        <v>4217204.9148719022</v>
      </c>
      <c r="R66" s="172">
        <f t="shared" ca="1" si="17"/>
        <v>4985734.9382849736</v>
      </c>
      <c r="S66" s="44">
        <f t="shared" ca="1" si="17"/>
        <v>5317269.7543938467</v>
      </c>
      <c r="T66" s="44">
        <f t="shared" ca="1" si="17"/>
        <v>5120364.5814949442</v>
      </c>
      <c r="U66" s="44">
        <f t="shared" ca="1" si="17"/>
        <v>4794600.7164990157</v>
      </c>
      <c r="V66" s="44">
        <f t="shared" ca="1" si="17"/>
        <v>4792106.9279755447</v>
      </c>
      <c r="W66" s="44">
        <f t="shared" ca="1" si="17"/>
        <v>5014919.796566695</v>
      </c>
      <c r="X66" s="44">
        <f t="shared" ca="1" si="17"/>
        <v>5022029.3826792054</v>
      </c>
      <c r="Y66" s="44">
        <f t="shared" ca="1" si="17"/>
        <v>5128542.9754477376</v>
      </c>
      <c r="Z66" s="44">
        <f ca="1">SUM(Z37:Z39)+SUM(Z42:Z58)</f>
        <v>5164407.7293598065</v>
      </c>
      <c r="AA66" s="31">
        <f t="shared" ca="1" si="0"/>
        <v>58033363.986826472</v>
      </c>
    </row>
    <row r="67" spans="2:27" x14ac:dyDescent="0.35">
      <c r="B67" s="45" t="s">
        <v>1436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74">
        <f>O66/O18</f>
        <v>0.25190637593961263</v>
      </c>
      <c r="P67" s="47">
        <f t="shared" ref="P67:AA67" ca="1" si="18">P66/P18</f>
        <v>0.2708799777046681</v>
      </c>
      <c r="Q67" s="47">
        <f t="shared" ca="1" si="18"/>
        <v>0.32936436908682687</v>
      </c>
      <c r="R67" s="173">
        <f t="shared" ca="1" si="18"/>
        <v>0.26755806826608147</v>
      </c>
      <c r="S67" s="47">
        <f t="shared" ca="1" si="18"/>
        <v>0.1990036085452106</v>
      </c>
      <c r="T67" s="47">
        <f t="shared" ca="1" si="18"/>
        <v>0.22577685326316455</v>
      </c>
      <c r="U67" s="47">
        <f t="shared" ca="1" si="18"/>
        <v>0.33599444287580366</v>
      </c>
      <c r="V67" s="47">
        <f t="shared" ca="1" si="18"/>
        <v>0.33249371717291348</v>
      </c>
      <c r="W67" s="47">
        <f t="shared" ca="1" si="18"/>
        <v>0.24730153692678791</v>
      </c>
      <c r="X67" s="47">
        <f t="shared" ca="1" si="18"/>
        <v>0.27772549913175099</v>
      </c>
      <c r="Y67" s="47">
        <f t="shared" ca="1" si="18"/>
        <v>0.24389947190738859</v>
      </c>
      <c r="Z67" s="47">
        <f t="shared" ca="1" si="18"/>
        <v>0.25658743835157705</v>
      </c>
      <c r="AA67" s="57">
        <f t="shared" ca="1" si="18"/>
        <v>0.26199210339781548</v>
      </c>
    </row>
    <row r="68" spans="2:27" x14ac:dyDescent="0.35">
      <c r="B68" s="42" t="s">
        <v>1435</v>
      </c>
      <c r="O68" s="76">
        <f>O66+O33+SUM(O61:O63)</f>
        <v>16294785.494697584</v>
      </c>
      <c r="P68" s="54">
        <f t="shared" ref="P68:Y68" ca="1" si="19">P66+P33+SUM(P61:P63)</f>
        <v>15552673.009669244</v>
      </c>
      <c r="Q68" s="54">
        <f t="shared" ca="1" si="19"/>
        <v>13119715.370433057</v>
      </c>
      <c r="R68" s="176">
        <f t="shared" ca="1" si="19"/>
        <v>17276708.18653857</v>
      </c>
      <c r="S68" s="54">
        <f t="shared" ca="1" si="19"/>
        <v>22650447.434515491</v>
      </c>
      <c r="T68" s="54">
        <f t="shared" ca="1" si="19"/>
        <v>20378916.369704776</v>
      </c>
      <c r="U68" s="54">
        <f t="shared" ca="1" si="19"/>
        <v>15693327.254750632</v>
      </c>
      <c r="V68" s="54">
        <f t="shared" ca="1" si="19"/>
        <v>15318967.188044365</v>
      </c>
      <c r="W68" s="54">
        <f t="shared" ca="1" si="19"/>
        <v>18580185.345790897</v>
      </c>
      <c r="X68" s="54">
        <f t="shared" ca="1" si="19"/>
        <v>17475824.541418768</v>
      </c>
      <c r="Y68" s="54">
        <f t="shared" ca="1" si="19"/>
        <v>19074008.110738114</v>
      </c>
      <c r="Z68" s="54">
        <f ca="1">Z66+Z33+SUM(Z61:Z63)</f>
        <v>18641482.289230045</v>
      </c>
      <c r="AA68" s="31">
        <f t="shared" ca="1" si="0"/>
        <v>210057040.59553152</v>
      </c>
    </row>
    <row r="69" spans="2:27" x14ac:dyDescent="0.35">
      <c r="B69" s="45" t="s">
        <v>1435</v>
      </c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74">
        <f>O68/O22</f>
        <v>1.0501651973619759</v>
      </c>
      <c r="P69" s="47">
        <f t="shared" ref="P69:AA69" ca="1" si="20">P68/P22</f>
        <v>1.0316020812216093</v>
      </c>
      <c r="Q69" s="47">
        <f t="shared" ca="1" si="20"/>
        <v>1.1207079289065021</v>
      </c>
      <c r="R69" s="173">
        <f t="shared" ca="1" si="20"/>
        <v>0.94607112573931051</v>
      </c>
      <c r="S69" s="47">
        <f t="shared" ca="1" si="20"/>
        <v>0.8650136643381513</v>
      </c>
      <c r="T69" s="47">
        <f t="shared" ca="1" si="20"/>
        <v>0.916924426630359</v>
      </c>
      <c r="U69" s="47">
        <f t="shared" ca="1" si="20"/>
        <v>1.1221957099390989</v>
      </c>
      <c r="V69" s="47">
        <f t="shared" ca="1" si="20"/>
        <v>1.084576907818718</v>
      </c>
      <c r="W69" s="47">
        <f t="shared" ca="1" si="20"/>
        <v>0.93494656410453969</v>
      </c>
      <c r="X69" s="47">
        <f t="shared" ca="1" si="20"/>
        <v>0.98616164325023903</v>
      </c>
      <c r="Y69" s="47">
        <f t="shared" ca="1" si="20"/>
        <v>0.9256200388802428</v>
      </c>
      <c r="Z69" s="47">
        <f t="shared" ca="1" si="20"/>
        <v>0.94508144235749092</v>
      </c>
      <c r="AA69" s="57">
        <f t="shared" ca="1" si="20"/>
        <v>0.97698430152213445</v>
      </c>
    </row>
    <row r="70" spans="2:27" s="27" customFormat="1" x14ac:dyDescent="0.35">
      <c r="B70" s="27" t="s">
        <v>38</v>
      </c>
      <c r="O70" s="35">
        <f>O59-SUM(O61:O63)</f>
        <v>-778383.37469758443</v>
      </c>
      <c r="P70" s="35">
        <f t="shared" ref="P70:Z70" ca="1" si="21">P59-SUM(P61:P65)</f>
        <v>-343835.45274172979</v>
      </c>
      <c r="Q70" s="35">
        <f t="shared" ca="1" si="21"/>
        <v>-1304258.42953546</v>
      </c>
      <c r="R70" s="164">
        <f t="shared" ca="1" si="21"/>
        <v>984823.26716021937</v>
      </c>
      <c r="S70" s="35">
        <f ca="1">S59-SUM(S61:S65)</f>
        <v>3534626.9547509253</v>
      </c>
      <c r="T70" s="35">
        <f t="shared" ca="1" si="21"/>
        <v>1846378.6990627672</v>
      </c>
      <c r="U70" s="35">
        <f t="shared" ca="1" si="21"/>
        <v>-1708848.3868178893</v>
      </c>
      <c r="V70" s="35">
        <f t="shared" ca="1" si="21"/>
        <v>-1194597.7485595858</v>
      </c>
      <c r="W70" s="35">
        <f t="shared" ca="1" si="21"/>
        <v>1292805.8500498373</v>
      </c>
      <c r="X70" s="35">
        <f t="shared" ca="1" si="21"/>
        <v>245229.50099524949</v>
      </c>
      <c r="Y70" s="35">
        <f t="shared" ca="1" si="21"/>
        <v>1532727.7440060813</v>
      </c>
      <c r="Z70" s="35">
        <f t="shared" ca="1" si="21"/>
        <v>1083253.4952736746</v>
      </c>
      <c r="AA70" s="31">
        <f t="shared" ca="1" si="0"/>
        <v>5189922.1189465057</v>
      </c>
    </row>
    <row r="71" spans="2:27" x14ac:dyDescent="0.35">
      <c r="B71" s="49" t="s">
        <v>38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73">
        <f>O70/O$22</f>
        <v>-5.0165197361976104E-2</v>
      </c>
      <c r="P71" s="41">
        <f t="shared" ref="P71:AA71" ca="1" si="22">P70/P$22</f>
        <v>-2.2806457026751711E-2</v>
      </c>
      <c r="Q71" s="41">
        <f t="shared" ca="1" si="22"/>
        <v>-0.11141192640639465</v>
      </c>
      <c r="R71" s="169">
        <f t="shared" ca="1" si="22"/>
        <v>5.392884147586019E-2</v>
      </c>
      <c r="S71" s="41">
        <f t="shared" ca="1" si="22"/>
        <v>0.13498632303123423</v>
      </c>
      <c r="T71" s="41">
        <f t="shared" ca="1" si="22"/>
        <v>8.3075552167112696E-2</v>
      </c>
      <c r="U71" s="41">
        <f t="shared" ca="1" si="22"/>
        <v>-0.12219603258721805</v>
      </c>
      <c r="V71" s="41">
        <f t="shared" ca="1" si="22"/>
        <v>-8.4577055118384897E-2</v>
      </c>
      <c r="W71" s="41">
        <f t="shared" ca="1" si="22"/>
        <v>6.5053408513611008E-2</v>
      </c>
      <c r="X71" s="41">
        <f t="shared" ca="1" si="22"/>
        <v>1.3838312870545563E-2</v>
      </c>
      <c r="Y71" s="41">
        <f t="shared" ca="1" si="22"/>
        <v>7.4379936600794228E-2</v>
      </c>
      <c r="Z71" s="41">
        <f t="shared" ca="1" si="22"/>
        <v>5.4918528466135333E-2</v>
      </c>
      <c r="AA71" s="41">
        <f t="shared" ca="1" si="22"/>
        <v>2.4138550281190101E-2</v>
      </c>
    </row>
    <row r="72" spans="2:27" x14ac:dyDescent="0.35">
      <c r="O72" s="39"/>
      <c r="P72" s="39"/>
      <c r="Q72" s="39"/>
      <c r="R72" s="167"/>
      <c r="S72" s="39"/>
      <c r="T72" s="39"/>
      <c r="U72" s="39"/>
      <c r="V72" s="39"/>
      <c r="W72" s="39"/>
      <c r="X72" s="39"/>
      <c r="Y72" s="39"/>
      <c r="Z72" s="39"/>
      <c r="AA72" s="35"/>
    </row>
    <row r="73" spans="2:27" x14ac:dyDescent="0.35">
      <c r="O73" s="30"/>
      <c r="P73" s="63"/>
      <c r="Q73" s="63"/>
      <c r="R73" s="163">
        <f ca="1">R66+SUM(R27:R32)</f>
        <v>7751252.6594688948</v>
      </c>
      <c r="S73" s="63">
        <f ca="1">S66+SUM(S27:S32)</f>
        <v>8230747.5070237685</v>
      </c>
      <c r="T73" s="63">
        <f ca="1">T66+SUM(T27:T32)</f>
        <v>7959899.518824866</v>
      </c>
      <c r="U73" s="63">
        <f t="shared" ref="U73:Z73" ca="1" si="23">U66+SUM(U27:U32)</f>
        <v>7480251.1002289383</v>
      </c>
      <c r="V73" s="63">
        <f t="shared" ca="1" si="23"/>
        <v>7073494.5086054672</v>
      </c>
      <c r="W73" s="63">
        <f t="shared" ca="1" si="23"/>
        <v>7403654.0608966174</v>
      </c>
      <c r="X73" s="30">
        <f ca="1">X66+SUM(X27:X32)</f>
        <v>7370579.5188091286</v>
      </c>
      <c r="Y73" s="63">
        <f t="shared" ca="1" si="23"/>
        <v>7530978.7974776598</v>
      </c>
      <c r="Z73" s="63">
        <f t="shared" ca="1" si="23"/>
        <v>7550373.5513897287</v>
      </c>
      <c r="AA73" s="64"/>
    </row>
    <row r="74" spans="2:27" x14ac:dyDescent="0.35">
      <c r="O74" s="55"/>
      <c r="P74" s="55"/>
      <c r="Q74" s="55"/>
      <c r="R74" s="177">
        <f ca="1">R73/R18</f>
        <v>0.41596880176771323</v>
      </c>
      <c r="S74" s="65">
        <f t="shared" ref="S74:Z74" ca="1" si="24">S73/S18</f>
        <v>0.30804313690662988</v>
      </c>
      <c r="T74" s="65">
        <f t="shared" ca="1" si="24"/>
        <v>0.35098302807308218</v>
      </c>
      <c r="U74" s="65">
        <f t="shared" ca="1" si="24"/>
        <v>0.52419856200825632</v>
      </c>
      <c r="V74" s="65">
        <f t="shared" ca="1" si="24"/>
        <v>0.49078464189487403</v>
      </c>
      <c r="W74" s="65">
        <f t="shared" ca="1" si="24"/>
        <v>0.36509756933450449</v>
      </c>
      <c r="X74" s="65">
        <f t="shared" ca="1" si="24"/>
        <v>0.40760372346915102</v>
      </c>
      <c r="Y74" s="65">
        <f t="shared" ca="1" si="24"/>
        <v>0.35815274639288425</v>
      </c>
      <c r="Z74" s="65">
        <f t="shared" ca="1" si="24"/>
        <v>0.37513130443493209</v>
      </c>
      <c r="AA74" s="56"/>
    </row>
    <row r="78" spans="2:27" x14ac:dyDescent="0.35">
      <c r="R78" s="39"/>
    </row>
  </sheetData>
  <conditionalFormatting sqref="O70:AA71">
    <cfRule type="expression" dxfId="55" priority="1">
      <formula>"&lt;0"</formula>
    </cfRule>
  </conditionalFormatting>
  <pageMargins left="0.7" right="0.7" top="0.75" bottom="0.75" header="0.3" footer="0.3"/>
  <headerFooter>
    <oddHeader>&amp;R&amp;"Calibri"&amp;10&amp;K000000 Confidencial&amp;1#_x000D_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81A5-5CED-4A3B-BA71-56AA8721B12C}">
  <sheetPr codeName="Sheet22">
    <pageSetUpPr autoPageBreaks="0"/>
  </sheetPr>
  <dimension ref="A1:T179"/>
  <sheetViews>
    <sheetView zoomScale="96" workbookViewId="0">
      <pane ySplit="4" topLeftCell="A24" activePane="bottomLeft" state="frozen"/>
      <selection pane="bottomLeft" activeCell="E59" sqref="E59"/>
    </sheetView>
  </sheetViews>
  <sheetFormatPr baseColWidth="10" defaultColWidth="11" defaultRowHeight="14.4" x14ac:dyDescent="0.3"/>
  <cols>
    <col min="1" max="1" width="37.109375" customWidth="1"/>
    <col min="2" max="4" width="11.44140625" hidden="1" customWidth="1"/>
    <col min="5" max="6" width="11.44140625" bestFit="1" customWidth="1"/>
    <col min="7" max="8" width="11.5546875" bestFit="1" customWidth="1"/>
    <col min="9" max="13" width="11.44140625" bestFit="1" customWidth="1"/>
    <col min="14" max="14" width="12.44140625" bestFit="1" customWidth="1"/>
    <col min="15" max="16" width="0.88671875" customWidth="1"/>
    <col min="17" max="18" width="12.109375" bestFit="1" customWidth="1"/>
  </cols>
  <sheetData>
    <row r="1" spans="1:20" ht="25.8" x14ac:dyDescent="0.5">
      <c r="A1" s="77">
        <v>2023</v>
      </c>
      <c r="G1" s="2"/>
    </row>
    <row r="2" spans="1:20" x14ac:dyDescent="0.3">
      <c r="A2" s="78" t="s">
        <v>1591</v>
      </c>
      <c r="B2" s="79">
        <f>'[2]P&amp;L CONSOLIDADO Mensual'!$C$94</f>
        <v>19.017099999999999</v>
      </c>
      <c r="C2" s="79">
        <f>'[2]P&amp;L CONSOLIDADO Mensual'!$F$94</f>
        <v>18.622199999999999</v>
      </c>
      <c r="D2" s="79">
        <f>'[2]P&amp;L CONSOLIDADO Mensual'!$I$94</f>
        <v>18.3887</v>
      </c>
      <c r="E2" s="79">
        <f>'[2]P&amp;L CONSOLIDADO Mensual'!$L$94</f>
        <v>18.087900000000001</v>
      </c>
      <c r="F2" s="79">
        <f>'[2]P&amp;L CONSOLIDADO Mensual'!$O$94</f>
        <v>17.748899999999999</v>
      </c>
      <c r="G2" s="79">
        <f>'[2]P&amp;L CONSOLIDADO Mensual'!$R$94</f>
        <v>17.268799999999999</v>
      </c>
      <c r="H2" s="79">
        <f>'[2]P&amp;L CONSOLIDADO Mensual'!$U$94</f>
        <v>0</v>
      </c>
      <c r="I2" s="79">
        <f>'[2]P&amp;L CONSOLIDADO Mensual'!$X$94</f>
        <v>0</v>
      </c>
      <c r="J2" s="79">
        <f>'[2]P&amp;L CONSOLIDADO Mensual'!$AA$94</f>
        <v>0</v>
      </c>
      <c r="K2" s="79">
        <f>'[2]P&amp;L CONSOLIDADO Mensual'!$AD$94</f>
        <v>0</v>
      </c>
      <c r="L2" s="79">
        <f>'[2]P&amp;L CONSOLIDADO Mensual'!$AG$94</f>
        <v>0</v>
      </c>
      <c r="M2" s="79">
        <f>'[2]P&amp;L CONSOLIDADO Mensual'!$AJ$94</f>
        <v>0</v>
      </c>
      <c r="N2" s="79">
        <f>'[2]P&amp;L CONSOLIDADO Mensual'!$AN$94</f>
        <v>0</v>
      </c>
      <c r="O2" s="80"/>
      <c r="P2" s="80"/>
      <c r="Q2" s="80"/>
    </row>
    <row r="3" spans="1:20" ht="15" thickBot="1" x14ac:dyDescent="0.35">
      <c r="A3" s="78">
        <f>'[2]P&amp;L CONSOLIDADO Mensual'!B95</f>
        <v>19.361499999999999</v>
      </c>
      <c r="B3" s="79">
        <f>'[2]P&amp;L CONSOLIDADO Mensual'!$C$95</f>
        <v>18.779299999999999</v>
      </c>
      <c r="C3" s="79">
        <f>'[2]P&amp;L CONSOLIDADO Mensual'!$F$95</f>
        <v>18.407699999999998</v>
      </c>
      <c r="D3" s="79">
        <f>'[2]P&amp;L CONSOLIDADO Mensual'!$I$95</f>
        <v>18.0932</v>
      </c>
      <c r="E3" s="79">
        <f>'[2]P&amp;L CONSOLIDADO Mensual'!$L$95</f>
        <v>18.072299999999998</v>
      </c>
      <c r="F3" s="79">
        <f>'[2]P&amp;L CONSOLIDADO Mensual'!$O$95</f>
        <v>17.653199999999998</v>
      </c>
      <c r="G3" s="79">
        <f>'[2]P&amp;L CONSOLIDADO Mensual'!$R$95</f>
        <v>17.1187</v>
      </c>
      <c r="H3" s="79">
        <f>'[2]P&amp;L CONSOLIDADO Mensual'!$U$95</f>
        <v>17</v>
      </c>
      <c r="I3" s="79">
        <f>'[2]P&amp;L CONSOLIDADO Mensual'!$X$95</f>
        <v>17</v>
      </c>
      <c r="J3" s="79">
        <f>'[2]P&amp;L CONSOLIDADO Mensual'!$AA$95</f>
        <v>17</v>
      </c>
      <c r="K3" s="79">
        <f>'[2]P&amp;L CONSOLIDADO Mensual'!$AD$95</f>
        <v>17.5</v>
      </c>
      <c r="L3" s="79">
        <f>'[2]P&amp;L CONSOLIDADO Mensual'!$AG$95</f>
        <v>17.5</v>
      </c>
      <c r="M3" s="79">
        <f>'[2]P&amp;L CONSOLIDADO Mensual'!$AJ$95</f>
        <v>17.5</v>
      </c>
      <c r="N3" s="79">
        <f>'[2]P&amp;L CONSOLIDADO Mensual'!$AN$95</f>
        <v>17.635366666666666</v>
      </c>
      <c r="O3" s="79"/>
      <c r="P3" s="79"/>
    </row>
    <row r="4" spans="1:20" ht="18.600000000000001" thickBot="1" x14ac:dyDescent="0.4">
      <c r="A4" s="81"/>
      <c r="B4" s="154" t="s">
        <v>1592</v>
      </c>
      <c r="C4" s="154" t="s">
        <v>1593</v>
      </c>
      <c r="D4" s="154" t="s">
        <v>1594</v>
      </c>
      <c r="E4" s="82" t="s">
        <v>1687</v>
      </c>
      <c r="F4" s="82" t="s">
        <v>1688</v>
      </c>
      <c r="G4" s="82" t="s">
        <v>1689</v>
      </c>
      <c r="H4" s="82" t="s">
        <v>1595</v>
      </c>
      <c r="I4" s="82" t="s">
        <v>1596</v>
      </c>
      <c r="J4" s="82" t="s">
        <v>1597</v>
      </c>
      <c r="K4" s="82" t="s">
        <v>1598</v>
      </c>
      <c r="L4" s="82" t="s">
        <v>1599</v>
      </c>
      <c r="M4" s="82" t="s">
        <v>1600</v>
      </c>
      <c r="N4" s="82" t="s">
        <v>1601</v>
      </c>
      <c r="O4" s="83"/>
      <c r="P4" s="83"/>
    </row>
    <row r="5" spans="1:20" x14ac:dyDescent="0.3">
      <c r="A5" s="70"/>
      <c r="B5" s="84"/>
      <c r="C5" s="84"/>
      <c r="D5" s="84"/>
      <c r="E5" s="85"/>
      <c r="F5" s="85"/>
      <c r="G5" s="84"/>
      <c r="H5" s="84"/>
      <c r="I5" s="84"/>
      <c r="J5" s="84"/>
      <c r="K5" s="84"/>
      <c r="L5" s="84"/>
      <c r="M5" s="86"/>
      <c r="N5" s="84"/>
      <c r="O5" s="87"/>
      <c r="P5" s="87"/>
    </row>
    <row r="6" spans="1:20" ht="15.6" x14ac:dyDescent="0.3">
      <c r="A6" s="88" t="s">
        <v>1602</v>
      </c>
      <c r="B6" s="180">
        <v>19592696.870000001</v>
      </c>
      <c r="C6" s="180">
        <v>26851305.530000001</v>
      </c>
      <c r="D6" s="180">
        <v>23349015.16</v>
      </c>
      <c r="E6" s="180">
        <v>33578308.799999997</v>
      </c>
      <c r="F6" s="153">
        <f>(C123+D123)/2</f>
        <v>13391432.370000001</v>
      </c>
      <c r="G6" s="153">
        <f t="shared" ref="G6:M6" si="0">(D123+E123)/2</f>
        <v>14984082.0562</v>
      </c>
      <c r="H6" s="153">
        <f t="shared" si="0"/>
        <v>22223303.3862</v>
      </c>
      <c r="I6" s="153">
        <f t="shared" si="0"/>
        <v>24205185.129999999</v>
      </c>
      <c r="J6" s="153">
        <f t="shared" si="0"/>
        <v>18104889.460000001</v>
      </c>
      <c r="K6" s="153">
        <f t="shared" si="0"/>
        <v>14054427.449999999</v>
      </c>
      <c r="L6" s="153">
        <f t="shared" si="0"/>
        <v>16998681.629999999</v>
      </c>
      <c r="M6" s="153">
        <f t="shared" si="0"/>
        <v>18797023.280000001</v>
      </c>
      <c r="N6" s="89">
        <f>SUM(B6,C6,D6,E6,F6,G6,H6,I6,J6,K6,L6,M6)</f>
        <v>246130351.12239999</v>
      </c>
      <c r="O6" s="87"/>
      <c r="P6" s="87"/>
      <c r="Q6" s="4"/>
    </row>
    <row r="7" spans="1:20" hidden="1" x14ac:dyDescent="0.3">
      <c r="A7" s="71" t="s">
        <v>1603</v>
      </c>
      <c r="B7" s="90">
        <f t="shared" ref="B7:L8" si="1">B6*$Q7</f>
        <v>15072125.557735475</v>
      </c>
      <c r="C7" s="90">
        <f t="shared" si="1"/>
        <v>20655974.571676046</v>
      </c>
      <c r="D7" s="90">
        <f t="shared" si="1"/>
        <v>17961758.42846024</v>
      </c>
      <c r="E7" s="90">
        <f t="shared" si="1"/>
        <v>25830874.106205367</v>
      </c>
      <c r="F7" s="90">
        <f t="shared" si="1"/>
        <v>10301662.472388526</v>
      </c>
      <c r="G7" s="90">
        <f t="shared" si="1"/>
        <v>11526844.293919683</v>
      </c>
      <c r="H7" s="90">
        <f t="shared" si="1"/>
        <v>17095779.16541585</v>
      </c>
      <c r="I7" s="90">
        <f t="shared" si="1"/>
        <v>18620386.557718005</v>
      </c>
      <c r="J7" s="90">
        <f t="shared" si="1"/>
        <v>13927596.030328499</v>
      </c>
      <c r="K7" s="90">
        <f t="shared" si="1"/>
        <v>10811686.44490359</v>
      </c>
      <c r="L7" s="90">
        <f t="shared" si="1"/>
        <v>13076620.617533777</v>
      </c>
      <c r="M7" s="90">
        <f>M6*$Q7</f>
        <v>14460035.638158511</v>
      </c>
      <c r="N7" s="90">
        <f>SUM(B7,C7,D7,E7,F7,G7,H7,I7,J7,K7,L7,M7)</f>
        <v>189341343.88444355</v>
      </c>
      <c r="O7" s="91"/>
      <c r="P7" s="91"/>
      <c r="Q7" s="92">
        <v>0.76927263549989655</v>
      </c>
      <c r="R7" s="92">
        <f>N7/($N$7+$N$8)</f>
        <v>0.81252763921941373</v>
      </c>
    </row>
    <row r="8" spans="1:20" hidden="1" x14ac:dyDescent="0.3">
      <c r="A8" s="71" t="s">
        <v>1604</v>
      </c>
      <c r="B8" s="90">
        <f t="shared" si="1"/>
        <v>3477551.8073509596</v>
      </c>
      <c r="C8" s="90">
        <f t="shared" si="1"/>
        <v>4765898.5741039691</v>
      </c>
      <c r="D8" s="90">
        <f t="shared" si="1"/>
        <v>4144269.183986153</v>
      </c>
      <c r="E8" s="90">
        <f t="shared" si="1"/>
        <v>5959889.5052587325</v>
      </c>
      <c r="F8" s="90">
        <f t="shared" si="1"/>
        <v>2376875.4322238257</v>
      </c>
      <c r="G8" s="90">
        <f t="shared" si="1"/>
        <v>2659558.4049391453</v>
      </c>
      <c r="H8" s="90">
        <f t="shared" si="1"/>
        <v>3944464.0709121791</v>
      </c>
      <c r="I8" s="90">
        <f t="shared" si="1"/>
        <v>4296232.7164354306</v>
      </c>
      <c r="J8" s="90">
        <f t="shared" si="1"/>
        <v>3213477.5258997991</v>
      </c>
      <c r="K8" s="90">
        <f t="shared" si="1"/>
        <v>2494551.9192340993</v>
      </c>
      <c r="L8" s="90">
        <f t="shared" si="1"/>
        <v>3017134.2116512852</v>
      </c>
      <c r="M8" s="90">
        <f>M7*$Q8</f>
        <v>3336325.9133698866</v>
      </c>
      <c r="N8" s="90">
        <f>SUM(B8,C8,D8,E8,F8,G8,H8,I8,J8,K8,L8,M8)</f>
        <v>43686229.265365466</v>
      </c>
      <c r="O8" s="91"/>
      <c r="P8" s="91"/>
      <c r="Q8" s="92">
        <v>0.23072736450010356</v>
      </c>
      <c r="R8" s="92">
        <f>N8/($N$7+$N$8)</f>
        <v>0.18747236078058632</v>
      </c>
    </row>
    <row r="9" spans="1:20" hidden="1" x14ac:dyDescent="0.3">
      <c r="A9" s="71" t="s">
        <v>1605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1"/>
      <c r="P9" s="91"/>
      <c r="Q9" s="92"/>
      <c r="R9" s="92"/>
    </row>
    <row r="10" spans="1:20" x14ac:dyDescent="0.3">
      <c r="A10" s="70"/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87"/>
      <c r="P10" s="87"/>
    </row>
    <row r="11" spans="1:20" ht="15.6" x14ac:dyDescent="0.3">
      <c r="A11" s="88" t="s">
        <v>1606</v>
      </c>
      <c r="B11" s="180">
        <v>19157383.34</v>
      </c>
      <c r="C11" s="180">
        <v>26521602.760000002</v>
      </c>
      <c r="D11" s="180">
        <v>25505917.809999999</v>
      </c>
      <c r="E11" s="180">
        <v>32901538.059999999</v>
      </c>
      <c r="F11" s="89">
        <f t="shared" ref="F11:N11" ca="1" si="2">+F13+F16+F18</f>
        <v>13276916.385378692</v>
      </c>
      <c r="G11" s="89">
        <f t="shared" ca="1" si="2"/>
        <v>15652214.515152812</v>
      </c>
      <c r="H11" s="89">
        <f t="shared" ca="1" si="2"/>
        <v>20206840.78454024</v>
      </c>
      <c r="I11" s="89">
        <f t="shared" ca="1" si="2"/>
        <v>17727732.354184963</v>
      </c>
      <c r="J11" s="89">
        <f t="shared" ca="1" si="2"/>
        <v>13686094.375383938</v>
      </c>
      <c r="K11" s="89">
        <f t="shared" ca="1" si="2"/>
        <v>13781154.202132687</v>
      </c>
      <c r="L11" s="89">
        <f t="shared" ca="1" si="2"/>
        <v>16875303.265960917</v>
      </c>
      <c r="M11" s="89">
        <f t="shared" ca="1" si="2"/>
        <v>15788912.694103604</v>
      </c>
      <c r="N11" s="89">
        <f t="shared" ca="1" si="2"/>
        <v>190024990.19954991</v>
      </c>
      <c r="O11" s="87"/>
      <c r="P11" s="87"/>
    </row>
    <row r="12" spans="1:20" x14ac:dyDescent="0.3">
      <c r="A12" s="70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87"/>
      <c r="P12" s="87"/>
    </row>
    <row r="13" spans="1:20" x14ac:dyDescent="0.3">
      <c r="A13" s="4" t="s">
        <v>1607</v>
      </c>
      <c r="B13" s="155">
        <f>B14+B15</f>
        <v>6535736.7825183943</v>
      </c>
      <c r="C13" s="94">
        <f>C14+C15</f>
        <v>6699538.3241544999</v>
      </c>
      <c r="D13" s="94">
        <f>D14+D15</f>
        <v>5071005.4309713813</v>
      </c>
      <c r="E13" s="155">
        <f t="shared" ref="E13:M13" si="3">C124</f>
        <v>6705092.7268000003</v>
      </c>
      <c r="F13" s="155">
        <f t="shared" si="3"/>
        <v>5075636.9106000001</v>
      </c>
      <c r="G13" s="155">
        <f t="shared" si="3"/>
        <v>7677814.6248481395</v>
      </c>
      <c r="H13" s="155">
        <f t="shared" si="3"/>
        <v>12592068.507199999</v>
      </c>
      <c r="I13" s="155">
        <f t="shared" si="3"/>
        <v>10553689.455399999</v>
      </c>
      <c r="J13" s="155">
        <f t="shared" si="3"/>
        <v>6234785.3338000001</v>
      </c>
      <c r="K13" s="155">
        <f t="shared" si="3"/>
        <v>6307555.7152000004</v>
      </c>
      <c r="L13" s="155">
        <f t="shared" si="3"/>
        <v>9298011.4174000006</v>
      </c>
      <c r="M13" s="155">
        <f t="shared" si="3"/>
        <v>8178565.0482000001</v>
      </c>
      <c r="N13" s="94">
        <f>N14+N15</f>
        <v>98010748.085724816</v>
      </c>
      <c r="O13" s="87"/>
      <c r="P13" s="87"/>
      <c r="Q13" s="95">
        <f>SUM(B13,C13,D13,E13,F13:M13)</f>
        <v>90929500.277092412</v>
      </c>
      <c r="R13" s="95"/>
      <c r="S13" s="96" t="s">
        <v>1608</v>
      </c>
      <c r="T13" s="96" t="s">
        <v>1609</v>
      </c>
    </row>
    <row r="14" spans="1:20" hidden="1" x14ac:dyDescent="0.3">
      <c r="A14" s="71" t="s">
        <v>1610</v>
      </c>
      <c r="B14" s="114">
        <f t="shared" ref="B14:M15" si="4">(B$106-B$16)*$R14</f>
        <v>4437790.837843474</v>
      </c>
      <c r="C14" s="90">
        <f t="shared" si="4"/>
        <v>4549012.7252734695</v>
      </c>
      <c r="D14" s="90">
        <f t="shared" si="4"/>
        <v>3443232.5212992858</v>
      </c>
      <c r="E14" s="90">
        <f t="shared" si="4"/>
        <v>5210608.8591699451</v>
      </c>
      <c r="F14" s="90">
        <f t="shared" si="4"/>
        <v>8542651.3229070418</v>
      </c>
      <c r="G14" s="90">
        <f t="shared" si="4"/>
        <v>7175431.3122198433</v>
      </c>
      <c r="H14" s="90">
        <f t="shared" si="4"/>
        <v>4229482.5139328213</v>
      </c>
      <c r="I14" s="90">
        <f t="shared" si="4"/>
        <v>4274305.3190518413</v>
      </c>
      <c r="J14" s="90">
        <f t="shared" si="4"/>
        <v>6303169.8785038106</v>
      </c>
      <c r="K14" s="90">
        <f t="shared" si="4"/>
        <v>5557923.6898750979</v>
      </c>
      <c r="L14" s="90">
        <f t="shared" si="4"/>
        <v>6568941.7348095048</v>
      </c>
      <c r="M14" s="90">
        <f t="shared" si="4"/>
        <v>6257130.5740558691</v>
      </c>
      <c r="N14" s="90">
        <f>SUM(B14,C14,D14,E14,F14,G14,H14,I14,J14,K14,L14,M14)</f>
        <v>66549681.288941994</v>
      </c>
      <c r="O14" s="91"/>
      <c r="P14" s="91"/>
      <c r="Q14" s="95">
        <f>SUM(B14,C14,D14,E14,F14:M14)</f>
        <v>66549681.288941994</v>
      </c>
      <c r="R14" s="15">
        <v>0.67900391119078607</v>
      </c>
      <c r="S14" s="97">
        <f>N13+N16</f>
        <v>98046536.834379002</v>
      </c>
      <c r="T14" s="97">
        <f>N124</f>
        <v>98053757.78784813</v>
      </c>
    </row>
    <row r="15" spans="1:20" hidden="1" x14ac:dyDescent="0.3">
      <c r="A15" s="71" t="s">
        <v>1611</v>
      </c>
      <c r="B15" s="114">
        <f t="shared" si="4"/>
        <v>2097945.9446749208</v>
      </c>
      <c r="C15" s="90">
        <f t="shared" si="4"/>
        <v>2150525.59888103</v>
      </c>
      <c r="D15" s="90">
        <f t="shared" si="4"/>
        <v>1627772.9096720957</v>
      </c>
      <c r="E15" s="90">
        <f t="shared" si="4"/>
        <v>2463292.2381476988</v>
      </c>
      <c r="F15" s="90">
        <f t="shared" si="4"/>
        <v>4038500.5410425807</v>
      </c>
      <c r="G15" s="90">
        <f t="shared" si="4"/>
        <v>3392153.3422427662</v>
      </c>
      <c r="H15" s="90">
        <f t="shared" si="4"/>
        <v>1999469.1080327614</v>
      </c>
      <c r="I15" s="90">
        <f t="shared" si="4"/>
        <v>2020658.8904412759</v>
      </c>
      <c r="J15" s="90">
        <f t="shared" si="4"/>
        <v>2979795.6164221093</v>
      </c>
      <c r="K15" s="90">
        <f t="shared" si="4"/>
        <v>2627483.7846238762</v>
      </c>
      <c r="L15" s="90">
        <f t="shared" si="4"/>
        <v>3105438.0832527918</v>
      </c>
      <c r="M15" s="90">
        <f t="shared" si="4"/>
        <v>2958030.7393489145</v>
      </c>
      <c r="N15" s="90">
        <f>SUM(B15,C15,D15,E15,F15,G15,H15,I15,J15,K15,L15,M15)</f>
        <v>31461066.796782821</v>
      </c>
      <c r="O15" s="91"/>
      <c r="P15" s="91"/>
      <c r="Q15" s="95">
        <f>SUM(B15,C15,D15,E15,F15:M15)</f>
        <v>31461066.796782821</v>
      </c>
      <c r="R15" s="15">
        <v>0.32099608880921393</v>
      </c>
      <c r="T15" s="92"/>
    </row>
    <row r="16" spans="1:20" hidden="1" x14ac:dyDescent="0.3">
      <c r="A16" s="71" t="s">
        <v>1612</v>
      </c>
      <c r="B16" s="90">
        <v>2982.3957211816751</v>
      </c>
      <c r="C16" s="90">
        <v>2982.3957211816751</v>
      </c>
      <c r="D16" s="90">
        <v>2982.3957211816751</v>
      </c>
      <c r="E16" s="90">
        <v>2982.3957211816751</v>
      </c>
      <c r="F16" s="90">
        <v>2982.3957211816751</v>
      </c>
      <c r="G16" s="90">
        <v>2982.3957211816751</v>
      </c>
      <c r="H16" s="90">
        <v>2982.3957211816751</v>
      </c>
      <c r="I16" s="90">
        <v>2982.3957211816751</v>
      </c>
      <c r="J16" s="90">
        <v>2982.3957211816751</v>
      </c>
      <c r="K16" s="90">
        <v>2982.3957211816751</v>
      </c>
      <c r="L16" s="90">
        <v>2982.3957211816751</v>
      </c>
      <c r="M16" s="90">
        <v>2982.3957211816751</v>
      </c>
      <c r="N16" s="90">
        <f>SUM(B16,C16,D16,E16,F16,G16,H16,I16,J16,K16,L16,M16)</f>
        <v>35788.748654180097</v>
      </c>
      <c r="O16" s="91"/>
      <c r="P16" s="91"/>
      <c r="Q16" s="95">
        <f>SUM(B16,C16,D16,E16,F16:M16)</f>
        <v>35788.748654180097</v>
      </c>
      <c r="R16" s="92"/>
      <c r="T16" s="92"/>
    </row>
    <row r="17" spans="1:20" x14ac:dyDescent="0.3">
      <c r="A17" s="70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87"/>
      <c r="P17" s="87"/>
    </row>
    <row r="18" spans="1:20" x14ac:dyDescent="0.3">
      <c r="A18" s="4" t="s">
        <v>1613</v>
      </c>
      <c r="B18" s="94">
        <f t="shared" ref="B18:N18" si="5">SUM(B19:B23)</f>
        <v>8503503.3734975867</v>
      </c>
      <c r="C18" s="94">
        <f t="shared" ca="1" si="5"/>
        <v>7570842.9328692434</v>
      </c>
      <c r="D18" s="94">
        <f t="shared" ca="1" si="5"/>
        <v>7057163.2098330557</v>
      </c>
      <c r="E18" s="94">
        <f t="shared" ca="1" si="5"/>
        <v>7793761.4505507732</v>
      </c>
      <c r="F18" s="94">
        <f t="shared" ca="1" si="5"/>
        <v>8198297.0790575109</v>
      </c>
      <c r="G18" s="94">
        <f t="shared" ca="1" si="5"/>
        <v>7971417.4945834922</v>
      </c>
      <c r="H18" s="94">
        <f t="shared" ca="1" si="5"/>
        <v>7611789.8816190585</v>
      </c>
      <c r="I18" s="94">
        <f t="shared" ca="1" si="5"/>
        <v>7171060.503063783</v>
      </c>
      <c r="J18" s="94">
        <f t="shared" ca="1" si="5"/>
        <v>7448326.6458627563</v>
      </c>
      <c r="K18" s="94">
        <f t="shared" ca="1" si="5"/>
        <v>7470616.0912115062</v>
      </c>
      <c r="L18" s="94">
        <f t="shared" ca="1" si="5"/>
        <v>7574309.452839735</v>
      </c>
      <c r="M18" s="94">
        <f t="shared" ca="1" si="5"/>
        <v>7607365.2501824228</v>
      </c>
      <c r="N18" s="94">
        <f t="shared" ca="1" si="5"/>
        <v>91978453.365170926</v>
      </c>
      <c r="O18" s="98"/>
      <c r="P18" s="98"/>
      <c r="Q18" s="4"/>
      <c r="R18" s="4"/>
      <c r="S18" s="4"/>
      <c r="T18" s="4"/>
    </row>
    <row r="19" spans="1:20" x14ac:dyDescent="0.3">
      <c r="A19" s="71" t="s">
        <v>1614</v>
      </c>
      <c r="B19" s="90">
        <f t="shared" ref="B19:M19" si="6">B128</f>
        <v>506172.0528</v>
      </c>
      <c r="C19" s="90">
        <f t="shared" si="6"/>
        <v>468020.93580000004</v>
      </c>
      <c r="D19" s="90">
        <f t="shared" si="6"/>
        <v>384122.14349999995</v>
      </c>
      <c r="E19" s="114">
        <f t="shared" si="6"/>
        <v>559026.49139999994</v>
      </c>
      <c r="F19" s="90">
        <f t="shared" si="6"/>
        <v>801583.91999999993</v>
      </c>
      <c r="G19" s="90">
        <f t="shared" si="6"/>
        <v>680366.19</v>
      </c>
      <c r="H19" s="90">
        <f t="shared" si="6"/>
        <v>428096.43</v>
      </c>
      <c r="I19" s="90">
        <f t="shared" si="6"/>
        <v>432378.72</v>
      </c>
      <c r="J19" s="90">
        <f t="shared" si="6"/>
        <v>608356.89</v>
      </c>
      <c r="K19" s="90">
        <f t="shared" si="6"/>
        <v>542481.27</v>
      </c>
      <c r="L19" s="90">
        <f t="shared" si="6"/>
        <v>630818.46</v>
      </c>
      <c r="M19" s="90">
        <f t="shared" si="6"/>
        <v>603818.46</v>
      </c>
      <c r="N19" s="90">
        <f>SUM(B19,C19,D19,E19,F19,G19,H19,I19,J19,K19,L19,M19)</f>
        <v>6645241.9634999987</v>
      </c>
      <c r="O19" s="91"/>
      <c r="P19" s="91"/>
      <c r="Q19" s="95">
        <f>SUM(B19,C19,D19,E19,F19:M19)</f>
        <v>6645241.9634999987</v>
      </c>
      <c r="R19" s="92">
        <f ca="1">N19/N$18</f>
        <v>7.2247811529480704E-2</v>
      </c>
    </row>
    <row r="20" spans="1:20" x14ac:dyDescent="0.3">
      <c r="A20" s="71" t="s">
        <v>1615</v>
      </c>
      <c r="B20" s="90">
        <f t="shared" ref="B20:M21" si="7">B125</f>
        <v>3242912.49</v>
      </c>
      <c r="C20" s="90">
        <f t="shared" si="7"/>
        <v>2305460.1800000002</v>
      </c>
      <c r="D20" s="90">
        <f t="shared" si="7"/>
        <v>1682872.15</v>
      </c>
      <c r="E20" s="114">
        <f t="shared" si="7"/>
        <v>1795060.8717747489</v>
      </c>
      <c r="F20" s="90">
        <f t="shared" si="7"/>
        <v>1795060.8717747489</v>
      </c>
      <c r="G20" s="90">
        <f t="shared" si="7"/>
        <v>1795060.8717747489</v>
      </c>
      <c r="H20" s="90">
        <f t="shared" si="7"/>
        <v>1795060.8717747501</v>
      </c>
      <c r="I20" s="90">
        <f t="shared" si="7"/>
        <v>1388185.8717747501</v>
      </c>
      <c r="J20" s="90">
        <f t="shared" si="7"/>
        <v>1388185.8717747501</v>
      </c>
      <c r="K20" s="90">
        <f t="shared" si="7"/>
        <v>1388185.8717747501</v>
      </c>
      <c r="L20" s="90">
        <f t="shared" si="7"/>
        <v>1388185.8717747501</v>
      </c>
      <c r="M20" s="90">
        <f t="shared" si="7"/>
        <v>1388185.8717747501</v>
      </c>
      <c r="N20" s="90">
        <f>SUM(B20,C20,D20,E20,F20,G20,H20,I20,J20,K20,L20,M20)</f>
        <v>21352417.665972751</v>
      </c>
      <c r="O20" s="91"/>
      <c r="P20" s="91"/>
      <c r="Q20" s="95">
        <f>SUM(B20,C20,D20,E20,F20:M20)</f>
        <v>21352417.665972751</v>
      </c>
      <c r="R20" s="92">
        <f ca="1">N20/N$18</f>
        <v>0.23214586552352462</v>
      </c>
    </row>
    <row r="21" spans="1:20" x14ac:dyDescent="0.3">
      <c r="A21" s="71" t="s">
        <v>7</v>
      </c>
      <c r="B21" s="90">
        <f t="shared" si="7"/>
        <v>1933930.2001778791</v>
      </c>
      <c r="C21" s="90">
        <f t="shared" si="7"/>
        <v>1972505.4830642161</v>
      </c>
      <c r="D21" s="90">
        <f t="shared" si="7"/>
        <v>2129116.6935251895</v>
      </c>
      <c r="E21" s="114">
        <f t="shared" si="7"/>
        <v>2459352.821294928</v>
      </c>
      <c r="F21" s="90">
        <f t="shared" si="7"/>
        <v>2633419.2289427919</v>
      </c>
      <c r="G21" s="90">
        <f t="shared" si="7"/>
        <v>2552937.429867676</v>
      </c>
      <c r="H21" s="90">
        <f t="shared" si="7"/>
        <v>2413961.281899171</v>
      </c>
      <c r="I21" s="90">
        <f t="shared" si="7"/>
        <v>2384384.9793673647</v>
      </c>
      <c r="J21" s="90">
        <f t="shared" si="7"/>
        <v>2512162.491075187</v>
      </c>
      <c r="K21" s="90">
        <f t="shared" si="7"/>
        <v>2499894.175311428</v>
      </c>
      <c r="L21" s="90">
        <f t="shared" si="7"/>
        <v>2533881.1066711242</v>
      </c>
      <c r="M21" s="90">
        <f t="shared" si="7"/>
        <v>2519822.1501017432</v>
      </c>
      <c r="N21" s="90">
        <f>SUM(B21,C21,D21,E21,F21,G21,H21,I21,J21,K21,L21,M21)</f>
        <v>28545368.041298699</v>
      </c>
      <c r="O21" s="91"/>
      <c r="P21" s="91"/>
      <c r="Q21" s="95">
        <f>SUM(B21,C21,D21,E21,F21:M21)</f>
        <v>28545368.041298699</v>
      </c>
      <c r="R21" s="92">
        <f ca="1">N21/N$18</f>
        <v>0.31034842397238926</v>
      </c>
    </row>
    <row r="22" spans="1:20" x14ac:dyDescent="0.3">
      <c r="A22" s="71" t="s">
        <v>1616</v>
      </c>
      <c r="B22" s="114">
        <f t="shared" ref="B22:M23" si="8">B129</f>
        <v>1363537.0535367839</v>
      </c>
      <c r="C22" s="90">
        <f t="shared" ca="1" si="8"/>
        <v>1287151.9431887716</v>
      </c>
      <c r="D22" s="90">
        <f t="shared" ca="1" si="8"/>
        <v>1337330.9640416109</v>
      </c>
      <c r="E22" s="114">
        <f t="shared" ca="1" si="8"/>
        <v>1427449.2826648408</v>
      </c>
      <c r="F22" s="90">
        <f t="shared" ca="1" si="8"/>
        <v>1414934.8368237147</v>
      </c>
      <c r="G22" s="90">
        <f t="shared" ca="1" si="8"/>
        <v>1352069.0697581456</v>
      </c>
      <c r="H22" s="90">
        <f t="shared" ca="1" si="8"/>
        <v>1425732.3247622163</v>
      </c>
      <c r="I22" s="90">
        <f t="shared" ca="1" si="8"/>
        <v>1441458.243738746</v>
      </c>
      <c r="J22" s="90">
        <f t="shared" ca="1" si="8"/>
        <v>1385639.009829897</v>
      </c>
      <c r="K22" s="90">
        <f t="shared" ca="1" si="8"/>
        <v>1497051.6609424066</v>
      </c>
      <c r="L22" s="90">
        <f t="shared" ca="1" si="8"/>
        <v>1463698.0362109384</v>
      </c>
      <c r="M22" s="90">
        <f t="shared" ca="1" si="8"/>
        <v>1542312.7901230075</v>
      </c>
      <c r="N22" s="90">
        <f ca="1">SUM(B22,C22,D22,E22,F22,G22,H22,I22,J22,K22,L22,M22)</f>
        <v>16938365.21562108</v>
      </c>
      <c r="O22" s="91"/>
      <c r="P22" s="91"/>
      <c r="Q22" s="95">
        <f ca="1">SUM(B22,C22,D22,E22,F22:M22)</f>
        <v>16938365.21562108</v>
      </c>
      <c r="R22" s="92">
        <f ca="1">N22/N$18</f>
        <v>0.18415579514446431</v>
      </c>
    </row>
    <row r="23" spans="1:20" x14ac:dyDescent="0.3">
      <c r="A23" s="71" t="s">
        <v>1617</v>
      </c>
      <c r="B23" s="90">
        <f t="shared" si="8"/>
        <v>1456951.5769829222</v>
      </c>
      <c r="C23" s="90">
        <f t="shared" si="8"/>
        <v>1537704.3908162552</v>
      </c>
      <c r="D23" s="90">
        <f t="shared" si="8"/>
        <v>1523721.2587662553</v>
      </c>
      <c r="E23" s="114">
        <f t="shared" si="8"/>
        <v>1552871.9834162553</v>
      </c>
      <c r="F23" s="90">
        <f t="shared" si="8"/>
        <v>1553298.2215162553</v>
      </c>
      <c r="G23" s="90">
        <f t="shared" si="8"/>
        <v>1590983.9331829222</v>
      </c>
      <c r="H23" s="90">
        <f t="shared" si="8"/>
        <v>1548938.973182922</v>
      </c>
      <c r="I23" s="90">
        <f t="shared" si="8"/>
        <v>1524652.6881829221</v>
      </c>
      <c r="J23" s="90">
        <f t="shared" si="8"/>
        <v>1553982.3831829221</v>
      </c>
      <c r="K23" s="90">
        <f t="shared" si="8"/>
        <v>1543003.1131829221</v>
      </c>
      <c r="L23" s="90">
        <f t="shared" si="8"/>
        <v>1557725.9781829221</v>
      </c>
      <c r="M23" s="90">
        <f t="shared" si="8"/>
        <v>1553225.9781829221</v>
      </c>
      <c r="N23" s="90">
        <f>SUM(B23,C23,D23,E23,F23,G23,H23,I23,J23,K23,L23,M23)</f>
        <v>18497060.4787784</v>
      </c>
      <c r="O23" s="91"/>
      <c r="P23" s="91"/>
      <c r="Q23" s="95">
        <f>SUM(B23,C23,D23,E23,F23:M23)</f>
        <v>18497060.4787784</v>
      </c>
      <c r="R23" s="92">
        <f ca="1">N23/N$18</f>
        <v>0.20110210383014115</v>
      </c>
    </row>
    <row r="24" spans="1:20" x14ac:dyDescent="0.3">
      <c r="A24" s="70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87"/>
      <c r="P24" s="87"/>
    </row>
    <row r="25" spans="1:20" x14ac:dyDescent="0.3">
      <c r="A25" s="4" t="s">
        <v>1618</v>
      </c>
      <c r="B25" s="89">
        <f t="shared" ref="B25:N25" si="9">+B6-B11</f>
        <v>435313.53000000119</v>
      </c>
      <c r="C25" s="89">
        <f t="shared" si="9"/>
        <v>329702.76999999955</v>
      </c>
      <c r="D25" s="89">
        <f t="shared" si="9"/>
        <v>-2156902.6499999985</v>
      </c>
      <c r="E25" s="89">
        <f t="shared" si="9"/>
        <v>676770.73999999836</v>
      </c>
      <c r="F25" s="153">
        <f t="shared" ca="1" si="9"/>
        <v>114515.98462130874</v>
      </c>
      <c r="G25" s="89">
        <f t="shared" ca="1" si="9"/>
        <v>-668132.45895281248</v>
      </c>
      <c r="H25" s="89">
        <f t="shared" ca="1" si="9"/>
        <v>2016462.6016597599</v>
      </c>
      <c r="I25" s="89">
        <f t="shared" ca="1" si="9"/>
        <v>6477452.7758150361</v>
      </c>
      <c r="J25" s="89">
        <f t="shared" ca="1" si="9"/>
        <v>4418795.0846160632</v>
      </c>
      <c r="K25" s="89">
        <f t="shared" ca="1" si="9"/>
        <v>273273.24786731228</v>
      </c>
      <c r="L25" s="89">
        <f t="shared" ca="1" si="9"/>
        <v>123378.36403908208</v>
      </c>
      <c r="M25" s="89">
        <f t="shared" ca="1" si="9"/>
        <v>3008110.585896397</v>
      </c>
      <c r="N25" s="89">
        <f t="shared" ca="1" si="9"/>
        <v>56105360.922850072</v>
      </c>
      <c r="O25" s="91"/>
      <c r="P25" s="91"/>
    </row>
    <row r="26" spans="1:20" x14ac:dyDescent="0.3">
      <c r="A26" s="71" t="s">
        <v>1587</v>
      </c>
      <c r="B26" s="90">
        <f t="shared" ref="B26:M26" si="10">B134</f>
        <v>1261340.8</v>
      </c>
      <c r="C26" s="90">
        <f t="shared" si="10"/>
        <v>1276737.3500000001</v>
      </c>
      <c r="D26" s="90">
        <f t="shared" si="10"/>
        <v>986915.25</v>
      </c>
      <c r="E26" s="114">
        <f t="shared" si="10"/>
        <v>1805132.1111396537</v>
      </c>
      <c r="F26" s="90">
        <f t="shared" si="10"/>
        <v>1860081.8482579817</v>
      </c>
      <c r="G26" s="90">
        <f t="shared" si="10"/>
        <v>1853809.4197212798</v>
      </c>
      <c r="H26" s="90">
        <f t="shared" si="10"/>
        <v>1846752.0393315698</v>
      </c>
      <c r="I26" s="90">
        <f t="shared" si="10"/>
        <v>1840350.9697805815</v>
      </c>
      <c r="J26" s="90">
        <f t="shared" si="10"/>
        <v>1833847.2825281429</v>
      </c>
      <c r="K26" s="90">
        <f t="shared" si="10"/>
        <v>1826643.4020072627</v>
      </c>
      <c r="L26" s="90">
        <f t="shared" si="10"/>
        <v>1819990.2942983801</v>
      </c>
      <c r="M26" s="90">
        <f t="shared" si="10"/>
        <v>1813228.6754476232</v>
      </c>
      <c r="N26" s="90">
        <f>SUM(B26,C26,D26,E26,F26,G26,H26,I26,J26,K26,L26,M26)</f>
        <v>20024829.442512475</v>
      </c>
      <c r="O26" s="91"/>
      <c r="P26" s="91"/>
      <c r="Q26" s="95">
        <f>SUM(B26,C26,D26,E26,F26:M26)</f>
        <v>20024829.442512475</v>
      </c>
      <c r="R26" s="4">
        <v>0</v>
      </c>
    </row>
    <row r="27" spans="1:20" hidden="1" x14ac:dyDescent="0.3">
      <c r="A27" s="4" t="s">
        <v>31</v>
      </c>
      <c r="B27" s="94">
        <f t="shared" ref="B27:N27" si="11">+B28-B29-B30-B31</f>
        <v>0</v>
      </c>
      <c r="C27" s="94">
        <f t="shared" si="11"/>
        <v>0</v>
      </c>
      <c r="D27" s="94">
        <f t="shared" si="11"/>
        <v>0</v>
      </c>
      <c r="E27" s="94">
        <f t="shared" si="11"/>
        <v>0</v>
      </c>
      <c r="F27" s="94">
        <f t="shared" si="11"/>
        <v>0</v>
      </c>
      <c r="G27" s="94">
        <f t="shared" si="11"/>
        <v>0</v>
      </c>
      <c r="H27" s="94">
        <f t="shared" si="11"/>
        <v>0</v>
      </c>
      <c r="I27" s="94">
        <f t="shared" si="11"/>
        <v>0</v>
      </c>
      <c r="J27" s="94">
        <f t="shared" si="11"/>
        <v>0</v>
      </c>
      <c r="K27" s="94">
        <f t="shared" si="11"/>
        <v>0</v>
      </c>
      <c r="L27" s="94">
        <f t="shared" si="11"/>
        <v>0</v>
      </c>
      <c r="M27" s="94">
        <f t="shared" si="11"/>
        <v>0</v>
      </c>
      <c r="N27" s="94">
        <f t="shared" si="11"/>
        <v>0</v>
      </c>
      <c r="O27" s="98"/>
      <c r="P27" s="98"/>
    </row>
    <row r="28" spans="1:20" hidden="1" x14ac:dyDescent="0.3">
      <c r="A28" s="71" t="s">
        <v>1619</v>
      </c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>
        <f>SUM(B28,C28,D28,E28,F28,G28,H28,I28,J28,K28,L28,M28)</f>
        <v>0</v>
      </c>
      <c r="Q28" s="95">
        <f>SUM(B28,C28,D28,E28,F28:M28)</f>
        <v>0</v>
      </c>
    </row>
    <row r="29" spans="1:20" hidden="1" x14ac:dyDescent="0.3">
      <c r="A29" s="71" t="s">
        <v>1620</v>
      </c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>
        <f>SUM(B29,C29,D29,E29,F29,G29,H29,I29,J29,K29,L29,M29)</f>
        <v>0</v>
      </c>
      <c r="O29" s="91"/>
      <c r="P29" s="91"/>
      <c r="Q29" s="95">
        <f>SUM(B29,C29,D29,E29,F29:M29)</f>
        <v>0</v>
      </c>
    </row>
    <row r="30" spans="1:20" hidden="1" x14ac:dyDescent="0.3">
      <c r="A30" s="71" t="s">
        <v>1621</v>
      </c>
      <c r="B30" s="90"/>
      <c r="C30" s="90"/>
      <c r="D30" s="90"/>
      <c r="E30" s="90">
        <f>'MODELO SESAJAL (BEAR)'!E137</f>
        <v>0</v>
      </c>
      <c r="F30" s="90">
        <f>'MODELO SESAJAL (BEAR)'!F137</f>
        <v>0</v>
      </c>
      <c r="G30" s="90">
        <f>'MODELO SESAJAL (BEAR)'!G137</f>
        <v>0</v>
      </c>
      <c r="H30" s="90">
        <f>'MODELO SESAJAL (BEAR)'!H137</f>
        <v>0</v>
      </c>
      <c r="I30" s="90">
        <f>'MODELO SESAJAL (BEAR)'!I137</f>
        <v>0</v>
      </c>
      <c r="J30" s="90">
        <f>'MODELO SESAJAL (BEAR)'!J137</f>
        <v>0</v>
      </c>
      <c r="K30" s="90">
        <f>'MODELO SESAJAL (BEAR)'!K137</f>
        <v>0</v>
      </c>
      <c r="L30" s="90">
        <f>'MODELO SESAJAL (BEAR)'!L137</f>
        <v>0</v>
      </c>
      <c r="M30" s="90">
        <f>'MODELO SESAJAL (BEAR)'!M137</f>
        <v>0</v>
      </c>
      <c r="N30" s="90">
        <f>SUM(B30,C30,D30,E30,F30,G30,H30,I30,J30,K30,L30,M30)</f>
        <v>0</v>
      </c>
      <c r="O30" s="91"/>
      <c r="P30" s="91"/>
      <c r="Q30" s="95">
        <f>SUM(B30,C30,D30,E30,F30:M30)</f>
        <v>0</v>
      </c>
    </row>
    <row r="31" spans="1:20" hidden="1" x14ac:dyDescent="0.3">
      <c r="A31" s="156" t="s">
        <v>1690</v>
      </c>
      <c r="B31" s="90">
        <v>0</v>
      </c>
      <c r="C31" s="90">
        <v>0</v>
      </c>
      <c r="D31" s="90">
        <v>0</v>
      </c>
      <c r="E31" s="90"/>
      <c r="F31" s="90"/>
      <c r="G31" s="90"/>
      <c r="H31" s="90"/>
      <c r="I31" s="90"/>
      <c r="J31" s="90"/>
      <c r="K31" s="90"/>
      <c r="L31" s="90"/>
      <c r="M31" s="90"/>
      <c r="N31" s="90">
        <f>SUM(B31,C31,D31,E31,F31,G31,H31,I31,J31,K31,L31,M31)</f>
        <v>0</v>
      </c>
      <c r="O31" s="1"/>
      <c r="P31" s="1"/>
      <c r="Q31" s="95">
        <f>SUM(B31,C31,D31,E31,F31:M31)</f>
        <v>0</v>
      </c>
    </row>
    <row r="32" spans="1:20" x14ac:dyDescent="0.3">
      <c r="A32" s="70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87"/>
      <c r="P32" s="87"/>
    </row>
    <row r="33" spans="1:17" ht="15.6" x14ac:dyDescent="0.3">
      <c r="A33" s="88" t="s">
        <v>1622</v>
      </c>
      <c r="B33" s="89">
        <f t="shared" ref="B33:N33" si="12">+B25-B26+B27</f>
        <v>-826027.26999999885</v>
      </c>
      <c r="C33" s="89">
        <f t="shared" si="12"/>
        <v>-947034.58000000054</v>
      </c>
      <c r="D33" s="89">
        <f t="shared" si="12"/>
        <v>-3143817.8999999985</v>
      </c>
      <c r="E33" s="89">
        <f t="shared" si="12"/>
        <v>-1128361.3711396554</v>
      </c>
      <c r="F33" s="153">
        <f t="shared" ca="1" si="12"/>
        <v>-1745565.863636673</v>
      </c>
      <c r="G33" s="89">
        <f t="shared" ca="1" si="12"/>
        <v>-2521941.8786740922</v>
      </c>
      <c r="H33" s="89">
        <f t="shared" ca="1" si="12"/>
        <v>169710.56232819008</v>
      </c>
      <c r="I33" s="89">
        <f t="shared" ca="1" si="12"/>
        <v>4637101.8060344551</v>
      </c>
      <c r="J33" s="89">
        <f t="shared" ca="1" si="12"/>
        <v>2584947.8020879203</v>
      </c>
      <c r="K33" s="89">
        <f t="shared" ca="1" si="12"/>
        <v>-1553370.1541399504</v>
      </c>
      <c r="L33" s="89">
        <f t="shared" ca="1" si="12"/>
        <v>-1696611.9302592981</v>
      </c>
      <c r="M33" s="89">
        <f t="shared" ca="1" si="12"/>
        <v>1194881.9104487738</v>
      </c>
      <c r="N33" s="89">
        <f t="shared" ca="1" si="12"/>
        <v>36080531.480337597</v>
      </c>
      <c r="O33" s="91"/>
      <c r="P33" s="91"/>
      <c r="Q33" s="4"/>
    </row>
    <row r="34" spans="1:17" x14ac:dyDescent="0.3">
      <c r="A34" s="70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87"/>
      <c r="P34" s="87"/>
    </row>
    <row r="35" spans="1:17" x14ac:dyDescent="0.3">
      <c r="A35" s="71" t="s">
        <v>1623</v>
      </c>
      <c r="B35" s="90"/>
      <c r="C35" s="90"/>
      <c r="D35" s="90"/>
      <c r="E35" s="90">
        <v>200000</v>
      </c>
      <c r="F35" s="90">
        <v>200000</v>
      </c>
      <c r="G35" s="90">
        <v>200000</v>
      </c>
      <c r="H35" s="90">
        <v>200000</v>
      </c>
      <c r="I35" s="90">
        <v>200000</v>
      </c>
      <c r="J35" s="90">
        <v>200000</v>
      </c>
      <c r="K35" s="90">
        <v>200000</v>
      </c>
      <c r="L35" s="90">
        <v>200000</v>
      </c>
      <c r="M35" s="90">
        <v>200000</v>
      </c>
      <c r="N35" s="90">
        <f>SUM(B35,C35,D35,E35,F35,G35,H35,I35,J35,K35,L35,M35)</f>
        <v>1800000</v>
      </c>
      <c r="O35" s="91"/>
      <c r="P35" s="91"/>
      <c r="Q35" s="95">
        <f>SUM(B35,C35,D35,E35,F35:M35)</f>
        <v>1800000</v>
      </c>
    </row>
    <row r="36" spans="1:17" x14ac:dyDescent="0.3">
      <c r="A36" s="71" t="s">
        <v>1691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>
        <f>SUM(B36,C36,D36,E36,F36,G36,H36,I36,J36,K36,L36,M36)</f>
        <v>0</v>
      </c>
      <c r="O36" s="91"/>
      <c r="P36" s="91"/>
      <c r="Q36" s="95">
        <f>SUM(B36,C36,D36,E36,F36:M36)</f>
        <v>0</v>
      </c>
    </row>
    <row r="37" spans="1:17" x14ac:dyDescent="0.3">
      <c r="A37" s="70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87"/>
      <c r="P37" s="87"/>
    </row>
    <row r="38" spans="1:17" ht="15.6" x14ac:dyDescent="0.3">
      <c r="A38" s="88" t="s">
        <v>1624</v>
      </c>
      <c r="B38" s="99">
        <f>-B35-B36</f>
        <v>0</v>
      </c>
      <c r="C38" s="99">
        <f>-C35-C36</f>
        <v>0</v>
      </c>
      <c r="D38" s="99">
        <f>-D35-D36</f>
        <v>0</v>
      </c>
      <c r="E38" s="99">
        <f>-E35-E36</f>
        <v>-200000</v>
      </c>
      <c r="F38" s="99">
        <f>-F35-F36</f>
        <v>-200000</v>
      </c>
      <c r="G38" s="99">
        <f t="shared" ref="G38:N38" si="13">-G35-G36</f>
        <v>-200000</v>
      </c>
      <c r="H38" s="99">
        <f t="shared" si="13"/>
        <v>-200000</v>
      </c>
      <c r="I38" s="99">
        <f t="shared" si="13"/>
        <v>-200000</v>
      </c>
      <c r="J38" s="99">
        <f t="shared" si="13"/>
        <v>-200000</v>
      </c>
      <c r="K38" s="99">
        <f t="shared" si="13"/>
        <v>-200000</v>
      </c>
      <c r="L38" s="99">
        <f t="shared" si="13"/>
        <v>-200000</v>
      </c>
      <c r="M38" s="99">
        <f t="shared" si="13"/>
        <v>-200000</v>
      </c>
      <c r="N38" s="99">
        <f t="shared" si="13"/>
        <v>-1800000</v>
      </c>
      <c r="O38" s="91"/>
      <c r="P38" s="91"/>
      <c r="Q38" s="4"/>
    </row>
    <row r="39" spans="1:17" x14ac:dyDescent="0.3">
      <c r="A39" s="70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87"/>
      <c r="P39" s="87"/>
    </row>
    <row r="40" spans="1:17" x14ac:dyDescent="0.3">
      <c r="A40" s="71" t="s">
        <v>1625</v>
      </c>
      <c r="B40" s="90"/>
      <c r="C40" s="90"/>
      <c r="D40" s="90"/>
      <c r="E40" s="90"/>
      <c r="F40" s="90"/>
      <c r="G40" s="100"/>
      <c r="H40" s="100"/>
      <c r="I40" s="100"/>
      <c r="J40" s="100"/>
      <c r="K40" s="100"/>
      <c r="L40" s="100"/>
      <c r="M40" s="100"/>
      <c r="N40" s="100">
        <f>SUM(B40,C40,D40,E40,F40,G40,H40,I40,J40,K40,L40,M40)</f>
        <v>0</v>
      </c>
      <c r="O40" s="91"/>
      <c r="P40" s="91"/>
      <c r="Q40" s="4"/>
    </row>
    <row r="41" spans="1:17" x14ac:dyDescent="0.3">
      <c r="A41" s="71" t="s">
        <v>1626</v>
      </c>
      <c r="B41" s="90"/>
      <c r="C41" s="90"/>
      <c r="D41" s="90"/>
      <c r="E41" s="200">
        <v>1500000</v>
      </c>
      <c r="F41" s="200">
        <v>2500000</v>
      </c>
      <c r="G41" s="90"/>
      <c r="H41" s="90"/>
      <c r="I41" s="90"/>
      <c r="J41" s="90"/>
      <c r="K41" s="90"/>
      <c r="L41" s="90"/>
      <c r="M41" s="90"/>
      <c r="N41" s="90">
        <f>SUM(B41,C41,D41,E41,F41,G41,H41,I41,J41,K41,L41,M41)</f>
        <v>4000000</v>
      </c>
      <c r="O41" s="91"/>
      <c r="P41" s="91"/>
      <c r="Q41" s="4"/>
    </row>
    <row r="42" spans="1:17" x14ac:dyDescent="0.3">
      <c r="A42" s="71" t="s">
        <v>1627</v>
      </c>
      <c r="B42" s="90"/>
      <c r="C42" s="90"/>
      <c r="D42" s="90"/>
      <c r="E42" s="90"/>
      <c r="F42" s="90"/>
      <c r="G42" s="100"/>
      <c r="H42" s="100"/>
      <c r="I42" s="100"/>
      <c r="J42" s="100"/>
      <c r="K42" s="100"/>
      <c r="L42" s="100"/>
      <c r="M42" s="100"/>
      <c r="N42" s="100">
        <f>SUM(B42,C42,D42,E42,F42,G42,H42,I42,J42,K42,L42,M42)</f>
        <v>0</v>
      </c>
      <c r="O42" s="91"/>
      <c r="P42" s="91"/>
      <c r="Q42" s="4"/>
    </row>
    <row r="43" spans="1:17" x14ac:dyDescent="0.3">
      <c r="A43" s="70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87"/>
      <c r="P43" s="87"/>
    </row>
    <row r="44" spans="1:17" ht="15.6" x14ac:dyDescent="0.3">
      <c r="A44" s="88" t="s">
        <v>1628</v>
      </c>
      <c r="B44" s="89">
        <f>-B40+B41+B42</f>
        <v>0</v>
      </c>
      <c r="C44" s="89">
        <f>-C40+C41+C42</f>
        <v>0</v>
      </c>
      <c r="D44" s="89">
        <f>-D40+D41+D42</f>
        <v>0</v>
      </c>
      <c r="E44" s="89">
        <f>-E40+E41+E42</f>
        <v>1500000</v>
      </c>
      <c r="F44" s="89">
        <f>-F40+F41+F42</f>
        <v>2500000</v>
      </c>
      <c r="G44" s="89">
        <f t="shared" ref="G44:N44" si="14">-G40+G41+G42</f>
        <v>0</v>
      </c>
      <c r="H44" s="89">
        <f t="shared" si="14"/>
        <v>0</v>
      </c>
      <c r="I44" s="89">
        <f t="shared" si="14"/>
        <v>0</v>
      </c>
      <c r="J44" s="89">
        <f t="shared" si="14"/>
        <v>0</v>
      </c>
      <c r="K44" s="89">
        <f t="shared" si="14"/>
        <v>0</v>
      </c>
      <c r="L44" s="89">
        <f t="shared" si="14"/>
        <v>0</v>
      </c>
      <c r="M44" s="89">
        <f t="shared" si="14"/>
        <v>0</v>
      </c>
      <c r="N44" s="89">
        <f t="shared" si="14"/>
        <v>4000000</v>
      </c>
      <c r="O44" s="91"/>
      <c r="P44" s="91"/>
      <c r="Q44" s="4"/>
    </row>
    <row r="45" spans="1:17" x14ac:dyDescent="0.3">
      <c r="A45" s="70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87"/>
      <c r="P45" s="87"/>
    </row>
    <row r="46" spans="1:17" ht="15.6" x14ac:dyDescent="0.3">
      <c r="A46" s="72" t="s">
        <v>1629</v>
      </c>
      <c r="B46" s="101"/>
      <c r="C46" s="101"/>
      <c r="D46" s="101"/>
      <c r="E46" s="101">
        <f>+E33+E38+E44</f>
        <v>171638.62886034464</v>
      </c>
      <c r="F46" s="101">
        <f ca="1">+F33+F38+F44</f>
        <v>554434.13636332704</v>
      </c>
      <c r="G46" s="101">
        <f t="shared" ref="G46:M46" ca="1" si="15">+G33+G38+G44</f>
        <v>-2721941.8786740922</v>
      </c>
      <c r="H46" s="101">
        <f t="shared" ca="1" si="15"/>
        <v>-30289.437671809923</v>
      </c>
      <c r="I46" s="101">
        <f t="shared" ca="1" si="15"/>
        <v>4437101.8060344551</v>
      </c>
      <c r="J46" s="101">
        <f t="shared" ca="1" si="15"/>
        <v>2384947.8020879203</v>
      </c>
      <c r="K46" s="101">
        <f t="shared" ca="1" si="15"/>
        <v>-1753370.1541399504</v>
      </c>
      <c r="L46" s="101">
        <f t="shared" ca="1" si="15"/>
        <v>-1896611.9302592981</v>
      </c>
      <c r="M46" s="101">
        <f t="shared" ca="1" si="15"/>
        <v>994881.91044877376</v>
      </c>
      <c r="N46" s="101"/>
      <c r="O46" s="102"/>
      <c r="P46" s="102"/>
      <c r="Q46" s="103"/>
    </row>
    <row r="47" spans="1:17" x14ac:dyDescent="0.3">
      <c r="A47" s="70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87"/>
      <c r="P47" s="87"/>
    </row>
    <row r="48" spans="1:17" ht="15.6" x14ac:dyDescent="0.3">
      <c r="A48" s="72" t="s">
        <v>1630</v>
      </c>
      <c r="B48" s="104"/>
      <c r="C48" s="104"/>
      <c r="D48" s="104"/>
      <c r="E48" s="104">
        <v>0</v>
      </c>
      <c r="F48" s="104">
        <f t="shared" ref="F48:M48" si="16">E50</f>
        <v>171638.62886034464</v>
      </c>
      <c r="G48" s="104">
        <f t="shared" ca="1" si="16"/>
        <v>726072.76522367168</v>
      </c>
      <c r="H48" s="104">
        <f t="shared" ca="1" si="16"/>
        <v>-1995869.1134504206</v>
      </c>
      <c r="I48" s="104">
        <f t="shared" ca="1" si="16"/>
        <v>-2026158.5511222305</v>
      </c>
      <c r="J48" s="104">
        <f t="shared" ca="1" si="16"/>
        <v>2410943.2549122246</v>
      </c>
      <c r="K48" s="104">
        <f t="shared" ca="1" si="16"/>
        <v>4795891.0570001453</v>
      </c>
      <c r="L48" s="104">
        <f t="shared" ca="1" si="16"/>
        <v>3042520.9028601949</v>
      </c>
      <c r="M48" s="104">
        <f t="shared" ca="1" si="16"/>
        <v>1145908.9726008968</v>
      </c>
      <c r="N48" s="104"/>
      <c r="O48" s="102"/>
      <c r="P48" s="102"/>
      <c r="Q48" s="105"/>
    </row>
    <row r="49" spans="1:17" x14ac:dyDescent="0.3">
      <c r="A49" s="70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87"/>
      <c r="P49" s="87"/>
    </row>
    <row r="50" spans="1:17" ht="15.6" x14ac:dyDescent="0.3">
      <c r="A50" s="72" t="s">
        <v>1631</v>
      </c>
      <c r="B50" s="104"/>
      <c r="C50" s="104"/>
      <c r="D50" s="104"/>
      <c r="E50" s="104">
        <f>+E46+E48</f>
        <v>171638.62886034464</v>
      </c>
      <c r="F50" s="104">
        <f ca="1">+F46+F48</f>
        <v>726072.76522367168</v>
      </c>
      <c r="G50" s="104">
        <f t="shared" ref="G50:M50" ca="1" si="17">+G46+G48</f>
        <v>-1995869.1134504206</v>
      </c>
      <c r="H50" s="104">
        <f t="shared" ca="1" si="17"/>
        <v>-2026158.5511222305</v>
      </c>
      <c r="I50" s="104">
        <f t="shared" ca="1" si="17"/>
        <v>2410943.2549122246</v>
      </c>
      <c r="J50" s="104">
        <f t="shared" ca="1" si="17"/>
        <v>4795891.0570001453</v>
      </c>
      <c r="K50" s="104">
        <f t="shared" ca="1" si="17"/>
        <v>3042520.9028601949</v>
      </c>
      <c r="L50" s="104">
        <f t="shared" ca="1" si="17"/>
        <v>1145908.9726008968</v>
      </c>
      <c r="M50" s="104">
        <f t="shared" ca="1" si="17"/>
        <v>2140790.8830496706</v>
      </c>
      <c r="N50" s="104"/>
      <c r="O50" s="102"/>
      <c r="P50" s="102"/>
      <c r="Q50" s="105"/>
    </row>
    <row r="51" spans="1:17" x14ac:dyDescent="0.3">
      <c r="A51" s="70"/>
      <c r="B51" s="90">
        <f t="shared" ref="B51:N51" si="18">B59*B156</f>
        <v>6205.5600832218961</v>
      </c>
      <c r="C51" s="90">
        <f t="shared" si="18"/>
        <v>6529.2721254204853</v>
      </c>
      <c r="D51" s="90">
        <f t="shared" si="18"/>
        <v>6556.119715862701</v>
      </c>
      <c r="E51" s="114">
        <f t="shared" si="18"/>
        <v>155960.57568049905</v>
      </c>
      <c r="F51" s="90">
        <f t="shared" si="18"/>
        <v>289668.12854795251</v>
      </c>
      <c r="G51" s="90">
        <f t="shared" si="18"/>
        <v>340126.14456541819</v>
      </c>
      <c r="H51" s="90">
        <f t="shared" si="18"/>
        <v>13073.665070480809</v>
      </c>
      <c r="I51" s="90">
        <f t="shared" si="18"/>
        <v>12899.317024498487</v>
      </c>
      <c r="J51" s="90">
        <f t="shared" si="18"/>
        <v>9135.5586187289464</v>
      </c>
      <c r="K51" s="90">
        <f t="shared" si="18"/>
        <v>10204.680174829402</v>
      </c>
      <c r="L51" s="90">
        <f t="shared" si="18"/>
        <v>8743.6960413240158</v>
      </c>
      <c r="M51" s="90">
        <f t="shared" si="18"/>
        <v>9100.7370437327718</v>
      </c>
      <c r="N51" s="90">
        <f t="shared" si="18"/>
        <v>387695.72172226373</v>
      </c>
      <c r="O51" s="87"/>
      <c r="P51" s="87"/>
    </row>
    <row r="52" spans="1:17" ht="18" x14ac:dyDescent="0.35">
      <c r="A52" s="81" t="s">
        <v>1632</v>
      </c>
    </row>
    <row r="53" spans="1:17" ht="5.25" customHeight="1" x14ac:dyDescent="0.3">
      <c r="A53" s="70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87"/>
      <c r="P53" s="87"/>
    </row>
    <row r="54" spans="1:17" x14ac:dyDescent="0.3">
      <c r="A54" s="8" t="s">
        <v>1633</v>
      </c>
      <c r="B54" s="89">
        <v>75534.164590097716</v>
      </c>
      <c r="C54" s="89">
        <f>B59</f>
        <v>76337.787242822567</v>
      </c>
      <c r="D54" s="89">
        <f t="shared" ref="D54:M54" si="19">C59</f>
        <v>77100.294585943921</v>
      </c>
      <c r="E54" s="153">
        <f t="shared" si="19"/>
        <v>77767.651533316937</v>
      </c>
      <c r="F54" s="89">
        <f t="shared" si="19"/>
        <v>1577767.6515333168</v>
      </c>
      <c r="G54" s="89">
        <f t="shared" si="19"/>
        <v>4077767.6515333168</v>
      </c>
      <c r="H54" s="89">
        <f t="shared" si="19"/>
        <v>4077767.6515333168</v>
      </c>
      <c r="I54" s="89">
        <f t="shared" si="19"/>
        <v>99000</v>
      </c>
      <c r="J54" s="89">
        <f t="shared" si="19"/>
        <v>99000</v>
      </c>
      <c r="K54" s="89">
        <f t="shared" si="19"/>
        <v>99000</v>
      </c>
      <c r="L54" s="89">
        <f t="shared" si="19"/>
        <v>99000</v>
      </c>
      <c r="M54" s="89">
        <f t="shared" si="19"/>
        <v>99000</v>
      </c>
      <c r="N54" s="89">
        <f>B54</f>
        <v>75534.164590097716</v>
      </c>
      <c r="O54" s="91"/>
      <c r="P54" s="91"/>
    </row>
    <row r="55" spans="1:17" x14ac:dyDescent="0.3">
      <c r="A55" s="71" t="s">
        <v>1634</v>
      </c>
      <c r="B55" s="90">
        <f>+B41</f>
        <v>0</v>
      </c>
      <c r="C55" s="90">
        <f>+C41</f>
        <v>0</v>
      </c>
      <c r="D55" s="90">
        <f>+D41</f>
        <v>0</v>
      </c>
      <c r="E55" s="114">
        <f>+E41</f>
        <v>1500000</v>
      </c>
      <c r="F55" s="90">
        <f>+F41</f>
        <v>2500000</v>
      </c>
      <c r="G55" s="90">
        <f t="shared" ref="G55:M55" si="20">+G41</f>
        <v>0</v>
      </c>
      <c r="H55" s="90">
        <f t="shared" si="20"/>
        <v>0</v>
      </c>
      <c r="I55" s="90">
        <f t="shared" si="20"/>
        <v>0</v>
      </c>
      <c r="J55" s="90">
        <f t="shared" si="20"/>
        <v>0</v>
      </c>
      <c r="K55" s="90">
        <f t="shared" si="20"/>
        <v>0</v>
      </c>
      <c r="L55" s="90">
        <f t="shared" si="20"/>
        <v>0</v>
      </c>
      <c r="M55" s="90">
        <f t="shared" si="20"/>
        <v>0</v>
      </c>
      <c r="N55" s="90">
        <f>SUM(B55,C55,D55,E55,F55,G55,H55,I55,J55,K55,L55,M55)</f>
        <v>4000000</v>
      </c>
      <c r="O55" s="91"/>
      <c r="P55" s="91"/>
    </row>
    <row r="56" spans="1:17" x14ac:dyDescent="0.3">
      <c r="A56" s="71" t="s">
        <v>1282</v>
      </c>
      <c r="B56" s="90">
        <f>+B40</f>
        <v>0</v>
      </c>
      <c r="C56" s="90">
        <f>+C40</f>
        <v>0</v>
      </c>
      <c r="D56" s="90">
        <f>+D40</f>
        <v>0</v>
      </c>
      <c r="E56" s="114">
        <f>+E40</f>
        <v>0</v>
      </c>
      <c r="F56" s="90">
        <f>+F40</f>
        <v>0</v>
      </c>
      <c r="G56" s="90">
        <f t="shared" ref="G56:M56" si="21">+G40</f>
        <v>0</v>
      </c>
      <c r="H56" s="90">
        <f t="shared" si="21"/>
        <v>0</v>
      </c>
      <c r="I56" s="90">
        <f t="shared" si="21"/>
        <v>0</v>
      </c>
      <c r="J56" s="90">
        <f t="shared" si="21"/>
        <v>0</v>
      </c>
      <c r="K56" s="90">
        <f t="shared" si="21"/>
        <v>0</v>
      </c>
      <c r="L56" s="90">
        <f t="shared" si="21"/>
        <v>0</v>
      </c>
      <c r="M56" s="90">
        <f t="shared" si="21"/>
        <v>0</v>
      </c>
      <c r="N56" s="90">
        <f>SUM(B56,C56,D56,E56,F56,G56,H56,I56,J56,K56,L56,M56)</f>
        <v>0</v>
      </c>
      <c r="O56" s="91"/>
      <c r="P56" s="91"/>
    </row>
    <row r="57" spans="1:17" x14ac:dyDescent="0.3">
      <c r="A57" s="71"/>
      <c r="B57" s="90">
        <v>-803.62265272485274</v>
      </c>
      <c r="C57" s="90">
        <v>-762.50734312134944</v>
      </c>
      <c r="D57" s="90">
        <v>-667.35694737301412</v>
      </c>
      <c r="E57" s="114"/>
      <c r="F57" s="90"/>
      <c r="G57" s="90"/>
      <c r="H57" s="90"/>
      <c r="I57" s="90"/>
      <c r="J57" s="90"/>
      <c r="K57" s="90"/>
      <c r="L57" s="90"/>
      <c r="M57" s="90"/>
      <c r="N57" s="90"/>
      <c r="O57" s="91"/>
      <c r="P57" s="91"/>
    </row>
    <row r="58" spans="1:17" x14ac:dyDescent="0.3">
      <c r="A58" s="70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87"/>
      <c r="P58" s="87"/>
    </row>
    <row r="59" spans="1:17" x14ac:dyDescent="0.3">
      <c r="A59" s="8" t="s">
        <v>1636</v>
      </c>
      <c r="B59" s="89">
        <f t="shared" ref="B59:N59" si="22">+B54+B55-B56-B57</f>
        <v>76337.787242822567</v>
      </c>
      <c r="C59" s="89">
        <f t="shared" si="22"/>
        <v>77100.294585943921</v>
      </c>
      <c r="D59" s="89">
        <f t="shared" si="22"/>
        <v>77767.651533316937</v>
      </c>
      <c r="E59" s="153">
        <f t="shared" si="22"/>
        <v>1577767.6515333168</v>
      </c>
      <c r="F59" s="89">
        <f>+F54+F55-F56-F57</f>
        <v>4077767.6515333168</v>
      </c>
      <c r="G59" s="89">
        <f>+G54+G55-G56-G57</f>
        <v>4077767.6515333168</v>
      </c>
      <c r="H59" s="89">
        <v>99000</v>
      </c>
      <c r="I59" s="89">
        <f t="shared" si="22"/>
        <v>99000</v>
      </c>
      <c r="J59" s="89">
        <f>+J54+J55-J56-J57</f>
        <v>99000</v>
      </c>
      <c r="K59" s="89">
        <f t="shared" si="22"/>
        <v>99000</v>
      </c>
      <c r="L59" s="89">
        <f t="shared" si="22"/>
        <v>99000</v>
      </c>
      <c r="M59" s="89">
        <f>+M54+M55-M56-M57</f>
        <v>99000</v>
      </c>
      <c r="N59" s="89">
        <f t="shared" si="22"/>
        <v>4075534.1645900975</v>
      </c>
      <c r="O59" s="91"/>
      <c r="P59" s="91"/>
    </row>
    <row r="60" spans="1:17" x14ac:dyDescent="0.3">
      <c r="A60" s="70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87"/>
      <c r="M60" s="87">
        <f>G59-M59</f>
        <v>3978767.6515333168</v>
      </c>
    </row>
    <row r="61" spans="1:17" x14ac:dyDescent="0.3">
      <c r="A61" s="71" t="s">
        <v>1295</v>
      </c>
      <c r="B61" s="100">
        <v>3733</v>
      </c>
      <c r="C61" s="100">
        <v>3733</v>
      </c>
      <c r="D61" s="100">
        <v>3900</v>
      </c>
      <c r="E61" s="100">
        <v>3733</v>
      </c>
      <c r="F61" s="100">
        <v>3733</v>
      </c>
      <c r="G61" s="100">
        <f>2050+2071</f>
        <v>4121</v>
      </c>
      <c r="H61" s="100">
        <f>G61</f>
        <v>4121</v>
      </c>
      <c r="I61" s="100">
        <f t="shared" ref="I61:N61" si="23">H61</f>
        <v>4121</v>
      </c>
      <c r="J61" s="100">
        <f t="shared" si="23"/>
        <v>4121</v>
      </c>
      <c r="K61" s="100">
        <f t="shared" si="23"/>
        <v>4121</v>
      </c>
      <c r="L61" s="100">
        <f t="shared" si="23"/>
        <v>4121</v>
      </c>
      <c r="M61" s="100">
        <f t="shared" si="23"/>
        <v>4121</v>
      </c>
      <c r="N61" s="100">
        <f t="shared" si="23"/>
        <v>4121</v>
      </c>
      <c r="O61" s="2"/>
      <c r="P61" s="2"/>
    </row>
    <row r="62" spans="1:17" x14ac:dyDescent="0.3">
      <c r="A62" s="71" t="s">
        <v>1637</v>
      </c>
      <c r="B62" s="106">
        <v>10000</v>
      </c>
      <c r="C62" s="106">
        <v>10000</v>
      </c>
      <c r="D62" s="106">
        <v>12500</v>
      </c>
      <c r="E62" s="106">
        <f>D62</f>
        <v>12500</v>
      </c>
      <c r="F62" s="106">
        <f>E62</f>
        <v>12500</v>
      </c>
      <c r="G62" s="106">
        <f>10818333.37/1000</f>
        <v>10818.333369999998</v>
      </c>
      <c r="H62" s="106">
        <f t="shared" ref="H62:M62" si="24">G62</f>
        <v>10818.333369999998</v>
      </c>
      <c r="I62" s="106">
        <f t="shared" si="24"/>
        <v>10818.333369999998</v>
      </c>
      <c r="J62" s="106">
        <f t="shared" si="24"/>
        <v>10818.333369999998</v>
      </c>
      <c r="K62" s="106">
        <f t="shared" si="24"/>
        <v>10818.333369999998</v>
      </c>
      <c r="L62" s="106">
        <f t="shared" si="24"/>
        <v>10818.333369999998</v>
      </c>
      <c r="M62" s="106">
        <f t="shared" si="24"/>
        <v>10818.333369999998</v>
      </c>
      <c r="N62" s="106">
        <f>M62</f>
        <v>10818.333369999998</v>
      </c>
    </row>
    <row r="63" spans="1:17" x14ac:dyDescent="0.3">
      <c r="A63" s="8" t="s">
        <v>1638</v>
      </c>
      <c r="B63" s="93">
        <f t="shared" ref="B63:N63" si="25">+B59+B61+B62</f>
        <v>90070.787242822567</v>
      </c>
      <c r="C63" s="93">
        <f t="shared" si="25"/>
        <v>90833.294585943921</v>
      </c>
      <c r="D63" s="93">
        <f t="shared" si="25"/>
        <v>94167.651533316937</v>
      </c>
      <c r="E63" s="93">
        <f t="shared" si="25"/>
        <v>1594000.6515333168</v>
      </c>
      <c r="F63" s="93">
        <f t="shared" si="25"/>
        <v>4094000.6515333168</v>
      </c>
      <c r="G63" s="93">
        <f t="shared" si="25"/>
        <v>4092706.9849033169</v>
      </c>
      <c r="H63" s="93">
        <f t="shared" si="25"/>
        <v>113939.33336999999</v>
      </c>
      <c r="I63" s="93">
        <f t="shared" si="25"/>
        <v>113939.33336999999</v>
      </c>
      <c r="J63" s="93">
        <f t="shared" si="25"/>
        <v>113939.33336999999</v>
      </c>
      <c r="K63" s="93">
        <f t="shared" si="25"/>
        <v>113939.33336999999</v>
      </c>
      <c r="L63" s="93">
        <f t="shared" si="25"/>
        <v>113939.33336999999</v>
      </c>
      <c r="M63" s="93">
        <f t="shared" si="25"/>
        <v>113939.33336999999</v>
      </c>
      <c r="N63" s="93">
        <f t="shared" si="25"/>
        <v>4090473.4979600976</v>
      </c>
    </row>
    <row r="64" spans="1:17" x14ac:dyDescent="0.3">
      <c r="B64" s="107"/>
      <c r="C64" s="107"/>
      <c r="D64" s="108">
        <f>D65*D78</f>
        <v>90198.835155869194</v>
      </c>
      <c r="E64" s="108"/>
      <c r="F64" s="108"/>
      <c r="G64" s="108">
        <f>G65*G78</f>
        <v>133250.00464881249</v>
      </c>
      <c r="I64" s="108"/>
      <c r="J64" s="108">
        <f>J65*J78</f>
        <v>122686.99234049294</v>
      </c>
      <c r="K64" s="108"/>
      <c r="L64" s="108"/>
      <c r="M64" s="108">
        <f>M65*M78</f>
        <v>136357.17593936488</v>
      </c>
      <c r="N64" s="107"/>
    </row>
    <row r="65" spans="1:18" x14ac:dyDescent="0.3">
      <c r="A65" s="109" t="s">
        <v>1639</v>
      </c>
      <c r="B65" s="107"/>
      <c r="C65" s="107"/>
      <c r="D65" s="90">
        <f>+D67+D66+D68+($M$71-D71)+($M$73-D73)+($M$72-D72)</f>
        <v>18039.76703117384</v>
      </c>
      <c r="E65" s="90"/>
      <c r="F65" s="90"/>
      <c r="G65" s="90">
        <f>+G67+G66+G68+($M$71-G71)+($M$73-G73)+($M$72-G72)</f>
        <v>26650.000929762497</v>
      </c>
      <c r="H65" s="110">
        <f>G63/G78</f>
        <v>818541.39698066341</v>
      </c>
      <c r="I65" s="111">
        <f>+G63/21000</f>
        <v>194.89080880491986</v>
      </c>
      <c r="J65" s="90">
        <f>+J67+J66+J68+($M$71-J71)+($M$73-J73)+($M$72-J72)</f>
        <v>30671.748085123236</v>
      </c>
      <c r="K65" s="112">
        <f>+J63/J78</f>
        <v>28484.833342499998</v>
      </c>
      <c r="L65" s="90"/>
      <c r="M65" s="90">
        <f>+M67+M66+M68+($M$71-M71)+($M$73-M73)+($M$72-M72)</f>
        <v>35883.467352464446</v>
      </c>
      <c r="N65" s="112">
        <f>+M63/M78</f>
        <v>29984.035097368422</v>
      </c>
      <c r="O65" s="4"/>
      <c r="P65" s="4"/>
    </row>
    <row r="66" spans="1:18" x14ac:dyDescent="0.3">
      <c r="A66" s="71" t="s">
        <v>1640</v>
      </c>
      <c r="B66" s="107"/>
      <c r="C66" s="107"/>
      <c r="D66" s="90">
        <v>400</v>
      </c>
      <c r="E66" s="90"/>
      <c r="F66" s="90"/>
      <c r="G66" s="90">
        <v>7237</v>
      </c>
      <c r="H66" s="112">
        <f>+G66-D66</f>
        <v>6837</v>
      </c>
      <c r="I66" s="90"/>
      <c r="J66" s="90">
        <f>(83000/J3)+G66</f>
        <v>12119.35294117647</v>
      </c>
      <c r="K66" s="112">
        <f>J66-G66</f>
        <v>4882.3529411764703</v>
      </c>
      <c r="L66" s="90"/>
      <c r="M66" s="90">
        <f>(83000/M3)+J66</f>
        <v>16862.210084033613</v>
      </c>
      <c r="N66" s="112">
        <f>M66-J66</f>
        <v>4742.8571428571431</v>
      </c>
      <c r="Q66" s="85"/>
    </row>
    <row r="67" spans="1:18" x14ac:dyDescent="0.3">
      <c r="A67" s="71" t="s">
        <v>1641</v>
      </c>
      <c r="B67" s="107"/>
      <c r="C67" s="107"/>
      <c r="D67" s="90">
        <v>4000</v>
      </c>
      <c r="E67" s="90"/>
      <c r="F67" s="113"/>
      <c r="G67" s="114">
        <f>8242856.92430608/1000</f>
        <v>8242.8569243060792</v>
      </c>
      <c r="H67" s="112">
        <f>G67-D67</f>
        <v>4242.8569243060792</v>
      </c>
      <c r="I67" s="113"/>
      <c r="J67" s="115">
        <f>0+G67</f>
        <v>8242.8569243060792</v>
      </c>
      <c r="K67" s="90">
        <f>J67-G67</f>
        <v>0</v>
      </c>
      <c r="L67" s="113"/>
      <c r="M67" s="115">
        <f>2827+J67</f>
        <v>11069.856924306079</v>
      </c>
      <c r="N67" s="90">
        <f>M67-J67</f>
        <v>2827</v>
      </c>
      <c r="Q67" s="116"/>
      <c r="R67" s="117"/>
    </row>
    <row r="68" spans="1:18" x14ac:dyDescent="0.3">
      <c r="A68" s="71" t="s">
        <v>1642</v>
      </c>
      <c r="B68" s="107"/>
      <c r="C68" s="107"/>
      <c r="D68" s="90">
        <v>1911</v>
      </c>
      <c r="E68" s="90"/>
      <c r="F68" s="114"/>
      <c r="G68" s="114">
        <v>3840.4003441247555</v>
      </c>
      <c r="H68" s="112">
        <f>+G68-D68</f>
        <v>1929.4003441247555</v>
      </c>
      <c r="I68" s="90"/>
      <c r="J68" s="115">
        <f>1592+G68</f>
        <v>5432.4003441247551</v>
      </c>
      <c r="K68" s="112">
        <f>+J68-G68</f>
        <v>1591.9999999999995</v>
      </c>
      <c r="L68" s="90"/>
      <c r="M68" s="115">
        <f>2519+J68</f>
        <v>7951.4003441247551</v>
      </c>
      <c r="N68" s="112">
        <f>+M68-J68</f>
        <v>2519</v>
      </c>
      <c r="Q68" s="118"/>
    </row>
    <row r="69" spans="1:18" ht="5.25" customHeight="1" x14ac:dyDescent="0.3">
      <c r="A69" s="71"/>
      <c r="B69" s="107"/>
      <c r="C69" s="107"/>
      <c r="D69" s="90"/>
      <c r="E69" s="90"/>
      <c r="F69" s="90"/>
      <c r="G69" s="90"/>
      <c r="H69" s="108"/>
      <c r="I69" s="90"/>
      <c r="J69" s="90"/>
      <c r="K69" s="108"/>
      <c r="L69" s="90"/>
      <c r="M69" s="90"/>
      <c r="N69" s="108"/>
    </row>
    <row r="70" spans="1:18" ht="5.25" customHeight="1" x14ac:dyDescent="0.3">
      <c r="A70" s="71"/>
      <c r="B70" s="107"/>
      <c r="C70" s="107"/>
      <c r="D70" s="90"/>
      <c r="E70" s="90"/>
      <c r="F70" s="90"/>
      <c r="G70" s="90"/>
      <c r="H70" s="108"/>
      <c r="I70" s="90"/>
      <c r="J70" s="90"/>
      <c r="K70" s="108"/>
      <c r="L70" s="90"/>
      <c r="M70" s="90"/>
      <c r="N70" s="108"/>
    </row>
    <row r="71" spans="1:18" x14ac:dyDescent="0.3">
      <c r="A71" s="71" t="s">
        <v>1643</v>
      </c>
      <c r="B71" s="107"/>
      <c r="C71" s="107"/>
      <c r="D71" s="114">
        <f>5512-7381-1890+2267+250-D72</f>
        <v>-1971</v>
      </c>
      <c r="E71" s="90"/>
      <c r="F71" s="90"/>
      <c r="G71" s="114">
        <f>17552-13768-4562+2680+510-G72</f>
        <v>1461</v>
      </c>
      <c r="H71" s="90">
        <f>+G71-D71</f>
        <v>3432</v>
      </c>
      <c r="I71" s="90"/>
      <c r="J71" s="114">
        <f>24518-21335-5381+5455+766-J72</f>
        <v>4292</v>
      </c>
      <c r="K71" s="90">
        <f>+J71-G71</f>
        <v>2831</v>
      </c>
      <c r="L71" s="90"/>
      <c r="M71" s="114">
        <f>35723-28351-6696+8332+1029-M72-2106</f>
        <v>2645</v>
      </c>
      <c r="N71" s="90">
        <f>+M71-J71</f>
        <v>-1647</v>
      </c>
      <c r="Q71" s="115">
        <f>M71+M72</f>
        <v>7931</v>
      </c>
    </row>
    <row r="72" spans="1:18" x14ac:dyDescent="0.3">
      <c r="A72" s="71" t="s">
        <v>1644</v>
      </c>
      <c r="B72" s="107"/>
      <c r="C72" s="107"/>
      <c r="D72" s="114">
        <f>1114-650+265</f>
        <v>729</v>
      </c>
      <c r="E72" s="90"/>
      <c r="F72" s="90"/>
      <c r="G72" s="114">
        <f>1320-934+565</f>
        <v>951</v>
      </c>
      <c r="H72" s="90">
        <f>+G72-D72</f>
        <v>222</v>
      </c>
      <c r="I72" s="90"/>
      <c r="J72" s="114">
        <f>134-1245+842</f>
        <v>-269</v>
      </c>
      <c r="K72" s="90">
        <f>+J72-G72</f>
        <v>-1220</v>
      </c>
      <c r="L72" s="90"/>
      <c r="M72" s="114">
        <f>5363-1602+1525</f>
        <v>5286</v>
      </c>
      <c r="N72" s="90">
        <f>+M72-J72</f>
        <v>5555</v>
      </c>
      <c r="Q72" s="2"/>
    </row>
    <row r="73" spans="1:18" x14ac:dyDescent="0.3">
      <c r="A73" s="71" t="s">
        <v>1645</v>
      </c>
      <c r="B73" s="107"/>
      <c r="C73" s="107"/>
      <c r="D73" s="114">
        <f>(29787-18865-2545+5295)/20.5127</f>
        <v>666.51391576925516</v>
      </c>
      <c r="E73" s="90"/>
      <c r="F73" s="90"/>
      <c r="G73" s="114">
        <f>(62333-36318-7674+10283)/20.2786</f>
        <v>1411.5372856114327</v>
      </c>
      <c r="H73" s="90">
        <f>+G73-D73</f>
        <v>745.02336984217754</v>
      </c>
      <c r="I73" s="90"/>
      <c r="J73" s="114">
        <f>(93338-52553-13186+18065)/20.2668</f>
        <v>2253.1430714271619</v>
      </c>
      <c r="K73" s="90">
        <f>+J73-G73</f>
        <v>841.60578581572918</v>
      </c>
      <c r="L73" s="90"/>
      <c r="M73" s="114">
        <v>3222.280946943094</v>
      </c>
      <c r="N73" s="90">
        <f>+M73-J73</f>
        <v>969.13787551593214</v>
      </c>
      <c r="Q73" s="2"/>
    </row>
    <row r="74" spans="1:18" ht="5.25" customHeight="1" x14ac:dyDescent="0.3">
      <c r="A74" s="71"/>
      <c r="B74" s="107"/>
      <c r="C74" s="107"/>
      <c r="D74" s="107"/>
      <c r="E74" s="107"/>
      <c r="F74" s="107"/>
      <c r="G74" s="107"/>
      <c r="H74" s="107"/>
      <c r="I74" s="107"/>
      <c r="J74" s="107"/>
      <c r="K74" s="119"/>
      <c r="L74" s="107"/>
      <c r="M74" s="107"/>
      <c r="N74" s="119"/>
    </row>
    <row r="75" spans="1:18" x14ac:dyDescent="0.3">
      <c r="A75" s="8" t="s">
        <v>1646</v>
      </c>
      <c r="B75" s="107"/>
      <c r="C75" s="107"/>
      <c r="D75" s="120">
        <f>D63/D65</f>
        <v>5.2200037489724433</v>
      </c>
      <c r="E75" s="120"/>
      <c r="F75" s="120"/>
      <c r="G75" s="120">
        <f>G63/G65</f>
        <v>153.57248938526737</v>
      </c>
      <c r="H75" s="120"/>
      <c r="I75" s="120"/>
      <c r="J75" s="120">
        <f>J63/J65</f>
        <v>3.7147975085666589</v>
      </c>
      <c r="K75" s="120"/>
      <c r="L75" s="120"/>
      <c r="M75" s="120">
        <f>M63/M65</f>
        <v>3.1752598557668295</v>
      </c>
      <c r="N75" s="107"/>
    </row>
    <row r="76" spans="1:18" x14ac:dyDescent="0.3">
      <c r="A76" s="8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</row>
    <row r="77" spans="1:18" x14ac:dyDescent="0.3">
      <c r="A77" s="71" t="s">
        <v>1647</v>
      </c>
      <c r="B77" s="107"/>
      <c r="C77" s="107"/>
      <c r="D77" s="121">
        <f>D63/D78</f>
        <v>18833.530306663386</v>
      </c>
      <c r="E77" s="107"/>
      <c r="F77" s="107"/>
      <c r="G77" s="121">
        <f>G63/G78</f>
        <v>818541.39698066341</v>
      </c>
      <c r="H77" s="107"/>
      <c r="I77" s="107">
        <f>29*3.5</f>
        <v>101.5</v>
      </c>
      <c r="J77" s="121">
        <f>J63/J78</f>
        <v>28484.833342499998</v>
      </c>
      <c r="K77" s="107"/>
      <c r="L77" s="107"/>
      <c r="M77" s="121">
        <f>M63/M78</f>
        <v>29984.035097368422</v>
      </c>
      <c r="N77" s="107"/>
    </row>
    <row r="78" spans="1:18" x14ac:dyDescent="0.3">
      <c r="A78" s="122" t="s">
        <v>1648</v>
      </c>
      <c r="B78" s="107"/>
      <c r="C78" s="107"/>
      <c r="D78" s="123">
        <v>5</v>
      </c>
      <c r="E78" s="123"/>
      <c r="F78" s="123"/>
      <c r="G78" s="123">
        <v>5</v>
      </c>
      <c r="H78" s="123"/>
      <c r="I78" s="123"/>
      <c r="J78" s="123">
        <v>4</v>
      </c>
      <c r="K78" s="123"/>
      <c r="L78" s="123"/>
      <c r="M78" s="123">
        <v>3.8</v>
      </c>
      <c r="N78" s="107"/>
    </row>
    <row r="79" spans="1:18" x14ac:dyDescent="0.3">
      <c r="A79" s="8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</row>
    <row r="80" spans="1:18" x14ac:dyDescent="0.3">
      <c r="A80" s="8" t="s">
        <v>1649</v>
      </c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</row>
    <row r="81" spans="1:18" x14ac:dyDescent="0.3">
      <c r="A81" s="8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</row>
    <row r="82" spans="1:18" x14ac:dyDescent="0.3">
      <c r="A82" s="71" t="s">
        <v>1650</v>
      </c>
      <c r="B82" s="111"/>
      <c r="C82" s="111"/>
      <c r="D82" s="114">
        <f>400+12769.6194212088</f>
        <v>13169.619421208799</v>
      </c>
      <c r="E82" s="114"/>
      <c r="F82" s="114"/>
      <c r="G82" s="114">
        <f>400+12100.9944512088</f>
        <v>12500.9944512088</v>
      </c>
      <c r="H82" s="114"/>
      <c r="I82" s="114"/>
      <c r="J82" s="114">
        <f>400+11869.8694812088</f>
        <v>12269.8694812088</v>
      </c>
      <c r="K82" s="114"/>
      <c r="L82" s="114"/>
      <c r="M82" s="114">
        <f>400+13915.530231685</f>
        <v>14315.530231684999</v>
      </c>
      <c r="N82" s="111"/>
    </row>
    <row r="83" spans="1:18" x14ac:dyDescent="0.3">
      <c r="A83" s="71" t="s">
        <v>1651</v>
      </c>
      <c r="B83" s="107"/>
      <c r="C83" s="107"/>
      <c r="D83" s="90">
        <f>+D84+D85+$M$86-D86</f>
        <v>8694.2216666666664</v>
      </c>
      <c r="E83" s="90"/>
      <c r="F83" s="90"/>
      <c r="G83" s="90">
        <f>+G84+G85+$M$86-G86</f>
        <v>9255.7216666666664</v>
      </c>
      <c r="H83" s="90"/>
      <c r="I83" s="90"/>
      <c r="J83" s="90">
        <f>+J84+J85+$M$86-J86</f>
        <v>8634.6784227859462</v>
      </c>
      <c r="K83" s="90"/>
      <c r="L83" s="90"/>
      <c r="M83" s="90">
        <f>+M84+M85+$M$86-M86</f>
        <v>8097.9895589995813</v>
      </c>
      <c r="N83" s="107"/>
    </row>
    <row r="84" spans="1:18" x14ac:dyDescent="0.3">
      <c r="A84" s="124" t="s">
        <v>1652</v>
      </c>
      <c r="B84" s="107"/>
      <c r="C84" s="107"/>
      <c r="D84" s="90">
        <f>10000*6.9%*90/360</f>
        <v>172.50000000000003</v>
      </c>
      <c r="E84" s="90"/>
      <c r="F84" s="90"/>
      <c r="G84" s="90">
        <f>10000*6.9%*180/360</f>
        <v>345.00000000000006</v>
      </c>
      <c r="H84" s="90"/>
      <c r="I84" s="90"/>
      <c r="J84" s="90">
        <f>10000*6.9%*270/360</f>
        <v>517.50000000000011</v>
      </c>
      <c r="K84" s="90"/>
      <c r="L84" s="90"/>
      <c r="M84" s="90">
        <f>10000*6.9%*360/360</f>
        <v>690.00000000000011</v>
      </c>
      <c r="N84" s="107"/>
    </row>
    <row r="85" spans="1:18" x14ac:dyDescent="0.3">
      <c r="A85" s="124" t="s">
        <v>1653</v>
      </c>
      <c r="B85" s="107"/>
      <c r="C85" s="107"/>
      <c r="D85" s="90">
        <v>2198</v>
      </c>
      <c r="E85" s="90"/>
      <c r="F85" s="90"/>
      <c r="G85" s="90">
        <v>4252</v>
      </c>
      <c r="H85" s="90"/>
      <c r="I85" s="90"/>
      <c r="J85" s="90">
        <v>5828.4567561192807</v>
      </c>
      <c r="K85" s="90"/>
      <c r="L85" s="90"/>
      <c r="M85" s="90">
        <v>7407.9895589995813</v>
      </c>
      <c r="N85" s="107"/>
    </row>
    <row r="86" spans="1:18" x14ac:dyDescent="0.3">
      <c r="A86" s="124" t="s">
        <v>1654</v>
      </c>
      <c r="B86" s="107"/>
      <c r="C86" s="107"/>
      <c r="D86" s="90">
        <v>1348</v>
      </c>
      <c r="E86" s="90"/>
      <c r="F86" s="90"/>
      <c r="G86" s="90">
        <v>3013</v>
      </c>
      <c r="H86" s="90"/>
      <c r="I86" s="90"/>
      <c r="J86" s="90">
        <v>5383</v>
      </c>
      <c r="K86" s="90"/>
      <c r="L86" s="90"/>
      <c r="M86" s="90">
        <f>7052+((75000+12800)*8.47%*30/360)</f>
        <v>7671.7216666666664</v>
      </c>
      <c r="N86" s="107"/>
    </row>
    <row r="87" spans="1:18" x14ac:dyDescent="0.3">
      <c r="A87" s="71" t="s">
        <v>1655</v>
      </c>
      <c r="B87" s="107"/>
      <c r="C87" s="107"/>
      <c r="D87" s="111">
        <f>D65/(D82+D83)</f>
        <v>0.82509596363549054</v>
      </c>
      <c r="E87" s="111"/>
      <c r="F87" s="111"/>
      <c r="G87" s="111">
        <f>G65/(G82+G83)</f>
        <v>1.2249091630085973</v>
      </c>
      <c r="H87" s="111"/>
      <c r="I87" s="111"/>
      <c r="J87" s="111">
        <f>J65/(J82+J83)</f>
        <v>1.4672284818588222</v>
      </c>
      <c r="K87" s="111"/>
      <c r="L87" s="111"/>
      <c r="M87" s="111">
        <f>M65/(M82+M83)</f>
        <v>1.6009742194699021</v>
      </c>
      <c r="N87" s="107"/>
    </row>
    <row r="88" spans="1:18" x14ac:dyDescent="0.3">
      <c r="A88" s="8" t="s">
        <v>1656</v>
      </c>
      <c r="B88" s="107"/>
      <c r="C88" s="107"/>
      <c r="D88" s="111">
        <v>1</v>
      </c>
      <c r="E88" s="111"/>
      <c r="F88" s="111"/>
      <c r="G88" s="111">
        <v>1.25</v>
      </c>
      <c r="H88" s="111"/>
      <c r="I88" s="111"/>
      <c r="J88" s="111">
        <v>1.25</v>
      </c>
      <c r="K88" s="111"/>
      <c r="L88" s="111"/>
      <c r="M88" s="111">
        <v>1.25</v>
      </c>
      <c r="N88" s="107"/>
    </row>
    <row r="89" spans="1:18" ht="18" x14ac:dyDescent="0.35">
      <c r="A89" s="81" t="s">
        <v>1657</v>
      </c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1"/>
      <c r="P89" s="91"/>
    </row>
    <row r="90" spans="1:18" x14ac:dyDescent="0.3">
      <c r="A90" s="70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87"/>
      <c r="P90" s="87"/>
    </row>
    <row r="91" spans="1:18" ht="15.6" x14ac:dyDescent="0.3">
      <c r="A91" s="88" t="s">
        <v>1658</v>
      </c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</row>
    <row r="92" spans="1:18" x14ac:dyDescent="0.3">
      <c r="A92" s="4" t="s">
        <v>1633</v>
      </c>
      <c r="B92" s="89">
        <f>'[2]P&amp;L CONSOLIDADO Mensual'!$C$96</f>
        <v>108139.70976015058</v>
      </c>
      <c r="C92" s="89">
        <f>'[2]P&amp;L CONSOLIDADO Mensual'!$F$96</f>
        <v>110265.75206934521</v>
      </c>
      <c r="D92" s="89">
        <f>'[2]P&amp;L CONSOLIDADO Mensual'!$I$96</f>
        <v>113658.25803727523</v>
      </c>
      <c r="E92" s="89">
        <f>'[2]P&amp;L CONSOLIDADO Mensual'!$L$96</f>
        <v>114282.76327208261</v>
      </c>
      <c r="F92" s="89">
        <f>'[2]P&amp;L CONSOLIDADO Mensual'!$O$96</f>
        <v>114163.161745591</v>
      </c>
      <c r="G92" s="89">
        <f>'[2]P&amp;L CONSOLIDADO Mensual'!$R$96</f>
        <v>122518.05928058669</v>
      </c>
      <c r="H92" s="89">
        <f>'[2]P&amp;L CONSOLIDADO Mensual'!$U$96</f>
        <v>124970.74962493411</v>
      </c>
      <c r="I92" s="89">
        <f>'[2]P&amp;L CONSOLIDADO Mensual'!$X$96</f>
        <v>120792.90613294004</v>
      </c>
      <c r="J92" s="89">
        <f>'[2]P&amp;L CONSOLIDADO Mensual'!$AA$96</f>
        <v>110476.16754392856</v>
      </c>
      <c r="K92" s="89">
        <f>'[2]P&amp;L CONSOLIDADO Mensual'!$AD$96</f>
        <v>98079.63909535612</v>
      </c>
      <c r="L92" s="89">
        <f>'[2]P&amp;L CONSOLIDADO Mensual'!$AG$96</f>
        <v>103309.62171433528</v>
      </c>
      <c r="M92" s="89">
        <f>'[2]P&amp;L CONSOLIDADO Mensual'!$AJ$96</f>
        <v>99431.350724863732</v>
      </c>
      <c r="N92" s="89">
        <f>'[2]P&amp;L CONSOLIDADO Mensual'!$AN$96</f>
        <v>108139.70976015058</v>
      </c>
      <c r="O92" s="91"/>
      <c r="P92" s="91"/>
      <c r="Q92" s="2">
        <f>B92</f>
        <v>108139.70976015058</v>
      </c>
    </row>
    <row r="93" spans="1:18" x14ac:dyDescent="0.3">
      <c r="A93" s="71" t="s">
        <v>1659</v>
      </c>
      <c r="B93" s="100">
        <f>+B95-B92+B94</f>
        <v>6532067.3635091959</v>
      </c>
      <c r="C93" s="100">
        <f t="shared" ref="C93:N93" si="26">+C95-C92+C94</f>
        <v>6708485.2327679303</v>
      </c>
      <c r="D93" s="100">
        <f t="shared" si="26"/>
        <v>5076261.4158348078</v>
      </c>
      <c r="E93" s="100">
        <f t="shared" si="26"/>
        <v>7677695.0233216481</v>
      </c>
      <c r="F93" s="100">
        <f t="shared" si="26"/>
        <v>12600423.404734995</v>
      </c>
      <c r="G93" s="100">
        <f t="shared" si="26"/>
        <v>10556142.145744346</v>
      </c>
      <c r="H93" s="100">
        <f t="shared" si="26"/>
        <v>6230607.4903080063</v>
      </c>
      <c r="I93" s="100">
        <f t="shared" si="26"/>
        <v>6297238.9766109893</v>
      </c>
      <c r="J93" s="100">
        <f t="shared" si="26"/>
        <v>9285614.8889514282</v>
      </c>
      <c r="K93" s="100">
        <f t="shared" si="26"/>
        <v>8183795.0308189793</v>
      </c>
      <c r="L93" s="100">
        <f t="shared" si="26"/>
        <v>9675830.0926105287</v>
      </c>
      <c r="M93" s="100">
        <f t="shared" si="26"/>
        <v>9219149.7534247376</v>
      </c>
      <c r="N93" s="100">
        <f t="shared" si="26"/>
        <v>98043310.81863758</v>
      </c>
      <c r="O93" s="125"/>
      <c r="P93" s="125"/>
      <c r="Q93" s="95">
        <f>SUM(B93,C93,D93,E93,F93,G93,H93,I93,J93,K93,L93,M93)</f>
        <v>98043310.81863758</v>
      </c>
    </row>
    <row r="94" spans="1:18" x14ac:dyDescent="0.3">
      <c r="A94" s="71" t="s">
        <v>1660</v>
      </c>
      <c r="B94" s="114">
        <f>+B124</f>
        <v>6529941.3212000011</v>
      </c>
      <c r="C94" s="114">
        <f t="shared" ref="C94:N94" si="27">+C124</f>
        <v>6705092.7268000003</v>
      </c>
      <c r="D94" s="114">
        <f t="shared" si="27"/>
        <v>5075636.9106000001</v>
      </c>
      <c r="E94" s="114">
        <f t="shared" si="27"/>
        <v>7677814.6248481395</v>
      </c>
      <c r="F94" s="114">
        <f t="shared" si="27"/>
        <v>12592068.507199999</v>
      </c>
      <c r="G94" s="114">
        <f t="shared" si="27"/>
        <v>10553689.455399999</v>
      </c>
      <c r="H94" s="114">
        <f t="shared" si="27"/>
        <v>6234785.3338000001</v>
      </c>
      <c r="I94" s="114">
        <f t="shared" si="27"/>
        <v>6307555.7152000004</v>
      </c>
      <c r="J94" s="114">
        <f t="shared" si="27"/>
        <v>9298011.4174000006</v>
      </c>
      <c r="K94" s="114">
        <f t="shared" si="27"/>
        <v>8178565.0482000001</v>
      </c>
      <c r="L94" s="114">
        <f t="shared" si="27"/>
        <v>9679708.3636000007</v>
      </c>
      <c r="M94" s="114">
        <f t="shared" si="27"/>
        <v>9220888.3636000007</v>
      </c>
      <c r="N94" s="114">
        <f t="shared" si="27"/>
        <v>98053757.78784813</v>
      </c>
      <c r="O94" s="125"/>
      <c r="P94" s="125"/>
      <c r="Q94" s="95">
        <f>SUM(B94,C94,D94,E94,F94,G94,H94,I94,J94,K94,L94,M94)</f>
        <v>98053757.78784813</v>
      </c>
    </row>
    <row r="95" spans="1:18" x14ac:dyDescent="0.3">
      <c r="A95" s="4" t="s">
        <v>1661</v>
      </c>
      <c r="B95" s="89">
        <f>'[2]P&amp;L CONSOLIDADO Mensual'!$C$101</f>
        <v>110265.75206934521</v>
      </c>
      <c r="C95" s="89">
        <f>'[2]P&amp;L CONSOLIDADO Mensual'!$F$101</f>
        <v>113658.25803727523</v>
      </c>
      <c r="D95" s="89">
        <f>'[2]P&amp;L CONSOLIDADO Mensual'!$I$101</f>
        <v>114282.76327208261</v>
      </c>
      <c r="E95" s="89">
        <f>'[2]P&amp;L CONSOLIDADO Mensual'!$L$101</f>
        <v>114163.161745591</v>
      </c>
      <c r="F95" s="89">
        <f>'[2]P&amp;L CONSOLIDADO Mensual'!$O$101</f>
        <v>122518.05928058669</v>
      </c>
      <c r="G95" s="89">
        <f>'[2]P&amp;L CONSOLIDADO Mensual'!$R$101</f>
        <v>124970.74962493411</v>
      </c>
      <c r="H95" s="89">
        <f>'[2]P&amp;L CONSOLIDADO Mensual'!$U$101</f>
        <v>120792.90613294004</v>
      </c>
      <c r="I95" s="89">
        <f>'[2]P&amp;L CONSOLIDADO Mensual'!$X$101</f>
        <v>110476.16754392856</v>
      </c>
      <c r="J95" s="89">
        <f>'[2]P&amp;L CONSOLIDADO Mensual'!$AA$101</f>
        <v>98079.63909535612</v>
      </c>
      <c r="K95" s="89">
        <f>'[2]P&amp;L CONSOLIDADO Mensual'!$AD$101</f>
        <v>103309.62171433528</v>
      </c>
      <c r="L95" s="89">
        <f>'[2]P&amp;L CONSOLIDADO Mensual'!$AG$101</f>
        <v>99431.350724863732</v>
      </c>
      <c r="M95" s="89">
        <f>'[2]P&amp;L CONSOLIDADO Mensual'!$AJ$101</f>
        <v>97692.740549600596</v>
      </c>
      <c r="N95" s="89">
        <f>'[2]P&amp;L CONSOLIDADO Mensual'!$AN$101</f>
        <v>97692.740549600596</v>
      </c>
      <c r="O95" s="91"/>
      <c r="P95" s="91"/>
      <c r="Q95" s="2">
        <f>M95</f>
        <v>97692.740549600596</v>
      </c>
      <c r="R95" s="2">
        <f>Q95-Q92</f>
        <v>-10446.969210549985</v>
      </c>
    </row>
    <row r="96" spans="1:18" x14ac:dyDescent="0.3">
      <c r="A96" s="70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87"/>
      <c r="P96" s="87"/>
    </row>
    <row r="97" spans="1:18" ht="15.6" x14ac:dyDescent="0.3">
      <c r="A97" s="88" t="s">
        <v>1662</v>
      </c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Q97" s="2"/>
    </row>
    <row r="98" spans="1:18" x14ac:dyDescent="0.3">
      <c r="A98" s="4" t="s">
        <v>1633</v>
      </c>
      <c r="B98" s="89">
        <f>'[2]P&amp;L CONSOLIDADO Mensual'!$C$103</f>
        <v>36122.697802700008</v>
      </c>
      <c r="C98" s="89">
        <f>'[2]P&amp;L CONSOLIDADO Mensual'!$F$103</f>
        <v>34975.633615200022</v>
      </c>
      <c r="D98" s="89">
        <f>'[2]P&amp;L CONSOLIDADO Mensual'!$I$103</f>
        <v>42302.06676210001</v>
      </c>
      <c r="E98" s="89">
        <f>'[2]P&amp;L CONSOLIDADO Mensual'!$L$103</f>
        <v>43723.494932700014</v>
      </c>
      <c r="F98" s="89">
        <f>'[2]P&amp;L CONSOLIDADO Mensual'!$O$103</f>
        <v>44494.269754800014</v>
      </c>
      <c r="G98" s="89">
        <f>'[2]P&amp;L CONSOLIDADO Mensual'!$R$103</f>
        <v>43274.070735400011</v>
      </c>
      <c r="H98" s="89">
        <f>'[2]P&amp;L CONSOLIDADO Mensual'!$U$103</f>
        <v>48504.341645000015</v>
      </c>
      <c r="I98" s="89">
        <f>'[2]P&amp;L CONSOLIDADO Mensual'!$X$103</f>
        <v>45032.637891967221</v>
      </c>
      <c r="J98" s="89">
        <f>'[2]P&amp;L CONSOLIDADO Mensual'!$AA$103</f>
        <v>45032.637891967221</v>
      </c>
      <c r="K98" s="89">
        <f>'[2]P&amp;L CONSOLIDADO Mensual'!$AD$103</f>
        <v>45032.637891967221</v>
      </c>
      <c r="L98" s="89">
        <f>'[2]P&amp;L CONSOLIDADO Mensual'!$AG$103</f>
        <v>43745.991095053869</v>
      </c>
      <c r="M98" s="89">
        <f>'[2]P&amp;L CONSOLIDADO Mensual'!$AJ$103</f>
        <v>43745.991095053869</v>
      </c>
      <c r="N98" s="89">
        <f>'[2]P&amp;L CONSOLIDADO Mensual'!$AN$103</f>
        <v>36122.697802700008</v>
      </c>
      <c r="O98" s="91"/>
      <c r="P98" s="91"/>
      <c r="Q98" s="2">
        <f>B98</f>
        <v>36122.697802700008</v>
      </c>
    </row>
    <row r="99" spans="1:18" x14ac:dyDescent="0.3">
      <c r="A99" s="71" t="s">
        <v>1616</v>
      </c>
      <c r="B99" s="114">
        <f t="shared" ref="B99:N99" si="28">+B123</f>
        <v>15516402.120000001</v>
      </c>
      <c r="C99" s="90">
        <f t="shared" si="28"/>
        <v>15076232.680000002</v>
      </c>
      <c r="D99" s="90">
        <f t="shared" si="28"/>
        <v>11706632.059999999</v>
      </c>
      <c r="E99" s="90">
        <f t="shared" si="28"/>
        <v>18261532.0524</v>
      </c>
      <c r="F99" s="90">
        <f t="shared" si="28"/>
        <v>26185074.719999999</v>
      </c>
      <c r="G99" s="90">
        <f t="shared" si="28"/>
        <v>22225295.539999999</v>
      </c>
      <c r="H99" s="90">
        <f t="shared" si="28"/>
        <v>13984483.380000001</v>
      </c>
      <c r="I99" s="90">
        <f t="shared" si="28"/>
        <v>14124371.52</v>
      </c>
      <c r="J99" s="90">
        <f t="shared" si="28"/>
        <v>19872991.739999998</v>
      </c>
      <c r="K99" s="90">
        <f t="shared" si="28"/>
        <v>17721054.82</v>
      </c>
      <c r="L99" s="90">
        <f t="shared" si="28"/>
        <v>20606736.359999999</v>
      </c>
      <c r="M99" s="90">
        <f t="shared" si="28"/>
        <v>19724736.359999999</v>
      </c>
      <c r="N99" s="90">
        <f t="shared" si="28"/>
        <v>215005543.3524</v>
      </c>
      <c r="O99" s="125"/>
      <c r="P99" s="125"/>
      <c r="Q99" s="95">
        <f>SUM(B99,C99,D99,E99,F99,G99,H99,I99,J99,K99,L99,M99)</f>
        <v>215005543.3524</v>
      </c>
    </row>
    <row r="100" spans="1:18" x14ac:dyDescent="0.3">
      <c r="A100" s="71" t="s">
        <v>1663</v>
      </c>
      <c r="B100" s="114">
        <f>B98+B99-B101</f>
        <v>15517549.184187502</v>
      </c>
      <c r="C100" s="90">
        <f t="shared" ref="C100:N100" si="29">C98+C99-C101</f>
        <v>15068906.2468531</v>
      </c>
      <c r="D100" s="90">
        <f t="shared" si="29"/>
        <v>11705210.6318294</v>
      </c>
      <c r="E100" s="90">
        <f t="shared" si="29"/>
        <v>18260761.277577899</v>
      </c>
      <c r="F100" s="90">
        <f t="shared" si="29"/>
        <v>26186294.919019401</v>
      </c>
      <c r="G100" s="90">
        <f t="shared" si="29"/>
        <v>22220065.269090399</v>
      </c>
      <c r="H100" s="90">
        <f t="shared" si="29"/>
        <v>13987955.083753034</v>
      </c>
      <c r="I100" s="90">
        <f t="shared" si="29"/>
        <v>14124371.52</v>
      </c>
      <c r="J100" s="90">
        <f t="shared" si="29"/>
        <v>19872991.739999998</v>
      </c>
      <c r="K100" s="90">
        <f t="shared" si="29"/>
        <v>17722341.466796912</v>
      </c>
      <c r="L100" s="90">
        <f t="shared" si="29"/>
        <v>20606736.359999999</v>
      </c>
      <c r="M100" s="90">
        <f t="shared" si="29"/>
        <v>19724736.359999999</v>
      </c>
      <c r="N100" s="90">
        <f t="shared" si="29"/>
        <v>214997920.05910763</v>
      </c>
      <c r="O100" s="125"/>
      <c r="P100" s="125"/>
      <c r="Q100" s="95">
        <f>SUM(B100,C100,D100,E100,F100,G100,H100,I100,J100,K100,L100,M100)</f>
        <v>214997920.05910766</v>
      </c>
    </row>
    <row r="101" spans="1:18" x14ac:dyDescent="0.3">
      <c r="A101" s="4" t="s">
        <v>1664</v>
      </c>
      <c r="B101" s="89">
        <f>'[2]P&amp;L CONSOLIDADO Mensual'!$C$106</f>
        <v>34975.633615200022</v>
      </c>
      <c r="C101" s="89">
        <f>'[2]P&amp;L CONSOLIDADO Mensual'!$F$106</f>
        <v>42302.06676210001</v>
      </c>
      <c r="D101" s="89">
        <f>'[2]P&amp;L CONSOLIDADO Mensual'!$I$106</f>
        <v>43723.494932700014</v>
      </c>
      <c r="E101" s="89">
        <f>'[2]P&amp;L CONSOLIDADO Mensual'!$L$106</f>
        <v>44494.269754800014</v>
      </c>
      <c r="F101" s="89">
        <f>'[2]P&amp;L CONSOLIDADO Mensual'!$O$106</f>
        <v>43274.070735400011</v>
      </c>
      <c r="G101" s="89">
        <f>'[2]P&amp;L CONSOLIDADO Mensual'!$R$106</f>
        <v>48504.341645000015</v>
      </c>
      <c r="H101" s="89">
        <f>'[2]P&amp;L CONSOLIDADO Mensual'!$U$106</f>
        <v>45032.637891967221</v>
      </c>
      <c r="I101" s="89">
        <f>'[2]P&amp;L CONSOLIDADO Mensual'!$X$106</f>
        <v>45032.637891967221</v>
      </c>
      <c r="J101" s="89">
        <f>'[2]P&amp;L CONSOLIDADO Mensual'!$AA$106</f>
        <v>45032.637891967221</v>
      </c>
      <c r="K101" s="89">
        <f>'[2]P&amp;L CONSOLIDADO Mensual'!$AD$106</f>
        <v>43745.991095053869</v>
      </c>
      <c r="L101" s="89">
        <f>'[2]P&amp;L CONSOLIDADO Mensual'!$AG$106</f>
        <v>43745.991095053869</v>
      </c>
      <c r="M101" s="89">
        <f>'[2]P&amp;L CONSOLIDADO Mensual'!$AJ$106</f>
        <v>43745.991095053869</v>
      </c>
      <c r="N101" s="89">
        <f>'[2]P&amp;L CONSOLIDADO Mensual'!$AN$106</f>
        <v>43745.991095053869</v>
      </c>
      <c r="O101" s="91"/>
      <c r="P101" s="91"/>
      <c r="Q101" s="2">
        <f>M101</f>
        <v>43745.991095053869</v>
      </c>
      <c r="R101" s="2">
        <f>Q101-Q98</f>
        <v>7623.293292353861</v>
      </c>
    </row>
    <row r="102" spans="1:18" x14ac:dyDescent="0.3">
      <c r="A102" s="70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87"/>
      <c r="P102" s="87"/>
      <c r="Q102" s="2"/>
    </row>
    <row r="103" spans="1:18" ht="15.6" x14ac:dyDescent="0.3">
      <c r="A103" s="88" t="s">
        <v>1665</v>
      </c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125"/>
      <c r="P103" s="125"/>
    </row>
    <row r="104" spans="1:18" x14ac:dyDescent="0.3">
      <c r="A104" s="4" t="s">
        <v>1633</v>
      </c>
      <c r="B104" s="89">
        <f>'[2]P&amp;L CONSOLIDADO Mensual'!$C$109</f>
        <v>25261.606020318366</v>
      </c>
      <c r="C104" s="89">
        <f>'[2]P&amp;L CONSOLIDADO Mensual'!$F$109</f>
        <v>18609.79128993885</v>
      </c>
      <c r="D104" s="89">
        <f>'[2]P&amp;L CONSOLIDADO Mensual'!$I$109</f>
        <v>24574.304182189047</v>
      </c>
      <c r="E104" s="89">
        <f>'[2]P&amp;L CONSOLIDADO Mensual'!$L$109</f>
        <v>26847.893324434193</v>
      </c>
      <c r="F104" s="89">
        <f>'[2]P&amp;L CONSOLIDADO Mensual'!$O$109</f>
        <v>27659.423607256231</v>
      </c>
      <c r="G104" s="89">
        <f>'[2]P&amp;L CONSOLIDADO Mensual'!$R$109</f>
        <v>43948.568671445442</v>
      </c>
      <c r="H104" s="89">
        <f>'[2]P&amp;L CONSOLIDADO Mensual'!$U$109</f>
        <v>29523.664231999999</v>
      </c>
      <c r="I104" s="89">
        <f>'[2]P&amp;L CONSOLIDADO Mensual'!$X$109</f>
        <v>28197.136853242322</v>
      </c>
      <c r="J104" s="89">
        <f>'[2]P&amp;L CONSOLIDADO Mensual'!$AA$109</f>
        <v>27489.508249933086</v>
      </c>
      <c r="K104" s="89">
        <f>'[2]P&amp;L CONSOLIDADO Mensual'!$AD$109</f>
        <v>27156.506554258143</v>
      </c>
      <c r="L104" s="89">
        <f>'[2]P&amp;L CONSOLIDADO Mensual'!$AG$109</f>
        <v>22561.667153082315</v>
      </c>
      <c r="M104" s="89">
        <f>'[2]P&amp;L CONSOLIDADO Mensual'!$AJ$109</f>
        <v>21029.545980132931</v>
      </c>
      <c r="N104" s="89">
        <f>'[2]P&amp;L CONSOLIDADO Mensual'!$AN$109</f>
        <v>25261.606020318366</v>
      </c>
      <c r="O104" s="91"/>
      <c r="P104" s="91"/>
      <c r="Q104" s="2">
        <f>B104</f>
        <v>25261.606020318366</v>
      </c>
    </row>
    <row r="105" spans="1:18" x14ac:dyDescent="0.3">
      <c r="A105" s="71" t="s">
        <v>1659</v>
      </c>
      <c r="B105" s="90">
        <f>B93</f>
        <v>6532067.3635091959</v>
      </c>
      <c r="C105" s="90">
        <f t="shared" ref="C105:N105" si="30">C93</f>
        <v>6708485.2327679303</v>
      </c>
      <c r="D105" s="90">
        <f t="shared" si="30"/>
        <v>5076261.4158348078</v>
      </c>
      <c r="E105" s="90">
        <f t="shared" si="30"/>
        <v>7677695.0233216481</v>
      </c>
      <c r="F105" s="90">
        <f t="shared" si="30"/>
        <v>12600423.404734995</v>
      </c>
      <c r="G105" s="90">
        <f t="shared" si="30"/>
        <v>10556142.145744346</v>
      </c>
      <c r="H105" s="90">
        <f t="shared" si="30"/>
        <v>6230607.4903080063</v>
      </c>
      <c r="I105" s="90">
        <f t="shared" si="30"/>
        <v>6297238.9766109893</v>
      </c>
      <c r="J105" s="90">
        <f t="shared" si="30"/>
        <v>9285614.8889514282</v>
      </c>
      <c r="K105" s="90">
        <f t="shared" si="30"/>
        <v>8183795.0308189793</v>
      </c>
      <c r="L105" s="90">
        <f t="shared" si="30"/>
        <v>9675830.0926105287</v>
      </c>
      <c r="M105" s="90">
        <f t="shared" si="30"/>
        <v>9219149.7534247376</v>
      </c>
      <c r="N105" s="90">
        <f t="shared" si="30"/>
        <v>98043310.81863758</v>
      </c>
      <c r="O105" s="125"/>
      <c r="P105" s="125"/>
      <c r="Q105" s="95">
        <f>SUM(B105,C105,D105,E105,F105,G105,H105,I105,J105,K105,L105,M105)</f>
        <v>98043310.81863758</v>
      </c>
    </row>
    <row r="106" spans="1:18" x14ac:dyDescent="0.3">
      <c r="A106" s="71" t="s">
        <v>1666</v>
      </c>
      <c r="B106" s="114">
        <f>B104+B105-B107</f>
        <v>6538719.1782395756</v>
      </c>
      <c r="C106" s="90">
        <f t="shared" ref="C106:N106" si="31">C104+C105-C107</f>
        <v>6702520.7198756803</v>
      </c>
      <c r="D106" s="90">
        <f t="shared" si="31"/>
        <v>5073987.8266925626</v>
      </c>
      <c r="E106" s="90">
        <f t="shared" si="31"/>
        <v>7676883.4930388257</v>
      </c>
      <c r="F106" s="90">
        <f t="shared" si="31"/>
        <v>12584134.259670805</v>
      </c>
      <c r="G106" s="90">
        <f t="shared" si="31"/>
        <v>10570567.050183792</v>
      </c>
      <c r="H106" s="90">
        <f t="shared" si="31"/>
        <v>6231934.0176867638</v>
      </c>
      <c r="I106" s="90">
        <f t="shared" si="31"/>
        <v>6297946.6052142987</v>
      </c>
      <c r="J106" s="90">
        <f t="shared" si="31"/>
        <v>9285947.8906471021</v>
      </c>
      <c r="K106" s="90">
        <f t="shared" si="31"/>
        <v>8188389.8702201555</v>
      </c>
      <c r="L106" s="90">
        <f t="shared" si="31"/>
        <v>9677362.2137834784</v>
      </c>
      <c r="M106" s="90">
        <f t="shared" si="31"/>
        <v>9218143.7091259658</v>
      </c>
      <c r="N106" s="90">
        <f t="shared" si="31"/>
        <v>98046705.976561323</v>
      </c>
      <c r="O106" s="125"/>
      <c r="P106" s="125"/>
      <c r="Q106" s="95">
        <f>SUM(B106,C106,D106,E106,F106,G106,H106,I106,J106,K106,L106,M106)</f>
        <v>98046536.834379002</v>
      </c>
    </row>
    <row r="107" spans="1:18" x14ac:dyDescent="0.3">
      <c r="A107" s="4" t="s">
        <v>1667</v>
      </c>
      <c r="B107" s="89">
        <f>'[2]P&amp;L CONSOLIDADO Mensual'!$C$112</f>
        <v>18609.79128993885</v>
      </c>
      <c r="C107" s="89">
        <f>'[2]P&amp;L CONSOLIDADO Mensual'!$F$112</f>
        <v>24574.304182189047</v>
      </c>
      <c r="D107" s="89">
        <f>'[2]P&amp;L CONSOLIDADO Mensual'!$I$112</f>
        <v>26847.893324434193</v>
      </c>
      <c r="E107" s="89">
        <f>'[2]P&amp;L CONSOLIDADO Mensual'!$L$112</f>
        <v>27659.423607256231</v>
      </c>
      <c r="F107" s="89">
        <f>'[2]P&amp;L CONSOLIDADO Mensual'!$O$112</f>
        <v>43948.568671445442</v>
      </c>
      <c r="G107" s="89">
        <f>'[2]P&amp;L CONSOLIDADO Mensual'!$R$112</f>
        <v>29523.664231999999</v>
      </c>
      <c r="H107" s="89">
        <f>'[2]P&amp;L CONSOLIDADO Mensual'!$U$112</f>
        <v>28197.136853242322</v>
      </c>
      <c r="I107" s="89">
        <f>'[2]P&amp;L CONSOLIDADO Mensual'!$X$112</f>
        <v>27489.508249933086</v>
      </c>
      <c r="J107" s="89">
        <f>'[2]P&amp;L CONSOLIDADO Mensual'!$AA$112</f>
        <v>27156.506554258143</v>
      </c>
      <c r="K107" s="89">
        <f>'[2]P&amp;L CONSOLIDADO Mensual'!$AD$112</f>
        <v>22561.667153082315</v>
      </c>
      <c r="L107" s="89">
        <f>'[2]P&amp;L CONSOLIDADO Mensual'!$AG$112</f>
        <v>21029.545980132931</v>
      </c>
      <c r="M107" s="89">
        <f>'[2]P&amp;L CONSOLIDADO Mensual'!$AJ$112</f>
        <v>22035.590278904707</v>
      </c>
      <c r="N107" s="89">
        <f>'[2]P&amp;L CONSOLIDADO Mensual'!$AN$112</f>
        <v>21866.448096580491</v>
      </c>
      <c r="O107" s="91"/>
      <c r="P107" s="91"/>
      <c r="Q107" s="2">
        <f>M107</f>
        <v>22035.590278904707</v>
      </c>
      <c r="R107" s="2">
        <f>Q107-Q104</f>
        <v>-3226.0157414136593</v>
      </c>
    </row>
    <row r="108" spans="1:18" x14ac:dyDescent="0.3">
      <c r="A108" s="70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87"/>
      <c r="P108" s="87"/>
    </row>
    <row r="109" spans="1:18" ht="15.6" x14ac:dyDescent="0.3">
      <c r="A109" s="70"/>
      <c r="B109" s="126">
        <f>+B92+B98-B104</f>
        <v>119000.80154253222</v>
      </c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>
        <f>+N92+N98-N104</f>
        <v>119000.80154253222</v>
      </c>
      <c r="O109" s="87"/>
      <c r="P109" s="87"/>
      <c r="Q109" s="2"/>
    </row>
    <row r="110" spans="1:18" ht="15.6" x14ac:dyDescent="0.3">
      <c r="A110" s="72" t="s">
        <v>1668</v>
      </c>
      <c r="B110" s="126">
        <f t="shared" ref="B110:N110" si="32">+B95+B101-B107</f>
        <v>126631.59439460639</v>
      </c>
      <c r="C110" s="126">
        <f t="shared" si="32"/>
        <v>131386.02061718618</v>
      </c>
      <c r="D110" s="126">
        <f t="shared" si="32"/>
        <v>131158.36488034841</v>
      </c>
      <c r="E110" s="126">
        <f t="shared" si="32"/>
        <v>130998.00789313478</v>
      </c>
      <c r="F110" s="126">
        <f t="shared" si="32"/>
        <v>121843.56134454126</v>
      </c>
      <c r="G110" s="126">
        <f t="shared" si="32"/>
        <v>143951.4270379341</v>
      </c>
      <c r="H110" s="126">
        <f t="shared" si="32"/>
        <v>137628.40717166493</v>
      </c>
      <c r="I110" s="126">
        <f t="shared" si="32"/>
        <v>128019.29718596269</v>
      </c>
      <c r="J110" s="126">
        <f t="shared" si="32"/>
        <v>115955.77043306519</v>
      </c>
      <c r="K110" s="126">
        <f t="shared" si="32"/>
        <v>124493.94565630684</v>
      </c>
      <c r="L110" s="126">
        <f t="shared" si="32"/>
        <v>122147.79583978468</v>
      </c>
      <c r="M110" s="126">
        <f t="shared" si="32"/>
        <v>119403.14136574976</v>
      </c>
      <c r="N110" s="126">
        <f t="shared" si="32"/>
        <v>119572.28354807399</v>
      </c>
      <c r="O110" s="102"/>
      <c r="P110" s="102"/>
    </row>
    <row r="111" spans="1:18" ht="15.6" x14ac:dyDescent="0.3">
      <c r="A111" s="72" t="s">
        <v>1669</v>
      </c>
      <c r="B111" s="127">
        <f>B110-B109</f>
        <v>7630.7928520741698</v>
      </c>
      <c r="C111" s="127">
        <f t="shared" ref="C111:M111" si="33">C110-B110</f>
        <v>4754.4262225797866</v>
      </c>
      <c r="D111" s="127">
        <f t="shared" si="33"/>
        <v>-227.65573683776893</v>
      </c>
      <c r="E111" s="127">
        <f t="shared" si="33"/>
        <v>-160.3569872136286</v>
      </c>
      <c r="F111" s="127">
        <f t="shared" si="33"/>
        <v>-9154.4465485935216</v>
      </c>
      <c r="G111" s="127">
        <f t="shared" si="33"/>
        <v>22107.865693392843</v>
      </c>
      <c r="H111" s="127">
        <f t="shared" si="33"/>
        <v>-6323.0198662691691</v>
      </c>
      <c r="I111" s="127">
        <f t="shared" si="33"/>
        <v>-9609.1099857022491</v>
      </c>
      <c r="J111" s="127">
        <f t="shared" si="33"/>
        <v>-12063.526752897495</v>
      </c>
      <c r="K111" s="127">
        <f t="shared" si="33"/>
        <v>8538.1752232416475</v>
      </c>
      <c r="L111" s="127">
        <f t="shared" si="33"/>
        <v>-2346.1498165221565</v>
      </c>
      <c r="M111" s="127">
        <f t="shared" si="33"/>
        <v>-2744.65447403492</v>
      </c>
      <c r="N111" s="127">
        <f>N110-B109</f>
        <v>571.48200554176583</v>
      </c>
      <c r="O111" s="102"/>
      <c r="P111" s="102"/>
      <c r="R111" s="127">
        <f>R95+R101-R107</f>
        <v>402.33982321753501</v>
      </c>
    </row>
    <row r="112" spans="1:18" x14ac:dyDescent="0.3">
      <c r="A112" s="70"/>
      <c r="B112" s="93"/>
      <c r="C112" s="93">
        <f t="shared" ref="C112:M112" si="34">B110+C111</f>
        <v>131386.02061718618</v>
      </c>
      <c r="D112" s="93">
        <f t="shared" si="34"/>
        <v>131158.36488034841</v>
      </c>
      <c r="E112" s="93">
        <f t="shared" si="34"/>
        <v>130998.00789313478</v>
      </c>
      <c r="F112" s="93">
        <f t="shared" si="34"/>
        <v>121843.56134454126</v>
      </c>
      <c r="G112" s="93">
        <f t="shared" si="34"/>
        <v>143951.4270379341</v>
      </c>
      <c r="H112" s="93">
        <f t="shared" si="34"/>
        <v>137628.40717166493</v>
      </c>
      <c r="I112" s="93">
        <f t="shared" si="34"/>
        <v>128019.29718596269</v>
      </c>
      <c r="J112" s="93">
        <f t="shared" si="34"/>
        <v>115955.77043306519</v>
      </c>
      <c r="K112" s="93">
        <f t="shared" si="34"/>
        <v>124493.94565630684</v>
      </c>
      <c r="L112" s="93">
        <f t="shared" si="34"/>
        <v>122147.79583978468</v>
      </c>
      <c r="M112" s="93">
        <f t="shared" si="34"/>
        <v>119403.14136574976</v>
      </c>
      <c r="N112" s="93"/>
      <c r="O112" s="87"/>
      <c r="P112" s="87"/>
    </row>
    <row r="113" spans="1:17" x14ac:dyDescent="0.3">
      <c r="A113" s="71" t="s">
        <v>1670</v>
      </c>
      <c r="B113" s="128">
        <f>(B95*B3)/($N$121*$N$145/360)</f>
        <v>219.2237516637791</v>
      </c>
      <c r="C113" s="128">
        <f t="shared" ref="C113:N113" si="35">(C95*C3)/($N$121*$N$145/360)</f>
        <v>221.49712083566149</v>
      </c>
      <c r="D113" s="128">
        <f t="shared" si="35"/>
        <v>218.90903098597485</v>
      </c>
      <c r="E113" s="128">
        <f t="shared" si="35"/>
        <v>218.42733007076808</v>
      </c>
      <c r="F113" s="128">
        <f t="shared" si="35"/>
        <v>228.97660523516177</v>
      </c>
      <c r="G113" s="128">
        <f t="shared" si="35"/>
        <v>226.48879331936007</v>
      </c>
      <c r="H113" s="128">
        <f t="shared" si="35"/>
        <v>217.3991858365595</v>
      </c>
      <c r="I113" s="128">
        <f t="shared" si="35"/>
        <v>198.83145167449442</v>
      </c>
      <c r="J113" s="128">
        <f t="shared" si="35"/>
        <v>176.52057864231992</v>
      </c>
      <c r="K113" s="128">
        <f t="shared" si="35"/>
        <v>191.40196052406054</v>
      </c>
      <c r="L113" s="128">
        <f t="shared" si="35"/>
        <v>184.21667943880959</v>
      </c>
      <c r="M113" s="128">
        <f t="shared" si="35"/>
        <v>180.99555259108377</v>
      </c>
      <c r="N113" s="128">
        <f t="shared" si="35"/>
        <v>182.39559628455498</v>
      </c>
      <c r="O113" s="129"/>
      <c r="P113" s="129"/>
    </row>
    <row r="114" spans="1:17" x14ac:dyDescent="0.3">
      <c r="A114" s="130" t="s">
        <v>1671</v>
      </c>
      <c r="B114" s="131">
        <f>'[2]P&amp;L CONSOLIDADO Mensual'!$AN$44</f>
        <v>121.11864230285606</v>
      </c>
      <c r="C114" s="131">
        <f>'[2]P&amp;L CONSOLIDADO Mensual'!$AN$44</f>
        <v>121.11864230285606</v>
      </c>
      <c r="D114" s="131">
        <f>'[2]P&amp;L CONSOLIDADO Mensual'!$AN$44</f>
        <v>121.11864230285606</v>
      </c>
      <c r="E114" s="131">
        <f>'[2]P&amp;L CONSOLIDADO Mensual'!$AN$44</f>
        <v>121.11864230285606</v>
      </c>
      <c r="F114" s="131">
        <f>'[2]P&amp;L CONSOLIDADO Mensual'!$AN$44</f>
        <v>121.11864230285606</v>
      </c>
      <c r="G114" s="131">
        <f>'[2]P&amp;L CONSOLIDADO Mensual'!$AN$44</f>
        <v>121.11864230285606</v>
      </c>
      <c r="H114" s="131">
        <f>'[2]P&amp;L CONSOLIDADO Mensual'!$AN$44</f>
        <v>121.11864230285606</v>
      </c>
      <c r="I114" s="131">
        <f>'[2]P&amp;L CONSOLIDADO Mensual'!$AN$44</f>
        <v>121.11864230285606</v>
      </c>
      <c r="J114" s="131">
        <f>'[2]P&amp;L CONSOLIDADO Mensual'!$AN$44</f>
        <v>121.11864230285606</v>
      </c>
      <c r="K114" s="131">
        <f>'[2]P&amp;L CONSOLIDADO Mensual'!$AN$44</f>
        <v>121.11864230285606</v>
      </c>
      <c r="L114" s="131">
        <f>'[2]P&amp;L CONSOLIDADO Mensual'!$AN$44</f>
        <v>121.11864230285606</v>
      </c>
      <c r="M114" s="131">
        <f>'[2]P&amp;L CONSOLIDADO Mensual'!$AN$44</f>
        <v>121.11864230285606</v>
      </c>
      <c r="N114" s="131">
        <f>'[2]P&amp;L CONSOLIDADO Mensual'!$AN$44</f>
        <v>121.11864230285606</v>
      </c>
      <c r="O114" s="129"/>
      <c r="P114" s="129"/>
    </row>
    <row r="115" spans="1:17" x14ac:dyDescent="0.3">
      <c r="A115" s="71" t="s">
        <v>1672</v>
      </c>
      <c r="B115" s="132">
        <f t="shared" ref="B115:N115" si="36">+B113/30</f>
        <v>7.3074583887926368</v>
      </c>
      <c r="C115" s="132">
        <f t="shared" si="36"/>
        <v>7.3832373611887165</v>
      </c>
      <c r="D115" s="132">
        <f t="shared" si="36"/>
        <v>7.2969676995324955</v>
      </c>
      <c r="E115" s="132">
        <f t="shared" si="36"/>
        <v>7.2809110023589358</v>
      </c>
      <c r="F115" s="132">
        <f t="shared" si="36"/>
        <v>7.6325535078387254</v>
      </c>
      <c r="G115" s="132">
        <f t="shared" si="36"/>
        <v>7.5496264439786689</v>
      </c>
      <c r="H115" s="132">
        <f t="shared" si="36"/>
        <v>7.2466395278853168</v>
      </c>
      <c r="I115" s="132">
        <f t="shared" si="36"/>
        <v>6.6277150558164806</v>
      </c>
      <c r="J115" s="132">
        <f t="shared" si="36"/>
        <v>5.8840192880773303</v>
      </c>
      <c r="K115" s="132">
        <f t="shared" si="36"/>
        <v>6.3800653508020178</v>
      </c>
      <c r="L115" s="132">
        <f t="shared" si="36"/>
        <v>6.1405559812936534</v>
      </c>
      <c r="M115" s="132">
        <f t="shared" si="36"/>
        <v>6.0331850863694587</v>
      </c>
      <c r="N115" s="132">
        <f t="shared" si="36"/>
        <v>6.0798532094851661</v>
      </c>
      <c r="O115" s="133"/>
      <c r="P115" s="133"/>
    </row>
    <row r="116" spans="1:17" x14ac:dyDescent="0.3">
      <c r="A116" s="71" t="s">
        <v>1673</v>
      </c>
      <c r="B116" s="128">
        <f>(+B101*B3)/($N$121/360)</f>
        <v>31.490401905188335</v>
      </c>
      <c r="C116" s="128">
        <f t="shared" ref="C116:N116" si="37">(+C101*C3)/($N$121/360)</f>
        <v>37.333123489341695</v>
      </c>
      <c r="D116" s="128">
        <f t="shared" si="37"/>
        <v>37.928307693989645</v>
      </c>
      <c r="E116" s="128">
        <f t="shared" si="37"/>
        <v>38.552338227823327</v>
      </c>
      <c r="F116" s="128">
        <f t="shared" si="37"/>
        <v>36.625571063328955</v>
      </c>
      <c r="G116" s="128">
        <f t="shared" si="37"/>
        <v>39.809306141564718</v>
      </c>
      <c r="H116" s="128">
        <f t="shared" si="37"/>
        <v>36.703672544655547</v>
      </c>
      <c r="I116" s="128">
        <f t="shared" si="37"/>
        <v>36.703672544655547</v>
      </c>
      <c r="J116" s="128">
        <f t="shared" si="37"/>
        <v>36.703672544655547</v>
      </c>
      <c r="K116" s="128">
        <f t="shared" si="37"/>
        <v>36.703672544655547</v>
      </c>
      <c r="L116" s="128">
        <f t="shared" si="37"/>
        <v>36.703672544655547</v>
      </c>
      <c r="M116" s="128">
        <f t="shared" si="37"/>
        <v>36.703672544655547</v>
      </c>
      <c r="N116" s="128">
        <f t="shared" si="37"/>
        <v>36.987584190758106</v>
      </c>
      <c r="O116" s="129"/>
      <c r="P116" s="129"/>
    </row>
    <row r="117" spans="1:17" x14ac:dyDescent="0.3">
      <c r="A117" s="130" t="s">
        <v>1671</v>
      </c>
      <c r="B117" s="131">
        <f>'[2]P&amp;L CONSOLIDADO Mensual'!$AN$42</f>
        <v>36.83009031576416</v>
      </c>
      <c r="C117" s="131">
        <f>'[2]P&amp;L CONSOLIDADO Mensual'!$AN$42</f>
        <v>36.83009031576416</v>
      </c>
      <c r="D117" s="131">
        <f>'[2]P&amp;L CONSOLIDADO Mensual'!$AN$42</f>
        <v>36.83009031576416</v>
      </c>
      <c r="E117" s="131">
        <f>'[2]P&amp;L CONSOLIDADO Mensual'!$AN$42</f>
        <v>36.83009031576416</v>
      </c>
      <c r="F117" s="131">
        <f>'[2]P&amp;L CONSOLIDADO Mensual'!$AN$42</f>
        <v>36.83009031576416</v>
      </c>
      <c r="G117" s="131">
        <f>'[2]P&amp;L CONSOLIDADO Mensual'!$AN$42</f>
        <v>36.83009031576416</v>
      </c>
      <c r="H117" s="131">
        <f>'[2]P&amp;L CONSOLIDADO Mensual'!$AN$42</f>
        <v>36.83009031576416</v>
      </c>
      <c r="I117" s="131">
        <f>'[2]P&amp;L CONSOLIDADO Mensual'!$AN$42</f>
        <v>36.83009031576416</v>
      </c>
      <c r="J117" s="131">
        <f>'[2]P&amp;L CONSOLIDADO Mensual'!$AN$42</f>
        <v>36.83009031576416</v>
      </c>
      <c r="K117" s="131">
        <f>'[2]P&amp;L CONSOLIDADO Mensual'!$AN$42</f>
        <v>36.83009031576416</v>
      </c>
      <c r="L117" s="131">
        <f>'[2]P&amp;L CONSOLIDADO Mensual'!$AN$42</f>
        <v>36.83009031576416</v>
      </c>
      <c r="M117" s="131">
        <f>'[2]P&amp;L CONSOLIDADO Mensual'!$AN$42</f>
        <v>36.83009031576416</v>
      </c>
      <c r="N117" s="131">
        <f>'[2]P&amp;L CONSOLIDADO Mensual'!$AN$42</f>
        <v>36.83009031576416</v>
      </c>
      <c r="O117" s="129"/>
      <c r="P117" s="129"/>
    </row>
    <row r="118" spans="1:17" x14ac:dyDescent="0.3">
      <c r="A118" s="71" t="s">
        <v>1674</v>
      </c>
      <c r="B118" s="128">
        <f>(B107*B3)/($Q$93*$N$3/360)</f>
        <v>7.2764733134670204E-2</v>
      </c>
      <c r="C118" s="128">
        <f t="shared" ref="C118:N118" si="38">(C107*C3)/($Q$93*$N$3/360)</f>
        <v>9.4184794818962761E-2</v>
      </c>
      <c r="D118" s="128">
        <f t="shared" si="38"/>
        <v>0.10114062567496557</v>
      </c>
      <c r="E118" s="128">
        <f t="shared" si="38"/>
        <v>0.10407743762750539</v>
      </c>
      <c r="F118" s="128">
        <f t="shared" si="38"/>
        <v>0.16153558747710176</v>
      </c>
      <c r="G118" s="128">
        <f t="shared" si="38"/>
        <v>0.10523036509092729</v>
      </c>
      <c r="H118" s="128">
        <f t="shared" si="38"/>
        <v>9.9805384487431273E-2</v>
      </c>
      <c r="I118" s="128">
        <f t="shared" si="38"/>
        <v>9.7300692426135649E-2</v>
      </c>
      <c r="J118" s="128">
        <f t="shared" si="38"/>
        <v>9.6122013809055343E-2</v>
      </c>
      <c r="K118" s="128">
        <f t="shared" si="38"/>
        <v>8.2207089991579815E-2</v>
      </c>
      <c r="L118" s="128">
        <f t="shared" si="38"/>
        <v>7.6624558244786992E-2</v>
      </c>
      <c r="M118" s="128">
        <f t="shared" si="38"/>
        <v>8.0290243659056043E-2</v>
      </c>
      <c r="N118" s="128">
        <f t="shared" si="38"/>
        <v>8.0290243659056043E-2</v>
      </c>
      <c r="O118" s="129"/>
      <c r="P118" s="129"/>
    </row>
    <row r="119" spans="1:17" x14ac:dyDescent="0.3">
      <c r="A119" s="130" t="s">
        <v>1671</v>
      </c>
      <c r="B119" s="131">
        <f>'[2]P&amp;L CONSOLIDADO Mensual'!$AN$43</f>
        <v>29.063337072535958</v>
      </c>
      <c r="C119" s="131">
        <f>'[2]P&amp;L CONSOLIDADO Mensual'!$AN$43</f>
        <v>29.063337072535958</v>
      </c>
      <c r="D119" s="131">
        <f>'[2]P&amp;L CONSOLIDADO Mensual'!$AN$43</f>
        <v>29.063337072535958</v>
      </c>
      <c r="E119" s="131">
        <f>'[2]P&amp;L CONSOLIDADO Mensual'!$AN$43</f>
        <v>29.063337072535958</v>
      </c>
      <c r="F119" s="131">
        <f>'[2]P&amp;L CONSOLIDADO Mensual'!$AN$43</f>
        <v>29.063337072535958</v>
      </c>
      <c r="G119" s="131">
        <f>'[2]P&amp;L CONSOLIDADO Mensual'!$AN$43</f>
        <v>29.063337072535958</v>
      </c>
      <c r="H119" s="131">
        <f>'[2]P&amp;L CONSOLIDADO Mensual'!$AN$43</f>
        <v>29.063337072535958</v>
      </c>
      <c r="I119" s="131">
        <f>'[2]P&amp;L CONSOLIDADO Mensual'!$AN$43</f>
        <v>29.063337072535958</v>
      </c>
      <c r="J119" s="131">
        <f>'[2]P&amp;L CONSOLIDADO Mensual'!$AN$43</f>
        <v>29.063337072535958</v>
      </c>
      <c r="K119" s="131">
        <f>'[2]P&amp;L CONSOLIDADO Mensual'!$AN$43</f>
        <v>29.063337072535958</v>
      </c>
      <c r="L119" s="131">
        <f>'[2]P&amp;L CONSOLIDADO Mensual'!$AN$43</f>
        <v>29.063337072535958</v>
      </c>
      <c r="M119" s="131">
        <f>'[2]P&amp;L CONSOLIDADO Mensual'!$AN$43</f>
        <v>29.063337072535958</v>
      </c>
      <c r="N119" s="131">
        <f>'[2]P&amp;L CONSOLIDADO Mensual'!$AN$43</f>
        <v>29.063337072535958</v>
      </c>
      <c r="O119" s="134"/>
      <c r="P119" s="134"/>
    </row>
    <row r="120" spans="1:17" x14ac:dyDescent="0.3">
      <c r="A120" s="70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35"/>
      <c r="O120" s="87"/>
      <c r="P120" s="87"/>
    </row>
    <row r="121" spans="1:17" ht="18" x14ac:dyDescent="0.35">
      <c r="A121" s="81" t="s">
        <v>1675</v>
      </c>
      <c r="B121" s="136">
        <f>'[2]P&amp;L CONSOLIDADO Mensual'!$C$8</f>
        <v>552356.32105132553</v>
      </c>
      <c r="C121" s="136">
        <f>'[2]P&amp;L CONSOLIDADO Mensual'!$F$8</f>
        <v>611195.64604420704</v>
      </c>
      <c r="D121" s="136">
        <f>'[2]P&amp;L CONSOLIDADO Mensual'!$I$8</f>
        <v>655582.42836229037</v>
      </c>
      <c r="E121" s="136">
        <f>'[2]P&amp;L CONSOLIDADO Mensual'!$L$8</f>
        <v>649240.22959262133</v>
      </c>
      <c r="F121" s="136">
        <f>'[2]P&amp;L CONSOLIDADO Mensual'!$O$8</f>
        <v>684294.28473040985</v>
      </c>
      <c r="G121" s="136">
        <f>'[2]P&amp;L CONSOLIDADO Mensual'!$R$8</f>
        <v>677966.42227962671</v>
      </c>
      <c r="H121" s="136">
        <f>'[2]P&amp;L CONSOLIDADO Mensual'!$U$8</f>
        <v>633479.10003273387</v>
      </c>
      <c r="I121" s="136">
        <f>'[2]P&amp;L CONSOLIDADO Mensual'!$X$8</f>
        <v>674547.63802615297</v>
      </c>
      <c r="J121" s="136">
        <f>'[2]P&amp;L CONSOLIDADO Mensual'!$AA$8</f>
        <v>720482.21282809786</v>
      </c>
      <c r="K121" s="136">
        <f>'[2]P&amp;L CONSOLIDADO Mensual'!$AD$8</f>
        <v>383549.01471550495</v>
      </c>
      <c r="L121" s="136">
        <f>'[2]P&amp;L CONSOLIDADO Mensual'!$AG$8</f>
        <v>636677.78067545989</v>
      </c>
      <c r="M121" s="136">
        <f>'[2]P&amp;L CONSOLIDADO Mensual'!$AJ$8</f>
        <v>629407.32969500998</v>
      </c>
      <c r="N121" s="136">
        <f>'[2]P&amp;L CONSOLIDADO Mensual'!$AN$8</f>
        <v>7508778.4080334408</v>
      </c>
      <c r="O121" s="137"/>
      <c r="P121" s="137"/>
      <c r="Q121" s="95">
        <f>SUM(B121,C121,D121,E121,F121:M121)</f>
        <v>7508778.408033439</v>
      </c>
    </row>
    <row r="122" spans="1:17" x14ac:dyDescent="0.3">
      <c r="A122" s="70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93"/>
      <c r="O122" s="87"/>
      <c r="P122" s="87"/>
      <c r="Q122" s="138"/>
    </row>
    <row r="123" spans="1:17" x14ac:dyDescent="0.3">
      <c r="A123" s="70" t="s">
        <v>1576</v>
      </c>
      <c r="B123" s="139">
        <f>'AUX MODELO SESAJAL (BEAR)'!D4</f>
        <v>15516402.120000001</v>
      </c>
      <c r="C123" s="139">
        <f>'AUX MODELO SESAJAL (BEAR)'!E4</f>
        <v>15076232.680000002</v>
      </c>
      <c r="D123" s="139">
        <f>'AUX MODELO SESAJAL (BEAR)'!F4</f>
        <v>11706632.059999999</v>
      </c>
      <c r="E123" s="139">
        <f>'AUX MODELO SESAJAL (BEAR)'!G4</f>
        <v>18261532.0524</v>
      </c>
      <c r="F123" s="139">
        <f>'AUX MODELO SESAJAL (BEAR)'!H4</f>
        <v>26185074.719999999</v>
      </c>
      <c r="G123" s="139">
        <f>'AUX MODELO SESAJAL (BEAR)'!I4</f>
        <v>22225295.539999999</v>
      </c>
      <c r="H123" s="139">
        <f>'AUX MODELO SESAJAL (BEAR)'!J4</f>
        <v>13984483.380000001</v>
      </c>
      <c r="I123" s="139">
        <f>'AUX MODELO SESAJAL (BEAR)'!K4</f>
        <v>14124371.52</v>
      </c>
      <c r="J123" s="139">
        <f>'AUX MODELO SESAJAL (BEAR)'!L4</f>
        <v>19872991.739999998</v>
      </c>
      <c r="K123" s="139">
        <f>'AUX MODELO SESAJAL (BEAR)'!M4</f>
        <v>17721054.82</v>
      </c>
      <c r="L123" s="139">
        <f>'AUX MODELO SESAJAL (BEAR)'!N4</f>
        <v>20606736.359999999</v>
      </c>
      <c r="M123" s="139">
        <f>'AUX MODELO SESAJAL (BEAR)'!O4</f>
        <v>19724736.359999999</v>
      </c>
      <c r="N123" s="89">
        <f>SUM(B123,C123,D123,E123,F123,G123,H123,I123,J123,K123,L123,M123)</f>
        <v>215005543.3524</v>
      </c>
      <c r="O123" s="98"/>
      <c r="P123" s="98"/>
      <c r="Q123" s="95">
        <f>SUM(B123,C123,D123,E123,F123:M123)</f>
        <v>215005543.3524</v>
      </c>
    </row>
    <row r="124" spans="1:17" x14ac:dyDescent="0.3">
      <c r="A124" s="71" t="s">
        <v>1577</v>
      </c>
      <c r="B124" s="114">
        <f>'AUX MODELO SESAJAL (BEAR)'!D5</f>
        <v>6529941.3212000011</v>
      </c>
      <c r="C124" s="114">
        <f>'AUX MODELO SESAJAL (BEAR)'!E5</f>
        <v>6705092.7268000003</v>
      </c>
      <c r="D124" s="114">
        <f>'AUX MODELO SESAJAL (BEAR)'!F5</f>
        <v>5075636.9106000001</v>
      </c>
      <c r="E124" s="114">
        <f>'AUX MODELO SESAJAL (BEAR)'!G5</f>
        <v>7677814.6248481395</v>
      </c>
      <c r="F124" s="114">
        <f>'AUX MODELO SESAJAL (BEAR)'!H5</f>
        <v>12592068.507199999</v>
      </c>
      <c r="G124" s="114">
        <f>'AUX MODELO SESAJAL (BEAR)'!I5</f>
        <v>10553689.455399999</v>
      </c>
      <c r="H124" s="114">
        <f>'AUX MODELO SESAJAL (BEAR)'!J5</f>
        <v>6234785.3338000001</v>
      </c>
      <c r="I124" s="114">
        <f>'AUX MODELO SESAJAL (BEAR)'!K5</f>
        <v>6307555.7152000004</v>
      </c>
      <c r="J124" s="114">
        <f>'AUX MODELO SESAJAL (BEAR)'!L5</f>
        <v>9298011.4174000006</v>
      </c>
      <c r="K124" s="114">
        <f>'AUX MODELO SESAJAL (BEAR)'!M5</f>
        <v>8178565.0482000001</v>
      </c>
      <c r="L124" s="114">
        <f>'AUX MODELO SESAJAL (BEAR)'!N5</f>
        <v>9679708.3636000007</v>
      </c>
      <c r="M124" s="114">
        <f>'AUX MODELO SESAJAL (BEAR)'!O5</f>
        <v>9220888.3636000007</v>
      </c>
      <c r="N124" s="114">
        <f>SUM(B124,C124,D124,E124,F124,G124,H124,I124,J124,K124,L124,M124)</f>
        <v>98053757.78784813</v>
      </c>
      <c r="O124" s="125"/>
      <c r="P124" s="125"/>
      <c r="Q124" s="95">
        <f>SUM(B124,C124,D124,E124,F124:M124)</f>
        <v>98053757.78784813</v>
      </c>
    </row>
    <row r="125" spans="1:17" x14ac:dyDescent="0.3">
      <c r="A125" s="71" t="s">
        <v>1578</v>
      </c>
      <c r="B125" s="114">
        <f>'AUX MODELO SESAJAL (BEAR)'!D6</f>
        <v>3242912.49</v>
      </c>
      <c r="C125" s="114">
        <f>'AUX MODELO SESAJAL (BEAR)'!E6</f>
        <v>2305460.1800000002</v>
      </c>
      <c r="D125" s="114">
        <f>'AUX MODELO SESAJAL (BEAR)'!F6</f>
        <v>1682872.15</v>
      </c>
      <c r="E125" s="114">
        <f>'AUX MODELO SESAJAL (BEAR)'!G6</f>
        <v>1795060.8717747489</v>
      </c>
      <c r="F125" s="114">
        <f>'AUX MODELO SESAJAL (BEAR)'!H6</f>
        <v>1795060.8717747489</v>
      </c>
      <c r="G125" s="114">
        <f>'AUX MODELO SESAJAL (BEAR)'!I6</f>
        <v>1795060.8717747489</v>
      </c>
      <c r="H125" s="114">
        <f>'AUX MODELO SESAJAL (BEAR)'!J6</f>
        <v>1795060.8717747501</v>
      </c>
      <c r="I125" s="114">
        <f>'AUX MODELO SESAJAL (BEAR)'!K6</f>
        <v>1388185.8717747501</v>
      </c>
      <c r="J125" s="114">
        <f>'AUX MODELO SESAJAL (BEAR)'!L6</f>
        <v>1388185.8717747501</v>
      </c>
      <c r="K125" s="114">
        <f>'AUX MODELO SESAJAL (BEAR)'!M6</f>
        <v>1388185.8717747501</v>
      </c>
      <c r="L125" s="114">
        <f>'AUX MODELO SESAJAL (BEAR)'!N6</f>
        <v>1388185.8717747501</v>
      </c>
      <c r="M125" s="114">
        <f>'AUX MODELO SESAJAL (BEAR)'!O6</f>
        <v>1388185.8717747501</v>
      </c>
      <c r="N125" s="114">
        <f>SUM(B125,C125,D125,E125,F125,G125,H125,I125,J125,K125,L125,M125)</f>
        <v>21352417.665972751</v>
      </c>
      <c r="O125" s="125"/>
      <c r="P125" s="125"/>
      <c r="Q125" s="95">
        <f>SUM(B125,C125,D125,E125,F125:M125)</f>
        <v>21352417.665972751</v>
      </c>
    </row>
    <row r="126" spans="1:17" x14ac:dyDescent="0.3">
      <c r="A126" s="71" t="s">
        <v>1579</v>
      </c>
      <c r="B126" s="114">
        <f>'AUX MODELO SESAJAL (BEAR)'!D7</f>
        <v>1933930.2001778791</v>
      </c>
      <c r="C126" s="114">
        <f>'AUX MODELO SESAJAL (BEAR)'!E7</f>
        <v>1972505.4830642161</v>
      </c>
      <c r="D126" s="114">
        <f>'AUX MODELO SESAJAL (BEAR)'!F7</f>
        <v>2129116.6935251895</v>
      </c>
      <c r="E126" s="114">
        <f>'AUX MODELO SESAJAL (BEAR)'!G7</f>
        <v>2459352.821294928</v>
      </c>
      <c r="F126" s="114">
        <f>'AUX MODELO SESAJAL (BEAR)'!H7</f>
        <v>2633419.2289427919</v>
      </c>
      <c r="G126" s="114">
        <f>'AUX MODELO SESAJAL (BEAR)'!I7</f>
        <v>2552937.429867676</v>
      </c>
      <c r="H126" s="114">
        <f>'AUX MODELO SESAJAL (BEAR)'!J7</f>
        <v>2413961.281899171</v>
      </c>
      <c r="I126" s="114">
        <f>'AUX MODELO SESAJAL (BEAR)'!K7</f>
        <v>2384384.9793673647</v>
      </c>
      <c r="J126" s="114">
        <f>'AUX MODELO SESAJAL (BEAR)'!L7</f>
        <v>2512162.491075187</v>
      </c>
      <c r="K126" s="114">
        <f>'AUX MODELO SESAJAL (BEAR)'!M7</f>
        <v>2499894.175311428</v>
      </c>
      <c r="L126" s="114">
        <f>'AUX MODELO SESAJAL (BEAR)'!N7</f>
        <v>2533881.1066711242</v>
      </c>
      <c r="M126" s="114">
        <f>'AUX MODELO SESAJAL (BEAR)'!O7</f>
        <v>2519822.1501017432</v>
      </c>
      <c r="N126" s="114">
        <f>SUM(B126,C126,D126,E126,F126,G126,H126,I126,J126,K126,L126,M126)</f>
        <v>28545368.041298699</v>
      </c>
      <c r="O126" s="125"/>
      <c r="P126" s="125"/>
      <c r="Q126" s="95">
        <f>SUM(B126,C126,D126,E126,F126:M126)</f>
        <v>28545368.041298699</v>
      </c>
    </row>
    <row r="127" spans="1:17" x14ac:dyDescent="0.3">
      <c r="A127" s="70" t="s">
        <v>1580</v>
      </c>
      <c r="B127" s="139">
        <f>'AUX MODELO SESAJAL (BEAR)'!D8</f>
        <v>3809618.1086221198</v>
      </c>
      <c r="C127" s="89">
        <f>'AUX MODELO SESAJAL (BEAR)'!E8</f>
        <v>4093174.2901357855</v>
      </c>
      <c r="D127" s="89">
        <f>'AUX MODELO SESAJAL (BEAR)'!F8</f>
        <v>2819006.3058748096</v>
      </c>
      <c r="E127" s="89">
        <f>'AUX MODELO SESAJAL (BEAR)'!G8</f>
        <v>6329303.7344821859</v>
      </c>
      <c r="F127" s="89">
        <f>'AUX MODELO SESAJAL (BEAR)'!H8</f>
        <v>9164526.112082459</v>
      </c>
      <c r="G127" s="89">
        <f>'AUX MODELO SESAJAL (BEAR)'!I8</f>
        <v>7323607.7829575744</v>
      </c>
      <c r="H127" s="89">
        <f>'AUX MODELO SESAJAL (BEAR)'!J8</f>
        <v>3540675.8925260799</v>
      </c>
      <c r="I127" s="89">
        <f>'AUX MODELO SESAJAL (BEAR)'!K8</f>
        <v>4044244.9536578846</v>
      </c>
      <c r="J127" s="89">
        <f>'AUX MODELO SESAJAL (BEAR)'!L8</f>
        <v>6674631.9597500609</v>
      </c>
      <c r="K127" s="89">
        <f>'AUX MODELO SESAJAL (BEAR)'!M8</f>
        <v>5654409.7247138228</v>
      </c>
      <c r="L127" s="89">
        <f>'AUX MODELO SESAJAL (BEAR)'!N8</f>
        <v>7004961.0179541241</v>
      </c>
      <c r="M127" s="89">
        <f>'AUX MODELO SESAJAL (BEAR)'!O8</f>
        <v>6595839.9745235052</v>
      </c>
      <c r="N127" s="89">
        <f>SUM(B127,C127,D127,E127,F127,G127,H127,I127,J127,K127,L127,M127)</f>
        <v>67053999.857280426</v>
      </c>
      <c r="O127" s="98"/>
      <c r="P127" s="98"/>
    </row>
    <row r="128" spans="1:17" x14ac:dyDescent="0.3">
      <c r="A128" s="71" t="s">
        <v>1581</v>
      </c>
      <c r="B128" s="114">
        <f>'AUX MODELO SESAJAL (BEAR)'!D9</f>
        <v>506172.0528</v>
      </c>
      <c r="C128" s="114">
        <f>'AUX MODELO SESAJAL (BEAR)'!E9</f>
        <v>468020.93580000004</v>
      </c>
      <c r="D128" s="114">
        <f>'AUX MODELO SESAJAL (BEAR)'!F9</f>
        <v>384122.14349999995</v>
      </c>
      <c r="E128" s="114">
        <f>'AUX MODELO SESAJAL (BEAR)'!G9</f>
        <v>559026.49139999994</v>
      </c>
      <c r="F128" s="114">
        <f>'AUX MODELO SESAJAL (BEAR)'!H9</f>
        <v>801583.91999999993</v>
      </c>
      <c r="G128" s="114">
        <f>'AUX MODELO SESAJAL (BEAR)'!I9</f>
        <v>680366.19</v>
      </c>
      <c r="H128" s="114">
        <f>'AUX MODELO SESAJAL (BEAR)'!J9</f>
        <v>428096.43</v>
      </c>
      <c r="I128" s="114">
        <f>'AUX MODELO SESAJAL (BEAR)'!K9</f>
        <v>432378.72</v>
      </c>
      <c r="J128" s="114">
        <f>'AUX MODELO SESAJAL (BEAR)'!L9</f>
        <v>608356.89</v>
      </c>
      <c r="K128" s="114">
        <f>'AUX MODELO SESAJAL (BEAR)'!M9</f>
        <v>542481.27</v>
      </c>
      <c r="L128" s="114">
        <f>'AUX MODELO SESAJAL (BEAR)'!N9</f>
        <v>630818.46</v>
      </c>
      <c r="M128" s="114">
        <f>'AUX MODELO SESAJAL (BEAR)'!O9</f>
        <v>603818.46</v>
      </c>
      <c r="N128" s="114">
        <f>SUM(B128,C128,D128,E128,F128:M128)</f>
        <v>6645241.9634999987</v>
      </c>
      <c r="O128" s="125"/>
      <c r="P128" s="125"/>
    </row>
    <row r="129" spans="1:17" x14ac:dyDescent="0.3">
      <c r="A129" s="71" t="s">
        <v>1582</v>
      </c>
      <c r="B129" s="114">
        <f>'AUX MODELO SESAJAL (BEAR)'!D10</f>
        <v>1363537.0535367839</v>
      </c>
      <c r="C129" s="114">
        <f ca="1">'AUX MODELO SESAJAL (BEAR)'!E10</f>
        <v>1287151.9431887716</v>
      </c>
      <c r="D129" s="114">
        <f ca="1">'AUX MODELO SESAJAL (BEAR)'!F10</f>
        <v>1337330.9640416109</v>
      </c>
      <c r="E129" s="114">
        <f ca="1">'AUX MODELO SESAJAL (BEAR)'!G10</f>
        <v>1427449.2826648408</v>
      </c>
      <c r="F129" s="114">
        <f ca="1">'AUX MODELO SESAJAL (BEAR)'!H10</f>
        <v>1414934.8368237147</v>
      </c>
      <c r="G129" s="114">
        <f ca="1">'AUX MODELO SESAJAL (BEAR)'!I10</f>
        <v>1352069.0697581456</v>
      </c>
      <c r="H129" s="114">
        <f ca="1">'AUX MODELO SESAJAL (BEAR)'!J10</f>
        <v>1425732.3247622163</v>
      </c>
      <c r="I129" s="114">
        <f ca="1">'AUX MODELO SESAJAL (BEAR)'!K10</f>
        <v>1441458.243738746</v>
      </c>
      <c r="J129" s="114">
        <f ca="1">'AUX MODELO SESAJAL (BEAR)'!L10</f>
        <v>1385639.009829897</v>
      </c>
      <c r="K129" s="114">
        <f ca="1">'AUX MODELO SESAJAL (BEAR)'!M10</f>
        <v>1497051.6609424066</v>
      </c>
      <c r="L129" s="114">
        <f ca="1">'AUX MODELO SESAJAL (BEAR)'!N10</f>
        <v>1463698.0362109384</v>
      </c>
      <c r="M129" s="114">
        <f ca="1">'AUX MODELO SESAJAL (BEAR)'!O10</f>
        <v>1542312.7901230075</v>
      </c>
      <c r="N129" s="114">
        <f t="shared" ref="N129:N138" ca="1" si="39">SUM(B129,C129,D129,E129,F129,G129,H129,I129,J129,K129,L129,M129)</f>
        <v>16938365.21562108</v>
      </c>
      <c r="O129" s="125"/>
      <c r="P129" s="125"/>
    </row>
    <row r="130" spans="1:17" x14ac:dyDescent="0.3">
      <c r="A130" s="71" t="s">
        <v>1583</v>
      </c>
      <c r="B130" s="114">
        <f>'AUX MODELO SESAJAL (BEAR)'!D11</f>
        <v>1456951.5769829222</v>
      </c>
      <c r="C130" s="114">
        <f>'AUX MODELO SESAJAL (BEAR)'!E11</f>
        <v>1537704.3908162552</v>
      </c>
      <c r="D130" s="114">
        <f>'AUX MODELO SESAJAL (BEAR)'!F11</f>
        <v>1523721.2587662553</v>
      </c>
      <c r="E130" s="114">
        <f>'AUX MODELO SESAJAL (BEAR)'!G11</f>
        <v>1552871.9834162553</v>
      </c>
      <c r="F130" s="114">
        <f>'AUX MODELO SESAJAL (BEAR)'!H11</f>
        <v>1553298.2215162553</v>
      </c>
      <c r="G130" s="114">
        <f>'AUX MODELO SESAJAL (BEAR)'!I11</f>
        <v>1590983.9331829222</v>
      </c>
      <c r="H130" s="114">
        <f>'AUX MODELO SESAJAL (BEAR)'!J11</f>
        <v>1548938.973182922</v>
      </c>
      <c r="I130" s="114">
        <f>'AUX MODELO SESAJAL (BEAR)'!K11</f>
        <v>1524652.6881829221</v>
      </c>
      <c r="J130" s="114">
        <f>'AUX MODELO SESAJAL (BEAR)'!L11</f>
        <v>1553982.3831829221</v>
      </c>
      <c r="K130" s="114">
        <f>'AUX MODELO SESAJAL (BEAR)'!M11</f>
        <v>1543003.1131829221</v>
      </c>
      <c r="L130" s="114">
        <f>'AUX MODELO SESAJAL (BEAR)'!N11</f>
        <v>1557725.9781829221</v>
      </c>
      <c r="M130" s="114">
        <f>'AUX MODELO SESAJAL (BEAR)'!O11</f>
        <v>1553225.9781829221</v>
      </c>
      <c r="N130" s="114">
        <f t="shared" si="39"/>
        <v>18497060.4787784</v>
      </c>
      <c r="O130" s="125"/>
      <c r="P130" s="125"/>
      <c r="Q130" s="95">
        <f>SUM(B130,C130,D130,E130,F130:M130)</f>
        <v>18497060.4787784</v>
      </c>
    </row>
    <row r="131" spans="1:17" x14ac:dyDescent="0.3">
      <c r="A131" s="70" t="s">
        <v>1584</v>
      </c>
      <c r="B131" s="89">
        <f>'AUX MODELO SESAJAL (BEAR)'!D12</f>
        <v>482957.42530241353</v>
      </c>
      <c r="C131" s="89">
        <f ca="1">'AUX MODELO SESAJAL (BEAR)'!E12</f>
        <v>800297.02033075853</v>
      </c>
      <c r="D131" s="89">
        <f ca="1">'AUX MODELO SESAJAL (BEAR)'!F12</f>
        <v>-426168.06043305644</v>
      </c>
      <c r="E131" s="89">
        <f ca="1">'AUX MODELO SESAJAL (BEAR)'!G12</f>
        <v>2789955.9770010896</v>
      </c>
      <c r="F131" s="89">
        <f ca="1">'AUX MODELO SESAJAL (BEAR)'!H12</f>
        <v>5394709.1337424889</v>
      </c>
      <c r="G131" s="89">
        <f ca="1">'AUX MODELO SESAJAL (BEAR)'!I12</f>
        <v>3700188.5900165075</v>
      </c>
      <c r="H131" s="89">
        <f ca="1">'AUX MODELO SESAJAL (BEAR)'!J12</f>
        <v>137908.16458094143</v>
      </c>
      <c r="I131" s="89">
        <f ca="1">'AUX MODELO SESAJAL (BEAR)'!K12</f>
        <v>645755.30173621606</v>
      </c>
      <c r="J131" s="89">
        <f ca="1">'AUX MODELO SESAJAL (BEAR)'!L12</f>
        <v>3126653.6767372414</v>
      </c>
      <c r="K131" s="89">
        <f ca="1">'AUX MODELO SESAJAL (BEAR)'!M12</f>
        <v>2071873.6805884948</v>
      </c>
      <c r="L131" s="89">
        <f ca="1">'AUX MODELO SESAJAL (BEAR)'!N12</f>
        <v>3352718.5435602637</v>
      </c>
      <c r="M131" s="89">
        <f ca="1">'AUX MODELO SESAJAL (BEAR)'!O12</f>
        <v>2896482.7462175759</v>
      </c>
      <c r="N131" s="89">
        <f t="shared" ca="1" si="39"/>
        <v>24973332.199380934</v>
      </c>
      <c r="O131" s="98"/>
      <c r="P131" s="98"/>
      <c r="Q131" s="95">
        <f ca="1">SUM(B131,C131,D131,E131,F131:M131)</f>
        <v>24973332.199380934</v>
      </c>
    </row>
    <row r="132" spans="1:17" x14ac:dyDescent="0.3">
      <c r="A132" s="71" t="s">
        <v>1585</v>
      </c>
      <c r="B132" s="114">
        <f>'AUX MODELO SESAJAL (BEAR)'!D13</f>
        <v>0</v>
      </c>
      <c r="C132" s="114">
        <f>'AUX MODELO SESAJAL (BEAR)'!E13</f>
        <v>0</v>
      </c>
      <c r="D132" s="114">
        <f>'AUX MODELO SESAJAL (BEAR)'!F13</f>
        <v>0</v>
      </c>
      <c r="E132" s="114">
        <f>'AUX MODELO SESAJAL (BEAR)'!G13</f>
        <v>0</v>
      </c>
      <c r="F132" s="114">
        <f>'AUX MODELO SESAJAL (BEAR)'!H13</f>
        <v>0</v>
      </c>
      <c r="G132" s="114">
        <f>'AUX MODELO SESAJAL (BEAR)'!I13</f>
        <v>0</v>
      </c>
      <c r="H132" s="114">
        <f>'AUX MODELO SESAJAL (BEAR)'!J13</f>
        <v>0</v>
      </c>
      <c r="I132" s="114">
        <f>'AUX MODELO SESAJAL (BEAR)'!K13</f>
        <v>0</v>
      </c>
      <c r="J132" s="114">
        <f>'AUX MODELO SESAJAL (BEAR)'!L13</f>
        <v>0</v>
      </c>
      <c r="K132" s="114">
        <f>'AUX MODELO SESAJAL (BEAR)'!M13</f>
        <v>0</v>
      </c>
      <c r="L132" s="114">
        <f>'AUX MODELO SESAJAL (BEAR)'!N13</f>
        <v>0</v>
      </c>
      <c r="M132" s="114">
        <f>'AUX MODELO SESAJAL (BEAR)'!O13</f>
        <v>0</v>
      </c>
      <c r="N132" s="114">
        <f t="shared" si="39"/>
        <v>0</v>
      </c>
      <c r="O132" s="125"/>
      <c r="P132" s="125"/>
    </row>
    <row r="133" spans="1:17" x14ac:dyDescent="0.3">
      <c r="A133" s="70" t="s">
        <v>1586</v>
      </c>
      <c r="B133" s="89">
        <f>'AUX MODELO SESAJAL (BEAR)'!D14</f>
        <v>482957.42530241353</v>
      </c>
      <c r="C133" s="89">
        <f ca="1">'AUX MODELO SESAJAL (BEAR)'!E14</f>
        <v>800297.02033075853</v>
      </c>
      <c r="D133" s="89">
        <f ca="1">'AUX MODELO SESAJAL (BEAR)'!F14</f>
        <v>-426168.06043305644</v>
      </c>
      <c r="E133" s="89">
        <f ca="1">'AUX MODELO SESAJAL (BEAR)'!G14</f>
        <v>2789955.9770010896</v>
      </c>
      <c r="F133" s="89">
        <f ca="1">'AUX MODELO SESAJAL (BEAR)'!H14</f>
        <v>5394709.1337424889</v>
      </c>
      <c r="G133" s="89">
        <f ca="1">'AUX MODELO SESAJAL (BEAR)'!I14</f>
        <v>3700188.5900165075</v>
      </c>
      <c r="H133" s="89">
        <f ca="1">'AUX MODELO SESAJAL (BEAR)'!J14</f>
        <v>137908.16458094143</v>
      </c>
      <c r="I133" s="89">
        <f ca="1">'AUX MODELO SESAJAL (BEAR)'!K14</f>
        <v>645755.30173621606</v>
      </c>
      <c r="J133" s="89">
        <f ca="1">'AUX MODELO SESAJAL (BEAR)'!L14</f>
        <v>3126653.6767372414</v>
      </c>
      <c r="K133" s="89">
        <f ca="1">'AUX MODELO SESAJAL (BEAR)'!M14</f>
        <v>2071873.6805884948</v>
      </c>
      <c r="L133" s="89">
        <f ca="1">'AUX MODELO SESAJAL (BEAR)'!N14</f>
        <v>3352718.5435602637</v>
      </c>
      <c r="M133" s="89">
        <f ca="1">'AUX MODELO SESAJAL (BEAR)'!O14</f>
        <v>2896482.7462175759</v>
      </c>
      <c r="N133" s="89">
        <f t="shared" ca="1" si="39"/>
        <v>24973332.199380934</v>
      </c>
      <c r="O133" s="98"/>
      <c r="P133" s="98"/>
    </row>
    <row r="134" spans="1:17" x14ac:dyDescent="0.3">
      <c r="A134" s="71" t="s">
        <v>1587</v>
      </c>
      <c r="B134" s="114">
        <f>'AUX MODELO SESAJAL (BEAR)'!D15</f>
        <v>1261340.8</v>
      </c>
      <c r="C134" s="114">
        <f>'AUX MODELO SESAJAL (BEAR)'!E15</f>
        <v>1276737.3500000001</v>
      </c>
      <c r="D134" s="114">
        <f>'AUX MODELO SESAJAL (BEAR)'!F15</f>
        <v>986915.25</v>
      </c>
      <c r="E134" s="114">
        <f>'AUX MODELO SESAJAL (BEAR)'!G15</f>
        <v>1805132.1111396537</v>
      </c>
      <c r="F134" s="114">
        <f>'AUX MODELO SESAJAL (BEAR)'!H15</f>
        <v>1860081.8482579817</v>
      </c>
      <c r="G134" s="114">
        <f>'AUX MODELO SESAJAL (BEAR)'!I15</f>
        <v>1853809.4197212798</v>
      </c>
      <c r="H134" s="114">
        <f>'AUX MODELO SESAJAL (BEAR)'!J15</f>
        <v>1846752.0393315698</v>
      </c>
      <c r="I134" s="114">
        <f>'AUX MODELO SESAJAL (BEAR)'!K15</f>
        <v>1840350.9697805815</v>
      </c>
      <c r="J134" s="114">
        <f>'AUX MODELO SESAJAL (BEAR)'!L15</f>
        <v>1833847.2825281429</v>
      </c>
      <c r="K134" s="114">
        <f>'AUX MODELO SESAJAL (BEAR)'!M15</f>
        <v>1826643.4020072627</v>
      </c>
      <c r="L134" s="114">
        <f>'AUX MODELO SESAJAL (BEAR)'!N15</f>
        <v>1819990.2942983801</v>
      </c>
      <c r="M134" s="114">
        <f>'AUX MODELO SESAJAL (BEAR)'!O15</f>
        <v>1813228.6754476232</v>
      </c>
      <c r="N134" s="114">
        <f t="shared" si="39"/>
        <v>20024829.442512475</v>
      </c>
      <c r="O134" s="125"/>
      <c r="P134" s="125"/>
      <c r="Q134" s="95">
        <f>SUM(B134,C134,D134,E134,F134:M134)</f>
        <v>20024829.442512475</v>
      </c>
    </row>
    <row r="135" spans="1:17" x14ac:dyDescent="0.3">
      <c r="A135" s="71" t="s">
        <v>1588</v>
      </c>
      <c r="B135" s="114">
        <f>'AUX MODELO SESAJAL (BEAR)'!D16</f>
        <v>0</v>
      </c>
      <c r="C135" s="114">
        <f>'AUX MODELO SESAJAL (BEAR)'!E16</f>
        <v>0</v>
      </c>
      <c r="D135" s="114">
        <f>'AUX MODELO SESAJAL (BEAR)'!F16</f>
        <v>0</v>
      </c>
      <c r="E135" s="114">
        <f>'AUX MODELO SESAJAL (BEAR)'!G16</f>
        <v>0</v>
      </c>
      <c r="F135" s="114">
        <f>'AUX MODELO SESAJAL (BEAR)'!H16</f>
        <v>0</v>
      </c>
      <c r="G135" s="114">
        <f>'AUX MODELO SESAJAL (BEAR)'!I16</f>
        <v>0</v>
      </c>
      <c r="H135" s="114">
        <f>'AUX MODELO SESAJAL (BEAR)'!J16</f>
        <v>0</v>
      </c>
      <c r="I135" s="114">
        <f>'AUX MODELO SESAJAL (BEAR)'!K16</f>
        <v>0</v>
      </c>
      <c r="J135" s="114">
        <f>'AUX MODELO SESAJAL (BEAR)'!L16</f>
        <v>0</v>
      </c>
      <c r="K135" s="114">
        <f>'AUX MODELO SESAJAL (BEAR)'!M16</f>
        <v>0</v>
      </c>
      <c r="L135" s="114">
        <f>'AUX MODELO SESAJAL (BEAR)'!N16</f>
        <v>0</v>
      </c>
      <c r="M135" s="114">
        <f>'AUX MODELO SESAJAL (BEAR)'!O16</f>
        <v>0</v>
      </c>
      <c r="N135" s="114">
        <f t="shared" si="39"/>
        <v>0</v>
      </c>
      <c r="O135" s="125"/>
      <c r="P135" s="125"/>
      <c r="Q135" s="95">
        <f>SUM(B135,C135,D135,E135,F135:M135)</f>
        <v>0</v>
      </c>
    </row>
    <row r="136" spans="1:17" x14ac:dyDescent="0.3">
      <c r="A136" s="70" t="s">
        <v>1589</v>
      </c>
      <c r="B136" s="89">
        <f>'AUX MODELO SESAJAL (BEAR)'!D17</f>
        <v>-778383.37469758652</v>
      </c>
      <c r="C136" s="89">
        <f ca="1">'AUX MODELO SESAJAL (BEAR)'!E17</f>
        <v>-476440.32966924156</v>
      </c>
      <c r="D136" s="89">
        <f ca="1">'AUX MODELO SESAJAL (BEAR)'!F17</f>
        <v>-1413083.3104330564</v>
      </c>
      <c r="E136" s="89">
        <f ca="1">'AUX MODELO SESAJAL (BEAR)'!G17</f>
        <v>984823.86586143589</v>
      </c>
      <c r="F136" s="89">
        <f ca="1">'AUX MODELO SESAJAL (BEAR)'!H17</f>
        <v>3534627.2854845072</v>
      </c>
      <c r="G136" s="89">
        <f ca="1">'AUX MODELO SESAJAL (BEAR)'!I17</f>
        <v>1846379.1702952278</v>
      </c>
      <c r="H136" s="89">
        <f ca="1">'AUX MODELO SESAJAL (BEAR)'!J17</f>
        <v>-1708843.8747506284</v>
      </c>
      <c r="I136" s="89">
        <f ca="1">'AUX MODELO SESAJAL (BEAR)'!K17</f>
        <v>-1194595.6680443655</v>
      </c>
      <c r="J136" s="89">
        <f ca="1">'AUX MODELO SESAJAL (BEAR)'!L17</f>
        <v>1292806.3942090985</v>
      </c>
      <c r="K136" s="89">
        <f ca="1">'AUX MODELO SESAJAL (BEAR)'!M17</f>
        <v>245230.27858123207</v>
      </c>
      <c r="L136" s="89">
        <f ca="1">'AUX MODELO SESAJAL (BEAR)'!N17</f>
        <v>1532728.2492618836</v>
      </c>
      <c r="M136" s="89">
        <f ca="1">'AUX MODELO SESAJAL (BEAR)'!O17</f>
        <v>1083254.0707699526</v>
      </c>
      <c r="N136" s="89">
        <f t="shared" ca="1" si="39"/>
        <v>4948502.7568684593</v>
      </c>
      <c r="O136" s="98"/>
      <c r="P136" s="98"/>
    </row>
    <row r="137" spans="1:17" x14ac:dyDescent="0.3">
      <c r="A137" s="71" t="s">
        <v>31</v>
      </c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>
        <f t="shared" si="39"/>
        <v>0</v>
      </c>
      <c r="O137" s="125"/>
      <c r="P137" s="125"/>
    </row>
    <row r="138" spans="1:17" ht="15.6" x14ac:dyDescent="0.3">
      <c r="A138" s="72" t="s">
        <v>1590</v>
      </c>
      <c r="B138" s="140">
        <f>'AUX MODELO SESAJAL (BEAR)'!D19</f>
        <v>-778383.37469758652</v>
      </c>
      <c r="C138" s="140">
        <f ca="1">'AUX MODELO SESAJAL (BEAR)'!E19</f>
        <v>-476440.32966924156</v>
      </c>
      <c r="D138" s="140">
        <f ca="1">'AUX MODELO SESAJAL (BEAR)'!F19</f>
        <v>-1413083.3104330564</v>
      </c>
      <c r="E138" s="140">
        <f ca="1">'AUX MODELO SESAJAL (BEAR)'!G19</f>
        <v>689376.70610300521</v>
      </c>
      <c r="F138" s="140">
        <f ca="1">'AUX MODELO SESAJAL (BEAR)'!H19</f>
        <v>2474239.0998391551</v>
      </c>
      <c r="G138" s="140">
        <f ca="1">'AUX MODELO SESAJAL (BEAR)'!I19</f>
        <v>1292465.4192066593</v>
      </c>
      <c r="H138" s="140">
        <f ca="1">'AUX MODELO SESAJAL (BEAR)'!J19</f>
        <v>-1708843.8747506284</v>
      </c>
      <c r="I138" s="140">
        <f ca="1">'AUX MODELO SESAJAL (BEAR)'!K19</f>
        <v>-1194595.6680443655</v>
      </c>
      <c r="J138" s="140">
        <f ca="1">'AUX MODELO SESAJAL (BEAR)'!L19</f>
        <v>904964.475946369</v>
      </c>
      <c r="K138" s="140">
        <f ca="1">'AUX MODELO SESAJAL (BEAR)'!M19</f>
        <v>171661.19500686246</v>
      </c>
      <c r="L138" s="140">
        <f ca="1">'AUX MODELO SESAJAL (BEAR)'!N19</f>
        <v>1072909.7744833184</v>
      </c>
      <c r="M138" s="140">
        <f ca="1">'AUX MODELO SESAJAL (BEAR)'!O19</f>
        <v>758277.84953896678</v>
      </c>
      <c r="N138" s="140">
        <f t="shared" ca="1" si="39"/>
        <v>1792547.9625294579</v>
      </c>
      <c r="O138" s="141"/>
      <c r="P138" s="141"/>
      <c r="Q138" s="105"/>
    </row>
    <row r="139" spans="1:17" x14ac:dyDescent="0.3">
      <c r="A139" s="70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87"/>
      <c r="P139" s="87"/>
    </row>
    <row r="140" spans="1:17" x14ac:dyDescent="0.3">
      <c r="A140" s="70" t="s">
        <v>1435</v>
      </c>
      <c r="B140" s="89">
        <f t="shared" ref="B140:M140" si="40">+B125+B126+B128+B129+B130+B132+B134</f>
        <v>9764844.1734975856</v>
      </c>
      <c r="C140" s="89">
        <f t="shared" ca="1" si="40"/>
        <v>8847580.282869244</v>
      </c>
      <c r="D140" s="89">
        <f t="shared" ca="1" si="40"/>
        <v>8044078.4598330557</v>
      </c>
      <c r="E140" s="89">
        <f t="shared" ca="1" si="40"/>
        <v>9598893.5616904274</v>
      </c>
      <c r="F140" s="89">
        <f t="shared" ca="1" si="40"/>
        <v>10058378.927315492</v>
      </c>
      <c r="G140" s="89">
        <f t="shared" ca="1" si="40"/>
        <v>9825226.9143047724</v>
      </c>
      <c r="H140" s="89">
        <f t="shared" ca="1" si="40"/>
        <v>9458541.9209506288</v>
      </c>
      <c r="I140" s="89">
        <f t="shared" ca="1" si="40"/>
        <v>9011411.4728443641</v>
      </c>
      <c r="J140" s="89">
        <f t="shared" ca="1" si="40"/>
        <v>9282173.9283908997</v>
      </c>
      <c r="K140" s="89">
        <f t="shared" ca="1" si="40"/>
        <v>9297259.4932187703</v>
      </c>
      <c r="L140" s="89">
        <f t="shared" ca="1" si="40"/>
        <v>9394299.7471381146</v>
      </c>
      <c r="M140" s="89">
        <f t="shared" ca="1" si="40"/>
        <v>9420593.9256300461</v>
      </c>
      <c r="N140" s="89">
        <f ca="1">SUM(B140,C140,D140,E140,F140,G140,H140,I140,J140,K140,L140,M140)</f>
        <v>112003282.80768339</v>
      </c>
      <c r="O140" s="98"/>
      <c r="P140" s="98"/>
    </row>
    <row r="141" spans="1:17" x14ac:dyDescent="0.3">
      <c r="B141" s="142">
        <f t="shared" ref="B141:M141" si="41">+B140*B2</f>
        <v>185699018.13182092</v>
      </c>
      <c r="C141" s="142">
        <f t="shared" ca="1" si="41"/>
        <v>164761409.54364762</v>
      </c>
      <c r="D141" s="142">
        <f t="shared" ca="1" si="41"/>
        <v>147920145.57433212</v>
      </c>
      <c r="E141" s="142">
        <f t="shared" ca="1" si="41"/>
        <v>173623826.85450029</v>
      </c>
      <c r="F141" s="142">
        <f t="shared" ca="1" si="41"/>
        <v>178525161.74302992</v>
      </c>
      <c r="G141" s="142">
        <f t="shared" ca="1" si="41"/>
        <v>169669878.53774625</v>
      </c>
      <c r="H141" s="142">
        <f t="shared" ca="1" si="41"/>
        <v>0</v>
      </c>
      <c r="I141" s="142">
        <f t="shared" ca="1" si="41"/>
        <v>0</v>
      </c>
      <c r="J141" s="142">
        <f t="shared" ca="1" si="41"/>
        <v>0</v>
      </c>
      <c r="K141" s="142">
        <f t="shared" ca="1" si="41"/>
        <v>0</v>
      </c>
      <c r="L141" s="142">
        <f t="shared" ca="1" si="41"/>
        <v>0</v>
      </c>
      <c r="M141" s="142">
        <f t="shared" ca="1" si="41"/>
        <v>0</v>
      </c>
      <c r="N141" s="142">
        <f ca="1">SUM(B141,C141,D141,E141,F141,G141,H141,I141,J141,K141,L141,M141)</f>
        <v>1020199440.3850772</v>
      </c>
      <c r="O141" s="143"/>
      <c r="P141" s="143"/>
      <c r="Q141" s="95">
        <f ca="1">SUM(B141,C141,D141,E141,F141:M141)</f>
        <v>1020199440.3850772</v>
      </c>
    </row>
    <row r="142" spans="1:17" ht="18" x14ac:dyDescent="0.35">
      <c r="A142" s="81" t="s">
        <v>1676</v>
      </c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25"/>
      <c r="P142" s="125"/>
    </row>
    <row r="143" spans="1:17" x14ac:dyDescent="0.3">
      <c r="A143" s="70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87"/>
      <c r="P143" s="87"/>
    </row>
    <row r="144" spans="1:17" x14ac:dyDescent="0.3">
      <c r="A144" s="70" t="s">
        <v>1576</v>
      </c>
      <c r="B144" s="144">
        <f t="shared" ref="B144:M144" si="42">+B123/B$123</f>
        <v>1</v>
      </c>
      <c r="C144" s="144">
        <f t="shared" si="42"/>
        <v>1</v>
      </c>
      <c r="D144" s="144">
        <f t="shared" si="42"/>
        <v>1</v>
      </c>
      <c r="E144" s="144">
        <f t="shared" si="42"/>
        <v>1</v>
      </c>
      <c r="F144" s="144">
        <f t="shared" si="42"/>
        <v>1</v>
      </c>
      <c r="G144" s="144">
        <f t="shared" si="42"/>
        <v>1</v>
      </c>
      <c r="H144" s="144">
        <f t="shared" si="42"/>
        <v>1</v>
      </c>
      <c r="I144" s="144">
        <f t="shared" si="42"/>
        <v>1</v>
      </c>
      <c r="J144" s="144">
        <f t="shared" si="42"/>
        <v>1</v>
      </c>
      <c r="K144" s="144">
        <f t="shared" si="42"/>
        <v>1</v>
      </c>
      <c r="L144" s="144">
        <f t="shared" si="42"/>
        <v>1</v>
      </c>
      <c r="M144" s="144">
        <f t="shared" si="42"/>
        <v>1</v>
      </c>
      <c r="N144" s="144">
        <f t="shared" ref="N144:N156" si="43">AVERAGE(B144:M144)</f>
        <v>1</v>
      </c>
      <c r="O144" s="145"/>
      <c r="P144" s="145"/>
    </row>
    <row r="145" spans="1:16" x14ac:dyDescent="0.3">
      <c r="A145" s="71" t="s">
        <v>1577</v>
      </c>
      <c r="B145" s="146">
        <f>B124/B$123</f>
        <v>0.42084120214847853</v>
      </c>
      <c r="C145" s="146">
        <f t="shared" ref="C145:M145" si="44">C124/C$123</f>
        <v>0.44474590364308436</v>
      </c>
      <c r="D145" s="146">
        <f t="shared" si="44"/>
        <v>0.43356935492512616</v>
      </c>
      <c r="E145" s="146">
        <f t="shared" si="44"/>
        <v>0.42043650022447548</v>
      </c>
      <c r="F145" s="146">
        <f t="shared" si="44"/>
        <v>0.48088724748156836</v>
      </c>
      <c r="G145" s="146">
        <f t="shared" si="44"/>
        <v>0.47485035402143405</v>
      </c>
      <c r="H145" s="146">
        <f t="shared" si="44"/>
        <v>0.44583594290774581</v>
      </c>
      <c r="I145" s="146">
        <f t="shared" si="44"/>
        <v>0.44657248687267614</v>
      </c>
      <c r="J145" s="146">
        <f t="shared" si="44"/>
        <v>0.46787174971170203</v>
      </c>
      <c r="K145" s="146">
        <f t="shared" si="44"/>
        <v>0.4615168301928429</v>
      </c>
      <c r="L145" s="146">
        <f t="shared" si="44"/>
        <v>0.4697351484725843</v>
      </c>
      <c r="M145" s="146">
        <f t="shared" si="44"/>
        <v>0.46747840859861312</v>
      </c>
      <c r="N145" s="146">
        <f t="shared" si="43"/>
        <v>0.45286176076669432</v>
      </c>
      <c r="O145" s="147"/>
      <c r="P145" s="147"/>
    </row>
    <row r="146" spans="1:16" x14ac:dyDescent="0.3">
      <c r="A146" s="70" t="s">
        <v>1692</v>
      </c>
      <c r="B146" s="144">
        <f>B144-B145</f>
        <v>0.57915879785152147</v>
      </c>
      <c r="C146" s="144">
        <f t="shared" ref="C146:M146" si="45">C144-C145</f>
        <v>0.55525409635691569</v>
      </c>
      <c r="D146" s="144">
        <f t="shared" si="45"/>
        <v>0.56643064507487384</v>
      </c>
      <c r="E146" s="144">
        <f t="shared" si="45"/>
        <v>0.57956349977552457</v>
      </c>
      <c r="F146" s="144">
        <f t="shared" si="45"/>
        <v>0.51911275251843159</v>
      </c>
      <c r="G146" s="144">
        <f t="shared" si="45"/>
        <v>0.52514964597856595</v>
      </c>
      <c r="H146" s="144">
        <f t="shared" si="45"/>
        <v>0.55416405709225414</v>
      </c>
      <c r="I146" s="144">
        <f t="shared" si="45"/>
        <v>0.55342751312732386</v>
      </c>
      <c r="J146" s="144">
        <f t="shared" si="45"/>
        <v>0.53212825028829802</v>
      </c>
      <c r="K146" s="144">
        <f t="shared" si="45"/>
        <v>0.53848316980715705</v>
      </c>
      <c r="L146" s="144">
        <f t="shared" si="45"/>
        <v>0.53026485152741576</v>
      </c>
      <c r="M146" s="144">
        <f t="shared" si="45"/>
        <v>0.53252159140138688</v>
      </c>
      <c r="N146" s="144">
        <f t="shared" si="43"/>
        <v>0.54713823923330562</v>
      </c>
      <c r="O146" s="147"/>
      <c r="P146" s="147"/>
    </row>
    <row r="147" spans="1:16" x14ac:dyDescent="0.3">
      <c r="A147" s="71" t="s">
        <v>1578</v>
      </c>
      <c r="B147" s="146">
        <f t="shared" ref="B147:M156" si="46">B125/B$123</f>
        <v>0.20899899763618654</v>
      </c>
      <c r="C147" s="146">
        <f t="shared" si="46"/>
        <v>0.15292017766868268</v>
      </c>
      <c r="D147" s="146">
        <f t="shared" si="46"/>
        <v>0.14375374073215727</v>
      </c>
      <c r="E147" s="146">
        <f t="shared" si="46"/>
        <v>9.8297386365172754E-2</v>
      </c>
      <c r="F147" s="146">
        <f t="shared" si="46"/>
        <v>6.8552826026640756E-2</v>
      </c>
      <c r="G147" s="146">
        <f t="shared" si="46"/>
        <v>8.0766569269870275E-2</v>
      </c>
      <c r="H147" s="146">
        <f t="shared" si="46"/>
        <v>0.12836089993442074</v>
      </c>
      <c r="I147" s="146">
        <f t="shared" si="46"/>
        <v>9.8283018809657452E-2</v>
      </c>
      <c r="J147" s="146">
        <f t="shared" si="46"/>
        <v>6.9852888278549158E-2</v>
      </c>
      <c r="K147" s="146">
        <f t="shared" si="46"/>
        <v>7.8335397405804655E-2</v>
      </c>
      <c r="L147" s="146">
        <f t="shared" si="46"/>
        <v>6.7365634592645898E-2</v>
      </c>
      <c r="M147" s="146">
        <f t="shared" si="46"/>
        <v>7.0377917678528107E-2</v>
      </c>
      <c r="N147" s="146">
        <f t="shared" si="43"/>
        <v>0.10548878786652638</v>
      </c>
      <c r="O147" s="147"/>
      <c r="P147" s="147"/>
    </row>
    <row r="148" spans="1:16" x14ac:dyDescent="0.3">
      <c r="A148" s="71" t="s">
        <v>1579</v>
      </c>
      <c r="B148" s="146">
        <f t="shared" si="46"/>
        <v>0.12463779845490876</v>
      </c>
      <c r="C148" s="146">
        <f t="shared" si="46"/>
        <v>0.13083543647352464</v>
      </c>
      <c r="D148" s="146">
        <f t="shared" si="46"/>
        <v>0.18187269255690519</v>
      </c>
      <c r="E148" s="146">
        <f t="shared" si="46"/>
        <v>0.13467395913103086</v>
      </c>
      <c r="F148" s="146">
        <f t="shared" si="46"/>
        <v>0.1005694754398162</v>
      </c>
      <c r="G148" s="146">
        <f t="shared" si="46"/>
        <v>0.11486629841538099</v>
      </c>
      <c r="H148" s="146">
        <f t="shared" si="46"/>
        <v>0.17261712258541587</v>
      </c>
      <c r="I148" s="146">
        <f t="shared" si="46"/>
        <v>0.16881352745437872</v>
      </c>
      <c r="J148" s="146">
        <f t="shared" si="46"/>
        <v>0.12641088588683663</v>
      </c>
      <c r="K148" s="146">
        <f t="shared" si="46"/>
        <v>0.14106915196097949</v>
      </c>
      <c r="L148" s="146">
        <f t="shared" si="46"/>
        <v>0.1229637271232175</v>
      </c>
      <c r="M148" s="146">
        <f t="shared" si="46"/>
        <v>0.12774934499057322</v>
      </c>
      <c r="N148" s="146">
        <f t="shared" si="43"/>
        <v>0.13725661837274736</v>
      </c>
      <c r="O148" s="147"/>
      <c r="P148" s="147"/>
    </row>
    <row r="149" spans="1:16" x14ac:dyDescent="0.3">
      <c r="A149" s="70" t="s">
        <v>1580</v>
      </c>
      <c r="B149" s="144">
        <f t="shared" ref="B149:M149" si="47">+B144-B145-B147-B148</f>
        <v>0.24552200176042616</v>
      </c>
      <c r="C149" s="144">
        <f t="shared" si="47"/>
        <v>0.27149848221470835</v>
      </c>
      <c r="D149" s="144">
        <f t="shared" si="47"/>
        <v>0.24080421178581135</v>
      </c>
      <c r="E149" s="144">
        <f t="shared" si="47"/>
        <v>0.34659215427932094</v>
      </c>
      <c r="F149" s="144">
        <f t="shared" si="47"/>
        <v>0.34999045105197463</v>
      </c>
      <c r="G149" s="144">
        <f t="shared" si="47"/>
        <v>0.32951677829331472</v>
      </c>
      <c r="H149" s="144">
        <f t="shared" si="47"/>
        <v>0.25318603457241751</v>
      </c>
      <c r="I149" s="144">
        <f t="shared" si="47"/>
        <v>0.28633096686328768</v>
      </c>
      <c r="J149" s="144">
        <f t="shared" si="47"/>
        <v>0.3358644761229122</v>
      </c>
      <c r="K149" s="144">
        <f t="shared" si="47"/>
        <v>0.31907862044037294</v>
      </c>
      <c r="L149" s="144">
        <f t="shared" si="47"/>
        <v>0.33993548981155236</v>
      </c>
      <c r="M149" s="144">
        <f t="shared" si="47"/>
        <v>0.33439432873228558</v>
      </c>
      <c r="N149" s="144">
        <f t="shared" si="43"/>
        <v>0.30439283299403203</v>
      </c>
      <c r="O149" s="145"/>
      <c r="P149" s="145"/>
    </row>
    <row r="150" spans="1:16" x14ac:dyDescent="0.3">
      <c r="A150" s="71" t="s">
        <v>1581</v>
      </c>
      <c r="B150" s="146">
        <f t="shared" si="46"/>
        <v>3.2621741102440566E-2</v>
      </c>
      <c r="C150" s="146">
        <f t="shared" si="46"/>
        <v>3.1043626463849453E-2</v>
      </c>
      <c r="D150" s="146">
        <f t="shared" si="46"/>
        <v>3.2812352991984269E-2</v>
      </c>
      <c r="E150" s="146">
        <f t="shared" si="46"/>
        <v>3.0612244897959179E-2</v>
      </c>
      <c r="F150" s="146">
        <f t="shared" si="46"/>
        <v>3.0612244897959183E-2</v>
      </c>
      <c r="G150" s="146">
        <f t="shared" si="46"/>
        <v>3.0612244897959183E-2</v>
      </c>
      <c r="H150" s="146">
        <f t="shared" si="46"/>
        <v>3.0612244897959183E-2</v>
      </c>
      <c r="I150" s="146">
        <f t="shared" si="46"/>
        <v>3.0612244897959183E-2</v>
      </c>
      <c r="J150" s="146">
        <f t="shared" si="46"/>
        <v>3.0612244897959186E-2</v>
      </c>
      <c r="K150" s="146">
        <f t="shared" si="46"/>
        <v>3.0612244897959183E-2</v>
      </c>
      <c r="L150" s="146">
        <f t="shared" si="46"/>
        <v>3.0612244897959183E-2</v>
      </c>
      <c r="M150" s="146">
        <f t="shared" si="46"/>
        <v>3.0612244897959183E-2</v>
      </c>
      <c r="N150" s="146">
        <f t="shared" si="43"/>
        <v>3.0998993719992238E-2</v>
      </c>
      <c r="O150" s="147"/>
      <c r="P150" s="147"/>
    </row>
    <row r="151" spans="1:16" x14ac:dyDescent="0.3">
      <c r="A151" s="71" t="s">
        <v>1582</v>
      </c>
      <c r="B151" s="146">
        <f t="shared" si="46"/>
        <v>8.7877140782478241E-2</v>
      </c>
      <c r="C151" s="146">
        <f t="shared" ca="1" si="46"/>
        <v>8.5376232279586406E-2</v>
      </c>
      <c r="D151" s="146">
        <f t="shared" ca="1" si="46"/>
        <v>0.11423703736372587</v>
      </c>
      <c r="E151" s="146">
        <f t="shared" ca="1" si="46"/>
        <v>7.816700584424624E-2</v>
      </c>
      <c r="F151" s="146">
        <f t="shared" ca="1" si="46"/>
        <v>5.4035928938671166E-2</v>
      </c>
      <c r="G151" s="146">
        <f t="shared" ca="1" si="46"/>
        <v>6.0834694743417829E-2</v>
      </c>
      <c r="H151" s="146">
        <f t="shared" ca="1" si="46"/>
        <v>0.10195101856971253</v>
      </c>
      <c r="I151" s="146">
        <f t="shared" ca="1" si="46"/>
        <v>0.10205468198692257</v>
      </c>
      <c r="J151" s="146">
        <f t="shared" ca="1" si="46"/>
        <v>6.9724731331765599E-2</v>
      </c>
      <c r="K151" s="146">
        <f t="shared" ca="1" si="46"/>
        <v>8.4478699273185062E-2</v>
      </c>
      <c r="L151" s="146">
        <f t="shared" ca="1" si="46"/>
        <v>7.1030075342359472E-2</v>
      </c>
      <c r="M151" s="146">
        <f t="shared" ca="1" si="46"/>
        <v>7.8191807584849643E-2</v>
      </c>
      <c r="N151" s="146">
        <f t="shared" ca="1" si="43"/>
        <v>8.2329921170076717E-2</v>
      </c>
      <c r="O151" s="147"/>
      <c r="P151" s="147"/>
    </row>
    <row r="152" spans="1:16" x14ac:dyDescent="0.3">
      <c r="A152" s="71" t="s">
        <v>1583</v>
      </c>
      <c r="B152" s="146">
        <f t="shared" si="46"/>
        <v>9.3897513464475876E-2</v>
      </c>
      <c r="C152" s="146">
        <f t="shared" si="46"/>
        <v>0.10199526787989684</v>
      </c>
      <c r="D152" s="146">
        <f t="shared" si="46"/>
        <v>0.13015880664538931</v>
      </c>
      <c r="E152" s="146">
        <f t="shared" si="46"/>
        <v>8.5035142668228147E-2</v>
      </c>
      <c r="F152" s="146">
        <f t="shared" si="46"/>
        <v>5.9319984308842E-2</v>
      </c>
      <c r="G152" s="146">
        <f t="shared" si="46"/>
        <v>7.1584376924011969E-2</v>
      </c>
      <c r="H152" s="146">
        <f t="shared" si="46"/>
        <v>0.11076125810969514</v>
      </c>
      <c r="I152" s="146">
        <f t="shared" si="46"/>
        <v>0.10794481623653313</v>
      </c>
      <c r="J152" s="146">
        <f t="shared" si="46"/>
        <v>7.8195694111576286E-2</v>
      </c>
      <c r="K152" s="146">
        <f t="shared" si="46"/>
        <v>8.7071741995938479E-2</v>
      </c>
      <c r="L152" s="146">
        <f t="shared" si="46"/>
        <v>7.5593046417900697E-2</v>
      </c>
      <c r="M152" s="146">
        <f t="shared" si="46"/>
        <v>7.8745081801586223E-2</v>
      </c>
      <c r="N152" s="146">
        <f t="shared" si="43"/>
        <v>9.002522754700619E-2</v>
      </c>
      <c r="O152" s="147"/>
      <c r="P152" s="147"/>
    </row>
    <row r="153" spans="1:16" x14ac:dyDescent="0.3">
      <c r="A153" s="70" t="s">
        <v>1584</v>
      </c>
      <c r="B153" s="144">
        <f t="shared" ref="B153:M153" si="48">+B149-B150-B151-B152</f>
        <v>3.1125606411031473E-2</v>
      </c>
      <c r="C153" s="144">
        <f t="shared" ca="1" si="48"/>
        <v>5.3083355591375656E-2</v>
      </c>
      <c r="D153" s="144">
        <f t="shared" ca="1" si="48"/>
        <v>-3.6403985215288093E-2</v>
      </c>
      <c r="E153" s="144">
        <f t="shared" ca="1" si="48"/>
        <v>0.15277776086888739</v>
      </c>
      <c r="F153" s="144">
        <f t="shared" ca="1" si="48"/>
        <v>0.20602229290650231</v>
      </c>
      <c r="G153" s="144">
        <f t="shared" ca="1" si="48"/>
        <v>0.16648546172792578</v>
      </c>
      <c r="H153" s="144">
        <f t="shared" ca="1" si="48"/>
        <v>9.8615129950506419E-3</v>
      </c>
      <c r="I153" s="144">
        <f t="shared" ca="1" si="48"/>
        <v>4.5719223741872816E-2</v>
      </c>
      <c r="J153" s="144">
        <f t="shared" ca="1" si="48"/>
        <v>0.15733180578161116</v>
      </c>
      <c r="K153" s="144">
        <f t="shared" ca="1" si="48"/>
        <v>0.11691593427329022</v>
      </c>
      <c r="L153" s="144">
        <f t="shared" ca="1" si="48"/>
        <v>0.16270012315333304</v>
      </c>
      <c r="M153" s="144">
        <f t="shared" ca="1" si="48"/>
        <v>0.14684519444789057</v>
      </c>
      <c r="N153" s="144">
        <f t="shared" ca="1" si="43"/>
        <v>0.10103869055695691</v>
      </c>
      <c r="O153" s="145"/>
      <c r="P153" s="145"/>
    </row>
    <row r="154" spans="1:16" x14ac:dyDescent="0.3">
      <c r="A154" s="71" t="s">
        <v>1585</v>
      </c>
      <c r="B154" s="146">
        <f t="shared" si="46"/>
        <v>0</v>
      </c>
      <c r="C154" s="146">
        <f t="shared" si="46"/>
        <v>0</v>
      </c>
      <c r="D154" s="146">
        <f t="shared" si="46"/>
        <v>0</v>
      </c>
      <c r="E154" s="146">
        <f t="shared" si="46"/>
        <v>0</v>
      </c>
      <c r="F154" s="146">
        <f t="shared" si="46"/>
        <v>0</v>
      </c>
      <c r="G154" s="146">
        <f t="shared" si="46"/>
        <v>0</v>
      </c>
      <c r="H154" s="146">
        <f t="shared" si="46"/>
        <v>0</v>
      </c>
      <c r="I154" s="146">
        <f t="shared" si="46"/>
        <v>0</v>
      </c>
      <c r="J154" s="146">
        <f t="shared" si="46"/>
        <v>0</v>
      </c>
      <c r="K154" s="146">
        <f t="shared" si="46"/>
        <v>0</v>
      </c>
      <c r="L154" s="146">
        <f t="shared" si="46"/>
        <v>0</v>
      </c>
      <c r="M154" s="146">
        <f t="shared" si="46"/>
        <v>0</v>
      </c>
      <c r="N154" s="146">
        <f t="shared" si="43"/>
        <v>0</v>
      </c>
      <c r="O154" s="147"/>
      <c r="P154" s="147"/>
    </row>
    <row r="155" spans="1:16" x14ac:dyDescent="0.3">
      <c r="A155" s="70" t="s">
        <v>1586</v>
      </c>
      <c r="B155" s="144">
        <f t="shared" ref="B155:M155" si="49">+B133/B$123</f>
        <v>3.1125606411031417E-2</v>
      </c>
      <c r="C155" s="144">
        <f t="shared" ca="1" si="49"/>
        <v>5.3083355591375662E-2</v>
      </c>
      <c r="D155" s="144">
        <f t="shared" ca="1" si="49"/>
        <v>-3.6403985215287996E-2</v>
      </c>
      <c r="E155" s="144">
        <f t="shared" ca="1" si="49"/>
        <v>0.15277776086888739</v>
      </c>
      <c r="F155" s="144">
        <f t="shared" ca="1" si="49"/>
        <v>0.20602229290650231</v>
      </c>
      <c r="G155" s="144">
        <f t="shared" ca="1" si="49"/>
        <v>0.16648546172792569</v>
      </c>
      <c r="H155" s="144">
        <f t="shared" ca="1" si="49"/>
        <v>9.8615129950507634E-3</v>
      </c>
      <c r="I155" s="144">
        <f t="shared" ca="1" si="49"/>
        <v>4.5719223741872803E-2</v>
      </c>
      <c r="J155" s="144">
        <f t="shared" ca="1" si="49"/>
        <v>0.1573318057816111</v>
      </c>
      <c r="K155" s="144">
        <f t="shared" ca="1" si="49"/>
        <v>0.11691593427329032</v>
      </c>
      <c r="L155" s="144">
        <f t="shared" ca="1" si="49"/>
        <v>0.16270012315333293</v>
      </c>
      <c r="M155" s="144">
        <f t="shared" ca="1" si="49"/>
        <v>0.14684519444789051</v>
      </c>
      <c r="N155" s="144">
        <f t="shared" ca="1" si="43"/>
        <v>0.10103869055695691</v>
      </c>
      <c r="O155" s="145"/>
      <c r="P155" s="145"/>
    </row>
    <row r="156" spans="1:16" x14ac:dyDescent="0.3">
      <c r="A156" s="71" t="s">
        <v>1587</v>
      </c>
      <c r="B156" s="146">
        <f t="shared" si="46"/>
        <v>8.1290803773007653E-2</v>
      </c>
      <c r="C156" s="146">
        <f t="shared" si="46"/>
        <v>8.4685436812985029E-2</v>
      </c>
      <c r="D156" s="146">
        <f t="shared" si="46"/>
        <v>8.4303943691213967E-2</v>
      </c>
      <c r="E156" s="146">
        <f t="shared" si="46"/>
        <v>9.88488866081976E-2</v>
      </c>
      <c r="F156" s="146">
        <f t="shared" si="46"/>
        <v>7.1035957244653669E-2</v>
      </c>
      <c r="G156" s="146">
        <f t="shared" si="46"/>
        <v>8.340988835828457E-2</v>
      </c>
      <c r="H156" s="146">
        <f t="shared" si="46"/>
        <v>0.13205722293414959</v>
      </c>
      <c r="I156" s="146">
        <f t="shared" si="46"/>
        <v>0.13029613156059078</v>
      </c>
      <c r="J156" s="146">
        <f t="shared" si="46"/>
        <v>9.2278369886150971E-2</v>
      </c>
      <c r="K156" s="146">
        <f t="shared" si="46"/>
        <v>0.10307757752352931</v>
      </c>
      <c r="L156" s="146">
        <f t="shared" si="46"/>
        <v>8.8320162033575914E-2</v>
      </c>
      <c r="M156" s="146">
        <f t="shared" si="46"/>
        <v>9.1926636805381531E-2</v>
      </c>
      <c r="N156" s="146">
        <f t="shared" si="43"/>
        <v>9.5127584769310047E-2</v>
      </c>
      <c r="O156" s="147"/>
      <c r="P156" s="147"/>
    </row>
    <row r="157" spans="1:16" x14ac:dyDescent="0.3">
      <c r="A157" s="70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87"/>
      <c r="P157" s="87"/>
    </row>
    <row r="158" spans="1:16" x14ac:dyDescent="0.3">
      <c r="A158" s="70" t="s">
        <v>1677</v>
      </c>
      <c r="B158" s="144">
        <f t="shared" ref="B158:M158" si="50">+B140/B123</f>
        <v>0.62932399521349769</v>
      </c>
      <c r="C158" s="144">
        <f t="shared" ca="1" si="50"/>
        <v>0.58685617757852504</v>
      </c>
      <c r="D158" s="144">
        <f t="shared" ca="1" si="50"/>
        <v>0.6871385739813759</v>
      </c>
      <c r="E158" s="144">
        <f t="shared" ca="1" si="50"/>
        <v>0.52563462551483486</v>
      </c>
      <c r="F158" s="144">
        <f t="shared" ca="1" si="50"/>
        <v>0.384126416856583</v>
      </c>
      <c r="G158" s="144">
        <f t="shared" ca="1" si="50"/>
        <v>0.44207407260892484</v>
      </c>
      <c r="H158" s="144">
        <f t="shared" ca="1" si="50"/>
        <v>0.67635976703135303</v>
      </c>
      <c r="I158" s="144">
        <f t="shared" ca="1" si="50"/>
        <v>0.63800442094604182</v>
      </c>
      <c r="J158" s="144">
        <f t="shared" ca="1" si="50"/>
        <v>0.46707481439283788</v>
      </c>
      <c r="K158" s="144">
        <f t="shared" ca="1" si="50"/>
        <v>0.52464481305739619</v>
      </c>
      <c r="L158" s="144">
        <f t="shared" ca="1" si="50"/>
        <v>0.45588489040765867</v>
      </c>
      <c r="M158" s="144">
        <f t="shared" ca="1" si="50"/>
        <v>0.47760303375887792</v>
      </c>
      <c r="N158" s="144">
        <f ca="1">AVERAGE(B158:M158)</f>
        <v>0.54122713344565887</v>
      </c>
      <c r="O158" s="145"/>
      <c r="P158" s="145"/>
    </row>
    <row r="159" spans="1:16" x14ac:dyDescent="0.3"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</row>
    <row r="160" spans="1:16" ht="18" x14ac:dyDescent="0.35">
      <c r="A160" s="81" t="s">
        <v>1678</v>
      </c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</row>
    <row r="161" spans="1:17" x14ac:dyDescent="0.3">
      <c r="A161" s="71" t="s">
        <v>1584</v>
      </c>
      <c r="B161" s="148">
        <f t="shared" ref="B161:M161" si="51">+B131</f>
        <v>482957.42530241353</v>
      </c>
      <c r="C161" s="148">
        <f t="shared" ca="1" si="51"/>
        <v>800297.02033075853</v>
      </c>
      <c r="D161" s="148">
        <f t="shared" ca="1" si="51"/>
        <v>-426168.06043305644</v>
      </c>
      <c r="E161" s="148">
        <f t="shared" ca="1" si="51"/>
        <v>2789955.9770010896</v>
      </c>
      <c r="F161" s="148">
        <f t="shared" ca="1" si="51"/>
        <v>5394709.1337424889</v>
      </c>
      <c r="G161" s="148">
        <f t="shared" ca="1" si="51"/>
        <v>3700188.5900165075</v>
      </c>
      <c r="H161" s="148">
        <f t="shared" ca="1" si="51"/>
        <v>137908.16458094143</v>
      </c>
      <c r="I161" s="148">
        <f t="shared" ca="1" si="51"/>
        <v>645755.30173621606</v>
      </c>
      <c r="J161" s="148">
        <f t="shared" ca="1" si="51"/>
        <v>3126653.6767372414</v>
      </c>
      <c r="K161" s="148">
        <f t="shared" ca="1" si="51"/>
        <v>2071873.6805884948</v>
      </c>
      <c r="L161" s="148">
        <f t="shared" ca="1" si="51"/>
        <v>3352718.5435602637</v>
      </c>
      <c r="M161" s="148">
        <f t="shared" ca="1" si="51"/>
        <v>2896482.7462175759</v>
      </c>
      <c r="N161" s="148">
        <f t="shared" ref="N161:N172" ca="1" si="52">SUM(B161,C161,D161,E161,F161,G161,H161,I161,J161,K161,L161,M161)</f>
        <v>24973332.199380934</v>
      </c>
      <c r="O161" s="2"/>
      <c r="P161" s="2"/>
    </row>
    <row r="162" spans="1:17" x14ac:dyDescent="0.3">
      <c r="A162" s="71" t="s">
        <v>1587</v>
      </c>
      <c r="B162" s="148">
        <f t="shared" ref="B162:M162" si="53">-B134</f>
        <v>-1261340.8</v>
      </c>
      <c r="C162" s="148">
        <f t="shared" si="53"/>
        <v>-1276737.3500000001</v>
      </c>
      <c r="D162" s="148">
        <f t="shared" si="53"/>
        <v>-986915.25</v>
      </c>
      <c r="E162" s="148">
        <f t="shared" si="53"/>
        <v>-1805132.1111396537</v>
      </c>
      <c r="F162" s="148">
        <f t="shared" si="53"/>
        <v>-1860081.8482579817</v>
      </c>
      <c r="G162" s="148">
        <f t="shared" si="53"/>
        <v>-1853809.4197212798</v>
      </c>
      <c r="H162" s="148">
        <f t="shared" si="53"/>
        <v>-1846752.0393315698</v>
      </c>
      <c r="I162" s="148">
        <f t="shared" si="53"/>
        <v>-1840350.9697805815</v>
      </c>
      <c r="J162" s="148">
        <f t="shared" si="53"/>
        <v>-1833847.2825281429</v>
      </c>
      <c r="K162" s="148">
        <f t="shared" si="53"/>
        <v>-1826643.4020072627</v>
      </c>
      <c r="L162" s="148">
        <f t="shared" si="53"/>
        <v>-1819990.2942983801</v>
      </c>
      <c r="M162" s="148">
        <f t="shared" si="53"/>
        <v>-1813228.6754476232</v>
      </c>
      <c r="N162" s="148">
        <f t="shared" si="52"/>
        <v>-20024829.442512475</v>
      </c>
      <c r="O162" s="2"/>
      <c r="P162" s="2"/>
      <c r="Q162" s="95"/>
    </row>
    <row r="163" spans="1:17" x14ac:dyDescent="0.3">
      <c r="A163" s="71" t="s">
        <v>1679</v>
      </c>
      <c r="B163" s="148">
        <f t="shared" ref="B163:M163" si="54">-B30</f>
        <v>0</v>
      </c>
      <c r="C163" s="148">
        <f t="shared" si="54"/>
        <v>0</v>
      </c>
      <c r="D163" s="148">
        <f t="shared" si="54"/>
        <v>0</v>
      </c>
      <c r="E163" s="148">
        <f t="shared" si="54"/>
        <v>0</v>
      </c>
      <c r="F163" s="148">
        <f t="shared" si="54"/>
        <v>0</v>
      </c>
      <c r="G163" s="148">
        <f t="shared" si="54"/>
        <v>0</v>
      </c>
      <c r="H163" s="148">
        <f t="shared" si="54"/>
        <v>0</v>
      </c>
      <c r="I163" s="148">
        <f t="shared" si="54"/>
        <v>0</v>
      </c>
      <c r="J163" s="148">
        <f t="shared" si="54"/>
        <v>0</v>
      </c>
      <c r="K163" s="148">
        <f t="shared" si="54"/>
        <v>0</v>
      </c>
      <c r="L163" s="148">
        <f t="shared" si="54"/>
        <v>0</v>
      </c>
      <c r="M163" s="148">
        <f t="shared" si="54"/>
        <v>0</v>
      </c>
      <c r="N163" s="148">
        <f t="shared" si="52"/>
        <v>0</v>
      </c>
      <c r="O163" s="2"/>
      <c r="P163" s="2"/>
    </row>
    <row r="164" spans="1:17" x14ac:dyDescent="0.3">
      <c r="A164" s="71" t="s">
        <v>1680</v>
      </c>
      <c r="B164" s="148">
        <f t="shared" ref="B164:M164" si="55">-B29-B31</f>
        <v>0</v>
      </c>
      <c r="C164" s="148">
        <f t="shared" si="55"/>
        <v>0</v>
      </c>
      <c r="D164" s="148">
        <f t="shared" si="55"/>
        <v>0</v>
      </c>
      <c r="E164" s="148">
        <f t="shared" si="55"/>
        <v>0</v>
      </c>
      <c r="F164" s="148">
        <f t="shared" si="55"/>
        <v>0</v>
      </c>
      <c r="G164" s="148">
        <f t="shared" si="55"/>
        <v>0</v>
      </c>
      <c r="H164" s="148">
        <f t="shared" si="55"/>
        <v>0</v>
      </c>
      <c r="I164" s="148">
        <f t="shared" si="55"/>
        <v>0</v>
      </c>
      <c r="J164" s="148">
        <f t="shared" si="55"/>
        <v>0</v>
      </c>
      <c r="K164" s="148">
        <f t="shared" si="55"/>
        <v>0</v>
      </c>
      <c r="L164" s="148">
        <f t="shared" si="55"/>
        <v>0</v>
      </c>
      <c r="M164" s="148">
        <f t="shared" si="55"/>
        <v>0</v>
      </c>
      <c r="N164" s="148">
        <f t="shared" si="52"/>
        <v>0</v>
      </c>
      <c r="O164" s="2"/>
      <c r="P164" s="2"/>
    </row>
    <row r="165" spans="1:17" x14ac:dyDescent="0.3">
      <c r="A165" s="71" t="s">
        <v>1681</v>
      </c>
      <c r="B165" s="148">
        <f>+B28</f>
        <v>0</v>
      </c>
      <c r="C165" s="148">
        <f>+C28</f>
        <v>0</v>
      </c>
      <c r="D165" s="148">
        <f>+D28</f>
        <v>0</v>
      </c>
      <c r="E165" s="148">
        <f>+E28</f>
        <v>0</v>
      </c>
      <c r="F165" s="148">
        <f>+F28</f>
        <v>0</v>
      </c>
      <c r="G165" s="148">
        <f t="shared" ref="G165:M165" si="56">+G28</f>
        <v>0</v>
      </c>
      <c r="H165" s="148">
        <f t="shared" si="56"/>
        <v>0</v>
      </c>
      <c r="I165" s="148">
        <f t="shared" si="56"/>
        <v>0</v>
      </c>
      <c r="J165" s="148">
        <f t="shared" si="56"/>
        <v>0</v>
      </c>
      <c r="K165" s="148">
        <f t="shared" si="56"/>
        <v>0</v>
      </c>
      <c r="L165" s="148">
        <f t="shared" si="56"/>
        <v>0</v>
      </c>
      <c r="M165" s="148">
        <f t="shared" si="56"/>
        <v>0</v>
      </c>
      <c r="N165" s="148">
        <f t="shared" si="52"/>
        <v>0</v>
      </c>
      <c r="O165" s="2"/>
      <c r="P165" s="2"/>
    </row>
    <row r="166" spans="1:17" x14ac:dyDescent="0.3">
      <c r="A166" s="71" t="s">
        <v>1588</v>
      </c>
      <c r="B166" s="148">
        <f t="shared" ref="B166:M166" si="57">+B9</f>
        <v>0</v>
      </c>
      <c r="C166" s="148">
        <f t="shared" si="57"/>
        <v>0</v>
      </c>
      <c r="D166" s="148">
        <f t="shared" si="57"/>
        <v>0</v>
      </c>
      <c r="E166" s="148">
        <f t="shared" si="57"/>
        <v>0</v>
      </c>
      <c r="F166" s="148">
        <f t="shared" si="57"/>
        <v>0</v>
      </c>
      <c r="G166" s="148">
        <f t="shared" si="57"/>
        <v>0</v>
      </c>
      <c r="H166" s="148">
        <f t="shared" si="57"/>
        <v>0</v>
      </c>
      <c r="I166" s="148">
        <f t="shared" si="57"/>
        <v>0</v>
      </c>
      <c r="J166" s="148">
        <f t="shared" si="57"/>
        <v>0</v>
      </c>
      <c r="K166" s="148">
        <f t="shared" si="57"/>
        <v>0</v>
      </c>
      <c r="L166" s="148">
        <f t="shared" si="57"/>
        <v>0</v>
      </c>
      <c r="M166" s="148">
        <f t="shared" si="57"/>
        <v>0</v>
      </c>
      <c r="N166" s="148">
        <f t="shared" si="52"/>
        <v>0</v>
      </c>
      <c r="O166" s="2"/>
      <c r="P166" s="2"/>
    </row>
    <row r="167" spans="1:17" x14ac:dyDescent="0.3">
      <c r="A167" s="71" t="s">
        <v>1682</v>
      </c>
      <c r="B167" s="148">
        <f t="shared" ref="B167:M167" si="58">-B111</f>
        <v>-7630.7928520741698</v>
      </c>
      <c r="C167" s="148">
        <f t="shared" si="58"/>
        <v>-4754.4262225797866</v>
      </c>
      <c r="D167" s="148">
        <f t="shared" si="58"/>
        <v>227.65573683776893</v>
      </c>
      <c r="E167" s="148">
        <f t="shared" si="58"/>
        <v>160.3569872136286</v>
      </c>
      <c r="F167" s="148">
        <f t="shared" si="58"/>
        <v>9154.4465485935216</v>
      </c>
      <c r="G167" s="148">
        <f t="shared" si="58"/>
        <v>-22107.865693392843</v>
      </c>
      <c r="H167" s="148">
        <f t="shared" si="58"/>
        <v>6323.0198662691691</v>
      </c>
      <c r="I167" s="148">
        <f t="shared" si="58"/>
        <v>9609.1099857022491</v>
      </c>
      <c r="J167" s="148">
        <f t="shared" si="58"/>
        <v>12063.526752897495</v>
      </c>
      <c r="K167" s="148">
        <f t="shared" si="58"/>
        <v>-8538.1752232416475</v>
      </c>
      <c r="L167" s="148">
        <f t="shared" si="58"/>
        <v>2346.1498165221565</v>
      </c>
      <c r="M167" s="148">
        <f t="shared" si="58"/>
        <v>2744.65447403492</v>
      </c>
      <c r="N167" s="148">
        <f t="shared" si="52"/>
        <v>-402.33982321753865</v>
      </c>
      <c r="O167" s="2"/>
      <c r="P167" s="2"/>
    </row>
    <row r="168" spans="1:17" x14ac:dyDescent="0.3">
      <c r="A168" s="71" t="s">
        <v>1623</v>
      </c>
      <c r="B168" s="148">
        <f t="shared" ref="B168:M169" si="59">-B35</f>
        <v>0</v>
      </c>
      <c r="C168" s="148">
        <f t="shared" si="59"/>
        <v>0</v>
      </c>
      <c r="D168" s="148">
        <f t="shared" si="59"/>
        <v>0</v>
      </c>
      <c r="E168" s="148">
        <f t="shared" si="59"/>
        <v>-200000</v>
      </c>
      <c r="F168" s="148">
        <f t="shared" si="59"/>
        <v>-200000</v>
      </c>
      <c r="G168" s="148">
        <f t="shared" si="59"/>
        <v>-200000</v>
      </c>
      <c r="H168" s="148">
        <f t="shared" si="59"/>
        <v>-200000</v>
      </c>
      <c r="I168" s="148">
        <f t="shared" si="59"/>
        <v>-200000</v>
      </c>
      <c r="J168" s="148">
        <f t="shared" si="59"/>
        <v>-200000</v>
      </c>
      <c r="K168" s="148">
        <f t="shared" si="59"/>
        <v>-200000</v>
      </c>
      <c r="L168" s="148">
        <f t="shared" si="59"/>
        <v>-200000</v>
      </c>
      <c r="M168" s="148">
        <f t="shared" si="59"/>
        <v>-200000</v>
      </c>
      <c r="N168" s="148">
        <f t="shared" si="52"/>
        <v>-1800000</v>
      </c>
      <c r="O168" s="2"/>
      <c r="P168" s="2"/>
    </row>
    <row r="169" spans="1:17" x14ac:dyDescent="0.3">
      <c r="A169" s="71" t="str">
        <f>+A36</f>
        <v>Otras Deudas Pre-Operación</v>
      </c>
      <c r="B169" s="148">
        <f t="shared" si="59"/>
        <v>0</v>
      </c>
      <c r="C169" s="148">
        <f t="shared" si="59"/>
        <v>0</v>
      </c>
      <c r="D169" s="148">
        <f t="shared" si="59"/>
        <v>0</v>
      </c>
      <c r="E169" s="148">
        <f t="shared" si="59"/>
        <v>0</v>
      </c>
      <c r="F169" s="148">
        <f t="shared" si="59"/>
        <v>0</v>
      </c>
      <c r="G169" s="148">
        <f t="shared" si="59"/>
        <v>0</v>
      </c>
      <c r="H169" s="148">
        <f t="shared" si="59"/>
        <v>0</v>
      </c>
      <c r="I169" s="148">
        <f t="shared" si="59"/>
        <v>0</v>
      </c>
      <c r="J169" s="148">
        <f t="shared" si="59"/>
        <v>0</v>
      </c>
      <c r="K169" s="148">
        <f t="shared" si="59"/>
        <v>0</v>
      </c>
      <c r="L169" s="148">
        <f t="shared" si="59"/>
        <v>0</v>
      </c>
      <c r="M169" s="148">
        <f t="shared" si="59"/>
        <v>0</v>
      </c>
      <c r="N169" s="148">
        <f t="shared" si="52"/>
        <v>0</v>
      </c>
      <c r="O169" s="2"/>
      <c r="P169" s="2"/>
    </row>
    <row r="170" spans="1:17" x14ac:dyDescent="0.3">
      <c r="A170" s="71" t="s">
        <v>1683</v>
      </c>
      <c r="B170" s="148">
        <f>+B55</f>
        <v>0</v>
      </c>
      <c r="C170" s="148">
        <f>+C55</f>
        <v>0</v>
      </c>
      <c r="D170" s="148">
        <f>+D55</f>
        <v>0</v>
      </c>
      <c r="E170" s="148">
        <f>+E55</f>
        <v>1500000</v>
      </c>
      <c r="F170" s="148">
        <f>+F55</f>
        <v>2500000</v>
      </c>
      <c r="G170" s="148">
        <f t="shared" ref="G170:M170" si="60">+G55</f>
        <v>0</v>
      </c>
      <c r="H170" s="148">
        <f t="shared" si="60"/>
        <v>0</v>
      </c>
      <c r="I170" s="148">
        <f t="shared" si="60"/>
        <v>0</v>
      </c>
      <c r="J170" s="148">
        <f t="shared" si="60"/>
        <v>0</v>
      </c>
      <c r="K170" s="148">
        <f t="shared" si="60"/>
        <v>0</v>
      </c>
      <c r="L170" s="148">
        <f t="shared" si="60"/>
        <v>0</v>
      </c>
      <c r="M170" s="148">
        <f t="shared" si="60"/>
        <v>0</v>
      </c>
      <c r="N170" s="148">
        <f t="shared" si="52"/>
        <v>4000000</v>
      </c>
      <c r="O170" s="2"/>
      <c r="P170" s="2"/>
    </row>
    <row r="171" spans="1:17" x14ac:dyDescent="0.3">
      <c r="A171" s="71" t="s">
        <v>1684</v>
      </c>
      <c r="B171" s="148">
        <f t="shared" ref="B171:M171" si="61">-B56</f>
        <v>0</v>
      </c>
      <c r="C171" s="148">
        <f t="shared" si="61"/>
        <v>0</v>
      </c>
      <c r="D171" s="148">
        <f t="shared" si="61"/>
        <v>0</v>
      </c>
      <c r="E171" s="148">
        <f t="shared" si="61"/>
        <v>0</v>
      </c>
      <c r="F171" s="148">
        <f t="shared" si="61"/>
        <v>0</v>
      </c>
      <c r="G171" s="148">
        <f t="shared" si="61"/>
        <v>0</v>
      </c>
      <c r="H171" s="148">
        <f t="shared" si="61"/>
        <v>0</v>
      </c>
      <c r="I171" s="148">
        <f t="shared" si="61"/>
        <v>0</v>
      </c>
      <c r="J171" s="148">
        <f t="shared" si="61"/>
        <v>0</v>
      </c>
      <c r="K171" s="148">
        <f t="shared" si="61"/>
        <v>0</v>
      </c>
      <c r="L171" s="148">
        <f t="shared" si="61"/>
        <v>0</v>
      </c>
      <c r="M171" s="148">
        <f t="shared" si="61"/>
        <v>0</v>
      </c>
      <c r="N171" s="148">
        <f t="shared" si="52"/>
        <v>0</v>
      </c>
      <c r="O171" s="2"/>
      <c r="P171" s="2"/>
    </row>
    <row r="172" spans="1:17" x14ac:dyDescent="0.3">
      <c r="A172" s="71" t="s">
        <v>1685</v>
      </c>
      <c r="B172" s="148">
        <f t="shared" ref="B172:M172" si="62">+B42</f>
        <v>0</v>
      </c>
      <c r="C172" s="148">
        <f t="shared" si="62"/>
        <v>0</v>
      </c>
      <c r="D172" s="148">
        <f t="shared" si="62"/>
        <v>0</v>
      </c>
      <c r="E172" s="148">
        <f t="shared" si="62"/>
        <v>0</v>
      </c>
      <c r="F172" s="148">
        <f t="shared" si="62"/>
        <v>0</v>
      </c>
      <c r="G172" s="148">
        <f t="shared" si="62"/>
        <v>0</v>
      </c>
      <c r="H172" s="148">
        <f t="shared" si="62"/>
        <v>0</v>
      </c>
      <c r="I172" s="148">
        <f t="shared" si="62"/>
        <v>0</v>
      </c>
      <c r="J172" s="148">
        <f t="shared" si="62"/>
        <v>0</v>
      </c>
      <c r="K172" s="148">
        <f t="shared" si="62"/>
        <v>0</v>
      </c>
      <c r="L172" s="148">
        <f t="shared" si="62"/>
        <v>0</v>
      </c>
      <c r="M172" s="148">
        <f t="shared" si="62"/>
        <v>0</v>
      </c>
      <c r="N172" s="148">
        <f t="shared" si="52"/>
        <v>0</v>
      </c>
      <c r="O172" s="2"/>
      <c r="P172" s="2"/>
    </row>
    <row r="173" spans="1:17" x14ac:dyDescent="0.3">
      <c r="A173" s="70" t="s">
        <v>1629</v>
      </c>
      <c r="B173" s="149">
        <f t="shared" ref="B173:N173" si="63">SUM(B161:B172)</f>
        <v>-786014.16754966066</v>
      </c>
      <c r="C173" s="149">
        <f t="shared" ca="1" si="63"/>
        <v>-481194.75589182135</v>
      </c>
      <c r="D173" s="149">
        <f t="shared" ca="1" si="63"/>
        <v>-1412855.6546962187</v>
      </c>
      <c r="E173" s="149">
        <f t="shared" ca="1" si="63"/>
        <v>2284984.2228486496</v>
      </c>
      <c r="F173" s="149">
        <f t="shared" ca="1" si="63"/>
        <v>5843781.7320331009</v>
      </c>
      <c r="G173" s="149">
        <f t="shared" ca="1" si="63"/>
        <v>1624271.3046018349</v>
      </c>
      <c r="H173" s="149">
        <f t="shared" ca="1" si="63"/>
        <v>-1902520.8548843593</v>
      </c>
      <c r="I173" s="149">
        <f t="shared" ca="1" si="63"/>
        <v>-1384986.5580586633</v>
      </c>
      <c r="J173" s="149">
        <f t="shared" ca="1" si="63"/>
        <v>1104869.9209619961</v>
      </c>
      <c r="K173" s="149">
        <f t="shared" ca="1" si="63"/>
        <v>36692.103357990418</v>
      </c>
      <c r="L173" s="149">
        <f t="shared" ca="1" si="63"/>
        <v>1335074.3990784057</v>
      </c>
      <c r="M173" s="149">
        <f t="shared" ca="1" si="63"/>
        <v>885998.72524398752</v>
      </c>
      <c r="N173" s="149">
        <f t="shared" ca="1" si="63"/>
        <v>7148100.4170452422</v>
      </c>
      <c r="O173" s="150"/>
      <c r="P173" s="150"/>
    </row>
    <row r="174" spans="1:17" x14ac:dyDescent="0.3">
      <c r="A174" s="70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87"/>
      <c r="P174" s="87"/>
    </row>
    <row r="175" spans="1:17" x14ac:dyDescent="0.3">
      <c r="A175" s="70" t="s">
        <v>1630</v>
      </c>
      <c r="B175" s="151">
        <f>+B48</f>
        <v>0</v>
      </c>
      <c r="C175" s="151">
        <f>+C48</f>
        <v>0</v>
      </c>
      <c r="D175" s="151">
        <f>+D48</f>
        <v>0</v>
      </c>
      <c r="E175" s="151">
        <f>+E48</f>
        <v>0</v>
      </c>
      <c r="F175" s="151">
        <f>+F48</f>
        <v>171638.62886034464</v>
      </c>
      <c r="G175" s="151">
        <f t="shared" ref="G175:M175" ca="1" si="64">+G48</f>
        <v>726072.76522367168</v>
      </c>
      <c r="H175" s="151">
        <f t="shared" ca="1" si="64"/>
        <v>-1995869.1134504206</v>
      </c>
      <c r="I175" s="151">
        <f t="shared" ca="1" si="64"/>
        <v>-2026158.5511222305</v>
      </c>
      <c r="J175" s="151">
        <f t="shared" ca="1" si="64"/>
        <v>2410943.2549122246</v>
      </c>
      <c r="K175" s="151">
        <f t="shared" ca="1" si="64"/>
        <v>4795891.0570001453</v>
      </c>
      <c r="L175" s="151">
        <f t="shared" ca="1" si="64"/>
        <v>3042520.9028601949</v>
      </c>
      <c r="M175" s="151">
        <f t="shared" ca="1" si="64"/>
        <v>1145908.9726008968</v>
      </c>
      <c r="N175" s="151">
        <f>B175</f>
        <v>0</v>
      </c>
      <c r="O175" s="150"/>
      <c r="P175" s="150"/>
    </row>
    <row r="176" spans="1:17" x14ac:dyDescent="0.3">
      <c r="A176" s="70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87"/>
      <c r="P176" s="87"/>
    </row>
    <row r="177" spans="1:16" x14ac:dyDescent="0.3">
      <c r="A177" s="70" t="s">
        <v>1631</v>
      </c>
      <c r="B177" s="151">
        <f t="shared" ref="B177:N177" si="65">+B173+B175</f>
        <v>-786014.16754966066</v>
      </c>
      <c r="C177" s="151">
        <f t="shared" ca="1" si="65"/>
        <v>-481194.75589182135</v>
      </c>
      <c r="D177" s="151">
        <f t="shared" ca="1" si="65"/>
        <v>-1412855.6546962187</v>
      </c>
      <c r="E177" s="151">
        <f t="shared" ca="1" si="65"/>
        <v>2284984.2228486496</v>
      </c>
      <c r="F177" s="151">
        <f t="shared" ca="1" si="65"/>
        <v>6015420.3608934451</v>
      </c>
      <c r="G177" s="151">
        <f t="shared" ca="1" si="65"/>
        <v>2350344.0698255068</v>
      </c>
      <c r="H177" s="151">
        <f t="shared" ca="1" si="65"/>
        <v>-3898389.9683347801</v>
      </c>
      <c r="I177" s="151">
        <f t="shared" ca="1" si="65"/>
        <v>-3411145.1091808937</v>
      </c>
      <c r="J177" s="151">
        <f t="shared" ca="1" si="65"/>
        <v>3515813.1758742207</v>
      </c>
      <c r="K177" s="151">
        <f t="shared" ca="1" si="65"/>
        <v>4832583.1603581356</v>
      </c>
      <c r="L177" s="151">
        <f t="shared" ca="1" si="65"/>
        <v>4377595.3019386008</v>
      </c>
      <c r="M177" s="151">
        <f t="shared" ca="1" si="65"/>
        <v>2031907.6978448844</v>
      </c>
      <c r="N177" s="151">
        <f t="shared" ca="1" si="65"/>
        <v>7148100.4170452422</v>
      </c>
      <c r="O177" s="150"/>
      <c r="P177" s="150"/>
    </row>
    <row r="178" spans="1:16" x14ac:dyDescent="0.3">
      <c r="A178" s="70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87"/>
      <c r="P178" s="87"/>
    </row>
    <row r="179" spans="1:16" x14ac:dyDescent="0.3">
      <c r="A179" s="70" t="s">
        <v>1686</v>
      </c>
      <c r="B179" s="152">
        <f>+B177-B50</f>
        <v>-786014.16754966066</v>
      </c>
      <c r="C179" s="152">
        <f ca="1">+C177-C50</f>
        <v>-481194.75589182135</v>
      </c>
      <c r="D179" s="152">
        <f ca="1">+D177-D50</f>
        <v>-1412855.6546962187</v>
      </c>
      <c r="E179" s="152">
        <f ca="1">+E177-E50</f>
        <v>2113345.593988305</v>
      </c>
      <c r="F179" s="152">
        <f ca="1">+F177-F50</f>
        <v>5289347.5956697734</v>
      </c>
      <c r="G179" s="152">
        <f t="shared" ref="G179:N179" ca="1" si="66">+G177-G50</f>
        <v>4346213.1832759269</v>
      </c>
      <c r="H179" s="152">
        <f t="shared" ca="1" si="66"/>
        <v>-1872231.4172125496</v>
      </c>
      <c r="I179" s="152">
        <f t="shared" ca="1" si="66"/>
        <v>-5822088.3640931183</v>
      </c>
      <c r="J179" s="152">
        <f t="shared" ca="1" si="66"/>
        <v>-1280077.8811259246</v>
      </c>
      <c r="K179" s="152">
        <f t="shared" ca="1" si="66"/>
        <v>1790062.2574979407</v>
      </c>
      <c r="L179" s="152">
        <f t="shared" ca="1" si="66"/>
        <v>3231686.329337704</v>
      </c>
      <c r="M179" s="152">
        <f t="shared" ca="1" si="66"/>
        <v>-108883.18520478625</v>
      </c>
      <c r="N179" s="152">
        <f t="shared" ca="1" si="66"/>
        <v>7148100.4170452422</v>
      </c>
      <c r="O179" s="150"/>
      <c r="P179" s="150"/>
    </row>
  </sheetData>
  <conditionalFormatting sqref="B55:N55">
    <cfRule type="cellIs" dxfId="54" priority="37" operator="greaterThan">
      <formula>0</formula>
    </cfRule>
  </conditionalFormatting>
  <conditionalFormatting sqref="B56:N56">
    <cfRule type="cellIs" dxfId="53" priority="36" operator="greaterThan">
      <formula>0</formula>
    </cfRule>
  </conditionalFormatting>
  <conditionalFormatting sqref="B76:N76">
    <cfRule type="cellIs" dxfId="52" priority="25" operator="greaterThan">
      <formula>5</formula>
    </cfRule>
  </conditionalFormatting>
  <conditionalFormatting sqref="B111:N111">
    <cfRule type="cellIs" dxfId="51" priority="35" operator="lessThan">
      <formula>0</formula>
    </cfRule>
    <cfRule type="cellIs" dxfId="50" priority="34" operator="greaterThan">
      <formula>0</formula>
    </cfRule>
  </conditionalFormatting>
  <conditionalFormatting sqref="B113:N113">
    <cfRule type="cellIs" dxfId="49" priority="13" operator="lessThan">
      <formula>B114</formula>
    </cfRule>
    <cfRule type="cellIs" dxfId="48" priority="39" operator="greaterThan">
      <formula>B114*1.05</formula>
    </cfRule>
  </conditionalFormatting>
  <conditionalFormatting sqref="B116:N116">
    <cfRule type="cellIs" dxfId="47" priority="40" operator="lessThan">
      <formula>B117</formula>
    </cfRule>
    <cfRule type="cellIs" dxfId="46" priority="41" operator="greaterThan">
      <formula>B117*1.02</formula>
    </cfRule>
  </conditionalFormatting>
  <conditionalFormatting sqref="B118:N118">
    <cfRule type="cellIs" dxfId="45" priority="38" operator="lessThan">
      <formula>B119*1.05</formula>
    </cfRule>
    <cfRule type="cellIs" dxfId="44" priority="12" operator="greaterThan">
      <formula>B119</formula>
    </cfRule>
  </conditionalFormatting>
  <conditionalFormatting sqref="C82">
    <cfRule type="cellIs" dxfId="43" priority="30" operator="greaterThan">
      <formula>5</formula>
    </cfRule>
  </conditionalFormatting>
  <conditionalFormatting sqref="C116">
    <cfRule type="cellIs" dxfId="42" priority="14" operator="greaterThan">
      <formula>C117*1.02</formula>
    </cfRule>
    <cfRule type="cellIs" dxfId="41" priority="54" operator="lessThan">
      <formula>C117</formula>
    </cfRule>
  </conditionalFormatting>
  <conditionalFormatting sqref="C118:N118">
    <cfRule type="cellIs" dxfId="40" priority="10" operator="lessThan">
      <formula>C119*1.05</formula>
    </cfRule>
  </conditionalFormatting>
  <conditionalFormatting sqref="D63">
    <cfRule type="cellIs" dxfId="39" priority="24" operator="lessThan">
      <formula>D64</formula>
    </cfRule>
    <cfRule type="cellIs" dxfId="38" priority="23" operator="greaterThan">
      <formula>D64</formula>
    </cfRule>
  </conditionalFormatting>
  <conditionalFormatting sqref="D65:D66">
    <cfRule type="cellIs" dxfId="37" priority="27" operator="greaterThan">
      <formula>D77</formula>
    </cfRule>
    <cfRule type="cellIs" dxfId="36" priority="26" operator="lessThan">
      <formula>D77</formula>
    </cfRule>
  </conditionalFormatting>
  <conditionalFormatting sqref="D75">
    <cfRule type="cellIs" dxfId="35" priority="28" operator="greaterThan">
      <formula>D78</formula>
    </cfRule>
    <cfRule type="cellIs" dxfId="34" priority="29" operator="lessThan">
      <formula>D78</formula>
    </cfRule>
  </conditionalFormatting>
  <conditionalFormatting sqref="D87">
    <cfRule type="cellIs" dxfId="33" priority="22" operator="greaterThan">
      <formula>D88</formula>
    </cfRule>
    <cfRule type="cellIs" dxfId="32" priority="21" operator="lessThan">
      <formula>D88</formula>
    </cfRule>
  </conditionalFormatting>
  <conditionalFormatting sqref="D116:N116">
    <cfRule type="cellIs" dxfId="31" priority="11" operator="lessThan">
      <formula>D117</formula>
    </cfRule>
  </conditionalFormatting>
  <conditionalFormatting sqref="G63">
    <cfRule type="cellIs" dxfId="30" priority="46" operator="greaterThan">
      <formula>G64</formula>
    </cfRule>
    <cfRule type="cellIs" dxfId="29" priority="47" operator="lessThan">
      <formula>G64</formula>
    </cfRule>
  </conditionalFormatting>
  <conditionalFormatting sqref="G65:G66">
    <cfRule type="cellIs" dxfId="28" priority="6" operator="greaterThan">
      <formula>G77</formula>
    </cfRule>
    <cfRule type="cellIs" dxfId="27" priority="5" operator="lessThan">
      <formula>G77</formula>
    </cfRule>
  </conditionalFormatting>
  <conditionalFormatting sqref="G75">
    <cfRule type="cellIs" dxfId="26" priority="52" operator="greaterThan">
      <formula>G78</formula>
    </cfRule>
    <cfRule type="cellIs" dxfId="25" priority="53" operator="lessThan">
      <formula>G78</formula>
    </cfRule>
  </conditionalFormatting>
  <conditionalFormatting sqref="G81">
    <cfRule type="cellIs" dxfId="24" priority="33" operator="greaterThan">
      <formula>5</formula>
    </cfRule>
  </conditionalFormatting>
  <conditionalFormatting sqref="G87">
    <cfRule type="cellIs" dxfId="23" priority="20" operator="greaterThan">
      <formula>G88</formula>
    </cfRule>
    <cfRule type="cellIs" dxfId="22" priority="19" operator="lessThan">
      <formula>G88</formula>
    </cfRule>
  </conditionalFormatting>
  <conditionalFormatting sqref="J63">
    <cfRule type="cellIs" dxfId="21" priority="44" operator="greaterThan">
      <formula>J64</formula>
    </cfRule>
    <cfRule type="cellIs" dxfId="20" priority="45" operator="lessThan">
      <formula>J64</formula>
    </cfRule>
  </conditionalFormatting>
  <conditionalFormatting sqref="J65:J66">
    <cfRule type="cellIs" dxfId="19" priority="4" operator="greaterThan">
      <formula>J77</formula>
    </cfRule>
    <cfRule type="cellIs" dxfId="18" priority="3" operator="lessThan">
      <formula>J77</formula>
    </cfRule>
  </conditionalFormatting>
  <conditionalFormatting sqref="J75">
    <cfRule type="cellIs" dxfId="17" priority="50" operator="greaterThan">
      <formula>J78</formula>
    </cfRule>
    <cfRule type="cellIs" dxfId="16" priority="51" operator="lessThan">
      <formula>J78</formula>
    </cfRule>
  </conditionalFormatting>
  <conditionalFormatting sqref="J81">
    <cfRule type="cellIs" dxfId="15" priority="32" operator="greaterThan">
      <formula>5</formula>
    </cfRule>
  </conditionalFormatting>
  <conditionalFormatting sqref="J87">
    <cfRule type="cellIs" dxfId="14" priority="18" operator="greaterThan">
      <formula>J88</formula>
    </cfRule>
    <cfRule type="cellIs" dxfId="13" priority="17" operator="lessThan">
      <formula>J88</formula>
    </cfRule>
  </conditionalFormatting>
  <conditionalFormatting sqref="M63">
    <cfRule type="cellIs" dxfId="12" priority="42" operator="greaterThan">
      <formula>M64</formula>
    </cfRule>
    <cfRule type="cellIs" dxfId="11" priority="43" operator="lessThan">
      <formula>M64</formula>
    </cfRule>
  </conditionalFormatting>
  <conditionalFormatting sqref="M65:M66">
    <cfRule type="cellIs" dxfId="10" priority="1" operator="lessThan">
      <formula>M77</formula>
    </cfRule>
    <cfRule type="cellIs" dxfId="9" priority="2" operator="greaterThan">
      <formula>M77</formula>
    </cfRule>
  </conditionalFormatting>
  <conditionalFormatting sqref="M75">
    <cfRule type="cellIs" dxfId="8" priority="49" operator="lessThan">
      <formula>M78</formula>
    </cfRule>
    <cfRule type="cellIs" dxfId="7" priority="48" operator="greaterThan">
      <formula>M78</formula>
    </cfRule>
  </conditionalFormatting>
  <conditionalFormatting sqref="M81">
    <cfRule type="cellIs" dxfId="6" priority="31" operator="greaterThan">
      <formula>5</formula>
    </cfRule>
  </conditionalFormatting>
  <conditionalFormatting sqref="M87">
    <cfRule type="cellIs" dxfId="5" priority="16" operator="greaterThan">
      <formula>M88</formula>
    </cfRule>
    <cfRule type="cellIs" dxfId="4" priority="15" operator="lessThan">
      <formula>M88</formula>
    </cfRule>
  </conditionalFormatting>
  <conditionalFormatting sqref="N113">
    <cfRule type="cellIs" dxfId="3" priority="9" operator="greaterThan">
      <formula>N114*1.05</formula>
    </cfRule>
  </conditionalFormatting>
  <conditionalFormatting sqref="R111">
    <cfRule type="cellIs" dxfId="2" priority="7" operator="greaterThan">
      <formula>0</formula>
    </cfRule>
    <cfRule type="cellIs" dxfId="1" priority="8" operator="lessThan">
      <formula>0</formula>
    </cfRule>
  </conditionalFormatting>
  <pageMargins left="0.7" right="0.7" top="0.75" bottom="0.75" header="0.3" footer="0.3"/>
  <pageSetup orientation="portrait" r:id="rId1"/>
  <headerFooter>
    <oddHeader>&amp;R&amp;"Calibri"&amp;10&amp;K000000 Confidencial&amp;1#_x000D_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420D2-6847-4E97-904F-1A8FC7EA1516}">
  <sheetPr codeName="Sheet23"/>
  <dimension ref="C3:P19"/>
  <sheetViews>
    <sheetView topLeftCell="C1" zoomScale="98" workbookViewId="0">
      <selection activeCell="J8" sqref="C3:P19"/>
    </sheetView>
  </sheetViews>
  <sheetFormatPr baseColWidth="10" defaultColWidth="8.88671875" defaultRowHeight="14.4" x14ac:dyDescent="0.3"/>
  <cols>
    <col min="3" max="3" width="21.88671875" bestFit="1" customWidth="1"/>
    <col min="4" max="4" width="13.5546875" bestFit="1" customWidth="1"/>
    <col min="5" max="15" width="13.44140625" bestFit="1" customWidth="1"/>
  </cols>
  <sheetData>
    <row r="3" spans="3:16" ht="18" x14ac:dyDescent="0.35">
      <c r="D3" s="26">
        <v>1</v>
      </c>
      <c r="E3" s="26">
        <v>2</v>
      </c>
      <c r="F3" s="26">
        <v>3</v>
      </c>
      <c r="G3" s="26">
        <v>4</v>
      </c>
      <c r="H3" s="26">
        <v>5</v>
      </c>
      <c r="I3" s="26">
        <v>6</v>
      </c>
      <c r="J3" s="26">
        <v>7</v>
      </c>
      <c r="K3" s="26">
        <v>8</v>
      </c>
      <c r="L3" s="26">
        <v>9</v>
      </c>
      <c r="M3" s="26">
        <v>10</v>
      </c>
      <c r="N3" s="26">
        <v>11</v>
      </c>
      <c r="O3" s="26">
        <v>12</v>
      </c>
      <c r="P3" s="27">
        <v>2025</v>
      </c>
    </row>
    <row r="4" spans="3:16" x14ac:dyDescent="0.3">
      <c r="C4" s="70" t="s">
        <v>1576</v>
      </c>
      <c r="D4" s="1">
        <f>'IS (BEAR)'!O22</f>
        <v>15516402.120000001</v>
      </c>
      <c r="E4" s="1">
        <f>'IS (BEAR)'!P22</f>
        <v>15076232.680000002</v>
      </c>
      <c r="F4" s="1">
        <f>'IS (BEAR)'!Q22</f>
        <v>11706632.059999999</v>
      </c>
      <c r="G4" s="1">
        <f>'IS (BEAR)'!R22</f>
        <v>18261532.0524</v>
      </c>
      <c r="H4" s="1">
        <f>'IS (BEAR)'!S22</f>
        <v>26185074.719999999</v>
      </c>
      <c r="I4" s="1">
        <f>'IS (BEAR)'!T22</f>
        <v>22225295.539999999</v>
      </c>
      <c r="J4" s="1">
        <f>'IS (BEAR)'!U22</f>
        <v>13984483.380000001</v>
      </c>
      <c r="K4" s="1">
        <f>'IS (BEAR)'!V22</f>
        <v>14124371.52</v>
      </c>
      <c r="L4" s="1">
        <f>'IS (BEAR)'!W22</f>
        <v>19872991.739999998</v>
      </c>
      <c r="M4" s="1">
        <f>'IS (BEAR)'!X22</f>
        <v>17721054.82</v>
      </c>
      <c r="N4" s="1">
        <f>'IS (BEAR)'!Y22</f>
        <v>20606736.359999999</v>
      </c>
      <c r="O4" s="1">
        <f>'IS (BEAR)'!Z22</f>
        <v>19724736.359999999</v>
      </c>
    </row>
    <row r="5" spans="3:16" x14ac:dyDescent="0.3">
      <c r="C5" s="71" t="s">
        <v>1577</v>
      </c>
      <c r="D5" s="61">
        <f>'IS (BEAR)'!O24+'IS (BEAR)'!O27</f>
        <v>6529941.3212000011</v>
      </c>
      <c r="E5" s="61">
        <f>'IS (BEAR)'!P24+'IS (BEAR)'!P27</f>
        <v>6705092.7268000003</v>
      </c>
      <c r="F5" s="61">
        <f>'IS (BEAR)'!Q24+'IS (BEAR)'!Q27</f>
        <v>5075636.9106000001</v>
      </c>
      <c r="G5" s="61">
        <f>'IS (BEAR)'!R24+'IS (BEAR)'!R27</f>
        <v>7677814.6248481395</v>
      </c>
      <c r="H5" s="61">
        <f>'IS (BEAR)'!S24+'IS (BEAR)'!S27</f>
        <v>12592068.507199999</v>
      </c>
      <c r="I5" s="61">
        <f>'IS (BEAR)'!T24+'IS (BEAR)'!T27</f>
        <v>10553689.455399999</v>
      </c>
      <c r="J5" s="61">
        <f>'IS (BEAR)'!U24+'IS (BEAR)'!U27</f>
        <v>6234785.3338000001</v>
      </c>
      <c r="K5" s="61">
        <f>'IS (BEAR)'!V24+'IS (BEAR)'!V27</f>
        <v>6307555.7152000004</v>
      </c>
      <c r="L5" s="61">
        <f>'IS (BEAR)'!W24+'IS (BEAR)'!W27</f>
        <v>9298011.4174000006</v>
      </c>
      <c r="M5" s="61">
        <f>'IS (BEAR)'!X24+'IS (BEAR)'!X27</f>
        <v>8178565.0482000001</v>
      </c>
      <c r="N5" s="61">
        <f>'IS (BEAR)'!Y24+'IS (BEAR)'!Y27</f>
        <v>9679708.3636000007</v>
      </c>
      <c r="O5" s="61">
        <f>'IS (BEAR)'!Z24+'IS (BEAR)'!Z27</f>
        <v>9220888.3636000007</v>
      </c>
    </row>
    <row r="6" spans="3:16" x14ac:dyDescent="0.3">
      <c r="C6" s="71" t="s">
        <v>1578</v>
      </c>
      <c r="D6" s="61">
        <f>'IS (BEAR)'!O29</f>
        <v>3242912.49</v>
      </c>
      <c r="E6" s="61">
        <f>'IS (BEAR)'!P29</f>
        <v>2305460.1800000002</v>
      </c>
      <c r="F6" s="61">
        <f>'IS (BEAR)'!Q29</f>
        <v>1682872.15</v>
      </c>
      <c r="G6" s="61">
        <f>'IS (BEAR)'!R29</f>
        <v>1795060.8717747489</v>
      </c>
      <c r="H6" s="61">
        <f>'IS (BEAR)'!S29</f>
        <v>1795060.8717747489</v>
      </c>
      <c r="I6" s="61">
        <f>'IS (BEAR)'!T29</f>
        <v>1795060.8717747489</v>
      </c>
      <c r="J6" s="61">
        <f>'IS (BEAR)'!U29</f>
        <v>1795060.8717747501</v>
      </c>
      <c r="K6" s="61">
        <f>'IS (BEAR)'!V29</f>
        <v>1388185.8717747501</v>
      </c>
      <c r="L6" s="61">
        <f>'IS (BEAR)'!W29</f>
        <v>1388185.8717747501</v>
      </c>
      <c r="M6" s="61">
        <f>'IS (BEAR)'!X29</f>
        <v>1388185.8717747501</v>
      </c>
      <c r="N6" s="61">
        <f>'IS (BEAR)'!Y29</f>
        <v>1388185.8717747501</v>
      </c>
      <c r="O6" s="61">
        <f>'IS (BEAR)'!Z29</f>
        <v>1388185.8717747501</v>
      </c>
    </row>
    <row r="7" spans="3:16" x14ac:dyDescent="0.3">
      <c r="C7" s="71" t="s">
        <v>1579</v>
      </c>
      <c r="D7" s="61">
        <f>SUM('IS (BEAR)'!O30:O32)+SUM('IS (BEAR)'!O37:O39)+SUM('IS (BEAR)'!O42:O45)+'IS (BEAR)'!O62</f>
        <v>1933930.2001778791</v>
      </c>
      <c r="E7" s="61">
        <f>SUM('IS (BEAR)'!P30:P32)+SUM('IS (BEAR)'!P37:P39)+SUM('IS (BEAR)'!P42:P45)+'IS (BEAR)'!P62</f>
        <v>1972505.4830642161</v>
      </c>
      <c r="F7" s="61">
        <f>SUM('IS (BEAR)'!Q30:Q32)+SUM('IS (BEAR)'!Q37:Q39)+SUM('IS (BEAR)'!Q42:Q45)+'IS (BEAR)'!Q62</f>
        <v>2129116.6935251895</v>
      </c>
      <c r="G7" s="61">
        <f>SUM('IS (BEAR)'!R30:R32)+SUM('IS (BEAR)'!R37:R39)+SUM('IS (BEAR)'!R42:R45)+'IS (BEAR)'!R62</f>
        <v>2459352.821294928</v>
      </c>
      <c r="H7" s="61">
        <f>SUM('IS (BEAR)'!S30:S32)+SUM('IS (BEAR)'!S37:S39)+SUM('IS (BEAR)'!S42:S45)+'IS (BEAR)'!S62</f>
        <v>2633419.2289427919</v>
      </c>
      <c r="I7" s="61">
        <f>SUM('IS (BEAR)'!T30:T32)+SUM('IS (BEAR)'!T37:T39)+SUM('IS (BEAR)'!T42:T45)+'IS (BEAR)'!T62</f>
        <v>2552937.429867676</v>
      </c>
      <c r="J7" s="61">
        <f>SUM('IS (BEAR)'!U30:U32)+SUM('IS (BEAR)'!U37:U39)+SUM('IS (BEAR)'!U42:U45)+'IS (BEAR)'!U62</f>
        <v>2413961.281899171</v>
      </c>
      <c r="K7" s="61">
        <f>SUM('IS (BEAR)'!V30:V32)+SUM('IS (BEAR)'!V37:V39)+SUM('IS (BEAR)'!V42:V45)+'IS (BEAR)'!V62</f>
        <v>2384384.9793673647</v>
      </c>
      <c r="L7" s="61">
        <f>SUM('IS (BEAR)'!W30:W32)+SUM('IS (BEAR)'!W37:W39)+SUM('IS (BEAR)'!W42:W45)+'IS (BEAR)'!W62</f>
        <v>2512162.491075187</v>
      </c>
      <c r="M7" s="61">
        <f>SUM('IS (BEAR)'!X30:X32)+SUM('IS (BEAR)'!X37:X39)+SUM('IS (BEAR)'!X42:X45)+'IS (BEAR)'!X62</f>
        <v>2499894.175311428</v>
      </c>
      <c r="N7" s="61">
        <f>SUM('IS (BEAR)'!Y30:Y32)+SUM('IS (BEAR)'!Y37:Y39)+SUM('IS (BEAR)'!Y42:Y45)+'IS (BEAR)'!Y62</f>
        <v>2533881.1066711242</v>
      </c>
      <c r="O7" s="61">
        <f>SUM('IS (BEAR)'!Z30:Z32)+SUM('IS (BEAR)'!Z37:Z39)+SUM('IS (BEAR)'!Z42:Z45)+'IS (BEAR)'!Z62</f>
        <v>2519822.1501017432</v>
      </c>
    </row>
    <row r="8" spans="3:16" x14ac:dyDescent="0.3">
      <c r="C8" s="70" t="s">
        <v>1580</v>
      </c>
      <c r="D8" s="1">
        <f>D4-D5-D6-D7</f>
        <v>3809618.1086221198</v>
      </c>
      <c r="E8" s="1">
        <f t="shared" ref="E8:O8" si="0">E4-E5-E6-E7</f>
        <v>4093174.2901357855</v>
      </c>
      <c r="F8" s="1">
        <f t="shared" si="0"/>
        <v>2819006.3058748096</v>
      </c>
      <c r="G8" s="1">
        <f t="shared" si="0"/>
        <v>6329303.7344821859</v>
      </c>
      <c r="H8" s="1">
        <f t="shared" si="0"/>
        <v>9164526.112082459</v>
      </c>
      <c r="I8" s="1">
        <f t="shared" si="0"/>
        <v>7323607.7829575744</v>
      </c>
      <c r="J8" s="1">
        <f t="shared" si="0"/>
        <v>3540675.8925260799</v>
      </c>
      <c r="K8" s="1">
        <f t="shared" si="0"/>
        <v>4044244.9536578846</v>
      </c>
      <c r="L8" s="1">
        <f t="shared" si="0"/>
        <v>6674631.9597500609</v>
      </c>
      <c r="M8" s="1">
        <f t="shared" si="0"/>
        <v>5654409.7247138228</v>
      </c>
      <c r="N8" s="1">
        <f t="shared" si="0"/>
        <v>7004961.0179541241</v>
      </c>
      <c r="O8" s="1">
        <f t="shared" si="0"/>
        <v>6595839.9745235052</v>
      </c>
    </row>
    <row r="9" spans="3:16" x14ac:dyDescent="0.3">
      <c r="C9" s="71" t="s">
        <v>1581</v>
      </c>
      <c r="D9" s="61">
        <f>'IS (BEAR)'!O55</f>
        <v>506172.0528</v>
      </c>
      <c r="E9" s="61">
        <f>'IS (BEAR)'!P55</f>
        <v>468020.93580000004</v>
      </c>
      <c r="F9" s="61">
        <f>'IS (BEAR)'!Q55</f>
        <v>384122.14349999995</v>
      </c>
      <c r="G9" s="61">
        <f>'IS (BEAR)'!R55</f>
        <v>559026.49139999994</v>
      </c>
      <c r="H9" s="61">
        <f>'IS (BEAR)'!S55</f>
        <v>801583.91999999993</v>
      </c>
      <c r="I9" s="61">
        <f>'IS (BEAR)'!T55</f>
        <v>680366.19</v>
      </c>
      <c r="J9" s="61">
        <f>'IS (BEAR)'!U55</f>
        <v>428096.43</v>
      </c>
      <c r="K9" s="61">
        <f>'IS (BEAR)'!V55</f>
        <v>432378.72</v>
      </c>
      <c r="L9" s="61">
        <f>'IS (BEAR)'!W55</f>
        <v>608356.89</v>
      </c>
      <c r="M9" s="61">
        <f>'IS (BEAR)'!X55</f>
        <v>542481.27</v>
      </c>
      <c r="N9" s="61">
        <f>'IS (BEAR)'!Y55</f>
        <v>630818.46</v>
      </c>
      <c r="O9" s="61">
        <f>'IS (BEAR)'!Z55</f>
        <v>603818.46</v>
      </c>
    </row>
    <row r="10" spans="3:16" x14ac:dyDescent="0.3">
      <c r="C10" s="71" t="s">
        <v>1582</v>
      </c>
      <c r="D10" s="61">
        <f>'IS (BEAR)'!O46+'IS (BEAR)'!O47+'IS (BEAR)'!O49+'IS (BEAR)'!O48</f>
        <v>1363537.0535367839</v>
      </c>
      <c r="E10" s="61">
        <f ca="1">'IS (BEAR)'!P46+'IS (BEAR)'!P47+'IS (BEAR)'!P49+'IS (BEAR)'!P48</f>
        <v>1287151.9431887716</v>
      </c>
      <c r="F10" s="61">
        <f ca="1">'IS (BEAR)'!Q46+'IS (BEAR)'!Q47+'IS (BEAR)'!Q49+'IS (BEAR)'!Q48</f>
        <v>1337330.9640416109</v>
      </c>
      <c r="G10" s="61">
        <f ca="1">'IS (BEAR)'!R46+'IS (BEAR)'!R47+'IS (BEAR)'!R49+'IS (BEAR)'!R48</f>
        <v>1427449.2826648408</v>
      </c>
      <c r="H10" s="61">
        <f ca="1">'IS (BEAR)'!S46+'IS (BEAR)'!S47+'IS (BEAR)'!S49+'IS (BEAR)'!S48</f>
        <v>1414934.8368237147</v>
      </c>
      <c r="I10" s="61">
        <f ca="1">'IS (BEAR)'!T46+'IS (BEAR)'!T47+'IS (BEAR)'!T49+'IS (BEAR)'!T48</f>
        <v>1352069.0697581456</v>
      </c>
      <c r="J10" s="61">
        <f ca="1">'IS (BEAR)'!U46+'IS (BEAR)'!U47+'IS (BEAR)'!U49+'IS (BEAR)'!U48</f>
        <v>1425732.3247622163</v>
      </c>
      <c r="K10" s="61">
        <f ca="1">'IS (BEAR)'!V46+'IS (BEAR)'!V47+'IS (BEAR)'!V49+'IS (BEAR)'!V48</f>
        <v>1441458.243738746</v>
      </c>
      <c r="L10" s="61">
        <f ca="1">'IS (BEAR)'!W46+'IS (BEAR)'!W47+'IS (BEAR)'!W49+'IS (BEAR)'!W48</f>
        <v>1385639.009829897</v>
      </c>
      <c r="M10" s="61">
        <f ca="1">'IS (BEAR)'!X46+'IS (BEAR)'!X47+'IS (BEAR)'!X49+'IS (BEAR)'!X48</f>
        <v>1497051.6609424066</v>
      </c>
      <c r="N10" s="61">
        <f ca="1">'IS (BEAR)'!Y46+'IS (BEAR)'!Y47+'IS (BEAR)'!Y49+'IS (BEAR)'!Y48</f>
        <v>1463698.0362109384</v>
      </c>
      <c r="O10" s="61">
        <f ca="1">'IS (BEAR)'!Z46+'IS (BEAR)'!Z47+'IS (BEAR)'!Z49+'IS (BEAR)'!Z48</f>
        <v>1542312.7901230075</v>
      </c>
    </row>
    <row r="11" spans="3:16" x14ac:dyDescent="0.3">
      <c r="C11" s="71" t="s">
        <v>1583</v>
      </c>
      <c r="D11" s="61">
        <f>SUM('IS (BEAR)'!O50:'IS (BEAR)'!O54)+'IS (BEAR)'!O56+'IS (BEAR)'!O57+'IS (BEAR)'!O58</f>
        <v>1456951.5769829222</v>
      </c>
      <c r="E11" s="61">
        <f>SUM('IS (BEAR)'!P50:'IS (BEAR)'!P54)+'IS (BEAR)'!P56+'IS (BEAR)'!P57+'IS (BEAR)'!P58</f>
        <v>1537704.3908162552</v>
      </c>
      <c r="F11" s="61">
        <f>SUM('IS (BEAR)'!Q50:'IS (BEAR)'!Q54)+'IS (BEAR)'!Q56+'IS (BEAR)'!Q57+'IS (BEAR)'!Q58</f>
        <v>1523721.2587662553</v>
      </c>
      <c r="G11" s="61">
        <f>SUM('IS (BEAR)'!R50:'IS (BEAR)'!R54)+'IS (BEAR)'!R56+'IS (BEAR)'!R57+'IS (BEAR)'!R58</f>
        <v>1552871.9834162553</v>
      </c>
      <c r="H11" s="61">
        <f>SUM('IS (BEAR)'!S50:'IS (BEAR)'!S54)+'IS (BEAR)'!S56+'IS (BEAR)'!S57+'IS (BEAR)'!S58</f>
        <v>1553298.2215162553</v>
      </c>
      <c r="I11" s="61">
        <f>SUM('IS (BEAR)'!T50:'IS (BEAR)'!T54)+'IS (BEAR)'!T56+'IS (BEAR)'!T57+'IS (BEAR)'!T58</f>
        <v>1590983.9331829222</v>
      </c>
      <c r="J11" s="61">
        <f>SUM('IS (BEAR)'!U50:'IS (BEAR)'!U54)+'IS (BEAR)'!U56+'IS (BEAR)'!U57+'IS (BEAR)'!U58</f>
        <v>1548938.973182922</v>
      </c>
      <c r="K11" s="61">
        <f>SUM('IS (BEAR)'!V50:'IS (BEAR)'!V54)+'IS (BEAR)'!V56+'IS (BEAR)'!V57+'IS (BEAR)'!V58</f>
        <v>1524652.6881829221</v>
      </c>
      <c r="L11" s="61">
        <f>SUM('IS (BEAR)'!W50:'IS (BEAR)'!W54)+'IS (BEAR)'!W56+'IS (BEAR)'!W57+'IS (BEAR)'!W58</f>
        <v>1553982.3831829221</v>
      </c>
      <c r="M11" s="61">
        <f>SUM('IS (BEAR)'!X50:'IS (BEAR)'!X54)+'IS (BEAR)'!X56+'IS (BEAR)'!X57+'IS (BEAR)'!X58</f>
        <v>1543003.1131829221</v>
      </c>
      <c r="N11" s="61">
        <f>SUM('IS (BEAR)'!Y50:'IS (BEAR)'!Y54)+'IS (BEAR)'!Y56+'IS (BEAR)'!Y57+'IS (BEAR)'!Y58</f>
        <v>1557725.9781829221</v>
      </c>
      <c r="O11" s="61">
        <f>SUM('IS (BEAR)'!Z50:'IS (BEAR)'!Z54)+'IS (BEAR)'!Z56+'IS (BEAR)'!Z57+'IS (BEAR)'!Z58</f>
        <v>1553225.9781829221</v>
      </c>
    </row>
    <row r="12" spans="3:16" x14ac:dyDescent="0.3">
      <c r="C12" s="70" t="s">
        <v>1584</v>
      </c>
      <c r="D12" s="1">
        <f>D8-D9-D10-D11</f>
        <v>482957.42530241353</v>
      </c>
      <c r="E12" s="1">
        <f t="shared" ref="E12:O12" ca="1" si="1">E8-E9-E10-E11</f>
        <v>800297.02033075853</v>
      </c>
      <c r="F12" s="1">
        <f t="shared" ca="1" si="1"/>
        <v>-426168.06043305644</v>
      </c>
      <c r="G12" s="1">
        <f t="shared" ca="1" si="1"/>
        <v>2789955.9770010896</v>
      </c>
      <c r="H12" s="1">
        <f t="shared" ca="1" si="1"/>
        <v>5394709.1337424889</v>
      </c>
      <c r="I12" s="1">
        <f t="shared" ca="1" si="1"/>
        <v>3700188.5900165075</v>
      </c>
      <c r="J12" s="1">
        <f t="shared" ca="1" si="1"/>
        <v>137908.16458094143</v>
      </c>
      <c r="K12" s="1">
        <f t="shared" ca="1" si="1"/>
        <v>645755.30173621606</v>
      </c>
      <c r="L12" s="1">
        <f t="shared" ca="1" si="1"/>
        <v>3126653.6767372414</v>
      </c>
      <c r="M12" s="1">
        <f t="shared" ca="1" si="1"/>
        <v>2071873.6805884948</v>
      </c>
      <c r="N12" s="1">
        <f t="shared" ca="1" si="1"/>
        <v>3352718.5435602637</v>
      </c>
      <c r="O12" s="1">
        <f t="shared" ca="1" si="1"/>
        <v>2896482.7462175759</v>
      </c>
    </row>
    <row r="13" spans="3:16" x14ac:dyDescent="0.3">
      <c r="C13" s="71" t="s">
        <v>1585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3:16" x14ac:dyDescent="0.3">
      <c r="C14" s="70" t="s">
        <v>1586</v>
      </c>
      <c r="D14" s="1">
        <f>D12-D13</f>
        <v>482957.42530241353</v>
      </c>
      <c r="E14" s="1">
        <f t="shared" ref="E14:O14" ca="1" si="2">E12-E13</f>
        <v>800297.02033075853</v>
      </c>
      <c r="F14" s="1">
        <f t="shared" ca="1" si="2"/>
        <v>-426168.06043305644</v>
      </c>
      <c r="G14" s="1">
        <f t="shared" ca="1" si="2"/>
        <v>2789955.9770010896</v>
      </c>
      <c r="H14" s="1">
        <f t="shared" ca="1" si="2"/>
        <v>5394709.1337424889</v>
      </c>
      <c r="I14" s="1">
        <f t="shared" ca="1" si="2"/>
        <v>3700188.5900165075</v>
      </c>
      <c r="J14" s="1">
        <f t="shared" ca="1" si="2"/>
        <v>137908.16458094143</v>
      </c>
      <c r="K14" s="1">
        <f t="shared" ca="1" si="2"/>
        <v>645755.30173621606</v>
      </c>
      <c r="L14" s="1">
        <f t="shared" ca="1" si="2"/>
        <v>3126653.6767372414</v>
      </c>
      <c r="M14" s="1">
        <f t="shared" ca="1" si="2"/>
        <v>2071873.6805884948</v>
      </c>
      <c r="N14" s="1">
        <f t="shared" ca="1" si="2"/>
        <v>3352718.5435602637</v>
      </c>
      <c r="O14" s="1">
        <f t="shared" ca="1" si="2"/>
        <v>2896482.7462175759</v>
      </c>
    </row>
    <row r="15" spans="3:16" x14ac:dyDescent="0.3">
      <c r="C15" s="71" t="s">
        <v>1587</v>
      </c>
      <c r="D15" s="1">
        <f>'IS (BEAR)'!O63</f>
        <v>1261340.8</v>
      </c>
      <c r="E15" s="1">
        <f>'IS (BEAR)'!P63</f>
        <v>1276737.3500000001</v>
      </c>
      <c r="F15" s="1">
        <f>'IS (BEAR)'!Q63</f>
        <v>986915.25</v>
      </c>
      <c r="G15" s="1">
        <f>'IS (BEAR)'!R63</f>
        <v>1805132.1111396537</v>
      </c>
      <c r="H15" s="1">
        <f>'IS (BEAR)'!S63</f>
        <v>1860081.8482579817</v>
      </c>
      <c r="I15" s="1">
        <f>'IS (BEAR)'!T63</f>
        <v>1853809.4197212798</v>
      </c>
      <c r="J15" s="1">
        <f>'IS (BEAR)'!U63</f>
        <v>1846752.0393315698</v>
      </c>
      <c r="K15" s="1">
        <f>'IS (BEAR)'!V63</f>
        <v>1840350.9697805815</v>
      </c>
      <c r="L15" s="1">
        <f>'IS (BEAR)'!W63</f>
        <v>1833847.2825281429</v>
      </c>
      <c r="M15" s="1">
        <f>'IS (BEAR)'!X63</f>
        <v>1826643.4020072627</v>
      </c>
      <c r="N15" s="1">
        <f>'IS (BEAR)'!Y63</f>
        <v>1819990.2942983801</v>
      </c>
      <c r="O15" s="1">
        <f>'IS (BEAR)'!Z63</f>
        <v>1813228.6754476232</v>
      </c>
    </row>
    <row r="16" spans="3:16" x14ac:dyDescent="0.3">
      <c r="C16" s="71" t="s">
        <v>1588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3:15" x14ac:dyDescent="0.3">
      <c r="C17" s="70" t="s">
        <v>1589</v>
      </c>
      <c r="D17" s="1">
        <f>D14-D15</f>
        <v>-778383.37469758652</v>
      </c>
      <c r="E17" s="1">
        <f t="shared" ref="E17:O17" ca="1" si="3">E14-E15</f>
        <v>-476440.32966924156</v>
      </c>
      <c r="F17" s="1">
        <f t="shared" ca="1" si="3"/>
        <v>-1413083.3104330564</v>
      </c>
      <c r="G17" s="1">
        <f t="shared" ca="1" si="3"/>
        <v>984823.86586143589</v>
      </c>
      <c r="H17" s="1">
        <f t="shared" ca="1" si="3"/>
        <v>3534627.2854845072</v>
      </c>
      <c r="I17" s="1">
        <f t="shared" ca="1" si="3"/>
        <v>1846379.1702952278</v>
      </c>
      <c r="J17" s="1">
        <f t="shared" ca="1" si="3"/>
        <v>-1708843.8747506284</v>
      </c>
      <c r="K17" s="1">
        <f t="shared" ca="1" si="3"/>
        <v>-1194595.6680443655</v>
      </c>
      <c r="L17" s="1">
        <f t="shared" ca="1" si="3"/>
        <v>1292806.3942090985</v>
      </c>
      <c r="M17" s="1">
        <f t="shared" ca="1" si="3"/>
        <v>245230.27858123207</v>
      </c>
      <c r="N17" s="1">
        <f t="shared" ca="1" si="3"/>
        <v>1532728.2492618836</v>
      </c>
      <c r="O17" s="1">
        <f t="shared" ca="1" si="3"/>
        <v>1083254.0707699526</v>
      </c>
    </row>
    <row r="18" spans="3:15" x14ac:dyDescent="0.3">
      <c r="C18" s="71" t="s">
        <v>31</v>
      </c>
      <c r="D18" s="1">
        <f>IF(D17&gt;0,D17*0.3,0)</f>
        <v>0</v>
      </c>
      <c r="E18" s="1">
        <f t="shared" ref="E18:O18" ca="1" si="4">IF(E17&gt;0,E17*0.3,0)</f>
        <v>0</v>
      </c>
      <c r="F18" s="1">
        <f t="shared" ca="1" si="4"/>
        <v>0</v>
      </c>
      <c r="G18" s="1">
        <f t="shared" ca="1" si="4"/>
        <v>295447.15975843073</v>
      </c>
      <c r="H18" s="1">
        <f t="shared" ca="1" si="4"/>
        <v>1060388.1856453521</v>
      </c>
      <c r="I18" s="1">
        <f t="shared" ca="1" si="4"/>
        <v>553913.75108856836</v>
      </c>
      <c r="J18" s="1">
        <f t="shared" ca="1" si="4"/>
        <v>0</v>
      </c>
      <c r="K18" s="1">
        <f t="shared" ca="1" si="4"/>
        <v>0</v>
      </c>
      <c r="L18" s="1">
        <f t="shared" ca="1" si="4"/>
        <v>387841.91826272954</v>
      </c>
      <c r="M18" s="1">
        <f t="shared" ca="1" si="4"/>
        <v>73569.083574369623</v>
      </c>
      <c r="N18" s="1">
        <f t="shared" ca="1" si="4"/>
        <v>459818.47477856505</v>
      </c>
      <c r="O18" s="1">
        <f t="shared" ca="1" si="4"/>
        <v>324976.22123098577</v>
      </c>
    </row>
    <row r="19" spans="3:15" ht="15.6" x14ac:dyDescent="0.3">
      <c r="C19" s="72" t="s">
        <v>1590</v>
      </c>
      <c r="D19" s="1">
        <f>D17-D18</f>
        <v>-778383.37469758652</v>
      </c>
      <c r="E19" s="1">
        <f t="shared" ref="E19:O19" ca="1" si="5">E17-E18</f>
        <v>-476440.32966924156</v>
      </c>
      <c r="F19" s="1">
        <f t="shared" ca="1" si="5"/>
        <v>-1413083.3104330564</v>
      </c>
      <c r="G19" s="1">
        <f t="shared" ca="1" si="5"/>
        <v>689376.70610300521</v>
      </c>
      <c r="H19" s="1">
        <f t="shared" ca="1" si="5"/>
        <v>2474239.0998391551</v>
      </c>
      <c r="I19" s="1">
        <f t="shared" ca="1" si="5"/>
        <v>1292465.4192066593</v>
      </c>
      <c r="J19" s="1">
        <f t="shared" ca="1" si="5"/>
        <v>-1708843.8747506284</v>
      </c>
      <c r="K19" s="1">
        <f t="shared" ca="1" si="5"/>
        <v>-1194595.6680443655</v>
      </c>
      <c r="L19" s="1">
        <f t="shared" ca="1" si="5"/>
        <v>904964.475946369</v>
      </c>
      <c r="M19" s="1">
        <f t="shared" ca="1" si="5"/>
        <v>171661.19500686246</v>
      </c>
      <c r="N19" s="1">
        <f t="shared" ca="1" si="5"/>
        <v>1072909.7744833184</v>
      </c>
      <c r="O19" s="1">
        <f t="shared" ca="1" si="5"/>
        <v>758277.84953896678</v>
      </c>
    </row>
  </sheetData>
  <pageMargins left="0.7" right="0.7" top="0.75" bottom="0.75" header="0.3" footer="0.3"/>
  <headerFooter>
    <oddHeader>&amp;R&amp;"Calibri"&amp;10&amp;K000000 Confidencial&amp;1#_x000D_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A08FE-72B3-42DE-BDB7-76F9BB5EA351}">
  <sheetPr codeName="Sheet1"/>
  <dimension ref="B8:AZ74"/>
  <sheetViews>
    <sheetView tabSelected="1" topLeftCell="A10" zoomScale="70" workbookViewId="0">
      <pane xSplit="14" ySplit="5" topLeftCell="O15" activePane="bottomRight" state="frozen"/>
      <selection activeCell="A10" sqref="A10"/>
      <selection pane="topRight" activeCell="O10" sqref="O10"/>
      <selection pane="bottomLeft" activeCell="A15" sqref="A15"/>
      <selection pane="bottomRight" activeCell="B61" sqref="B61"/>
    </sheetView>
  </sheetViews>
  <sheetFormatPr baseColWidth="10" defaultColWidth="8.88671875" defaultRowHeight="18" outlineLevelCol="1" x14ac:dyDescent="0.35"/>
  <cols>
    <col min="1" max="1" width="8.88671875" style="26"/>
    <col min="2" max="2" width="45.88671875" style="26" customWidth="1"/>
    <col min="3" max="3" width="12" style="26" hidden="1" customWidth="1" outlineLevel="1"/>
    <col min="4" max="13" width="8.88671875" style="26" hidden="1" customWidth="1" outlineLevel="1"/>
    <col min="14" max="14" width="11" style="26" hidden="1" customWidth="1" outlineLevel="1"/>
    <col min="15" max="15" width="15.109375" style="26" customWidth="1" collapsed="1"/>
    <col min="16" max="17" width="15.109375" style="26" customWidth="1"/>
    <col min="18" max="20" width="15.88671875" style="26" customWidth="1"/>
    <col min="21" max="22" width="14" style="26" customWidth="1"/>
    <col min="23" max="26" width="15.109375" style="26" customWidth="1"/>
    <col min="27" max="27" width="16.44140625" style="27" bestFit="1" customWidth="1"/>
    <col min="28" max="28" width="16.44140625" style="233" customWidth="1"/>
    <col min="29" max="29" width="14" style="26" bestFit="1" customWidth="1"/>
    <col min="30" max="16384" width="8.88671875" style="26"/>
  </cols>
  <sheetData>
    <row r="8" spans="2:52" x14ac:dyDescent="0.35">
      <c r="B8" s="28" t="s">
        <v>1001</v>
      </c>
    </row>
    <row r="10" spans="2:52" x14ac:dyDescent="0.35">
      <c r="B10" s="26" t="s">
        <v>0</v>
      </c>
    </row>
    <row r="11" spans="2:52" x14ac:dyDescent="0.35">
      <c r="B11" s="26" t="s">
        <v>1</v>
      </c>
      <c r="C11" s="26">
        <v>1</v>
      </c>
      <c r="D11" s="26">
        <v>2</v>
      </c>
      <c r="E11" s="26">
        <v>3</v>
      </c>
      <c r="F11" s="26">
        <v>4</v>
      </c>
      <c r="G11" s="26">
        <v>5</v>
      </c>
      <c r="H11" s="26">
        <v>6</v>
      </c>
      <c r="I11" s="26">
        <v>7</v>
      </c>
      <c r="J11" s="26">
        <v>8</v>
      </c>
      <c r="K11" s="26">
        <v>9</v>
      </c>
      <c r="L11" s="26">
        <v>10</v>
      </c>
      <c r="M11" s="26">
        <v>11</v>
      </c>
      <c r="N11" s="26">
        <v>12</v>
      </c>
      <c r="O11" s="26">
        <v>1</v>
      </c>
      <c r="P11" s="26">
        <v>2</v>
      </c>
      <c r="Q11" s="26">
        <v>3</v>
      </c>
      <c r="R11" s="26">
        <v>4</v>
      </c>
      <c r="S11" s="26">
        <v>5</v>
      </c>
      <c r="T11" s="26">
        <v>6</v>
      </c>
      <c r="U11" s="26">
        <v>7</v>
      </c>
      <c r="V11" s="26">
        <v>8</v>
      </c>
      <c r="W11" s="26">
        <v>9</v>
      </c>
      <c r="X11" s="26">
        <v>10</v>
      </c>
      <c r="Y11" s="26">
        <v>11</v>
      </c>
      <c r="Z11" s="26">
        <v>12</v>
      </c>
      <c r="AA11" s="27">
        <v>2025</v>
      </c>
      <c r="AC11" s="26">
        <v>1</v>
      </c>
      <c r="AD11" s="26">
        <v>2</v>
      </c>
      <c r="AE11" s="26">
        <v>3</v>
      </c>
      <c r="AF11" s="26">
        <v>4</v>
      </c>
      <c r="AG11" s="26">
        <v>5</v>
      </c>
      <c r="AH11" s="26">
        <v>6</v>
      </c>
      <c r="AI11" s="26">
        <v>7</v>
      </c>
      <c r="AJ11" s="26">
        <v>8</v>
      </c>
      <c r="AK11" s="26">
        <v>9</v>
      </c>
      <c r="AL11" s="26">
        <v>10</v>
      </c>
      <c r="AM11" s="26">
        <v>11</v>
      </c>
      <c r="AN11" s="26">
        <v>12</v>
      </c>
      <c r="AO11" s="26">
        <v>1</v>
      </c>
      <c r="AP11" s="26">
        <v>2</v>
      </c>
      <c r="AQ11" s="26">
        <v>3</v>
      </c>
      <c r="AR11" s="26">
        <v>4</v>
      </c>
      <c r="AS11" s="26">
        <v>5</v>
      </c>
      <c r="AT11" s="26">
        <v>6</v>
      </c>
      <c r="AU11" s="26">
        <v>7</v>
      </c>
      <c r="AV11" s="26">
        <v>8</v>
      </c>
      <c r="AW11" s="26">
        <v>9</v>
      </c>
      <c r="AX11" s="26">
        <v>10</v>
      </c>
      <c r="AY11" s="26">
        <v>11</v>
      </c>
      <c r="AZ11" s="26">
        <v>12</v>
      </c>
    </row>
    <row r="12" spans="2:52" hidden="1" x14ac:dyDescent="0.35">
      <c r="B12" s="26" t="s">
        <v>2</v>
      </c>
      <c r="C12" s="26">
        <v>1</v>
      </c>
      <c r="D12" s="26">
        <v>1</v>
      </c>
      <c r="E12" s="26">
        <v>1</v>
      </c>
      <c r="F12" s="26">
        <v>2</v>
      </c>
      <c r="G12" s="26">
        <v>2</v>
      </c>
      <c r="H12" s="26">
        <v>2</v>
      </c>
      <c r="I12" s="26">
        <v>3</v>
      </c>
      <c r="J12" s="26">
        <v>3</v>
      </c>
      <c r="K12" s="26">
        <v>3</v>
      </c>
      <c r="L12" s="26">
        <v>4</v>
      </c>
      <c r="M12" s="26">
        <v>4</v>
      </c>
      <c r="N12" s="26">
        <v>4</v>
      </c>
      <c r="O12" s="26">
        <v>1</v>
      </c>
      <c r="P12" s="26">
        <v>1</v>
      </c>
      <c r="Q12" s="26">
        <v>1</v>
      </c>
      <c r="R12" s="26">
        <v>2</v>
      </c>
      <c r="S12" s="26">
        <v>2</v>
      </c>
      <c r="T12" s="26">
        <v>2</v>
      </c>
      <c r="U12" s="26">
        <v>3</v>
      </c>
      <c r="V12" s="26">
        <v>3</v>
      </c>
      <c r="W12" s="26">
        <v>3</v>
      </c>
      <c r="X12" s="26">
        <v>4</v>
      </c>
      <c r="Y12" s="26">
        <v>4</v>
      </c>
      <c r="Z12" s="26">
        <v>4</v>
      </c>
      <c r="AC12" s="26">
        <v>1</v>
      </c>
      <c r="AD12" s="26">
        <v>1</v>
      </c>
      <c r="AE12" s="26">
        <v>1</v>
      </c>
      <c r="AF12" s="26">
        <v>2</v>
      </c>
      <c r="AG12" s="26">
        <v>2</v>
      </c>
      <c r="AH12" s="26">
        <v>2</v>
      </c>
      <c r="AI12" s="26">
        <v>3</v>
      </c>
      <c r="AJ12" s="26">
        <v>3</v>
      </c>
      <c r="AK12" s="26">
        <v>3</v>
      </c>
      <c r="AL12" s="26">
        <v>4</v>
      </c>
      <c r="AM12" s="26">
        <v>4</v>
      </c>
      <c r="AN12" s="26">
        <v>4</v>
      </c>
      <c r="AO12" s="26">
        <v>1</v>
      </c>
      <c r="AP12" s="26">
        <v>1</v>
      </c>
      <c r="AQ12" s="26">
        <v>1</v>
      </c>
      <c r="AR12" s="26">
        <v>2</v>
      </c>
      <c r="AS12" s="26">
        <v>2</v>
      </c>
      <c r="AT12" s="26">
        <v>2</v>
      </c>
      <c r="AU12" s="26">
        <v>3</v>
      </c>
      <c r="AV12" s="26">
        <v>3</v>
      </c>
      <c r="AW12" s="26">
        <v>3</v>
      </c>
      <c r="AX12" s="26">
        <v>4</v>
      </c>
      <c r="AY12" s="26">
        <v>4</v>
      </c>
      <c r="AZ12" s="26">
        <v>4</v>
      </c>
    </row>
    <row r="13" spans="2:52" hidden="1" x14ac:dyDescent="0.35">
      <c r="B13" s="26" t="s">
        <v>32</v>
      </c>
      <c r="C13" s="26">
        <v>2024</v>
      </c>
      <c r="D13" s="26">
        <v>2024</v>
      </c>
      <c r="E13" s="26">
        <v>2024</v>
      </c>
      <c r="F13" s="26">
        <v>2024</v>
      </c>
      <c r="G13" s="26">
        <v>2024</v>
      </c>
      <c r="H13" s="26">
        <v>2024</v>
      </c>
      <c r="I13" s="26">
        <v>2024</v>
      </c>
      <c r="J13" s="26">
        <v>2024</v>
      </c>
      <c r="K13" s="26">
        <v>2024</v>
      </c>
      <c r="L13" s="26">
        <v>2024</v>
      </c>
      <c r="M13" s="26">
        <v>2024</v>
      </c>
      <c r="N13" s="26">
        <v>2024</v>
      </c>
      <c r="O13" s="26">
        <v>2025</v>
      </c>
      <c r="P13" s="26">
        <v>2025</v>
      </c>
      <c r="Q13" s="26">
        <v>2025</v>
      </c>
      <c r="R13" s="26">
        <v>2025</v>
      </c>
      <c r="S13" s="26">
        <v>2025</v>
      </c>
      <c r="T13" s="26">
        <v>2025</v>
      </c>
      <c r="U13" s="26">
        <v>2025</v>
      </c>
      <c r="V13" s="26">
        <v>2025</v>
      </c>
      <c r="W13" s="26">
        <v>2025</v>
      </c>
      <c r="X13" s="26">
        <v>2025</v>
      </c>
      <c r="Y13" s="26">
        <v>2025</v>
      </c>
      <c r="Z13" s="26">
        <v>2025</v>
      </c>
      <c r="AC13" s="26">
        <v>2026</v>
      </c>
      <c r="AD13" s="26">
        <v>2026</v>
      </c>
      <c r="AE13" s="26">
        <v>2026</v>
      </c>
      <c r="AF13" s="26">
        <v>2026</v>
      </c>
      <c r="AG13" s="26">
        <v>2026</v>
      </c>
      <c r="AH13" s="26">
        <v>2026</v>
      </c>
      <c r="AI13" s="26">
        <v>2026</v>
      </c>
      <c r="AJ13" s="26">
        <v>2026</v>
      </c>
      <c r="AK13" s="26">
        <v>2026</v>
      </c>
      <c r="AL13" s="26">
        <v>2026</v>
      </c>
      <c r="AM13" s="26">
        <v>2026</v>
      </c>
      <c r="AN13" s="26">
        <v>2026</v>
      </c>
      <c r="AO13" s="26">
        <v>2027</v>
      </c>
      <c r="AP13" s="26">
        <v>2027</v>
      </c>
      <c r="AQ13" s="26">
        <v>2027</v>
      </c>
      <c r="AR13" s="26">
        <v>2027</v>
      </c>
      <c r="AS13" s="26">
        <v>2027</v>
      </c>
      <c r="AT13" s="26">
        <v>2027</v>
      </c>
      <c r="AU13" s="26">
        <v>2027</v>
      </c>
      <c r="AV13" s="26">
        <v>2027</v>
      </c>
      <c r="AW13" s="26">
        <v>2027</v>
      </c>
      <c r="AX13" s="26">
        <v>2027</v>
      </c>
      <c r="AY13" s="26">
        <v>2027</v>
      </c>
      <c r="AZ13" s="26">
        <v>2027</v>
      </c>
    </row>
    <row r="15" spans="2:52" x14ac:dyDescent="0.35">
      <c r="B15" s="29" t="s">
        <v>11</v>
      </c>
      <c r="O15" s="30">
        <f>INDEX(FCST___2024[], MATCH("TOTAL MAQUILA", FCST___2024[Cliente], 0), MATCH("FCST ENERO 2025",'FCST $ 2024'!1:1, 0))</f>
        <v>13029434.333333332</v>
      </c>
      <c r="P15" s="30">
        <f ca="1">OFFSET(INDEX(FCST___2024[], MATCH("TOTAL MAQUILA", FCST___2024[Cliente], 0), MATCH("FCST ENERO 2025",'FCST $ 2024'!1:1, 0)),0,O11)</f>
        <v>8313595.333333333</v>
      </c>
      <c r="Q15" s="30">
        <f ca="1">OFFSET(INDEX(FCST___2024[], MATCH("TOTAL MAQUILA", FCST___2024[Cliente], 0), MATCH("FCST ENERO 2025",'FCST $ 2024'!1:1, 0)),0,P11)</f>
        <v>7259284.333333333</v>
      </c>
      <c r="R15" s="30">
        <f ca="1">OFFSET(INDEX(FCST___2024[], MATCH("TOTAL MAQUILA", FCST___2024[Cliente], 0), MATCH("FCST ENERO 2025",'FCST $ 2024'!1:1, 0)),0,Q11)</f>
        <v>7351017.9999999981</v>
      </c>
      <c r="S15" s="30">
        <f ca="1">OFFSET(INDEX(FCST___2024[], MATCH("TOTAL MAQUILA", FCST___2024[Cliente], 0), MATCH("FCST ENERO 2025",'FCST $ 2024'!1:1, 0)),0,R11)</f>
        <v>7077286.9999999991</v>
      </c>
      <c r="T15" s="30">
        <f ca="1">OFFSET(INDEX(FCST___2024[], MATCH("TOTAL MAQUILA", FCST___2024[Cliente], 0), MATCH("FCST ENERO 2025",'FCST $ 2024'!1:1, 0)),0,S11)</f>
        <v>9906528</v>
      </c>
      <c r="U15" s="30">
        <f ca="1">OFFSET(INDEX(FCST___2024[], MATCH("TOTAL MAQUILA", FCST___2024[Cliente], 0), MATCH("FCST ENERO 2025",'FCST $ 2024'!1:1, 0)),0,T11)</f>
        <v>9649887</v>
      </c>
      <c r="V15" s="30">
        <f ca="1">OFFSET(INDEX(FCST___2024[], MATCH("TOTAL MAQUILA", FCST___2024[Cliente], 0), MATCH("FCST ENERO 2025",'FCST $ 2024'!1:1, 0)),0,U11)</f>
        <v>9163831</v>
      </c>
      <c r="W15" s="30">
        <f ca="1">OFFSET(INDEX(FCST___2024[], MATCH("TOTAL MAQUILA", FCST___2024[Cliente], 0), MATCH("FCST ENERO 2025",'FCST $ 2024'!1:1, 0)),0,V11)</f>
        <v>11527127.999999998</v>
      </c>
      <c r="X15" s="30">
        <f ca="1">OFFSET(INDEX(FCST___2024[], MATCH("TOTAL MAQUILA", FCST___2024[Cliente], 0), MATCH("FCST ENERO 2025",'FCST $ 2024'!1:1, 0)),0,W11)</f>
        <v>12736503.999999998</v>
      </c>
      <c r="Y15" s="30">
        <f ca="1">OFFSET(INDEX(FCST___2024[], MATCH("TOTAL MAQUILA", FCST___2024[Cliente], 0), MATCH("FCST ENERO 2025",'FCST $ 2024'!1:1, 0)),0,X11)</f>
        <v>14383097.999999998</v>
      </c>
      <c r="Z15" s="30">
        <f ca="1">OFFSET(INDEX(FCST___2024[], MATCH("TOTAL MAQUILA", FCST___2024[Cliente], 0), MATCH("FCST ENERO 2025",'FCST $ 2024'!1:1, 0)),0,Y11)</f>
        <v>12797887.000000002</v>
      </c>
      <c r="AA15" s="31">
        <f ca="1">SUM(O15:Z15)</f>
        <v>123195482</v>
      </c>
      <c r="AB15" s="234">
        <f ca="1">AA15/AA$22</f>
        <v>0.54002416254529362</v>
      </c>
    </row>
    <row r="16" spans="2:52" x14ac:dyDescent="0.35">
      <c r="B16" s="29" t="s">
        <v>12</v>
      </c>
      <c r="O16" s="30">
        <f>INDEX(BIOMIRAL_PVT_LBL[], MATCH("TOTAL INC NUEVOS CANALES", BIOMIRAL_PVT_LBL[Column3], 0), MATCH("MARCA PROPIA-ENE", 'BIOMIRAL PVT LBL'!2:2, 0))</f>
        <v>1131383.46</v>
      </c>
      <c r="P16" s="30">
        <f ca="1">OFFSET(INDEX(BIOMIRAL_PVT_LBL[], MATCH("TOTAL INC NUEVOS CANALES", BIOMIRAL_PVT_LBL[Column3], 0), MATCH("MARCA PROPIA-ENE", 'BIOMIRAL PVT LBL'!2:2, 0)),0,O11)</f>
        <v>1040004.86</v>
      </c>
      <c r="Q16" s="30">
        <f ca="1">OFFSET(INDEX(BIOMIRAL_PVT_LBL[], MATCH("TOTAL INC NUEVOS CANALES", BIOMIRAL_PVT_LBL[Column3], 0), MATCH("MARCA PROPIA-ENE", 'BIOMIRAL PVT LBL'!2:2, 0)),0,P11)</f>
        <v>1045333</v>
      </c>
      <c r="R16" s="30">
        <f ca="1">OFFSET(INDEX(BIOMIRAL_PVT_LBL[], MATCH("TOTAL INC NUEVOS CANALES", BIOMIRAL_PVT_LBL[Column3], 0), MATCH("MARCA PROPIA-ENE", 'BIOMIRAL PVT LBL'!2:2, 0)),0,Q11)</f>
        <v>1322302.9340750282</v>
      </c>
      <c r="S16" s="30">
        <f ca="1">OFFSET(INDEX(BIOMIRAL_PVT_LBL[], MATCH("TOTAL INC NUEVOS CANALES", BIOMIRAL_PVT_LBL[Column3], 0), MATCH("MARCA PROPIA-ENE", 'BIOMIRAL PVT LBL'!2:2, 0)),0,R11)</f>
        <v>1419703.5849465309</v>
      </c>
      <c r="T16" s="30">
        <f ca="1">OFFSET(INDEX(BIOMIRAL_PVT_LBL[], MATCH("TOTAL INC NUEVOS CANALES", BIOMIRAL_PVT_LBL[Column3], 0), MATCH("MARCA PROPIA-ENE", 'BIOMIRAL PVT LBL'!2:2, 0)),0,S11)</f>
        <v>1393141.5154635862</v>
      </c>
      <c r="U16" s="30">
        <f ca="1">OFFSET(INDEX(BIOMIRAL_PVT_LBL[], MATCH("TOTAL INC NUEVOS CANALES", BIOMIRAL_PVT_LBL[Column3], 0), MATCH("MARCA PROPIA-ENE", 'BIOMIRAL PVT LBL'!2:2, 0)),0,T11)</f>
        <v>1555410.4797158178</v>
      </c>
      <c r="V16" s="30">
        <f ca="1">OFFSET(INDEX(BIOMIRAL_PVT_LBL[], MATCH("TOTAL INC NUEVOS CANALES", BIOMIRAL_PVT_LBL[Column3], 0), MATCH("MARCA PROPIA-ENE", 'BIOMIRAL PVT LBL'!2:2, 0)),0,U11)</f>
        <v>1608962.2807872463</v>
      </c>
      <c r="W16" s="30">
        <f ca="1">OFFSET(INDEX(BIOMIRAL_PVT_LBL[], MATCH("TOTAL INC NUEVOS CANALES", BIOMIRAL_PVT_LBL[Column3], 0), MATCH("MARCA PROPIA-ENE", 'BIOMIRAL PVT LBL'!2:2, 0)),0,V11)</f>
        <v>1384556.3950100287</v>
      </c>
      <c r="X16" s="30">
        <f ca="1">OFFSET(INDEX(BIOMIRAL_PVT_LBL[], MATCH("TOTAL INC NUEVOS CANALES", BIOMIRAL_PVT_LBL[Column3], 0), MATCH("MARCA PROPIA-ENE", 'BIOMIRAL PVT LBL'!2:2, 0)),0,W11)</f>
        <v>1501343.3203878703</v>
      </c>
      <c r="Y16" s="30">
        <f ca="1">OFFSET(INDEX(BIOMIRAL_PVT_LBL[], MATCH("TOTAL INC NUEVOS CANALES", BIOMIRAL_PVT_LBL[Column3], 0), MATCH("MARCA PROPIA-ENE", 'BIOMIRAL PVT LBL'!2:2, 0)),0,X11)</f>
        <v>1693639.1663868306</v>
      </c>
      <c r="Z16" s="30">
        <f ca="1">OFFSET(INDEX(BIOMIRAL_PVT_LBL[], MATCH("TOTAL INC NUEVOS CANALES", BIOMIRAL_PVT_LBL[Column3], 0), MATCH("MARCA PROPIA-ENE", 'BIOMIRAL PVT LBL'!2:2, 0)),0,Y11)</f>
        <v>424494.00322706287</v>
      </c>
      <c r="AA16" s="31">
        <f t="shared" ref="AA16:AA70" ca="1" si="0">SUM(O16:Z16)</f>
        <v>15520275</v>
      </c>
      <c r="AB16" s="234">
        <f ca="1">AA16/AA$22</f>
        <v>6.8032718191302313E-2</v>
      </c>
    </row>
    <row r="17" spans="2:28" x14ac:dyDescent="0.35">
      <c r="B17" s="32" t="s">
        <v>13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>
        <f>INDEX(BIOMIRAL_PVT_LBL[], MATCH("TOTAL INC NUEVOS CANALES", BIOMIRAL_PVT_LBL[Column3], 0), MATCH("BIOMIRAL-ENE", 'BIOMIRAL PVT LBL'!2:2, 0))+INDEX(BIOMIRAL_PVT_LBL[], MATCH("TOTAL INC NUEVOS CANALES", BIOMIRAL_PVT_LBL[Column3], 0), MATCH("INNOV-ENE", 'BIOMIRAL PVT LBL'!2:2, 0))</f>
        <v>7720119.4661627421</v>
      </c>
      <c r="P17" s="34">
        <f ca="1">OFFSET(INDEX(BIOMIRAL_PVT_LBL[], MATCH("TOTAL INC NUEVOS CANALES", BIOMIRAL_PVT_LBL[Column3], 0), MATCH("BIOMIRAL-ENE", 'BIOMIRAL PVT LBL'!2:2, 0)),0,O11)+OFFSET(INDEX(BIOMIRAL_PVT_LBL[], MATCH("TOTAL INC NUEVOS CANALES", BIOMIRAL_PVT_LBL[Column3], 0), MATCH("INNOV-ENE", 'BIOMIRAL PVT LBL'!2:2, 0)),0,O11)</f>
        <v>6982616.061191136</v>
      </c>
      <c r="Q17" s="34">
        <f ca="1">OFFSET(INDEX(BIOMIRAL_PVT_LBL[], MATCH("TOTAL INC NUEVOS CANALES", BIOMIRAL_PVT_LBL[Column3], 0), MATCH("BIOMIRAL-ENE", 'BIOMIRAL PVT LBL'!2:2, 0)),0,P11)+OFFSET(INDEX(BIOMIRAL_PVT_LBL[], MATCH("TOTAL INC NUEVOS CANALES", BIOMIRAL_PVT_LBL[Column3], 0), MATCH("INNOV-ENE", 'BIOMIRAL PVT LBL'!2:2, 0)),0,P11)</f>
        <v>6855269.9563904284</v>
      </c>
      <c r="R17" s="34">
        <f ca="1">OFFSET(INDEX(BIOMIRAL_PVT_LBL[], MATCH("TOTAL INC NUEVOS CANALES", BIOMIRAL_PVT_LBL[Column3], 0), MATCH("BIOMIRAL-ENE", 'BIOMIRAL PVT LBL'!2:2, 0)),0,Q11)+OFFSET(INDEX(BIOMIRAL_PVT_LBL[], MATCH("TOTAL INC NUEVOS CANALES", BIOMIRAL_PVT_LBL[Column3], 0), MATCH("INNOV-ENE", 'BIOMIRAL PVT LBL'!2:2, 0)),0,Q11)</f>
        <v>7469651.5147109525</v>
      </c>
      <c r="S17" s="34">
        <f ca="1">OFFSET(INDEX(BIOMIRAL_PVT_LBL[], MATCH("TOTAL INC NUEVOS CANALES", BIOMIRAL_PVT_LBL[Column3], 0), MATCH("BIOMIRAL-ENE", 'BIOMIRAL PVT LBL'!2:2, 0)),0,R11)+OFFSET(INDEX(BIOMIRAL_PVT_LBL[], MATCH("TOTAL INC NUEVOS CANALES", BIOMIRAL_PVT_LBL[Column3], 0), MATCH("INNOV-ENE", 'BIOMIRAL PVT LBL'!2:2, 0)),0,R11)</f>
        <v>7753551.6912958268</v>
      </c>
      <c r="T17" s="34">
        <f ca="1">OFFSET(INDEX(BIOMIRAL_PVT_LBL[], MATCH("TOTAL INC NUEVOS CANALES", BIOMIRAL_PVT_LBL[Column3], 0), MATCH("BIOMIRAL-ENE", 'BIOMIRAL PVT LBL'!2:2, 0)),0,S11)+OFFSET(INDEX(BIOMIRAL_PVT_LBL[], MATCH("TOTAL INC NUEVOS CANALES", BIOMIRAL_PVT_LBL[Column3], 0), MATCH("INNOV-ENE", 'BIOMIRAL PVT LBL'!2:2, 0)),0,S11)</f>
        <v>6924213.1489211209</v>
      </c>
      <c r="U17" s="34">
        <f ca="1">OFFSET(INDEX(BIOMIRAL_PVT_LBL[], MATCH("TOTAL INC NUEVOS CANALES", BIOMIRAL_PVT_LBL[Column3], 0), MATCH("BIOMIRAL-ENE", 'BIOMIRAL PVT LBL'!2:2, 0)),0,T11)+OFFSET(INDEX(BIOMIRAL_PVT_LBL[], MATCH("TOTAL INC NUEVOS CANALES", BIOMIRAL_PVT_LBL[Column3], 0), MATCH("INNOV-ENE", 'BIOMIRAL PVT LBL'!2:2, 0)),0,T11)</f>
        <v>7605290.2824636325</v>
      </c>
      <c r="V17" s="34">
        <f ca="1">OFFSET(INDEX(BIOMIRAL_PVT_LBL[], MATCH("TOTAL INC NUEVOS CANALES", BIOMIRAL_PVT_LBL[Column3], 0), MATCH("BIOMIRAL-ENE", 'BIOMIRAL PVT LBL'!2:2, 0)),0,U11)+OFFSET(INDEX(BIOMIRAL_PVT_LBL[], MATCH("TOTAL INC NUEVOS CANALES", BIOMIRAL_PVT_LBL[Column3], 0), MATCH("INNOV-ENE", 'BIOMIRAL PVT LBL'!2:2, 0)),0,U11)</f>
        <v>7770679.0370801566</v>
      </c>
      <c r="W17" s="34">
        <f ca="1">OFFSET(INDEX(BIOMIRAL_PVT_LBL[], MATCH("TOTAL INC NUEVOS CANALES", BIOMIRAL_PVT_LBL[Column3], 0), MATCH("BIOMIRAL-ENE", 'BIOMIRAL PVT LBL'!2:2, 0)),0,V11)+OFFSET(INDEX(BIOMIRAL_PVT_LBL[], MATCH("TOTAL INC NUEVOS CANALES", BIOMIRAL_PVT_LBL[Column3], 0), MATCH("INNOV-ENE", 'BIOMIRAL PVT LBL'!2:2, 0)),0,V11)</f>
        <v>7368248.702842189</v>
      </c>
      <c r="X17" s="34">
        <f ca="1">OFFSET(INDEX(BIOMIRAL_PVT_LBL[], MATCH("TOTAL INC NUEVOS CANALES", BIOMIRAL_PVT_LBL[Column3], 0), MATCH("BIOMIRAL-ENE", 'BIOMIRAL PVT LBL'!2:2, 0)),0,W11)+OFFSET(INDEX(BIOMIRAL_PVT_LBL[], MATCH("TOTAL INC NUEVOS CANALES", BIOMIRAL_PVT_LBL[Column3], 0), MATCH("INNOV-ENE", 'BIOMIRAL PVT LBL'!2:2, 0)),0,W11)</f>
        <v>8843587.0480811708</v>
      </c>
      <c r="Y17" s="34">
        <f ca="1">OFFSET(INDEX(BIOMIRAL_PVT_LBL[], MATCH("TOTAL INC NUEVOS CANALES", BIOMIRAL_PVT_LBL[Column3], 0), MATCH("BIOMIRAL-ENE", 'BIOMIRAL PVT LBL'!2:2, 0)),0,X11)+OFFSET(INDEX(BIOMIRAL_PVT_LBL[], MATCH("TOTAL INC NUEVOS CANALES", BIOMIRAL_PVT_LBL[Column3], 0), MATCH("INNOV-ENE", 'BIOMIRAL PVT LBL'!2:2, 0)),0,X11)</f>
        <v>8108764.7922038632</v>
      </c>
      <c r="Z17" s="34">
        <f ca="1">OFFSET(INDEX(BIOMIRAL_PVT_LBL[], MATCH("TOTAL INC NUEVOS CANALES", BIOMIRAL_PVT_LBL[Column3], 0), MATCH("BIOMIRAL-ENE", 'BIOMIRAL PVT LBL'!2:2, 0)),0,Y11)+OFFSET(INDEX(BIOMIRAL_PVT_LBL[], MATCH("TOTAL INC NUEVOS CANALES", BIOMIRAL_PVT_LBL[Column3], 0), MATCH("INNOV-ENE", 'BIOMIRAL PVT LBL'!2:2, 0)),0,Y11)</f>
        <v>10667530.604858955</v>
      </c>
      <c r="AA17" s="50">
        <f t="shared" ca="1" si="0"/>
        <v>94069522.306202158</v>
      </c>
      <c r="AB17" s="234">
        <f ca="1">AA17/AA$22</f>
        <v>0.41235128252871023</v>
      </c>
    </row>
    <row r="18" spans="2:28" x14ac:dyDescent="0.35">
      <c r="B18" s="27" t="s">
        <v>34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35">
        <f t="shared" ref="O18:Z18" si="1">SUM(O15:O17)</f>
        <v>21880937.259496074</v>
      </c>
      <c r="P18" s="35">
        <f t="shared" ca="1" si="1"/>
        <v>16336216.254524469</v>
      </c>
      <c r="Q18" s="35">
        <f t="shared" ca="1" si="1"/>
        <v>15159887.289723761</v>
      </c>
      <c r="R18" s="35">
        <f t="shared" ca="1" si="1"/>
        <v>16142972.448785979</v>
      </c>
      <c r="S18" s="35">
        <f t="shared" ca="1" si="1"/>
        <v>16250542.276242357</v>
      </c>
      <c r="T18" s="35">
        <f t="shared" ca="1" si="1"/>
        <v>18223882.664384708</v>
      </c>
      <c r="U18" s="35">
        <f t="shared" ca="1" si="1"/>
        <v>18810587.762179449</v>
      </c>
      <c r="V18" s="35">
        <f t="shared" ca="1" si="1"/>
        <v>18543472.317867402</v>
      </c>
      <c r="W18" s="35">
        <f t="shared" ca="1" si="1"/>
        <v>20279933.097852215</v>
      </c>
      <c r="X18" s="35">
        <f t="shared" ca="1" si="1"/>
        <v>23081434.368469037</v>
      </c>
      <c r="Y18" s="35">
        <f t="shared" ca="1" si="1"/>
        <v>24185501.95859069</v>
      </c>
      <c r="Z18" s="35">
        <f t="shared" ca="1" si="1"/>
        <v>23889911.60808602</v>
      </c>
      <c r="AA18" s="31">
        <f t="shared" ca="1" si="0"/>
        <v>232785279.30620217</v>
      </c>
      <c r="AB18" s="234">
        <f ca="1">AA18/AA$22</f>
        <v>1.0204081632653061</v>
      </c>
    </row>
    <row r="19" spans="2:28" x14ac:dyDescent="0.35"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7">
        <f t="shared" ref="O19:Z19" si="2">O18/O22</f>
        <v>1.0204081632653061</v>
      </c>
      <c r="P19" s="37">
        <f t="shared" ca="1" si="2"/>
        <v>1.0204081632653061</v>
      </c>
      <c r="Q19" s="37">
        <f t="shared" ca="1" si="2"/>
        <v>1.0204081632653061</v>
      </c>
      <c r="R19" s="37">
        <f t="shared" ca="1" si="2"/>
        <v>1.0204081632653061</v>
      </c>
      <c r="S19" s="37">
        <f t="shared" ca="1" si="2"/>
        <v>1.0204081632653061</v>
      </c>
      <c r="T19" s="37">
        <f t="shared" ca="1" si="2"/>
        <v>1.0204081632653061</v>
      </c>
      <c r="U19" s="37">
        <f t="shared" ca="1" si="2"/>
        <v>1.0204081632653061</v>
      </c>
      <c r="V19" s="37">
        <f t="shared" ca="1" si="2"/>
        <v>1.0204081632653061</v>
      </c>
      <c r="W19" s="37">
        <f t="shared" ca="1" si="2"/>
        <v>1.0204081632653061</v>
      </c>
      <c r="X19" s="37">
        <f t="shared" ca="1" si="2"/>
        <v>1.0204081632653061</v>
      </c>
      <c r="Y19" s="37">
        <f t="shared" ca="1" si="2"/>
        <v>1.0204081632653061</v>
      </c>
      <c r="Z19" s="37">
        <f t="shared" ca="1" si="2"/>
        <v>1.0204081632653061</v>
      </c>
      <c r="AA19" s="38">
        <f ca="1">AA18/AA$22</f>
        <v>1.0204081632653061</v>
      </c>
      <c r="AB19" s="234"/>
    </row>
    <row r="20" spans="2:28" x14ac:dyDescent="0.35">
      <c r="B20" s="29" t="s">
        <v>4</v>
      </c>
      <c r="O20" s="39">
        <f>O$18*ASSUMPTIONS!$C12</f>
        <v>0</v>
      </c>
      <c r="P20" s="39">
        <f ca="1">P$18*ASSUMPTIONS!$C12</f>
        <v>0</v>
      </c>
      <c r="Q20" s="39">
        <f ca="1">Q$18*ASSUMPTIONS!$C12</f>
        <v>0</v>
      </c>
      <c r="R20" s="39">
        <f ca="1">R$18*ASSUMPTIONS!$C12</f>
        <v>0</v>
      </c>
      <c r="S20" s="39">
        <f ca="1">S$18*ASSUMPTIONS!$C12</f>
        <v>0</v>
      </c>
      <c r="T20" s="39">
        <f ca="1">T$18*ASSUMPTIONS!$C12</f>
        <v>0</v>
      </c>
      <c r="U20" s="39">
        <f ca="1">U$18*ASSUMPTIONS!$C12</f>
        <v>0</v>
      </c>
      <c r="V20" s="39">
        <f ca="1">V$18*ASSUMPTIONS!$C12</f>
        <v>0</v>
      </c>
      <c r="W20" s="39">
        <f ca="1">W$18*ASSUMPTIONS!$C12</f>
        <v>0</v>
      </c>
      <c r="X20" s="39">
        <f ca="1">X$18*ASSUMPTIONS!$C12</f>
        <v>0</v>
      </c>
      <c r="Y20" s="39">
        <f ca="1">Y$18*ASSUMPTIONS!$C12</f>
        <v>0</v>
      </c>
      <c r="Z20" s="39">
        <f ca="1">Z$18*ASSUMPTIONS!$C12</f>
        <v>0</v>
      </c>
      <c r="AA20" s="31">
        <f t="shared" ca="1" si="0"/>
        <v>0</v>
      </c>
      <c r="AB20" s="234"/>
    </row>
    <row r="21" spans="2:28" x14ac:dyDescent="0.35">
      <c r="B21" t="s">
        <v>1967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40">
        <f>O$18*ASSUMPTIONS!$C13</f>
        <v>437618.74518992146</v>
      </c>
      <c r="P21" s="40">
        <f ca="1">P$18*ASSUMPTIONS!$C13</f>
        <v>326724.32509048941</v>
      </c>
      <c r="Q21" s="40">
        <f ca="1">Q$18*ASSUMPTIONS!$C13</f>
        <v>303197.74579447525</v>
      </c>
      <c r="R21" s="40">
        <f ca="1">R$18*ASSUMPTIONS!$C13</f>
        <v>322859.44897571957</v>
      </c>
      <c r="S21" s="40">
        <f ca="1">S$18*ASSUMPTIONS!$C13</f>
        <v>325010.84552484716</v>
      </c>
      <c r="T21" s="40">
        <f ca="1">T$18*ASSUMPTIONS!$C13</f>
        <v>364477.65328769415</v>
      </c>
      <c r="U21" s="40">
        <f ca="1">U$18*ASSUMPTIONS!$C13</f>
        <v>376211.755243589</v>
      </c>
      <c r="V21" s="40">
        <f ca="1">V$18*ASSUMPTIONS!$C13</f>
        <v>370869.44635734806</v>
      </c>
      <c r="W21" s="40">
        <f ca="1">W$18*ASSUMPTIONS!$C13</f>
        <v>405598.66195704433</v>
      </c>
      <c r="X21" s="40">
        <f ca="1">X$18*ASSUMPTIONS!$C13</f>
        <v>461628.68736938073</v>
      </c>
      <c r="Y21" s="40">
        <f ca="1">Y$18*ASSUMPTIONS!$C13</f>
        <v>483710.03917181381</v>
      </c>
      <c r="Z21" s="40">
        <f ca="1">Z$18*ASSUMPTIONS!$C13</f>
        <v>477798.2321617204</v>
      </c>
      <c r="AA21" s="50">
        <f t="shared" ca="1" si="0"/>
        <v>4655705.586124043</v>
      </c>
      <c r="AB21" s="234">
        <f ca="1">AA21/AA$22</f>
        <v>2.0408163265306121E-2</v>
      </c>
    </row>
    <row r="22" spans="2:28" x14ac:dyDescent="0.35">
      <c r="B22" s="27" t="s">
        <v>33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35">
        <f t="shared" ref="O22:Z22" si="3">O18-O20-O21</f>
        <v>21443318.514306154</v>
      </c>
      <c r="P22" s="35">
        <f t="shared" ca="1" si="3"/>
        <v>16009491.929433979</v>
      </c>
      <c r="Q22" s="35">
        <f t="shared" ca="1" si="3"/>
        <v>14856689.543929286</v>
      </c>
      <c r="R22" s="35">
        <f t="shared" ca="1" si="3"/>
        <v>15820112.99981026</v>
      </c>
      <c r="S22" s="35">
        <f t="shared" ca="1" si="3"/>
        <v>15925531.430717509</v>
      </c>
      <c r="T22" s="35">
        <f t="shared" ca="1" si="3"/>
        <v>17859405.011097014</v>
      </c>
      <c r="U22" s="35">
        <f t="shared" ca="1" si="3"/>
        <v>18434376.006935861</v>
      </c>
      <c r="V22" s="35">
        <f t="shared" ca="1" si="3"/>
        <v>18172602.871510055</v>
      </c>
      <c r="W22" s="35">
        <f t="shared" ca="1" si="3"/>
        <v>19874334.435895171</v>
      </c>
      <c r="X22" s="35">
        <f t="shared" ca="1" si="3"/>
        <v>22619805.681099657</v>
      </c>
      <c r="Y22" s="35">
        <f t="shared" ca="1" si="3"/>
        <v>23701791.919418875</v>
      </c>
      <c r="Z22" s="35">
        <f t="shared" ca="1" si="3"/>
        <v>23412113.3759243</v>
      </c>
      <c r="AA22" s="31">
        <f t="shared" ca="1" si="0"/>
        <v>228129573.72007811</v>
      </c>
      <c r="AB22" s="234">
        <f ca="1">AA22/AA$22</f>
        <v>1</v>
      </c>
    </row>
    <row r="23" spans="2:28" x14ac:dyDescent="0.35"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41">
        <f t="shared" ref="O23:AA23" si="4">O22/O$22</f>
        <v>1</v>
      </c>
      <c r="P23" s="41">
        <f t="shared" ca="1" si="4"/>
        <v>1</v>
      </c>
      <c r="Q23" s="41">
        <f t="shared" ca="1" si="4"/>
        <v>1</v>
      </c>
      <c r="R23" s="41">
        <f t="shared" ca="1" si="4"/>
        <v>1</v>
      </c>
      <c r="S23" s="41">
        <f t="shared" ca="1" si="4"/>
        <v>1</v>
      </c>
      <c r="T23" s="41">
        <f t="shared" ca="1" si="4"/>
        <v>1</v>
      </c>
      <c r="U23" s="41">
        <f t="shared" ca="1" si="4"/>
        <v>1</v>
      </c>
      <c r="V23" s="41">
        <f t="shared" ca="1" si="4"/>
        <v>1</v>
      </c>
      <c r="W23" s="41">
        <f t="shared" ca="1" si="4"/>
        <v>1</v>
      </c>
      <c r="X23" s="41">
        <f t="shared" ca="1" si="4"/>
        <v>1</v>
      </c>
      <c r="Y23" s="41">
        <f t="shared" ca="1" si="4"/>
        <v>1</v>
      </c>
      <c r="Z23" s="41">
        <f t="shared" ca="1" si="4"/>
        <v>1</v>
      </c>
      <c r="AA23" s="38">
        <f t="shared" ca="1" si="4"/>
        <v>1</v>
      </c>
      <c r="AB23" s="234"/>
    </row>
    <row r="24" spans="2:28" x14ac:dyDescent="0.35">
      <c r="B24" s="32" t="s">
        <v>6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40">
        <f>SUM(O14:O16)*0.5+O17*0.34</f>
        <v>9705249.5151619986</v>
      </c>
      <c r="P24" s="40">
        <f t="shared" ref="P24:Z24" ca="1" si="5">SUM(P14:P16)*0.5+P17*0.34</f>
        <v>7050889.5574716534</v>
      </c>
      <c r="Q24" s="40">
        <f t="shared" ca="1" si="5"/>
        <v>6483100.4518394116</v>
      </c>
      <c r="R24" s="40">
        <f t="shared" ca="1" si="5"/>
        <v>6876341.9820392374</v>
      </c>
      <c r="S24" s="40">
        <f t="shared" ca="1" si="5"/>
        <v>6884702.8675138466</v>
      </c>
      <c r="T24" s="40">
        <f t="shared" ca="1" si="5"/>
        <v>8004067.2283649743</v>
      </c>
      <c r="U24" s="40">
        <f t="shared" ca="1" si="5"/>
        <v>8188447.4358955445</v>
      </c>
      <c r="V24" s="40">
        <f t="shared" ca="1" si="5"/>
        <v>8028427.5130008766</v>
      </c>
      <c r="W24" s="40">
        <f t="shared" ca="1" si="5"/>
        <v>8961046.7564713582</v>
      </c>
      <c r="X24" s="40">
        <f t="shared" ca="1" si="5"/>
        <v>10125743.256541532</v>
      </c>
      <c r="Y24" s="40">
        <f t="shared" ca="1" si="5"/>
        <v>10795348.612542728</v>
      </c>
      <c r="Z24" s="40">
        <f t="shared" ca="1" si="5"/>
        <v>10238150.907265577</v>
      </c>
      <c r="AA24" s="50">
        <f t="shared" ca="1" si="0"/>
        <v>101341516.08410874</v>
      </c>
      <c r="AB24" s="234">
        <f ca="1">AA24/AA$22</f>
        <v>0.44422787642805944</v>
      </c>
    </row>
    <row r="25" spans="2:28" x14ac:dyDescent="0.35">
      <c r="B25" s="27" t="s">
        <v>22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35">
        <f>O22-O24</f>
        <v>11738068.999144156</v>
      </c>
      <c r="P25" s="35">
        <f t="shared" ref="P25:Z25" ca="1" si="6">P22-P24</f>
        <v>8958602.3719623256</v>
      </c>
      <c r="Q25" s="35">
        <f t="shared" ca="1" si="6"/>
        <v>8373589.0920898747</v>
      </c>
      <c r="R25" s="35">
        <f t="shared" ca="1" si="6"/>
        <v>8943771.0177710224</v>
      </c>
      <c r="S25" s="35">
        <f t="shared" ca="1" si="6"/>
        <v>9040828.5632036626</v>
      </c>
      <c r="T25" s="35">
        <f t="shared" ca="1" si="6"/>
        <v>9855337.7827320397</v>
      </c>
      <c r="U25" s="35">
        <f t="shared" ca="1" si="6"/>
        <v>10245928.571040317</v>
      </c>
      <c r="V25" s="35">
        <f t="shared" ca="1" si="6"/>
        <v>10144175.358509179</v>
      </c>
      <c r="W25" s="35">
        <f t="shared" ca="1" si="6"/>
        <v>10913287.679423813</v>
      </c>
      <c r="X25" s="35">
        <f t="shared" ca="1" si="6"/>
        <v>12494062.424558125</v>
      </c>
      <c r="Y25" s="35">
        <f t="shared" ca="1" si="6"/>
        <v>12906443.306876147</v>
      </c>
      <c r="Z25" s="35">
        <f t="shared" ca="1" si="6"/>
        <v>13173962.468658723</v>
      </c>
      <c r="AA25" s="66">
        <f ca="1">1-AA24/AA$22</f>
        <v>0.55577212357194061</v>
      </c>
      <c r="AB25" s="234"/>
    </row>
    <row r="26" spans="2:28" x14ac:dyDescent="0.35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41">
        <f>O25/O$22</f>
        <v>0.54739983418671734</v>
      </c>
      <c r="P26" s="41">
        <f t="shared" ref="P26:Z26" ca="1" si="7">P25/P$22</f>
        <v>0.55958067947750667</v>
      </c>
      <c r="Q26" s="41">
        <f t="shared" ca="1" si="7"/>
        <v>0.56362415512084763</v>
      </c>
      <c r="R26" s="41">
        <f t="shared" ca="1" si="7"/>
        <v>0.56534179104019611</v>
      </c>
      <c r="S26" s="41">
        <f t="shared" ca="1" si="7"/>
        <v>0.56769399517591712</v>
      </c>
      <c r="T26" s="41">
        <f t="shared" ca="1" si="7"/>
        <v>0.55182900979110927</v>
      </c>
      <c r="U26" s="41">
        <f t="shared" ca="1" si="7"/>
        <v>0.555805554100954</v>
      </c>
      <c r="V26" s="41">
        <f t="shared" ca="1" si="7"/>
        <v>0.55821257033094718</v>
      </c>
      <c r="W26" s="41">
        <f t="shared" ca="1" si="7"/>
        <v>0.54911462391984556</v>
      </c>
      <c r="X26" s="41">
        <f t="shared" ca="1" si="7"/>
        <v>0.55235056395722004</v>
      </c>
      <c r="Y26" s="41">
        <f t="shared" ca="1" si="7"/>
        <v>0.5445344955670588</v>
      </c>
      <c r="Z26" s="41">
        <f t="shared" ca="1" si="7"/>
        <v>0.56269855937935465</v>
      </c>
      <c r="AA26" s="66">
        <f ca="1">AVERAGE(O26:Z26)</f>
        <v>0.55651548600397294</v>
      </c>
      <c r="AB26" s="234"/>
    </row>
    <row r="27" spans="2:28" x14ac:dyDescent="0.35">
      <c r="B27" s="29" t="s">
        <v>7</v>
      </c>
      <c r="O27" s="39">
        <f>O22*ASSUMPTIONS!$C$17</f>
        <v>214433.18514306154</v>
      </c>
      <c r="P27" s="39">
        <f ca="1">P22*ASSUMPTIONS!$C$17</f>
        <v>160094.91929433981</v>
      </c>
      <c r="Q27" s="39">
        <f ca="1">Q22*ASSUMPTIONS!$C$17</f>
        <v>148566.89543929286</v>
      </c>
      <c r="R27" s="39">
        <f ca="1">R22*ASSUMPTIONS!$C$17</f>
        <v>158201.12999810261</v>
      </c>
      <c r="S27" s="39">
        <f ca="1">S22*ASSUMPTIONS!$C$17</f>
        <v>159255.31430717508</v>
      </c>
      <c r="T27" s="39">
        <f ca="1">T22*ASSUMPTIONS!$C$17</f>
        <v>178594.05011097013</v>
      </c>
      <c r="U27" s="39">
        <f ca="1">U22*ASSUMPTIONS!$C$17</f>
        <v>184343.7600693586</v>
      </c>
      <c r="V27" s="39">
        <f ca="1">V22*ASSUMPTIONS!$C$17</f>
        <v>181726.02871510055</v>
      </c>
      <c r="W27" s="39">
        <f ca="1">W22*ASSUMPTIONS!$C$17</f>
        <v>198743.34435895173</v>
      </c>
      <c r="X27" s="39">
        <f ca="1">X22*ASSUMPTIONS!$C$17</f>
        <v>226198.05681099658</v>
      </c>
      <c r="Y27" s="39">
        <f ca="1">Y22*ASSUMPTIONS!$C$17</f>
        <v>237017.91919418875</v>
      </c>
      <c r="Z27" s="39">
        <f ca="1">Z22*ASSUMPTIONS!$C$17</f>
        <v>234121.13375924301</v>
      </c>
      <c r="AA27" s="31">
        <f t="shared" ca="1" si="0"/>
        <v>2281295.7372007812</v>
      </c>
      <c r="AB27" s="234">
        <f ca="1">AA27/AA$22</f>
        <v>0.01</v>
      </c>
    </row>
    <row r="28" spans="2:28" x14ac:dyDescent="0.35">
      <c r="B28" s="29" t="s">
        <v>19</v>
      </c>
      <c r="AA28" s="31">
        <f t="shared" si="0"/>
        <v>0</v>
      </c>
      <c r="AB28" s="234">
        <f t="shared" ref="AB28:AB70" ca="1" si="8">AA28/AA$22</f>
        <v>0</v>
      </c>
    </row>
    <row r="29" spans="2:28" x14ac:dyDescent="0.35">
      <c r="B29" s="29" t="s">
        <v>9</v>
      </c>
      <c r="O29" s="39">
        <f>'Subtotal Nom_Enero'!$D10</f>
        <v>2312843.698851428</v>
      </c>
      <c r="P29" s="39">
        <f>'Subtotal Nom_Enero'!$D10</f>
        <v>2312843.698851428</v>
      </c>
      <c r="Q29" s="39">
        <f>'Subtotal Nom_Enero'!$D10</f>
        <v>2312843.698851428</v>
      </c>
      <c r="R29" s="39">
        <f>'Subtotal Nom_Enero'!$E10</f>
        <v>1795060.8717747489</v>
      </c>
      <c r="S29" s="39">
        <f>'Subtotal Nom_Enero'!$E10</f>
        <v>1795060.8717747489</v>
      </c>
      <c r="T29" s="39">
        <f>'Subtotal Nom_Enero'!$E10</f>
        <v>1795060.8717747489</v>
      </c>
      <c r="U29" s="39">
        <f>'Subtotal Nom_Enero'!$E10</f>
        <v>1795060.8717747489</v>
      </c>
      <c r="V29" s="39">
        <f>'Subtotal Nom_Enero'!$E10</f>
        <v>1795060.8717747489</v>
      </c>
      <c r="W29" s="39">
        <f>'Subtotal Nom_Enero'!$E10</f>
        <v>1795060.8717747489</v>
      </c>
      <c r="X29" s="39">
        <f>'Subtotal Nom_Enero'!$E10</f>
        <v>1795060.8717747489</v>
      </c>
      <c r="Y29" s="39">
        <f>'Subtotal Nom_Enero'!$E10-ASSUMPTIONS!$C48</f>
        <v>1388185.8717747489</v>
      </c>
      <c r="Z29" s="39">
        <f>'Subtotal Nom_Enero'!$E10-ASSUMPTIONS!$C48</f>
        <v>1388185.8717747489</v>
      </c>
      <c r="AA29" s="31">
        <f t="shared" si="0"/>
        <v>22280328.942527018</v>
      </c>
      <c r="AB29" s="234">
        <f t="shared" ca="1" si="8"/>
        <v>9.7665237256199217E-2</v>
      </c>
    </row>
    <row r="30" spans="2:28" x14ac:dyDescent="0.35">
      <c r="B30" t="s">
        <v>1968</v>
      </c>
      <c r="O30" s="39">
        <f>SUM(Gastos!T7:T10)</f>
        <v>551800</v>
      </c>
      <c r="P30" s="39">
        <f>SUM(Gastos!U7:U10)</f>
        <v>551800</v>
      </c>
      <c r="Q30" s="39">
        <f>SUM(Gastos!V7:V10)</f>
        <v>551800</v>
      </c>
      <c r="R30" s="39">
        <f>SUM(Gastos!W7:W10)</f>
        <v>551800</v>
      </c>
      <c r="S30" s="39">
        <f>SUM(Gastos!X7:X10)</f>
        <v>551800</v>
      </c>
      <c r="T30" s="39">
        <f>SUM(Gastos!Y7:Y10)</f>
        <v>551800</v>
      </c>
      <c r="U30" s="39">
        <f>SUM(Gastos!Z7:Z10)</f>
        <v>551800</v>
      </c>
      <c r="V30" s="39">
        <f>SUM(Gastos!AA7:AA10)</f>
        <v>551800</v>
      </c>
      <c r="W30" s="39">
        <f>SUM(Gastos!AB7:AB10)</f>
        <v>551800</v>
      </c>
      <c r="X30" s="39">
        <f>SUM(Gastos!AC7:AC10)</f>
        <v>551800</v>
      </c>
      <c r="Y30" s="39">
        <f>SUM(Gastos!AD7:AD10)</f>
        <v>551800</v>
      </c>
      <c r="Z30" s="39">
        <f>SUM(Gastos!AE7:AE10)</f>
        <v>551800</v>
      </c>
      <c r="AA30" s="31">
        <f t="shared" si="0"/>
        <v>6621600</v>
      </c>
      <c r="AB30" s="234">
        <f t="shared" ca="1" si="8"/>
        <v>2.9025609841032286E-2</v>
      </c>
    </row>
    <row r="31" spans="2:28" x14ac:dyDescent="0.35">
      <c r="B31" t="s">
        <v>1968</v>
      </c>
      <c r="O31" s="39">
        <f>SUM(Gastos!T13:T18)</f>
        <v>77650.689655172406</v>
      </c>
      <c r="P31" s="39">
        <f>SUM(Gastos!U13:U18)</f>
        <v>77650.689655172406</v>
      </c>
      <c r="Q31" s="39">
        <f>SUM(Gastos!V13:V18)</f>
        <v>77650.689655172406</v>
      </c>
      <c r="R31" s="39">
        <f>SUM(Gastos!W13:W18)</f>
        <v>77650.689655172406</v>
      </c>
      <c r="S31" s="39">
        <f>SUM(Gastos!X13:X18)</f>
        <v>77650.689655172406</v>
      </c>
      <c r="T31" s="39">
        <f>SUM(Gastos!Y13:Y18)</f>
        <v>77650.689655172406</v>
      </c>
      <c r="U31" s="39">
        <f>SUM(Gastos!Z13:Z18)</f>
        <v>77650.689655172406</v>
      </c>
      <c r="V31" s="39">
        <f>SUM(Gastos!AA13:AA18)</f>
        <v>77650.689655172406</v>
      </c>
      <c r="W31" s="39">
        <f>SUM(Gastos!AB13:AB18)</f>
        <v>77650.689655172406</v>
      </c>
      <c r="X31" s="39">
        <f>SUM(Gastos!AC13:AC18)</f>
        <v>77650.689655172406</v>
      </c>
      <c r="Y31" s="39">
        <f>SUM(Gastos!AD13:AD18)</f>
        <v>77650.689655172406</v>
      </c>
      <c r="Z31" s="39">
        <f>SUM(Gastos!AE13:AE18)</f>
        <v>77650.689655172406</v>
      </c>
      <c r="AA31" s="31">
        <f t="shared" si="0"/>
        <v>931808.27586206887</v>
      </c>
      <c r="AB31" s="234">
        <f t="shared" ca="1" si="8"/>
        <v>4.0845571254405875E-3</v>
      </c>
    </row>
    <row r="32" spans="2:28" x14ac:dyDescent="0.35">
      <c r="B32" s="32" t="s">
        <v>16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40">
        <f>O18*ASSUMPTIONS!$C$24</f>
        <v>185987.96670571665</v>
      </c>
      <c r="P32" s="40">
        <f ca="1">P18*ASSUMPTIONS!$C$24</f>
        <v>138857.83816345799</v>
      </c>
      <c r="Q32" s="40">
        <f ca="1">Q18*ASSUMPTIONS!$C$24</f>
        <v>128859.04196265199</v>
      </c>
      <c r="R32" s="40">
        <f ca="1">R18*ASSUMPTIONS!$C$24</f>
        <v>137215.26581468084</v>
      </c>
      <c r="S32" s="40">
        <f ca="1">S18*ASSUMPTIONS!$C$24</f>
        <v>138129.60934806004</v>
      </c>
      <c r="T32" s="40">
        <f ca="1">T18*ASSUMPTIONS!$C$24</f>
        <v>154903.00264727004</v>
      </c>
      <c r="U32" s="40">
        <f ca="1">U18*ASSUMPTIONS!$C$24</f>
        <v>159889.99597852532</v>
      </c>
      <c r="V32" s="40">
        <f ca="1">V18*ASSUMPTIONS!$C$24</f>
        <v>157619.51470187292</v>
      </c>
      <c r="W32" s="40">
        <f ca="1">W18*ASSUMPTIONS!$C$24</f>
        <v>172379.43133174384</v>
      </c>
      <c r="X32" s="40">
        <f ca="1">X18*ASSUMPTIONS!$C$24</f>
        <v>196192.19213198684</v>
      </c>
      <c r="Y32" s="40">
        <f ca="1">Y18*ASSUMPTIONS!$C$24</f>
        <v>205576.76664802089</v>
      </c>
      <c r="Z32" s="40">
        <f ca="1">Z18*ASSUMPTIONS!$C$24</f>
        <v>203064.24866873119</v>
      </c>
      <c r="AA32" s="50">
        <f t="shared" ca="1" si="0"/>
        <v>1978674.8741027184</v>
      </c>
      <c r="AB32" s="234">
        <f t="shared" ca="1" si="8"/>
        <v>8.673469387755102E-3</v>
      </c>
    </row>
    <row r="33" spans="2:28" x14ac:dyDescent="0.35">
      <c r="B33" s="42" t="s">
        <v>1353</v>
      </c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4">
        <f>SUM(O27:O32)+O24</f>
        <v>13047965.055517377</v>
      </c>
      <c r="P33" s="44">
        <f t="shared" ref="P33:Z33" ca="1" si="9">SUM(P27:P32)+P24</f>
        <v>10292136.703436051</v>
      </c>
      <c r="Q33" s="44">
        <f t="shared" ca="1" si="9"/>
        <v>9702820.777747957</v>
      </c>
      <c r="R33" s="44">
        <f t="shared" ca="1" si="9"/>
        <v>9596269.9392819423</v>
      </c>
      <c r="S33" s="44">
        <f t="shared" ca="1" si="9"/>
        <v>9606599.3525990024</v>
      </c>
      <c r="T33" s="44">
        <f t="shared" ca="1" si="9"/>
        <v>10762075.842553135</v>
      </c>
      <c r="U33" s="44">
        <f t="shared" ca="1" si="9"/>
        <v>10957192.753373349</v>
      </c>
      <c r="V33" s="44">
        <f t="shared" ca="1" si="9"/>
        <v>10792284.61784777</v>
      </c>
      <c r="W33" s="44">
        <f t="shared" ca="1" si="9"/>
        <v>11756681.093591975</v>
      </c>
      <c r="X33" s="44">
        <f t="shared" ca="1" si="9"/>
        <v>12972645.066914435</v>
      </c>
      <c r="Y33" s="44">
        <f t="shared" ca="1" si="9"/>
        <v>13255579.85981486</v>
      </c>
      <c r="Z33" s="44">
        <f t="shared" ca="1" si="9"/>
        <v>12692972.851123473</v>
      </c>
      <c r="AA33" s="31">
        <f t="shared" ca="1" si="0"/>
        <v>135435223.91380134</v>
      </c>
      <c r="AB33" s="234">
        <f t="shared" ca="1" si="8"/>
        <v>0.59367675003848674</v>
      </c>
    </row>
    <row r="34" spans="2:28" x14ac:dyDescent="0.35">
      <c r="B34" s="45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7">
        <f>O33/O18</f>
        <v>0.5963165517443596</v>
      </c>
      <c r="P34" s="47">
        <f t="shared" ref="P34:Z34" ca="1" si="10">P33/P18</f>
        <v>0.63001961672645868</v>
      </c>
      <c r="Q34" s="47">
        <f t="shared" ca="1" si="10"/>
        <v>0.64003251424732455</v>
      </c>
      <c r="R34" s="47">
        <f t="shared" ca="1" si="10"/>
        <v>0.59445495367884515</v>
      </c>
      <c r="S34" s="47">
        <f t="shared" ca="1" si="10"/>
        <v>0.5911556174124396</v>
      </c>
      <c r="T34" s="47">
        <f t="shared" ca="1" si="10"/>
        <v>0.59054791126293149</v>
      </c>
      <c r="U34" s="47">
        <f t="shared" ca="1" si="10"/>
        <v>0.58250134934134656</v>
      </c>
      <c r="V34" s="47">
        <f t="shared" ca="1" si="10"/>
        <v>0.58199912254022446</v>
      </c>
      <c r="W34" s="47">
        <f t="shared" ca="1" si="10"/>
        <v>0.57971991509365917</v>
      </c>
      <c r="X34" s="47">
        <f t="shared" ca="1" si="10"/>
        <v>0.56203808046851877</v>
      </c>
      <c r="Y34" s="47">
        <f t="shared" ca="1" si="10"/>
        <v>0.54807958431090065</v>
      </c>
      <c r="Z34" s="47">
        <f t="shared" ca="1" si="10"/>
        <v>0.53131100103473305</v>
      </c>
      <c r="AA34" s="57">
        <f ca="1">AA33/AA18</f>
        <v>0.58180321503771693</v>
      </c>
      <c r="AB34" s="235"/>
    </row>
    <row r="35" spans="2:28" x14ac:dyDescent="0.35">
      <c r="B35" s="48" t="s">
        <v>35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35">
        <f t="shared" ref="O35:Z35" si="11">O25-SUM(O27:O31)</f>
        <v>8581341.4254944939</v>
      </c>
      <c r="P35" s="35">
        <f t="shared" ca="1" si="11"/>
        <v>5856213.0641613854</v>
      </c>
      <c r="Q35" s="35">
        <f t="shared" ca="1" si="11"/>
        <v>5282727.8081439817</v>
      </c>
      <c r="R35" s="35">
        <f t="shared" ca="1" si="11"/>
        <v>6361058.3263429981</v>
      </c>
      <c r="S35" s="35">
        <f t="shared" ca="1" si="11"/>
        <v>6457061.6874665665</v>
      </c>
      <c r="T35" s="35">
        <f t="shared" ca="1" si="11"/>
        <v>7252232.1711911485</v>
      </c>
      <c r="U35" s="35">
        <f t="shared" ca="1" si="11"/>
        <v>7637073.2495410377</v>
      </c>
      <c r="V35" s="35">
        <f t="shared" ca="1" si="11"/>
        <v>7537937.7683641575</v>
      </c>
      <c r="W35" s="35">
        <f t="shared" ca="1" si="11"/>
        <v>8290032.7736349395</v>
      </c>
      <c r="X35" s="35">
        <f t="shared" ca="1" si="11"/>
        <v>9843352.8063172065</v>
      </c>
      <c r="Y35" s="35">
        <f t="shared" ca="1" si="11"/>
        <v>10651788.826252036</v>
      </c>
      <c r="Z35" s="35">
        <f t="shared" ca="1" si="11"/>
        <v>10922204.77346956</v>
      </c>
      <c r="AA35" s="31">
        <f t="shared" ca="1" si="0"/>
        <v>94673024.68037951</v>
      </c>
      <c r="AB35" s="234">
        <f t="shared" ca="1" si="8"/>
        <v>0.41499671934926846</v>
      </c>
    </row>
    <row r="36" spans="2:28" x14ac:dyDescent="0.35">
      <c r="B36" s="49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41">
        <f>O35/O$22</f>
        <v>0.40018719209759229</v>
      </c>
      <c r="P36" s="41">
        <f t="shared" ref="P36:AA36" ca="1" si="12">P35/P$22</f>
        <v>0.36579630946279718</v>
      </c>
      <c r="Q36" s="41">
        <f t="shared" ca="1" si="12"/>
        <v>0.35557906709456688</v>
      </c>
      <c r="R36" s="41">
        <f t="shared" ca="1" si="12"/>
        <v>0.40208678196036213</v>
      </c>
      <c r="S36" s="41">
        <f t="shared" ca="1" si="12"/>
        <v>0.40545345161995955</v>
      </c>
      <c r="T36" s="41">
        <f t="shared" ca="1" si="12"/>
        <v>0.4060735599357842</v>
      </c>
      <c r="U36" s="41">
        <f t="shared" ca="1" si="12"/>
        <v>0.41428433740678933</v>
      </c>
      <c r="V36" s="41">
        <f t="shared" ca="1" si="12"/>
        <v>0.41479681373446486</v>
      </c>
      <c r="W36" s="41">
        <f t="shared" ca="1" si="12"/>
        <v>0.4171225356187151</v>
      </c>
      <c r="X36" s="41">
        <f t="shared" ca="1" si="12"/>
        <v>0.43516522401171548</v>
      </c>
      <c r="Y36" s="41">
        <f t="shared" ca="1" si="12"/>
        <v>0.44940858743785639</v>
      </c>
      <c r="Z36" s="41">
        <f t="shared" ca="1" si="12"/>
        <v>0.46651938669925203</v>
      </c>
      <c r="AA36" s="73">
        <f t="shared" ca="1" si="12"/>
        <v>0.41499671934926846</v>
      </c>
      <c r="AB36" s="234"/>
    </row>
    <row r="37" spans="2:28" x14ac:dyDescent="0.35">
      <c r="B37" s="29" t="s">
        <v>17</v>
      </c>
      <c r="O37" s="39">
        <f>'Subtotal Nom_Enero'!$D5</f>
        <v>255475.27911132251</v>
      </c>
      <c r="P37" s="39">
        <f>'Subtotal Nom_Enero'!$D5</f>
        <v>255475.27911132251</v>
      </c>
      <c r="Q37" s="39">
        <f>'Subtotal Nom_Enero'!$D5</f>
        <v>255475.27911132251</v>
      </c>
      <c r="R37" s="39">
        <f>'Subtotal Nom_Enero'!$E5</f>
        <v>238079.15543903608</v>
      </c>
      <c r="S37" s="39">
        <f>'Subtotal Nom_Enero'!$E5</f>
        <v>238079.15543903608</v>
      </c>
      <c r="T37" s="39">
        <f>'Subtotal Nom_Enero'!$E5</f>
        <v>238079.15543903608</v>
      </c>
      <c r="U37" s="39">
        <f>'Subtotal Nom_Enero'!$E5</f>
        <v>238079.15543903608</v>
      </c>
      <c r="V37" s="39">
        <f>'Subtotal Nom_Enero'!$E5</f>
        <v>238079.15543903608</v>
      </c>
      <c r="W37" s="39">
        <f>'Subtotal Nom_Enero'!$E5</f>
        <v>238079.15543903608</v>
      </c>
      <c r="X37" s="39">
        <f>'Subtotal Nom_Enero'!$E5</f>
        <v>238079.15543903608</v>
      </c>
      <c r="Y37" s="39">
        <f>'Subtotal Nom_Enero'!$E5</f>
        <v>238079.15543903608</v>
      </c>
      <c r="Z37" s="39">
        <f>'Subtotal Nom_Enero'!$E5</f>
        <v>238079.15543903608</v>
      </c>
      <c r="AA37" s="31">
        <f t="shared" si="0"/>
        <v>2909138.2362852916</v>
      </c>
      <c r="AB37" s="234">
        <f t="shared" ca="1" si="8"/>
        <v>1.2752131119373818E-2</v>
      </c>
    </row>
    <row r="38" spans="2:28" x14ac:dyDescent="0.35">
      <c r="B38" s="29" t="s">
        <v>39</v>
      </c>
      <c r="O38" s="39">
        <f>O18*ASSUMPTIONS!$C26</f>
        <v>218809.37259496073</v>
      </c>
      <c r="P38" s="39">
        <f ca="1">P18*ASSUMPTIONS!$C26</f>
        <v>163362.1625452447</v>
      </c>
      <c r="Q38" s="39">
        <f ca="1">Q18*ASSUMPTIONS!$C26</f>
        <v>151598.87289723763</v>
      </c>
      <c r="R38" s="39">
        <f ca="1">R18*ASSUMPTIONS!$C26</f>
        <v>161429.72448785978</v>
      </c>
      <c r="S38" s="39">
        <f ca="1">S18*ASSUMPTIONS!$C26</f>
        <v>162505.42276242358</v>
      </c>
      <c r="T38" s="39">
        <f ca="1">T18*ASSUMPTIONS!$C26</f>
        <v>182238.82664384707</v>
      </c>
      <c r="U38" s="39">
        <f ca="1">U18*ASSUMPTIONS!$C26</f>
        <v>188105.8776217945</v>
      </c>
      <c r="V38" s="39">
        <f ca="1">V18*ASSUMPTIONS!$C26</f>
        <v>185434.72317867403</v>
      </c>
      <c r="W38" s="39">
        <f ca="1">W18*ASSUMPTIONS!$C26</f>
        <v>202799.33097852216</v>
      </c>
      <c r="X38" s="39">
        <f ca="1">X18*ASSUMPTIONS!$C26</f>
        <v>230814.34368469036</v>
      </c>
      <c r="Y38" s="39">
        <f ca="1">Y18*ASSUMPTIONS!$C26</f>
        <v>241855.01958590691</v>
      </c>
      <c r="Z38" s="39">
        <f ca="1">Z18*ASSUMPTIONS!$C26</f>
        <v>238899.1160808602</v>
      </c>
      <c r="AA38" s="31">
        <f t="shared" ca="1" si="0"/>
        <v>2327852.7930620215</v>
      </c>
      <c r="AB38" s="234">
        <f t="shared" ca="1" si="8"/>
        <v>1.020408163265306E-2</v>
      </c>
    </row>
    <row r="39" spans="2:28" x14ac:dyDescent="0.35">
      <c r="B39" s="32" t="s">
        <v>20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40">
        <f>O18*ASSUMPTIONS!$C28</f>
        <v>54702.343148740183</v>
      </c>
      <c r="P39" s="40">
        <f ca="1">P18*ASSUMPTIONS!$C28</f>
        <v>40840.540636311176</v>
      </c>
      <c r="Q39" s="40">
        <f ca="1">Q18*ASSUMPTIONS!$C28</f>
        <v>37899.718224309407</v>
      </c>
      <c r="R39" s="40">
        <f ca="1">R18*ASSUMPTIONS!$C28</f>
        <v>40357.431121964946</v>
      </c>
      <c r="S39" s="40">
        <f ca="1">S18*ASSUMPTIONS!$C28</f>
        <v>40626.355690605895</v>
      </c>
      <c r="T39" s="40">
        <f ca="1">T18*ASSUMPTIONS!$C28</f>
        <v>45559.706660961769</v>
      </c>
      <c r="U39" s="40">
        <f ca="1">U18*ASSUMPTIONS!$C28</f>
        <v>47026.469405448624</v>
      </c>
      <c r="V39" s="40">
        <f ca="1">V18*ASSUMPTIONS!$C28</f>
        <v>46358.680794668508</v>
      </c>
      <c r="W39" s="40">
        <f ca="1">W18*ASSUMPTIONS!$C28</f>
        <v>50699.832744630541</v>
      </c>
      <c r="X39" s="40">
        <f ca="1">X18*ASSUMPTIONS!$C28</f>
        <v>57703.585921172591</v>
      </c>
      <c r="Y39" s="40">
        <f ca="1">Y18*ASSUMPTIONS!$C28</f>
        <v>60463.754896476727</v>
      </c>
      <c r="Z39" s="40">
        <f ca="1">Z18*ASSUMPTIONS!$C28</f>
        <v>59724.77902021505</v>
      </c>
      <c r="AA39" s="50">
        <f t="shared" ca="1" si="0"/>
        <v>581963.19826550537</v>
      </c>
      <c r="AB39" s="234">
        <f t="shared" ca="1" si="8"/>
        <v>2.5510204081632651E-3</v>
      </c>
    </row>
    <row r="40" spans="2:28" s="27" customFormat="1" x14ac:dyDescent="0.35">
      <c r="B40" s="27" t="s">
        <v>36</v>
      </c>
      <c r="O40" s="35">
        <f>O35-SUM(O37:O39)</f>
        <v>8052354.43063947</v>
      </c>
      <c r="P40" s="35">
        <f t="shared" ref="P40:Z40" ca="1" si="13">P35-SUM(P37:P39)</f>
        <v>5396535.081868507</v>
      </c>
      <c r="Q40" s="35">
        <f t="shared" ca="1" si="13"/>
        <v>4837753.9379111119</v>
      </c>
      <c r="R40" s="35">
        <f t="shared" ca="1" si="13"/>
        <v>5921192.0152941374</v>
      </c>
      <c r="S40" s="35">
        <f t="shared" ca="1" si="13"/>
        <v>6015850.7535745008</v>
      </c>
      <c r="T40" s="35">
        <f t="shared" ca="1" si="13"/>
        <v>6786354.4824473038</v>
      </c>
      <c r="U40" s="35">
        <f t="shared" ca="1" si="13"/>
        <v>7163861.7470747586</v>
      </c>
      <c r="V40" s="35">
        <f t="shared" ca="1" si="13"/>
        <v>7068065.2089517787</v>
      </c>
      <c r="W40" s="35">
        <f t="shared" ca="1" si="13"/>
        <v>7798454.4544727504</v>
      </c>
      <c r="X40" s="35">
        <f t="shared" ca="1" si="13"/>
        <v>9316755.7212723084</v>
      </c>
      <c r="Y40" s="35">
        <f t="shared" ca="1" si="13"/>
        <v>10111390.896330616</v>
      </c>
      <c r="Z40" s="35">
        <f t="shared" ca="1" si="13"/>
        <v>10385501.722929448</v>
      </c>
      <c r="AA40" s="31">
        <f t="shared" ca="1" si="0"/>
        <v>88854070.452766687</v>
      </c>
      <c r="AB40" s="234">
        <f t="shared" ca="1" si="8"/>
        <v>0.3894894861890783</v>
      </c>
    </row>
    <row r="41" spans="2:28" x14ac:dyDescent="0.35">
      <c r="B41" s="49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41">
        <f t="shared" ref="O41:AA41" si="14">O40/O$22</f>
        <v>0.37551810953455034</v>
      </c>
      <c r="P41" s="41">
        <f t="shared" ca="1" si="14"/>
        <v>0.33708346933526351</v>
      </c>
      <c r="Q41" s="41">
        <f t="shared" ca="1" si="14"/>
        <v>0.32562798890065697</v>
      </c>
      <c r="R41" s="41">
        <f t="shared" ca="1" si="14"/>
        <v>0.3742825361212751</v>
      </c>
      <c r="S41" s="41">
        <f t="shared" ca="1" si="14"/>
        <v>0.37774882299820761</v>
      </c>
      <c r="T41" s="41">
        <f t="shared" ca="1" si="14"/>
        <v>0.37998771393731062</v>
      </c>
      <c r="U41" s="41">
        <f t="shared" ca="1" si="14"/>
        <v>0.38861427934308079</v>
      </c>
      <c r="V41" s="41">
        <f t="shared" ca="1" si="14"/>
        <v>0.38894071800978375</v>
      </c>
      <c r="W41" s="41">
        <f t="shared" ca="1" si="14"/>
        <v>0.39238820699262805</v>
      </c>
      <c r="X41" s="41">
        <f t="shared" ca="1" si="14"/>
        <v>0.41188486995080925</v>
      </c>
      <c r="Y41" s="41">
        <f t="shared" ca="1" si="14"/>
        <v>0.42660871088174368</v>
      </c>
      <c r="Z41" s="41">
        <f t="shared" ca="1" si="14"/>
        <v>0.44359522594868833</v>
      </c>
      <c r="AA41" s="41">
        <f t="shared" ca="1" si="14"/>
        <v>0.3894894861890783</v>
      </c>
    </row>
    <row r="42" spans="2:28" x14ac:dyDescent="0.35">
      <c r="B42" s="29" t="s">
        <v>18</v>
      </c>
      <c r="O42" s="39">
        <f>'Subtotal Nom_Enero'!$D12</f>
        <v>502206.1516006795</v>
      </c>
      <c r="P42" s="39">
        <f>'Subtotal Nom_Enero'!$D12</f>
        <v>502206.1516006795</v>
      </c>
      <c r="Q42" s="39">
        <f>'Subtotal Nom_Enero'!$D12</f>
        <v>502206.1516006795</v>
      </c>
      <c r="R42" s="39">
        <f>'Subtotal Nom_Enero'!$E12</f>
        <v>375227.51985006098</v>
      </c>
      <c r="S42" s="39">
        <f>'Subtotal Nom_Enero'!$E12</f>
        <v>375227.51985006098</v>
      </c>
      <c r="T42" s="39">
        <f>'Subtotal Nom_Enero'!$E12</f>
        <v>375227.51985006098</v>
      </c>
      <c r="U42" s="39">
        <f>'Subtotal Nom_Enero'!$E12</f>
        <v>375227.51985006098</v>
      </c>
      <c r="V42" s="39">
        <f>'Subtotal Nom_Enero'!$E12</f>
        <v>375227.51985006098</v>
      </c>
      <c r="W42" s="39">
        <f>'Subtotal Nom_Enero'!$E12</f>
        <v>375227.51985006098</v>
      </c>
      <c r="X42" s="39">
        <f>'Subtotal Nom_Enero'!$E12</f>
        <v>375227.51985006098</v>
      </c>
      <c r="Y42" s="39">
        <f>'Subtotal Nom_Enero'!$E12</f>
        <v>375227.51985006098</v>
      </c>
      <c r="Z42" s="39">
        <f>'Subtotal Nom_Enero'!$E12</f>
        <v>375227.51985006098</v>
      </c>
      <c r="AA42" s="31">
        <f t="shared" si="0"/>
        <v>4883666.1334525868</v>
      </c>
      <c r="AB42" s="234">
        <f t="shared" ca="1" si="8"/>
        <v>2.1407422342554293E-2</v>
      </c>
    </row>
    <row r="43" spans="2:28" x14ac:dyDescent="0.35">
      <c r="B43" s="29" t="s">
        <v>1572</v>
      </c>
      <c r="O43" s="39">
        <f>'Subtotal Nom_Enero'!$D4</f>
        <v>177725.19969278027</v>
      </c>
      <c r="P43" s="39">
        <f>'Subtotal Nom_Enero'!$D4</f>
        <v>177725.19969278027</v>
      </c>
      <c r="Q43" s="39">
        <f>'Subtotal Nom_Enero'!$D4</f>
        <v>177725.19969278027</v>
      </c>
      <c r="R43" s="39">
        <f>'Subtotal Nom_Enero'!$E4</f>
        <v>191005.53599028659</v>
      </c>
      <c r="S43" s="39">
        <f>'Subtotal Nom_Enero'!$E4</f>
        <v>191005.53599028659</v>
      </c>
      <c r="T43" s="39">
        <f>'Subtotal Nom_Enero'!$E4</f>
        <v>191005.53599028659</v>
      </c>
      <c r="U43" s="39">
        <f>'Subtotal Nom_Enero'!$E4</f>
        <v>191005.53599028659</v>
      </c>
      <c r="V43" s="39">
        <f>'Subtotal Nom_Enero'!$E4</f>
        <v>191005.53599028659</v>
      </c>
      <c r="W43" s="39">
        <f>'Subtotal Nom_Enero'!$E4</f>
        <v>191005.53599028659</v>
      </c>
      <c r="X43" s="39">
        <f>'Subtotal Nom_Enero'!$E4</f>
        <v>191005.53599028659</v>
      </c>
      <c r="Y43" s="39">
        <f>'Subtotal Nom_Enero'!$E4</f>
        <v>191005.53599028659</v>
      </c>
      <c r="Z43" s="39">
        <f>'Subtotal Nom_Enero'!$E4</f>
        <v>191005.53599028659</v>
      </c>
      <c r="AA43" s="31">
        <f t="shared" si="0"/>
        <v>2252225.42299092</v>
      </c>
      <c r="AB43" s="234">
        <f t="shared" ca="1" si="8"/>
        <v>9.8725710405020463E-3</v>
      </c>
    </row>
    <row r="44" spans="2:28" x14ac:dyDescent="0.35">
      <c r="B44" s="29" t="s">
        <v>1573</v>
      </c>
      <c r="O44" s="39">
        <f>+'Subtotal Nom_Enero'!$D9</f>
        <v>98981.87296270467</v>
      </c>
      <c r="P44" s="39">
        <f>+'Subtotal Nom_Enero'!$D9</f>
        <v>98981.87296270467</v>
      </c>
      <c r="Q44" s="39">
        <f>+'Subtotal Nom_Enero'!$D9</f>
        <v>98981.87296270467</v>
      </c>
      <c r="R44" s="39">
        <f>+'Subtotal Nom_Enero'!$E9</f>
        <v>87622.044463912331</v>
      </c>
      <c r="S44" s="39">
        <f>+'Subtotal Nom_Enero'!$E9</f>
        <v>87622.044463912331</v>
      </c>
      <c r="T44" s="39">
        <f>+'Subtotal Nom_Enero'!$E9</f>
        <v>87622.044463912331</v>
      </c>
      <c r="U44" s="39">
        <f>+'Subtotal Nom_Enero'!$E9</f>
        <v>87622.044463912331</v>
      </c>
      <c r="V44" s="39">
        <f>+'Subtotal Nom_Enero'!$E9</f>
        <v>87622.044463912331</v>
      </c>
      <c r="W44" s="39">
        <f>+'Subtotal Nom_Enero'!$E9</f>
        <v>87622.044463912331</v>
      </c>
      <c r="X44" s="39">
        <f>+'Subtotal Nom_Enero'!$E9</f>
        <v>87622.044463912331</v>
      </c>
      <c r="Y44" s="39">
        <f>+'Subtotal Nom_Enero'!$E9</f>
        <v>87622.044463912331</v>
      </c>
      <c r="Z44" s="39">
        <f>+'Subtotal Nom_Enero'!$E9</f>
        <v>87622.044463912331</v>
      </c>
      <c r="AA44" s="31">
        <f t="shared" si="0"/>
        <v>1085544.0190633251</v>
      </c>
      <c r="AB44" s="234">
        <f t="shared" ca="1" si="8"/>
        <v>4.7584537215473888E-3</v>
      </c>
    </row>
    <row r="45" spans="2:28" x14ac:dyDescent="0.35">
      <c r="B45" s="29" t="s">
        <v>909</v>
      </c>
      <c r="O45" s="39">
        <f>'Subtotal Nom_Enero'!$D11</f>
        <v>142850.53070651233</v>
      </c>
      <c r="P45" s="39">
        <f>'Subtotal Nom_Enero'!$D11</f>
        <v>142850.53070651233</v>
      </c>
      <c r="Q45" s="39">
        <f>'Subtotal Nom_Enero'!$D11</f>
        <v>142850.53070651233</v>
      </c>
      <c r="R45" s="39">
        <f>'Subtotal Nom_Enero'!$E11</f>
        <v>130519.68432029353</v>
      </c>
      <c r="S45" s="39">
        <f>'Subtotal Nom_Enero'!$E11</f>
        <v>130519.68432029353</v>
      </c>
      <c r="T45" s="39">
        <f>'Subtotal Nom_Enero'!$E11</f>
        <v>130519.68432029353</v>
      </c>
      <c r="U45" s="39">
        <f>'Subtotal Nom_Enero'!$E11</f>
        <v>130519.68432029353</v>
      </c>
      <c r="V45" s="39">
        <f>'Subtotal Nom_Enero'!$E11</f>
        <v>130519.68432029353</v>
      </c>
      <c r="W45" s="39">
        <f>'Subtotal Nom_Enero'!$E11</f>
        <v>130519.68432029353</v>
      </c>
      <c r="X45" s="39">
        <f>'Subtotal Nom_Enero'!$E11</f>
        <v>130519.68432029353</v>
      </c>
      <c r="Y45" s="39">
        <f>'Subtotal Nom_Enero'!$E11</f>
        <v>130519.68432029353</v>
      </c>
      <c r="Z45" s="39">
        <f>'Subtotal Nom_Enero'!$E11</f>
        <v>130519.68432029353</v>
      </c>
      <c r="AA45" s="31">
        <f t="shared" si="0"/>
        <v>1603228.751002179</v>
      </c>
      <c r="AB45" s="234">
        <f t="shared" ca="1" si="8"/>
        <v>7.0277111593141763E-3</v>
      </c>
    </row>
    <row r="46" spans="2:28" x14ac:dyDescent="0.35">
      <c r="B46" s="29" t="s">
        <v>21</v>
      </c>
      <c r="O46" s="39">
        <f>'Subtotal Nom_Enero'!$D13</f>
        <v>523340.74862214405</v>
      </c>
      <c r="P46" s="39">
        <f>'Subtotal Nom_Enero'!$D13</f>
        <v>523340.74862214405</v>
      </c>
      <c r="Q46" s="39">
        <f>'Subtotal Nom_Enero'!$D13</f>
        <v>523340.74862214405</v>
      </c>
      <c r="R46" s="39">
        <f>'Subtotal Nom_Enero'!$E13</f>
        <v>468529.30470539199</v>
      </c>
      <c r="S46" s="39">
        <f>'Subtotal Nom_Enero'!$E13</f>
        <v>468529.30470539199</v>
      </c>
      <c r="T46" s="39">
        <f>'Subtotal Nom_Enero'!$E13</f>
        <v>468529.30470539199</v>
      </c>
      <c r="U46" s="39">
        <f>'Subtotal Nom_Enero'!$E13</f>
        <v>468529.30470539199</v>
      </c>
      <c r="V46" s="39">
        <f>'Subtotal Nom_Enero'!$E13</f>
        <v>468529.30470539199</v>
      </c>
      <c r="W46" s="39">
        <f>'Subtotal Nom_Enero'!$E13</f>
        <v>468529.30470539199</v>
      </c>
      <c r="X46" s="39">
        <f>'Subtotal Nom_Enero'!$E13</f>
        <v>468529.30470539199</v>
      </c>
      <c r="Y46" s="39">
        <f>'Subtotal Nom_Enero'!$E13</f>
        <v>468529.30470539199</v>
      </c>
      <c r="Z46" s="39">
        <f>'Subtotal Nom_Enero'!$E13</f>
        <v>468529.30470539199</v>
      </c>
      <c r="AA46" s="31">
        <f t="shared" si="0"/>
        <v>5786785.9882149594</v>
      </c>
      <c r="AB46" s="234">
        <f t="shared" ca="1" si="8"/>
        <v>2.5366224526923987E-2</v>
      </c>
    </row>
    <row r="47" spans="2:28" x14ac:dyDescent="0.35">
      <c r="B47" s="29" t="s">
        <v>23</v>
      </c>
      <c r="O47" s="39">
        <f>INDEX(BIOMIRAL_PVT_LBL[], MATCH("TOTAL INC NUEVOS CANALES", BIOMIRAL_PVT_LBL[Column3], 0), MATCH("TMI - TRADE MARKETING INVESTMENT-ENE", 'BIOMIRAL PVT LBL'!2:2, 0))</f>
        <v>525730.20483139204</v>
      </c>
      <c r="P47" s="39">
        <f ca="1">OFFSET(INDEX(BIOMIRAL_PVT_LBL[], MATCH("TOTAL INC NUEVOS CANALES", BIOMIRAL_PVT_LBL[Column3], 0), MATCH("TMI - TRADE MARKETING INVESTMENT-ENE", 'BIOMIRAL PVT LBL'!2:2, 0)),0,O11)</f>
        <v>465458.4644833795</v>
      </c>
      <c r="Q47" s="39">
        <f ca="1">OFFSET(INDEX(BIOMIRAL_PVT_LBL[], MATCH("TOTAL INC NUEVOS CANALES", BIOMIRAL_PVT_LBL[Column3], 0), MATCH("TMI - TRADE MARKETING INVESTMENT-ENE", 'BIOMIRAL PVT LBL'!2:2, 0)),0,P11)</f>
        <v>453556.09583621897</v>
      </c>
      <c r="R47" s="39">
        <f ca="1">OFFSET(INDEX(BIOMIRAL_PVT_LBL[], MATCH("TOTAL INC NUEVOS CANALES", BIOMIRAL_PVT_LBL[Column3], 0), MATCH("TMI - TRADE MARKETING INVESTMENT-ENE", 'BIOMIRAL PVT LBL'!2:2, 0)),0,Q11)</f>
        <v>503895.63395944878</v>
      </c>
      <c r="S47" s="39">
        <f ca="1">OFFSET(INDEX(BIOMIRAL_PVT_LBL[], MATCH("TOTAL INC NUEVOS CANALES", BIOMIRAL_PVT_LBL[Column3], 0), MATCH("TMI - TRADE MARKETING INVESTMENT-ENE", 'BIOMIRAL PVT LBL'!2:2, 0)),0,R11)</f>
        <v>535432.33211832261</v>
      </c>
      <c r="T47" s="39">
        <f ca="1">OFFSET(INDEX(BIOMIRAL_PVT_LBL[], MATCH("TOTAL INC NUEVOS CANALES", BIOMIRAL_PVT_LBL[Column3], 0), MATCH("TMI - TRADE MARKETING INVESTMENT-ENE", 'BIOMIRAL PVT LBL'!2:2, 0)),0,S11)</f>
        <v>474596.11505275342</v>
      </c>
      <c r="U47" s="39">
        <f ca="1">OFFSET(INDEX(BIOMIRAL_PVT_LBL[], MATCH("TOTAL INC NUEVOS CANALES", BIOMIRAL_PVT_LBL[Column3], 0), MATCH("TMI - TRADE MARKETING INVESTMENT-ENE", 'BIOMIRAL PVT LBL'!2:2, 0)),0,T11)</f>
        <v>533708.97005682439</v>
      </c>
      <c r="V47" s="39">
        <f ca="1">OFFSET(INDEX(BIOMIRAL_PVT_LBL[], MATCH("TOTAL INC NUEVOS CANALES", BIOMIRAL_PVT_LBL[Column3], 0), MATCH("TMI - TRADE MARKETING INVESTMENT-ENE", 'BIOMIRAL PVT LBL'!2:2, 0)),0,U11)</f>
        <v>547297.73903335398</v>
      </c>
      <c r="W47" s="39">
        <f ca="1">OFFSET(INDEX(BIOMIRAL_PVT_LBL[], MATCH("TOTAL INC NUEVOS CANALES", BIOMIRAL_PVT_LBL[Column3], 0), MATCH("TMI - TRADE MARKETING INVESTMENT-ENE", 'BIOMIRAL PVT LBL'!2:2, 0)),0,V11)</f>
        <v>503181.55512450478</v>
      </c>
      <c r="X47" s="39">
        <f ca="1">OFFSET(INDEX(BIOMIRAL_PVT_LBL[], MATCH("TOTAL INC NUEVOS CANALES", BIOMIRAL_PVT_LBL[Column3], 0), MATCH("TMI - TRADE MARKETING INVESTMENT-ENE", 'BIOMIRAL PVT LBL'!2:2, 0)),0,W11)</f>
        <v>614386.9062370148</v>
      </c>
      <c r="Y47" s="39">
        <f ca="1">OFFSET(INDEX(BIOMIRAL_PVT_LBL[], MATCH("TOTAL INC NUEVOS CANALES", BIOMIRAL_PVT_LBL[Column3], 0), MATCH("TMI - TRADE MARKETING INVESTMENT-ENE", 'BIOMIRAL PVT LBL'!2:2, 0)),0,X11)</f>
        <v>578804.63150554616</v>
      </c>
      <c r="Z47" s="39">
        <f ca="1">OFFSET(INDEX(BIOMIRAL_PVT_LBL[], MATCH("TOTAL INC NUEVOS CANALES", BIOMIRAL_PVT_LBL[Column3], 0), MATCH("TMI - TRADE MARKETING INVESTMENT-ENE", 'BIOMIRAL PVT LBL'!2:2, 0)),0,Y11)</f>
        <v>657419.38541761541</v>
      </c>
      <c r="AA47" s="31">
        <f t="shared" ca="1" si="0"/>
        <v>6393468.0336563746</v>
      </c>
      <c r="AB47" s="234">
        <f t="shared" ca="1" si="8"/>
        <v>2.8025599353029753E-2</v>
      </c>
    </row>
    <row r="48" spans="2:28" x14ac:dyDescent="0.35">
      <c r="B48" s="29" t="s">
        <v>24</v>
      </c>
      <c r="O48" s="39">
        <f>ASSUMPTIONS!$C$31*(O16+O17)</f>
        <v>442575.1463081371</v>
      </c>
      <c r="P48" s="39">
        <f ca="1">ASSUMPTIONS!$C$31*(P16+P17)</f>
        <v>401131.04605955683</v>
      </c>
      <c r="Q48" s="39">
        <f ca="1">ASSUMPTIONS!$C$31*(Q16+Q17)</f>
        <v>395030.14781952143</v>
      </c>
      <c r="R48" s="39">
        <f ca="1">ASSUMPTIONS!$C$31*(R16+R17)</f>
        <v>439597.7224392991</v>
      </c>
      <c r="S48" s="39">
        <f ca="1">ASSUMPTIONS!$C$31*(S16+S17)</f>
        <v>458662.76381211786</v>
      </c>
      <c r="T48" s="39">
        <f ca="1">ASSUMPTIONS!$C$31*(T16+T17)</f>
        <v>415867.73321923538</v>
      </c>
      <c r="U48" s="39">
        <f ca="1">ASSUMPTIONS!$C$31*(U16+U17)</f>
        <v>458035.0381089726</v>
      </c>
      <c r="V48" s="39">
        <f ca="1">ASSUMPTIONS!$C$31*(V16+V17)</f>
        <v>468982.06589337013</v>
      </c>
      <c r="W48" s="39">
        <f ca="1">ASSUMPTIONS!$C$31*(W16+W17)</f>
        <v>437640.25489261089</v>
      </c>
      <c r="X48" s="39">
        <f ca="1">ASSUMPTIONS!$C$31*(X16+X17)</f>
        <v>517246.51842345204</v>
      </c>
      <c r="Y48" s="39">
        <f ca="1">ASSUMPTIONS!$C$31*(Y16+Y17)</f>
        <v>490120.19792953471</v>
      </c>
      <c r="Z48" s="39">
        <f ca="1">ASSUMPTIONS!$C$31*(Z16+Z17)</f>
        <v>554601.23040430096</v>
      </c>
      <c r="AA48" s="31">
        <f t="shared" ca="1" si="0"/>
        <v>5479489.8653101083</v>
      </c>
      <c r="AB48" s="234">
        <f t="shared" ca="1" si="8"/>
        <v>2.4019200036000631E-2</v>
      </c>
    </row>
    <row r="49" spans="2:29" x14ac:dyDescent="0.35">
      <c r="B49" t="s">
        <v>1969</v>
      </c>
      <c r="O49" s="39">
        <f>Gastos!T49</f>
        <v>25000</v>
      </c>
      <c r="P49" s="39">
        <f>Gastos!U49</f>
        <v>25000</v>
      </c>
      <c r="Q49" s="39">
        <f>Gastos!V49</f>
        <v>25000</v>
      </c>
      <c r="R49" s="39">
        <f>Gastos!W49</f>
        <v>25000</v>
      </c>
      <c r="S49" s="39">
        <f>Gastos!X49</f>
        <v>25000</v>
      </c>
      <c r="T49" s="39">
        <f>Gastos!Y49</f>
        <v>25000</v>
      </c>
      <c r="U49" s="39">
        <f>Gastos!Z49</f>
        <v>25000</v>
      </c>
      <c r="V49" s="39">
        <f>Gastos!AA49</f>
        <v>25000</v>
      </c>
      <c r="W49" s="39">
        <f>Gastos!AB49</f>
        <v>25000</v>
      </c>
      <c r="X49" s="39">
        <f>Gastos!AC49</f>
        <v>25000</v>
      </c>
      <c r="Y49" s="39">
        <f>Gastos!AD49</f>
        <v>25000</v>
      </c>
      <c r="Z49" s="39">
        <f>Gastos!AE49</f>
        <v>25000</v>
      </c>
      <c r="AA49" s="31">
        <f t="shared" si="0"/>
        <v>300000</v>
      </c>
      <c r="AB49" s="234">
        <f t="shared" ca="1" si="8"/>
        <v>1.3150421276292266E-3</v>
      </c>
    </row>
    <row r="50" spans="2:29" x14ac:dyDescent="0.35">
      <c r="B50" s="29" t="s">
        <v>25</v>
      </c>
      <c r="O50" s="39">
        <f>'Subtotal Nom_Enero'!$D6</f>
        <v>240779.67574799209</v>
      </c>
      <c r="P50" s="39">
        <f>'Subtotal Nom_Enero'!$D6</f>
        <v>240779.67574799209</v>
      </c>
      <c r="Q50" s="39">
        <f>'Subtotal Nom_Enero'!$D6</f>
        <v>240779.67574799209</v>
      </c>
      <c r="R50" s="39">
        <f>'Subtotal Nom_Enero'!$E6</f>
        <v>224607.71097219529</v>
      </c>
      <c r="S50" s="39">
        <f>'Subtotal Nom_Enero'!$E6</f>
        <v>224607.71097219529</v>
      </c>
      <c r="T50" s="39">
        <f>'Subtotal Nom_Enero'!$E6</f>
        <v>224607.71097219529</v>
      </c>
      <c r="U50" s="39">
        <f>'Subtotal Nom_Enero'!$E6</f>
        <v>224607.71097219529</v>
      </c>
      <c r="V50" s="39">
        <f>'Subtotal Nom_Enero'!$E6</f>
        <v>224607.71097219529</v>
      </c>
      <c r="W50" s="39">
        <f>'Subtotal Nom_Enero'!$E6</f>
        <v>224607.71097219529</v>
      </c>
      <c r="X50" s="39">
        <f>'Subtotal Nom_Enero'!$E6</f>
        <v>224607.71097219529</v>
      </c>
      <c r="Y50" s="39">
        <f>'Subtotal Nom_Enero'!$E6</f>
        <v>224607.71097219529</v>
      </c>
      <c r="Z50" s="39">
        <f>'Subtotal Nom_Enero'!$E6</f>
        <v>224607.71097219529</v>
      </c>
      <c r="AA50" s="31">
        <f t="shared" si="0"/>
        <v>2743808.425993734</v>
      </c>
      <c r="AB50" s="234">
        <f t="shared" ca="1" si="8"/>
        <v>1.2027412234419331E-2</v>
      </c>
    </row>
    <row r="51" spans="2:29" x14ac:dyDescent="0.35">
      <c r="B51" s="29" t="s">
        <v>40</v>
      </c>
      <c r="O51" s="39">
        <f>O$18*ASSUMPTIONS!$C34</f>
        <v>109404.68629748037</v>
      </c>
      <c r="P51" s="39">
        <f ca="1">P$18*ASSUMPTIONS!$C34</f>
        <v>81681.081272622352</v>
      </c>
      <c r="Q51" s="39">
        <f ca="1">Q$18*ASSUMPTIONS!$C34</f>
        <v>75799.436448618813</v>
      </c>
      <c r="R51" s="39">
        <f ca="1">R$18*ASSUMPTIONS!$C34</f>
        <v>80714.862243929892</v>
      </c>
      <c r="S51" s="39">
        <f ca="1">S$18*ASSUMPTIONS!$C34</f>
        <v>81252.71138121179</v>
      </c>
      <c r="T51" s="39">
        <f ca="1">T$18*ASSUMPTIONS!$C34</f>
        <v>91119.413321923537</v>
      </c>
      <c r="U51" s="39">
        <f ca="1">U$18*ASSUMPTIONS!$C34</f>
        <v>94052.938810897249</v>
      </c>
      <c r="V51" s="39">
        <f ca="1">V$18*ASSUMPTIONS!$C34</f>
        <v>92717.361589337015</v>
      </c>
      <c r="W51" s="39">
        <f ca="1">W$18*ASSUMPTIONS!$C34</f>
        <v>101399.66548926108</v>
      </c>
      <c r="X51" s="39">
        <f ca="1">X$18*ASSUMPTIONS!$C34</f>
        <v>115407.17184234518</v>
      </c>
      <c r="Y51" s="39">
        <f ca="1">Y$18*ASSUMPTIONS!$C34</f>
        <v>120927.50979295345</v>
      </c>
      <c r="Z51" s="39">
        <f ca="1">Z$18*ASSUMPTIONS!$C34</f>
        <v>119449.5580404301</v>
      </c>
      <c r="AA51" s="31">
        <f t="shared" ca="1" si="0"/>
        <v>1163926.3965310107</v>
      </c>
      <c r="AB51" s="234">
        <f t="shared" ca="1" si="8"/>
        <v>5.1020408163265302E-3</v>
      </c>
    </row>
    <row r="52" spans="2:29" x14ac:dyDescent="0.35">
      <c r="B52" s="29" t="s">
        <v>26</v>
      </c>
      <c r="O52" s="39">
        <f>'Subtotal Nom_Enero'!$D3</f>
        <v>425267.77066186437</v>
      </c>
      <c r="P52" s="39">
        <f>'Subtotal Nom_Enero'!$D3</f>
        <v>425267.77066186437</v>
      </c>
      <c r="Q52" s="39">
        <f>'Subtotal Nom_Enero'!$D3</f>
        <v>425267.77066186437</v>
      </c>
      <c r="R52" s="39">
        <f>'Subtotal Nom_Enero'!$E3</f>
        <v>323102.10727204254</v>
      </c>
      <c r="S52" s="39">
        <f>'Subtotal Nom_Enero'!$E3</f>
        <v>323102.10727204254</v>
      </c>
      <c r="T52" s="39">
        <f>'Subtotal Nom_Enero'!$E3</f>
        <v>323102.10727204254</v>
      </c>
      <c r="U52" s="39">
        <f>'Subtotal Nom_Enero'!$E3</f>
        <v>323102.10727204254</v>
      </c>
      <c r="V52" s="39">
        <f>'Subtotal Nom_Enero'!$E3</f>
        <v>323102.10727204254</v>
      </c>
      <c r="W52" s="39">
        <f>'Subtotal Nom_Enero'!$E3</f>
        <v>323102.10727204254</v>
      </c>
      <c r="X52" s="39">
        <f>'Subtotal Nom_Enero'!$E3</f>
        <v>323102.10727204254</v>
      </c>
      <c r="Y52" s="39">
        <f>'Subtotal Nom_Enero'!$E3</f>
        <v>323102.10727204254</v>
      </c>
      <c r="Z52" s="39">
        <f>'Subtotal Nom_Enero'!$E3</f>
        <v>323102.10727204254</v>
      </c>
      <c r="AA52" s="31">
        <f t="shared" si="0"/>
        <v>4183722.2774339751</v>
      </c>
      <c r="AB52" s="234">
        <f t="shared" ca="1" si="8"/>
        <v>1.8339236817088558E-2</v>
      </c>
    </row>
    <row r="53" spans="2:29" x14ac:dyDescent="0.35">
      <c r="B53" s="29" t="s">
        <v>1570</v>
      </c>
      <c r="O53" s="39">
        <f>'Subtotal Nom_Enero'!$D7</f>
        <v>679204.6794791735</v>
      </c>
      <c r="P53" s="39">
        <f>'Subtotal Nom_Enero'!$D7</f>
        <v>679204.6794791735</v>
      </c>
      <c r="Q53" s="39">
        <f>'Subtotal Nom_Enero'!$D7</f>
        <v>679204.6794791735</v>
      </c>
      <c r="R53" s="39">
        <f>'Subtotal Nom_Enero'!$D7</f>
        <v>679204.6794791735</v>
      </c>
      <c r="S53" s="39">
        <f>'Subtotal Nom_Enero'!$D7</f>
        <v>679204.6794791735</v>
      </c>
      <c r="T53" s="39">
        <f>'Subtotal Nom_Enero'!$D7</f>
        <v>679204.6794791735</v>
      </c>
      <c r="U53" s="39">
        <f>'Subtotal Nom_Enero'!$D7</f>
        <v>679204.6794791735</v>
      </c>
      <c r="V53" s="39">
        <f>'Subtotal Nom_Enero'!$D7</f>
        <v>679204.6794791735</v>
      </c>
      <c r="W53" s="39">
        <f>'Subtotal Nom_Enero'!$D7</f>
        <v>679204.6794791735</v>
      </c>
      <c r="X53" s="39">
        <f>'Subtotal Nom_Enero'!$D7</f>
        <v>679204.6794791735</v>
      </c>
      <c r="Y53" s="39">
        <f>'Subtotal Nom_Enero'!$D7</f>
        <v>679204.6794791735</v>
      </c>
      <c r="Z53" s="39">
        <f>'Subtotal Nom_Enero'!$D7</f>
        <v>679204.6794791735</v>
      </c>
      <c r="AA53" s="31">
        <f t="shared" si="0"/>
        <v>8150456.1537500815</v>
      </c>
      <c r="AB53" s="234">
        <f t="shared" ca="1" si="8"/>
        <v>3.5727310671920767E-2</v>
      </c>
    </row>
    <row r="54" spans="2:29" x14ac:dyDescent="0.35">
      <c r="B54" s="29" t="s">
        <v>999</v>
      </c>
      <c r="O54" s="39">
        <f>SUM(Gastos!T22:T34)</f>
        <v>118921.87302681991</v>
      </c>
      <c r="P54" s="39">
        <f>SUM(Gastos!U22:U34)</f>
        <v>118921.87302681991</v>
      </c>
      <c r="Q54" s="39">
        <f>SUM(Gastos!V22:V34)</f>
        <v>118921.87302681991</v>
      </c>
      <c r="R54" s="39">
        <f>SUM(Gastos!W22:W34)</f>
        <v>118921.87302681991</v>
      </c>
      <c r="S54" s="39">
        <f>SUM(Gastos!X22:X34)</f>
        <v>118921.87302681991</v>
      </c>
      <c r="T54" s="39">
        <f>SUM(Gastos!Y22:Y34)</f>
        <v>178921.8730268199</v>
      </c>
      <c r="U54" s="39">
        <f>SUM(Gastos!Z22:Z34)</f>
        <v>178921.8730268199</v>
      </c>
      <c r="V54" s="39">
        <f>SUM(Gastos!AA22:AA34)</f>
        <v>178921.8730268199</v>
      </c>
      <c r="W54" s="39">
        <f>SUM(Gastos!AB22:AB34)</f>
        <v>178921.8730268199</v>
      </c>
      <c r="X54" s="39">
        <f>SUM(Gastos!AC22:AC34)</f>
        <v>178921.8730268199</v>
      </c>
      <c r="Y54" s="39">
        <f>SUM(Gastos!AD22:AD34)</f>
        <v>178921.8730268199</v>
      </c>
      <c r="Z54" s="39">
        <f>SUM(Gastos!AE22:AE34)</f>
        <v>178921.8730268199</v>
      </c>
      <c r="AA54" s="31">
        <f t="shared" si="0"/>
        <v>1847062.4763218388</v>
      </c>
      <c r="AB54" s="234">
        <f t="shared" ca="1" si="8"/>
        <v>8.0965498957545953E-3</v>
      </c>
    </row>
    <row r="55" spans="2:29" x14ac:dyDescent="0.35">
      <c r="B55" s="29" t="s">
        <v>8</v>
      </c>
      <c r="O55" s="39">
        <f>O$18*ASSUMPTIONS!$C$37</f>
        <v>656428.1177848822</v>
      </c>
      <c r="P55" s="39">
        <f ca="1">P$18*ASSUMPTIONS!$C$37</f>
        <v>490086.48763573408</v>
      </c>
      <c r="Q55" s="39">
        <f ca="1">Q$18*ASSUMPTIONS!$C$37</f>
        <v>454796.61869171285</v>
      </c>
      <c r="R55" s="39">
        <f ca="1">R$18*ASSUMPTIONS!$C$37</f>
        <v>484289.17346357938</v>
      </c>
      <c r="S55" s="39">
        <f ca="1">S$18*ASSUMPTIONS!$C$37</f>
        <v>487516.26828727068</v>
      </c>
      <c r="T55" s="39">
        <f ca="1">T$18*ASSUMPTIONS!$C$37</f>
        <v>546716.47993154125</v>
      </c>
      <c r="U55" s="39">
        <f ca="1">U$18*ASSUMPTIONS!$C$37</f>
        <v>564317.63286538341</v>
      </c>
      <c r="V55" s="39">
        <f ca="1">V$18*ASSUMPTIONS!$C$37</f>
        <v>556304.169536022</v>
      </c>
      <c r="W55" s="39">
        <f ca="1">W$18*ASSUMPTIONS!$C$37</f>
        <v>608397.99293556646</v>
      </c>
      <c r="X55" s="39">
        <f ca="1">X$18*ASSUMPTIONS!$C$37</f>
        <v>692443.03105407103</v>
      </c>
      <c r="Y55" s="39">
        <f ca="1">Y$18*ASSUMPTIONS!$C$37</f>
        <v>725565.05875772063</v>
      </c>
      <c r="Z55" s="39">
        <f ca="1">Z$18*ASSUMPTIONS!$C$37</f>
        <v>716697.34824258054</v>
      </c>
      <c r="AA55" s="31">
        <f t="shared" ca="1" si="0"/>
        <v>6983558.3791860649</v>
      </c>
      <c r="AB55" s="234">
        <f t="shared" ca="1" si="8"/>
        <v>3.0612244897959186E-2</v>
      </c>
    </row>
    <row r="56" spans="2:29" x14ac:dyDescent="0.35">
      <c r="B56" s="29" t="s">
        <v>998</v>
      </c>
      <c r="O56" s="39">
        <f>Gastos!T33</f>
        <v>27000</v>
      </c>
      <c r="P56" s="39">
        <f>Gastos!U33</f>
        <v>27000</v>
      </c>
      <c r="Q56" s="39">
        <f>Gastos!V33</f>
        <v>27000</v>
      </c>
      <c r="R56" s="39">
        <f>Gastos!W33</f>
        <v>27000</v>
      </c>
      <c r="S56" s="39">
        <f>Gastos!X33</f>
        <v>27000</v>
      </c>
      <c r="T56" s="39">
        <f>Gastos!Y33</f>
        <v>27000</v>
      </c>
      <c r="U56" s="39">
        <f>Gastos!Z33</f>
        <v>27000</v>
      </c>
      <c r="V56" s="39">
        <f>Gastos!AA33</f>
        <v>27000</v>
      </c>
      <c r="W56" s="39">
        <f>Gastos!AB33</f>
        <v>27000</v>
      </c>
      <c r="X56" s="39">
        <f>Gastos!AC33</f>
        <v>27000</v>
      </c>
      <c r="Y56" s="39">
        <f>Gastos!AD33</f>
        <v>27000</v>
      </c>
      <c r="Z56" s="39">
        <f>Gastos!AE33</f>
        <v>27000</v>
      </c>
      <c r="AA56" s="31">
        <f t="shared" si="0"/>
        <v>324000</v>
      </c>
      <c r="AB56" s="234">
        <f t="shared" ca="1" si="8"/>
        <v>1.4202454978395646E-3</v>
      </c>
    </row>
    <row r="57" spans="2:29" x14ac:dyDescent="0.35">
      <c r="B57" s="29" t="s">
        <v>946</v>
      </c>
      <c r="O57" s="39">
        <f>SUM(Gastos!T39:T45)</f>
        <v>155000</v>
      </c>
      <c r="P57" s="39">
        <f>SUM(Gastos!U39:U45)</f>
        <v>242111.33333333331</v>
      </c>
      <c r="Q57" s="39">
        <f>SUM(Gastos!V39:V45)</f>
        <v>242111.33333333331</v>
      </c>
      <c r="R57" s="39">
        <f>SUM(Gastos!W39:W45)</f>
        <v>242111.33333333331</v>
      </c>
      <c r="S57" s="39">
        <f>SUM(Gastos!X39:X45)</f>
        <v>202111.33333333331</v>
      </c>
      <c r="T57" s="39">
        <f>SUM(Gastos!Y39:Y45)</f>
        <v>200000</v>
      </c>
      <c r="U57" s="39">
        <f>SUM(Gastos!Z39:Z45)</f>
        <v>200000</v>
      </c>
      <c r="V57" s="39">
        <f>SUM(Gastos!AA39:AA45)</f>
        <v>175000</v>
      </c>
      <c r="W57" s="39">
        <f>SUM(Gastos!AB39:AB45)</f>
        <v>175000</v>
      </c>
      <c r="X57" s="39">
        <f>SUM(Gastos!AC39:AC45)</f>
        <v>175000</v>
      </c>
      <c r="Y57" s="39">
        <f>SUM(Gastos!AD39:AD45)</f>
        <v>175000</v>
      </c>
      <c r="Z57" s="39">
        <f>SUM(Gastos!AE39:AE45)</f>
        <v>175000</v>
      </c>
      <c r="AA57" s="31">
        <f t="shared" si="0"/>
        <v>2358445.333333333</v>
      </c>
      <c r="AB57" s="234">
        <f t="shared" ca="1" si="8"/>
        <v>1.0338183230146288E-2</v>
      </c>
    </row>
    <row r="58" spans="2:29" x14ac:dyDescent="0.35">
      <c r="B58" s="32" t="s">
        <v>948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40">
        <f>SUM(Gastos!T55:T62)</f>
        <v>98690.106249999997</v>
      </c>
      <c r="P58" s="40">
        <f>SUM(Gastos!U55:U62)</f>
        <v>98690.106249999997</v>
      </c>
      <c r="Q58" s="40">
        <f>SUM(Gastos!V55:V62)</f>
        <v>98690.106249999997</v>
      </c>
      <c r="R58" s="40">
        <f>SUM(Gastos!W55:W62)</f>
        <v>98690.106249999997</v>
      </c>
      <c r="S58" s="40">
        <f>SUM(Gastos!X55:X62)</f>
        <v>98690.106249999997</v>
      </c>
      <c r="T58" s="40">
        <f>SUM(Gastos!Y55:Y62)</f>
        <v>98690.106249999997</v>
      </c>
      <c r="U58" s="40">
        <f>SUM(Gastos!Z55:Z62)</f>
        <v>98690.106249999997</v>
      </c>
      <c r="V58" s="40">
        <f>SUM(Gastos!AA55:AA62)</f>
        <v>98690.106249999997</v>
      </c>
      <c r="W58" s="40">
        <f>SUM(Gastos!AB55:AB62)</f>
        <v>98690.106249999997</v>
      </c>
      <c r="X58" s="40">
        <f>SUM(Gastos!AC55:AC62)</f>
        <v>98690.106249999997</v>
      </c>
      <c r="Y58" s="40">
        <f>SUM(Gastos!AD55:AD62)</f>
        <v>98690.106249999997</v>
      </c>
      <c r="Z58" s="40">
        <f>SUM(Gastos!AE55:AE62)</f>
        <v>98690.106249999997</v>
      </c>
      <c r="AA58" s="50">
        <f t="shared" si="0"/>
        <v>1184281.2749999997</v>
      </c>
      <c r="AB58" s="234">
        <f t="shared" ca="1" si="8"/>
        <v>5.1912658919581753E-3</v>
      </c>
    </row>
    <row r="59" spans="2:29" s="27" customFormat="1" x14ac:dyDescent="0.35">
      <c r="B59" s="27" t="s">
        <v>37</v>
      </c>
      <c r="O59" s="35">
        <f t="shared" ref="O59:Z59" si="15">O40-SUM(O42:O58)</f>
        <v>3103247.6666669073</v>
      </c>
      <c r="P59" s="35">
        <f t="shared" ca="1" si="15"/>
        <v>656098.06033321004</v>
      </c>
      <c r="Q59" s="35">
        <f t="shared" ca="1" si="15"/>
        <v>156491.69703103602</v>
      </c>
      <c r="R59" s="35">
        <f t="shared" ca="1" si="15"/>
        <v>1421152.7235243702</v>
      </c>
      <c r="S59" s="35">
        <f t="shared" ca="1" si="15"/>
        <v>1501444.7783120675</v>
      </c>
      <c r="T59" s="35">
        <f t="shared" ca="1" si="15"/>
        <v>2248624.1745916735</v>
      </c>
      <c r="U59" s="35">
        <f t="shared" ca="1" si="15"/>
        <v>2504316.6009025043</v>
      </c>
      <c r="V59" s="35">
        <f t="shared" ca="1" si="15"/>
        <v>2418333.3065695185</v>
      </c>
      <c r="W59" s="35">
        <f t="shared" ca="1" si="15"/>
        <v>3163404.4197006309</v>
      </c>
      <c r="X59" s="35">
        <f t="shared" ca="1" si="15"/>
        <v>4392841.5273852488</v>
      </c>
      <c r="Y59" s="35">
        <f t="shared" ca="1" si="15"/>
        <v>5211542.9320146842</v>
      </c>
      <c r="Z59" s="35">
        <f t="shared" ca="1" si="15"/>
        <v>5352903.6344943438</v>
      </c>
      <c r="AA59" s="31">
        <f t="shared" ca="1" si="0"/>
        <v>32130401.521526195</v>
      </c>
      <c r="AB59" s="234">
        <f t="shared" ca="1" si="8"/>
        <v>0.14084277192816383</v>
      </c>
      <c r="AC59" s="31"/>
    </row>
    <row r="60" spans="2:29" x14ac:dyDescent="0.35">
      <c r="B60" s="49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41">
        <f t="shared" ref="O60:AA60" si="16">O59/O$22</f>
        <v>0.14471862946943312</v>
      </c>
      <c r="P60" s="41">
        <f t="shared" ca="1" si="16"/>
        <v>4.0981816488938796E-2</v>
      </c>
      <c r="Q60" s="41">
        <f t="shared" ca="1" si="16"/>
        <v>1.0533416382452535E-2</v>
      </c>
      <c r="R60" s="41">
        <f t="shared" ca="1" si="16"/>
        <v>8.9832021019155481E-2</v>
      </c>
      <c r="S60" s="41">
        <f t="shared" ca="1" si="16"/>
        <v>9.4279100502482976E-2</v>
      </c>
      <c r="T60" s="41">
        <f t="shared" ca="1" si="16"/>
        <v>0.12590700379964964</v>
      </c>
      <c r="U60" s="41">
        <f t="shared" ca="1" si="16"/>
        <v>0.13585035913123747</v>
      </c>
      <c r="V60" s="41">
        <f t="shared" ca="1" si="16"/>
        <v>0.13307578026485353</v>
      </c>
      <c r="W60" s="41">
        <f t="shared" ca="1" si="16"/>
        <v>0.15917033246593579</v>
      </c>
      <c r="X60" s="41">
        <f t="shared" ca="1" si="16"/>
        <v>0.19420332735465354</v>
      </c>
      <c r="Y60" s="41">
        <f t="shared" ca="1" si="16"/>
        <v>0.21987970148977926</v>
      </c>
      <c r="Z60" s="41">
        <f t="shared" ca="1" si="16"/>
        <v>0.22863820743320715</v>
      </c>
      <c r="AA60" s="73">
        <f t="shared" ca="1" si="16"/>
        <v>0.14084277192816383</v>
      </c>
      <c r="AB60" s="234"/>
    </row>
    <row r="61" spans="2:29" x14ac:dyDescent="0.35">
      <c r="B61" t="s">
        <v>28</v>
      </c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1">
        <f t="shared" si="0"/>
        <v>0</v>
      </c>
      <c r="AB61" s="234">
        <f t="shared" ca="1" si="8"/>
        <v>0</v>
      </c>
    </row>
    <row r="62" spans="2:29" x14ac:dyDescent="0.35">
      <c r="B62" s="29" t="s">
        <v>1355</v>
      </c>
      <c r="O62" s="39">
        <v>237459.19812367056</v>
      </c>
      <c r="P62" s="39">
        <v>277409.44291000755</v>
      </c>
      <c r="Q62" s="39">
        <v>418800.84798098123</v>
      </c>
      <c r="R62" s="39">
        <v>225124.11160587889</v>
      </c>
      <c r="S62" s="39">
        <v>229400.3192337428</v>
      </c>
      <c r="T62" s="39">
        <v>233770.93115862689</v>
      </c>
      <c r="U62" s="39">
        <v>271383.61519012187</v>
      </c>
      <c r="V62" s="39">
        <v>238809.70965831607</v>
      </c>
      <c r="W62" s="39">
        <v>243402.50236613807</v>
      </c>
      <c r="X62" s="39">
        <v>277247.12060237891</v>
      </c>
      <c r="Y62" s="39">
        <v>249398.01896207561</v>
      </c>
      <c r="Z62" s="39">
        <v>254239.06239269453</v>
      </c>
      <c r="AA62" s="31">
        <f t="shared" si="0"/>
        <v>3156444.8801846327</v>
      </c>
      <c r="AB62" s="234">
        <f t="shared" ca="1" si="8"/>
        <v>1.3836193303274595E-2</v>
      </c>
    </row>
    <row r="63" spans="2:29" x14ac:dyDescent="0.35">
      <c r="B63" s="29" t="s">
        <v>30</v>
      </c>
      <c r="O63" s="39">
        <f>SUM('Interest Expense'!L6:L13)</f>
        <v>1832060.7135801022</v>
      </c>
      <c r="P63" s="39">
        <f>SUM('Interest Expense'!M6:M13)</f>
        <v>1823914.9714730522</v>
      </c>
      <c r="Q63" s="39">
        <f>SUM('Interest Expense'!N6:N13)</f>
        <v>1812340.5280054952</v>
      </c>
      <c r="R63" s="39">
        <f>SUM('Interest Expense'!O6:O13)</f>
        <v>1805132.1111396537</v>
      </c>
      <c r="S63" s="39">
        <f>SUM('Interest Expense'!P6:P13)</f>
        <v>1860081.8482579817</v>
      </c>
      <c r="T63" s="39">
        <f>SUM('Interest Expense'!Q6:Q13)</f>
        <v>1853809.4197212798</v>
      </c>
      <c r="U63" s="39">
        <f>SUM('Interest Expense'!R6:R13)</f>
        <v>1846752.0393315698</v>
      </c>
      <c r="V63" s="39">
        <f>SUM('Interest Expense'!S6:S13)</f>
        <v>1840350.9697805815</v>
      </c>
      <c r="W63" s="39">
        <f>SUM('Interest Expense'!T6:T13)</f>
        <v>1833847.2825281429</v>
      </c>
      <c r="X63" s="39">
        <f>SUM('Interest Expense'!U6:U13)</f>
        <v>1826643.4020072627</v>
      </c>
      <c r="Y63" s="39">
        <f>SUM('Interest Expense'!V6:V13)</f>
        <v>1819990.2942983801</v>
      </c>
      <c r="Z63" s="39">
        <f>SUM('Interest Expense'!W6:W13)</f>
        <v>1813228.6754476232</v>
      </c>
      <c r="AA63" s="31">
        <f t="shared" si="0"/>
        <v>21968152.255571127</v>
      </c>
      <c r="AB63" s="234">
        <f t="shared" ca="1" si="8"/>
        <v>9.6296818940830156E-2</v>
      </c>
    </row>
    <row r="64" spans="2:29" s="52" customFormat="1" x14ac:dyDescent="0.35">
      <c r="B64" s="51" t="s">
        <v>1354</v>
      </c>
      <c r="O64" s="53">
        <f>O63/O59</f>
        <v>0.59036883625465064</v>
      </c>
      <c r="P64" s="53">
        <f t="shared" ref="P64:AA64" ca="1" si="17">P63/P59</f>
        <v>2.7799426362375579</v>
      </c>
      <c r="Q64" s="53">
        <f t="shared" ca="1" si="17"/>
        <v>11.581065081338245</v>
      </c>
      <c r="R64" s="53">
        <f t="shared" ca="1" si="17"/>
        <v>1.2701886864509808</v>
      </c>
      <c r="S64" s="53">
        <f t="shared" ca="1" si="17"/>
        <v>1.2388613122016354</v>
      </c>
      <c r="T64" s="53">
        <f t="shared" ca="1" si="17"/>
        <v>0.82441941195349466</v>
      </c>
      <c r="U64" s="53">
        <f t="shared" ca="1" si="17"/>
        <v>0.73742754357258111</v>
      </c>
      <c r="V64" s="53">
        <f t="shared" ca="1" si="17"/>
        <v>0.76099972025410223</v>
      </c>
      <c r="W64" s="53">
        <f t="shared" ca="1" si="17"/>
        <v>0.57970687247812891</v>
      </c>
      <c r="X64" s="53">
        <f t="shared" ca="1" si="17"/>
        <v>0.41582274038793648</v>
      </c>
      <c r="Y64" s="53">
        <f t="shared" ca="1" si="17"/>
        <v>0.34922293033760088</v>
      </c>
      <c r="Z64" s="53">
        <f t="shared" ca="1" si="17"/>
        <v>0.33873740296072186</v>
      </c>
      <c r="AA64" s="53">
        <f t="shared" ca="1" si="17"/>
        <v>0.68371857229525335</v>
      </c>
      <c r="AB64" s="234">
        <f t="shared" ca="1" si="8"/>
        <v>2.9970624200358901E-9</v>
      </c>
    </row>
    <row r="65" spans="2:28" x14ac:dyDescent="0.35">
      <c r="B65" s="32" t="s">
        <v>31</v>
      </c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50">
        <f t="shared" si="0"/>
        <v>0</v>
      </c>
      <c r="AB65" s="234">
        <f t="shared" ca="1" si="8"/>
        <v>0</v>
      </c>
    </row>
    <row r="66" spans="2:28" x14ac:dyDescent="0.35">
      <c r="B66" s="42" t="s">
        <v>1436</v>
      </c>
      <c r="O66" s="44">
        <f>SUM(O37:O39)+SUM(O42:O58)</f>
        <v>5478093.7588275857</v>
      </c>
      <c r="P66" s="44">
        <f t="shared" ref="P66:Y66" ca="1" si="18">SUM(P37:P39)+SUM(P42:P58)</f>
        <v>5200115.0038281754</v>
      </c>
      <c r="Q66" s="44">
        <f t="shared" ca="1" si="18"/>
        <v>5126236.1111129457</v>
      </c>
      <c r="R66" s="44">
        <f t="shared" ca="1" si="18"/>
        <v>4939905.6028186278</v>
      </c>
      <c r="S66" s="44">
        <f t="shared" ca="1" si="18"/>
        <v>4955616.9091544989</v>
      </c>
      <c r="T66" s="44">
        <f t="shared" ca="1" si="18"/>
        <v>5003607.9965994749</v>
      </c>
      <c r="U66" s="44">
        <f t="shared" ca="1" si="18"/>
        <v>5132756.6486385334</v>
      </c>
      <c r="V66" s="44">
        <f t="shared" ca="1" si="18"/>
        <v>5119604.461794639</v>
      </c>
      <c r="W66" s="44">
        <f t="shared" ca="1" si="18"/>
        <v>5126628.3539343085</v>
      </c>
      <c r="X66" s="44">
        <f t="shared" ca="1" si="18"/>
        <v>5450511.2789319586</v>
      </c>
      <c r="Y66" s="44">
        <f t="shared" ca="1" si="18"/>
        <v>5440245.8942373507</v>
      </c>
      <c r="Z66" s="44">
        <f ca="1">SUM(Z37:Z39)+SUM(Z42:Z58)</f>
        <v>5569301.1389752151</v>
      </c>
      <c r="AA66" s="31">
        <f t="shared" ca="1" si="0"/>
        <v>62542623.158853307</v>
      </c>
      <c r="AB66" s="234">
        <f t="shared" ca="1" si="8"/>
        <v>0.2741539474211046</v>
      </c>
    </row>
    <row r="67" spans="2:28" x14ac:dyDescent="0.35">
      <c r="B67" s="45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47">
        <f>O66/O18</f>
        <v>0.25035919137559598</v>
      </c>
      <c r="P67" s="47">
        <f t="shared" ref="P67:AA67" ca="1" si="19">P66/P18</f>
        <v>0.31831820311438119</v>
      </c>
      <c r="Q67" s="47">
        <f t="shared" ca="1" si="19"/>
        <v>0.33814473769787207</v>
      </c>
      <c r="R67" s="47">
        <f t="shared" ca="1" si="19"/>
        <v>0.30600966572238247</v>
      </c>
      <c r="S67" s="47">
        <f t="shared" ca="1" si="19"/>
        <v>0.30495086409512701</v>
      </c>
      <c r="T67" s="47">
        <f t="shared" ca="1" si="19"/>
        <v>0.2745632250134119</v>
      </c>
      <c r="U67" s="47">
        <f t="shared" ca="1" si="19"/>
        <v>0.27286529871004078</v>
      </c>
      <c r="V67" s="47">
        <f t="shared" ca="1" si="19"/>
        <v>0.27608661280021912</v>
      </c>
      <c r="W67" s="47">
        <f t="shared" ca="1" si="19"/>
        <v>0.25279315908972372</v>
      </c>
      <c r="X67" s="47">
        <f t="shared" ca="1" si="19"/>
        <v>0.23614265872392073</v>
      </c>
      <c r="Y67" s="47">
        <f t="shared" ca="1" si="19"/>
        <v>0.22493830822911556</v>
      </c>
      <c r="Z67" s="47">
        <f t="shared" ca="1" si="19"/>
        <v>0.23312355568072396</v>
      </c>
      <c r="AA67" s="57">
        <f t="shared" ca="1" si="19"/>
        <v>0.26867086847268251</v>
      </c>
      <c r="AB67" s="235"/>
    </row>
    <row r="68" spans="2:28" x14ac:dyDescent="0.35">
      <c r="B68" s="42" t="s">
        <v>1435</v>
      </c>
      <c r="O68" s="54">
        <f>O66+O33+SUM(O61:O63)</f>
        <v>20595578.726048738</v>
      </c>
      <c r="P68" s="54">
        <f t="shared" ref="P68:Y68" ca="1" si="20">P66+P33+SUM(P61:P63)</f>
        <v>17593576.121647287</v>
      </c>
      <c r="Q68" s="54">
        <f t="shared" ca="1" si="20"/>
        <v>17060198.264847379</v>
      </c>
      <c r="R68" s="54">
        <f t="shared" ca="1" si="20"/>
        <v>16566431.764846103</v>
      </c>
      <c r="S68" s="54">
        <f t="shared" ca="1" si="20"/>
        <v>16651698.429245226</v>
      </c>
      <c r="T68" s="54">
        <f t="shared" ca="1" si="20"/>
        <v>17853264.190032516</v>
      </c>
      <c r="U68" s="54">
        <f t="shared" ca="1" si="20"/>
        <v>18208085.056533575</v>
      </c>
      <c r="V68" s="54">
        <f t="shared" ca="1" si="20"/>
        <v>17991049.759081308</v>
      </c>
      <c r="W68" s="54">
        <f t="shared" ca="1" si="20"/>
        <v>18960559.232420564</v>
      </c>
      <c r="X68" s="54">
        <f t="shared" ca="1" si="20"/>
        <v>20527046.868456036</v>
      </c>
      <c r="Y68" s="54">
        <f t="shared" ca="1" si="20"/>
        <v>20765214.067312665</v>
      </c>
      <c r="Z68" s="54">
        <f ca="1">Z66+Z33+SUM(Z61:Z63)</f>
        <v>20329741.727939006</v>
      </c>
      <c r="AA68" s="31">
        <f t="shared" ca="1" si="0"/>
        <v>223102444.20841038</v>
      </c>
      <c r="AB68" s="234">
        <f t="shared" ca="1" si="8"/>
        <v>0.97796370970369595</v>
      </c>
    </row>
    <row r="69" spans="2:28" x14ac:dyDescent="0.35">
      <c r="B69" s="45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47">
        <f>O68/O22</f>
        <v>0.96046601706299162</v>
      </c>
      <c r="P69" s="47">
        <f t="shared" ref="P69:AA69" ca="1" si="21">P68/P22</f>
        <v>1.0989465624015786</v>
      </c>
      <c r="Q69" s="47">
        <f t="shared" ca="1" si="21"/>
        <v>1.148317612372703</v>
      </c>
      <c r="R69" s="47">
        <f t="shared" ca="1" si="21"/>
        <v>1.0471753118985176</v>
      </c>
      <c r="S69" s="47">
        <f t="shared" ca="1" si="21"/>
        <v>1.0455976619484779</v>
      </c>
      <c r="T69" s="47">
        <f t="shared" ca="1" si="21"/>
        <v>0.99965615757855975</v>
      </c>
      <c r="U69" s="47">
        <f t="shared" ca="1" si="21"/>
        <v>0.98772451259987615</v>
      </c>
      <c r="V69" s="47">
        <f t="shared" ca="1" si="21"/>
        <v>0.99000951521846248</v>
      </c>
      <c r="W69" s="47">
        <f t="shared" ca="1" si="21"/>
        <v>0.95402234945668263</v>
      </c>
      <c r="X69" s="47">
        <f t="shared" ca="1" si="21"/>
        <v>0.90748113214817494</v>
      </c>
      <c r="Y69" s="47">
        <f t="shared" ca="1" si="21"/>
        <v>0.87610312916044664</v>
      </c>
      <c r="Z69" s="47">
        <f t="shared" ca="1" si="21"/>
        <v>0.8683428702700956</v>
      </c>
      <c r="AA69" s="57">
        <f t="shared" ca="1" si="21"/>
        <v>0.97796370970369595</v>
      </c>
      <c r="AB69" s="235"/>
    </row>
    <row r="70" spans="2:28" s="27" customFormat="1" x14ac:dyDescent="0.35">
      <c r="B70" s="27" t="s">
        <v>38</v>
      </c>
      <c r="O70" s="35">
        <f t="shared" ref="O70:Z70" si="22">O59-SUM(O61:O65)</f>
        <v>1033727.1645942982</v>
      </c>
      <c r="P70" s="35">
        <f t="shared" ca="1" si="22"/>
        <v>-1445229.1339924862</v>
      </c>
      <c r="Q70" s="35">
        <f t="shared" ca="1" si="22"/>
        <v>-2074661.2600205219</v>
      </c>
      <c r="R70" s="35">
        <f t="shared" ca="1" si="22"/>
        <v>-609104.76940984884</v>
      </c>
      <c r="S70" s="35">
        <f t="shared" ca="1" si="22"/>
        <v>-588038.62804096914</v>
      </c>
      <c r="T70" s="35">
        <f t="shared" ca="1" si="22"/>
        <v>161042.9992923548</v>
      </c>
      <c r="U70" s="35">
        <f t="shared" ca="1" si="22"/>
        <v>386180.20895326929</v>
      </c>
      <c r="V70" s="35">
        <f t="shared" ca="1" si="22"/>
        <v>339171.86613090057</v>
      </c>
      <c r="W70" s="35">
        <f t="shared" ca="1" si="22"/>
        <v>1086154.0550994773</v>
      </c>
      <c r="X70" s="35">
        <f t="shared" ca="1" si="22"/>
        <v>2288950.5889528668</v>
      </c>
      <c r="Y70" s="35">
        <f t="shared" ca="1" si="22"/>
        <v>3142154.269531298</v>
      </c>
      <c r="Z70" s="35">
        <f t="shared" ca="1" si="22"/>
        <v>3285435.5579166231</v>
      </c>
      <c r="AA70" s="31">
        <f t="shared" ca="1" si="0"/>
        <v>7005782.9190072622</v>
      </c>
      <c r="AB70" s="234">
        <f t="shared" ca="1" si="8"/>
        <v>3.070966558506601E-2</v>
      </c>
    </row>
    <row r="71" spans="2:28" x14ac:dyDescent="0.35">
      <c r="B71" s="49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41">
        <f t="shared" ref="O71:AA71" si="23">O70/O$22</f>
        <v>4.8207424793165081E-2</v>
      </c>
      <c r="P71" s="41">
        <f t="shared" ca="1" si="23"/>
        <v>-9.0273266657225057E-2</v>
      </c>
      <c r="Q71" s="41">
        <f t="shared" ca="1" si="23"/>
        <v>-0.13964492250349717</v>
      </c>
      <c r="R71" s="41">
        <f t="shared" ca="1" si="23"/>
        <v>-3.8501922800245121E-2</v>
      </c>
      <c r="S71" s="41">
        <f t="shared" ca="1" si="23"/>
        <v>-3.6924270351615864E-2</v>
      </c>
      <c r="T71" s="41">
        <f t="shared" ca="1" si="23"/>
        <v>9.0172656475560123E-3</v>
      </c>
      <c r="U71" s="41">
        <f t="shared" ca="1" si="23"/>
        <v>2.0948916785030886E-2</v>
      </c>
      <c r="V71" s="41">
        <f t="shared" ca="1" si="23"/>
        <v>1.8663912293083475E-2</v>
      </c>
      <c r="W71" s="41">
        <f t="shared" ca="1" si="23"/>
        <v>5.4651090762454266E-2</v>
      </c>
      <c r="X71" s="41">
        <f t="shared" ca="1" si="23"/>
        <v>0.10119231885645404</v>
      </c>
      <c r="Y71" s="41">
        <f t="shared" ca="1" si="23"/>
        <v>0.13257032549327763</v>
      </c>
      <c r="Z71" s="41">
        <f t="shared" ca="1" si="23"/>
        <v>0.1403305846491919</v>
      </c>
      <c r="AA71" s="41">
        <f t="shared" ca="1" si="23"/>
        <v>3.070966558506601E-2</v>
      </c>
    </row>
    <row r="72" spans="2:28" x14ac:dyDescent="0.35"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5"/>
    </row>
    <row r="73" spans="2:28" x14ac:dyDescent="0.35">
      <c r="O73" s="63"/>
      <c r="P73" s="63"/>
      <c r="Q73" s="63"/>
      <c r="R73" s="63">
        <f ca="1">R66+SUM(R27:R32)</f>
        <v>7659833.5600613328</v>
      </c>
      <c r="S73" s="63">
        <f ca="1">S66+SUM(S27:S32)</f>
        <v>7677513.3942396548</v>
      </c>
      <c r="T73" s="63">
        <f ca="1">T66+SUM(T27:T32)</f>
        <v>7761616.6107876357</v>
      </c>
      <c r="U73" s="63">
        <f t="shared" ref="U73:Z73" ca="1" si="24">U66+SUM(U27:U32)</f>
        <v>7901501.966116339</v>
      </c>
      <c r="V73" s="63">
        <f t="shared" ca="1" si="24"/>
        <v>7883461.5666415337</v>
      </c>
      <c r="W73" s="63">
        <f t="shared" ca="1" si="24"/>
        <v>7922262.6910549253</v>
      </c>
      <c r="X73" s="30">
        <f ca="1">X66+SUM(X27:X32)</f>
        <v>8297413.0893048635</v>
      </c>
      <c r="Y73" s="63">
        <f t="shared" ca="1" si="24"/>
        <v>7900477.1415094826</v>
      </c>
      <c r="Z73" s="63">
        <f t="shared" ca="1" si="24"/>
        <v>8024123.0828331104</v>
      </c>
      <c r="AA73" s="64"/>
    </row>
    <row r="74" spans="2:28" x14ac:dyDescent="0.35">
      <c r="O74" s="55"/>
      <c r="P74" s="55"/>
      <c r="Q74" s="55"/>
      <c r="R74" s="65">
        <f ca="1">R73/R18</f>
        <v>0.47449957462061981</v>
      </c>
      <c r="S74" s="65">
        <f t="shared" ref="S74:Z74" ca="1" si="25">S73/S18</f>
        <v>0.47244659677996548</v>
      </c>
      <c r="T74" s="65">
        <f t="shared" ca="1" si="25"/>
        <v>0.42590356587163042</v>
      </c>
      <c r="U74" s="65">
        <f t="shared" ca="1" si="25"/>
        <v>0.42005609107032221</v>
      </c>
      <c r="V74" s="65">
        <f t="shared" ca="1" si="25"/>
        <v>0.4251340542647718</v>
      </c>
      <c r="W74" s="65">
        <f t="shared" ca="1" si="25"/>
        <v>0.39064540562483158</v>
      </c>
      <c r="X74" s="65">
        <f t="shared" ca="1" si="25"/>
        <v>0.35948429187051517</v>
      </c>
      <c r="Y74" s="65">
        <f t="shared" ca="1" si="25"/>
        <v>0.32666169819573387</v>
      </c>
      <c r="Z74" s="65">
        <f t="shared" ca="1" si="25"/>
        <v>0.33587914490722454</v>
      </c>
      <c r="AA74" s="56"/>
    </row>
  </sheetData>
  <conditionalFormatting sqref="O70:AA70 O71:AB71">
    <cfRule type="expression" dxfId="0" priority="1">
      <formula>"&lt;0"</formula>
    </cfRule>
  </conditionalFormatting>
  <pageMargins left="0.7" right="0.7" top="0.75" bottom="0.75" header="0.3" footer="0.3"/>
  <headerFooter>
    <oddHeader>&amp;R&amp;"Calibri"&amp;10&amp;K000000 Confidencial&amp;1#_x000D_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8196D-606C-4312-93A1-0F960E0F10AB}">
  <sheetPr codeName="Sheet2"/>
  <dimension ref="B2:E48"/>
  <sheetViews>
    <sheetView topLeftCell="A20" workbookViewId="0">
      <selection activeCell="B20" sqref="B20"/>
    </sheetView>
  </sheetViews>
  <sheetFormatPr baseColWidth="10" defaultColWidth="8.88671875" defaultRowHeight="14.4" x14ac:dyDescent="0.3"/>
  <cols>
    <col min="2" max="2" width="27.6640625" bestFit="1" customWidth="1"/>
    <col min="3" max="3" width="9.88671875" bestFit="1" customWidth="1"/>
    <col min="4" max="4" width="15.6640625" bestFit="1" customWidth="1"/>
    <col min="5" max="5" width="10.88671875" bestFit="1" customWidth="1"/>
  </cols>
  <sheetData>
    <row r="2" spans="2:4" x14ac:dyDescent="0.3">
      <c r="B2" s="4" t="s">
        <v>994</v>
      </c>
      <c r="C2" s="23">
        <v>20.5</v>
      </c>
    </row>
    <row r="5" spans="2:4" x14ac:dyDescent="0.3">
      <c r="B5" s="4" t="s">
        <v>910</v>
      </c>
    </row>
    <row r="6" spans="2:4" x14ac:dyDescent="0.3">
      <c r="B6" s="5"/>
      <c r="C6" s="5" t="s">
        <v>202</v>
      </c>
      <c r="D6" s="5" t="s">
        <v>203</v>
      </c>
    </row>
    <row r="7" spans="2:4" x14ac:dyDescent="0.3">
      <c r="B7" s="5" t="s">
        <v>3</v>
      </c>
      <c r="C7" s="5"/>
      <c r="D7" s="5"/>
    </row>
    <row r="8" spans="2:4" x14ac:dyDescent="0.3">
      <c r="B8" s="6" t="s">
        <v>11</v>
      </c>
      <c r="C8" s="5"/>
      <c r="D8" s="5"/>
    </row>
    <row r="9" spans="2:4" x14ac:dyDescent="0.3">
      <c r="B9" s="6" t="s">
        <v>12</v>
      </c>
      <c r="C9" s="5"/>
      <c r="D9" s="5"/>
    </row>
    <row r="10" spans="2:4" x14ac:dyDescent="0.3">
      <c r="B10" s="6" t="s">
        <v>13</v>
      </c>
      <c r="C10" s="5"/>
      <c r="D10" s="5"/>
    </row>
    <row r="11" spans="2:4" x14ac:dyDescent="0.3">
      <c r="B11" s="5" t="s">
        <v>34</v>
      </c>
      <c r="C11" s="19"/>
      <c r="D11" s="5"/>
    </row>
    <row r="12" spans="2:4" x14ac:dyDescent="0.3">
      <c r="B12" s="6" t="s">
        <v>4</v>
      </c>
      <c r="C12" s="20">
        <v>0</v>
      </c>
      <c r="D12" s="5" t="s">
        <v>34</v>
      </c>
    </row>
    <row r="13" spans="2:4" x14ac:dyDescent="0.3">
      <c r="B13" s="6" t="s">
        <v>5</v>
      </c>
      <c r="C13" s="20">
        <v>0.02</v>
      </c>
      <c r="D13" s="5" t="s">
        <v>34</v>
      </c>
    </row>
    <row r="14" spans="2:4" x14ac:dyDescent="0.3">
      <c r="B14" s="5" t="s">
        <v>33</v>
      </c>
      <c r="C14" s="19"/>
      <c r="D14" s="5"/>
    </row>
    <row r="15" spans="2:4" x14ac:dyDescent="0.3">
      <c r="B15" s="6" t="s">
        <v>6</v>
      </c>
      <c r="C15" s="21">
        <v>0.4</v>
      </c>
      <c r="D15" s="5" t="s">
        <v>34</v>
      </c>
    </row>
    <row r="16" spans="2:4" x14ac:dyDescent="0.3">
      <c r="B16" s="5" t="s">
        <v>22</v>
      </c>
      <c r="C16" s="19"/>
      <c r="D16" s="5"/>
    </row>
    <row r="17" spans="2:5" x14ac:dyDescent="0.3">
      <c r="B17" s="6" t="s">
        <v>7</v>
      </c>
      <c r="C17" s="20">
        <v>0.01</v>
      </c>
      <c r="D17" s="5" t="s">
        <v>34</v>
      </c>
    </row>
    <row r="18" spans="2:5" x14ac:dyDescent="0.3">
      <c r="B18" s="6" t="s">
        <v>19</v>
      </c>
      <c r="C18" s="19"/>
      <c r="D18" s="5"/>
    </row>
    <row r="19" spans="2:5" x14ac:dyDescent="0.3">
      <c r="B19" s="6" t="s">
        <v>9</v>
      </c>
      <c r="C19" s="19"/>
      <c r="D19" s="5"/>
    </row>
    <row r="20" spans="2:5" x14ac:dyDescent="0.3">
      <c r="B20" s="6" t="s">
        <v>14</v>
      </c>
      <c r="C20" s="19"/>
      <c r="D20" s="5"/>
    </row>
    <row r="21" spans="2:5" x14ac:dyDescent="0.3">
      <c r="B21" s="6" t="s">
        <v>15</v>
      </c>
      <c r="C21" s="19"/>
      <c r="D21" s="5"/>
    </row>
    <row r="22" spans="2:5" x14ac:dyDescent="0.3">
      <c r="B22" s="6" t="s">
        <v>10</v>
      </c>
      <c r="C22" s="19"/>
      <c r="D22" s="5"/>
    </row>
    <row r="23" spans="2:5" x14ac:dyDescent="0.3">
      <c r="B23" s="7" t="s">
        <v>35</v>
      </c>
      <c r="C23" s="19"/>
      <c r="D23" s="5"/>
    </row>
    <row r="24" spans="2:5" x14ac:dyDescent="0.3">
      <c r="B24" s="6" t="s">
        <v>16</v>
      </c>
      <c r="C24" s="22">
        <v>8.5000000000000006E-3</v>
      </c>
      <c r="D24" s="5" t="s">
        <v>34</v>
      </c>
      <c r="E24" s="9">
        <f>20000000*C24</f>
        <v>170000</v>
      </c>
    </row>
    <row r="25" spans="2:5" x14ac:dyDescent="0.3">
      <c r="B25" s="6" t="s">
        <v>17</v>
      </c>
      <c r="C25" s="19"/>
      <c r="D25" s="5"/>
    </row>
    <row r="26" spans="2:5" x14ac:dyDescent="0.3">
      <c r="B26" s="6" t="s">
        <v>39</v>
      </c>
      <c r="C26" s="22">
        <v>0.01</v>
      </c>
      <c r="D26" s="5" t="s">
        <v>34</v>
      </c>
    </row>
    <row r="27" spans="2:5" x14ac:dyDescent="0.3">
      <c r="B27" s="6" t="s">
        <v>18</v>
      </c>
      <c r="C27" s="19"/>
      <c r="D27" s="5"/>
    </row>
    <row r="28" spans="2:5" x14ac:dyDescent="0.3">
      <c r="B28" s="6" t="s">
        <v>20</v>
      </c>
      <c r="C28" s="22">
        <v>2.5000000000000001E-3</v>
      </c>
      <c r="D28" s="5" t="s">
        <v>34</v>
      </c>
    </row>
    <row r="29" spans="2:5" x14ac:dyDescent="0.3">
      <c r="B29" s="5" t="s">
        <v>36</v>
      </c>
      <c r="C29" s="19"/>
      <c r="D29" s="5"/>
    </row>
    <row r="30" spans="2:5" x14ac:dyDescent="0.3">
      <c r="B30" s="6" t="s">
        <v>21</v>
      </c>
      <c r="C30" s="19"/>
      <c r="D30" s="5"/>
    </row>
    <row r="31" spans="2:5" x14ac:dyDescent="0.3">
      <c r="B31" s="6" t="s">
        <v>23</v>
      </c>
      <c r="C31" s="20">
        <v>0.05</v>
      </c>
      <c r="D31" s="5" t="s">
        <v>34</v>
      </c>
    </row>
    <row r="32" spans="2:5" x14ac:dyDescent="0.3">
      <c r="B32" s="6" t="s">
        <v>24</v>
      </c>
      <c r="C32" s="20">
        <v>0.06</v>
      </c>
      <c r="D32" s="5" t="s">
        <v>34</v>
      </c>
    </row>
    <row r="33" spans="2:4" x14ac:dyDescent="0.3">
      <c r="B33" s="6" t="s">
        <v>25</v>
      </c>
      <c r="C33" s="19"/>
      <c r="D33" s="5"/>
    </row>
    <row r="34" spans="2:4" x14ac:dyDescent="0.3">
      <c r="B34" s="6" t="s">
        <v>40</v>
      </c>
      <c r="C34" s="22">
        <v>5.0000000000000001E-3</v>
      </c>
      <c r="D34" s="5" t="s">
        <v>34</v>
      </c>
    </row>
    <row r="35" spans="2:4" x14ac:dyDescent="0.3">
      <c r="B35" s="6" t="s">
        <v>26</v>
      </c>
      <c r="C35" s="19"/>
      <c r="D35" s="5"/>
    </row>
    <row r="36" spans="2:4" x14ac:dyDescent="0.3">
      <c r="B36" s="6" t="s">
        <v>27</v>
      </c>
      <c r="C36" s="19"/>
      <c r="D36" s="5"/>
    </row>
    <row r="37" spans="2:4" x14ac:dyDescent="0.3">
      <c r="B37" s="6" t="s">
        <v>8</v>
      </c>
      <c r="C37" s="20">
        <v>0.03</v>
      </c>
      <c r="D37" s="5" t="s">
        <v>34</v>
      </c>
    </row>
    <row r="38" spans="2:4" x14ac:dyDescent="0.3">
      <c r="B38" s="5" t="s">
        <v>37</v>
      </c>
      <c r="C38" s="19"/>
      <c r="D38" s="5"/>
    </row>
    <row r="39" spans="2:4" x14ac:dyDescent="0.3">
      <c r="B39" s="6" t="s">
        <v>28</v>
      </c>
      <c r="C39" s="5"/>
      <c r="D39" s="5"/>
    </row>
    <row r="40" spans="2:4" x14ac:dyDescent="0.3">
      <c r="B40" s="6" t="s">
        <v>29</v>
      </c>
      <c r="C40" s="5"/>
      <c r="D40" s="5"/>
    </row>
    <row r="41" spans="2:4" x14ac:dyDescent="0.3">
      <c r="B41" s="6" t="s">
        <v>30</v>
      </c>
      <c r="C41" s="5"/>
      <c r="D41" s="5"/>
    </row>
    <row r="42" spans="2:4" x14ac:dyDescent="0.3">
      <c r="B42" s="6" t="s">
        <v>31</v>
      </c>
      <c r="C42" s="5"/>
      <c r="D42" s="5"/>
    </row>
    <row r="43" spans="2:4" x14ac:dyDescent="0.3">
      <c r="B43" s="5" t="s">
        <v>38</v>
      </c>
      <c r="C43" s="5"/>
      <c r="D43" s="5"/>
    </row>
    <row r="45" spans="2:4" x14ac:dyDescent="0.3">
      <c r="B45" s="8" t="s">
        <v>912</v>
      </c>
    </row>
    <row r="46" spans="2:4" x14ac:dyDescent="0.3">
      <c r="B46" s="5" t="s">
        <v>911</v>
      </c>
      <c r="C46" s="24">
        <v>16275</v>
      </c>
    </row>
    <row r="47" spans="2:4" x14ac:dyDescent="0.3">
      <c r="B47" s="5" t="s">
        <v>1575</v>
      </c>
      <c r="C47" s="19">
        <v>25</v>
      </c>
    </row>
    <row r="48" spans="2:4" x14ac:dyDescent="0.3">
      <c r="B48" s="5" t="s">
        <v>1821</v>
      </c>
      <c r="C48" s="24">
        <f>C46*C47</f>
        <v>406875</v>
      </c>
    </row>
  </sheetData>
  <pageMargins left="0.7" right="0.7" top="0.75" bottom="0.75" header="0.3" footer="0.3"/>
  <headerFooter>
    <oddHeader>&amp;R&amp;"Calibri"&amp;10&amp;K000000 Confidencial&amp;1#_x000D_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DF7E-E56E-4B79-B8AA-B2F162A49D8F}">
  <sheetPr codeName="Sheet24"/>
  <dimension ref="A1:U116"/>
  <sheetViews>
    <sheetView workbookViewId="0"/>
  </sheetViews>
  <sheetFormatPr baseColWidth="10" defaultColWidth="8.88671875" defaultRowHeight="14.4" x14ac:dyDescent="0.3"/>
  <cols>
    <col min="1" max="1" width="13.5546875" bestFit="1" customWidth="1"/>
    <col min="2" max="2" width="51.44140625" bestFit="1" customWidth="1"/>
    <col min="3" max="3" width="8.109375" bestFit="1" customWidth="1"/>
    <col min="4" max="4" width="13" bestFit="1" customWidth="1"/>
    <col min="5" max="5" width="34.88671875" bestFit="1" customWidth="1"/>
    <col min="6" max="6" width="21.109375" bestFit="1" customWidth="1"/>
    <col min="7" max="7" width="16.44140625" bestFit="1" customWidth="1"/>
    <col min="8" max="8" width="18" bestFit="1" customWidth="1"/>
    <col min="9" max="9" width="16.5546875" bestFit="1" customWidth="1"/>
    <col min="10" max="10" width="15.5546875" bestFit="1" customWidth="1"/>
    <col min="11" max="11" width="16" bestFit="1" customWidth="1"/>
    <col min="12" max="12" width="15.88671875" bestFit="1" customWidth="1"/>
    <col min="13" max="13" width="15.44140625" bestFit="1" customWidth="1"/>
    <col min="14" max="14" width="17.109375" bestFit="1" customWidth="1"/>
    <col min="15" max="15" width="21.109375" bestFit="1" customWidth="1"/>
    <col min="16" max="16" width="18.109375" bestFit="1" customWidth="1"/>
    <col min="17" max="17" width="20.6640625" bestFit="1" customWidth="1"/>
    <col min="18" max="18" width="20.109375" bestFit="1" customWidth="1"/>
    <col min="19" max="19" width="21" bestFit="1" customWidth="1"/>
    <col min="20" max="20" width="24.88671875" bestFit="1" customWidth="1"/>
    <col min="21" max="21" width="13.44140625" bestFit="1" customWidth="1"/>
  </cols>
  <sheetData>
    <row r="1" spans="1:21" x14ac:dyDescent="0.3">
      <c r="A1" t="s">
        <v>1481</v>
      </c>
      <c r="B1" t="s">
        <v>1482</v>
      </c>
      <c r="C1" t="s">
        <v>459</v>
      </c>
      <c r="D1" t="s">
        <v>460</v>
      </c>
      <c r="E1" t="s">
        <v>206</v>
      </c>
      <c r="F1" t="s">
        <v>443</v>
      </c>
      <c r="G1" t="s">
        <v>444</v>
      </c>
      <c r="H1" t="s">
        <v>445</v>
      </c>
      <c r="I1" t="s">
        <v>446</v>
      </c>
      <c r="J1" t="s">
        <v>447</v>
      </c>
      <c r="K1" t="s">
        <v>448</v>
      </c>
      <c r="L1" t="s">
        <v>449</v>
      </c>
      <c r="M1" t="s">
        <v>450</v>
      </c>
      <c r="N1" t="s">
        <v>451</v>
      </c>
      <c r="O1" t="s">
        <v>452</v>
      </c>
      <c r="P1" t="s">
        <v>453</v>
      </c>
      <c r="Q1" t="s">
        <v>454</v>
      </c>
      <c r="R1" t="s">
        <v>455</v>
      </c>
      <c r="S1" t="s">
        <v>456</v>
      </c>
      <c r="T1" t="s">
        <v>457</v>
      </c>
      <c r="U1" t="s">
        <v>458</v>
      </c>
    </row>
    <row r="2" spans="1:21" x14ac:dyDescent="0.3">
      <c r="A2" t="s">
        <v>1483</v>
      </c>
      <c r="B2" t="s">
        <v>1484</v>
      </c>
      <c r="C2" t="s">
        <v>441</v>
      </c>
      <c r="D2">
        <v>387</v>
      </c>
      <c r="E2" t="s">
        <v>238</v>
      </c>
      <c r="F2" s="1">
        <v>58.55</v>
      </c>
      <c r="G2" s="1">
        <v>87825</v>
      </c>
      <c r="H2" s="1">
        <v>0</v>
      </c>
      <c r="I2" s="1">
        <v>87825</v>
      </c>
      <c r="J2" s="1">
        <v>117100</v>
      </c>
      <c r="K2" s="1">
        <v>117100</v>
      </c>
      <c r="L2" s="1">
        <v>85951.4</v>
      </c>
      <c r="M2" s="1">
        <v>81970</v>
      </c>
      <c r="N2" s="1">
        <v>24883.75</v>
      </c>
      <c r="O2" s="1">
        <v>32202.5</v>
      </c>
      <c r="P2" s="1">
        <v>23420</v>
      </c>
      <c r="Q2" s="1">
        <v>23420</v>
      </c>
      <c r="R2" s="1">
        <v>23420</v>
      </c>
      <c r="S2" s="1">
        <v>705117.65</v>
      </c>
      <c r="T2" s="1">
        <v>777110.16206500004</v>
      </c>
      <c r="U2" s="1">
        <v>60.3065</v>
      </c>
    </row>
    <row r="3" spans="1:21" x14ac:dyDescent="0.3">
      <c r="A3" t="s">
        <v>1483</v>
      </c>
      <c r="B3" t="s">
        <v>1485</v>
      </c>
      <c r="C3" t="s">
        <v>441</v>
      </c>
      <c r="D3">
        <v>387</v>
      </c>
      <c r="E3" t="s">
        <v>238</v>
      </c>
      <c r="F3" s="1">
        <v>18.5</v>
      </c>
      <c r="G3" s="1">
        <v>92500</v>
      </c>
      <c r="H3" s="1">
        <v>0</v>
      </c>
      <c r="I3" s="1">
        <v>0</v>
      </c>
      <c r="J3" s="1">
        <v>34761.5</v>
      </c>
      <c r="K3" s="1">
        <v>31857</v>
      </c>
      <c r="L3" s="1">
        <v>44677.5</v>
      </c>
      <c r="M3" s="1">
        <v>44400</v>
      </c>
      <c r="N3" s="1">
        <v>34798.5</v>
      </c>
      <c r="O3" s="1">
        <v>35853</v>
      </c>
      <c r="P3" s="1">
        <v>33300</v>
      </c>
      <c r="Q3" s="1">
        <v>33300</v>
      </c>
      <c r="R3" s="1">
        <v>33300</v>
      </c>
      <c r="S3" s="1">
        <v>418747.5</v>
      </c>
      <c r="T3" s="1">
        <v>461501.61975000001</v>
      </c>
      <c r="U3" s="1">
        <v>19.055</v>
      </c>
    </row>
    <row r="4" spans="1:21" x14ac:dyDescent="0.3">
      <c r="A4" t="s">
        <v>1483</v>
      </c>
      <c r="B4" t="s">
        <v>1486</v>
      </c>
      <c r="C4" t="s">
        <v>441</v>
      </c>
      <c r="D4">
        <v>387</v>
      </c>
      <c r="E4" t="s">
        <v>238</v>
      </c>
      <c r="F4" s="1">
        <v>34.69</v>
      </c>
      <c r="G4" s="1">
        <v>173450</v>
      </c>
      <c r="H4" s="1">
        <v>0</v>
      </c>
      <c r="I4" s="1">
        <v>173450</v>
      </c>
      <c r="J4" s="1">
        <v>9574.4399999999987</v>
      </c>
      <c r="K4" s="1">
        <v>81348.049999999988</v>
      </c>
      <c r="L4" s="1">
        <v>42113.66</v>
      </c>
      <c r="M4" s="1">
        <v>41628</v>
      </c>
      <c r="N4" s="1">
        <v>27752</v>
      </c>
      <c r="O4" s="1">
        <v>27752</v>
      </c>
      <c r="P4" s="1">
        <v>27752</v>
      </c>
      <c r="Q4" s="1">
        <v>27752</v>
      </c>
      <c r="R4" s="1">
        <v>27752</v>
      </c>
      <c r="S4" s="1">
        <v>660324.14999999991</v>
      </c>
      <c r="T4" s="1">
        <v>727743.24571499997</v>
      </c>
      <c r="U4" s="1">
        <v>35.730699999999999</v>
      </c>
    </row>
    <row r="5" spans="1:21" x14ac:dyDescent="0.3">
      <c r="C5" t="s">
        <v>441</v>
      </c>
      <c r="E5" t="s">
        <v>238</v>
      </c>
      <c r="F5" s="1"/>
      <c r="G5" s="1"/>
      <c r="H5" s="1"/>
      <c r="I5" s="1"/>
      <c r="J5" s="1">
        <v>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3">
      <c r="A6" t="s">
        <v>1483</v>
      </c>
      <c r="B6" t="s">
        <v>1487</v>
      </c>
      <c r="C6" t="s">
        <v>441</v>
      </c>
      <c r="D6">
        <v>387</v>
      </c>
      <c r="E6" t="s">
        <v>238</v>
      </c>
      <c r="F6" s="1">
        <v>45</v>
      </c>
      <c r="G6" s="1">
        <v>0</v>
      </c>
      <c r="H6" s="1">
        <v>0</v>
      </c>
      <c r="I6" s="1">
        <v>0</v>
      </c>
      <c r="J6" s="1">
        <v>49500</v>
      </c>
      <c r="K6" s="1">
        <v>49500</v>
      </c>
      <c r="L6" s="1">
        <v>47205</v>
      </c>
      <c r="M6" s="1">
        <v>47250</v>
      </c>
      <c r="N6" s="1">
        <v>22500</v>
      </c>
      <c r="O6" s="1">
        <v>22500</v>
      </c>
      <c r="P6" s="1">
        <v>22500</v>
      </c>
      <c r="Q6" s="1">
        <v>22500</v>
      </c>
      <c r="R6" s="1">
        <v>22500</v>
      </c>
      <c r="S6" s="1">
        <v>305955</v>
      </c>
      <c r="T6" s="1">
        <v>337193.00550000003</v>
      </c>
      <c r="U6" s="1">
        <v>46.35</v>
      </c>
    </row>
    <row r="7" spans="1:21" x14ac:dyDescent="0.3">
      <c r="A7" t="s">
        <v>1483</v>
      </c>
      <c r="B7" t="s">
        <v>1488</v>
      </c>
      <c r="C7" t="s">
        <v>441</v>
      </c>
      <c r="D7">
        <v>387</v>
      </c>
      <c r="E7" t="s">
        <v>238</v>
      </c>
      <c r="F7" s="1">
        <v>56</v>
      </c>
      <c r="G7" s="1">
        <v>0</v>
      </c>
      <c r="H7" s="1">
        <v>0</v>
      </c>
      <c r="I7" s="1">
        <v>0</v>
      </c>
      <c r="J7" s="1">
        <v>78400</v>
      </c>
      <c r="K7" s="1">
        <v>44800</v>
      </c>
      <c r="L7" s="1">
        <v>67816</v>
      </c>
      <c r="M7" s="1">
        <v>69832</v>
      </c>
      <c r="N7" s="1">
        <v>72800</v>
      </c>
      <c r="O7" s="1">
        <v>72800</v>
      </c>
      <c r="P7" s="1">
        <v>67200</v>
      </c>
      <c r="Q7" s="1">
        <v>67200</v>
      </c>
      <c r="R7" s="1">
        <v>67200</v>
      </c>
      <c r="S7" s="1">
        <v>608048</v>
      </c>
      <c r="T7" s="1">
        <v>670129.70080000011</v>
      </c>
      <c r="U7" s="1">
        <v>57.68</v>
      </c>
    </row>
    <row r="8" spans="1:21" x14ac:dyDescent="0.3">
      <c r="A8" t="s">
        <v>1483</v>
      </c>
      <c r="B8" t="s">
        <v>1489</v>
      </c>
      <c r="C8" t="s">
        <v>441</v>
      </c>
      <c r="D8">
        <v>387</v>
      </c>
      <c r="E8" t="s">
        <v>238</v>
      </c>
      <c r="F8" s="1">
        <v>30</v>
      </c>
      <c r="G8" s="1">
        <v>300000</v>
      </c>
      <c r="H8" s="1">
        <v>210000</v>
      </c>
      <c r="I8" s="1">
        <v>300000</v>
      </c>
      <c r="J8" s="1">
        <v>98400</v>
      </c>
      <c r="K8" s="1">
        <v>420000</v>
      </c>
      <c r="L8" s="1">
        <v>115950</v>
      </c>
      <c r="M8" s="1">
        <v>189000</v>
      </c>
      <c r="N8" s="1">
        <v>71250</v>
      </c>
      <c r="O8" s="1">
        <v>88500</v>
      </c>
      <c r="P8" s="1">
        <v>90000</v>
      </c>
      <c r="Q8" s="1">
        <v>90000</v>
      </c>
      <c r="R8" s="1">
        <v>90000</v>
      </c>
      <c r="S8" s="1">
        <v>2063100</v>
      </c>
      <c r="T8" s="1">
        <v>2273742.5099999998</v>
      </c>
      <c r="U8" s="1">
        <v>30.9</v>
      </c>
    </row>
    <row r="9" spans="1:21" x14ac:dyDescent="0.3">
      <c r="A9" t="s">
        <v>1483</v>
      </c>
      <c r="B9" t="s">
        <v>1490</v>
      </c>
      <c r="C9" t="s">
        <v>441</v>
      </c>
      <c r="D9">
        <v>387</v>
      </c>
      <c r="E9" t="s">
        <v>238</v>
      </c>
      <c r="F9" s="1">
        <v>80</v>
      </c>
      <c r="G9" s="1">
        <v>0</v>
      </c>
      <c r="H9" s="1">
        <v>0</v>
      </c>
      <c r="I9" s="1">
        <v>0</v>
      </c>
      <c r="J9" s="1">
        <v>55360</v>
      </c>
      <c r="K9" s="1">
        <v>59840</v>
      </c>
      <c r="L9" s="1">
        <v>52880</v>
      </c>
      <c r="M9" s="1">
        <v>55120</v>
      </c>
      <c r="N9" s="1">
        <v>48000</v>
      </c>
      <c r="O9" s="1">
        <v>45680</v>
      </c>
      <c r="P9" s="1">
        <v>48000</v>
      </c>
      <c r="Q9" s="1">
        <v>48000</v>
      </c>
      <c r="R9" s="1">
        <v>48000</v>
      </c>
      <c r="S9" s="1">
        <v>460880</v>
      </c>
      <c r="T9" s="1">
        <v>507935.84800000006</v>
      </c>
      <c r="U9" s="1">
        <v>82.4</v>
      </c>
    </row>
    <row r="10" spans="1:21" x14ac:dyDescent="0.3">
      <c r="A10" t="s">
        <v>1483</v>
      </c>
      <c r="B10" t="s">
        <v>1491</v>
      </c>
      <c r="C10" t="s">
        <v>441</v>
      </c>
      <c r="E10" t="s">
        <v>1491</v>
      </c>
      <c r="F10" s="1"/>
      <c r="G10" s="1">
        <v>653775</v>
      </c>
      <c r="H10" s="1">
        <v>210000</v>
      </c>
      <c r="I10" s="1">
        <v>561275</v>
      </c>
      <c r="J10" s="1">
        <v>443095.94</v>
      </c>
      <c r="K10" s="1">
        <v>804445.05</v>
      </c>
      <c r="L10" s="1">
        <v>456593.56</v>
      </c>
      <c r="M10" s="1">
        <v>529200</v>
      </c>
      <c r="N10" s="1">
        <v>301984.25</v>
      </c>
      <c r="O10" s="1">
        <v>325287.5</v>
      </c>
      <c r="P10" s="1">
        <v>312172</v>
      </c>
      <c r="Q10" s="1">
        <v>312172</v>
      </c>
      <c r="R10" s="1">
        <v>312172</v>
      </c>
      <c r="S10" s="1">
        <v>5222172.3</v>
      </c>
      <c r="T10" s="1">
        <v>3500000</v>
      </c>
      <c r="U10" s="1"/>
    </row>
    <row r="11" spans="1:21" x14ac:dyDescent="0.3">
      <c r="A11" t="s">
        <v>1483</v>
      </c>
      <c r="B11" t="s">
        <v>1492</v>
      </c>
      <c r="C11" t="s">
        <v>441</v>
      </c>
      <c r="D11">
        <v>411</v>
      </c>
      <c r="E11" t="s">
        <v>351</v>
      </c>
      <c r="F11" s="1">
        <v>100.99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104.0197</v>
      </c>
    </row>
    <row r="12" spans="1:21" x14ac:dyDescent="0.3">
      <c r="A12" t="s">
        <v>1483</v>
      </c>
      <c r="B12" t="s">
        <v>1493</v>
      </c>
      <c r="C12" t="s">
        <v>441</v>
      </c>
      <c r="D12">
        <v>411</v>
      </c>
      <c r="E12" t="s">
        <v>351</v>
      </c>
      <c r="F12" s="1">
        <v>100.99</v>
      </c>
      <c r="G12" s="1">
        <v>1413860</v>
      </c>
      <c r="H12" s="1">
        <v>686732</v>
      </c>
      <c r="I12" s="1">
        <v>686732</v>
      </c>
      <c r="J12" s="1">
        <v>686732</v>
      </c>
      <c r="K12" s="1">
        <v>686732</v>
      </c>
      <c r="L12" s="1">
        <v>686732</v>
      </c>
      <c r="M12" s="1">
        <v>686732</v>
      </c>
      <c r="N12" s="1">
        <v>686732</v>
      </c>
      <c r="O12" s="1">
        <v>686732</v>
      </c>
      <c r="P12" s="1">
        <v>686732</v>
      </c>
      <c r="Q12" s="1">
        <v>686732</v>
      </c>
      <c r="R12" s="1">
        <v>686732</v>
      </c>
      <c r="S12" s="1">
        <v>8967912</v>
      </c>
      <c r="T12" s="1">
        <v>9365985.7978499997</v>
      </c>
      <c r="U12" s="1">
        <v>104.0197</v>
      </c>
    </row>
    <row r="13" spans="1:21" x14ac:dyDescent="0.3">
      <c r="A13" t="s">
        <v>1483</v>
      </c>
      <c r="B13" t="s">
        <v>1494</v>
      </c>
      <c r="C13" t="s">
        <v>441</v>
      </c>
      <c r="D13">
        <v>411</v>
      </c>
      <c r="E13" t="s">
        <v>351</v>
      </c>
      <c r="F13" s="1">
        <v>100.99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104.0197</v>
      </c>
    </row>
    <row r="14" spans="1:21" x14ac:dyDescent="0.3">
      <c r="A14" t="s">
        <v>1483</v>
      </c>
      <c r="B14" t="s">
        <v>1495</v>
      </c>
      <c r="C14" t="s">
        <v>441</v>
      </c>
      <c r="D14">
        <v>411</v>
      </c>
      <c r="E14" t="s">
        <v>351</v>
      </c>
      <c r="F14" s="1">
        <v>7.87</v>
      </c>
      <c r="G14" s="1">
        <v>200865</v>
      </c>
      <c r="H14" s="1">
        <v>200865</v>
      </c>
      <c r="I14" s="1">
        <v>401370</v>
      </c>
      <c r="J14" s="1">
        <v>200865</v>
      </c>
      <c r="K14" s="1">
        <v>200865</v>
      </c>
      <c r="L14" s="1">
        <v>401370</v>
      </c>
      <c r="M14" s="1">
        <v>200865</v>
      </c>
      <c r="N14" s="1">
        <v>200865</v>
      </c>
      <c r="O14" s="1">
        <v>401370</v>
      </c>
      <c r="P14" s="1">
        <v>200865</v>
      </c>
      <c r="Q14" s="1">
        <v>200865</v>
      </c>
      <c r="R14" s="1">
        <v>401370</v>
      </c>
      <c r="S14" s="1">
        <v>3212400</v>
      </c>
      <c r="T14" s="1">
        <v>2866600.6735</v>
      </c>
      <c r="U14" s="1">
        <v>8.1060999999999996</v>
      </c>
    </row>
    <row r="15" spans="1:21" x14ac:dyDescent="0.3">
      <c r="A15" t="s">
        <v>1483</v>
      </c>
      <c r="B15" t="s">
        <v>1496</v>
      </c>
      <c r="C15" t="s">
        <v>441</v>
      </c>
      <c r="D15">
        <v>411</v>
      </c>
      <c r="E15" t="s">
        <v>351</v>
      </c>
      <c r="F15" s="1">
        <v>100.99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/>
    </row>
    <row r="16" spans="1:21" x14ac:dyDescent="0.3">
      <c r="A16" t="s">
        <v>1483</v>
      </c>
      <c r="B16" t="s">
        <v>461</v>
      </c>
      <c r="C16" t="s">
        <v>441</v>
      </c>
      <c r="E16" t="s">
        <v>461</v>
      </c>
      <c r="F16" s="1"/>
      <c r="G16" s="1">
        <v>1614725</v>
      </c>
      <c r="H16" s="1">
        <v>887597</v>
      </c>
      <c r="I16" s="1">
        <v>1088102</v>
      </c>
      <c r="J16" s="1">
        <v>887597</v>
      </c>
      <c r="K16" s="1">
        <v>887597</v>
      </c>
      <c r="L16" s="1">
        <v>1088102</v>
      </c>
      <c r="M16" s="1">
        <v>887597</v>
      </c>
      <c r="N16" s="1">
        <v>887597</v>
      </c>
      <c r="O16" s="1">
        <v>1088102</v>
      </c>
      <c r="P16" s="1">
        <v>887597</v>
      </c>
      <c r="Q16" s="1">
        <v>887597</v>
      </c>
      <c r="R16" s="1">
        <v>1088102</v>
      </c>
      <c r="S16" s="1">
        <v>12180312</v>
      </c>
      <c r="T16" s="1">
        <v>12232586.471349999</v>
      </c>
      <c r="U16" s="1"/>
    </row>
    <row r="17" spans="1:21" x14ac:dyDescent="0.3">
      <c r="A17" t="s">
        <v>1483</v>
      </c>
      <c r="B17" t="s">
        <v>1497</v>
      </c>
      <c r="C17" t="s">
        <v>441</v>
      </c>
      <c r="D17">
        <v>368</v>
      </c>
      <c r="E17" t="s">
        <v>224</v>
      </c>
      <c r="F17" s="1">
        <v>182</v>
      </c>
      <c r="G17" s="1">
        <v>207455</v>
      </c>
      <c r="H17" s="1">
        <v>334348</v>
      </c>
      <c r="I17" s="1">
        <v>0</v>
      </c>
      <c r="J17" s="1">
        <v>668695</v>
      </c>
      <c r="K17" s="1">
        <v>0</v>
      </c>
      <c r="L17" s="1">
        <v>0</v>
      </c>
      <c r="M17" s="1">
        <v>835869</v>
      </c>
      <c r="N17" s="1">
        <v>0</v>
      </c>
      <c r="O17" s="1">
        <v>661000</v>
      </c>
      <c r="P17" s="1">
        <v>0</v>
      </c>
      <c r="Q17" s="1">
        <v>678000</v>
      </c>
      <c r="R17" s="1">
        <v>628000</v>
      </c>
      <c r="S17" s="1">
        <v>4013367</v>
      </c>
      <c r="T17" s="1">
        <v>7085988</v>
      </c>
      <c r="U17" s="1">
        <v>187.46</v>
      </c>
    </row>
    <row r="18" spans="1:21" x14ac:dyDescent="0.3">
      <c r="B18" t="s">
        <v>1498</v>
      </c>
      <c r="C18" t="s">
        <v>441</v>
      </c>
      <c r="D18">
        <v>368</v>
      </c>
      <c r="E18" t="s">
        <v>224</v>
      </c>
      <c r="F18" s="1">
        <v>155</v>
      </c>
      <c r="G18" s="1">
        <v>88338.999999999985</v>
      </c>
      <c r="H18" s="1">
        <v>142373</v>
      </c>
      <c r="I18" s="1">
        <v>0</v>
      </c>
      <c r="J18" s="1">
        <v>0</v>
      </c>
      <c r="K18" s="1">
        <v>284747</v>
      </c>
      <c r="L18" s="1">
        <v>0</v>
      </c>
      <c r="M18" s="1">
        <v>0</v>
      </c>
      <c r="N18" s="1">
        <v>300371</v>
      </c>
      <c r="O18" s="1">
        <v>0</v>
      </c>
      <c r="P18" s="1">
        <v>0</v>
      </c>
      <c r="Q18" s="1">
        <v>285000</v>
      </c>
      <c r="R18" s="1">
        <v>628000</v>
      </c>
      <c r="S18" s="1">
        <v>1728830</v>
      </c>
      <c r="T18" s="1">
        <v>2155275</v>
      </c>
      <c r="U18" s="1">
        <v>159.65</v>
      </c>
    </row>
    <row r="19" spans="1:21" x14ac:dyDescent="0.3">
      <c r="B19" t="s">
        <v>1499</v>
      </c>
      <c r="C19" t="s">
        <v>441</v>
      </c>
      <c r="D19">
        <v>368</v>
      </c>
      <c r="E19" t="s">
        <v>224</v>
      </c>
      <c r="F19" s="1">
        <v>265</v>
      </c>
      <c r="G19" s="1">
        <v>0</v>
      </c>
      <c r="H19" s="1">
        <v>0</v>
      </c>
      <c r="I19" s="1">
        <v>486825</v>
      </c>
      <c r="J19" s="1">
        <v>0</v>
      </c>
      <c r="K19" s="1">
        <v>0</v>
      </c>
      <c r="L19" s="1">
        <v>486825</v>
      </c>
      <c r="M19" s="1">
        <v>0</v>
      </c>
      <c r="N19" s="1">
        <v>0</v>
      </c>
      <c r="O19" s="1">
        <v>500000</v>
      </c>
      <c r="P19" s="1">
        <v>0</v>
      </c>
      <c r="Q19" s="1">
        <v>0</v>
      </c>
      <c r="R19" s="1">
        <v>666616</v>
      </c>
      <c r="S19" s="1">
        <v>2140266</v>
      </c>
      <c r="T19" s="1">
        <v>2129010</v>
      </c>
      <c r="U19" s="1">
        <v>272.95</v>
      </c>
    </row>
    <row r="20" spans="1:21" x14ac:dyDescent="0.3">
      <c r="A20" t="s">
        <v>1483</v>
      </c>
      <c r="B20" t="s">
        <v>1500</v>
      </c>
      <c r="C20" t="s">
        <v>441</v>
      </c>
      <c r="D20">
        <v>368</v>
      </c>
      <c r="E20" t="s">
        <v>224</v>
      </c>
      <c r="F20" s="1">
        <v>45.65</v>
      </c>
      <c r="G20" s="1">
        <v>108647</v>
      </c>
      <c r="H20" s="1">
        <v>167725</v>
      </c>
      <c r="I20" s="1">
        <v>0</v>
      </c>
      <c r="J20" s="1">
        <v>0</v>
      </c>
      <c r="K20" s="1">
        <v>0</v>
      </c>
      <c r="L20" s="1">
        <v>251587</v>
      </c>
      <c r="M20" s="1">
        <v>0</v>
      </c>
      <c r="N20" s="1">
        <v>0</v>
      </c>
      <c r="O20" s="1">
        <v>246000</v>
      </c>
      <c r="P20" s="1">
        <v>0</v>
      </c>
      <c r="Q20" s="1">
        <v>0</v>
      </c>
      <c r="R20" s="1">
        <v>273900</v>
      </c>
      <c r="S20" s="1">
        <v>1047859</v>
      </c>
      <c r="T20" s="1">
        <v>789927.6</v>
      </c>
      <c r="U20" s="1">
        <v>47.019500000000001</v>
      </c>
    </row>
    <row r="21" spans="1:21" x14ac:dyDescent="0.3">
      <c r="A21" t="s">
        <v>1483</v>
      </c>
      <c r="B21" t="s">
        <v>1501</v>
      </c>
      <c r="C21" t="s">
        <v>441</v>
      </c>
      <c r="D21">
        <v>368</v>
      </c>
      <c r="E21" t="s">
        <v>224</v>
      </c>
      <c r="F21" s="1">
        <v>9.2799999999999994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127860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127860</v>
      </c>
      <c r="T21" s="1">
        <v>0</v>
      </c>
      <c r="U21" s="1">
        <v>9.5583999999999989</v>
      </c>
    </row>
    <row r="22" spans="1:21" x14ac:dyDescent="0.3">
      <c r="A22" t="s">
        <v>1483</v>
      </c>
      <c r="B22" t="s">
        <v>1502</v>
      </c>
      <c r="C22" t="s">
        <v>441</v>
      </c>
      <c r="D22">
        <v>368</v>
      </c>
      <c r="E22" t="s">
        <v>224</v>
      </c>
      <c r="F22" s="1">
        <v>7.86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72197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78600</v>
      </c>
      <c r="S22" s="1">
        <v>150797</v>
      </c>
      <c r="T22" s="1">
        <v>0</v>
      </c>
      <c r="U22" s="1">
        <v>8.0958000000000006</v>
      </c>
    </row>
    <row r="23" spans="1:21" x14ac:dyDescent="0.3">
      <c r="A23" t="s">
        <v>1483</v>
      </c>
      <c r="B23" t="s">
        <v>1503</v>
      </c>
      <c r="C23" t="s">
        <v>441</v>
      </c>
      <c r="D23">
        <v>368</v>
      </c>
      <c r="E23" t="s">
        <v>224</v>
      </c>
      <c r="F23" s="1">
        <v>34.65</v>
      </c>
      <c r="G23" s="1">
        <v>39496</v>
      </c>
      <c r="H23" s="1">
        <v>63655</v>
      </c>
      <c r="I23" s="1">
        <v>0</v>
      </c>
      <c r="J23" s="1">
        <v>0</v>
      </c>
      <c r="K23" s="1">
        <v>0</v>
      </c>
      <c r="L23" s="1">
        <v>79568</v>
      </c>
      <c r="M23" s="1">
        <v>0</v>
      </c>
      <c r="N23" s="1">
        <v>0</v>
      </c>
      <c r="O23" s="1">
        <v>0</v>
      </c>
      <c r="P23" s="1">
        <v>128600</v>
      </c>
      <c r="Q23" s="1">
        <v>0</v>
      </c>
      <c r="R23" s="1">
        <v>138600</v>
      </c>
      <c r="S23" s="1">
        <v>449919</v>
      </c>
      <c r="T23" s="1">
        <v>618320.58750000002</v>
      </c>
      <c r="U23" s="1">
        <v>35.689500000000002</v>
      </c>
    </row>
    <row r="24" spans="1:21" x14ac:dyDescent="0.3">
      <c r="A24" t="s">
        <v>1483</v>
      </c>
      <c r="B24" t="s">
        <v>1504</v>
      </c>
      <c r="C24" t="s">
        <v>441</v>
      </c>
      <c r="D24">
        <v>368</v>
      </c>
      <c r="E24" t="s">
        <v>224</v>
      </c>
      <c r="F24" s="1">
        <v>36.96</v>
      </c>
      <c r="G24" s="1">
        <v>120068</v>
      </c>
      <c r="H24" s="1">
        <v>193510</v>
      </c>
      <c r="I24" s="1">
        <v>0</v>
      </c>
      <c r="J24" s="1">
        <v>0</v>
      </c>
      <c r="K24" s="1">
        <v>0</v>
      </c>
      <c r="L24" s="1">
        <v>193510</v>
      </c>
      <c r="M24" s="1">
        <v>193510</v>
      </c>
      <c r="N24" s="1">
        <v>0</v>
      </c>
      <c r="O24" s="1">
        <v>0</v>
      </c>
      <c r="P24" s="1">
        <v>0</v>
      </c>
      <c r="Q24" s="1">
        <v>0</v>
      </c>
      <c r="R24" s="1">
        <v>147840</v>
      </c>
      <c r="S24" s="1">
        <v>848438</v>
      </c>
      <c r="T24" s="1">
        <v>843414.26399999997</v>
      </c>
      <c r="U24" s="1">
        <v>38.068800000000003</v>
      </c>
    </row>
    <row r="25" spans="1:21" x14ac:dyDescent="0.3">
      <c r="A25" t="s">
        <v>1483</v>
      </c>
      <c r="B25" t="s">
        <v>1505</v>
      </c>
      <c r="C25" t="s">
        <v>441</v>
      </c>
      <c r="D25">
        <v>368</v>
      </c>
      <c r="E25" t="s">
        <v>224</v>
      </c>
      <c r="F25" s="1">
        <v>6.6000000000000005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79200</v>
      </c>
      <c r="S25" s="1">
        <v>79200</v>
      </c>
      <c r="T25" s="1">
        <v>85654.800000000017</v>
      </c>
      <c r="U25" s="1">
        <v>6.7980000000000009</v>
      </c>
    </row>
    <row r="26" spans="1:21" x14ac:dyDescent="0.3">
      <c r="A26" t="s">
        <v>1483</v>
      </c>
      <c r="B26" t="s">
        <v>1506</v>
      </c>
      <c r="C26" t="s">
        <v>441</v>
      </c>
      <c r="D26">
        <v>368</v>
      </c>
      <c r="E26" t="s">
        <v>224</v>
      </c>
      <c r="F26" s="1">
        <v>7.1999999999999993</v>
      </c>
      <c r="G26" s="1">
        <v>41035</v>
      </c>
      <c r="H26" s="1">
        <v>66134.999999999985</v>
      </c>
      <c r="I26" s="1">
        <v>0</v>
      </c>
      <c r="J26" s="1">
        <v>0</v>
      </c>
      <c r="K26" s="1">
        <v>66134.999999999985</v>
      </c>
      <c r="L26" s="1">
        <v>0</v>
      </c>
      <c r="M26" s="1">
        <v>0</v>
      </c>
      <c r="N26" s="1">
        <v>64059</v>
      </c>
      <c r="O26" s="1">
        <v>0</v>
      </c>
      <c r="P26" s="1">
        <v>72000</v>
      </c>
      <c r="Q26" s="1">
        <v>0</v>
      </c>
      <c r="R26" s="1">
        <v>72000</v>
      </c>
      <c r="S26" s="1">
        <v>381364</v>
      </c>
      <c r="T26" s="1">
        <v>476107.2</v>
      </c>
      <c r="U26" s="1">
        <v>7.4160000000000004</v>
      </c>
    </row>
    <row r="27" spans="1:21" x14ac:dyDescent="0.3">
      <c r="A27" t="s">
        <v>1483</v>
      </c>
      <c r="B27" t="s">
        <v>1507</v>
      </c>
      <c r="C27" t="s">
        <v>441</v>
      </c>
      <c r="D27">
        <v>368</v>
      </c>
      <c r="E27" t="s">
        <v>224</v>
      </c>
      <c r="F27" s="1">
        <v>46.899999999999991</v>
      </c>
      <c r="G27" s="1">
        <v>285098.99999999994</v>
      </c>
      <c r="H27" s="1">
        <v>459484.99999999994</v>
      </c>
      <c r="I27" s="1">
        <v>0</v>
      </c>
      <c r="J27" s="1">
        <v>0</v>
      </c>
      <c r="K27" s="1">
        <v>215396.99999999991</v>
      </c>
      <c r="L27" s="1">
        <v>0</v>
      </c>
      <c r="M27" s="1">
        <v>0</v>
      </c>
      <c r="N27" s="1">
        <v>215396.99999999991</v>
      </c>
      <c r="O27" s="1">
        <v>0</v>
      </c>
      <c r="P27" s="1">
        <v>204499.99999999991</v>
      </c>
      <c r="Q27" s="1">
        <v>0</v>
      </c>
      <c r="R27" s="1">
        <v>234499.99999999997</v>
      </c>
      <c r="S27" s="1">
        <v>1614377.9999999998</v>
      </c>
      <c r="T27" s="1">
        <v>1843521.6843399999</v>
      </c>
      <c r="U27" s="1">
        <v>48.306999999999995</v>
      </c>
    </row>
    <row r="28" spans="1:21" x14ac:dyDescent="0.3">
      <c r="A28" t="s">
        <v>1483</v>
      </c>
      <c r="B28" t="s">
        <v>1508</v>
      </c>
      <c r="C28" t="s">
        <v>441</v>
      </c>
      <c r="D28">
        <v>368</v>
      </c>
      <c r="E28" t="s">
        <v>224</v>
      </c>
      <c r="F28" s="1">
        <v>7.5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68890</v>
      </c>
      <c r="O28" s="1">
        <v>0</v>
      </c>
      <c r="P28" s="1">
        <v>0</v>
      </c>
      <c r="Q28" s="1">
        <v>50000</v>
      </c>
      <c r="R28" s="1">
        <v>0</v>
      </c>
      <c r="S28" s="1">
        <v>118890</v>
      </c>
      <c r="T28" s="1">
        <v>162225</v>
      </c>
      <c r="U28" s="1">
        <v>7.7249999999999996</v>
      </c>
    </row>
    <row r="29" spans="1:21" x14ac:dyDescent="0.3">
      <c r="A29" t="s">
        <v>1483</v>
      </c>
      <c r="B29" t="s">
        <v>1509</v>
      </c>
      <c r="C29" t="s">
        <v>441</v>
      </c>
      <c r="D29">
        <v>368</v>
      </c>
      <c r="E29" t="s">
        <v>224</v>
      </c>
      <c r="F29" s="1">
        <v>41.34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138000</v>
      </c>
      <c r="O29" s="1">
        <v>0</v>
      </c>
      <c r="P29" s="1">
        <v>0</v>
      </c>
      <c r="Q29" s="1">
        <v>161360</v>
      </c>
      <c r="R29" s="1">
        <v>0</v>
      </c>
      <c r="S29" s="1">
        <v>299360</v>
      </c>
      <c r="T29" s="1">
        <v>357673.68000000005</v>
      </c>
      <c r="U29" s="1">
        <v>42.580200000000005</v>
      </c>
    </row>
    <row r="30" spans="1:21" x14ac:dyDescent="0.3">
      <c r="A30" t="s">
        <v>1483</v>
      </c>
      <c r="B30" t="s">
        <v>462</v>
      </c>
      <c r="C30" t="s">
        <v>441</v>
      </c>
      <c r="E30" t="s">
        <v>462</v>
      </c>
      <c r="F30" s="1"/>
      <c r="G30" s="1">
        <v>890139</v>
      </c>
      <c r="H30" s="1">
        <v>1427231</v>
      </c>
      <c r="I30" s="1">
        <v>486825</v>
      </c>
      <c r="J30" s="1">
        <v>668695</v>
      </c>
      <c r="K30" s="1">
        <v>566279</v>
      </c>
      <c r="L30" s="1">
        <v>1211547</v>
      </c>
      <c r="M30" s="1">
        <v>1029379</v>
      </c>
      <c r="N30" s="1">
        <v>786717</v>
      </c>
      <c r="O30" s="1">
        <v>1407000</v>
      </c>
      <c r="P30" s="1">
        <v>405099.99999999994</v>
      </c>
      <c r="Q30" s="1">
        <v>1174360</v>
      </c>
      <c r="R30" s="1">
        <v>2947256</v>
      </c>
      <c r="S30" s="1">
        <v>13000528</v>
      </c>
      <c r="T30" s="1">
        <v>16547117.81584</v>
      </c>
      <c r="U30" s="1"/>
    </row>
    <row r="31" spans="1:21" x14ac:dyDescent="0.3">
      <c r="A31" t="s">
        <v>1483</v>
      </c>
      <c r="B31" t="s">
        <v>1510</v>
      </c>
      <c r="C31" t="s">
        <v>441</v>
      </c>
      <c r="D31">
        <v>410</v>
      </c>
      <c r="E31" t="s">
        <v>463</v>
      </c>
      <c r="F31" s="1">
        <v>123.27</v>
      </c>
      <c r="G31" s="1">
        <v>0</v>
      </c>
      <c r="H31" s="1">
        <v>220633</v>
      </c>
      <c r="I31" s="1">
        <v>0</v>
      </c>
      <c r="J31" s="1">
        <v>0</v>
      </c>
      <c r="K31" s="1">
        <v>0</v>
      </c>
      <c r="L31" s="1">
        <v>220633</v>
      </c>
      <c r="M31" s="1">
        <v>0</v>
      </c>
      <c r="N31" s="1">
        <v>0</v>
      </c>
      <c r="O31" s="1">
        <v>220633</v>
      </c>
      <c r="P31" s="1">
        <v>0</v>
      </c>
      <c r="Q31" s="1">
        <v>0</v>
      </c>
      <c r="R31" s="1">
        <v>0</v>
      </c>
      <c r="S31" s="1">
        <v>661899</v>
      </c>
      <c r="T31" s="1">
        <v>1333165.0499999998</v>
      </c>
      <c r="U31" s="1">
        <v>126.96810000000001</v>
      </c>
    </row>
    <row r="32" spans="1:21" x14ac:dyDescent="0.3">
      <c r="A32" t="s">
        <v>1483</v>
      </c>
      <c r="B32" t="s">
        <v>1511</v>
      </c>
      <c r="C32" t="s">
        <v>441</v>
      </c>
      <c r="D32">
        <v>410</v>
      </c>
      <c r="E32" t="s">
        <v>463</v>
      </c>
      <c r="F32" s="1">
        <v>18.79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19.3537</v>
      </c>
    </row>
    <row r="33" spans="1:21" x14ac:dyDescent="0.3">
      <c r="A33" t="s">
        <v>1483</v>
      </c>
      <c r="B33" t="s">
        <v>1512</v>
      </c>
      <c r="C33" t="s">
        <v>441</v>
      </c>
      <c r="D33">
        <v>410</v>
      </c>
      <c r="E33" t="s">
        <v>463</v>
      </c>
      <c r="F33" s="1">
        <v>58</v>
      </c>
      <c r="G33" s="1">
        <v>207620</v>
      </c>
      <c r="H33" s="1">
        <v>0</v>
      </c>
      <c r="I33" s="1">
        <v>0</v>
      </c>
      <c r="J33" s="1">
        <v>0</v>
      </c>
      <c r="K33" s="1">
        <v>207620</v>
      </c>
      <c r="L33" s="1">
        <v>0</v>
      </c>
      <c r="M33" s="1">
        <v>0</v>
      </c>
      <c r="N33" s="1">
        <v>207620</v>
      </c>
      <c r="O33" s="1">
        <v>0</v>
      </c>
      <c r="P33" s="1">
        <v>0</v>
      </c>
      <c r="Q33" s="1">
        <v>207620</v>
      </c>
      <c r="R33" s="1">
        <v>207620</v>
      </c>
      <c r="S33" s="1">
        <v>1038100</v>
      </c>
      <c r="T33" s="1">
        <v>1303467.06</v>
      </c>
      <c r="U33" s="1">
        <v>59.74</v>
      </c>
    </row>
    <row r="34" spans="1:21" x14ac:dyDescent="0.3">
      <c r="A34" t="s">
        <v>1483</v>
      </c>
      <c r="B34" t="s">
        <v>1513</v>
      </c>
      <c r="C34" t="s">
        <v>441</v>
      </c>
      <c r="D34">
        <v>410</v>
      </c>
      <c r="E34" t="s">
        <v>463</v>
      </c>
      <c r="F34" s="1">
        <v>22.96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23.648800000000001</v>
      </c>
    </row>
    <row r="35" spans="1:21" x14ac:dyDescent="0.3">
      <c r="A35" t="s">
        <v>1483</v>
      </c>
      <c r="B35" t="s">
        <v>464</v>
      </c>
      <c r="C35" t="s">
        <v>441</v>
      </c>
      <c r="E35" t="s">
        <v>464</v>
      </c>
      <c r="F35" s="1"/>
      <c r="G35" s="1">
        <v>207620</v>
      </c>
      <c r="H35" s="1">
        <v>220633</v>
      </c>
      <c r="I35" s="1">
        <v>0</v>
      </c>
      <c r="J35" s="1">
        <v>0</v>
      </c>
      <c r="K35" s="1">
        <v>207620</v>
      </c>
      <c r="L35" s="1">
        <v>220633</v>
      </c>
      <c r="M35" s="1">
        <v>0</v>
      </c>
      <c r="N35" s="1">
        <v>207620</v>
      </c>
      <c r="O35" s="1">
        <v>220633</v>
      </c>
      <c r="P35" s="1">
        <v>0</v>
      </c>
      <c r="Q35" s="1">
        <v>207620</v>
      </c>
      <c r="R35" s="1">
        <v>207620</v>
      </c>
      <c r="S35" s="1">
        <v>1699999</v>
      </c>
      <c r="T35" s="1">
        <v>2636632.11</v>
      </c>
      <c r="U35" s="1"/>
    </row>
    <row r="36" spans="1:21" x14ac:dyDescent="0.3">
      <c r="A36" t="s">
        <v>1483</v>
      </c>
      <c r="B36" t="s">
        <v>1514</v>
      </c>
      <c r="C36" t="s">
        <v>441</v>
      </c>
      <c r="D36">
        <v>405</v>
      </c>
      <c r="E36" t="s">
        <v>215</v>
      </c>
      <c r="F36" s="1">
        <v>21.5</v>
      </c>
      <c r="G36" s="1">
        <v>1469408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1046619</v>
      </c>
      <c r="N36" s="1">
        <v>716660</v>
      </c>
      <c r="O36" s="1">
        <v>1233319</v>
      </c>
      <c r="P36" s="1">
        <v>1319677</v>
      </c>
      <c r="Q36" s="1">
        <v>1351146</v>
      </c>
      <c r="R36" s="1">
        <v>1351146</v>
      </c>
      <c r="S36" s="1">
        <v>8487975</v>
      </c>
      <c r="T36" s="1">
        <v>11101806.693</v>
      </c>
      <c r="U36" s="1">
        <v>22.145</v>
      </c>
    </row>
    <row r="37" spans="1:21" x14ac:dyDescent="0.3">
      <c r="A37" t="s">
        <v>1483</v>
      </c>
      <c r="B37" t="s">
        <v>1515</v>
      </c>
      <c r="C37" t="s">
        <v>441</v>
      </c>
      <c r="D37">
        <v>405</v>
      </c>
      <c r="E37" t="s">
        <v>215</v>
      </c>
      <c r="F37" s="1">
        <v>30.8</v>
      </c>
      <c r="G37" s="1">
        <v>1368875</v>
      </c>
      <c r="H37" s="1">
        <v>0</v>
      </c>
      <c r="I37" s="1">
        <v>0</v>
      </c>
      <c r="J37" s="1">
        <v>0</v>
      </c>
      <c r="K37" s="1">
        <v>0</v>
      </c>
      <c r="L37" s="1">
        <v>584438</v>
      </c>
      <c r="M37" s="1">
        <v>0</v>
      </c>
      <c r="N37" s="1">
        <v>684438</v>
      </c>
      <c r="O37" s="1">
        <v>684438</v>
      </c>
      <c r="P37" s="1">
        <v>684438</v>
      </c>
      <c r="Q37" s="1">
        <v>1368876</v>
      </c>
      <c r="R37" s="1">
        <v>684438</v>
      </c>
      <c r="S37" s="1">
        <v>6059941</v>
      </c>
      <c r="T37" s="1">
        <v>6748798.7952000005</v>
      </c>
      <c r="U37" s="1">
        <v>31.724</v>
      </c>
    </row>
    <row r="38" spans="1:21" x14ac:dyDescent="0.3">
      <c r="A38" t="s">
        <v>1483</v>
      </c>
      <c r="B38" t="s">
        <v>1516</v>
      </c>
      <c r="C38" t="s">
        <v>441</v>
      </c>
      <c r="D38">
        <v>405</v>
      </c>
      <c r="E38" t="s">
        <v>215</v>
      </c>
      <c r="F38" s="1">
        <v>56.8</v>
      </c>
      <c r="G38" s="1">
        <v>1307082</v>
      </c>
      <c r="H38" s="1">
        <v>0</v>
      </c>
      <c r="I38" s="1">
        <v>0</v>
      </c>
      <c r="J38" s="1">
        <v>0</v>
      </c>
      <c r="K38" s="1">
        <v>512889</v>
      </c>
      <c r="L38" s="1">
        <v>484681.99999999994</v>
      </c>
      <c r="M38" s="1">
        <v>631105</v>
      </c>
      <c r="N38" s="1">
        <v>763330</v>
      </c>
      <c r="O38" s="1">
        <v>966149.00000000012</v>
      </c>
      <c r="P38" s="1">
        <v>1262210</v>
      </c>
      <c r="Q38" s="1">
        <v>1262210</v>
      </c>
      <c r="R38" s="1">
        <v>1262210</v>
      </c>
      <c r="S38" s="1">
        <v>8451867</v>
      </c>
      <c r="T38" s="1">
        <v>11438020.508400001</v>
      </c>
      <c r="U38" s="1">
        <v>58.503999999999998</v>
      </c>
    </row>
    <row r="39" spans="1:21" x14ac:dyDescent="0.3">
      <c r="A39" t="s">
        <v>1483</v>
      </c>
      <c r="B39" t="s">
        <v>1517</v>
      </c>
      <c r="C39" t="s">
        <v>441</v>
      </c>
      <c r="D39">
        <v>405</v>
      </c>
      <c r="E39" t="s">
        <v>215</v>
      </c>
      <c r="F39" s="1">
        <v>28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432600</v>
      </c>
      <c r="U39" s="1">
        <v>28.84</v>
      </c>
    </row>
    <row r="40" spans="1:21" x14ac:dyDescent="0.3">
      <c r="B40" t="s">
        <v>465</v>
      </c>
      <c r="C40" t="s">
        <v>441</v>
      </c>
      <c r="E40" t="s">
        <v>215</v>
      </c>
      <c r="F40" s="1">
        <v>28</v>
      </c>
      <c r="G40" s="1">
        <v>0</v>
      </c>
      <c r="H40" s="1">
        <v>0</v>
      </c>
      <c r="I40" s="1">
        <v>0</v>
      </c>
      <c r="J40" s="1">
        <v>46666.666666666672</v>
      </c>
      <c r="K40" s="1">
        <v>46666.666666666672</v>
      </c>
      <c r="L40" s="1">
        <v>46666.666666666672</v>
      </c>
      <c r="M40" s="1">
        <v>46666.666666666672</v>
      </c>
      <c r="N40" s="1">
        <v>46666.666666666672</v>
      </c>
      <c r="O40" s="1">
        <v>46666.666666666672</v>
      </c>
      <c r="P40" s="1">
        <v>46666.666666666672</v>
      </c>
      <c r="Q40" s="1">
        <v>46666.666666666672</v>
      </c>
      <c r="R40" s="1">
        <v>46666.666666666672</v>
      </c>
      <c r="S40" s="1">
        <v>420000.00000000017</v>
      </c>
      <c r="T40" s="1">
        <v>432600</v>
      </c>
      <c r="U40" s="1">
        <v>28.84</v>
      </c>
    </row>
    <row r="41" spans="1:21" x14ac:dyDescent="0.3">
      <c r="B41" t="s">
        <v>466</v>
      </c>
      <c r="C41" t="s">
        <v>441</v>
      </c>
      <c r="E41" t="s">
        <v>215</v>
      </c>
      <c r="F41" s="1">
        <v>28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432600</v>
      </c>
      <c r="U41" s="1">
        <v>28.84</v>
      </c>
    </row>
    <row r="42" spans="1:21" x14ac:dyDescent="0.3">
      <c r="A42" t="s">
        <v>1483</v>
      </c>
      <c r="B42" t="s">
        <v>1518</v>
      </c>
      <c r="C42" t="s">
        <v>441</v>
      </c>
      <c r="D42">
        <v>405</v>
      </c>
      <c r="E42" t="s">
        <v>215</v>
      </c>
      <c r="F42" s="1">
        <v>20.88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21.506399999999999</v>
      </c>
    </row>
    <row r="43" spans="1:21" x14ac:dyDescent="0.3">
      <c r="A43" t="s">
        <v>1483</v>
      </c>
      <c r="B43" t="s">
        <v>1519</v>
      </c>
      <c r="C43" t="s">
        <v>441</v>
      </c>
      <c r="D43">
        <v>405</v>
      </c>
      <c r="E43" t="s">
        <v>215</v>
      </c>
      <c r="F43" s="1">
        <v>55.8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57.473999999999997</v>
      </c>
    </row>
    <row r="44" spans="1:21" x14ac:dyDescent="0.3">
      <c r="A44" t="s">
        <v>1483</v>
      </c>
      <c r="B44" t="s">
        <v>467</v>
      </c>
      <c r="C44" t="s">
        <v>441</v>
      </c>
      <c r="E44" t="s">
        <v>467</v>
      </c>
      <c r="F44" s="1"/>
      <c r="G44" s="1">
        <v>4145365</v>
      </c>
      <c r="H44" s="1">
        <v>0</v>
      </c>
      <c r="I44" s="1">
        <v>0</v>
      </c>
      <c r="J44" s="1">
        <v>46666.666666666672</v>
      </c>
      <c r="K44" s="1">
        <v>559555.66666666663</v>
      </c>
      <c r="L44" s="1">
        <v>1115786.6666666667</v>
      </c>
      <c r="M44" s="1">
        <v>1724390.6666666667</v>
      </c>
      <c r="N44" s="1">
        <v>2211094.6666666665</v>
      </c>
      <c r="O44" s="1">
        <v>2930572.6666666665</v>
      </c>
      <c r="P44" s="1">
        <v>3312991.6666666665</v>
      </c>
      <c r="Q44" s="1">
        <v>4028898.6666666665</v>
      </c>
      <c r="R44" s="1">
        <v>3344460.6666666665</v>
      </c>
      <c r="S44" s="1">
        <v>23419783</v>
      </c>
      <c r="T44" s="1">
        <v>30586425.996599998</v>
      </c>
      <c r="U44" s="1"/>
    </row>
    <row r="45" spans="1:21" x14ac:dyDescent="0.3">
      <c r="B45" t="s">
        <v>1520</v>
      </c>
      <c r="C45" t="s">
        <v>441</v>
      </c>
      <c r="D45">
        <v>443</v>
      </c>
      <c r="E45" t="s">
        <v>181</v>
      </c>
      <c r="F45" s="1">
        <v>30.17</v>
      </c>
      <c r="G45" s="1">
        <v>0</v>
      </c>
      <c r="H45" s="1">
        <v>0</v>
      </c>
      <c r="I45" s="1">
        <v>0</v>
      </c>
      <c r="J45" s="1">
        <v>603400</v>
      </c>
      <c r="K45" s="1">
        <v>0</v>
      </c>
      <c r="L45" s="1">
        <v>0</v>
      </c>
      <c r="M45" s="1">
        <v>30170</v>
      </c>
      <c r="N45" s="1">
        <v>301700</v>
      </c>
      <c r="O45" s="1">
        <v>301700</v>
      </c>
      <c r="P45" s="1">
        <v>0</v>
      </c>
      <c r="Q45" s="1">
        <v>0</v>
      </c>
      <c r="R45" s="1">
        <v>0</v>
      </c>
      <c r="S45" s="1">
        <v>1236970</v>
      </c>
      <c r="T45" s="1">
        <v>2316648.7050000001</v>
      </c>
      <c r="U45" s="1">
        <v>31.075100000000003</v>
      </c>
    </row>
    <row r="46" spans="1:21" x14ac:dyDescent="0.3">
      <c r="A46" t="s">
        <v>1483</v>
      </c>
      <c r="B46" t="s">
        <v>1521</v>
      </c>
      <c r="C46" t="s">
        <v>441</v>
      </c>
      <c r="E46" t="s">
        <v>1521</v>
      </c>
      <c r="F46" s="1"/>
      <c r="G46" s="1">
        <v>0</v>
      </c>
      <c r="H46" s="1">
        <v>0</v>
      </c>
      <c r="I46" s="1">
        <v>0</v>
      </c>
      <c r="J46" s="1">
        <v>603400</v>
      </c>
      <c r="K46" s="1">
        <v>0</v>
      </c>
      <c r="L46" s="1">
        <v>0</v>
      </c>
      <c r="M46" s="1">
        <v>30170</v>
      </c>
      <c r="N46" s="1">
        <v>301700</v>
      </c>
      <c r="O46" s="1">
        <v>301700</v>
      </c>
      <c r="P46" s="1">
        <v>0</v>
      </c>
      <c r="Q46" s="1">
        <v>0</v>
      </c>
      <c r="R46" s="1">
        <v>0</v>
      </c>
      <c r="S46" s="1">
        <v>1236970</v>
      </c>
      <c r="T46" s="1">
        <v>2316648.7050000001</v>
      </c>
      <c r="U46" s="1"/>
    </row>
    <row r="47" spans="1:21" x14ac:dyDescent="0.3">
      <c r="B47" t="s">
        <v>1522</v>
      </c>
      <c r="C47" t="s">
        <v>441</v>
      </c>
      <c r="D47">
        <v>1005</v>
      </c>
      <c r="E47" t="s">
        <v>468</v>
      </c>
      <c r="F47" s="1">
        <v>26.93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3744616.5</v>
      </c>
      <c r="U47" s="1">
        <v>27.7379</v>
      </c>
    </row>
    <row r="48" spans="1:21" x14ac:dyDescent="0.3">
      <c r="B48" t="s">
        <v>1523</v>
      </c>
      <c r="C48" t="s">
        <v>441</v>
      </c>
      <c r="D48">
        <v>1005</v>
      </c>
      <c r="E48" t="s">
        <v>468</v>
      </c>
      <c r="F48" s="1">
        <v>25</v>
      </c>
      <c r="G48" s="1">
        <v>104166.66666666669</v>
      </c>
      <c r="H48" s="1">
        <v>104166.66666666669</v>
      </c>
      <c r="I48" s="1">
        <v>104166.66666666669</v>
      </c>
      <c r="J48" s="1">
        <v>104166.66666666669</v>
      </c>
      <c r="K48" s="1">
        <v>104166.66666666669</v>
      </c>
      <c r="L48" s="1">
        <v>104166.66666666669</v>
      </c>
      <c r="M48" s="1">
        <v>104166.66666666669</v>
      </c>
      <c r="N48" s="1">
        <v>104166.66666666669</v>
      </c>
      <c r="O48" s="1">
        <v>104166.66666666669</v>
      </c>
      <c r="P48" s="1">
        <v>104166.66666666669</v>
      </c>
      <c r="Q48" s="1">
        <v>104166.66666666669</v>
      </c>
      <c r="R48" s="1">
        <v>104166.66666666669</v>
      </c>
      <c r="S48" s="1">
        <v>1250000</v>
      </c>
      <c r="T48" s="1">
        <v>3744616.5</v>
      </c>
      <c r="U48" s="1"/>
    </row>
    <row r="49" spans="2:21" x14ac:dyDescent="0.3">
      <c r="C49" t="s">
        <v>441</v>
      </c>
      <c r="E49" t="s">
        <v>469</v>
      </c>
      <c r="F49" s="1"/>
      <c r="G49" s="1">
        <v>104166.66666666669</v>
      </c>
      <c r="H49" s="1">
        <v>104166.66666666669</v>
      </c>
      <c r="I49" s="1">
        <v>104166.66666666669</v>
      </c>
      <c r="J49" s="1">
        <v>104166.66666666669</v>
      </c>
      <c r="K49" s="1">
        <v>104166.66666666669</v>
      </c>
      <c r="L49" s="1">
        <v>104166.66666666669</v>
      </c>
      <c r="M49" s="1">
        <v>104166.66666666669</v>
      </c>
      <c r="N49" s="1">
        <v>104166.66666666669</v>
      </c>
      <c r="O49" s="1">
        <v>104166.66666666669</v>
      </c>
      <c r="P49" s="1">
        <v>104166.66666666669</v>
      </c>
      <c r="Q49" s="1">
        <v>104166.66666666669</v>
      </c>
      <c r="R49" s="1">
        <v>104166.66666666669</v>
      </c>
      <c r="S49" s="1">
        <v>1250000</v>
      </c>
      <c r="T49" s="1">
        <v>3744616.5</v>
      </c>
      <c r="U49" s="1"/>
    </row>
    <row r="50" spans="2:21" x14ac:dyDescent="0.3">
      <c r="B50" t="s">
        <v>470</v>
      </c>
      <c r="C50" t="s">
        <v>441</v>
      </c>
      <c r="E50" t="s">
        <v>301</v>
      </c>
      <c r="F50" s="1">
        <v>20.7</v>
      </c>
      <c r="G50" s="1">
        <v>479986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415245.99999999994</v>
      </c>
      <c r="P50" s="1">
        <v>512500</v>
      </c>
      <c r="Q50" s="1">
        <v>830493</v>
      </c>
      <c r="R50" s="1">
        <v>0</v>
      </c>
      <c r="S50" s="1">
        <v>2238225</v>
      </c>
      <c r="T50" s="1">
        <v>0</v>
      </c>
      <c r="U50" s="1">
        <v>21.321000000000002</v>
      </c>
    </row>
    <row r="51" spans="2:21" x14ac:dyDescent="0.3">
      <c r="B51" t="s">
        <v>471</v>
      </c>
      <c r="C51" t="s">
        <v>441</v>
      </c>
      <c r="E51" t="s">
        <v>301</v>
      </c>
      <c r="F51" s="1">
        <v>17.8</v>
      </c>
      <c r="G51" s="1">
        <v>430742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616890</v>
      </c>
      <c r="Q51" s="1">
        <v>0</v>
      </c>
      <c r="R51" s="1">
        <v>714143</v>
      </c>
      <c r="S51" s="1">
        <v>1761775</v>
      </c>
      <c r="T51" s="1">
        <v>0</v>
      </c>
      <c r="U51" s="1">
        <v>18.334</v>
      </c>
    </row>
    <row r="52" spans="2:21" x14ac:dyDescent="0.3">
      <c r="C52" t="s">
        <v>441</v>
      </c>
      <c r="E52" t="s">
        <v>472</v>
      </c>
      <c r="F52" s="1"/>
      <c r="G52" s="1">
        <v>910728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415245.99999999994</v>
      </c>
      <c r="P52" s="1">
        <v>1129390</v>
      </c>
      <c r="Q52" s="1">
        <v>830493</v>
      </c>
      <c r="R52" s="1">
        <v>714143</v>
      </c>
      <c r="S52" s="1">
        <v>4000000</v>
      </c>
      <c r="T52" s="1">
        <v>0</v>
      </c>
      <c r="U52" s="1"/>
    </row>
    <row r="53" spans="2:21" x14ac:dyDescent="0.3">
      <c r="B53" t="s">
        <v>1524</v>
      </c>
      <c r="C53" t="s">
        <v>441</v>
      </c>
      <c r="D53">
        <v>441</v>
      </c>
      <c r="E53" t="s">
        <v>473</v>
      </c>
      <c r="F53" s="1">
        <v>24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168743</v>
      </c>
      <c r="O53" s="1">
        <v>0</v>
      </c>
      <c r="P53" s="1">
        <v>0</v>
      </c>
      <c r="Q53" s="1">
        <v>0</v>
      </c>
      <c r="R53" s="1">
        <v>0</v>
      </c>
      <c r="S53" s="1">
        <v>168743</v>
      </c>
      <c r="T53" s="1">
        <v>476107.1999999999</v>
      </c>
      <c r="U53" s="1">
        <v>24.72</v>
      </c>
    </row>
    <row r="54" spans="2:21" x14ac:dyDescent="0.3">
      <c r="B54" t="s">
        <v>1525</v>
      </c>
      <c r="C54" t="s">
        <v>441</v>
      </c>
      <c r="D54">
        <v>441</v>
      </c>
      <c r="E54" t="s">
        <v>473</v>
      </c>
      <c r="F54" s="1">
        <v>24</v>
      </c>
      <c r="G54" s="1">
        <v>168743</v>
      </c>
      <c r="H54" s="1">
        <v>84372</v>
      </c>
      <c r="I54" s="1">
        <v>42186</v>
      </c>
      <c r="J54" s="1">
        <v>7200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302501</v>
      </c>
      <c r="T54" s="1">
        <v>476107.1999999999</v>
      </c>
      <c r="U54" s="1">
        <v>24.72</v>
      </c>
    </row>
    <row r="55" spans="2:21" x14ac:dyDescent="0.3">
      <c r="B55" t="s">
        <v>1526</v>
      </c>
      <c r="C55" t="s">
        <v>441</v>
      </c>
      <c r="D55">
        <v>441</v>
      </c>
      <c r="E55" t="s">
        <v>473</v>
      </c>
      <c r="F55" s="1">
        <v>24</v>
      </c>
      <c r="G55" s="1">
        <v>168743</v>
      </c>
      <c r="H55" s="1">
        <v>84372</v>
      </c>
      <c r="I55" s="1">
        <v>42186</v>
      </c>
      <c r="J55" s="1">
        <v>42186</v>
      </c>
      <c r="K55" s="1">
        <v>84372</v>
      </c>
      <c r="L55" s="1">
        <v>126558</v>
      </c>
      <c r="M55" s="1">
        <v>520468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1068885</v>
      </c>
      <c r="T55" s="1">
        <v>476107.1999999999</v>
      </c>
      <c r="U55" s="1">
        <v>24.72</v>
      </c>
    </row>
    <row r="56" spans="2:21" x14ac:dyDescent="0.3">
      <c r="B56" t="s">
        <v>474</v>
      </c>
      <c r="C56" t="s">
        <v>441</v>
      </c>
      <c r="E56" t="s">
        <v>473</v>
      </c>
      <c r="F56" s="1">
        <v>24</v>
      </c>
      <c r="G56" s="1"/>
      <c r="H56" s="1"/>
      <c r="I56" s="1"/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47610.720000000001</v>
      </c>
      <c r="U56" s="1">
        <v>24.72</v>
      </c>
    </row>
    <row r="57" spans="2:21" x14ac:dyDescent="0.3">
      <c r="B57" t="s">
        <v>475</v>
      </c>
      <c r="C57" t="s">
        <v>441</v>
      </c>
      <c r="E57" t="s">
        <v>473</v>
      </c>
      <c r="F57" s="1">
        <v>24</v>
      </c>
      <c r="G57" s="1"/>
      <c r="H57" s="1"/>
      <c r="I57" s="1"/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238956</v>
      </c>
      <c r="S57" s="1">
        <v>238956</v>
      </c>
      <c r="T57" s="1">
        <v>47610.720000000001</v>
      </c>
      <c r="U57" s="1">
        <v>24.72</v>
      </c>
    </row>
    <row r="58" spans="2:21" x14ac:dyDescent="0.3">
      <c r="B58" t="s">
        <v>476</v>
      </c>
      <c r="C58" t="s">
        <v>441</v>
      </c>
      <c r="E58" t="s">
        <v>473</v>
      </c>
      <c r="F58" s="1">
        <v>82.7</v>
      </c>
      <c r="G58" s="1"/>
      <c r="H58" s="1"/>
      <c r="I58" s="1"/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203703</v>
      </c>
      <c r="R58" s="1">
        <v>0</v>
      </c>
      <c r="S58" s="1">
        <v>203703</v>
      </c>
      <c r="T58" s="1">
        <v>47610.720000000001</v>
      </c>
      <c r="U58" s="1">
        <v>85.181000000000012</v>
      </c>
    </row>
    <row r="59" spans="2:21" x14ac:dyDescent="0.3">
      <c r="B59" t="s">
        <v>477</v>
      </c>
      <c r="C59" t="s">
        <v>441</v>
      </c>
      <c r="E59" t="s">
        <v>473</v>
      </c>
      <c r="F59" s="1">
        <v>82.7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350903.12950000004</v>
      </c>
      <c r="U59" s="1">
        <v>85.181000000000012</v>
      </c>
    </row>
    <row r="60" spans="2:21" x14ac:dyDescent="0.3">
      <c r="B60" t="s">
        <v>478</v>
      </c>
      <c r="C60" t="s">
        <v>441</v>
      </c>
      <c r="E60" t="s">
        <v>473</v>
      </c>
      <c r="F60" s="1">
        <v>82.7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350903.12950000004</v>
      </c>
      <c r="U60" s="1">
        <v>85.181000000000012</v>
      </c>
    </row>
    <row r="61" spans="2:21" x14ac:dyDescent="0.3">
      <c r="B61" t="s">
        <v>479</v>
      </c>
      <c r="C61" t="s">
        <v>441</v>
      </c>
      <c r="E61" t="s">
        <v>473</v>
      </c>
      <c r="F61" s="1">
        <v>82.7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350903.12950000004</v>
      </c>
      <c r="U61" s="1">
        <v>85.181000000000012</v>
      </c>
    </row>
    <row r="62" spans="2:21" x14ac:dyDescent="0.3">
      <c r="B62" t="s">
        <v>480</v>
      </c>
      <c r="C62" t="s">
        <v>441</v>
      </c>
      <c r="E62" t="s">
        <v>473</v>
      </c>
      <c r="F62" s="1">
        <v>82.7</v>
      </c>
      <c r="G62" s="1"/>
      <c r="H62" s="1"/>
      <c r="I62" s="1"/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/>
    </row>
    <row r="63" spans="2:21" x14ac:dyDescent="0.3">
      <c r="B63" t="s">
        <v>478</v>
      </c>
      <c r="C63" t="s">
        <v>441</v>
      </c>
      <c r="E63" t="s">
        <v>473</v>
      </c>
      <c r="F63" s="1">
        <v>82.7</v>
      </c>
      <c r="G63" s="1"/>
      <c r="H63" s="1"/>
      <c r="I63" s="1"/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123043.95450000002</v>
      </c>
      <c r="U63" s="1">
        <v>85.181000000000012</v>
      </c>
    </row>
    <row r="64" spans="2:21" x14ac:dyDescent="0.3">
      <c r="B64" t="s">
        <v>481</v>
      </c>
      <c r="C64" t="s">
        <v>441</v>
      </c>
      <c r="E64" t="s">
        <v>473</v>
      </c>
      <c r="F64" s="1">
        <v>82.7</v>
      </c>
      <c r="G64" s="1"/>
      <c r="H64" s="1"/>
      <c r="I64" s="1"/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123043.95450000002</v>
      </c>
      <c r="U64" s="1">
        <v>85.181000000000012</v>
      </c>
    </row>
    <row r="65" spans="1:21" x14ac:dyDescent="0.3">
      <c r="B65" t="s">
        <v>482</v>
      </c>
      <c r="C65" t="s">
        <v>441</v>
      </c>
      <c r="E65" t="s">
        <v>473</v>
      </c>
      <c r="F65" s="1">
        <v>30</v>
      </c>
      <c r="G65" s="1">
        <v>12500</v>
      </c>
      <c r="H65" s="1">
        <v>12500</v>
      </c>
      <c r="I65" s="1">
        <v>12500</v>
      </c>
      <c r="J65" s="1">
        <v>12500</v>
      </c>
      <c r="K65" s="1">
        <v>12500</v>
      </c>
      <c r="L65" s="1">
        <v>12500</v>
      </c>
      <c r="M65" s="1">
        <v>12500</v>
      </c>
      <c r="N65" s="1">
        <v>12500</v>
      </c>
      <c r="O65" s="1">
        <v>12500</v>
      </c>
      <c r="P65" s="1">
        <v>12500</v>
      </c>
      <c r="Q65" s="1">
        <v>12500</v>
      </c>
      <c r="R65" s="1">
        <v>12500</v>
      </c>
      <c r="S65" s="1">
        <v>150000</v>
      </c>
      <c r="T65" s="1">
        <v>140718.59999999998</v>
      </c>
      <c r="U65" s="1">
        <v>30.9</v>
      </c>
    </row>
    <row r="66" spans="1:21" x14ac:dyDescent="0.3">
      <c r="B66" t="s">
        <v>482</v>
      </c>
      <c r="C66" t="s">
        <v>441</v>
      </c>
      <c r="E66" t="s">
        <v>473</v>
      </c>
      <c r="F66" s="1">
        <v>30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140718.59999999998</v>
      </c>
      <c r="U66" s="1">
        <v>30.9</v>
      </c>
    </row>
    <row r="67" spans="1:21" x14ac:dyDescent="0.3">
      <c r="B67" t="s">
        <v>482</v>
      </c>
      <c r="C67" t="s">
        <v>441</v>
      </c>
      <c r="E67" t="s">
        <v>473</v>
      </c>
      <c r="F67" s="1">
        <v>30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140718.59999999998</v>
      </c>
      <c r="U67" s="1">
        <v>30.9</v>
      </c>
    </row>
    <row r="68" spans="1:21" x14ac:dyDescent="0.3">
      <c r="A68" t="s">
        <v>1483</v>
      </c>
      <c r="B68" t="s">
        <v>483</v>
      </c>
      <c r="C68" t="s">
        <v>441</v>
      </c>
      <c r="E68" t="s">
        <v>483</v>
      </c>
      <c r="F68" s="1"/>
      <c r="G68" s="1">
        <v>349986</v>
      </c>
      <c r="H68" s="1">
        <v>181244</v>
      </c>
      <c r="I68" s="1">
        <v>96872</v>
      </c>
      <c r="J68" s="1">
        <v>61886</v>
      </c>
      <c r="K68" s="1">
        <v>96872</v>
      </c>
      <c r="L68" s="1">
        <v>139058</v>
      </c>
      <c r="M68" s="1">
        <v>532968</v>
      </c>
      <c r="N68" s="1">
        <v>181243</v>
      </c>
      <c r="O68" s="1">
        <v>12500</v>
      </c>
      <c r="P68" s="1">
        <v>12500</v>
      </c>
      <c r="Q68" s="1">
        <v>216203</v>
      </c>
      <c r="R68" s="1">
        <v>251456</v>
      </c>
      <c r="S68" s="1">
        <v>2132788</v>
      </c>
      <c r="T68" s="1">
        <v>3292106.8575000004</v>
      </c>
      <c r="U68" s="1"/>
    </row>
    <row r="69" spans="1:21" x14ac:dyDescent="0.3">
      <c r="A69" t="s">
        <v>1483</v>
      </c>
      <c r="B69" t="s">
        <v>1527</v>
      </c>
      <c r="C69" t="s">
        <v>441</v>
      </c>
      <c r="D69">
        <v>439</v>
      </c>
      <c r="E69" t="s">
        <v>484</v>
      </c>
      <c r="F69" s="1">
        <v>76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665380</v>
      </c>
      <c r="U69" s="1">
        <v>78.28</v>
      </c>
    </row>
    <row r="70" spans="1:21" x14ac:dyDescent="0.3">
      <c r="A70" t="s">
        <v>1483</v>
      </c>
      <c r="B70" t="s">
        <v>1528</v>
      </c>
      <c r="C70" t="s">
        <v>441</v>
      </c>
      <c r="D70">
        <v>439</v>
      </c>
      <c r="E70" t="s">
        <v>484</v>
      </c>
      <c r="F70" s="1">
        <v>8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8.24</v>
      </c>
    </row>
    <row r="71" spans="1:21" x14ac:dyDescent="0.3">
      <c r="A71" t="s">
        <v>1483</v>
      </c>
      <c r="B71" t="s">
        <v>1529</v>
      </c>
      <c r="C71" t="s">
        <v>441</v>
      </c>
      <c r="D71">
        <v>439</v>
      </c>
      <c r="E71" t="s">
        <v>484</v>
      </c>
      <c r="F71" s="1">
        <v>75</v>
      </c>
      <c r="G71" s="1">
        <v>0</v>
      </c>
      <c r="H71" s="1">
        <v>367510</v>
      </c>
      <c r="I71" s="1">
        <v>367510</v>
      </c>
      <c r="J71" s="1">
        <v>0</v>
      </c>
      <c r="K71" s="1">
        <v>367510</v>
      </c>
      <c r="L71" s="1">
        <v>367510</v>
      </c>
      <c r="M71" s="1">
        <v>0</v>
      </c>
      <c r="N71" s="1">
        <v>367510</v>
      </c>
      <c r="O71" s="1">
        <v>367510</v>
      </c>
      <c r="P71" s="1">
        <v>0</v>
      </c>
      <c r="Q71" s="1">
        <v>367510</v>
      </c>
      <c r="R71" s="1">
        <v>367510</v>
      </c>
      <c r="S71" s="1">
        <v>2940080</v>
      </c>
      <c r="T71" s="1">
        <v>6662812.5</v>
      </c>
      <c r="U71" s="1">
        <v>77.25</v>
      </c>
    </row>
    <row r="72" spans="1:21" x14ac:dyDescent="0.3">
      <c r="B72" t="s">
        <v>485</v>
      </c>
      <c r="C72" t="s">
        <v>441</v>
      </c>
      <c r="E72" t="s">
        <v>484</v>
      </c>
      <c r="F72" s="1">
        <v>135</v>
      </c>
      <c r="G72" s="1">
        <v>661518</v>
      </c>
      <c r="H72" s="1">
        <v>661518</v>
      </c>
      <c r="I72" s="1">
        <v>661518</v>
      </c>
      <c r="J72" s="1">
        <v>0</v>
      </c>
      <c r="K72" s="1">
        <v>0</v>
      </c>
      <c r="L72" s="1">
        <v>661518</v>
      </c>
      <c r="M72" s="1">
        <v>661518</v>
      </c>
      <c r="N72" s="1">
        <v>0</v>
      </c>
      <c r="O72" s="1">
        <v>0</v>
      </c>
      <c r="P72" s="1">
        <v>1984555</v>
      </c>
      <c r="Q72" s="1">
        <v>0</v>
      </c>
      <c r="R72" s="1">
        <v>661518</v>
      </c>
      <c r="S72" s="1">
        <v>5953663</v>
      </c>
      <c r="T72" s="1">
        <v>12013920.000000002</v>
      </c>
      <c r="U72" s="1">
        <v>139.05000000000001</v>
      </c>
    </row>
    <row r="73" spans="1:21" x14ac:dyDescent="0.3">
      <c r="B73" t="s">
        <v>486</v>
      </c>
      <c r="C73" t="s">
        <v>441</v>
      </c>
      <c r="E73" t="s">
        <v>484</v>
      </c>
      <c r="F73" s="1">
        <v>45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/>
      <c r="U73" s="1">
        <v>46.35</v>
      </c>
    </row>
    <row r="74" spans="1:21" x14ac:dyDescent="0.3">
      <c r="B74" t="s">
        <v>487</v>
      </c>
      <c r="C74" t="s">
        <v>441</v>
      </c>
      <c r="E74" t="s">
        <v>484</v>
      </c>
      <c r="F74" s="1">
        <v>90</v>
      </c>
      <c r="G74" s="1">
        <v>0</v>
      </c>
      <c r="H74" s="1">
        <v>882024</v>
      </c>
      <c r="I74" s="1">
        <v>0</v>
      </c>
      <c r="J74" s="1">
        <v>0</v>
      </c>
      <c r="K74" s="1">
        <v>0</v>
      </c>
      <c r="L74" s="1">
        <v>882024</v>
      </c>
      <c r="M74" s="1">
        <v>0</v>
      </c>
      <c r="N74" s="1">
        <v>0</v>
      </c>
      <c r="O74" s="1">
        <v>0</v>
      </c>
      <c r="P74" s="1">
        <v>0</v>
      </c>
      <c r="Q74" s="1">
        <v>882024</v>
      </c>
      <c r="R74" s="1">
        <v>0</v>
      </c>
      <c r="S74" s="1">
        <v>2646072</v>
      </c>
      <c r="T74" s="1">
        <v>0</v>
      </c>
      <c r="U74" s="1">
        <v>92.7</v>
      </c>
    </row>
    <row r="75" spans="1:21" x14ac:dyDescent="0.3">
      <c r="A75" t="s">
        <v>1483</v>
      </c>
      <c r="B75" t="s">
        <v>1530</v>
      </c>
      <c r="C75" t="s">
        <v>441</v>
      </c>
      <c r="D75">
        <v>439</v>
      </c>
      <c r="E75" t="s">
        <v>484</v>
      </c>
      <c r="F75" s="1">
        <v>90</v>
      </c>
      <c r="G75" s="1">
        <v>441012</v>
      </c>
      <c r="H75" s="1">
        <v>220506</v>
      </c>
      <c r="I75" s="1">
        <v>441012</v>
      </c>
      <c r="J75" s="1">
        <v>220506</v>
      </c>
      <c r="K75" s="1">
        <v>441012</v>
      </c>
      <c r="L75" s="1">
        <v>220506</v>
      </c>
      <c r="M75" s="1">
        <v>441012</v>
      </c>
      <c r="N75" s="1">
        <v>220506</v>
      </c>
      <c r="O75" s="1">
        <v>441012</v>
      </c>
      <c r="P75" s="1">
        <v>220506</v>
      </c>
      <c r="Q75" s="1">
        <v>441012</v>
      </c>
      <c r="R75" s="1">
        <v>220506</v>
      </c>
      <c r="S75" s="1">
        <v>3969108</v>
      </c>
      <c r="T75" s="1">
        <v>4924687.5</v>
      </c>
      <c r="U75" s="1">
        <v>92.7</v>
      </c>
    </row>
    <row r="76" spans="1:21" x14ac:dyDescent="0.3">
      <c r="B76" t="s">
        <v>488</v>
      </c>
      <c r="C76" t="s">
        <v>441</v>
      </c>
      <c r="E76" t="s">
        <v>484</v>
      </c>
      <c r="F76" s="1">
        <v>55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56.65</v>
      </c>
    </row>
    <row r="77" spans="1:21" x14ac:dyDescent="0.3">
      <c r="A77" t="s">
        <v>1483</v>
      </c>
      <c r="B77" t="s">
        <v>1531</v>
      </c>
      <c r="C77" t="s">
        <v>441</v>
      </c>
      <c r="D77">
        <v>439</v>
      </c>
      <c r="E77" t="s">
        <v>484</v>
      </c>
      <c r="F77" s="1">
        <v>90</v>
      </c>
      <c r="G77" s="1">
        <v>441012</v>
      </c>
      <c r="H77" s="1">
        <v>661518</v>
      </c>
      <c r="I77" s="1">
        <v>441012</v>
      </c>
      <c r="J77" s="1">
        <v>661518</v>
      </c>
      <c r="K77" s="1">
        <v>441012</v>
      </c>
      <c r="L77" s="1">
        <v>661518</v>
      </c>
      <c r="M77" s="1">
        <v>441012</v>
      </c>
      <c r="N77" s="1">
        <v>661518</v>
      </c>
      <c r="O77" s="1">
        <v>441012</v>
      </c>
      <c r="P77" s="1">
        <v>661518</v>
      </c>
      <c r="Q77" s="1">
        <v>661518</v>
      </c>
      <c r="R77" s="1">
        <v>441012</v>
      </c>
      <c r="S77" s="1">
        <v>6615180</v>
      </c>
      <c r="T77" s="1">
        <v>7916487.2999999998</v>
      </c>
      <c r="U77" s="1">
        <v>92.7</v>
      </c>
    </row>
    <row r="78" spans="1:21" x14ac:dyDescent="0.3">
      <c r="B78" t="s">
        <v>489</v>
      </c>
      <c r="C78" t="s">
        <v>441</v>
      </c>
      <c r="E78" t="s">
        <v>484</v>
      </c>
      <c r="F78" s="1">
        <v>55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56.65</v>
      </c>
    </row>
    <row r="79" spans="1:21" x14ac:dyDescent="0.3">
      <c r="B79" t="s">
        <v>281</v>
      </c>
      <c r="C79" t="s">
        <v>441</v>
      </c>
      <c r="E79" t="s">
        <v>484</v>
      </c>
      <c r="F79" s="1">
        <v>160</v>
      </c>
      <c r="G79" s="1"/>
      <c r="H79" s="1">
        <v>784022</v>
      </c>
      <c r="I79" s="1">
        <v>1568043</v>
      </c>
      <c r="J79" s="1">
        <v>784022</v>
      </c>
      <c r="K79" s="1">
        <v>1568043</v>
      </c>
      <c r="L79" s="1">
        <v>784022</v>
      </c>
      <c r="M79" s="1">
        <v>1568043</v>
      </c>
      <c r="N79" s="1">
        <v>784022</v>
      </c>
      <c r="O79" s="1">
        <v>1568043</v>
      </c>
      <c r="P79" s="1">
        <v>1568043</v>
      </c>
      <c r="Q79" s="1">
        <v>2352065</v>
      </c>
      <c r="R79" s="1">
        <v>0</v>
      </c>
      <c r="S79" s="1">
        <v>13328368</v>
      </c>
      <c r="T79" s="1">
        <v>15079200.000000002</v>
      </c>
      <c r="U79" s="1">
        <v>164.8</v>
      </c>
    </row>
    <row r="80" spans="1:21" x14ac:dyDescent="0.3">
      <c r="A80" t="s">
        <v>1483</v>
      </c>
      <c r="B80" t="s">
        <v>1532</v>
      </c>
      <c r="C80" t="s">
        <v>441</v>
      </c>
      <c r="D80">
        <v>439</v>
      </c>
      <c r="E80" t="s">
        <v>484</v>
      </c>
      <c r="F80" s="1">
        <v>90</v>
      </c>
      <c r="G80" s="1">
        <v>220506</v>
      </c>
      <c r="H80" s="1">
        <v>441012</v>
      </c>
      <c r="I80" s="1">
        <v>220506</v>
      </c>
      <c r="J80" s="1">
        <v>441012</v>
      </c>
      <c r="K80" s="1">
        <v>220506</v>
      </c>
      <c r="L80" s="1">
        <v>441012</v>
      </c>
      <c r="M80" s="1">
        <v>220506</v>
      </c>
      <c r="N80" s="1">
        <v>441012</v>
      </c>
      <c r="O80" s="1">
        <v>220506</v>
      </c>
      <c r="P80" s="1">
        <v>441012</v>
      </c>
      <c r="Q80" s="1">
        <v>220506</v>
      </c>
      <c r="R80" s="1">
        <v>441012</v>
      </c>
      <c r="S80" s="1">
        <v>3969108</v>
      </c>
      <c r="T80" s="1">
        <v>5110087.5</v>
      </c>
      <c r="U80" s="1">
        <v>92.7</v>
      </c>
    </row>
    <row r="81" spans="1:21" x14ac:dyDescent="0.3">
      <c r="A81" t="s">
        <v>1483</v>
      </c>
      <c r="B81" t="s">
        <v>1533</v>
      </c>
      <c r="C81" t="s">
        <v>441</v>
      </c>
      <c r="D81">
        <v>439</v>
      </c>
      <c r="E81" t="s">
        <v>484</v>
      </c>
      <c r="F81" s="1">
        <v>55</v>
      </c>
      <c r="G81" s="1">
        <v>237167</v>
      </c>
      <c r="H81" s="1">
        <v>237167</v>
      </c>
      <c r="I81" s="1">
        <v>237167</v>
      </c>
      <c r="J81" s="1">
        <v>237167</v>
      </c>
      <c r="K81" s="1">
        <v>237167</v>
      </c>
      <c r="L81" s="1">
        <v>237167</v>
      </c>
      <c r="M81" s="1">
        <v>237167</v>
      </c>
      <c r="N81" s="1">
        <v>237167</v>
      </c>
      <c r="O81" s="1">
        <v>237167</v>
      </c>
      <c r="P81" s="1">
        <v>237167</v>
      </c>
      <c r="Q81" s="1">
        <v>237167</v>
      </c>
      <c r="R81" s="1">
        <v>237167</v>
      </c>
      <c r="S81" s="1">
        <v>2846004</v>
      </c>
      <c r="T81" s="1">
        <v>3016046.0000000005</v>
      </c>
      <c r="U81" s="1">
        <v>56.65</v>
      </c>
    </row>
    <row r="82" spans="1:21" x14ac:dyDescent="0.3">
      <c r="B82" t="s">
        <v>1534</v>
      </c>
      <c r="C82" t="s">
        <v>441</v>
      </c>
      <c r="D82">
        <v>439</v>
      </c>
      <c r="E82" t="s">
        <v>484</v>
      </c>
      <c r="F82" s="1">
        <v>85</v>
      </c>
      <c r="G82" s="1">
        <v>166605</v>
      </c>
      <c r="H82" s="1">
        <v>166605</v>
      </c>
      <c r="I82" s="1">
        <v>333209</v>
      </c>
      <c r="J82" s="1">
        <v>166605</v>
      </c>
      <c r="K82" s="1">
        <v>166605</v>
      </c>
      <c r="L82" s="1">
        <v>166605</v>
      </c>
      <c r="M82" s="1">
        <v>166605</v>
      </c>
      <c r="N82" s="1">
        <v>166605</v>
      </c>
      <c r="O82" s="1">
        <v>166605</v>
      </c>
      <c r="P82" s="1">
        <v>166605</v>
      </c>
      <c r="Q82" s="1">
        <v>166605</v>
      </c>
      <c r="R82" s="1">
        <v>166605</v>
      </c>
      <c r="S82" s="1">
        <v>2165864</v>
      </c>
      <c r="T82" s="1">
        <v>3164160</v>
      </c>
      <c r="U82" s="1">
        <v>87.55</v>
      </c>
    </row>
    <row r="83" spans="1:21" x14ac:dyDescent="0.3">
      <c r="B83" t="s">
        <v>1535</v>
      </c>
      <c r="C83" t="s">
        <v>441</v>
      </c>
      <c r="D83">
        <v>439</v>
      </c>
      <c r="E83" t="s">
        <v>484</v>
      </c>
      <c r="F83" s="1">
        <v>160</v>
      </c>
      <c r="G83" s="1">
        <v>1568043</v>
      </c>
      <c r="H83" s="1">
        <v>0</v>
      </c>
      <c r="I83" s="1">
        <v>0</v>
      </c>
      <c r="J83" s="1">
        <v>1254435</v>
      </c>
      <c r="K83" s="1">
        <v>0</v>
      </c>
      <c r="L83" s="1">
        <v>392011</v>
      </c>
      <c r="M83" s="1">
        <v>392011</v>
      </c>
      <c r="N83" s="1">
        <v>392011</v>
      </c>
      <c r="O83" s="1">
        <v>392011</v>
      </c>
      <c r="P83" s="1">
        <v>392011</v>
      </c>
      <c r="Q83" s="1">
        <v>392011</v>
      </c>
      <c r="R83" s="1">
        <v>392011</v>
      </c>
      <c r="S83" s="1">
        <v>5566555</v>
      </c>
      <c r="T83" s="1">
        <v>5562000</v>
      </c>
      <c r="U83" s="1">
        <v>164.8</v>
      </c>
    </row>
    <row r="84" spans="1:21" x14ac:dyDescent="0.3">
      <c r="B84" t="s">
        <v>1536</v>
      </c>
      <c r="C84" t="s">
        <v>441</v>
      </c>
      <c r="D84">
        <v>439</v>
      </c>
      <c r="E84" t="s">
        <v>484</v>
      </c>
      <c r="F84" s="1">
        <v>60</v>
      </c>
      <c r="G84" s="1">
        <v>50000</v>
      </c>
      <c r="H84" s="1">
        <v>50000</v>
      </c>
      <c r="I84" s="1">
        <v>50000</v>
      </c>
      <c r="J84" s="1">
        <v>50000</v>
      </c>
      <c r="K84" s="1">
        <v>50000</v>
      </c>
      <c r="L84" s="1">
        <v>50000</v>
      </c>
      <c r="M84" s="1">
        <v>50000</v>
      </c>
      <c r="N84" s="1">
        <v>50000</v>
      </c>
      <c r="O84" s="1">
        <v>50000</v>
      </c>
      <c r="P84" s="1">
        <v>50000</v>
      </c>
      <c r="Q84" s="1">
        <v>50000</v>
      </c>
      <c r="R84" s="1">
        <v>50000</v>
      </c>
      <c r="S84" s="1">
        <v>600000</v>
      </c>
      <c r="T84" s="1"/>
      <c r="U84" s="1"/>
    </row>
    <row r="85" spans="1:21" x14ac:dyDescent="0.3">
      <c r="B85" t="s">
        <v>1537</v>
      </c>
      <c r="C85" t="s">
        <v>441</v>
      </c>
      <c r="D85">
        <v>439</v>
      </c>
      <c r="E85" t="s">
        <v>484</v>
      </c>
      <c r="F85" s="1">
        <v>160</v>
      </c>
      <c r="G85" s="1">
        <v>0</v>
      </c>
      <c r="H85" s="1">
        <v>0</v>
      </c>
      <c r="I85" s="1">
        <v>80000</v>
      </c>
      <c r="J85" s="1">
        <v>80000</v>
      </c>
      <c r="K85" s="1">
        <v>80000</v>
      </c>
      <c r="L85" s="1">
        <v>80000</v>
      </c>
      <c r="M85" s="1">
        <v>80000</v>
      </c>
      <c r="N85" s="1">
        <v>80000</v>
      </c>
      <c r="O85" s="1">
        <v>80000</v>
      </c>
      <c r="P85" s="1">
        <v>80000</v>
      </c>
      <c r="Q85" s="1">
        <v>80000</v>
      </c>
      <c r="R85" s="1">
        <v>80000</v>
      </c>
      <c r="S85" s="1">
        <v>800000</v>
      </c>
      <c r="T85" s="1"/>
      <c r="U85" s="1"/>
    </row>
    <row r="86" spans="1:21" x14ac:dyDescent="0.3">
      <c r="B86" t="s">
        <v>1538</v>
      </c>
      <c r="C86" t="s">
        <v>441</v>
      </c>
      <c r="D86">
        <v>439</v>
      </c>
      <c r="E86" t="s">
        <v>484</v>
      </c>
      <c r="F86" s="1">
        <v>65</v>
      </c>
      <c r="G86" s="1">
        <v>54166.666666666672</v>
      </c>
      <c r="H86" s="1">
        <v>54166.666666666672</v>
      </c>
      <c r="I86" s="1">
        <v>54166.666666666672</v>
      </c>
      <c r="J86" s="1">
        <v>54166.666666666672</v>
      </c>
      <c r="K86" s="1">
        <v>54166.666666666672</v>
      </c>
      <c r="L86" s="1">
        <v>54166.666666666672</v>
      </c>
      <c r="M86" s="1">
        <v>54166.666666666672</v>
      </c>
      <c r="N86" s="1">
        <v>54166.666666666672</v>
      </c>
      <c r="O86" s="1">
        <v>54166.666666666672</v>
      </c>
      <c r="P86" s="1">
        <v>54166.666666666672</v>
      </c>
      <c r="Q86" s="1">
        <v>54166.666666666672</v>
      </c>
      <c r="R86" s="1">
        <v>54166.666666666672</v>
      </c>
      <c r="S86" s="1">
        <v>650000</v>
      </c>
      <c r="T86" s="1"/>
      <c r="U86" s="1"/>
    </row>
    <row r="87" spans="1:21" x14ac:dyDescent="0.3">
      <c r="B87" t="s">
        <v>1539</v>
      </c>
      <c r="C87" t="s">
        <v>441</v>
      </c>
      <c r="D87">
        <v>439</v>
      </c>
      <c r="E87" t="s">
        <v>484</v>
      </c>
      <c r="F87" s="1">
        <v>90</v>
      </c>
      <c r="G87" s="1">
        <v>0</v>
      </c>
      <c r="H87" s="1">
        <v>0</v>
      </c>
      <c r="I87" s="1">
        <v>45000</v>
      </c>
      <c r="J87" s="1">
        <v>45000</v>
      </c>
      <c r="K87" s="1">
        <v>45000</v>
      </c>
      <c r="L87" s="1">
        <v>45000</v>
      </c>
      <c r="M87" s="1">
        <v>45000</v>
      </c>
      <c r="N87" s="1">
        <v>45000</v>
      </c>
      <c r="O87" s="1">
        <v>45000</v>
      </c>
      <c r="P87" s="1">
        <v>45000</v>
      </c>
      <c r="Q87" s="1">
        <v>45000</v>
      </c>
      <c r="R87" s="1">
        <v>45000</v>
      </c>
      <c r="S87" s="1">
        <v>450000</v>
      </c>
      <c r="T87" s="1"/>
      <c r="U87" s="1"/>
    </row>
    <row r="88" spans="1:21" x14ac:dyDescent="0.3">
      <c r="B88" t="s">
        <v>1540</v>
      </c>
      <c r="C88" t="s">
        <v>441</v>
      </c>
      <c r="D88">
        <v>439</v>
      </c>
      <c r="E88" t="s">
        <v>484</v>
      </c>
      <c r="F88" s="1">
        <v>70</v>
      </c>
      <c r="G88" s="1">
        <v>116666.66666666669</v>
      </c>
      <c r="H88" s="1">
        <v>116666.66666666669</v>
      </c>
      <c r="I88" s="1">
        <v>116666.66666666669</v>
      </c>
      <c r="J88" s="1">
        <v>116666.66666666669</v>
      </c>
      <c r="K88" s="1">
        <v>116666.66666666669</v>
      </c>
      <c r="L88" s="1">
        <v>116666.66666666669</v>
      </c>
      <c r="M88" s="1">
        <v>116666.66666666669</v>
      </c>
      <c r="N88" s="1">
        <v>116666.66666666669</v>
      </c>
      <c r="O88" s="1">
        <v>116666.66666666669</v>
      </c>
      <c r="P88" s="1">
        <v>116666.66666666669</v>
      </c>
      <c r="Q88" s="1">
        <v>116666.66666666669</v>
      </c>
      <c r="R88" s="1">
        <v>116666.66666666669</v>
      </c>
      <c r="S88" s="1">
        <v>1400000.0000000002</v>
      </c>
      <c r="T88" s="1"/>
      <c r="U88" s="1"/>
    </row>
    <row r="89" spans="1:21" x14ac:dyDescent="0.3">
      <c r="B89" t="s">
        <v>1541</v>
      </c>
      <c r="C89" t="s">
        <v>441</v>
      </c>
      <c r="D89">
        <v>439</v>
      </c>
      <c r="E89" t="s">
        <v>484</v>
      </c>
      <c r="F89" s="1">
        <v>155</v>
      </c>
      <c r="G89" s="1">
        <v>64583.333333333336</v>
      </c>
      <c r="H89" s="1">
        <v>64583.333333333336</v>
      </c>
      <c r="I89" s="1">
        <v>64583.333333333336</v>
      </c>
      <c r="J89" s="1">
        <v>64583.333333333336</v>
      </c>
      <c r="K89" s="1">
        <v>64583.333333333336</v>
      </c>
      <c r="L89" s="1">
        <v>64583.333333333336</v>
      </c>
      <c r="M89" s="1">
        <v>64583.333333333336</v>
      </c>
      <c r="N89" s="1">
        <v>64583.333333333336</v>
      </c>
      <c r="O89" s="1">
        <v>64583.333333333336</v>
      </c>
      <c r="P89" s="1">
        <v>64583.333333333336</v>
      </c>
      <c r="Q89" s="1">
        <v>64583.333333333336</v>
      </c>
      <c r="R89" s="1">
        <v>64583.333333333336</v>
      </c>
      <c r="S89" s="1">
        <v>775000.00000000012</v>
      </c>
      <c r="T89" s="1"/>
      <c r="U89" s="1"/>
    </row>
    <row r="90" spans="1:21" x14ac:dyDescent="0.3">
      <c r="B90" t="s">
        <v>1542</v>
      </c>
      <c r="C90" t="s">
        <v>441</v>
      </c>
      <c r="D90">
        <v>439</v>
      </c>
      <c r="E90" t="s">
        <v>484</v>
      </c>
      <c r="F90" s="1">
        <v>40</v>
      </c>
      <c r="G90" s="1">
        <v>66666.666666666672</v>
      </c>
      <c r="H90" s="1">
        <v>66666.666666666672</v>
      </c>
      <c r="I90" s="1">
        <v>66666.666666666672</v>
      </c>
      <c r="J90" s="1">
        <v>66666.666666666672</v>
      </c>
      <c r="K90" s="1">
        <v>66666.666666666672</v>
      </c>
      <c r="L90" s="1">
        <v>66666.666666666672</v>
      </c>
      <c r="M90" s="1">
        <v>66666.666666666672</v>
      </c>
      <c r="N90" s="1">
        <v>66666.666666666672</v>
      </c>
      <c r="O90" s="1">
        <v>66666.666666666672</v>
      </c>
      <c r="P90" s="1">
        <v>66666.666666666672</v>
      </c>
      <c r="Q90" s="1">
        <v>66666.666666666672</v>
      </c>
      <c r="R90" s="1">
        <v>66666.666666666672</v>
      </c>
      <c r="S90" s="1">
        <v>799999.99999999988</v>
      </c>
      <c r="T90" s="1"/>
      <c r="U90" s="1"/>
    </row>
    <row r="91" spans="1:21" x14ac:dyDescent="0.3">
      <c r="B91" t="s">
        <v>1543</v>
      </c>
      <c r="C91" t="s">
        <v>441</v>
      </c>
      <c r="D91">
        <v>439</v>
      </c>
      <c r="E91" t="s">
        <v>484</v>
      </c>
      <c r="F91" s="1">
        <v>26.82</v>
      </c>
      <c r="G91" s="1">
        <v>33525</v>
      </c>
      <c r="H91" s="1">
        <v>33525</v>
      </c>
      <c r="I91" s="1">
        <v>33525</v>
      </c>
      <c r="J91" s="1">
        <v>33525</v>
      </c>
      <c r="K91" s="1">
        <v>33525</v>
      </c>
      <c r="L91" s="1">
        <v>33525</v>
      </c>
      <c r="M91" s="1">
        <v>33525</v>
      </c>
      <c r="N91" s="1">
        <v>33525</v>
      </c>
      <c r="O91" s="1">
        <v>33525</v>
      </c>
      <c r="P91" s="1">
        <v>33525</v>
      </c>
      <c r="Q91" s="1">
        <v>33525</v>
      </c>
      <c r="R91" s="1">
        <v>33525</v>
      </c>
      <c r="S91" s="1">
        <v>402300</v>
      </c>
      <c r="T91" s="1"/>
      <c r="U91" s="1"/>
    </row>
    <row r="92" spans="1:21" x14ac:dyDescent="0.3">
      <c r="B92" t="s">
        <v>1544</v>
      </c>
      <c r="C92" t="s">
        <v>441</v>
      </c>
      <c r="D92">
        <v>439</v>
      </c>
      <c r="E92" t="s">
        <v>484</v>
      </c>
      <c r="F92" s="1">
        <v>26.82</v>
      </c>
      <c r="G92" s="1">
        <v>33525</v>
      </c>
      <c r="H92" s="1">
        <v>33525</v>
      </c>
      <c r="I92" s="1">
        <v>33525</v>
      </c>
      <c r="J92" s="1">
        <v>33525</v>
      </c>
      <c r="K92" s="1">
        <v>33525</v>
      </c>
      <c r="L92" s="1">
        <v>33525</v>
      </c>
      <c r="M92" s="1">
        <v>33525</v>
      </c>
      <c r="N92" s="1">
        <v>33525</v>
      </c>
      <c r="O92" s="1">
        <v>33525</v>
      </c>
      <c r="P92" s="1">
        <v>33525</v>
      </c>
      <c r="Q92" s="1">
        <v>33525</v>
      </c>
      <c r="R92" s="1">
        <v>33525</v>
      </c>
      <c r="S92" s="1">
        <v>402300</v>
      </c>
      <c r="T92" s="1"/>
      <c r="U92" s="1"/>
    </row>
    <row r="93" spans="1:21" x14ac:dyDescent="0.3">
      <c r="B93" t="s">
        <v>1545</v>
      </c>
      <c r="C93" t="s">
        <v>441</v>
      </c>
      <c r="D93">
        <v>439</v>
      </c>
      <c r="E93" t="s">
        <v>484</v>
      </c>
      <c r="F93" s="1">
        <v>26.82</v>
      </c>
      <c r="G93" s="1">
        <v>33525</v>
      </c>
      <c r="H93" s="1">
        <v>33525</v>
      </c>
      <c r="I93" s="1">
        <v>33525</v>
      </c>
      <c r="J93" s="1">
        <v>33525</v>
      </c>
      <c r="K93" s="1">
        <v>33525</v>
      </c>
      <c r="L93" s="1">
        <v>33525</v>
      </c>
      <c r="M93" s="1">
        <v>33525</v>
      </c>
      <c r="N93" s="1">
        <v>33525</v>
      </c>
      <c r="O93" s="1">
        <v>33525</v>
      </c>
      <c r="P93" s="1">
        <v>33525</v>
      </c>
      <c r="Q93" s="1">
        <v>33525</v>
      </c>
      <c r="R93" s="1">
        <v>33525</v>
      </c>
      <c r="S93" s="1">
        <v>402300</v>
      </c>
      <c r="T93" s="1"/>
      <c r="U93" s="1"/>
    </row>
    <row r="94" spans="1:21" x14ac:dyDescent="0.3">
      <c r="B94" t="s">
        <v>1546</v>
      </c>
      <c r="C94" t="s">
        <v>441</v>
      </c>
      <c r="D94">
        <v>439</v>
      </c>
      <c r="E94" t="s">
        <v>484</v>
      </c>
      <c r="F94" s="1">
        <v>26.82</v>
      </c>
      <c r="G94" s="1">
        <v>22350</v>
      </c>
      <c r="H94" s="1">
        <v>22350</v>
      </c>
      <c r="I94" s="1">
        <v>22350</v>
      </c>
      <c r="J94" s="1">
        <v>22350</v>
      </c>
      <c r="K94" s="1">
        <v>22350</v>
      </c>
      <c r="L94" s="1">
        <v>22350</v>
      </c>
      <c r="M94" s="1">
        <v>22350</v>
      </c>
      <c r="N94" s="1">
        <v>22350</v>
      </c>
      <c r="O94" s="1">
        <v>22350</v>
      </c>
      <c r="P94" s="1">
        <v>22350</v>
      </c>
      <c r="Q94" s="1">
        <v>22350</v>
      </c>
      <c r="R94" s="1">
        <v>22350</v>
      </c>
      <c r="S94" s="1">
        <v>268200</v>
      </c>
      <c r="T94" s="1"/>
      <c r="U94" s="1"/>
    </row>
    <row r="95" spans="1:21" x14ac:dyDescent="0.3">
      <c r="B95" t="s">
        <v>1547</v>
      </c>
      <c r="C95" t="s">
        <v>441</v>
      </c>
      <c r="D95">
        <v>439</v>
      </c>
      <c r="E95" t="s">
        <v>484</v>
      </c>
      <c r="F95" s="1">
        <v>55</v>
      </c>
      <c r="G95" s="1">
        <v>22916.666666666668</v>
      </c>
      <c r="H95" s="1">
        <v>22916.666666666668</v>
      </c>
      <c r="I95" s="1">
        <v>22916.666666666668</v>
      </c>
      <c r="J95" s="1">
        <v>22916.666666666668</v>
      </c>
      <c r="K95" s="1">
        <v>22916.666666666668</v>
      </c>
      <c r="L95" s="1">
        <v>22916.666666666668</v>
      </c>
      <c r="M95" s="1">
        <v>22916.666666666668</v>
      </c>
      <c r="N95" s="1">
        <v>22916.666666666668</v>
      </c>
      <c r="O95" s="1">
        <v>22916.666666666668</v>
      </c>
      <c r="P95" s="1">
        <v>22916.666666666668</v>
      </c>
      <c r="Q95" s="1">
        <v>22916.666666666668</v>
      </c>
      <c r="R95" s="1">
        <v>22916.666666666668</v>
      </c>
      <c r="S95" s="1">
        <v>274999.99999999994</v>
      </c>
      <c r="T95" s="1"/>
      <c r="U95" s="1"/>
    </row>
    <row r="96" spans="1:21" x14ac:dyDescent="0.3">
      <c r="B96" t="s">
        <v>1548</v>
      </c>
      <c r="C96" t="s">
        <v>441</v>
      </c>
      <c r="D96">
        <v>439</v>
      </c>
      <c r="E96" t="s">
        <v>484</v>
      </c>
      <c r="F96" s="1">
        <v>80</v>
      </c>
      <c r="G96" s="1">
        <v>33333.333333333336</v>
      </c>
      <c r="H96" s="1">
        <v>33333.333333333336</v>
      </c>
      <c r="I96" s="1">
        <v>33333.333333333336</v>
      </c>
      <c r="J96" s="1">
        <v>33333.333333333336</v>
      </c>
      <c r="K96" s="1">
        <v>33333.333333333336</v>
      </c>
      <c r="L96" s="1">
        <v>33333.333333333336</v>
      </c>
      <c r="M96" s="1">
        <v>33333.333333333336</v>
      </c>
      <c r="N96" s="1">
        <v>33333.333333333336</v>
      </c>
      <c r="O96" s="1">
        <v>33333.333333333336</v>
      </c>
      <c r="P96" s="1">
        <v>33333.333333333336</v>
      </c>
      <c r="Q96" s="1">
        <v>33333.333333333336</v>
      </c>
      <c r="R96" s="1">
        <v>33333.333333333336</v>
      </c>
      <c r="S96" s="1">
        <v>399999.99999999994</v>
      </c>
      <c r="T96" s="1"/>
      <c r="U96" s="1"/>
    </row>
    <row r="97" spans="2:21" x14ac:dyDescent="0.3">
      <c r="B97" t="s">
        <v>1549</v>
      </c>
      <c r="C97" t="s">
        <v>441</v>
      </c>
      <c r="D97">
        <v>439</v>
      </c>
      <c r="E97" t="s">
        <v>484</v>
      </c>
      <c r="F97" s="1">
        <v>25</v>
      </c>
      <c r="G97" s="1">
        <v>52083.333333333336</v>
      </c>
      <c r="H97" s="1">
        <v>52083.333333333336</v>
      </c>
      <c r="I97" s="1">
        <v>52083.333333333336</v>
      </c>
      <c r="J97" s="1">
        <v>52083.333333333336</v>
      </c>
      <c r="K97" s="1">
        <v>52083.333333333336</v>
      </c>
      <c r="L97" s="1">
        <v>52083.333333333336</v>
      </c>
      <c r="M97" s="1">
        <v>52083.333333333336</v>
      </c>
      <c r="N97" s="1">
        <v>52083.333333333336</v>
      </c>
      <c r="O97" s="1">
        <v>52083.333333333336</v>
      </c>
      <c r="P97" s="1">
        <v>52083.333333333336</v>
      </c>
      <c r="Q97" s="1">
        <v>52083.333333333336</v>
      </c>
      <c r="R97" s="1">
        <v>52083.333333333336</v>
      </c>
      <c r="S97" s="1">
        <v>625000</v>
      </c>
      <c r="T97" s="1"/>
      <c r="U97" s="1"/>
    </row>
    <row r="98" spans="2:21" x14ac:dyDescent="0.3">
      <c r="B98" t="s">
        <v>1550</v>
      </c>
      <c r="C98" t="s">
        <v>441</v>
      </c>
      <c r="D98">
        <v>439</v>
      </c>
      <c r="E98" t="s">
        <v>484</v>
      </c>
      <c r="F98" s="1">
        <v>30</v>
      </c>
      <c r="G98" s="1">
        <v>62500.000000000007</v>
      </c>
      <c r="H98" s="1">
        <v>62500.000000000007</v>
      </c>
      <c r="I98" s="1">
        <v>62500.000000000007</v>
      </c>
      <c r="J98" s="1">
        <v>62500.000000000007</v>
      </c>
      <c r="K98" s="1">
        <v>62500.000000000007</v>
      </c>
      <c r="L98" s="1">
        <v>62500.000000000007</v>
      </c>
      <c r="M98" s="1">
        <v>62500.000000000007</v>
      </c>
      <c r="N98" s="1">
        <v>62500.000000000007</v>
      </c>
      <c r="O98" s="1">
        <v>62500.000000000007</v>
      </c>
      <c r="P98" s="1">
        <v>62500.000000000007</v>
      </c>
      <c r="Q98" s="1">
        <v>62500.000000000007</v>
      </c>
      <c r="R98" s="1">
        <v>62500.000000000007</v>
      </c>
      <c r="S98" s="1">
        <v>750000.00000000012</v>
      </c>
      <c r="T98" s="1"/>
      <c r="U98" s="1"/>
    </row>
    <row r="99" spans="2:21" x14ac:dyDescent="0.3">
      <c r="B99" t="s">
        <v>1551</v>
      </c>
      <c r="C99" t="s">
        <v>441</v>
      </c>
      <c r="D99">
        <v>439</v>
      </c>
      <c r="E99" t="s">
        <v>484</v>
      </c>
      <c r="F99" s="1">
        <v>25</v>
      </c>
      <c r="G99" s="1">
        <v>31250</v>
      </c>
      <c r="H99" s="1">
        <v>31250</v>
      </c>
      <c r="I99" s="1">
        <v>31250</v>
      </c>
      <c r="J99" s="1">
        <v>31250</v>
      </c>
      <c r="K99" s="1">
        <v>31250</v>
      </c>
      <c r="L99" s="1">
        <v>31250</v>
      </c>
      <c r="M99" s="1">
        <v>31250</v>
      </c>
      <c r="N99" s="1">
        <v>31250</v>
      </c>
      <c r="O99" s="1">
        <v>31250</v>
      </c>
      <c r="P99" s="1">
        <v>31250</v>
      </c>
      <c r="Q99" s="1">
        <v>31250</v>
      </c>
      <c r="R99" s="1">
        <v>31250</v>
      </c>
      <c r="S99" s="1">
        <v>375000</v>
      </c>
      <c r="T99" s="1"/>
      <c r="U99" s="1"/>
    </row>
    <row r="100" spans="2:21" x14ac:dyDescent="0.3">
      <c r="B100" t="s">
        <v>1552</v>
      </c>
      <c r="C100" t="s">
        <v>441</v>
      </c>
      <c r="D100">
        <v>439</v>
      </c>
      <c r="E100" t="s">
        <v>484</v>
      </c>
      <c r="F100" s="1">
        <v>25</v>
      </c>
      <c r="G100" s="1">
        <v>52083.333333333336</v>
      </c>
      <c r="H100" s="1">
        <v>52083.333333333336</v>
      </c>
      <c r="I100" s="1">
        <v>52083.333333333336</v>
      </c>
      <c r="J100" s="1">
        <v>52083.333333333336</v>
      </c>
      <c r="K100" s="1">
        <v>52083.333333333336</v>
      </c>
      <c r="L100" s="1">
        <v>52083.333333333336</v>
      </c>
      <c r="M100" s="1">
        <v>52083.333333333336</v>
      </c>
      <c r="N100" s="1">
        <v>52083.333333333336</v>
      </c>
      <c r="O100" s="1">
        <v>52083.333333333336</v>
      </c>
      <c r="P100" s="1">
        <v>52083.333333333336</v>
      </c>
      <c r="Q100" s="1">
        <v>52083.333333333336</v>
      </c>
      <c r="R100" s="1">
        <v>52083.333333333336</v>
      </c>
      <c r="S100" s="1">
        <v>625000</v>
      </c>
      <c r="T100" s="1"/>
      <c r="U100" s="1"/>
    </row>
    <row r="101" spans="2:21" x14ac:dyDescent="0.3">
      <c r="B101" t="s">
        <v>1553</v>
      </c>
      <c r="C101" t="s">
        <v>441</v>
      </c>
      <c r="D101">
        <v>439</v>
      </c>
      <c r="E101" t="s">
        <v>484</v>
      </c>
      <c r="F101" s="1">
        <v>25</v>
      </c>
      <c r="G101" s="1">
        <v>52083.333333333336</v>
      </c>
      <c r="H101" s="1">
        <v>52083.333333333336</v>
      </c>
      <c r="I101" s="1">
        <v>52083.333333333336</v>
      </c>
      <c r="J101" s="1">
        <v>52083.333333333336</v>
      </c>
      <c r="K101" s="1">
        <v>52083.333333333336</v>
      </c>
      <c r="L101" s="1">
        <v>52083.333333333336</v>
      </c>
      <c r="M101" s="1">
        <v>52083.333333333336</v>
      </c>
      <c r="N101" s="1">
        <v>52083.333333333336</v>
      </c>
      <c r="O101" s="1">
        <v>52083.333333333336</v>
      </c>
      <c r="P101" s="1">
        <v>52083.333333333336</v>
      </c>
      <c r="Q101" s="1">
        <v>52083.333333333336</v>
      </c>
      <c r="R101" s="1">
        <v>52083.333333333336</v>
      </c>
      <c r="S101" s="1">
        <v>625000</v>
      </c>
      <c r="T101" s="1"/>
      <c r="U101" s="1"/>
    </row>
    <row r="102" spans="2:21" x14ac:dyDescent="0.3">
      <c r="B102" t="s">
        <v>1554</v>
      </c>
      <c r="C102" t="s">
        <v>441</v>
      </c>
      <c r="D102">
        <v>439</v>
      </c>
      <c r="E102" t="s">
        <v>484</v>
      </c>
      <c r="F102" s="1">
        <v>25</v>
      </c>
      <c r="G102" s="1">
        <v>52083.333333333336</v>
      </c>
      <c r="H102" s="1">
        <v>52083.333333333336</v>
      </c>
      <c r="I102" s="1">
        <v>52083.333333333336</v>
      </c>
      <c r="J102" s="1">
        <v>52083.333333333336</v>
      </c>
      <c r="K102" s="1">
        <v>52083.333333333336</v>
      </c>
      <c r="L102" s="1">
        <v>52083.333333333336</v>
      </c>
      <c r="M102" s="1">
        <v>52083.333333333336</v>
      </c>
      <c r="N102" s="1">
        <v>52083.333333333336</v>
      </c>
      <c r="O102" s="1">
        <v>52083.333333333336</v>
      </c>
      <c r="P102" s="1">
        <v>52083.333333333336</v>
      </c>
      <c r="Q102" s="1">
        <v>52083.333333333336</v>
      </c>
      <c r="R102" s="1">
        <v>52083.333333333336</v>
      </c>
      <c r="S102" s="1">
        <v>625000</v>
      </c>
      <c r="T102" s="1"/>
      <c r="U102" s="1"/>
    </row>
    <row r="103" spans="2:21" x14ac:dyDescent="0.3">
      <c r="B103" t="s">
        <v>1555</v>
      </c>
      <c r="C103" t="s">
        <v>441</v>
      </c>
      <c r="D103">
        <v>439</v>
      </c>
      <c r="E103" t="s">
        <v>484</v>
      </c>
      <c r="F103" s="1">
        <v>25</v>
      </c>
      <c r="G103" s="1">
        <v>52083.333333333336</v>
      </c>
      <c r="H103" s="1">
        <v>52083.333333333336</v>
      </c>
      <c r="I103" s="1">
        <v>52083.333333333336</v>
      </c>
      <c r="J103" s="1">
        <v>52083.333333333336</v>
      </c>
      <c r="K103" s="1">
        <v>52083.333333333336</v>
      </c>
      <c r="L103" s="1">
        <v>52083.333333333336</v>
      </c>
      <c r="M103" s="1">
        <v>52083.333333333336</v>
      </c>
      <c r="N103" s="1">
        <v>52083.333333333336</v>
      </c>
      <c r="O103" s="1">
        <v>52083.333333333336</v>
      </c>
      <c r="P103" s="1">
        <v>52083.333333333336</v>
      </c>
      <c r="Q103" s="1">
        <v>52083.333333333336</v>
      </c>
      <c r="R103" s="1">
        <v>52083.333333333336</v>
      </c>
      <c r="S103" s="1">
        <v>625000</v>
      </c>
      <c r="T103" s="1"/>
      <c r="U103" s="1"/>
    </row>
    <row r="104" spans="2:21" x14ac:dyDescent="0.3">
      <c r="B104" t="s">
        <v>1556</v>
      </c>
      <c r="C104" t="s">
        <v>441</v>
      </c>
      <c r="D104">
        <v>439</v>
      </c>
      <c r="E104" t="s">
        <v>484</v>
      </c>
      <c r="F104" s="1">
        <v>150</v>
      </c>
      <c r="G104" s="1">
        <v>62500</v>
      </c>
      <c r="H104" s="1">
        <v>62500</v>
      </c>
      <c r="I104" s="1">
        <v>62500</v>
      </c>
      <c r="J104" s="1">
        <v>62500</v>
      </c>
      <c r="K104" s="1">
        <v>62500</v>
      </c>
      <c r="L104" s="1">
        <v>62500</v>
      </c>
      <c r="M104" s="1">
        <v>62500</v>
      </c>
      <c r="N104" s="1">
        <v>62500</v>
      </c>
      <c r="O104" s="1">
        <v>62500</v>
      </c>
      <c r="P104" s="1">
        <v>62500</v>
      </c>
      <c r="Q104" s="1">
        <v>62500</v>
      </c>
      <c r="R104" s="1">
        <v>62500</v>
      </c>
      <c r="S104" s="1">
        <v>750000</v>
      </c>
      <c r="T104" s="1"/>
      <c r="U104" s="1"/>
    </row>
    <row r="105" spans="2:21" x14ac:dyDescent="0.3">
      <c r="B105" t="s">
        <v>1557</v>
      </c>
      <c r="C105" t="s">
        <v>441</v>
      </c>
      <c r="D105">
        <v>439</v>
      </c>
      <c r="E105" t="s">
        <v>484</v>
      </c>
      <c r="F105" s="1">
        <v>25</v>
      </c>
      <c r="G105" s="1">
        <v>31250</v>
      </c>
      <c r="H105" s="1">
        <v>31250</v>
      </c>
      <c r="I105" s="1">
        <v>31250</v>
      </c>
      <c r="J105" s="1">
        <v>31250</v>
      </c>
      <c r="K105" s="1">
        <v>31250</v>
      </c>
      <c r="L105" s="1">
        <v>31250</v>
      </c>
      <c r="M105" s="1">
        <v>31250</v>
      </c>
      <c r="N105" s="1">
        <v>31250</v>
      </c>
      <c r="O105" s="1">
        <v>31250</v>
      </c>
      <c r="P105" s="1">
        <v>31250</v>
      </c>
      <c r="Q105" s="1">
        <v>31250</v>
      </c>
      <c r="R105" s="1">
        <v>31250</v>
      </c>
      <c r="S105" s="1">
        <v>375000</v>
      </c>
      <c r="T105" s="1"/>
      <c r="U105" s="1"/>
    </row>
    <row r="106" spans="2:21" x14ac:dyDescent="0.3">
      <c r="B106" t="s">
        <v>1558</v>
      </c>
      <c r="C106" t="s">
        <v>441</v>
      </c>
      <c r="D106">
        <v>439</v>
      </c>
      <c r="E106" t="s">
        <v>484</v>
      </c>
      <c r="F106" s="1">
        <v>50</v>
      </c>
      <c r="G106" s="1">
        <v>20833.333333333336</v>
      </c>
      <c r="H106" s="1">
        <v>20833.333333333336</v>
      </c>
      <c r="I106" s="1">
        <v>20833.333333333336</v>
      </c>
      <c r="J106" s="1">
        <v>20833.333333333336</v>
      </c>
      <c r="K106" s="1">
        <v>20833.333333333336</v>
      </c>
      <c r="L106" s="1">
        <v>20833.333333333336</v>
      </c>
      <c r="M106" s="1">
        <v>20833.333333333336</v>
      </c>
      <c r="N106" s="1">
        <v>20833.333333333336</v>
      </c>
      <c r="O106" s="1">
        <v>20833.333333333336</v>
      </c>
      <c r="P106" s="1">
        <v>20833.333333333336</v>
      </c>
      <c r="Q106" s="1">
        <v>20833.333333333336</v>
      </c>
      <c r="R106" s="1">
        <v>20833.333333333336</v>
      </c>
      <c r="S106" s="1">
        <v>250000.00000000009</v>
      </c>
      <c r="T106" s="1"/>
      <c r="U106" s="1"/>
    </row>
    <row r="107" spans="2:21" x14ac:dyDescent="0.3">
      <c r="B107" t="s">
        <v>1559</v>
      </c>
      <c r="C107" t="s">
        <v>441</v>
      </c>
      <c r="D107">
        <v>439</v>
      </c>
      <c r="E107" t="s">
        <v>484</v>
      </c>
      <c r="F107" s="1">
        <v>30</v>
      </c>
      <c r="G107" s="1">
        <v>18750</v>
      </c>
      <c r="H107" s="1">
        <v>18750</v>
      </c>
      <c r="I107" s="1">
        <v>18750</v>
      </c>
      <c r="J107" s="1">
        <v>18750</v>
      </c>
      <c r="K107" s="1">
        <v>18750</v>
      </c>
      <c r="L107" s="1">
        <v>18750</v>
      </c>
      <c r="M107" s="1">
        <v>18750</v>
      </c>
      <c r="N107" s="1">
        <v>18750</v>
      </c>
      <c r="O107" s="1">
        <v>18750</v>
      </c>
      <c r="P107" s="1">
        <v>18750</v>
      </c>
      <c r="Q107" s="1">
        <v>18750</v>
      </c>
      <c r="R107" s="1">
        <v>18750</v>
      </c>
      <c r="S107" s="1">
        <v>225000</v>
      </c>
      <c r="T107" s="1"/>
      <c r="U107" s="1"/>
    </row>
    <row r="108" spans="2:21" x14ac:dyDescent="0.3">
      <c r="B108" t="s">
        <v>1560</v>
      </c>
      <c r="C108" t="s">
        <v>441</v>
      </c>
      <c r="D108">
        <v>439</v>
      </c>
      <c r="E108" t="s">
        <v>484</v>
      </c>
      <c r="F108" s="1">
        <v>25</v>
      </c>
      <c r="G108" s="1">
        <v>20833.333333333336</v>
      </c>
      <c r="H108" s="1">
        <v>20833.333333333336</v>
      </c>
      <c r="I108" s="1">
        <v>20833.333333333336</v>
      </c>
      <c r="J108" s="1">
        <v>20833.333333333336</v>
      </c>
      <c r="K108" s="1">
        <v>20833.333333333336</v>
      </c>
      <c r="L108" s="1">
        <v>20833.333333333336</v>
      </c>
      <c r="M108" s="1">
        <v>20833.333333333336</v>
      </c>
      <c r="N108" s="1">
        <v>20833.333333333336</v>
      </c>
      <c r="O108" s="1">
        <v>20833.333333333336</v>
      </c>
      <c r="P108" s="1">
        <v>20833.333333333336</v>
      </c>
      <c r="Q108" s="1">
        <v>20833.333333333336</v>
      </c>
      <c r="R108" s="1">
        <v>20833.333333333336</v>
      </c>
      <c r="S108" s="1">
        <v>250000.00000000009</v>
      </c>
      <c r="T108" s="1"/>
      <c r="U108" s="1"/>
    </row>
    <row r="109" spans="2:21" x14ac:dyDescent="0.3">
      <c r="B109" t="s">
        <v>1561</v>
      </c>
      <c r="C109" t="s">
        <v>441</v>
      </c>
      <c r="D109">
        <v>439</v>
      </c>
      <c r="E109" t="s">
        <v>484</v>
      </c>
      <c r="F109" s="1">
        <v>30</v>
      </c>
      <c r="G109" s="1">
        <v>18750</v>
      </c>
      <c r="H109" s="1">
        <v>18750</v>
      </c>
      <c r="I109" s="1">
        <v>18750</v>
      </c>
      <c r="J109" s="1">
        <v>18750</v>
      </c>
      <c r="K109" s="1">
        <v>18750</v>
      </c>
      <c r="L109" s="1">
        <v>18750</v>
      </c>
      <c r="M109" s="1">
        <v>18750</v>
      </c>
      <c r="N109" s="1">
        <v>18750</v>
      </c>
      <c r="O109" s="1">
        <v>18750</v>
      </c>
      <c r="P109" s="1">
        <v>18750</v>
      </c>
      <c r="Q109" s="1">
        <v>18750</v>
      </c>
      <c r="R109" s="1">
        <v>18750</v>
      </c>
      <c r="S109" s="1">
        <v>225000</v>
      </c>
      <c r="T109" s="1"/>
      <c r="U109" s="1"/>
    </row>
    <row r="110" spans="2:21" x14ac:dyDescent="0.3">
      <c r="B110" t="s">
        <v>1562</v>
      </c>
      <c r="C110" t="s">
        <v>441</v>
      </c>
      <c r="D110">
        <v>439</v>
      </c>
      <c r="E110" t="s">
        <v>484</v>
      </c>
      <c r="F110" s="1">
        <v>30</v>
      </c>
      <c r="G110" s="1">
        <v>12500</v>
      </c>
      <c r="H110" s="1">
        <v>12500</v>
      </c>
      <c r="I110" s="1">
        <v>12500</v>
      </c>
      <c r="J110" s="1">
        <v>12500</v>
      </c>
      <c r="K110" s="1">
        <v>12500</v>
      </c>
      <c r="L110" s="1">
        <v>12500</v>
      </c>
      <c r="M110" s="1">
        <v>12500</v>
      </c>
      <c r="N110" s="1">
        <v>12500</v>
      </c>
      <c r="O110" s="1">
        <v>12500</v>
      </c>
      <c r="P110" s="1">
        <v>12500</v>
      </c>
      <c r="Q110" s="1">
        <v>12500</v>
      </c>
      <c r="R110" s="1">
        <v>12500</v>
      </c>
      <c r="S110" s="1">
        <v>150000</v>
      </c>
      <c r="T110" s="1"/>
      <c r="U110" s="1"/>
    </row>
    <row r="111" spans="2:21" x14ac:dyDescent="0.3">
      <c r="B111" t="s">
        <v>1563</v>
      </c>
      <c r="C111" t="s">
        <v>441</v>
      </c>
      <c r="D111">
        <v>439</v>
      </c>
      <c r="E111" t="s">
        <v>484</v>
      </c>
      <c r="F111" s="1">
        <v>70</v>
      </c>
      <c r="G111" s="1">
        <v>0</v>
      </c>
      <c r="H111" s="1">
        <v>0</v>
      </c>
      <c r="I111" s="1">
        <v>17500</v>
      </c>
      <c r="J111" s="1">
        <v>17500</v>
      </c>
      <c r="K111" s="1">
        <v>17500</v>
      </c>
      <c r="L111" s="1">
        <v>17500</v>
      </c>
      <c r="M111" s="1">
        <v>17500</v>
      </c>
      <c r="N111" s="1">
        <v>17500</v>
      </c>
      <c r="O111" s="1">
        <v>17500</v>
      </c>
      <c r="P111" s="1">
        <v>17500</v>
      </c>
      <c r="Q111" s="1">
        <v>17500</v>
      </c>
      <c r="R111" s="1">
        <v>17500</v>
      </c>
      <c r="S111" s="1">
        <v>175000</v>
      </c>
      <c r="T111" s="1"/>
      <c r="U111" s="1"/>
    </row>
    <row r="112" spans="2:21" x14ac:dyDescent="0.3">
      <c r="B112" t="s">
        <v>1564</v>
      </c>
      <c r="C112" t="s">
        <v>441</v>
      </c>
      <c r="D112">
        <v>439</v>
      </c>
      <c r="E112" t="s">
        <v>484</v>
      </c>
      <c r="F112" s="1"/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/>
      <c r="U112" s="1"/>
    </row>
    <row r="113" spans="1:21" x14ac:dyDescent="0.3">
      <c r="B113" t="s">
        <v>1565</v>
      </c>
      <c r="C113" t="s">
        <v>441</v>
      </c>
      <c r="D113">
        <v>439</v>
      </c>
      <c r="E113" t="s">
        <v>484</v>
      </c>
      <c r="F113" s="1"/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/>
      <c r="U113" s="1"/>
    </row>
    <row r="114" spans="1:21" x14ac:dyDescent="0.3">
      <c r="B114" t="s">
        <v>490</v>
      </c>
      <c r="C114" t="s">
        <v>441</v>
      </c>
      <c r="E114" t="s">
        <v>484</v>
      </c>
      <c r="F114" s="1">
        <v>150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1545000</v>
      </c>
      <c r="U114" s="1">
        <v>154.5</v>
      </c>
    </row>
    <row r="115" spans="1:21" x14ac:dyDescent="0.3">
      <c r="A115" t="s">
        <v>1483</v>
      </c>
      <c r="B115" t="s">
        <v>491</v>
      </c>
      <c r="C115" t="s">
        <v>441</v>
      </c>
      <c r="E115" t="s">
        <v>491</v>
      </c>
      <c r="F115" s="1"/>
      <c r="G115" s="1">
        <v>4806704.6666666642</v>
      </c>
      <c r="H115" s="1">
        <v>5492723.6666666651</v>
      </c>
      <c r="I115" s="1">
        <v>5483318.6666666651</v>
      </c>
      <c r="J115" s="1">
        <v>4978606.6666666642</v>
      </c>
      <c r="K115" s="1">
        <v>4655196.6666666651</v>
      </c>
      <c r="L115" s="1">
        <v>6027234.6666666651</v>
      </c>
      <c r="M115" s="1">
        <v>5341215.6666666651</v>
      </c>
      <c r="N115" s="1">
        <v>4483692.666666666</v>
      </c>
      <c r="O115" s="1">
        <v>5047207.6666666642</v>
      </c>
      <c r="P115" s="1">
        <v>6884758.6666666651</v>
      </c>
      <c r="Q115" s="1">
        <v>6933759.6666666651</v>
      </c>
      <c r="R115" s="1">
        <v>4140682.666666667</v>
      </c>
      <c r="S115" s="1">
        <v>64275102</v>
      </c>
      <c r="T115" s="1">
        <v>65659780.799999997</v>
      </c>
      <c r="U115" s="1"/>
    </row>
    <row r="116" spans="1:21" x14ac:dyDescent="0.3">
      <c r="A116" t="s">
        <v>1483</v>
      </c>
      <c r="B116" t="s">
        <v>492</v>
      </c>
      <c r="C116" t="s">
        <v>441</v>
      </c>
      <c r="E116" t="s">
        <v>492</v>
      </c>
      <c r="F116" s="1"/>
      <c r="G116" s="1">
        <v>13029434.333333332</v>
      </c>
      <c r="H116" s="1">
        <v>8313595.333333333</v>
      </c>
      <c r="I116" s="1">
        <v>7259284.333333333</v>
      </c>
      <c r="J116" s="61">
        <v>7351017.9999999981</v>
      </c>
      <c r="K116" s="1">
        <v>7077286.9999999991</v>
      </c>
      <c r="L116" s="1">
        <v>9906528</v>
      </c>
      <c r="M116" s="1">
        <v>9649887</v>
      </c>
      <c r="N116" s="1">
        <v>9163831</v>
      </c>
      <c r="O116" s="1">
        <v>11527127.999999998</v>
      </c>
      <c r="P116" s="1">
        <v>12736503.999999998</v>
      </c>
      <c r="Q116" s="1">
        <v>14383097.999999998</v>
      </c>
      <c r="R116" s="1">
        <v>12797887.000000002</v>
      </c>
      <c r="S116" s="1">
        <v>123195482</v>
      </c>
      <c r="T116" s="1">
        <v>140515915.25629002</v>
      </c>
      <c r="U116" s="1"/>
    </row>
  </sheetData>
  <pageMargins left="0.7" right="0.7" top="0.75" bottom="0.75" header="0.3" footer="0.3"/>
  <headerFooter>
    <oddHeader>&amp;R&amp;"Calibri"&amp;10&amp;K000000 Confidencial&amp;1#_x000D_</oddHeader>
  </headerFooter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A2DB-684E-4457-A1C8-ACC65A0822CD}">
  <sheetPr codeName="Sheet3"/>
  <dimension ref="B1:BF64"/>
  <sheetViews>
    <sheetView zoomScale="96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B7" sqref="B7"/>
    </sheetView>
  </sheetViews>
  <sheetFormatPr baseColWidth="10" defaultColWidth="8.88671875" defaultRowHeight="14.4" x14ac:dyDescent="0.3"/>
  <cols>
    <col min="2" max="2" width="29.5546875" bestFit="1" customWidth="1"/>
    <col min="3" max="3" width="29.5546875" customWidth="1"/>
    <col min="4" max="4" width="9.88671875" style="1" bestFit="1" customWidth="1"/>
    <col min="5" max="5" width="10.44140625" bestFit="1" customWidth="1"/>
    <col min="6" max="6" width="13.88671875" style="1" bestFit="1" customWidth="1"/>
    <col min="7" max="7" width="9.88671875" style="1" customWidth="1"/>
    <col min="8" max="19" width="0" hidden="1" customWidth="1"/>
  </cols>
  <sheetData>
    <row r="1" spans="2:58" x14ac:dyDescent="0.3">
      <c r="B1" t="s">
        <v>995</v>
      </c>
    </row>
    <row r="3" spans="2:58" x14ac:dyDescent="0.3">
      <c r="H3">
        <v>1</v>
      </c>
      <c r="I3">
        <v>2</v>
      </c>
      <c r="J3">
        <v>3</v>
      </c>
      <c r="K3">
        <v>4</v>
      </c>
      <c r="L3">
        <v>5</v>
      </c>
      <c r="M3">
        <v>6</v>
      </c>
      <c r="N3">
        <v>7</v>
      </c>
      <c r="O3">
        <v>8</v>
      </c>
      <c r="P3">
        <v>9</v>
      </c>
      <c r="Q3">
        <v>10</v>
      </c>
      <c r="R3">
        <v>11</v>
      </c>
      <c r="S3">
        <v>12</v>
      </c>
      <c r="T3">
        <v>1</v>
      </c>
      <c r="U3">
        <v>2</v>
      </c>
      <c r="V3">
        <v>3</v>
      </c>
      <c r="W3">
        <v>4</v>
      </c>
      <c r="X3">
        <v>5</v>
      </c>
      <c r="Y3">
        <v>6</v>
      </c>
      <c r="Z3">
        <v>7</v>
      </c>
      <c r="AA3">
        <v>8</v>
      </c>
      <c r="AB3">
        <v>9</v>
      </c>
      <c r="AC3">
        <v>10</v>
      </c>
      <c r="AD3">
        <v>11</v>
      </c>
      <c r="AE3">
        <v>12</v>
      </c>
      <c r="AF3" t="s">
        <v>1824</v>
      </c>
      <c r="AG3">
        <v>1</v>
      </c>
      <c r="AH3">
        <v>2</v>
      </c>
      <c r="AI3">
        <v>3</v>
      </c>
      <c r="AJ3">
        <v>4</v>
      </c>
      <c r="AK3">
        <v>5</v>
      </c>
      <c r="AL3">
        <v>6</v>
      </c>
      <c r="AM3">
        <v>7</v>
      </c>
      <c r="AN3">
        <v>8</v>
      </c>
      <c r="AO3">
        <v>9</v>
      </c>
      <c r="AP3">
        <v>10</v>
      </c>
      <c r="AQ3">
        <v>11</v>
      </c>
      <c r="AR3">
        <v>12</v>
      </c>
      <c r="AS3" t="s">
        <v>1824</v>
      </c>
      <c r="AT3">
        <v>1</v>
      </c>
      <c r="AU3">
        <v>2</v>
      </c>
      <c r="AV3">
        <v>3</v>
      </c>
      <c r="AW3">
        <v>4</v>
      </c>
      <c r="AX3">
        <v>5</v>
      </c>
      <c r="AY3">
        <v>6</v>
      </c>
      <c r="AZ3">
        <v>7</v>
      </c>
      <c r="BA3">
        <v>8</v>
      </c>
      <c r="BB3">
        <v>9</v>
      </c>
      <c r="BC3">
        <v>10</v>
      </c>
      <c r="BD3">
        <v>11</v>
      </c>
      <c r="BE3">
        <v>12</v>
      </c>
      <c r="BF3" t="s">
        <v>1824</v>
      </c>
    </row>
    <row r="4" spans="2:58" hidden="1" x14ac:dyDescent="0.3">
      <c r="H4">
        <v>1</v>
      </c>
      <c r="I4">
        <v>1</v>
      </c>
      <c r="J4">
        <v>1</v>
      </c>
      <c r="K4">
        <v>2</v>
      </c>
      <c r="L4">
        <v>2</v>
      </c>
      <c r="M4">
        <v>2</v>
      </c>
      <c r="N4">
        <v>3</v>
      </c>
      <c r="O4">
        <v>3</v>
      </c>
      <c r="P4">
        <v>3</v>
      </c>
      <c r="Q4">
        <v>4</v>
      </c>
      <c r="R4">
        <v>4</v>
      </c>
      <c r="S4">
        <v>4</v>
      </c>
      <c r="T4">
        <v>1</v>
      </c>
      <c r="U4">
        <v>1</v>
      </c>
      <c r="V4">
        <v>1</v>
      </c>
      <c r="W4">
        <v>2</v>
      </c>
      <c r="X4">
        <v>2</v>
      </c>
      <c r="Y4">
        <v>2</v>
      </c>
      <c r="Z4">
        <v>3</v>
      </c>
      <c r="AA4">
        <v>3</v>
      </c>
      <c r="AB4">
        <v>3</v>
      </c>
      <c r="AC4">
        <v>4</v>
      </c>
      <c r="AD4">
        <v>4</v>
      </c>
      <c r="AE4">
        <v>4</v>
      </c>
    </row>
    <row r="5" spans="2:58" x14ac:dyDescent="0.3">
      <c r="C5" t="s">
        <v>918</v>
      </c>
      <c r="D5" s="1" t="s">
        <v>932</v>
      </c>
      <c r="E5" t="s">
        <v>914</v>
      </c>
      <c r="F5" s="1" t="s">
        <v>940</v>
      </c>
      <c r="H5">
        <v>2024</v>
      </c>
      <c r="I5">
        <v>2024</v>
      </c>
      <c r="J5">
        <v>2024</v>
      </c>
      <c r="K5">
        <v>2024</v>
      </c>
      <c r="L5">
        <v>2024</v>
      </c>
      <c r="M5">
        <v>2024</v>
      </c>
      <c r="N5">
        <v>2024</v>
      </c>
      <c r="O5">
        <v>2024</v>
      </c>
      <c r="P5">
        <v>2024</v>
      </c>
      <c r="Q5">
        <v>2024</v>
      </c>
      <c r="R5">
        <v>2024</v>
      </c>
      <c r="S5">
        <v>2024</v>
      </c>
      <c r="T5">
        <v>2025</v>
      </c>
      <c r="U5">
        <v>2025</v>
      </c>
      <c r="V5">
        <v>2025</v>
      </c>
      <c r="W5">
        <v>2025</v>
      </c>
      <c r="X5">
        <v>2025</v>
      </c>
      <c r="Y5">
        <v>2025</v>
      </c>
      <c r="Z5">
        <v>2025</v>
      </c>
      <c r="AA5">
        <v>2025</v>
      </c>
      <c r="AB5">
        <v>2025</v>
      </c>
      <c r="AC5">
        <v>2025</v>
      </c>
      <c r="AD5">
        <v>2025</v>
      </c>
      <c r="AE5">
        <v>2025</v>
      </c>
      <c r="AF5">
        <v>2025</v>
      </c>
      <c r="AG5">
        <v>2026</v>
      </c>
      <c r="AH5">
        <v>2026</v>
      </c>
      <c r="AI5">
        <v>2026</v>
      </c>
      <c r="AJ5">
        <v>2026</v>
      </c>
      <c r="AK5">
        <v>2026</v>
      </c>
      <c r="AL5">
        <v>2026</v>
      </c>
      <c r="AM5">
        <v>2026</v>
      </c>
      <c r="AN5">
        <v>2026</v>
      </c>
      <c r="AO5">
        <v>2026</v>
      </c>
      <c r="AP5">
        <v>2026</v>
      </c>
      <c r="AQ5">
        <v>2026</v>
      </c>
      <c r="AR5">
        <v>2026</v>
      </c>
      <c r="AS5">
        <v>2026</v>
      </c>
      <c r="AT5">
        <v>2027</v>
      </c>
      <c r="AU5">
        <v>2027</v>
      </c>
      <c r="AV5">
        <v>2027</v>
      </c>
      <c r="AW5">
        <v>2027</v>
      </c>
      <c r="AX5">
        <v>2027</v>
      </c>
      <c r="AY5">
        <v>2027</v>
      </c>
      <c r="AZ5">
        <v>2027</v>
      </c>
      <c r="BA5">
        <v>2027</v>
      </c>
      <c r="BB5">
        <v>2027</v>
      </c>
      <c r="BC5">
        <v>2027</v>
      </c>
      <c r="BD5">
        <v>2027</v>
      </c>
      <c r="BE5">
        <v>2027</v>
      </c>
      <c r="BF5">
        <v>2026</v>
      </c>
    </row>
    <row r="6" spans="2:58" x14ac:dyDescent="0.3">
      <c r="B6" s="4" t="s">
        <v>943</v>
      </c>
      <c r="C6" s="4"/>
    </row>
    <row r="7" spans="2:58" x14ac:dyDescent="0.3">
      <c r="B7" t="s">
        <v>919</v>
      </c>
      <c r="C7" t="s">
        <v>997</v>
      </c>
      <c r="D7" s="10">
        <f>31500+421000</f>
        <v>452500</v>
      </c>
      <c r="E7">
        <v>12</v>
      </c>
      <c r="F7" s="13">
        <f>IFERROR($D7*($E7/12),"")</f>
        <v>452500</v>
      </c>
      <c r="G7" s="12"/>
      <c r="T7" s="13">
        <f t="shared" ref="T7:AJ23" si="0">IFERROR($D7*($E7/12),"")</f>
        <v>452500</v>
      </c>
      <c r="U7" s="13">
        <f t="shared" si="0"/>
        <v>452500</v>
      </c>
      <c r="V7" s="13">
        <f t="shared" si="0"/>
        <v>452500</v>
      </c>
      <c r="W7" s="13">
        <f t="shared" si="0"/>
        <v>452500</v>
      </c>
      <c r="X7" s="13">
        <f t="shared" si="0"/>
        <v>452500</v>
      </c>
      <c r="Y7" s="13">
        <f t="shared" si="0"/>
        <v>452500</v>
      </c>
      <c r="Z7" s="13">
        <f t="shared" si="0"/>
        <v>452500</v>
      </c>
      <c r="AA7" s="13">
        <f t="shared" si="0"/>
        <v>452500</v>
      </c>
      <c r="AB7" s="13">
        <f t="shared" si="0"/>
        <v>452500</v>
      </c>
      <c r="AC7" s="13">
        <f t="shared" si="0"/>
        <v>452500</v>
      </c>
      <c r="AD7" s="13">
        <f t="shared" si="0"/>
        <v>452500</v>
      </c>
      <c r="AE7" s="13">
        <f t="shared" si="0"/>
        <v>452500</v>
      </c>
      <c r="AF7" s="13">
        <f>SUM(T7:AE7)</f>
        <v>5430000</v>
      </c>
      <c r="AG7" s="13">
        <f t="shared" si="0"/>
        <v>452500</v>
      </c>
      <c r="AH7" s="13">
        <f t="shared" si="0"/>
        <v>452500</v>
      </c>
      <c r="AI7" s="13">
        <f t="shared" si="0"/>
        <v>452500</v>
      </c>
      <c r="AJ7" s="13">
        <f t="shared" si="0"/>
        <v>452500</v>
      </c>
      <c r="AK7" s="13">
        <f>IFERROR(($D7*($E7/12))*1.07,"")</f>
        <v>484175</v>
      </c>
      <c r="AL7" s="13">
        <f>IFERROR(($D7*($E7/12))*1.07,"")</f>
        <v>484175</v>
      </c>
      <c r="AM7" s="13">
        <f t="shared" ref="AM7:AW7" si="1">IFERROR(($D7*($E7/12))*1.07,"")</f>
        <v>484175</v>
      </c>
      <c r="AN7" s="13">
        <f t="shared" si="1"/>
        <v>484175</v>
      </c>
      <c r="AO7" s="13">
        <f t="shared" si="1"/>
        <v>484175</v>
      </c>
      <c r="AP7" s="13">
        <f t="shared" si="1"/>
        <v>484175</v>
      </c>
      <c r="AQ7" s="13">
        <f t="shared" si="1"/>
        <v>484175</v>
      </c>
      <c r="AR7" s="13">
        <f t="shared" si="1"/>
        <v>484175</v>
      </c>
      <c r="AS7" s="13">
        <f>SUM(AG7:AR7)</f>
        <v>5683400</v>
      </c>
      <c r="AT7" s="13">
        <f t="shared" si="1"/>
        <v>484175</v>
      </c>
      <c r="AU7" s="13">
        <f t="shared" si="1"/>
        <v>484175</v>
      </c>
      <c r="AV7" s="13">
        <f t="shared" si="1"/>
        <v>484175</v>
      </c>
      <c r="AW7" s="13">
        <f t="shared" si="1"/>
        <v>484175</v>
      </c>
      <c r="AX7" s="293">
        <f>AW7*1.07</f>
        <v>518067.25000000006</v>
      </c>
      <c r="AY7" s="293">
        <f>AX7</f>
        <v>518067.25000000006</v>
      </c>
      <c r="AZ7" s="293">
        <f t="shared" ref="AZ7:BE7" si="2">AY7</f>
        <v>518067.25000000006</v>
      </c>
      <c r="BA7" s="293">
        <f t="shared" si="2"/>
        <v>518067.25000000006</v>
      </c>
      <c r="BB7" s="293">
        <f t="shared" si="2"/>
        <v>518067.25000000006</v>
      </c>
      <c r="BC7" s="293">
        <f t="shared" si="2"/>
        <v>518067.25000000006</v>
      </c>
      <c r="BD7" s="293">
        <f t="shared" si="2"/>
        <v>518067.25000000006</v>
      </c>
      <c r="BE7" s="293">
        <f t="shared" si="2"/>
        <v>518067.25000000006</v>
      </c>
      <c r="BF7" s="13">
        <f>SUM(AT7:BE7)</f>
        <v>6081238</v>
      </c>
    </row>
    <row r="8" spans="2:58" x14ac:dyDescent="0.3">
      <c r="B8" t="s">
        <v>950</v>
      </c>
      <c r="C8" t="s">
        <v>997</v>
      </c>
      <c r="D8" s="10">
        <v>14900</v>
      </c>
      <c r="E8">
        <v>12</v>
      </c>
      <c r="F8" s="13">
        <f t="shared" ref="F8:F62" si="3">IFERROR($D8*($E8/12),"")</f>
        <v>14900</v>
      </c>
      <c r="G8" s="12"/>
      <c r="T8" s="13">
        <f t="shared" si="0"/>
        <v>14900</v>
      </c>
      <c r="U8" s="13">
        <f t="shared" si="0"/>
        <v>14900</v>
      </c>
      <c r="V8" s="13">
        <f t="shared" si="0"/>
        <v>14900</v>
      </c>
      <c r="W8" s="13">
        <f t="shared" si="0"/>
        <v>14900</v>
      </c>
      <c r="X8" s="13">
        <f t="shared" si="0"/>
        <v>14900</v>
      </c>
      <c r="Y8" s="13">
        <f t="shared" si="0"/>
        <v>14900</v>
      </c>
      <c r="Z8" s="13">
        <f t="shared" si="0"/>
        <v>14900</v>
      </c>
      <c r="AA8" s="13">
        <f t="shared" si="0"/>
        <v>14900</v>
      </c>
      <c r="AB8" s="13">
        <f t="shared" si="0"/>
        <v>14900</v>
      </c>
      <c r="AC8" s="13">
        <f t="shared" si="0"/>
        <v>14900</v>
      </c>
      <c r="AD8" s="13">
        <f t="shared" si="0"/>
        <v>14900</v>
      </c>
      <c r="AE8" s="13">
        <f t="shared" si="0"/>
        <v>14900</v>
      </c>
      <c r="AF8" s="13">
        <f t="shared" ref="AF8:AF62" si="4">SUM(T8:AE8)</f>
        <v>178800</v>
      </c>
      <c r="AG8" s="13">
        <f>AE8*1.07</f>
        <v>15943.000000000002</v>
      </c>
      <c r="AH8" s="13">
        <f>AG8</f>
        <v>15943.000000000002</v>
      </c>
      <c r="AI8" s="13">
        <f t="shared" ref="AI8:AR8" si="5">AH8</f>
        <v>15943.000000000002</v>
      </c>
      <c r="AJ8" s="13">
        <f t="shared" si="5"/>
        <v>15943.000000000002</v>
      </c>
      <c r="AK8" s="13">
        <f t="shared" si="5"/>
        <v>15943.000000000002</v>
      </c>
      <c r="AL8" s="13">
        <f t="shared" si="5"/>
        <v>15943.000000000002</v>
      </c>
      <c r="AM8" s="13">
        <f t="shared" si="5"/>
        <v>15943.000000000002</v>
      </c>
      <c r="AN8" s="13">
        <f t="shared" si="5"/>
        <v>15943.000000000002</v>
      </c>
      <c r="AO8" s="13">
        <f t="shared" si="5"/>
        <v>15943.000000000002</v>
      </c>
      <c r="AP8" s="13">
        <f t="shared" si="5"/>
        <v>15943.000000000002</v>
      </c>
      <c r="AQ8" s="13">
        <f t="shared" si="5"/>
        <v>15943.000000000002</v>
      </c>
      <c r="AR8" s="13">
        <f t="shared" si="5"/>
        <v>15943.000000000002</v>
      </c>
      <c r="AS8" s="13">
        <f t="shared" ref="AS8:AS62" si="6">SUM(AG8:AR8)</f>
        <v>191316.00000000003</v>
      </c>
      <c r="AT8" s="293">
        <f>AR8*1.07</f>
        <v>17059.010000000002</v>
      </c>
      <c r="AU8" s="294">
        <f>AT8</f>
        <v>17059.010000000002</v>
      </c>
      <c r="AV8" s="294">
        <f t="shared" ref="AV8:BE8" si="7">AU8</f>
        <v>17059.010000000002</v>
      </c>
      <c r="AW8" s="294">
        <f t="shared" si="7"/>
        <v>17059.010000000002</v>
      </c>
      <c r="AX8" s="294">
        <f t="shared" si="7"/>
        <v>17059.010000000002</v>
      </c>
      <c r="AY8" s="294">
        <f t="shared" si="7"/>
        <v>17059.010000000002</v>
      </c>
      <c r="AZ8" s="294">
        <f t="shared" si="7"/>
        <v>17059.010000000002</v>
      </c>
      <c r="BA8" s="294">
        <f t="shared" si="7"/>
        <v>17059.010000000002</v>
      </c>
      <c r="BB8" s="294">
        <f t="shared" si="7"/>
        <v>17059.010000000002</v>
      </c>
      <c r="BC8" s="294">
        <f t="shared" si="7"/>
        <v>17059.010000000002</v>
      </c>
      <c r="BD8" s="294">
        <f t="shared" si="7"/>
        <v>17059.010000000002</v>
      </c>
      <c r="BE8" s="294">
        <f t="shared" si="7"/>
        <v>17059.010000000002</v>
      </c>
      <c r="BF8" s="13">
        <f t="shared" ref="BF8:BF62" si="8">SUM(AT8:BE8)</f>
        <v>204708.12000000008</v>
      </c>
    </row>
    <row r="9" spans="2:58" x14ac:dyDescent="0.3">
      <c r="B9" t="s">
        <v>938</v>
      </c>
      <c r="C9" t="s">
        <v>997</v>
      </c>
      <c r="D9" s="10">
        <v>74400</v>
      </c>
      <c r="E9">
        <v>12</v>
      </c>
      <c r="F9" s="13">
        <f t="shared" si="3"/>
        <v>74400</v>
      </c>
      <c r="G9" s="12"/>
      <c r="T9" s="13">
        <f t="shared" si="0"/>
        <v>74400</v>
      </c>
      <c r="U9" s="13">
        <f t="shared" si="0"/>
        <v>74400</v>
      </c>
      <c r="V9" s="13">
        <f t="shared" si="0"/>
        <v>74400</v>
      </c>
      <c r="W9" s="13">
        <f t="shared" si="0"/>
        <v>74400</v>
      </c>
      <c r="X9" s="13">
        <f t="shared" si="0"/>
        <v>74400</v>
      </c>
      <c r="Y9" s="13">
        <f t="shared" si="0"/>
        <v>74400</v>
      </c>
      <c r="Z9" s="13">
        <f t="shared" si="0"/>
        <v>74400</v>
      </c>
      <c r="AA9" s="13">
        <f t="shared" si="0"/>
        <v>74400</v>
      </c>
      <c r="AB9" s="13">
        <f t="shared" si="0"/>
        <v>74400</v>
      </c>
      <c r="AC9" s="13">
        <f t="shared" si="0"/>
        <v>74400</v>
      </c>
      <c r="AD9" s="13">
        <f t="shared" si="0"/>
        <v>74400</v>
      </c>
      <c r="AE9" s="13">
        <f t="shared" si="0"/>
        <v>74400</v>
      </c>
      <c r="AF9" s="13">
        <f t="shared" si="4"/>
        <v>892800</v>
      </c>
      <c r="AG9" s="13">
        <f>AE9*1.1</f>
        <v>81840</v>
      </c>
      <c r="AH9" s="13">
        <f>AG9</f>
        <v>81840</v>
      </c>
      <c r="AI9" s="13">
        <f t="shared" ref="AI9:AR9" si="9">AH9</f>
        <v>81840</v>
      </c>
      <c r="AJ9" s="13">
        <f t="shared" si="9"/>
        <v>81840</v>
      </c>
      <c r="AK9" s="13">
        <f t="shared" si="9"/>
        <v>81840</v>
      </c>
      <c r="AL9" s="13">
        <f>AK9*1.15</f>
        <v>94116</v>
      </c>
      <c r="AM9" s="13">
        <f t="shared" si="9"/>
        <v>94116</v>
      </c>
      <c r="AN9" s="13">
        <f t="shared" si="9"/>
        <v>94116</v>
      </c>
      <c r="AO9" s="13">
        <f>AK9</f>
        <v>81840</v>
      </c>
      <c r="AP9" s="13">
        <f t="shared" si="9"/>
        <v>81840</v>
      </c>
      <c r="AQ9" s="13">
        <f t="shared" si="9"/>
        <v>81840</v>
      </c>
      <c r="AR9" s="13">
        <f t="shared" si="9"/>
        <v>81840</v>
      </c>
      <c r="AS9" s="13">
        <f t="shared" si="6"/>
        <v>1018908</v>
      </c>
      <c r="AT9">
        <f>AR9*1.1</f>
        <v>90024</v>
      </c>
      <c r="AU9">
        <f>AT9</f>
        <v>90024</v>
      </c>
      <c r="AV9">
        <f t="shared" ref="AV9:BE9" si="10">AU9</f>
        <v>90024</v>
      </c>
      <c r="AW9">
        <f t="shared" si="10"/>
        <v>90024</v>
      </c>
      <c r="AX9">
        <f t="shared" si="10"/>
        <v>90024</v>
      </c>
      <c r="AY9">
        <f>AX9*1.15</f>
        <v>103527.59999999999</v>
      </c>
      <c r="AZ9">
        <f t="shared" si="10"/>
        <v>103527.59999999999</v>
      </c>
      <c r="BA9">
        <f t="shared" si="10"/>
        <v>103527.59999999999</v>
      </c>
      <c r="BB9">
        <f>AX9</f>
        <v>90024</v>
      </c>
      <c r="BC9">
        <f t="shared" si="10"/>
        <v>90024</v>
      </c>
      <c r="BD9">
        <f t="shared" si="10"/>
        <v>90024</v>
      </c>
      <c r="BE9">
        <f t="shared" si="10"/>
        <v>90024</v>
      </c>
      <c r="BF9" s="13">
        <f t="shared" si="8"/>
        <v>1120798.7999999998</v>
      </c>
    </row>
    <row r="10" spans="2:58" x14ac:dyDescent="0.3">
      <c r="B10" t="s">
        <v>941</v>
      </c>
      <c r="C10" t="s">
        <v>997</v>
      </c>
      <c r="D10" s="10">
        <f>11600/1.16</f>
        <v>10000</v>
      </c>
      <c r="E10">
        <v>12</v>
      </c>
      <c r="F10" s="13">
        <f t="shared" si="3"/>
        <v>10000</v>
      </c>
      <c r="G10" s="12"/>
      <c r="T10" s="13">
        <f t="shared" si="0"/>
        <v>10000</v>
      </c>
      <c r="U10" s="13">
        <f t="shared" si="0"/>
        <v>10000</v>
      </c>
      <c r="V10" s="13">
        <f t="shared" si="0"/>
        <v>10000</v>
      </c>
      <c r="W10" s="13">
        <f t="shared" si="0"/>
        <v>10000</v>
      </c>
      <c r="X10" s="13">
        <f t="shared" si="0"/>
        <v>10000</v>
      </c>
      <c r="Y10" s="13">
        <f t="shared" si="0"/>
        <v>10000</v>
      </c>
      <c r="Z10" s="13">
        <f t="shared" si="0"/>
        <v>10000</v>
      </c>
      <c r="AA10" s="13">
        <f t="shared" si="0"/>
        <v>10000</v>
      </c>
      <c r="AB10" s="13">
        <f t="shared" si="0"/>
        <v>10000</v>
      </c>
      <c r="AC10" s="13">
        <f t="shared" si="0"/>
        <v>10000</v>
      </c>
      <c r="AD10" s="13">
        <f t="shared" si="0"/>
        <v>10000</v>
      </c>
      <c r="AE10" s="13">
        <f t="shared" si="0"/>
        <v>10000</v>
      </c>
      <c r="AF10" s="13">
        <f t="shared" si="4"/>
        <v>120000</v>
      </c>
      <c r="AG10" s="13">
        <f t="shared" ref="AG10:AR12" si="11">IFERROR($D10*($E10/12),"")</f>
        <v>10000</v>
      </c>
      <c r="AH10" s="13">
        <f t="shared" si="11"/>
        <v>10000</v>
      </c>
      <c r="AI10" s="13">
        <f t="shared" si="11"/>
        <v>10000</v>
      </c>
      <c r="AJ10" s="13">
        <f t="shared" si="11"/>
        <v>10000</v>
      </c>
      <c r="AK10" s="13">
        <f t="shared" si="11"/>
        <v>10000</v>
      </c>
      <c r="AL10" s="13">
        <f t="shared" si="11"/>
        <v>10000</v>
      </c>
      <c r="AM10" s="13">
        <f t="shared" si="11"/>
        <v>10000</v>
      </c>
      <c r="AN10" s="13">
        <f t="shared" si="11"/>
        <v>10000</v>
      </c>
      <c r="AO10" s="13">
        <f t="shared" si="11"/>
        <v>10000</v>
      </c>
      <c r="AP10" s="13">
        <f t="shared" si="11"/>
        <v>10000</v>
      </c>
      <c r="AQ10" s="13">
        <f t="shared" si="11"/>
        <v>10000</v>
      </c>
      <c r="AR10" s="13">
        <f t="shared" si="11"/>
        <v>10000</v>
      </c>
      <c r="AS10" s="13">
        <f t="shared" si="6"/>
        <v>120000</v>
      </c>
      <c r="AT10" s="13">
        <f>IFERROR($D10*($E10/12),"")</f>
        <v>10000</v>
      </c>
      <c r="AU10" s="13">
        <f>IFERROR($D10*($E10/12),"")</f>
        <v>10000</v>
      </c>
      <c r="AV10" s="13">
        <f>IFERROR($D10*($E10/12),"")</f>
        <v>10000</v>
      </c>
      <c r="AW10" s="13">
        <f t="shared" ref="AW10:BE10" si="12">IFERROR($D10*($E10/12),"")</f>
        <v>10000</v>
      </c>
      <c r="AX10" s="13">
        <f t="shared" si="12"/>
        <v>10000</v>
      </c>
      <c r="AY10" s="13">
        <f t="shared" si="12"/>
        <v>10000</v>
      </c>
      <c r="AZ10" s="13">
        <f t="shared" si="12"/>
        <v>10000</v>
      </c>
      <c r="BA10" s="13">
        <f t="shared" si="12"/>
        <v>10000</v>
      </c>
      <c r="BB10" s="13">
        <f t="shared" si="12"/>
        <v>10000</v>
      </c>
      <c r="BC10" s="13">
        <f t="shared" si="12"/>
        <v>10000</v>
      </c>
      <c r="BD10" s="13">
        <f t="shared" si="12"/>
        <v>10000</v>
      </c>
      <c r="BE10" s="13">
        <f t="shared" si="12"/>
        <v>10000</v>
      </c>
      <c r="BF10" s="13">
        <f t="shared" si="8"/>
        <v>120000</v>
      </c>
    </row>
    <row r="11" spans="2:58" x14ac:dyDescent="0.3">
      <c r="F11" s="13">
        <f t="shared" si="3"/>
        <v>0</v>
      </c>
      <c r="G11" s="12"/>
      <c r="T11" s="13">
        <f t="shared" si="0"/>
        <v>0</v>
      </c>
      <c r="U11" s="13">
        <f t="shared" si="0"/>
        <v>0</v>
      </c>
      <c r="V11" s="13">
        <f t="shared" si="0"/>
        <v>0</v>
      </c>
      <c r="W11" s="13">
        <f t="shared" si="0"/>
        <v>0</v>
      </c>
      <c r="X11" s="13">
        <f t="shared" si="0"/>
        <v>0</v>
      </c>
      <c r="Y11" s="13">
        <f t="shared" si="0"/>
        <v>0</v>
      </c>
      <c r="Z11" s="13">
        <f t="shared" si="0"/>
        <v>0</v>
      </c>
      <c r="AA11" s="13">
        <f t="shared" si="0"/>
        <v>0</v>
      </c>
      <c r="AB11" s="13">
        <f t="shared" si="0"/>
        <v>0</v>
      </c>
      <c r="AC11" s="13">
        <f t="shared" si="0"/>
        <v>0</v>
      </c>
      <c r="AD11" s="13">
        <f t="shared" si="0"/>
        <v>0</v>
      </c>
      <c r="AE11" s="13">
        <f t="shared" si="0"/>
        <v>0</v>
      </c>
      <c r="AF11" s="13">
        <f t="shared" si="4"/>
        <v>0</v>
      </c>
      <c r="AG11" s="13">
        <f t="shared" si="11"/>
        <v>0</v>
      </c>
      <c r="AH11" s="13">
        <f t="shared" si="11"/>
        <v>0</v>
      </c>
      <c r="AI11" s="13">
        <f t="shared" si="11"/>
        <v>0</v>
      </c>
      <c r="AJ11" s="13">
        <f t="shared" si="11"/>
        <v>0</v>
      </c>
      <c r="AK11" s="13">
        <f t="shared" si="11"/>
        <v>0</v>
      </c>
      <c r="AL11" s="13">
        <f t="shared" si="11"/>
        <v>0</v>
      </c>
      <c r="AM11" s="13">
        <f t="shared" si="11"/>
        <v>0</v>
      </c>
      <c r="AN11" s="13">
        <f t="shared" si="11"/>
        <v>0</v>
      </c>
      <c r="AO11" s="13">
        <f t="shared" si="11"/>
        <v>0</v>
      </c>
      <c r="AP11" s="13">
        <f t="shared" si="11"/>
        <v>0</v>
      </c>
      <c r="AQ11" s="13">
        <f t="shared" si="11"/>
        <v>0</v>
      </c>
      <c r="AR11" s="13">
        <f t="shared" si="11"/>
        <v>0</v>
      </c>
      <c r="AS11" s="13">
        <f t="shared" si="6"/>
        <v>0</v>
      </c>
      <c r="BF11" s="13">
        <f t="shared" si="8"/>
        <v>0</v>
      </c>
    </row>
    <row r="12" spans="2:58" x14ac:dyDescent="0.3">
      <c r="B12" s="4" t="s">
        <v>944</v>
      </c>
      <c r="C12" s="4"/>
      <c r="D12" s="10"/>
      <c r="F12" s="13">
        <f t="shared" si="3"/>
        <v>0</v>
      </c>
      <c r="G12" s="12"/>
      <c r="T12" s="13">
        <f t="shared" si="0"/>
        <v>0</v>
      </c>
      <c r="U12" s="13">
        <f t="shared" si="0"/>
        <v>0</v>
      </c>
      <c r="V12" s="13">
        <f t="shared" si="0"/>
        <v>0</v>
      </c>
      <c r="W12" s="13">
        <f t="shared" si="0"/>
        <v>0</v>
      </c>
      <c r="X12" s="13">
        <f t="shared" si="0"/>
        <v>0</v>
      </c>
      <c r="Y12" s="13">
        <f t="shared" si="0"/>
        <v>0</v>
      </c>
      <c r="Z12" s="13">
        <f t="shared" si="0"/>
        <v>0</v>
      </c>
      <c r="AA12" s="13">
        <f t="shared" si="0"/>
        <v>0</v>
      </c>
      <c r="AB12" s="13">
        <f t="shared" si="0"/>
        <v>0</v>
      </c>
      <c r="AC12" s="13">
        <f t="shared" si="0"/>
        <v>0</v>
      </c>
      <c r="AD12" s="13">
        <f t="shared" si="0"/>
        <v>0</v>
      </c>
      <c r="AE12" s="13">
        <f t="shared" si="0"/>
        <v>0</v>
      </c>
      <c r="AF12" s="13">
        <f t="shared" si="4"/>
        <v>0</v>
      </c>
      <c r="AG12" s="13">
        <f t="shared" si="11"/>
        <v>0</v>
      </c>
      <c r="AH12" s="13">
        <f t="shared" si="11"/>
        <v>0</v>
      </c>
      <c r="AI12" s="13">
        <f t="shared" si="11"/>
        <v>0</v>
      </c>
      <c r="AJ12" s="13">
        <f t="shared" si="11"/>
        <v>0</v>
      </c>
      <c r="AK12" s="13">
        <f t="shared" si="11"/>
        <v>0</v>
      </c>
      <c r="AL12" s="13">
        <f t="shared" si="11"/>
        <v>0</v>
      </c>
      <c r="AM12" s="13">
        <f t="shared" si="11"/>
        <v>0</v>
      </c>
      <c r="AN12" s="13">
        <f t="shared" si="11"/>
        <v>0</v>
      </c>
      <c r="AO12" s="13">
        <f t="shared" si="11"/>
        <v>0</v>
      </c>
      <c r="AP12" s="13">
        <f t="shared" si="11"/>
        <v>0</v>
      </c>
      <c r="AQ12" s="13">
        <f t="shared" si="11"/>
        <v>0</v>
      </c>
      <c r="AR12" s="13">
        <f t="shared" si="11"/>
        <v>0</v>
      </c>
      <c r="AS12" s="13">
        <f t="shared" si="6"/>
        <v>0</v>
      </c>
      <c r="BF12" s="13">
        <f t="shared" si="8"/>
        <v>0</v>
      </c>
    </row>
    <row r="13" spans="2:58" x14ac:dyDescent="0.3">
      <c r="B13" t="s">
        <v>913</v>
      </c>
      <c r="C13" t="s">
        <v>944</v>
      </c>
      <c r="D13" s="10">
        <v>22000</v>
      </c>
      <c r="E13">
        <v>12</v>
      </c>
      <c r="F13" s="13">
        <f t="shared" si="3"/>
        <v>22000</v>
      </c>
      <c r="G13" s="12"/>
      <c r="T13" s="13">
        <f t="shared" si="0"/>
        <v>22000</v>
      </c>
      <c r="U13" s="13">
        <f t="shared" si="0"/>
        <v>22000</v>
      </c>
      <c r="V13" s="13">
        <f t="shared" si="0"/>
        <v>22000</v>
      </c>
      <c r="W13" s="13">
        <f t="shared" si="0"/>
        <v>22000</v>
      </c>
      <c r="X13" s="13">
        <f t="shared" si="0"/>
        <v>22000</v>
      </c>
      <c r="Y13" s="13">
        <f t="shared" si="0"/>
        <v>22000</v>
      </c>
      <c r="Z13" s="13">
        <f t="shared" si="0"/>
        <v>22000</v>
      </c>
      <c r="AA13" s="13">
        <f t="shared" si="0"/>
        <v>22000</v>
      </c>
      <c r="AB13" s="13">
        <f t="shared" si="0"/>
        <v>22000</v>
      </c>
      <c r="AC13" s="13">
        <f t="shared" si="0"/>
        <v>22000</v>
      </c>
      <c r="AD13" s="13">
        <f t="shared" si="0"/>
        <v>22000</v>
      </c>
      <c r="AE13" s="13">
        <f t="shared" si="0"/>
        <v>22000</v>
      </c>
      <c r="AF13" s="13">
        <f t="shared" si="4"/>
        <v>264000</v>
      </c>
      <c r="AG13" s="13">
        <f t="shared" ref="AG13:AK18" si="13">IFERROR($D13*($E13/12),"")</f>
        <v>22000</v>
      </c>
      <c r="AH13" s="13">
        <f t="shared" si="13"/>
        <v>22000</v>
      </c>
      <c r="AI13" s="13">
        <f t="shared" si="13"/>
        <v>22000</v>
      </c>
      <c r="AJ13" s="13">
        <f t="shared" si="13"/>
        <v>22000</v>
      </c>
      <c r="AK13" s="13">
        <f t="shared" si="13"/>
        <v>22000</v>
      </c>
      <c r="AL13" s="13"/>
      <c r="AM13" s="13"/>
      <c r="AN13" s="13"/>
      <c r="AO13" s="13"/>
      <c r="AP13" s="13"/>
      <c r="AQ13" s="13"/>
      <c r="AR13" s="13"/>
      <c r="AS13" s="13">
        <f t="shared" si="6"/>
        <v>110000</v>
      </c>
      <c r="BF13" s="13">
        <f t="shared" si="8"/>
        <v>0</v>
      </c>
    </row>
    <row r="14" spans="2:58" x14ac:dyDescent="0.3">
      <c r="B14" t="s">
        <v>939</v>
      </c>
      <c r="C14" t="s">
        <v>944</v>
      </c>
      <c r="D14" s="10">
        <v>66560</v>
      </c>
      <c r="E14">
        <v>6</v>
      </c>
      <c r="F14" s="13">
        <f t="shared" si="3"/>
        <v>33280</v>
      </c>
      <c r="G14" s="12"/>
      <c r="T14" s="13">
        <f t="shared" si="0"/>
        <v>33280</v>
      </c>
      <c r="U14" s="13">
        <f t="shared" si="0"/>
        <v>33280</v>
      </c>
      <c r="V14" s="13">
        <f t="shared" si="0"/>
        <v>33280</v>
      </c>
      <c r="W14" s="13">
        <f t="shared" si="0"/>
        <v>33280</v>
      </c>
      <c r="X14" s="13">
        <f t="shared" si="0"/>
        <v>33280</v>
      </c>
      <c r="Y14" s="13">
        <f t="shared" si="0"/>
        <v>33280</v>
      </c>
      <c r="Z14" s="13">
        <f t="shared" si="0"/>
        <v>33280</v>
      </c>
      <c r="AA14" s="13">
        <f t="shared" si="0"/>
        <v>33280</v>
      </c>
      <c r="AB14" s="13">
        <f t="shared" si="0"/>
        <v>33280</v>
      </c>
      <c r="AC14" s="13">
        <f t="shared" si="0"/>
        <v>33280</v>
      </c>
      <c r="AD14" s="13">
        <f t="shared" si="0"/>
        <v>33280</v>
      </c>
      <c r="AE14" s="13">
        <f t="shared" si="0"/>
        <v>33280</v>
      </c>
      <c r="AF14" s="13">
        <f t="shared" si="4"/>
        <v>399360</v>
      </c>
      <c r="AG14" s="13">
        <f t="shared" si="13"/>
        <v>33280</v>
      </c>
      <c r="AH14" s="13">
        <f t="shared" si="13"/>
        <v>33280</v>
      </c>
      <c r="AI14" s="13">
        <f t="shared" si="13"/>
        <v>33280</v>
      </c>
      <c r="AJ14" s="13">
        <f t="shared" si="13"/>
        <v>33280</v>
      </c>
      <c r="AK14" s="13">
        <f t="shared" si="13"/>
        <v>33280</v>
      </c>
      <c r="AL14" s="13"/>
      <c r="AM14" s="13"/>
      <c r="AN14" s="13"/>
      <c r="AO14" s="13"/>
      <c r="AP14" s="13"/>
      <c r="AQ14" s="13"/>
      <c r="AR14" s="13"/>
      <c r="AS14" s="13">
        <f t="shared" si="6"/>
        <v>166400</v>
      </c>
      <c r="BF14" s="13">
        <f>SUM(AT14:BE14)</f>
        <v>0</v>
      </c>
    </row>
    <row r="15" spans="2:58" x14ac:dyDescent="0.3">
      <c r="B15" t="s">
        <v>942</v>
      </c>
      <c r="C15" t="s">
        <v>944</v>
      </c>
      <c r="D15" s="10">
        <v>6465.5172413793107</v>
      </c>
      <c r="E15">
        <v>12</v>
      </c>
      <c r="F15" s="13">
        <f t="shared" si="3"/>
        <v>6465.5172413793107</v>
      </c>
      <c r="G15" s="12"/>
      <c r="T15" s="13">
        <f t="shared" si="0"/>
        <v>6465.5172413793107</v>
      </c>
      <c r="U15" s="13">
        <f t="shared" si="0"/>
        <v>6465.5172413793107</v>
      </c>
      <c r="V15" s="13">
        <f t="shared" si="0"/>
        <v>6465.5172413793107</v>
      </c>
      <c r="W15" s="13">
        <f t="shared" si="0"/>
        <v>6465.5172413793107</v>
      </c>
      <c r="X15" s="13">
        <f t="shared" si="0"/>
        <v>6465.5172413793107</v>
      </c>
      <c r="Y15" s="13">
        <f t="shared" si="0"/>
        <v>6465.5172413793107</v>
      </c>
      <c r="Z15" s="13">
        <f t="shared" si="0"/>
        <v>6465.5172413793107</v>
      </c>
      <c r="AA15" s="13">
        <f t="shared" si="0"/>
        <v>6465.5172413793107</v>
      </c>
      <c r="AB15" s="13">
        <f t="shared" si="0"/>
        <v>6465.5172413793107</v>
      </c>
      <c r="AC15" s="13">
        <f t="shared" si="0"/>
        <v>6465.5172413793107</v>
      </c>
      <c r="AD15" s="13">
        <f t="shared" si="0"/>
        <v>6465.5172413793107</v>
      </c>
      <c r="AE15" s="13">
        <f t="shared" si="0"/>
        <v>6465.5172413793107</v>
      </c>
      <c r="AF15" s="13">
        <f t="shared" si="4"/>
        <v>77586.206896551725</v>
      </c>
      <c r="AG15" s="13">
        <f t="shared" si="13"/>
        <v>6465.5172413793107</v>
      </c>
      <c r="AH15" s="13">
        <f t="shared" si="13"/>
        <v>6465.5172413793107</v>
      </c>
      <c r="AI15" s="13">
        <f t="shared" si="13"/>
        <v>6465.5172413793107</v>
      </c>
      <c r="AJ15" s="13">
        <f t="shared" si="13"/>
        <v>6465.5172413793107</v>
      </c>
      <c r="AK15" s="13">
        <f t="shared" si="13"/>
        <v>6465.5172413793107</v>
      </c>
      <c r="AL15" s="13"/>
      <c r="AM15" s="13"/>
      <c r="AN15" s="13"/>
      <c r="AO15" s="13"/>
      <c r="AP15" s="13"/>
      <c r="AQ15" s="13"/>
      <c r="AR15" s="13"/>
      <c r="AS15" s="13">
        <f t="shared" si="6"/>
        <v>32327.586206896554</v>
      </c>
      <c r="BF15" s="13">
        <f t="shared" si="8"/>
        <v>0</v>
      </c>
    </row>
    <row r="16" spans="2:58" x14ac:dyDescent="0.3">
      <c r="B16" t="s">
        <v>1819</v>
      </c>
      <c r="C16" t="s">
        <v>944</v>
      </c>
      <c r="D16" s="10">
        <v>5000</v>
      </c>
      <c r="E16">
        <v>12</v>
      </c>
      <c r="F16" s="13">
        <f t="shared" si="3"/>
        <v>5000</v>
      </c>
      <c r="G16" s="12"/>
      <c r="T16" s="13">
        <f t="shared" si="0"/>
        <v>5000</v>
      </c>
      <c r="U16" s="13">
        <f t="shared" si="0"/>
        <v>5000</v>
      </c>
      <c r="V16" s="13">
        <f t="shared" si="0"/>
        <v>5000</v>
      </c>
      <c r="W16" s="13">
        <f t="shared" si="0"/>
        <v>5000</v>
      </c>
      <c r="X16" s="13">
        <f t="shared" si="0"/>
        <v>5000</v>
      </c>
      <c r="Y16" s="13">
        <f t="shared" si="0"/>
        <v>5000</v>
      </c>
      <c r="Z16" s="13">
        <f t="shared" si="0"/>
        <v>5000</v>
      </c>
      <c r="AA16" s="13">
        <f t="shared" si="0"/>
        <v>5000</v>
      </c>
      <c r="AB16" s="13">
        <f t="shared" si="0"/>
        <v>5000</v>
      </c>
      <c r="AC16" s="13">
        <f t="shared" si="0"/>
        <v>5000</v>
      </c>
      <c r="AD16" s="13">
        <f t="shared" si="0"/>
        <v>5000</v>
      </c>
      <c r="AE16" s="13">
        <f t="shared" si="0"/>
        <v>5000</v>
      </c>
      <c r="AF16" s="13">
        <f t="shared" si="4"/>
        <v>60000</v>
      </c>
      <c r="AG16" s="13">
        <f t="shared" si="13"/>
        <v>5000</v>
      </c>
      <c r="AH16" s="13">
        <f t="shared" si="13"/>
        <v>5000</v>
      </c>
      <c r="AI16" s="13">
        <f t="shared" si="13"/>
        <v>5000</v>
      </c>
      <c r="AJ16" s="13">
        <f t="shared" si="13"/>
        <v>5000</v>
      </c>
      <c r="AK16" s="13">
        <f t="shared" si="13"/>
        <v>5000</v>
      </c>
      <c r="AL16" s="13"/>
      <c r="AM16" s="13"/>
      <c r="AN16" s="13"/>
      <c r="AO16" s="13"/>
      <c r="AP16" s="13"/>
      <c r="AQ16" s="13"/>
      <c r="AR16" s="13"/>
      <c r="AS16" s="13">
        <f t="shared" si="6"/>
        <v>25000</v>
      </c>
      <c r="BF16" s="13">
        <f t="shared" si="8"/>
        <v>0</v>
      </c>
    </row>
    <row r="17" spans="2:58" x14ac:dyDescent="0.3">
      <c r="B17" t="s">
        <v>1820</v>
      </c>
      <c r="C17" t="s">
        <v>944</v>
      </c>
      <c r="D17" s="10">
        <v>10000</v>
      </c>
      <c r="E17">
        <v>12</v>
      </c>
      <c r="F17" s="13">
        <f t="shared" si="3"/>
        <v>10000</v>
      </c>
      <c r="G17" s="12"/>
      <c r="T17" s="13">
        <f t="shared" si="0"/>
        <v>10000</v>
      </c>
      <c r="U17" s="13">
        <f t="shared" si="0"/>
        <v>10000</v>
      </c>
      <c r="V17" s="13">
        <f t="shared" si="0"/>
        <v>10000</v>
      </c>
      <c r="W17" s="13">
        <f t="shared" si="0"/>
        <v>10000</v>
      </c>
      <c r="X17" s="13">
        <f t="shared" si="0"/>
        <v>10000</v>
      </c>
      <c r="Y17" s="13">
        <f t="shared" si="0"/>
        <v>10000</v>
      </c>
      <c r="Z17" s="13">
        <f t="shared" si="0"/>
        <v>10000</v>
      </c>
      <c r="AA17" s="13">
        <f t="shared" si="0"/>
        <v>10000</v>
      </c>
      <c r="AB17" s="13">
        <f t="shared" si="0"/>
        <v>10000</v>
      </c>
      <c r="AC17" s="13">
        <f t="shared" si="0"/>
        <v>10000</v>
      </c>
      <c r="AD17" s="13">
        <f t="shared" si="0"/>
        <v>10000</v>
      </c>
      <c r="AE17" s="13">
        <f t="shared" si="0"/>
        <v>10000</v>
      </c>
      <c r="AF17" s="13">
        <f t="shared" si="4"/>
        <v>120000</v>
      </c>
      <c r="AG17" s="13">
        <f t="shared" si="13"/>
        <v>10000</v>
      </c>
      <c r="AH17" s="13">
        <f t="shared" si="13"/>
        <v>10000</v>
      </c>
      <c r="AI17" s="13">
        <f t="shared" si="13"/>
        <v>10000</v>
      </c>
      <c r="AJ17" s="13">
        <f t="shared" si="13"/>
        <v>10000</v>
      </c>
      <c r="AK17" s="13">
        <f t="shared" si="13"/>
        <v>10000</v>
      </c>
      <c r="AL17" s="13"/>
      <c r="AM17" s="13"/>
      <c r="AN17" s="13"/>
      <c r="AO17" s="13"/>
      <c r="AP17" s="13"/>
      <c r="AQ17" s="13"/>
      <c r="AR17" s="13"/>
      <c r="AS17" s="13">
        <f t="shared" si="6"/>
        <v>50000</v>
      </c>
      <c r="BF17" s="13">
        <f t="shared" si="8"/>
        <v>0</v>
      </c>
    </row>
    <row r="18" spans="2:58" x14ac:dyDescent="0.3">
      <c r="B18" t="s">
        <v>915</v>
      </c>
      <c r="C18" t="s">
        <v>944</v>
      </c>
      <c r="D18" s="10">
        <v>905.17241379310349</v>
      </c>
      <c r="E18">
        <v>12</v>
      </c>
      <c r="F18" s="13">
        <f t="shared" si="3"/>
        <v>905.17241379310349</v>
      </c>
      <c r="G18" s="12"/>
      <c r="T18" s="13">
        <f t="shared" si="0"/>
        <v>905.17241379310349</v>
      </c>
      <c r="U18" s="13">
        <f t="shared" si="0"/>
        <v>905.17241379310349</v>
      </c>
      <c r="V18" s="13">
        <f t="shared" si="0"/>
        <v>905.17241379310349</v>
      </c>
      <c r="W18" s="13">
        <f t="shared" si="0"/>
        <v>905.17241379310349</v>
      </c>
      <c r="X18" s="13">
        <f t="shared" si="0"/>
        <v>905.17241379310349</v>
      </c>
      <c r="Y18" s="13">
        <f t="shared" si="0"/>
        <v>905.17241379310349</v>
      </c>
      <c r="Z18" s="13">
        <f t="shared" si="0"/>
        <v>905.17241379310349</v>
      </c>
      <c r="AA18" s="13">
        <f t="shared" si="0"/>
        <v>905.17241379310349</v>
      </c>
      <c r="AB18" s="13">
        <f t="shared" si="0"/>
        <v>905.17241379310349</v>
      </c>
      <c r="AC18" s="13">
        <f t="shared" si="0"/>
        <v>905.17241379310349</v>
      </c>
      <c r="AD18" s="13">
        <f t="shared" si="0"/>
        <v>905.17241379310349</v>
      </c>
      <c r="AE18" s="13">
        <f t="shared" si="0"/>
        <v>905.17241379310349</v>
      </c>
      <c r="AF18" s="13">
        <f t="shared" si="4"/>
        <v>10862.068965517241</v>
      </c>
      <c r="AG18" s="13">
        <f t="shared" si="13"/>
        <v>905.17241379310349</v>
      </c>
      <c r="AH18" s="13">
        <f t="shared" si="13"/>
        <v>905.17241379310349</v>
      </c>
      <c r="AI18" s="13">
        <f t="shared" si="13"/>
        <v>905.17241379310349</v>
      </c>
      <c r="AJ18" s="13">
        <f t="shared" si="13"/>
        <v>905.17241379310349</v>
      </c>
      <c r="AK18" s="13">
        <f t="shared" si="13"/>
        <v>905.17241379310349</v>
      </c>
      <c r="AL18" s="13"/>
      <c r="AM18" s="13"/>
      <c r="AN18" s="13"/>
      <c r="AO18" s="13"/>
      <c r="AP18" s="13"/>
      <c r="AQ18" s="13"/>
      <c r="AR18" s="13"/>
      <c r="AS18" s="13">
        <f t="shared" si="6"/>
        <v>4525.8620689655172</v>
      </c>
      <c r="BF18" s="13">
        <f t="shared" si="8"/>
        <v>0</v>
      </c>
    </row>
    <row r="19" spans="2:58" x14ac:dyDescent="0.3">
      <c r="D19" s="10"/>
      <c r="F19" s="13"/>
      <c r="G19" s="12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>
        <f t="shared" si="4"/>
        <v>0</v>
      </c>
      <c r="AS19" s="13">
        <f t="shared" si="6"/>
        <v>0</v>
      </c>
      <c r="BF19" s="13">
        <f t="shared" si="8"/>
        <v>0</v>
      </c>
    </row>
    <row r="20" spans="2:58" x14ac:dyDescent="0.3">
      <c r="D20" s="10"/>
      <c r="F20" s="13"/>
      <c r="G20" s="12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>
        <f t="shared" si="4"/>
        <v>0</v>
      </c>
      <c r="AS20" s="13">
        <f t="shared" si="6"/>
        <v>0</v>
      </c>
      <c r="BF20" s="13">
        <f t="shared" si="8"/>
        <v>0</v>
      </c>
    </row>
    <row r="21" spans="2:58" x14ac:dyDescent="0.3">
      <c r="B21" s="4" t="s">
        <v>660</v>
      </c>
      <c r="C21" s="4"/>
      <c r="D21" s="10"/>
      <c r="F21" s="13"/>
      <c r="G21" s="12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>
        <f t="shared" si="4"/>
        <v>0</v>
      </c>
      <c r="AG21" s="13"/>
      <c r="AS21" s="13">
        <f t="shared" si="6"/>
        <v>0</v>
      </c>
      <c r="BF21" s="13">
        <f t="shared" si="8"/>
        <v>0</v>
      </c>
    </row>
    <row r="22" spans="2:58" x14ac:dyDescent="0.3">
      <c r="B22" t="s">
        <v>949</v>
      </c>
      <c r="C22" t="s">
        <v>660</v>
      </c>
      <c r="D22" s="10">
        <v>20000</v>
      </c>
      <c r="E22">
        <v>12</v>
      </c>
      <c r="F22" s="13">
        <f t="shared" si="3"/>
        <v>20000</v>
      </c>
      <c r="G22" s="12"/>
      <c r="T22" s="13">
        <f t="shared" si="0"/>
        <v>20000</v>
      </c>
      <c r="U22" s="13">
        <f t="shared" si="0"/>
        <v>20000</v>
      </c>
      <c r="V22" s="13">
        <f t="shared" si="0"/>
        <v>20000</v>
      </c>
      <c r="W22" s="13">
        <f t="shared" si="0"/>
        <v>20000</v>
      </c>
      <c r="X22" s="13">
        <f t="shared" si="0"/>
        <v>20000</v>
      </c>
      <c r="Y22" s="13">
        <f t="shared" si="0"/>
        <v>20000</v>
      </c>
      <c r="Z22" s="13">
        <f t="shared" si="0"/>
        <v>20000</v>
      </c>
      <c r="AA22" s="13">
        <f t="shared" si="0"/>
        <v>20000</v>
      </c>
      <c r="AB22" s="13">
        <f t="shared" si="0"/>
        <v>20000</v>
      </c>
      <c r="AC22" s="13">
        <f t="shared" si="0"/>
        <v>20000</v>
      </c>
      <c r="AD22" s="13">
        <f t="shared" si="0"/>
        <v>20000</v>
      </c>
      <c r="AE22" s="13">
        <f t="shared" si="0"/>
        <v>20000</v>
      </c>
      <c r="AF22" s="13">
        <f t="shared" si="4"/>
        <v>240000</v>
      </c>
      <c r="AG22" s="13">
        <f>AE22*1.5</f>
        <v>30000</v>
      </c>
      <c r="AH22" s="13">
        <f>AG22</f>
        <v>30000</v>
      </c>
      <c r="AI22" s="13">
        <f t="shared" ref="AI22:AR22" si="14">AH22</f>
        <v>30000</v>
      </c>
      <c r="AJ22" s="13">
        <f t="shared" si="14"/>
        <v>30000</v>
      </c>
      <c r="AK22" s="13">
        <f t="shared" si="14"/>
        <v>30000</v>
      </c>
      <c r="AL22" s="13">
        <f t="shared" si="14"/>
        <v>30000</v>
      </c>
      <c r="AM22" s="13">
        <f t="shared" si="14"/>
        <v>30000</v>
      </c>
      <c r="AN22" s="13">
        <f t="shared" si="14"/>
        <v>30000</v>
      </c>
      <c r="AO22" s="13">
        <f t="shared" si="14"/>
        <v>30000</v>
      </c>
      <c r="AP22" s="13">
        <f t="shared" si="14"/>
        <v>30000</v>
      </c>
      <c r="AQ22" s="13">
        <f t="shared" si="14"/>
        <v>30000</v>
      </c>
      <c r="AR22" s="13">
        <f t="shared" si="14"/>
        <v>30000</v>
      </c>
      <c r="AS22" s="13">
        <f t="shared" si="6"/>
        <v>360000</v>
      </c>
      <c r="AT22" s="293">
        <f>AR22*1.5</f>
        <v>45000</v>
      </c>
      <c r="AU22" s="293">
        <f>AT22</f>
        <v>45000</v>
      </c>
      <c r="AV22" s="293">
        <f t="shared" ref="AV22:BE22" si="15">AU22</f>
        <v>45000</v>
      </c>
      <c r="AW22" s="293">
        <f t="shared" si="15"/>
        <v>45000</v>
      </c>
      <c r="AX22" s="293">
        <f t="shared" si="15"/>
        <v>45000</v>
      </c>
      <c r="AY22" s="293">
        <f t="shared" si="15"/>
        <v>45000</v>
      </c>
      <c r="AZ22" s="293">
        <f t="shared" si="15"/>
        <v>45000</v>
      </c>
      <c r="BA22" s="293">
        <f t="shared" si="15"/>
        <v>45000</v>
      </c>
      <c r="BB22" s="293">
        <f t="shared" si="15"/>
        <v>45000</v>
      </c>
      <c r="BC22" s="293">
        <f t="shared" si="15"/>
        <v>45000</v>
      </c>
      <c r="BD22" s="293">
        <f t="shared" si="15"/>
        <v>45000</v>
      </c>
      <c r="BE22" s="293">
        <f t="shared" si="15"/>
        <v>45000</v>
      </c>
      <c r="BF22" s="13">
        <f t="shared" si="8"/>
        <v>540000</v>
      </c>
    </row>
    <row r="23" spans="2:58" x14ac:dyDescent="0.3">
      <c r="B23" t="s">
        <v>917</v>
      </c>
      <c r="C23" t="s">
        <v>660</v>
      </c>
      <c r="D23" s="10">
        <f>2000/1.16</f>
        <v>1724.1379310344828</v>
      </c>
      <c r="E23">
        <v>12</v>
      </c>
      <c r="F23" s="13">
        <f t="shared" si="3"/>
        <v>1724.1379310344828</v>
      </c>
      <c r="G23" s="12"/>
      <c r="T23" s="13">
        <f t="shared" si="0"/>
        <v>1724.1379310344828</v>
      </c>
      <c r="U23" s="13">
        <f t="shared" si="0"/>
        <v>1724.1379310344828</v>
      </c>
      <c r="V23" s="13">
        <f t="shared" si="0"/>
        <v>1724.1379310344828</v>
      </c>
      <c r="W23" s="13">
        <f t="shared" si="0"/>
        <v>1724.1379310344828</v>
      </c>
      <c r="X23" s="13">
        <f t="shared" si="0"/>
        <v>1724.1379310344828</v>
      </c>
      <c r="Y23" s="13">
        <f t="shared" si="0"/>
        <v>1724.1379310344828</v>
      </c>
      <c r="Z23" s="13">
        <f t="shared" si="0"/>
        <v>1724.1379310344828</v>
      </c>
      <c r="AA23" s="13">
        <f t="shared" si="0"/>
        <v>1724.1379310344828</v>
      </c>
      <c r="AB23" s="13">
        <f t="shared" si="0"/>
        <v>1724.1379310344828</v>
      </c>
      <c r="AC23" s="13">
        <f t="shared" si="0"/>
        <v>1724.1379310344828</v>
      </c>
      <c r="AD23" s="13">
        <f t="shared" si="0"/>
        <v>1724.1379310344828</v>
      </c>
      <c r="AE23" s="13">
        <f t="shared" si="0"/>
        <v>1724.1379310344828</v>
      </c>
      <c r="AF23" s="13">
        <f t="shared" si="4"/>
        <v>20689.655172413786</v>
      </c>
      <c r="AG23" s="13">
        <f>AE23*1.07</f>
        <v>1844.8275862068967</v>
      </c>
      <c r="AH23" s="13">
        <f>AG23</f>
        <v>1844.8275862068967</v>
      </c>
      <c r="AI23" s="13">
        <f t="shared" ref="AI23:AR23" si="16">AH23</f>
        <v>1844.8275862068967</v>
      </c>
      <c r="AJ23" s="13">
        <f t="shared" si="16"/>
        <v>1844.8275862068967</v>
      </c>
      <c r="AK23" s="13">
        <f t="shared" si="16"/>
        <v>1844.8275862068967</v>
      </c>
      <c r="AL23" s="13">
        <f t="shared" si="16"/>
        <v>1844.8275862068967</v>
      </c>
      <c r="AM23" s="13">
        <f t="shared" si="16"/>
        <v>1844.8275862068967</v>
      </c>
      <c r="AN23" s="13">
        <f t="shared" si="16"/>
        <v>1844.8275862068967</v>
      </c>
      <c r="AO23" s="13">
        <f t="shared" si="16"/>
        <v>1844.8275862068967</v>
      </c>
      <c r="AP23" s="13">
        <f t="shared" si="16"/>
        <v>1844.8275862068967</v>
      </c>
      <c r="AQ23" s="13">
        <f t="shared" si="16"/>
        <v>1844.8275862068967</v>
      </c>
      <c r="AR23" s="13">
        <f t="shared" si="16"/>
        <v>1844.8275862068967</v>
      </c>
      <c r="AS23" s="13">
        <f t="shared" si="6"/>
        <v>22137.931034482768</v>
      </c>
      <c r="AT23" s="293">
        <f>AR23*1.07</f>
        <v>1973.9655172413795</v>
      </c>
      <c r="AU23" s="293">
        <f>AT23</f>
        <v>1973.9655172413795</v>
      </c>
      <c r="AV23" s="293">
        <f t="shared" ref="AV23:BE23" si="17">AU23</f>
        <v>1973.9655172413795</v>
      </c>
      <c r="AW23" s="293">
        <f t="shared" si="17"/>
        <v>1973.9655172413795</v>
      </c>
      <c r="AX23" s="293">
        <f t="shared" si="17"/>
        <v>1973.9655172413795</v>
      </c>
      <c r="AY23" s="293">
        <f t="shared" si="17"/>
        <v>1973.9655172413795</v>
      </c>
      <c r="AZ23" s="293">
        <f t="shared" si="17"/>
        <v>1973.9655172413795</v>
      </c>
      <c r="BA23" s="293">
        <f t="shared" si="17"/>
        <v>1973.9655172413795</v>
      </c>
      <c r="BB23" s="293">
        <f t="shared" si="17"/>
        <v>1973.9655172413795</v>
      </c>
      <c r="BC23" s="293">
        <f t="shared" si="17"/>
        <v>1973.9655172413795</v>
      </c>
      <c r="BD23" s="293">
        <f t="shared" si="17"/>
        <v>1973.9655172413795</v>
      </c>
      <c r="BE23" s="293">
        <f t="shared" si="17"/>
        <v>1973.9655172413795</v>
      </c>
      <c r="BF23" s="13">
        <f t="shared" si="8"/>
        <v>23687.586206896562</v>
      </c>
    </row>
    <row r="24" spans="2:58" x14ac:dyDescent="0.3">
      <c r="B24" t="s">
        <v>928</v>
      </c>
      <c r="C24" t="s">
        <v>660</v>
      </c>
      <c r="D24" s="10"/>
      <c r="F24" s="13">
        <f t="shared" ref="F24:F34" si="18">IFERROR($D24*($E24/12),"")</f>
        <v>0</v>
      </c>
      <c r="G24" s="12"/>
      <c r="T24" s="13">
        <f t="shared" ref="T24:AG38" si="19">IFERROR($D24*($E24/12),"")</f>
        <v>0</v>
      </c>
      <c r="U24" s="13">
        <f t="shared" si="19"/>
        <v>0</v>
      </c>
      <c r="V24" s="13">
        <f t="shared" si="19"/>
        <v>0</v>
      </c>
      <c r="W24" s="13">
        <f t="shared" si="19"/>
        <v>0</v>
      </c>
      <c r="X24" s="13">
        <f t="shared" si="19"/>
        <v>0</v>
      </c>
      <c r="Y24" s="13">
        <v>60000</v>
      </c>
      <c r="Z24" s="13">
        <v>60000</v>
      </c>
      <c r="AA24" s="13">
        <v>60000</v>
      </c>
      <c r="AB24" s="13">
        <v>60000</v>
      </c>
      <c r="AC24" s="13">
        <v>60000</v>
      </c>
      <c r="AD24" s="13">
        <v>60000</v>
      </c>
      <c r="AE24" s="13">
        <v>60000</v>
      </c>
      <c r="AF24" s="13">
        <f t="shared" si="4"/>
        <v>420000</v>
      </c>
      <c r="AG24" s="13">
        <f>AE24*1.1</f>
        <v>66000</v>
      </c>
      <c r="AH24" s="13">
        <f>AG24</f>
        <v>66000</v>
      </c>
      <c r="AI24" s="13">
        <f t="shared" ref="AI24:AR24" si="20">AH24</f>
        <v>66000</v>
      </c>
      <c r="AJ24" s="13">
        <f t="shared" si="20"/>
        <v>66000</v>
      </c>
      <c r="AK24" s="13">
        <f t="shared" si="20"/>
        <v>66000</v>
      </c>
      <c r="AL24" s="13">
        <f t="shared" si="20"/>
        <v>66000</v>
      </c>
      <c r="AM24" s="13">
        <f t="shared" si="20"/>
        <v>66000</v>
      </c>
      <c r="AN24" s="13">
        <f t="shared" si="20"/>
        <v>66000</v>
      </c>
      <c r="AO24" s="13">
        <f t="shared" si="20"/>
        <v>66000</v>
      </c>
      <c r="AP24" s="13">
        <f t="shared" si="20"/>
        <v>66000</v>
      </c>
      <c r="AQ24" s="13">
        <f t="shared" si="20"/>
        <v>66000</v>
      </c>
      <c r="AR24" s="13">
        <f t="shared" si="20"/>
        <v>66000</v>
      </c>
      <c r="AS24" s="13">
        <f t="shared" si="6"/>
        <v>792000</v>
      </c>
      <c r="AT24" s="293">
        <f>AR24*1.1</f>
        <v>72600</v>
      </c>
      <c r="AU24" s="294">
        <f>AT24</f>
        <v>72600</v>
      </c>
      <c r="AV24" s="294">
        <f t="shared" ref="AV24:BE24" si="21">AU24</f>
        <v>72600</v>
      </c>
      <c r="AW24" s="294">
        <f t="shared" si="21"/>
        <v>72600</v>
      </c>
      <c r="AX24" s="294">
        <f t="shared" si="21"/>
        <v>72600</v>
      </c>
      <c r="AY24" s="294">
        <f t="shared" si="21"/>
        <v>72600</v>
      </c>
      <c r="AZ24" s="294">
        <f t="shared" si="21"/>
        <v>72600</v>
      </c>
      <c r="BA24" s="294">
        <f t="shared" si="21"/>
        <v>72600</v>
      </c>
      <c r="BB24" s="294">
        <f t="shared" si="21"/>
        <v>72600</v>
      </c>
      <c r="BC24" s="294">
        <f t="shared" si="21"/>
        <v>72600</v>
      </c>
      <c r="BD24" s="294">
        <f t="shared" si="21"/>
        <v>72600</v>
      </c>
      <c r="BE24" s="294">
        <f t="shared" si="21"/>
        <v>72600</v>
      </c>
      <c r="BF24" s="13">
        <f t="shared" si="8"/>
        <v>871200</v>
      </c>
    </row>
    <row r="25" spans="2:58" x14ac:dyDescent="0.3">
      <c r="B25" t="s">
        <v>931</v>
      </c>
      <c r="C25" t="s">
        <v>660</v>
      </c>
      <c r="D25" s="10"/>
      <c r="F25" s="13">
        <f t="shared" si="18"/>
        <v>0</v>
      </c>
      <c r="G25" s="12"/>
      <c r="T25" s="13">
        <f t="shared" si="19"/>
        <v>0</v>
      </c>
      <c r="U25" s="13">
        <f t="shared" si="19"/>
        <v>0</v>
      </c>
      <c r="V25" s="13">
        <f t="shared" si="19"/>
        <v>0</v>
      </c>
      <c r="W25" s="13">
        <f t="shared" si="19"/>
        <v>0</v>
      </c>
      <c r="X25" s="13">
        <f t="shared" si="19"/>
        <v>0</v>
      </c>
      <c r="Y25" s="13">
        <f t="shared" si="19"/>
        <v>0</v>
      </c>
      <c r="Z25" s="13">
        <f t="shared" si="19"/>
        <v>0</v>
      </c>
      <c r="AA25" s="13">
        <f t="shared" si="19"/>
        <v>0</v>
      </c>
      <c r="AB25" s="13">
        <f t="shared" si="19"/>
        <v>0</v>
      </c>
      <c r="AC25" s="13">
        <f t="shared" si="19"/>
        <v>0</v>
      </c>
      <c r="AD25" s="13">
        <f t="shared" si="19"/>
        <v>0</v>
      </c>
      <c r="AE25" s="13">
        <f t="shared" si="19"/>
        <v>0</v>
      </c>
      <c r="AF25" s="13">
        <f t="shared" si="4"/>
        <v>0</v>
      </c>
      <c r="AG25" s="13">
        <v>120000</v>
      </c>
      <c r="AH25" s="13">
        <v>120000</v>
      </c>
      <c r="AI25" s="13">
        <v>120000</v>
      </c>
      <c r="AJ25" s="13">
        <v>120000</v>
      </c>
      <c r="AK25" s="13">
        <v>120000</v>
      </c>
      <c r="AL25" s="13">
        <v>120000</v>
      </c>
      <c r="AM25" s="13">
        <v>120000</v>
      </c>
      <c r="AN25" s="13">
        <v>120000</v>
      </c>
      <c r="AO25" s="13">
        <v>120000</v>
      </c>
      <c r="AP25" s="13">
        <v>120000</v>
      </c>
      <c r="AQ25" s="13">
        <v>120000</v>
      </c>
      <c r="AR25" s="13">
        <v>120000</v>
      </c>
      <c r="AS25" s="13">
        <f t="shared" si="6"/>
        <v>1440000</v>
      </c>
      <c r="AT25" s="13">
        <v>120000</v>
      </c>
      <c r="AU25" s="13">
        <v>120000</v>
      </c>
      <c r="AV25" s="13">
        <v>120000</v>
      </c>
      <c r="AW25" s="13">
        <v>120000</v>
      </c>
      <c r="AX25" s="13">
        <v>120000</v>
      </c>
      <c r="AY25" s="13">
        <v>120000</v>
      </c>
      <c r="AZ25" s="13">
        <v>120000</v>
      </c>
      <c r="BA25" s="13">
        <v>120000</v>
      </c>
      <c r="BB25" s="13">
        <v>120000</v>
      </c>
      <c r="BC25" s="13">
        <v>120000</v>
      </c>
      <c r="BD25" s="13">
        <v>120000</v>
      </c>
      <c r="BE25" s="13">
        <v>120000</v>
      </c>
      <c r="BF25" s="13">
        <f t="shared" si="8"/>
        <v>1440000</v>
      </c>
    </row>
    <row r="26" spans="2:58" x14ac:dyDescent="0.3">
      <c r="B26" t="s">
        <v>929</v>
      </c>
      <c r="C26" t="s">
        <v>660</v>
      </c>
      <c r="D26" s="10">
        <f>2900/1.16</f>
        <v>2500</v>
      </c>
      <c r="E26">
        <v>12</v>
      </c>
      <c r="F26" s="13">
        <f t="shared" si="18"/>
        <v>2500</v>
      </c>
      <c r="G26" s="12"/>
      <c r="T26" s="13">
        <f t="shared" si="19"/>
        <v>2500</v>
      </c>
      <c r="U26" s="13">
        <f t="shared" si="19"/>
        <v>2500</v>
      </c>
      <c r="V26" s="13">
        <f t="shared" si="19"/>
        <v>2500</v>
      </c>
      <c r="W26" s="13">
        <f t="shared" si="19"/>
        <v>2500</v>
      </c>
      <c r="X26" s="13">
        <f t="shared" si="19"/>
        <v>2500</v>
      </c>
      <c r="Y26" s="13">
        <f t="shared" si="19"/>
        <v>2500</v>
      </c>
      <c r="Z26" s="13">
        <f t="shared" si="19"/>
        <v>2500</v>
      </c>
      <c r="AA26" s="13">
        <f t="shared" si="19"/>
        <v>2500</v>
      </c>
      <c r="AB26" s="13">
        <f t="shared" si="19"/>
        <v>2500</v>
      </c>
      <c r="AC26" s="13">
        <f t="shared" si="19"/>
        <v>2500</v>
      </c>
      <c r="AD26" s="13">
        <f t="shared" si="19"/>
        <v>2500</v>
      </c>
      <c r="AE26" s="13">
        <f t="shared" si="19"/>
        <v>2500</v>
      </c>
      <c r="AF26" s="13">
        <f t="shared" si="4"/>
        <v>30000</v>
      </c>
      <c r="AG26" s="13">
        <f t="shared" si="19"/>
        <v>2500</v>
      </c>
      <c r="AH26" s="13">
        <f t="shared" ref="AH26:AW34" si="22">IFERROR($D26*($E26/12),"")</f>
        <v>2500</v>
      </c>
      <c r="AI26" s="13">
        <f t="shared" si="22"/>
        <v>2500</v>
      </c>
      <c r="AJ26" s="13">
        <f t="shared" si="22"/>
        <v>2500</v>
      </c>
      <c r="AK26" s="13">
        <f t="shared" si="22"/>
        <v>2500</v>
      </c>
      <c r="AL26" s="13">
        <f t="shared" si="22"/>
        <v>2500</v>
      </c>
      <c r="AM26" s="13">
        <f t="shared" si="22"/>
        <v>2500</v>
      </c>
      <c r="AN26" s="13">
        <f t="shared" si="22"/>
        <v>2500</v>
      </c>
      <c r="AO26" s="13">
        <f t="shared" si="22"/>
        <v>2500</v>
      </c>
      <c r="AP26" s="13">
        <f t="shared" si="22"/>
        <v>2500</v>
      </c>
      <c r="AQ26" s="13">
        <f t="shared" si="22"/>
        <v>2500</v>
      </c>
      <c r="AR26" s="13">
        <f t="shared" si="22"/>
        <v>2500</v>
      </c>
      <c r="AS26" s="13">
        <f t="shared" si="6"/>
        <v>30000</v>
      </c>
      <c r="AT26" s="13">
        <f t="shared" si="22"/>
        <v>2500</v>
      </c>
      <c r="AU26" s="13">
        <f t="shared" si="22"/>
        <v>2500</v>
      </c>
      <c r="AV26" s="13">
        <f t="shared" si="22"/>
        <v>2500</v>
      </c>
      <c r="AW26" s="13">
        <f t="shared" si="22"/>
        <v>2500</v>
      </c>
      <c r="AX26" s="13">
        <f t="shared" ref="AT26:BE34" si="23">IFERROR($D26*($E26/12),"")</f>
        <v>2500</v>
      </c>
      <c r="AY26" s="13">
        <f t="shared" si="23"/>
        <v>2500</v>
      </c>
      <c r="AZ26" s="13">
        <f t="shared" si="23"/>
        <v>2500</v>
      </c>
      <c r="BA26" s="13">
        <f t="shared" si="23"/>
        <v>2500</v>
      </c>
      <c r="BB26" s="13">
        <f t="shared" si="23"/>
        <v>2500</v>
      </c>
      <c r="BC26" s="13">
        <f t="shared" si="23"/>
        <v>2500</v>
      </c>
      <c r="BD26" s="13">
        <f t="shared" si="23"/>
        <v>2500</v>
      </c>
      <c r="BE26" s="13">
        <f t="shared" si="23"/>
        <v>2500</v>
      </c>
      <c r="BF26" s="13">
        <f t="shared" si="8"/>
        <v>30000</v>
      </c>
    </row>
    <row r="27" spans="2:58" x14ac:dyDescent="0.3">
      <c r="B27" t="s">
        <v>930</v>
      </c>
      <c r="C27" t="s">
        <v>660</v>
      </c>
      <c r="D27" s="10">
        <f>750/1.16</f>
        <v>646.55172413793105</v>
      </c>
      <c r="E27">
        <v>12</v>
      </c>
      <c r="F27" s="13">
        <f t="shared" si="18"/>
        <v>646.55172413793105</v>
      </c>
      <c r="G27" s="12"/>
      <c r="T27" s="13">
        <f t="shared" si="19"/>
        <v>646.55172413793105</v>
      </c>
      <c r="U27" s="13">
        <f t="shared" si="19"/>
        <v>646.55172413793105</v>
      </c>
      <c r="V27" s="13">
        <f t="shared" si="19"/>
        <v>646.55172413793105</v>
      </c>
      <c r="W27" s="13">
        <f t="shared" si="19"/>
        <v>646.55172413793105</v>
      </c>
      <c r="X27" s="13">
        <f t="shared" si="19"/>
        <v>646.55172413793105</v>
      </c>
      <c r="Y27" s="13">
        <f t="shared" si="19"/>
        <v>646.55172413793105</v>
      </c>
      <c r="Z27" s="13">
        <f t="shared" si="19"/>
        <v>646.55172413793105</v>
      </c>
      <c r="AA27" s="13">
        <f t="shared" si="19"/>
        <v>646.55172413793105</v>
      </c>
      <c r="AB27" s="13">
        <f t="shared" si="19"/>
        <v>646.55172413793105</v>
      </c>
      <c r="AC27" s="13">
        <f t="shared" si="19"/>
        <v>646.55172413793105</v>
      </c>
      <c r="AD27" s="13">
        <f t="shared" si="19"/>
        <v>646.55172413793105</v>
      </c>
      <c r="AE27" s="13">
        <f t="shared" si="19"/>
        <v>646.55172413793105</v>
      </c>
      <c r="AF27" s="13">
        <f t="shared" si="4"/>
        <v>7758.620689655173</v>
      </c>
      <c r="AG27" s="13">
        <f t="shared" si="19"/>
        <v>646.55172413793105</v>
      </c>
      <c r="AH27" s="13">
        <f t="shared" si="22"/>
        <v>646.55172413793105</v>
      </c>
      <c r="AI27" s="13">
        <f t="shared" si="22"/>
        <v>646.55172413793105</v>
      </c>
      <c r="AJ27" s="13">
        <f t="shared" si="22"/>
        <v>646.55172413793105</v>
      </c>
      <c r="AK27" s="13">
        <f t="shared" si="22"/>
        <v>646.55172413793105</v>
      </c>
      <c r="AL27" s="13">
        <f t="shared" si="22"/>
        <v>646.55172413793105</v>
      </c>
      <c r="AM27" s="13">
        <f t="shared" si="22"/>
        <v>646.55172413793105</v>
      </c>
      <c r="AN27" s="13">
        <f t="shared" si="22"/>
        <v>646.55172413793105</v>
      </c>
      <c r="AO27" s="13">
        <f t="shared" si="22"/>
        <v>646.55172413793105</v>
      </c>
      <c r="AP27" s="13">
        <f t="shared" si="22"/>
        <v>646.55172413793105</v>
      </c>
      <c r="AQ27" s="13">
        <f t="shared" si="22"/>
        <v>646.55172413793105</v>
      </c>
      <c r="AR27" s="13">
        <f t="shared" si="22"/>
        <v>646.55172413793105</v>
      </c>
      <c r="AS27" s="13">
        <f t="shared" si="6"/>
        <v>7758.620689655173</v>
      </c>
      <c r="AT27" s="13">
        <f t="shared" si="23"/>
        <v>646.55172413793105</v>
      </c>
      <c r="AU27" s="13">
        <f t="shared" si="23"/>
        <v>646.55172413793105</v>
      </c>
      <c r="AV27" s="13">
        <f t="shared" si="23"/>
        <v>646.55172413793105</v>
      </c>
      <c r="AW27" s="13">
        <f t="shared" si="23"/>
        <v>646.55172413793105</v>
      </c>
      <c r="AX27" s="13">
        <f t="shared" si="23"/>
        <v>646.55172413793105</v>
      </c>
      <c r="AY27" s="13">
        <f t="shared" si="23"/>
        <v>646.55172413793105</v>
      </c>
      <c r="AZ27" s="13">
        <f t="shared" si="23"/>
        <v>646.55172413793105</v>
      </c>
      <c r="BA27" s="13">
        <f t="shared" si="23"/>
        <v>646.55172413793105</v>
      </c>
      <c r="BB27" s="13">
        <f t="shared" si="23"/>
        <v>646.55172413793105</v>
      </c>
      <c r="BC27" s="13">
        <f t="shared" si="23"/>
        <v>646.55172413793105</v>
      </c>
      <c r="BD27" s="13">
        <f t="shared" si="23"/>
        <v>646.55172413793105</v>
      </c>
      <c r="BE27" s="13">
        <f t="shared" si="23"/>
        <v>646.55172413793105</v>
      </c>
      <c r="BF27" s="13">
        <f t="shared" si="8"/>
        <v>7758.620689655173</v>
      </c>
    </row>
    <row r="28" spans="2:58" x14ac:dyDescent="0.3">
      <c r="B28" t="s">
        <v>924</v>
      </c>
      <c r="C28" t="s">
        <v>660</v>
      </c>
      <c r="D28" s="10">
        <v>15701.76</v>
      </c>
      <c r="E28">
        <v>12</v>
      </c>
      <c r="F28" s="13">
        <f t="shared" si="18"/>
        <v>15701.76</v>
      </c>
      <c r="G28" s="12"/>
      <c r="T28" s="13">
        <f t="shared" si="19"/>
        <v>15701.76</v>
      </c>
      <c r="U28" s="13">
        <f t="shared" si="19"/>
        <v>15701.76</v>
      </c>
      <c r="V28" s="13">
        <f t="shared" si="19"/>
        <v>15701.76</v>
      </c>
      <c r="W28" s="13">
        <f t="shared" si="19"/>
        <v>15701.76</v>
      </c>
      <c r="X28" s="13">
        <f t="shared" si="19"/>
        <v>15701.76</v>
      </c>
      <c r="Y28" s="13">
        <f t="shared" si="19"/>
        <v>15701.76</v>
      </c>
      <c r="Z28" s="13">
        <f t="shared" si="19"/>
        <v>15701.76</v>
      </c>
      <c r="AA28" s="13">
        <f t="shared" si="19"/>
        <v>15701.76</v>
      </c>
      <c r="AB28" s="13">
        <f t="shared" si="19"/>
        <v>15701.76</v>
      </c>
      <c r="AC28" s="13">
        <f t="shared" si="19"/>
        <v>15701.76</v>
      </c>
      <c r="AD28" s="13">
        <f t="shared" si="19"/>
        <v>15701.76</v>
      </c>
      <c r="AE28" s="13">
        <f t="shared" si="19"/>
        <v>15701.76</v>
      </c>
      <c r="AF28" s="13">
        <f t="shared" si="4"/>
        <v>188421.12000000002</v>
      </c>
      <c r="AG28" s="13">
        <f t="shared" si="19"/>
        <v>15701.76</v>
      </c>
      <c r="AH28" s="13">
        <f t="shared" si="22"/>
        <v>15701.76</v>
      </c>
      <c r="AI28" s="13">
        <f t="shared" si="22"/>
        <v>15701.76</v>
      </c>
      <c r="AJ28" s="13">
        <f t="shared" si="22"/>
        <v>15701.76</v>
      </c>
      <c r="AK28" s="13">
        <f t="shared" si="22"/>
        <v>15701.76</v>
      </c>
      <c r="AL28" s="13">
        <f t="shared" si="22"/>
        <v>15701.76</v>
      </c>
      <c r="AM28" s="13">
        <f t="shared" si="22"/>
        <v>15701.76</v>
      </c>
      <c r="AN28" s="13">
        <f t="shared" si="22"/>
        <v>15701.76</v>
      </c>
      <c r="AO28" s="13">
        <f t="shared" si="22"/>
        <v>15701.76</v>
      </c>
      <c r="AP28" s="13">
        <f t="shared" si="22"/>
        <v>15701.76</v>
      </c>
      <c r="AQ28" s="13">
        <f t="shared" si="22"/>
        <v>15701.76</v>
      </c>
      <c r="AR28" s="13">
        <f t="shared" si="22"/>
        <v>15701.76</v>
      </c>
      <c r="AS28" s="13">
        <f t="shared" si="6"/>
        <v>188421.12000000002</v>
      </c>
      <c r="AT28" s="13">
        <f t="shared" si="23"/>
        <v>15701.76</v>
      </c>
      <c r="AU28" s="13">
        <f t="shared" si="23"/>
        <v>15701.76</v>
      </c>
      <c r="AV28" s="13">
        <f t="shared" si="23"/>
        <v>15701.76</v>
      </c>
      <c r="AW28" s="13">
        <f t="shared" si="23"/>
        <v>15701.76</v>
      </c>
      <c r="AX28" s="13">
        <f t="shared" si="23"/>
        <v>15701.76</v>
      </c>
      <c r="AY28" s="13">
        <f t="shared" si="23"/>
        <v>15701.76</v>
      </c>
      <c r="AZ28" s="13">
        <f t="shared" si="23"/>
        <v>15701.76</v>
      </c>
      <c r="BA28" s="13">
        <f t="shared" si="23"/>
        <v>15701.76</v>
      </c>
      <c r="BB28" s="13">
        <f t="shared" si="23"/>
        <v>15701.76</v>
      </c>
      <c r="BC28" s="13">
        <f t="shared" si="23"/>
        <v>15701.76</v>
      </c>
      <c r="BD28" s="13">
        <f t="shared" si="23"/>
        <v>15701.76</v>
      </c>
      <c r="BE28" s="13">
        <f t="shared" si="23"/>
        <v>15701.76</v>
      </c>
      <c r="BF28" s="13">
        <f t="shared" si="8"/>
        <v>188421.12000000002</v>
      </c>
    </row>
    <row r="29" spans="2:58" x14ac:dyDescent="0.3">
      <c r="B29" t="s">
        <v>925</v>
      </c>
      <c r="C29" t="s">
        <v>660</v>
      </c>
      <c r="D29" s="10">
        <v>10000</v>
      </c>
      <c r="E29">
        <v>1</v>
      </c>
      <c r="F29" s="13">
        <f t="shared" si="18"/>
        <v>833.33333333333326</v>
      </c>
      <c r="G29" s="12"/>
      <c r="T29" s="13">
        <f t="shared" si="19"/>
        <v>833.33333333333326</v>
      </c>
      <c r="U29" s="13">
        <f t="shared" si="19"/>
        <v>833.33333333333326</v>
      </c>
      <c r="V29" s="13">
        <f t="shared" si="19"/>
        <v>833.33333333333326</v>
      </c>
      <c r="W29" s="13">
        <f t="shared" si="19"/>
        <v>833.33333333333326</v>
      </c>
      <c r="X29" s="13">
        <f t="shared" si="19"/>
        <v>833.33333333333326</v>
      </c>
      <c r="Y29" s="13">
        <f t="shared" si="19"/>
        <v>833.33333333333326</v>
      </c>
      <c r="Z29" s="13">
        <f t="shared" si="19"/>
        <v>833.33333333333326</v>
      </c>
      <c r="AA29" s="13">
        <f t="shared" si="19"/>
        <v>833.33333333333326</v>
      </c>
      <c r="AB29" s="13">
        <f t="shared" si="19"/>
        <v>833.33333333333326</v>
      </c>
      <c r="AC29" s="13">
        <f t="shared" si="19"/>
        <v>833.33333333333326</v>
      </c>
      <c r="AD29" s="13">
        <f t="shared" si="19"/>
        <v>833.33333333333326</v>
      </c>
      <c r="AE29" s="13">
        <f t="shared" si="19"/>
        <v>833.33333333333326</v>
      </c>
      <c r="AF29" s="13">
        <f t="shared" si="4"/>
        <v>10000</v>
      </c>
      <c r="AG29" s="13">
        <f t="shared" si="19"/>
        <v>833.33333333333326</v>
      </c>
      <c r="AH29" s="13">
        <f t="shared" si="22"/>
        <v>833.33333333333326</v>
      </c>
      <c r="AI29" s="13">
        <f t="shared" si="22"/>
        <v>833.33333333333326</v>
      </c>
      <c r="AJ29" s="13">
        <f t="shared" si="22"/>
        <v>833.33333333333326</v>
      </c>
      <c r="AK29" s="13">
        <f t="shared" si="22"/>
        <v>833.33333333333326</v>
      </c>
      <c r="AL29" s="13">
        <f t="shared" si="22"/>
        <v>833.33333333333326</v>
      </c>
      <c r="AM29" s="13">
        <f t="shared" si="22"/>
        <v>833.33333333333326</v>
      </c>
      <c r="AN29" s="13">
        <f t="shared" si="22"/>
        <v>833.33333333333326</v>
      </c>
      <c r="AO29" s="13">
        <f t="shared" si="22"/>
        <v>833.33333333333326</v>
      </c>
      <c r="AP29" s="13">
        <f t="shared" si="22"/>
        <v>833.33333333333326</v>
      </c>
      <c r="AQ29" s="13">
        <f t="shared" si="22"/>
        <v>833.33333333333326</v>
      </c>
      <c r="AR29" s="13">
        <f t="shared" si="22"/>
        <v>833.33333333333326</v>
      </c>
      <c r="AS29" s="13">
        <f t="shared" si="6"/>
        <v>10000</v>
      </c>
      <c r="AT29" s="13">
        <f t="shared" si="23"/>
        <v>833.33333333333326</v>
      </c>
      <c r="AU29" s="13">
        <f t="shared" si="23"/>
        <v>833.33333333333326</v>
      </c>
      <c r="AV29" s="13">
        <f t="shared" si="23"/>
        <v>833.33333333333326</v>
      </c>
      <c r="AW29" s="13">
        <f t="shared" si="23"/>
        <v>833.33333333333326</v>
      </c>
      <c r="AX29" s="13">
        <f t="shared" si="23"/>
        <v>833.33333333333326</v>
      </c>
      <c r="AY29" s="13">
        <f t="shared" si="23"/>
        <v>833.33333333333326</v>
      </c>
      <c r="AZ29" s="13">
        <f t="shared" si="23"/>
        <v>833.33333333333326</v>
      </c>
      <c r="BA29" s="13">
        <f t="shared" si="23"/>
        <v>833.33333333333326</v>
      </c>
      <c r="BB29" s="13">
        <f t="shared" si="23"/>
        <v>833.33333333333326</v>
      </c>
      <c r="BC29" s="13">
        <f t="shared" si="23"/>
        <v>833.33333333333326</v>
      </c>
      <c r="BD29" s="13">
        <f t="shared" si="23"/>
        <v>833.33333333333326</v>
      </c>
      <c r="BE29" s="13">
        <f t="shared" si="23"/>
        <v>833.33333333333326</v>
      </c>
      <c r="BF29" s="13">
        <f t="shared" si="8"/>
        <v>10000</v>
      </c>
    </row>
    <row r="30" spans="2:58" x14ac:dyDescent="0.3">
      <c r="B30" t="s">
        <v>923</v>
      </c>
      <c r="C30" t="s">
        <v>660</v>
      </c>
      <c r="D30" s="10">
        <v>90276.666666666599</v>
      </c>
      <c r="E30">
        <v>1</v>
      </c>
      <c r="F30" s="13">
        <f t="shared" si="18"/>
        <v>7523.0555555555493</v>
      </c>
      <c r="G30" s="12"/>
      <c r="T30" s="13">
        <f t="shared" si="19"/>
        <v>7523.0555555555493</v>
      </c>
      <c r="U30" s="13">
        <f t="shared" si="19"/>
        <v>7523.0555555555493</v>
      </c>
      <c r="V30" s="13">
        <f t="shared" si="19"/>
        <v>7523.0555555555493</v>
      </c>
      <c r="W30" s="13">
        <f t="shared" si="19"/>
        <v>7523.0555555555493</v>
      </c>
      <c r="X30" s="13">
        <f t="shared" si="19"/>
        <v>7523.0555555555493</v>
      </c>
      <c r="Y30" s="13">
        <f t="shared" si="19"/>
        <v>7523.0555555555493</v>
      </c>
      <c r="Z30" s="13">
        <f t="shared" si="19"/>
        <v>7523.0555555555493</v>
      </c>
      <c r="AA30" s="13">
        <f t="shared" si="19"/>
        <v>7523.0555555555493</v>
      </c>
      <c r="AB30" s="13">
        <f t="shared" si="19"/>
        <v>7523.0555555555493</v>
      </c>
      <c r="AC30" s="13">
        <f t="shared" si="19"/>
        <v>7523.0555555555493</v>
      </c>
      <c r="AD30" s="13">
        <f t="shared" si="19"/>
        <v>7523.0555555555493</v>
      </c>
      <c r="AE30" s="13">
        <f t="shared" si="19"/>
        <v>7523.0555555555493</v>
      </c>
      <c r="AF30" s="13">
        <f t="shared" si="4"/>
        <v>90276.666666666584</v>
      </c>
      <c r="AG30" s="13">
        <f t="shared" si="19"/>
        <v>7523.0555555555493</v>
      </c>
      <c r="AH30" s="13">
        <f t="shared" si="22"/>
        <v>7523.0555555555493</v>
      </c>
      <c r="AI30" s="13">
        <f t="shared" si="22"/>
        <v>7523.0555555555493</v>
      </c>
      <c r="AJ30" s="13">
        <f t="shared" si="22"/>
        <v>7523.0555555555493</v>
      </c>
      <c r="AK30" s="13">
        <f t="shared" si="22"/>
        <v>7523.0555555555493</v>
      </c>
      <c r="AL30" s="13">
        <f t="shared" si="22"/>
        <v>7523.0555555555493</v>
      </c>
      <c r="AM30" s="13">
        <f t="shared" si="22"/>
        <v>7523.0555555555493</v>
      </c>
      <c r="AN30" s="13">
        <f t="shared" si="22"/>
        <v>7523.0555555555493</v>
      </c>
      <c r="AO30" s="13">
        <f t="shared" si="22"/>
        <v>7523.0555555555493</v>
      </c>
      <c r="AP30" s="13">
        <f t="shared" si="22"/>
        <v>7523.0555555555493</v>
      </c>
      <c r="AQ30" s="13">
        <f t="shared" si="22"/>
        <v>7523.0555555555493</v>
      </c>
      <c r="AR30" s="13">
        <f t="shared" si="22"/>
        <v>7523.0555555555493</v>
      </c>
      <c r="AS30" s="13">
        <f t="shared" si="6"/>
        <v>90276.666666666584</v>
      </c>
      <c r="AT30" s="13">
        <f t="shared" si="23"/>
        <v>7523.0555555555493</v>
      </c>
      <c r="AU30" s="13">
        <f t="shared" si="23"/>
        <v>7523.0555555555493</v>
      </c>
      <c r="AV30" s="13">
        <f t="shared" si="23"/>
        <v>7523.0555555555493</v>
      </c>
      <c r="AW30" s="13">
        <f t="shared" si="23"/>
        <v>7523.0555555555493</v>
      </c>
      <c r="AX30" s="13">
        <f t="shared" si="23"/>
        <v>7523.0555555555493</v>
      </c>
      <c r="AY30" s="13">
        <f t="shared" si="23"/>
        <v>7523.0555555555493</v>
      </c>
      <c r="AZ30" s="13">
        <f t="shared" si="23"/>
        <v>7523.0555555555493</v>
      </c>
      <c r="BA30" s="13">
        <f t="shared" si="23"/>
        <v>7523.0555555555493</v>
      </c>
      <c r="BB30" s="13">
        <f t="shared" si="23"/>
        <v>7523.0555555555493</v>
      </c>
      <c r="BC30" s="13">
        <f t="shared" si="23"/>
        <v>7523.0555555555493</v>
      </c>
      <c r="BD30" s="13">
        <f t="shared" si="23"/>
        <v>7523.0555555555493</v>
      </c>
      <c r="BE30" s="13">
        <f t="shared" si="23"/>
        <v>7523.0555555555493</v>
      </c>
      <c r="BF30" s="13">
        <f t="shared" si="8"/>
        <v>90276.666666666584</v>
      </c>
    </row>
    <row r="31" spans="2:58" x14ac:dyDescent="0.3">
      <c r="B31" t="s">
        <v>916</v>
      </c>
      <c r="C31" t="s">
        <v>660</v>
      </c>
      <c r="D31" s="10">
        <v>1452</v>
      </c>
      <c r="E31">
        <v>12</v>
      </c>
      <c r="F31" s="13">
        <f t="shared" si="18"/>
        <v>1452</v>
      </c>
      <c r="G31" s="12"/>
      <c r="T31" s="13">
        <f t="shared" si="19"/>
        <v>1452</v>
      </c>
      <c r="U31" s="13">
        <f t="shared" si="19"/>
        <v>1452</v>
      </c>
      <c r="V31" s="13">
        <f t="shared" si="19"/>
        <v>1452</v>
      </c>
      <c r="W31" s="13">
        <f t="shared" si="19"/>
        <v>1452</v>
      </c>
      <c r="X31" s="13">
        <f t="shared" si="19"/>
        <v>1452</v>
      </c>
      <c r="Y31" s="13">
        <f t="shared" si="19"/>
        <v>1452</v>
      </c>
      <c r="Z31" s="13">
        <f t="shared" si="19"/>
        <v>1452</v>
      </c>
      <c r="AA31" s="13">
        <f t="shared" si="19"/>
        <v>1452</v>
      </c>
      <c r="AB31" s="13">
        <f t="shared" si="19"/>
        <v>1452</v>
      </c>
      <c r="AC31" s="13">
        <f t="shared" si="19"/>
        <v>1452</v>
      </c>
      <c r="AD31" s="13">
        <f t="shared" si="19"/>
        <v>1452</v>
      </c>
      <c r="AE31" s="13">
        <f t="shared" si="19"/>
        <v>1452</v>
      </c>
      <c r="AF31" s="13">
        <f t="shared" si="4"/>
        <v>17424</v>
      </c>
      <c r="AG31" s="13">
        <f t="shared" si="19"/>
        <v>1452</v>
      </c>
      <c r="AH31" s="13">
        <f t="shared" si="22"/>
        <v>1452</v>
      </c>
      <c r="AI31" s="13">
        <f t="shared" si="22"/>
        <v>1452</v>
      </c>
      <c r="AJ31" s="13">
        <f t="shared" si="22"/>
        <v>1452</v>
      </c>
      <c r="AK31" s="13">
        <f t="shared" si="22"/>
        <v>1452</v>
      </c>
      <c r="AL31" s="13">
        <f t="shared" si="22"/>
        <v>1452</v>
      </c>
      <c r="AM31" s="13">
        <f t="shared" si="22"/>
        <v>1452</v>
      </c>
      <c r="AN31" s="13">
        <f t="shared" si="22"/>
        <v>1452</v>
      </c>
      <c r="AO31" s="13">
        <f t="shared" si="22"/>
        <v>1452</v>
      </c>
      <c r="AP31" s="13">
        <f t="shared" si="22"/>
        <v>1452</v>
      </c>
      <c r="AQ31" s="13">
        <f t="shared" si="22"/>
        <v>1452</v>
      </c>
      <c r="AR31" s="13">
        <f t="shared" si="22"/>
        <v>1452</v>
      </c>
      <c r="AS31" s="13">
        <f t="shared" si="6"/>
        <v>17424</v>
      </c>
      <c r="AT31" s="13">
        <f t="shared" si="23"/>
        <v>1452</v>
      </c>
      <c r="AU31" s="13">
        <f t="shared" si="23"/>
        <v>1452</v>
      </c>
      <c r="AV31" s="13">
        <f t="shared" si="23"/>
        <v>1452</v>
      </c>
      <c r="AW31" s="13">
        <f t="shared" si="23"/>
        <v>1452</v>
      </c>
      <c r="AX31" s="13">
        <f t="shared" si="23"/>
        <v>1452</v>
      </c>
      <c r="AY31" s="13">
        <f t="shared" si="23"/>
        <v>1452</v>
      </c>
      <c r="AZ31" s="13">
        <f t="shared" si="23"/>
        <v>1452</v>
      </c>
      <c r="BA31" s="13">
        <f t="shared" si="23"/>
        <v>1452</v>
      </c>
      <c r="BB31" s="13">
        <f t="shared" si="23"/>
        <v>1452</v>
      </c>
      <c r="BC31" s="13">
        <f t="shared" si="23"/>
        <v>1452</v>
      </c>
      <c r="BD31" s="13">
        <f t="shared" si="23"/>
        <v>1452</v>
      </c>
      <c r="BE31" s="13">
        <f t="shared" si="23"/>
        <v>1452</v>
      </c>
      <c r="BF31" s="13">
        <f t="shared" si="8"/>
        <v>17424</v>
      </c>
    </row>
    <row r="32" spans="2:58" x14ac:dyDescent="0.3">
      <c r="B32" t="s">
        <v>945</v>
      </c>
      <c r="C32" t="s">
        <v>660</v>
      </c>
      <c r="D32" s="10">
        <v>3610</v>
      </c>
      <c r="E32">
        <v>12</v>
      </c>
      <c r="F32" s="13">
        <f t="shared" si="18"/>
        <v>3610</v>
      </c>
      <c r="G32" s="12"/>
      <c r="T32" s="13">
        <f t="shared" si="19"/>
        <v>3610</v>
      </c>
      <c r="U32" s="13">
        <f t="shared" si="19"/>
        <v>3610</v>
      </c>
      <c r="V32" s="13">
        <f t="shared" si="19"/>
        <v>3610</v>
      </c>
      <c r="W32" s="13">
        <f t="shared" si="19"/>
        <v>3610</v>
      </c>
      <c r="X32" s="13">
        <f t="shared" si="19"/>
        <v>3610</v>
      </c>
      <c r="Y32" s="13">
        <f t="shared" si="19"/>
        <v>3610</v>
      </c>
      <c r="Z32" s="13">
        <f t="shared" si="19"/>
        <v>3610</v>
      </c>
      <c r="AA32" s="13">
        <f t="shared" si="19"/>
        <v>3610</v>
      </c>
      <c r="AB32" s="13">
        <f t="shared" si="19"/>
        <v>3610</v>
      </c>
      <c r="AC32" s="13">
        <f t="shared" si="19"/>
        <v>3610</v>
      </c>
      <c r="AD32" s="13">
        <f t="shared" si="19"/>
        <v>3610</v>
      </c>
      <c r="AE32" s="13">
        <f t="shared" si="19"/>
        <v>3610</v>
      </c>
      <c r="AF32" s="13">
        <f t="shared" si="4"/>
        <v>43320</v>
      </c>
      <c r="AG32" s="13">
        <f t="shared" si="19"/>
        <v>3610</v>
      </c>
      <c r="AH32" s="13">
        <f t="shared" si="22"/>
        <v>3610</v>
      </c>
      <c r="AI32" s="13">
        <f t="shared" si="22"/>
        <v>3610</v>
      </c>
      <c r="AJ32" s="13">
        <f t="shared" si="22"/>
        <v>3610</v>
      </c>
      <c r="AK32" s="13">
        <f t="shared" si="22"/>
        <v>3610</v>
      </c>
      <c r="AL32" s="13">
        <f t="shared" si="22"/>
        <v>3610</v>
      </c>
      <c r="AM32" s="13">
        <f t="shared" si="22"/>
        <v>3610</v>
      </c>
      <c r="AN32" s="13">
        <f t="shared" si="22"/>
        <v>3610</v>
      </c>
      <c r="AO32" s="13">
        <f t="shared" si="22"/>
        <v>3610</v>
      </c>
      <c r="AP32" s="13">
        <f t="shared" si="22"/>
        <v>3610</v>
      </c>
      <c r="AQ32" s="13">
        <f t="shared" si="22"/>
        <v>3610</v>
      </c>
      <c r="AR32" s="13">
        <f t="shared" si="22"/>
        <v>3610</v>
      </c>
      <c r="AS32" s="13">
        <f t="shared" si="6"/>
        <v>43320</v>
      </c>
      <c r="AT32" s="13">
        <f t="shared" si="23"/>
        <v>3610</v>
      </c>
      <c r="AU32" s="13">
        <f t="shared" si="23"/>
        <v>3610</v>
      </c>
      <c r="AV32" s="13">
        <f t="shared" si="23"/>
        <v>3610</v>
      </c>
      <c r="AW32" s="13">
        <f t="shared" si="23"/>
        <v>3610</v>
      </c>
      <c r="AX32" s="13">
        <f t="shared" si="23"/>
        <v>3610</v>
      </c>
      <c r="AY32" s="13">
        <f t="shared" si="23"/>
        <v>3610</v>
      </c>
      <c r="AZ32" s="13">
        <f t="shared" si="23"/>
        <v>3610</v>
      </c>
      <c r="BA32" s="13">
        <f t="shared" si="23"/>
        <v>3610</v>
      </c>
      <c r="BB32" s="13">
        <f t="shared" si="23"/>
        <v>3610</v>
      </c>
      <c r="BC32" s="13">
        <f t="shared" si="23"/>
        <v>3610</v>
      </c>
      <c r="BD32" s="13">
        <f t="shared" si="23"/>
        <v>3610</v>
      </c>
      <c r="BE32" s="13">
        <f t="shared" si="23"/>
        <v>3610</v>
      </c>
      <c r="BF32" s="13">
        <f t="shared" si="8"/>
        <v>43320</v>
      </c>
    </row>
    <row r="33" spans="2:58" x14ac:dyDescent="0.3">
      <c r="B33" t="s">
        <v>922</v>
      </c>
      <c r="C33" t="s">
        <v>660</v>
      </c>
      <c r="D33" s="10">
        <f>50000-23000</f>
        <v>27000</v>
      </c>
      <c r="E33">
        <v>12</v>
      </c>
      <c r="F33" s="13">
        <f t="shared" si="18"/>
        <v>27000</v>
      </c>
      <c r="G33" s="12"/>
      <c r="T33" s="13">
        <f t="shared" si="19"/>
        <v>27000</v>
      </c>
      <c r="U33" s="13">
        <f t="shared" si="19"/>
        <v>27000</v>
      </c>
      <c r="V33" s="13">
        <f t="shared" si="19"/>
        <v>27000</v>
      </c>
      <c r="W33" s="13">
        <f t="shared" si="19"/>
        <v>27000</v>
      </c>
      <c r="X33" s="13">
        <f t="shared" si="19"/>
        <v>27000</v>
      </c>
      <c r="Y33" s="13">
        <f t="shared" si="19"/>
        <v>27000</v>
      </c>
      <c r="Z33" s="13">
        <f t="shared" si="19"/>
        <v>27000</v>
      </c>
      <c r="AA33" s="13">
        <f t="shared" si="19"/>
        <v>27000</v>
      </c>
      <c r="AB33" s="13">
        <f t="shared" si="19"/>
        <v>27000</v>
      </c>
      <c r="AC33" s="13">
        <f t="shared" si="19"/>
        <v>27000</v>
      </c>
      <c r="AD33" s="13">
        <f t="shared" si="19"/>
        <v>27000</v>
      </c>
      <c r="AE33" s="13">
        <f t="shared" si="19"/>
        <v>27000</v>
      </c>
      <c r="AF33" s="13">
        <f t="shared" si="4"/>
        <v>324000</v>
      </c>
      <c r="AG33" s="13">
        <f t="shared" si="19"/>
        <v>27000</v>
      </c>
      <c r="AH33" s="13">
        <f t="shared" si="22"/>
        <v>27000</v>
      </c>
      <c r="AI33" s="13">
        <f t="shared" si="22"/>
        <v>27000</v>
      </c>
      <c r="AJ33" s="13">
        <f t="shared" si="22"/>
        <v>27000</v>
      </c>
      <c r="AK33" s="13">
        <f t="shared" si="22"/>
        <v>27000</v>
      </c>
      <c r="AL33" s="13">
        <f t="shared" si="22"/>
        <v>27000</v>
      </c>
      <c r="AM33" s="13">
        <f t="shared" si="22"/>
        <v>27000</v>
      </c>
      <c r="AN33" s="13">
        <f t="shared" si="22"/>
        <v>27000</v>
      </c>
      <c r="AO33" s="13">
        <f t="shared" si="22"/>
        <v>27000</v>
      </c>
      <c r="AP33" s="13">
        <f t="shared" si="22"/>
        <v>27000</v>
      </c>
      <c r="AQ33" s="13">
        <f t="shared" si="22"/>
        <v>27000</v>
      </c>
      <c r="AR33" s="13">
        <f t="shared" si="22"/>
        <v>27000</v>
      </c>
      <c r="AS33" s="13">
        <f t="shared" si="6"/>
        <v>324000</v>
      </c>
      <c r="AT33" s="13">
        <f t="shared" si="23"/>
        <v>27000</v>
      </c>
      <c r="AU33" s="13">
        <f t="shared" si="23"/>
        <v>27000</v>
      </c>
      <c r="AV33" s="13">
        <f t="shared" si="23"/>
        <v>27000</v>
      </c>
      <c r="AW33" s="13">
        <f t="shared" si="23"/>
        <v>27000</v>
      </c>
      <c r="AX33" s="13">
        <f t="shared" si="23"/>
        <v>27000</v>
      </c>
      <c r="AY33" s="13">
        <f t="shared" si="23"/>
        <v>27000</v>
      </c>
      <c r="AZ33" s="13">
        <f t="shared" si="23"/>
        <v>27000</v>
      </c>
      <c r="BA33" s="13">
        <f t="shared" si="23"/>
        <v>27000</v>
      </c>
      <c r="BB33" s="13">
        <f t="shared" si="23"/>
        <v>27000</v>
      </c>
      <c r="BC33" s="13">
        <f t="shared" si="23"/>
        <v>27000</v>
      </c>
      <c r="BD33" s="13">
        <f t="shared" si="23"/>
        <v>27000</v>
      </c>
      <c r="BE33" s="13">
        <f t="shared" si="23"/>
        <v>27000</v>
      </c>
      <c r="BF33" s="13">
        <f t="shared" si="8"/>
        <v>324000</v>
      </c>
    </row>
    <row r="34" spans="2:58" x14ac:dyDescent="0.3">
      <c r="B34" t="s">
        <v>1571</v>
      </c>
      <c r="C34" t="s">
        <v>660</v>
      </c>
      <c r="D34" s="158">
        <v>37931.034482758623</v>
      </c>
      <c r="E34">
        <v>12</v>
      </c>
      <c r="F34" s="13">
        <f t="shared" si="18"/>
        <v>37931.034482758623</v>
      </c>
      <c r="G34" s="12"/>
      <c r="T34" s="13">
        <f t="shared" si="19"/>
        <v>37931.034482758623</v>
      </c>
      <c r="U34" s="13">
        <f t="shared" si="19"/>
        <v>37931.034482758623</v>
      </c>
      <c r="V34" s="13">
        <f t="shared" si="19"/>
        <v>37931.034482758623</v>
      </c>
      <c r="W34" s="13">
        <f t="shared" si="19"/>
        <v>37931.034482758623</v>
      </c>
      <c r="X34" s="13">
        <f t="shared" si="19"/>
        <v>37931.034482758623</v>
      </c>
      <c r="Y34" s="13">
        <f t="shared" si="19"/>
        <v>37931.034482758623</v>
      </c>
      <c r="Z34" s="13">
        <f t="shared" si="19"/>
        <v>37931.034482758623</v>
      </c>
      <c r="AA34" s="13">
        <f t="shared" si="19"/>
        <v>37931.034482758623</v>
      </c>
      <c r="AB34" s="13">
        <f t="shared" si="19"/>
        <v>37931.034482758623</v>
      </c>
      <c r="AC34" s="13">
        <f t="shared" si="19"/>
        <v>37931.034482758623</v>
      </c>
      <c r="AD34" s="13">
        <f t="shared" si="19"/>
        <v>37931.034482758623</v>
      </c>
      <c r="AE34" s="13">
        <f t="shared" si="19"/>
        <v>37931.034482758623</v>
      </c>
      <c r="AF34" s="13">
        <f t="shared" si="4"/>
        <v>455172.41379310336</v>
      </c>
      <c r="AG34" s="13">
        <f t="shared" si="19"/>
        <v>37931.034482758623</v>
      </c>
      <c r="AH34" s="13">
        <f t="shared" si="22"/>
        <v>37931.034482758623</v>
      </c>
      <c r="AI34" s="13">
        <f t="shared" si="22"/>
        <v>37931.034482758623</v>
      </c>
      <c r="AJ34" s="13">
        <f t="shared" si="22"/>
        <v>37931.034482758623</v>
      </c>
      <c r="AK34" s="13">
        <f t="shared" si="22"/>
        <v>37931.034482758623</v>
      </c>
      <c r="AL34" s="13">
        <f t="shared" si="22"/>
        <v>37931.034482758623</v>
      </c>
      <c r="AM34" s="13">
        <f t="shared" si="22"/>
        <v>37931.034482758623</v>
      </c>
      <c r="AN34" s="13">
        <f t="shared" si="22"/>
        <v>37931.034482758623</v>
      </c>
      <c r="AO34" s="13">
        <f t="shared" si="22"/>
        <v>37931.034482758623</v>
      </c>
      <c r="AP34" s="13">
        <f t="shared" si="22"/>
        <v>37931.034482758623</v>
      </c>
      <c r="AQ34" s="13">
        <f t="shared" si="22"/>
        <v>37931.034482758623</v>
      </c>
      <c r="AR34" s="13">
        <f t="shared" si="22"/>
        <v>37931.034482758623</v>
      </c>
      <c r="AS34" s="13">
        <f t="shared" si="6"/>
        <v>455172.41379310336</v>
      </c>
      <c r="AT34" s="13">
        <f t="shared" si="23"/>
        <v>37931.034482758623</v>
      </c>
      <c r="AU34" s="13">
        <f t="shared" si="23"/>
        <v>37931.034482758623</v>
      </c>
      <c r="AV34" s="13">
        <f t="shared" si="23"/>
        <v>37931.034482758623</v>
      </c>
      <c r="AW34" s="13">
        <f t="shared" si="23"/>
        <v>37931.034482758623</v>
      </c>
      <c r="AX34" s="13">
        <f t="shared" si="23"/>
        <v>37931.034482758623</v>
      </c>
      <c r="AY34" s="13">
        <f t="shared" si="23"/>
        <v>37931.034482758623</v>
      </c>
      <c r="AZ34" s="13">
        <f t="shared" si="23"/>
        <v>37931.034482758623</v>
      </c>
      <c r="BA34" s="13">
        <f t="shared" si="23"/>
        <v>37931.034482758623</v>
      </c>
      <c r="BB34" s="13">
        <f t="shared" si="23"/>
        <v>37931.034482758623</v>
      </c>
      <c r="BC34" s="13">
        <f t="shared" si="23"/>
        <v>37931.034482758623</v>
      </c>
      <c r="BD34" s="13">
        <f t="shared" si="23"/>
        <v>37931.034482758623</v>
      </c>
      <c r="BE34" s="13">
        <f t="shared" si="23"/>
        <v>37931.034482758623</v>
      </c>
      <c r="BF34" s="13">
        <f t="shared" si="8"/>
        <v>455172.41379310336</v>
      </c>
    </row>
    <row r="35" spans="2:58" x14ac:dyDescent="0.3">
      <c r="D35" s="12"/>
      <c r="F35" s="14"/>
      <c r="G35" s="12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3">
        <f t="shared" si="4"/>
        <v>0</v>
      </c>
      <c r="AG35" s="13">
        <f t="shared" si="19"/>
        <v>0</v>
      </c>
      <c r="AS35" s="13">
        <f t="shared" si="6"/>
        <v>0</v>
      </c>
      <c r="BF35" s="13">
        <f t="shared" si="8"/>
        <v>0</v>
      </c>
    </row>
    <row r="36" spans="2:58" x14ac:dyDescent="0.3">
      <c r="D36" s="12"/>
      <c r="F36" s="14"/>
      <c r="G36" s="12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3">
        <f t="shared" si="4"/>
        <v>0</v>
      </c>
      <c r="AG36" s="13">
        <f t="shared" si="19"/>
        <v>0</v>
      </c>
      <c r="AS36" s="13">
        <f t="shared" si="6"/>
        <v>0</v>
      </c>
      <c r="BF36" s="13">
        <f t="shared" si="8"/>
        <v>0</v>
      </c>
    </row>
    <row r="37" spans="2:58" x14ac:dyDescent="0.3">
      <c r="AF37" s="13">
        <f t="shared" si="4"/>
        <v>0</v>
      </c>
      <c r="AG37" s="13">
        <f t="shared" si="19"/>
        <v>0</v>
      </c>
      <c r="AS37" s="13">
        <f t="shared" si="6"/>
        <v>0</v>
      </c>
      <c r="BF37" s="13">
        <f t="shared" si="8"/>
        <v>0</v>
      </c>
    </row>
    <row r="38" spans="2:58" x14ac:dyDescent="0.3">
      <c r="B38" s="4" t="s">
        <v>946</v>
      </c>
      <c r="C38" s="4"/>
      <c r="F38" s="13">
        <f t="shared" si="3"/>
        <v>0</v>
      </c>
      <c r="G38" s="12"/>
      <c r="T38" s="13">
        <f t="shared" ref="T38:AE39" si="24">IFERROR($D38*($E38/12),"")</f>
        <v>0</v>
      </c>
      <c r="U38" s="13">
        <f t="shared" si="24"/>
        <v>0</v>
      </c>
      <c r="V38" s="13">
        <f t="shared" si="24"/>
        <v>0</v>
      </c>
      <c r="W38" s="13">
        <f t="shared" si="24"/>
        <v>0</v>
      </c>
      <c r="X38" s="13">
        <f t="shared" si="24"/>
        <v>0</v>
      </c>
      <c r="Y38" s="13">
        <f t="shared" si="24"/>
        <v>0</v>
      </c>
      <c r="Z38" s="13">
        <f t="shared" si="24"/>
        <v>0</v>
      </c>
      <c r="AA38" s="13">
        <f t="shared" si="24"/>
        <v>0</v>
      </c>
      <c r="AB38" s="13">
        <f t="shared" si="24"/>
        <v>0</v>
      </c>
      <c r="AC38" s="13">
        <f t="shared" si="24"/>
        <v>0</v>
      </c>
      <c r="AD38" s="13">
        <f t="shared" si="24"/>
        <v>0</v>
      </c>
      <c r="AE38" s="13">
        <f t="shared" si="24"/>
        <v>0</v>
      </c>
      <c r="AF38" s="13">
        <f t="shared" si="4"/>
        <v>0</v>
      </c>
      <c r="AG38" s="13">
        <f t="shared" si="19"/>
        <v>0</v>
      </c>
      <c r="AH38" s="13">
        <f t="shared" ref="AH38:AW45" si="25">IFERROR($D38*($E38/12),"")</f>
        <v>0</v>
      </c>
      <c r="AI38" s="13">
        <f t="shared" si="25"/>
        <v>0</v>
      </c>
      <c r="AJ38" s="13">
        <f t="shared" si="25"/>
        <v>0</v>
      </c>
      <c r="AK38" s="13">
        <f t="shared" si="25"/>
        <v>0</v>
      </c>
      <c r="AL38" s="13">
        <f t="shared" si="25"/>
        <v>0</v>
      </c>
      <c r="AM38" s="13">
        <f t="shared" si="25"/>
        <v>0</v>
      </c>
      <c r="AN38" s="13">
        <f t="shared" si="25"/>
        <v>0</v>
      </c>
      <c r="AO38" s="13">
        <f t="shared" si="25"/>
        <v>0</v>
      </c>
      <c r="AP38" s="13">
        <f t="shared" si="25"/>
        <v>0</v>
      </c>
      <c r="AQ38" s="13">
        <f t="shared" si="25"/>
        <v>0</v>
      </c>
      <c r="AR38" s="13">
        <f t="shared" si="25"/>
        <v>0</v>
      </c>
      <c r="AS38" s="13">
        <f t="shared" si="6"/>
        <v>0</v>
      </c>
      <c r="AT38" s="13">
        <f t="shared" si="25"/>
        <v>0</v>
      </c>
      <c r="AU38" s="13">
        <f t="shared" si="25"/>
        <v>0</v>
      </c>
      <c r="AV38" s="13">
        <f t="shared" si="25"/>
        <v>0</v>
      </c>
      <c r="AW38" s="13">
        <f t="shared" si="25"/>
        <v>0</v>
      </c>
      <c r="AX38" s="13">
        <f t="shared" ref="AT38:BE45" si="26">IFERROR($D38*($E38/12),"")</f>
        <v>0</v>
      </c>
      <c r="AY38" s="13">
        <f t="shared" si="26"/>
        <v>0</v>
      </c>
      <c r="AZ38" s="13">
        <f t="shared" si="26"/>
        <v>0</v>
      </c>
      <c r="BA38" s="13">
        <f t="shared" si="26"/>
        <v>0</v>
      </c>
      <c r="BB38" s="13">
        <f t="shared" si="26"/>
        <v>0</v>
      </c>
      <c r="BC38" s="13">
        <f t="shared" si="26"/>
        <v>0</v>
      </c>
      <c r="BD38" s="13">
        <f t="shared" si="26"/>
        <v>0</v>
      </c>
      <c r="BE38" s="13">
        <f t="shared" si="26"/>
        <v>0</v>
      </c>
      <c r="BF38" s="13">
        <f t="shared" si="8"/>
        <v>0</v>
      </c>
    </row>
    <row r="39" spans="2:58" x14ac:dyDescent="0.3">
      <c r="B39" t="s">
        <v>920</v>
      </c>
      <c r="C39" t="s">
        <v>946</v>
      </c>
      <c r="D39" s="10">
        <v>140000</v>
      </c>
      <c r="E39">
        <v>12</v>
      </c>
      <c r="F39" s="13">
        <f t="shared" si="3"/>
        <v>140000</v>
      </c>
      <c r="G39" s="12"/>
      <c r="T39" s="13">
        <f t="shared" si="24"/>
        <v>140000</v>
      </c>
      <c r="U39" s="13">
        <f t="shared" si="24"/>
        <v>140000</v>
      </c>
      <c r="V39" s="13">
        <f t="shared" si="24"/>
        <v>140000</v>
      </c>
      <c r="W39" s="13">
        <f t="shared" si="24"/>
        <v>140000</v>
      </c>
      <c r="X39" s="13">
        <v>100000</v>
      </c>
      <c r="Y39" s="13">
        <v>100000</v>
      </c>
      <c r="Z39" s="13">
        <v>100000</v>
      </c>
      <c r="AA39" s="13">
        <v>75000</v>
      </c>
      <c r="AB39" s="13">
        <v>75000</v>
      </c>
      <c r="AC39" s="13">
        <v>75000</v>
      </c>
      <c r="AD39" s="13">
        <v>75000</v>
      </c>
      <c r="AE39" s="13">
        <v>75000</v>
      </c>
      <c r="AF39" s="13">
        <f t="shared" si="4"/>
        <v>1235000</v>
      </c>
      <c r="AG39" s="13">
        <v>75000</v>
      </c>
      <c r="AH39" s="13">
        <v>75000</v>
      </c>
      <c r="AI39" s="13">
        <v>75000</v>
      </c>
      <c r="AJ39" s="13">
        <v>75000</v>
      </c>
      <c r="AK39" s="13">
        <v>75000</v>
      </c>
      <c r="AL39" s="13">
        <v>75000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f t="shared" si="6"/>
        <v>450000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f t="shared" si="8"/>
        <v>0</v>
      </c>
    </row>
    <row r="40" spans="2:58" x14ac:dyDescent="0.3">
      <c r="B40" t="s">
        <v>921</v>
      </c>
      <c r="C40" t="s">
        <v>946</v>
      </c>
      <c r="D40" s="10">
        <f>12748*ASSUMPTIONS!C2</f>
        <v>261334</v>
      </c>
      <c r="E40">
        <v>4</v>
      </c>
      <c r="F40" s="13">
        <f t="shared" si="3"/>
        <v>87111.333333333328</v>
      </c>
      <c r="G40" s="12"/>
      <c r="T40" s="13"/>
      <c r="U40" s="13">
        <f t="shared" ref="U40:X43" si="27">IFERROR($D40*($E40/12),"")</f>
        <v>87111.333333333328</v>
      </c>
      <c r="V40" s="13">
        <f t="shared" si="27"/>
        <v>87111.333333333328</v>
      </c>
      <c r="W40" s="13">
        <f t="shared" si="27"/>
        <v>87111.333333333328</v>
      </c>
      <c r="X40" s="13">
        <f t="shared" si="27"/>
        <v>87111.333333333328</v>
      </c>
      <c r="Y40" s="13">
        <v>85000</v>
      </c>
      <c r="Z40" s="13">
        <v>85000</v>
      </c>
      <c r="AA40" s="13">
        <v>85000</v>
      </c>
      <c r="AB40" s="13">
        <v>85000</v>
      </c>
      <c r="AC40" s="13">
        <v>85000</v>
      </c>
      <c r="AD40" s="13">
        <v>85000</v>
      </c>
      <c r="AE40" s="13">
        <v>85000</v>
      </c>
      <c r="AF40" s="13">
        <f t="shared" si="4"/>
        <v>943445.33333333326</v>
      </c>
      <c r="AG40" s="13">
        <v>85000</v>
      </c>
      <c r="AH40" s="13">
        <v>85000</v>
      </c>
      <c r="AI40" s="13">
        <v>85000</v>
      </c>
      <c r="AJ40" s="13">
        <v>85000</v>
      </c>
      <c r="AK40" s="13">
        <v>85000</v>
      </c>
      <c r="AL40" s="13">
        <v>85000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f t="shared" si="6"/>
        <v>510000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f t="shared" si="8"/>
        <v>0</v>
      </c>
    </row>
    <row r="41" spans="2:58" x14ac:dyDescent="0.3">
      <c r="B41" t="s">
        <v>936</v>
      </c>
      <c r="C41" t="s">
        <v>946</v>
      </c>
      <c r="D41" s="10">
        <v>40000</v>
      </c>
      <c r="E41">
        <v>0</v>
      </c>
      <c r="F41" s="13">
        <f t="shared" si="3"/>
        <v>0</v>
      </c>
      <c r="G41" s="12"/>
      <c r="T41" s="13">
        <f>IFERROR($D41*($E41/12),"")</f>
        <v>0</v>
      </c>
      <c r="U41" s="13">
        <f t="shared" si="27"/>
        <v>0</v>
      </c>
      <c r="V41" s="13">
        <f t="shared" si="27"/>
        <v>0</v>
      </c>
      <c r="W41" s="13">
        <f t="shared" si="27"/>
        <v>0</v>
      </c>
      <c r="X41" s="13">
        <f t="shared" si="27"/>
        <v>0</v>
      </c>
      <c r="Y41" s="13">
        <f t="shared" ref="Y41:AE43" si="28">IFERROR($D41*($E41/12),"")</f>
        <v>0</v>
      </c>
      <c r="Z41" s="13">
        <f t="shared" si="28"/>
        <v>0</v>
      </c>
      <c r="AA41" s="13">
        <f t="shared" si="28"/>
        <v>0</v>
      </c>
      <c r="AB41" s="13">
        <f t="shared" si="28"/>
        <v>0</v>
      </c>
      <c r="AC41" s="13">
        <f t="shared" si="28"/>
        <v>0</v>
      </c>
      <c r="AD41" s="13">
        <f t="shared" si="28"/>
        <v>0</v>
      </c>
      <c r="AE41" s="13">
        <f t="shared" si="28"/>
        <v>0</v>
      </c>
      <c r="AF41" s="13">
        <f t="shared" si="4"/>
        <v>0</v>
      </c>
      <c r="AG41" s="13">
        <f t="shared" ref="AG41:AG62" si="29">IFERROR($D41*($E41/12),"")</f>
        <v>0</v>
      </c>
      <c r="AH41" s="13">
        <f t="shared" si="25"/>
        <v>0</v>
      </c>
      <c r="AI41" s="13">
        <f t="shared" si="25"/>
        <v>0</v>
      </c>
      <c r="AJ41" s="13">
        <f t="shared" si="25"/>
        <v>0</v>
      </c>
      <c r="AK41" s="13">
        <f t="shared" si="25"/>
        <v>0</v>
      </c>
      <c r="AL41" s="13">
        <f t="shared" si="25"/>
        <v>0</v>
      </c>
      <c r="AM41" s="13">
        <f t="shared" si="25"/>
        <v>0</v>
      </c>
      <c r="AN41" s="13">
        <f t="shared" si="25"/>
        <v>0</v>
      </c>
      <c r="AO41" s="13">
        <f t="shared" si="25"/>
        <v>0</v>
      </c>
      <c r="AP41" s="13">
        <f t="shared" si="25"/>
        <v>0</v>
      </c>
      <c r="AQ41" s="13">
        <f t="shared" si="25"/>
        <v>0</v>
      </c>
      <c r="AR41" s="13">
        <f t="shared" si="25"/>
        <v>0</v>
      </c>
      <c r="AS41" s="13">
        <f t="shared" si="6"/>
        <v>0</v>
      </c>
      <c r="AT41" s="13">
        <f t="shared" si="26"/>
        <v>0</v>
      </c>
      <c r="AU41" s="13">
        <f t="shared" si="26"/>
        <v>0</v>
      </c>
      <c r="AV41" s="13">
        <f t="shared" si="26"/>
        <v>0</v>
      </c>
      <c r="AW41" s="13">
        <f t="shared" si="26"/>
        <v>0</v>
      </c>
      <c r="AX41" s="13">
        <f t="shared" si="26"/>
        <v>0</v>
      </c>
      <c r="AY41" s="13">
        <f t="shared" si="26"/>
        <v>0</v>
      </c>
      <c r="AZ41" s="13">
        <f t="shared" si="26"/>
        <v>0</v>
      </c>
      <c r="BA41" s="13">
        <f t="shared" si="26"/>
        <v>0</v>
      </c>
      <c r="BB41" s="13">
        <f t="shared" si="26"/>
        <v>0</v>
      </c>
      <c r="BC41" s="13">
        <f t="shared" si="26"/>
        <v>0</v>
      </c>
      <c r="BD41" s="13">
        <f t="shared" si="26"/>
        <v>0</v>
      </c>
      <c r="BE41" s="13">
        <f t="shared" si="26"/>
        <v>0</v>
      </c>
      <c r="BF41" s="13">
        <f t="shared" si="8"/>
        <v>0</v>
      </c>
    </row>
    <row r="42" spans="2:58" x14ac:dyDescent="0.3">
      <c r="B42" t="s">
        <v>937</v>
      </c>
      <c r="C42" t="s">
        <v>946</v>
      </c>
      <c r="D42" s="10">
        <v>17000</v>
      </c>
      <c r="E42">
        <v>0</v>
      </c>
      <c r="F42" s="13">
        <f t="shared" si="3"/>
        <v>0</v>
      </c>
      <c r="G42" s="12"/>
      <c r="T42" s="13">
        <f>IFERROR($D42*($E42/12),"")</f>
        <v>0</v>
      </c>
      <c r="U42" s="13">
        <f t="shared" si="27"/>
        <v>0</v>
      </c>
      <c r="V42" s="13">
        <f t="shared" si="27"/>
        <v>0</v>
      </c>
      <c r="W42" s="13">
        <f t="shared" si="27"/>
        <v>0</v>
      </c>
      <c r="X42" s="13">
        <f t="shared" si="27"/>
        <v>0</v>
      </c>
      <c r="Y42" s="13">
        <f t="shared" si="28"/>
        <v>0</v>
      </c>
      <c r="Z42" s="13">
        <f t="shared" si="28"/>
        <v>0</v>
      </c>
      <c r="AA42" s="13">
        <f t="shared" si="28"/>
        <v>0</v>
      </c>
      <c r="AB42" s="13">
        <f t="shared" si="28"/>
        <v>0</v>
      </c>
      <c r="AC42" s="13">
        <f t="shared" si="28"/>
        <v>0</v>
      </c>
      <c r="AD42" s="13">
        <f t="shared" si="28"/>
        <v>0</v>
      </c>
      <c r="AE42" s="13">
        <f t="shared" si="28"/>
        <v>0</v>
      </c>
      <c r="AF42" s="13">
        <f t="shared" si="4"/>
        <v>0</v>
      </c>
      <c r="AG42" s="13">
        <f t="shared" si="29"/>
        <v>0</v>
      </c>
      <c r="AH42" s="13">
        <f t="shared" si="25"/>
        <v>0</v>
      </c>
      <c r="AI42" s="13">
        <f t="shared" si="25"/>
        <v>0</v>
      </c>
      <c r="AJ42" s="13">
        <f t="shared" si="25"/>
        <v>0</v>
      </c>
      <c r="AK42" s="13">
        <f t="shared" si="25"/>
        <v>0</v>
      </c>
      <c r="AL42" s="13">
        <f t="shared" si="25"/>
        <v>0</v>
      </c>
      <c r="AM42" s="13">
        <f t="shared" si="25"/>
        <v>0</v>
      </c>
      <c r="AN42" s="13">
        <f t="shared" si="25"/>
        <v>0</v>
      </c>
      <c r="AO42" s="13">
        <f t="shared" si="25"/>
        <v>0</v>
      </c>
      <c r="AP42" s="13">
        <f t="shared" si="25"/>
        <v>0</v>
      </c>
      <c r="AQ42" s="13">
        <f t="shared" si="25"/>
        <v>0</v>
      </c>
      <c r="AR42" s="13">
        <f t="shared" si="25"/>
        <v>0</v>
      </c>
      <c r="AS42" s="13">
        <f t="shared" si="6"/>
        <v>0</v>
      </c>
      <c r="AT42" s="13">
        <f t="shared" si="26"/>
        <v>0</v>
      </c>
      <c r="AU42" s="13">
        <f t="shared" si="26"/>
        <v>0</v>
      </c>
      <c r="AV42" s="13">
        <f t="shared" si="26"/>
        <v>0</v>
      </c>
      <c r="AW42" s="13">
        <f t="shared" si="26"/>
        <v>0</v>
      </c>
      <c r="AX42" s="13">
        <f t="shared" si="26"/>
        <v>0</v>
      </c>
      <c r="AY42" s="13">
        <f t="shared" si="26"/>
        <v>0</v>
      </c>
      <c r="AZ42" s="13">
        <f t="shared" si="26"/>
        <v>0</v>
      </c>
      <c r="BA42" s="13">
        <f t="shared" si="26"/>
        <v>0</v>
      </c>
      <c r="BB42" s="13">
        <f t="shared" si="26"/>
        <v>0</v>
      </c>
      <c r="BC42" s="13">
        <f t="shared" si="26"/>
        <v>0</v>
      </c>
      <c r="BD42" s="13">
        <f t="shared" si="26"/>
        <v>0</v>
      </c>
      <c r="BE42" s="13">
        <f t="shared" si="26"/>
        <v>0</v>
      </c>
      <c r="BF42" s="13">
        <f t="shared" si="8"/>
        <v>0</v>
      </c>
    </row>
    <row r="43" spans="2:58" x14ac:dyDescent="0.3">
      <c r="B43" t="s">
        <v>933</v>
      </c>
      <c r="C43" t="s">
        <v>946</v>
      </c>
      <c r="D43" s="10">
        <v>15000</v>
      </c>
      <c r="E43">
        <v>12</v>
      </c>
      <c r="F43" s="13">
        <f t="shared" si="3"/>
        <v>15000</v>
      </c>
      <c r="G43" s="12"/>
      <c r="T43" s="13">
        <f>IFERROR($D43*($E43/12),"")</f>
        <v>15000</v>
      </c>
      <c r="U43" s="13">
        <f t="shared" si="27"/>
        <v>15000</v>
      </c>
      <c r="V43" s="13">
        <f t="shared" si="27"/>
        <v>15000</v>
      </c>
      <c r="W43" s="13">
        <f t="shared" si="27"/>
        <v>15000</v>
      </c>
      <c r="X43" s="13">
        <f t="shared" si="27"/>
        <v>15000</v>
      </c>
      <c r="Y43" s="13">
        <f t="shared" si="28"/>
        <v>15000</v>
      </c>
      <c r="Z43" s="13">
        <f t="shared" si="28"/>
        <v>15000</v>
      </c>
      <c r="AA43" s="13">
        <f t="shared" si="28"/>
        <v>15000</v>
      </c>
      <c r="AB43" s="13">
        <f t="shared" si="28"/>
        <v>15000</v>
      </c>
      <c r="AC43" s="13">
        <f t="shared" si="28"/>
        <v>15000</v>
      </c>
      <c r="AD43" s="13">
        <f t="shared" si="28"/>
        <v>15000</v>
      </c>
      <c r="AE43" s="13">
        <f t="shared" si="28"/>
        <v>15000</v>
      </c>
      <c r="AF43" s="13">
        <f t="shared" si="4"/>
        <v>180000</v>
      </c>
      <c r="AG43" s="13">
        <f t="shared" si="29"/>
        <v>15000</v>
      </c>
      <c r="AH43" s="13">
        <f t="shared" si="25"/>
        <v>15000</v>
      </c>
      <c r="AI43" s="13">
        <f t="shared" si="25"/>
        <v>15000</v>
      </c>
      <c r="AJ43" s="13">
        <f t="shared" si="25"/>
        <v>15000</v>
      </c>
      <c r="AK43" s="13">
        <f t="shared" si="25"/>
        <v>15000</v>
      </c>
      <c r="AL43" s="13">
        <f t="shared" si="25"/>
        <v>15000</v>
      </c>
      <c r="AM43" s="13">
        <f t="shared" si="25"/>
        <v>15000</v>
      </c>
      <c r="AN43" s="13">
        <f t="shared" si="25"/>
        <v>15000</v>
      </c>
      <c r="AO43" s="13">
        <f t="shared" si="25"/>
        <v>15000</v>
      </c>
      <c r="AP43" s="13">
        <f t="shared" si="25"/>
        <v>15000</v>
      </c>
      <c r="AQ43" s="13">
        <f t="shared" si="25"/>
        <v>15000</v>
      </c>
      <c r="AR43" s="13">
        <f t="shared" si="25"/>
        <v>15000</v>
      </c>
      <c r="AS43" s="13">
        <f t="shared" si="6"/>
        <v>180000</v>
      </c>
      <c r="AT43" s="13">
        <f t="shared" si="26"/>
        <v>15000</v>
      </c>
      <c r="AU43" s="13">
        <f t="shared" si="26"/>
        <v>15000</v>
      </c>
      <c r="AV43" s="13">
        <f t="shared" si="26"/>
        <v>15000</v>
      </c>
      <c r="AW43" s="13">
        <f t="shared" si="26"/>
        <v>15000</v>
      </c>
      <c r="AX43" s="13">
        <f t="shared" si="26"/>
        <v>15000</v>
      </c>
      <c r="AY43" s="13">
        <f t="shared" si="26"/>
        <v>15000</v>
      </c>
      <c r="AZ43" s="13">
        <f t="shared" si="26"/>
        <v>15000</v>
      </c>
      <c r="BA43" s="13">
        <f t="shared" si="26"/>
        <v>15000</v>
      </c>
      <c r="BB43" s="13">
        <f t="shared" si="26"/>
        <v>15000</v>
      </c>
      <c r="BC43" s="13">
        <f t="shared" si="26"/>
        <v>15000</v>
      </c>
      <c r="BD43" s="13">
        <f t="shared" si="26"/>
        <v>15000</v>
      </c>
      <c r="BE43" s="13">
        <f t="shared" si="26"/>
        <v>15000</v>
      </c>
      <c r="BF43" s="13">
        <f t="shared" si="8"/>
        <v>180000</v>
      </c>
    </row>
    <row r="44" spans="2:58" x14ac:dyDescent="0.3">
      <c r="B44" t="s">
        <v>934</v>
      </c>
      <c r="C44" t="s">
        <v>946</v>
      </c>
      <c r="D44" s="10"/>
      <c r="F44" s="13">
        <f t="shared" si="3"/>
        <v>0</v>
      </c>
      <c r="G44" s="12"/>
      <c r="T44" s="13">
        <f t="shared" ref="T44:AE62" si="30">IFERROR($D44*($E44/12),"")</f>
        <v>0</v>
      </c>
      <c r="U44" s="13">
        <f t="shared" si="30"/>
        <v>0</v>
      </c>
      <c r="V44" s="13">
        <f t="shared" si="30"/>
        <v>0</v>
      </c>
      <c r="W44" s="13">
        <f t="shared" si="30"/>
        <v>0</v>
      </c>
      <c r="X44" s="13">
        <f t="shared" si="30"/>
        <v>0</v>
      </c>
      <c r="Y44" s="13">
        <f t="shared" si="30"/>
        <v>0</v>
      </c>
      <c r="Z44" s="13">
        <f t="shared" si="30"/>
        <v>0</v>
      </c>
      <c r="AA44" s="13">
        <f t="shared" si="30"/>
        <v>0</v>
      </c>
      <c r="AB44" s="13">
        <f t="shared" si="30"/>
        <v>0</v>
      </c>
      <c r="AC44" s="13">
        <f t="shared" si="30"/>
        <v>0</v>
      </c>
      <c r="AD44" s="13">
        <f t="shared" si="30"/>
        <v>0</v>
      </c>
      <c r="AE44" s="13">
        <f t="shared" si="30"/>
        <v>0</v>
      </c>
      <c r="AF44" s="13">
        <f t="shared" si="4"/>
        <v>0</v>
      </c>
      <c r="AG44" s="13">
        <f t="shared" si="29"/>
        <v>0</v>
      </c>
      <c r="AH44" s="13">
        <f t="shared" si="25"/>
        <v>0</v>
      </c>
      <c r="AI44" s="13">
        <f t="shared" si="25"/>
        <v>0</v>
      </c>
      <c r="AJ44" s="13">
        <f t="shared" si="25"/>
        <v>0</v>
      </c>
      <c r="AK44" s="13">
        <f t="shared" si="25"/>
        <v>0</v>
      </c>
      <c r="AL44" s="13">
        <f t="shared" si="25"/>
        <v>0</v>
      </c>
      <c r="AM44" s="13">
        <f t="shared" si="25"/>
        <v>0</v>
      </c>
      <c r="AN44" s="13">
        <f t="shared" si="25"/>
        <v>0</v>
      </c>
      <c r="AO44" s="13">
        <f t="shared" si="25"/>
        <v>0</v>
      </c>
      <c r="AP44" s="13">
        <f t="shared" si="25"/>
        <v>0</v>
      </c>
      <c r="AQ44" s="13">
        <f t="shared" si="25"/>
        <v>0</v>
      </c>
      <c r="AR44" s="13">
        <f t="shared" si="25"/>
        <v>0</v>
      </c>
      <c r="AS44" s="13">
        <f t="shared" si="6"/>
        <v>0</v>
      </c>
      <c r="AT44" s="13">
        <f t="shared" si="26"/>
        <v>0</v>
      </c>
      <c r="AU44" s="13">
        <f t="shared" si="26"/>
        <v>0</v>
      </c>
      <c r="AV44" s="13">
        <f t="shared" si="26"/>
        <v>0</v>
      </c>
      <c r="AW44" s="13">
        <f t="shared" si="26"/>
        <v>0</v>
      </c>
      <c r="AX44" s="13">
        <f t="shared" si="26"/>
        <v>0</v>
      </c>
      <c r="AY44" s="13">
        <f t="shared" si="26"/>
        <v>0</v>
      </c>
      <c r="AZ44" s="13">
        <f t="shared" si="26"/>
        <v>0</v>
      </c>
      <c r="BA44" s="13">
        <f t="shared" si="26"/>
        <v>0</v>
      </c>
      <c r="BB44" s="13">
        <f t="shared" si="26"/>
        <v>0</v>
      </c>
      <c r="BC44" s="13">
        <f t="shared" si="26"/>
        <v>0</v>
      </c>
      <c r="BD44" s="13">
        <f t="shared" si="26"/>
        <v>0</v>
      </c>
      <c r="BE44" s="13">
        <f t="shared" si="26"/>
        <v>0</v>
      </c>
      <c r="BF44" s="13">
        <f t="shared" si="8"/>
        <v>0</v>
      </c>
    </row>
    <row r="45" spans="2:58" x14ac:dyDescent="0.3">
      <c r="B45" t="s">
        <v>935</v>
      </c>
      <c r="C45" t="s">
        <v>946</v>
      </c>
      <c r="F45" s="13">
        <f t="shared" si="3"/>
        <v>0</v>
      </c>
      <c r="G45" s="12"/>
      <c r="T45" s="13">
        <f t="shared" si="30"/>
        <v>0</v>
      </c>
      <c r="U45" s="13">
        <f t="shared" si="30"/>
        <v>0</v>
      </c>
      <c r="V45" s="13">
        <f t="shared" si="30"/>
        <v>0</v>
      </c>
      <c r="W45" s="13">
        <f t="shared" si="30"/>
        <v>0</v>
      </c>
      <c r="X45" s="13">
        <f t="shared" si="30"/>
        <v>0</v>
      </c>
      <c r="Y45" s="13">
        <f t="shared" si="30"/>
        <v>0</v>
      </c>
      <c r="Z45" s="13">
        <f t="shared" si="30"/>
        <v>0</v>
      </c>
      <c r="AA45" s="13">
        <f t="shared" si="30"/>
        <v>0</v>
      </c>
      <c r="AB45" s="13">
        <f t="shared" si="30"/>
        <v>0</v>
      </c>
      <c r="AC45" s="13">
        <f t="shared" si="30"/>
        <v>0</v>
      </c>
      <c r="AD45" s="13">
        <f t="shared" si="30"/>
        <v>0</v>
      </c>
      <c r="AE45" s="13">
        <f t="shared" si="30"/>
        <v>0</v>
      </c>
      <c r="AF45" s="13">
        <f t="shared" si="4"/>
        <v>0</v>
      </c>
      <c r="AG45" s="13">
        <f t="shared" si="29"/>
        <v>0</v>
      </c>
      <c r="AH45" s="13">
        <f t="shared" si="25"/>
        <v>0</v>
      </c>
      <c r="AI45" s="13">
        <f t="shared" si="25"/>
        <v>0</v>
      </c>
      <c r="AJ45" s="13">
        <f t="shared" si="25"/>
        <v>0</v>
      </c>
      <c r="AK45" s="13">
        <f t="shared" si="25"/>
        <v>0</v>
      </c>
      <c r="AL45" s="13">
        <f t="shared" si="25"/>
        <v>0</v>
      </c>
      <c r="AM45" s="13">
        <f t="shared" si="25"/>
        <v>0</v>
      </c>
      <c r="AN45" s="13">
        <f t="shared" si="25"/>
        <v>0</v>
      </c>
      <c r="AO45" s="13">
        <f t="shared" si="25"/>
        <v>0</v>
      </c>
      <c r="AP45" s="13">
        <f t="shared" si="25"/>
        <v>0</v>
      </c>
      <c r="AQ45" s="13">
        <f t="shared" si="25"/>
        <v>0</v>
      </c>
      <c r="AR45" s="13">
        <f t="shared" si="25"/>
        <v>0</v>
      </c>
      <c r="AS45" s="13">
        <f t="shared" si="6"/>
        <v>0</v>
      </c>
      <c r="AT45" s="13">
        <f t="shared" si="26"/>
        <v>0</v>
      </c>
      <c r="AU45" s="13">
        <f t="shared" si="26"/>
        <v>0</v>
      </c>
      <c r="AV45" s="13">
        <f t="shared" si="26"/>
        <v>0</v>
      </c>
      <c r="AW45" s="13">
        <f t="shared" si="26"/>
        <v>0</v>
      </c>
      <c r="AX45" s="13">
        <f t="shared" si="26"/>
        <v>0</v>
      </c>
      <c r="AY45" s="13">
        <f t="shared" si="26"/>
        <v>0</v>
      </c>
      <c r="AZ45" s="13">
        <f t="shared" si="26"/>
        <v>0</v>
      </c>
      <c r="BA45" s="13">
        <f t="shared" si="26"/>
        <v>0</v>
      </c>
      <c r="BB45" s="13">
        <f t="shared" si="26"/>
        <v>0</v>
      </c>
      <c r="BC45" s="13">
        <f t="shared" si="26"/>
        <v>0</v>
      </c>
      <c r="BD45" s="13">
        <f t="shared" si="26"/>
        <v>0</v>
      </c>
      <c r="BE45" s="13">
        <f t="shared" si="26"/>
        <v>0</v>
      </c>
      <c r="BF45" s="13">
        <f t="shared" si="8"/>
        <v>0</v>
      </c>
    </row>
    <row r="46" spans="2:58" x14ac:dyDescent="0.3">
      <c r="B46" t="s">
        <v>1879</v>
      </c>
      <c r="F46" s="13"/>
      <c r="G46" s="12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>
        <v>100000</v>
      </c>
      <c r="AH46" s="13">
        <v>100000</v>
      </c>
      <c r="AI46" s="13">
        <v>100000</v>
      </c>
      <c r="AJ46" s="13">
        <v>100000</v>
      </c>
      <c r="AK46" s="13">
        <v>100000</v>
      </c>
      <c r="AL46" s="13">
        <v>100000</v>
      </c>
      <c r="AM46" s="13">
        <v>100000</v>
      </c>
      <c r="AN46" s="13">
        <v>100000</v>
      </c>
      <c r="AO46" s="13">
        <v>100000</v>
      </c>
      <c r="AP46" s="13">
        <v>100000</v>
      </c>
      <c r="AQ46" s="13">
        <v>100000</v>
      </c>
      <c r="AR46" s="13">
        <v>100000</v>
      </c>
      <c r="AS46" s="13">
        <f t="shared" si="6"/>
        <v>1200000</v>
      </c>
      <c r="AT46" s="13">
        <v>100000</v>
      </c>
      <c r="AU46" s="13">
        <v>100000</v>
      </c>
      <c r="AV46" s="13">
        <v>100000</v>
      </c>
      <c r="AW46" s="13">
        <v>100000</v>
      </c>
      <c r="AX46" s="13">
        <v>100000</v>
      </c>
      <c r="AY46" s="13">
        <v>100000</v>
      </c>
      <c r="AZ46" s="13">
        <v>100000</v>
      </c>
      <c r="BA46" s="13">
        <v>100000</v>
      </c>
      <c r="BB46" s="13">
        <v>100000</v>
      </c>
      <c r="BC46" s="13">
        <v>100000</v>
      </c>
      <c r="BD46" s="13">
        <v>100000</v>
      </c>
      <c r="BE46" s="13">
        <v>100000</v>
      </c>
      <c r="BF46" s="13">
        <f t="shared" si="8"/>
        <v>1200000</v>
      </c>
    </row>
    <row r="47" spans="2:58" x14ac:dyDescent="0.3">
      <c r="F47" s="13"/>
      <c r="G47" s="12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>
        <f t="shared" si="4"/>
        <v>0</v>
      </c>
      <c r="AG47" s="13">
        <f t="shared" si="29"/>
        <v>0</v>
      </c>
      <c r="AS47" s="13">
        <f t="shared" si="6"/>
        <v>0</v>
      </c>
      <c r="BF47" s="13">
        <f t="shared" si="8"/>
        <v>0</v>
      </c>
    </row>
    <row r="48" spans="2:58" x14ac:dyDescent="0.3">
      <c r="B48" s="4" t="s">
        <v>1000</v>
      </c>
      <c r="F48" s="13"/>
      <c r="G48" s="12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>
        <f t="shared" si="4"/>
        <v>0</v>
      </c>
      <c r="AG48" s="13">
        <f t="shared" si="29"/>
        <v>0</v>
      </c>
      <c r="AS48" s="13">
        <f t="shared" si="6"/>
        <v>0</v>
      </c>
      <c r="BF48" s="13">
        <f t="shared" si="8"/>
        <v>0</v>
      </c>
    </row>
    <row r="49" spans="2:58" x14ac:dyDescent="0.3">
      <c r="B49" t="s">
        <v>996</v>
      </c>
      <c r="C49" t="s">
        <v>1000</v>
      </c>
      <c r="D49" s="10">
        <v>25000</v>
      </c>
      <c r="E49">
        <v>12</v>
      </c>
      <c r="F49" s="13">
        <f t="shared" si="3"/>
        <v>25000</v>
      </c>
      <c r="G49" s="12"/>
      <c r="T49" s="13">
        <f t="shared" si="30"/>
        <v>25000</v>
      </c>
      <c r="U49" s="13">
        <f t="shared" si="30"/>
        <v>25000</v>
      </c>
      <c r="V49" s="13">
        <f t="shared" si="30"/>
        <v>25000</v>
      </c>
      <c r="W49" s="13">
        <f t="shared" si="30"/>
        <v>25000</v>
      </c>
      <c r="X49" s="13">
        <f t="shared" si="30"/>
        <v>25000</v>
      </c>
      <c r="Y49" s="13">
        <f t="shared" si="30"/>
        <v>25000</v>
      </c>
      <c r="Z49" s="13">
        <f t="shared" si="30"/>
        <v>25000</v>
      </c>
      <c r="AA49" s="13">
        <f t="shared" si="30"/>
        <v>25000</v>
      </c>
      <c r="AB49" s="13">
        <f t="shared" si="30"/>
        <v>25000</v>
      </c>
      <c r="AC49" s="13">
        <f t="shared" si="30"/>
        <v>25000</v>
      </c>
      <c r="AD49" s="13">
        <f t="shared" si="30"/>
        <v>25000</v>
      </c>
      <c r="AE49" s="13">
        <f t="shared" si="30"/>
        <v>25000</v>
      </c>
      <c r="AF49" s="13">
        <f t="shared" si="4"/>
        <v>300000</v>
      </c>
      <c r="AG49" s="13">
        <v>50000</v>
      </c>
      <c r="AH49" s="13">
        <v>50000</v>
      </c>
      <c r="AI49" s="13">
        <v>50000</v>
      </c>
      <c r="AJ49" s="13">
        <v>50000</v>
      </c>
      <c r="AK49" s="13">
        <v>50000</v>
      </c>
      <c r="AL49" s="13">
        <v>50000</v>
      </c>
      <c r="AM49" s="13">
        <v>50000</v>
      </c>
      <c r="AN49" s="13">
        <v>50000</v>
      </c>
      <c r="AO49" s="13">
        <v>50000</v>
      </c>
      <c r="AP49" s="13">
        <v>50000</v>
      </c>
      <c r="AQ49" s="13">
        <v>50000</v>
      </c>
      <c r="AR49" s="13">
        <v>50000</v>
      </c>
      <c r="AS49" s="13">
        <f t="shared" si="6"/>
        <v>600000</v>
      </c>
      <c r="AT49" s="293">
        <v>75000</v>
      </c>
      <c r="AU49" s="293">
        <v>75000</v>
      </c>
      <c r="AV49" s="293">
        <v>75000</v>
      </c>
      <c r="AW49" s="293">
        <v>75000</v>
      </c>
      <c r="AX49" s="293">
        <v>75000</v>
      </c>
      <c r="AY49" s="293">
        <v>75000</v>
      </c>
      <c r="AZ49" s="293">
        <v>75000</v>
      </c>
      <c r="BA49" s="293">
        <v>75000</v>
      </c>
      <c r="BB49" s="293">
        <v>75000</v>
      </c>
      <c r="BC49" s="293">
        <v>75000</v>
      </c>
      <c r="BD49" s="293">
        <v>75000</v>
      </c>
      <c r="BE49" s="293">
        <v>75000</v>
      </c>
      <c r="BF49" s="13">
        <f t="shared" si="8"/>
        <v>900000</v>
      </c>
    </row>
    <row r="50" spans="2:58" x14ac:dyDescent="0.3">
      <c r="D50" s="10"/>
      <c r="F50" s="13">
        <f t="shared" si="3"/>
        <v>0</v>
      </c>
      <c r="G50" s="12"/>
      <c r="T50" s="13">
        <f t="shared" si="30"/>
        <v>0</v>
      </c>
      <c r="U50" s="13">
        <f t="shared" si="30"/>
        <v>0</v>
      </c>
      <c r="V50" s="13">
        <f t="shared" si="30"/>
        <v>0</v>
      </c>
      <c r="W50" s="13">
        <f t="shared" si="30"/>
        <v>0</v>
      </c>
      <c r="X50" s="13">
        <f t="shared" si="30"/>
        <v>0</v>
      </c>
      <c r="Y50" s="13">
        <f t="shared" si="30"/>
        <v>0</v>
      </c>
      <c r="Z50" s="13">
        <f t="shared" si="30"/>
        <v>0</v>
      </c>
      <c r="AA50" s="13">
        <f t="shared" si="30"/>
        <v>0</v>
      </c>
      <c r="AB50" s="13">
        <f t="shared" si="30"/>
        <v>0</v>
      </c>
      <c r="AC50" s="13">
        <f t="shared" si="30"/>
        <v>0</v>
      </c>
      <c r="AD50" s="13">
        <f t="shared" si="30"/>
        <v>0</v>
      </c>
      <c r="AE50" s="13">
        <f t="shared" si="30"/>
        <v>0</v>
      </c>
      <c r="AF50" s="13">
        <f t="shared" si="4"/>
        <v>0</v>
      </c>
      <c r="AG50" s="13">
        <f t="shared" si="29"/>
        <v>0</v>
      </c>
      <c r="AS50" s="13">
        <f t="shared" si="6"/>
        <v>0</v>
      </c>
      <c r="BF50" s="13">
        <f t="shared" si="8"/>
        <v>0</v>
      </c>
    </row>
    <row r="51" spans="2:58" x14ac:dyDescent="0.3">
      <c r="B51" s="4" t="s">
        <v>947</v>
      </c>
      <c r="C51" s="4"/>
      <c r="D51" s="10"/>
      <c r="F51" s="13">
        <f t="shared" si="3"/>
        <v>0</v>
      </c>
      <c r="G51" s="12"/>
      <c r="T51" s="13">
        <f t="shared" si="30"/>
        <v>0</v>
      </c>
      <c r="U51" s="13">
        <f t="shared" si="30"/>
        <v>0</v>
      </c>
      <c r="V51" s="13">
        <f t="shared" si="30"/>
        <v>0</v>
      </c>
      <c r="W51" s="13">
        <f t="shared" si="30"/>
        <v>0</v>
      </c>
      <c r="X51" s="13">
        <f t="shared" si="30"/>
        <v>0</v>
      </c>
      <c r="Y51" s="13">
        <f t="shared" si="30"/>
        <v>0</v>
      </c>
      <c r="Z51" s="13">
        <f t="shared" si="30"/>
        <v>0</v>
      </c>
      <c r="AA51" s="13">
        <f t="shared" si="30"/>
        <v>0</v>
      </c>
      <c r="AB51" s="13">
        <f t="shared" si="30"/>
        <v>0</v>
      </c>
      <c r="AC51" s="13">
        <f t="shared" si="30"/>
        <v>0</v>
      </c>
      <c r="AD51" s="13">
        <f t="shared" si="30"/>
        <v>0</v>
      </c>
      <c r="AE51" s="13">
        <f t="shared" si="30"/>
        <v>0</v>
      </c>
      <c r="AF51" s="13">
        <f t="shared" si="4"/>
        <v>0</v>
      </c>
      <c r="AG51" s="13">
        <f t="shared" si="29"/>
        <v>0</v>
      </c>
      <c r="AS51" s="13">
        <f t="shared" si="6"/>
        <v>0</v>
      </c>
      <c r="BF51" s="13">
        <f t="shared" si="8"/>
        <v>0</v>
      </c>
    </row>
    <row r="52" spans="2:58" x14ac:dyDescent="0.3">
      <c r="B52" t="s">
        <v>1574</v>
      </c>
      <c r="D52" s="1">
        <v>27500</v>
      </c>
      <c r="E52">
        <v>12</v>
      </c>
      <c r="F52" s="13">
        <f t="shared" si="3"/>
        <v>27500</v>
      </c>
      <c r="G52" s="12"/>
      <c r="T52" s="13"/>
      <c r="U52" s="13"/>
      <c r="V52" s="13"/>
      <c r="W52" s="13">
        <f t="shared" si="30"/>
        <v>27500</v>
      </c>
      <c r="X52" s="13">
        <f t="shared" si="30"/>
        <v>27500</v>
      </c>
      <c r="Y52" s="13">
        <f t="shared" si="30"/>
        <v>27500</v>
      </c>
      <c r="Z52" s="13">
        <f t="shared" si="30"/>
        <v>27500</v>
      </c>
      <c r="AA52" s="13">
        <f t="shared" si="30"/>
        <v>27500</v>
      </c>
      <c r="AB52" s="13">
        <f t="shared" si="30"/>
        <v>27500</v>
      </c>
      <c r="AC52" s="13">
        <f t="shared" si="30"/>
        <v>27500</v>
      </c>
      <c r="AD52" s="13">
        <f t="shared" si="30"/>
        <v>27500</v>
      </c>
      <c r="AE52" s="13">
        <f t="shared" si="30"/>
        <v>27500</v>
      </c>
      <c r="AF52" s="13">
        <f t="shared" si="4"/>
        <v>247500</v>
      </c>
      <c r="AG52" s="13">
        <f t="shared" si="29"/>
        <v>27500</v>
      </c>
      <c r="AH52" s="13">
        <f t="shared" ref="AH52:AR52" si="31">IFERROR($D52*($E52/12),"")</f>
        <v>27500</v>
      </c>
      <c r="AI52" s="13">
        <f t="shared" si="31"/>
        <v>27500</v>
      </c>
      <c r="AJ52" s="13">
        <f t="shared" si="31"/>
        <v>27500</v>
      </c>
      <c r="AK52" s="13">
        <f t="shared" si="31"/>
        <v>27500</v>
      </c>
      <c r="AL52" s="13">
        <f t="shared" si="31"/>
        <v>27500</v>
      </c>
      <c r="AM52" s="13">
        <f t="shared" si="31"/>
        <v>27500</v>
      </c>
      <c r="AN52" s="13">
        <f t="shared" si="31"/>
        <v>27500</v>
      </c>
      <c r="AO52" s="13">
        <f t="shared" si="31"/>
        <v>27500</v>
      </c>
      <c r="AP52" s="13">
        <f t="shared" si="31"/>
        <v>27500</v>
      </c>
      <c r="AQ52" s="13">
        <f t="shared" si="31"/>
        <v>27500</v>
      </c>
      <c r="AR52" s="13">
        <f t="shared" si="31"/>
        <v>27500</v>
      </c>
      <c r="AS52" s="13">
        <f t="shared" si="6"/>
        <v>330000</v>
      </c>
      <c r="BF52" s="13">
        <f t="shared" si="8"/>
        <v>0</v>
      </c>
    </row>
    <row r="53" spans="2:58" x14ac:dyDescent="0.3">
      <c r="F53" s="13">
        <f t="shared" si="3"/>
        <v>0</v>
      </c>
      <c r="G53" s="12"/>
      <c r="T53" s="13">
        <f t="shared" si="30"/>
        <v>0</v>
      </c>
      <c r="U53" s="13">
        <f t="shared" si="30"/>
        <v>0</v>
      </c>
      <c r="V53" s="13">
        <f t="shared" si="30"/>
        <v>0</v>
      </c>
      <c r="W53" s="13">
        <f t="shared" si="30"/>
        <v>0</v>
      </c>
      <c r="X53" s="13">
        <f t="shared" si="30"/>
        <v>0</v>
      </c>
      <c r="Y53" s="13">
        <f t="shared" si="30"/>
        <v>0</v>
      </c>
      <c r="Z53" s="13">
        <f t="shared" si="30"/>
        <v>0</v>
      </c>
      <c r="AA53" s="13">
        <f t="shared" si="30"/>
        <v>0</v>
      </c>
      <c r="AB53" s="13">
        <f t="shared" si="30"/>
        <v>0</v>
      </c>
      <c r="AC53" s="13">
        <f t="shared" si="30"/>
        <v>0</v>
      </c>
      <c r="AD53" s="13">
        <f t="shared" si="30"/>
        <v>0</v>
      </c>
      <c r="AE53" s="13">
        <f t="shared" si="30"/>
        <v>0</v>
      </c>
      <c r="AF53" s="13">
        <f t="shared" si="4"/>
        <v>0</v>
      </c>
      <c r="AG53" s="13">
        <f t="shared" si="29"/>
        <v>0</v>
      </c>
      <c r="AS53" s="13">
        <f t="shared" si="6"/>
        <v>0</v>
      </c>
      <c r="BF53" s="13">
        <f t="shared" si="8"/>
        <v>0</v>
      </c>
    </row>
    <row r="54" spans="2:58" x14ac:dyDescent="0.3">
      <c r="B54" s="4" t="s">
        <v>948</v>
      </c>
      <c r="C54" s="4"/>
      <c r="D54" s="10"/>
      <c r="F54" s="13">
        <f t="shared" si="3"/>
        <v>0</v>
      </c>
      <c r="G54" s="12"/>
      <c r="T54" s="13">
        <f t="shared" si="30"/>
        <v>0</v>
      </c>
      <c r="U54" s="13">
        <f t="shared" si="30"/>
        <v>0</v>
      </c>
      <c r="V54" s="13">
        <f t="shared" si="30"/>
        <v>0</v>
      </c>
      <c r="W54" s="13">
        <f t="shared" si="30"/>
        <v>0</v>
      </c>
      <c r="X54" s="13">
        <f t="shared" si="30"/>
        <v>0</v>
      </c>
      <c r="Y54" s="13">
        <f t="shared" si="30"/>
        <v>0</v>
      </c>
      <c r="Z54" s="13">
        <f t="shared" si="30"/>
        <v>0</v>
      </c>
      <c r="AA54" s="13">
        <f t="shared" si="30"/>
        <v>0</v>
      </c>
      <c r="AB54" s="13">
        <f t="shared" si="30"/>
        <v>0</v>
      </c>
      <c r="AC54" s="13">
        <f t="shared" si="30"/>
        <v>0</v>
      </c>
      <c r="AD54" s="13">
        <f t="shared" si="30"/>
        <v>0</v>
      </c>
      <c r="AE54" s="13">
        <f t="shared" si="30"/>
        <v>0</v>
      </c>
      <c r="AF54" s="13">
        <f t="shared" si="4"/>
        <v>0</v>
      </c>
      <c r="AG54" s="13">
        <f t="shared" si="29"/>
        <v>0</v>
      </c>
      <c r="AS54" s="13">
        <f t="shared" si="6"/>
        <v>0</v>
      </c>
      <c r="BF54" s="13">
        <f t="shared" si="8"/>
        <v>0</v>
      </c>
    </row>
    <row r="55" spans="2:58" x14ac:dyDescent="0.3">
      <c r="B55" t="s">
        <v>988</v>
      </c>
      <c r="C55" t="s">
        <v>948</v>
      </c>
      <c r="D55" s="10">
        <f>SUMIFS(Seguros!J:J,Seguros!I:I,"PRESTACIONES")</f>
        <v>276676.15999999997</v>
      </c>
      <c r="E55">
        <v>1</v>
      </c>
      <c r="F55" s="13">
        <f t="shared" si="3"/>
        <v>23056.346666666665</v>
      </c>
      <c r="G55" s="12"/>
      <c r="T55" s="13">
        <f t="shared" si="30"/>
        <v>23056.346666666665</v>
      </c>
      <c r="U55" s="13">
        <f t="shared" si="30"/>
        <v>23056.346666666665</v>
      </c>
      <c r="V55" s="13">
        <f t="shared" si="30"/>
        <v>23056.346666666665</v>
      </c>
      <c r="W55" s="13">
        <f t="shared" si="30"/>
        <v>23056.346666666665</v>
      </c>
      <c r="X55" s="13">
        <f t="shared" si="30"/>
        <v>23056.346666666665</v>
      </c>
      <c r="Y55" s="13">
        <f t="shared" si="30"/>
        <v>23056.346666666665</v>
      </c>
      <c r="Z55" s="13">
        <f t="shared" si="30"/>
        <v>23056.346666666665</v>
      </c>
      <c r="AA55" s="13">
        <f t="shared" si="30"/>
        <v>23056.346666666665</v>
      </c>
      <c r="AB55" s="13">
        <f t="shared" si="30"/>
        <v>23056.346666666665</v>
      </c>
      <c r="AC55" s="13">
        <f t="shared" si="30"/>
        <v>23056.346666666665</v>
      </c>
      <c r="AD55" s="13">
        <f t="shared" si="30"/>
        <v>23056.346666666665</v>
      </c>
      <c r="AE55" s="13">
        <f t="shared" si="30"/>
        <v>23056.346666666665</v>
      </c>
      <c r="AF55" s="13">
        <f t="shared" si="4"/>
        <v>276676.16000000003</v>
      </c>
      <c r="AG55" s="13">
        <f t="shared" si="29"/>
        <v>23056.346666666665</v>
      </c>
      <c r="AH55" s="13">
        <f t="shared" ref="AH55:AW62" si="32">IFERROR($D55*($E55/12),"")</f>
        <v>23056.346666666665</v>
      </c>
      <c r="AI55" s="13">
        <f t="shared" si="32"/>
        <v>23056.346666666665</v>
      </c>
      <c r="AJ55" s="13">
        <f t="shared" si="32"/>
        <v>23056.346666666665</v>
      </c>
      <c r="AK55" s="13">
        <f t="shared" si="32"/>
        <v>23056.346666666665</v>
      </c>
      <c r="AL55" s="13">
        <f t="shared" si="32"/>
        <v>23056.346666666665</v>
      </c>
      <c r="AM55" s="13">
        <f t="shared" si="32"/>
        <v>23056.346666666665</v>
      </c>
      <c r="AN55" s="13">
        <f t="shared" si="32"/>
        <v>23056.346666666665</v>
      </c>
      <c r="AO55" s="13">
        <f t="shared" si="32"/>
        <v>23056.346666666665</v>
      </c>
      <c r="AP55" s="13">
        <f t="shared" si="32"/>
        <v>23056.346666666665</v>
      </c>
      <c r="AQ55" s="13">
        <f t="shared" si="32"/>
        <v>23056.346666666665</v>
      </c>
      <c r="AR55" s="13">
        <f t="shared" si="32"/>
        <v>23056.346666666665</v>
      </c>
      <c r="AS55" s="13">
        <f t="shared" si="6"/>
        <v>276676.16000000003</v>
      </c>
      <c r="AT55" s="13">
        <f t="shared" si="32"/>
        <v>23056.346666666665</v>
      </c>
      <c r="AU55" s="13">
        <f t="shared" si="32"/>
        <v>23056.346666666665</v>
      </c>
      <c r="AV55" s="13">
        <f t="shared" si="32"/>
        <v>23056.346666666665</v>
      </c>
      <c r="AW55" s="13">
        <f t="shared" si="32"/>
        <v>23056.346666666665</v>
      </c>
      <c r="AX55" s="13">
        <f t="shared" ref="AT55:BE62" si="33">IFERROR($D55*($E55/12),"")</f>
        <v>23056.346666666665</v>
      </c>
      <c r="AY55" s="13">
        <f t="shared" si="33"/>
        <v>23056.346666666665</v>
      </c>
      <c r="AZ55" s="13">
        <f t="shared" si="33"/>
        <v>23056.346666666665</v>
      </c>
      <c r="BA55" s="13">
        <f t="shared" si="33"/>
        <v>23056.346666666665</v>
      </c>
      <c r="BB55" s="13">
        <f t="shared" si="33"/>
        <v>23056.346666666665</v>
      </c>
      <c r="BC55" s="13">
        <f t="shared" si="33"/>
        <v>23056.346666666665</v>
      </c>
      <c r="BD55" s="13">
        <f t="shared" si="33"/>
        <v>23056.346666666665</v>
      </c>
      <c r="BE55" s="13">
        <f t="shared" si="33"/>
        <v>23056.346666666665</v>
      </c>
      <c r="BF55" s="13">
        <f t="shared" si="8"/>
        <v>276676.16000000003</v>
      </c>
    </row>
    <row r="56" spans="2:58" x14ac:dyDescent="0.3">
      <c r="B56" t="s">
        <v>926</v>
      </c>
      <c r="C56" t="s">
        <v>948</v>
      </c>
      <c r="D56" s="10">
        <f>SUMIFS(Seguros!J:J,Seguros!I:I,"DAÑOS")</f>
        <v>380392.16499999998</v>
      </c>
      <c r="E56">
        <v>1</v>
      </c>
      <c r="F56" s="13">
        <f t="shared" si="3"/>
        <v>31699.34708333333</v>
      </c>
      <c r="G56" s="12"/>
      <c r="T56" s="13">
        <f t="shared" si="30"/>
        <v>31699.34708333333</v>
      </c>
      <c r="U56" s="13">
        <f t="shared" si="30"/>
        <v>31699.34708333333</v>
      </c>
      <c r="V56" s="13">
        <f t="shared" si="30"/>
        <v>31699.34708333333</v>
      </c>
      <c r="W56" s="13">
        <f t="shared" si="30"/>
        <v>31699.34708333333</v>
      </c>
      <c r="X56" s="13">
        <f t="shared" si="30"/>
        <v>31699.34708333333</v>
      </c>
      <c r="Y56" s="13">
        <f t="shared" si="30"/>
        <v>31699.34708333333</v>
      </c>
      <c r="Z56" s="13">
        <f t="shared" si="30"/>
        <v>31699.34708333333</v>
      </c>
      <c r="AA56" s="13">
        <f t="shared" si="30"/>
        <v>31699.34708333333</v>
      </c>
      <c r="AB56" s="13">
        <f t="shared" si="30"/>
        <v>31699.34708333333</v>
      </c>
      <c r="AC56" s="13">
        <f t="shared" si="30"/>
        <v>31699.34708333333</v>
      </c>
      <c r="AD56" s="13">
        <f t="shared" si="30"/>
        <v>31699.34708333333</v>
      </c>
      <c r="AE56" s="13">
        <f t="shared" si="30"/>
        <v>31699.34708333333</v>
      </c>
      <c r="AF56" s="13">
        <f t="shared" si="4"/>
        <v>380392.16500000004</v>
      </c>
      <c r="AG56" s="13">
        <f t="shared" si="29"/>
        <v>31699.34708333333</v>
      </c>
      <c r="AH56" s="13">
        <f t="shared" si="32"/>
        <v>31699.34708333333</v>
      </c>
      <c r="AI56" s="13">
        <f t="shared" si="32"/>
        <v>31699.34708333333</v>
      </c>
      <c r="AJ56" s="13">
        <f t="shared" si="32"/>
        <v>31699.34708333333</v>
      </c>
      <c r="AK56" s="13">
        <f t="shared" si="32"/>
        <v>31699.34708333333</v>
      </c>
      <c r="AL56" s="13">
        <f t="shared" si="32"/>
        <v>31699.34708333333</v>
      </c>
      <c r="AM56" s="13">
        <f t="shared" si="32"/>
        <v>31699.34708333333</v>
      </c>
      <c r="AN56" s="13">
        <f t="shared" si="32"/>
        <v>31699.34708333333</v>
      </c>
      <c r="AO56" s="13">
        <f t="shared" si="32"/>
        <v>31699.34708333333</v>
      </c>
      <c r="AP56" s="13">
        <f t="shared" si="32"/>
        <v>31699.34708333333</v>
      </c>
      <c r="AQ56" s="13">
        <f t="shared" si="32"/>
        <v>31699.34708333333</v>
      </c>
      <c r="AR56" s="13">
        <f t="shared" si="32"/>
        <v>31699.34708333333</v>
      </c>
      <c r="AS56" s="13">
        <f t="shared" si="6"/>
        <v>380392.16500000004</v>
      </c>
      <c r="AT56" s="13">
        <f t="shared" si="33"/>
        <v>31699.34708333333</v>
      </c>
      <c r="AU56" s="13">
        <f t="shared" si="33"/>
        <v>31699.34708333333</v>
      </c>
      <c r="AV56" s="13">
        <f t="shared" si="33"/>
        <v>31699.34708333333</v>
      </c>
      <c r="AW56" s="13">
        <f t="shared" si="33"/>
        <v>31699.34708333333</v>
      </c>
      <c r="AX56" s="13">
        <f t="shared" si="33"/>
        <v>31699.34708333333</v>
      </c>
      <c r="AY56" s="13">
        <f t="shared" si="33"/>
        <v>31699.34708333333</v>
      </c>
      <c r="AZ56" s="13">
        <f t="shared" si="33"/>
        <v>31699.34708333333</v>
      </c>
      <c r="BA56" s="13">
        <f t="shared" si="33"/>
        <v>31699.34708333333</v>
      </c>
      <c r="BB56" s="13">
        <f t="shared" si="33"/>
        <v>31699.34708333333</v>
      </c>
      <c r="BC56" s="13">
        <f t="shared" si="33"/>
        <v>31699.34708333333</v>
      </c>
      <c r="BD56" s="13">
        <f t="shared" si="33"/>
        <v>31699.34708333333</v>
      </c>
      <c r="BE56" s="13">
        <f t="shared" si="33"/>
        <v>31699.34708333333</v>
      </c>
      <c r="BF56" s="13">
        <f t="shared" si="8"/>
        <v>380392.16500000004</v>
      </c>
    </row>
    <row r="57" spans="2:58" x14ac:dyDescent="0.3">
      <c r="B57" t="s">
        <v>991</v>
      </c>
      <c r="C57" t="s">
        <v>948</v>
      </c>
      <c r="D57" s="10">
        <f>SUMIFS(Seguros!J:J,Seguros!I:I,"CALIDAD")</f>
        <v>8836.36</v>
      </c>
      <c r="E57">
        <v>1</v>
      </c>
      <c r="F57" s="13">
        <f t="shared" si="3"/>
        <v>736.36333333333334</v>
      </c>
      <c r="G57" s="12"/>
      <c r="T57" s="13">
        <f t="shared" si="30"/>
        <v>736.36333333333334</v>
      </c>
      <c r="U57" s="13">
        <f t="shared" si="30"/>
        <v>736.36333333333334</v>
      </c>
      <c r="V57" s="13">
        <f t="shared" si="30"/>
        <v>736.36333333333334</v>
      </c>
      <c r="W57" s="13">
        <f t="shared" si="30"/>
        <v>736.36333333333334</v>
      </c>
      <c r="X57" s="13">
        <f t="shared" si="30"/>
        <v>736.36333333333334</v>
      </c>
      <c r="Y57" s="13">
        <f t="shared" si="30"/>
        <v>736.36333333333334</v>
      </c>
      <c r="Z57" s="13">
        <f t="shared" si="30"/>
        <v>736.36333333333334</v>
      </c>
      <c r="AA57" s="13">
        <f t="shared" si="30"/>
        <v>736.36333333333334</v>
      </c>
      <c r="AB57" s="13">
        <f t="shared" si="30"/>
        <v>736.36333333333334</v>
      </c>
      <c r="AC57" s="13">
        <f t="shared" si="30"/>
        <v>736.36333333333334</v>
      </c>
      <c r="AD57" s="13">
        <f t="shared" si="30"/>
        <v>736.36333333333334</v>
      </c>
      <c r="AE57" s="13">
        <f t="shared" si="30"/>
        <v>736.36333333333334</v>
      </c>
      <c r="AF57" s="13">
        <f t="shared" si="4"/>
        <v>8836.3600000000024</v>
      </c>
      <c r="AG57" s="13">
        <f t="shared" si="29"/>
        <v>736.36333333333334</v>
      </c>
      <c r="AH57" s="13">
        <f t="shared" si="32"/>
        <v>736.36333333333334</v>
      </c>
      <c r="AI57" s="13">
        <f t="shared" si="32"/>
        <v>736.36333333333334</v>
      </c>
      <c r="AJ57" s="13">
        <f t="shared" si="32"/>
        <v>736.36333333333334</v>
      </c>
      <c r="AK57" s="13">
        <f t="shared" si="32"/>
        <v>736.36333333333334</v>
      </c>
      <c r="AL57" s="13">
        <f t="shared" si="32"/>
        <v>736.36333333333334</v>
      </c>
      <c r="AM57" s="13">
        <f t="shared" si="32"/>
        <v>736.36333333333334</v>
      </c>
      <c r="AN57" s="13">
        <f t="shared" si="32"/>
        <v>736.36333333333334</v>
      </c>
      <c r="AO57" s="13">
        <f t="shared" si="32"/>
        <v>736.36333333333334</v>
      </c>
      <c r="AP57" s="13">
        <f t="shared" si="32"/>
        <v>736.36333333333334</v>
      </c>
      <c r="AQ57" s="13">
        <f t="shared" si="32"/>
        <v>736.36333333333334</v>
      </c>
      <c r="AR57" s="13">
        <f t="shared" si="32"/>
        <v>736.36333333333334</v>
      </c>
      <c r="AS57" s="13">
        <f t="shared" si="6"/>
        <v>8836.3600000000024</v>
      </c>
      <c r="AT57" s="13">
        <f t="shared" si="33"/>
        <v>736.36333333333334</v>
      </c>
      <c r="AU57" s="13">
        <f t="shared" si="33"/>
        <v>736.36333333333334</v>
      </c>
      <c r="AV57" s="13">
        <f t="shared" si="33"/>
        <v>736.36333333333334</v>
      </c>
      <c r="AW57" s="13">
        <f t="shared" si="33"/>
        <v>736.36333333333334</v>
      </c>
      <c r="AX57" s="13">
        <f t="shared" si="33"/>
        <v>736.36333333333334</v>
      </c>
      <c r="AY57" s="13">
        <f t="shared" si="33"/>
        <v>736.36333333333334</v>
      </c>
      <c r="AZ57" s="13">
        <f t="shared" si="33"/>
        <v>736.36333333333334</v>
      </c>
      <c r="BA57" s="13">
        <f t="shared" si="33"/>
        <v>736.36333333333334</v>
      </c>
      <c r="BB57" s="13">
        <f t="shared" si="33"/>
        <v>736.36333333333334</v>
      </c>
      <c r="BC57" s="13">
        <f t="shared" si="33"/>
        <v>736.36333333333334</v>
      </c>
      <c r="BD57" s="13">
        <f t="shared" si="33"/>
        <v>736.36333333333334</v>
      </c>
      <c r="BE57" s="13">
        <f t="shared" si="33"/>
        <v>736.36333333333334</v>
      </c>
      <c r="BF57" s="13">
        <f t="shared" si="8"/>
        <v>8836.3600000000024</v>
      </c>
    </row>
    <row r="58" spans="2:58" x14ac:dyDescent="0.3">
      <c r="B58" t="s">
        <v>992</v>
      </c>
      <c r="C58" t="s">
        <v>948</v>
      </c>
      <c r="D58" s="10">
        <f>SUMIFS(Seguros!J:J,Seguros!I:I,"PRODUCCION")</f>
        <v>12578.64</v>
      </c>
      <c r="E58">
        <v>1</v>
      </c>
      <c r="F58" s="13">
        <f t="shared" si="3"/>
        <v>1048.2199999999998</v>
      </c>
      <c r="G58" s="12"/>
      <c r="T58" s="13">
        <f t="shared" si="30"/>
        <v>1048.2199999999998</v>
      </c>
      <c r="U58" s="13">
        <f t="shared" si="30"/>
        <v>1048.2199999999998</v>
      </c>
      <c r="V58" s="13">
        <f t="shared" si="30"/>
        <v>1048.2199999999998</v>
      </c>
      <c r="W58" s="13">
        <f t="shared" si="30"/>
        <v>1048.2199999999998</v>
      </c>
      <c r="X58" s="13">
        <f t="shared" si="30"/>
        <v>1048.2199999999998</v>
      </c>
      <c r="Y58" s="13">
        <f t="shared" si="30"/>
        <v>1048.2199999999998</v>
      </c>
      <c r="Z58" s="13">
        <f t="shared" si="30"/>
        <v>1048.2199999999998</v>
      </c>
      <c r="AA58" s="13">
        <f t="shared" si="30"/>
        <v>1048.2199999999998</v>
      </c>
      <c r="AB58" s="13">
        <f t="shared" si="30"/>
        <v>1048.2199999999998</v>
      </c>
      <c r="AC58" s="13">
        <f t="shared" si="30"/>
        <v>1048.2199999999998</v>
      </c>
      <c r="AD58" s="13">
        <f t="shared" si="30"/>
        <v>1048.2199999999998</v>
      </c>
      <c r="AE58" s="13">
        <f t="shared" si="30"/>
        <v>1048.2199999999998</v>
      </c>
      <c r="AF58" s="13">
        <f t="shared" si="4"/>
        <v>12578.639999999994</v>
      </c>
      <c r="AG58" s="13">
        <f t="shared" si="29"/>
        <v>1048.2199999999998</v>
      </c>
      <c r="AH58" s="13">
        <f t="shared" si="32"/>
        <v>1048.2199999999998</v>
      </c>
      <c r="AI58" s="13">
        <f t="shared" si="32"/>
        <v>1048.2199999999998</v>
      </c>
      <c r="AJ58" s="13">
        <f t="shared" si="32"/>
        <v>1048.2199999999998</v>
      </c>
      <c r="AK58" s="13">
        <f t="shared" si="32"/>
        <v>1048.2199999999998</v>
      </c>
      <c r="AL58" s="13">
        <f t="shared" si="32"/>
        <v>1048.2199999999998</v>
      </c>
      <c r="AM58" s="13">
        <f t="shared" si="32"/>
        <v>1048.2199999999998</v>
      </c>
      <c r="AN58" s="13">
        <f t="shared" si="32"/>
        <v>1048.2199999999998</v>
      </c>
      <c r="AO58" s="13">
        <f t="shared" si="32"/>
        <v>1048.2199999999998</v>
      </c>
      <c r="AP58" s="13">
        <f t="shared" si="32"/>
        <v>1048.2199999999998</v>
      </c>
      <c r="AQ58" s="13">
        <f t="shared" si="32"/>
        <v>1048.2199999999998</v>
      </c>
      <c r="AR58" s="13">
        <f t="shared" si="32"/>
        <v>1048.2199999999998</v>
      </c>
      <c r="AS58" s="13">
        <f t="shared" si="6"/>
        <v>12578.639999999994</v>
      </c>
      <c r="AT58" s="13">
        <f t="shared" si="33"/>
        <v>1048.2199999999998</v>
      </c>
      <c r="AU58" s="13">
        <f t="shared" si="33"/>
        <v>1048.2199999999998</v>
      </c>
      <c r="AV58" s="13">
        <f t="shared" si="33"/>
        <v>1048.2199999999998</v>
      </c>
      <c r="AW58" s="13">
        <f t="shared" si="33"/>
        <v>1048.2199999999998</v>
      </c>
      <c r="AX58" s="13">
        <f t="shared" si="33"/>
        <v>1048.2199999999998</v>
      </c>
      <c r="AY58" s="13">
        <f t="shared" si="33"/>
        <v>1048.2199999999998</v>
      </c>
      <c r="AZ58" s="13">
        <f t="shared" si="33"/>
        <v>1048.2199999999998</v>
      </c>
      <c r="BA58" s="13">
        <f t="shared" si="33"/>
        <v>1048.2199999999998</v>
      </c>
      <c r="BB58" s="13">
        <f t="shared" si="33"/>
        <v>1048.2199999999998</v>
      </c>
      <c r="BC58" s="13">
        <f t="shared" si="33"/>
        <v>1048.2199999999998</v>
      </c>
      <c r="BD58" s="13">
        <f t="shared" si="33"/>
        <v>1048.2199999999998</v>
      </c>
      <c r="BE58" s="13">
        <f t="shared" si="33"/>
        <v>1048.2199999999998</v>
      </c>
      <c r="BF58" s="13">
        <f t="shared" si="8"/>
        <v>12578.639999999994</v>
      </c>
    </row>
    <row r="59" spans="2:58" x14ac:dyDescent="0.3">
      <c r="B59" t="s">
        <v>993</v>
      </c>
      <c r="C59" t="s">
        <v>948</v>
      </c>
      <c r="D59" s="10">
        <f>SUMIFS(Seguros!J:J,Seguros!I:I,"VENTAS")</f>
        <v>20130.89</v>
      </c>
      <c r="E59">
        <v>1</v>
      </c>
      <c r="F59" s="13">
        <f t="shared" si="3"/>
        <v>1677.5741666666665</v>
      </c>
      <c r="G59" s="12"/>
      <c r="T59" s="13">
        <f t="shared" si="30"/>
        <v>1677.5741666666665</v>
      </c>
      <c r="U59" s="13">
        <f t="shared" si="30"/>
        <v>1677.5741666666665</v>
      </c>
      <c r="V59" s="13">
        <f t="shared" si="30"/>
        <v>1677.5741666666665</v>
      </c>
      <c r="W59" s="13">
        <f t="shared" si="30"/>
        <v>1677.5741666666665</v>
      </c>
      <c r="X59" s="13">
        <f t="shared" si="30"/>
        <v>1677.5741666666665</v>
      </c>
      <c r="Y59" s="13">
        <f t="shared" si="30"/>
        <v>1677.5741666666665</v>
      </c>
      <c r="Z59" s="13">
        <f t="shared" si="30"/>
        <v>1677.5741666666665</v>
      </c>
      <c r="AA59" s="13">
        <f t="shared" si="30"/>
        <v>1677.5741666666665</v>
      </c>
      <c r="AB59" s="13">
        <f t="shared" si="30"/>
        <v>1677.5741666666665</v>
      </c>
      <c r="AC59" s="13">
        <f t="shared" si="30"/>
        <v>1677.5741666666665</v>
      </c>
      <c r="AD59" s="13">
        <f t="shared" si="30"/>
        <v>1677.5741666666665</v>
      </c>
      <c r="AE59" s="13">
        <f t="shared" si="30"/>
        <v>1677.5741666666665</v>
      </c>
      <c r="AF59" s="13">
        <f t="shared" si="4"/>
        <v>20130.89</v>
      </c>
      <c r="AG59" s="13">
        <f t="shared" si="29"/>
        <v>1677.5741666666665</v>
      </c>
      <c r="AH59" s="13">
        <f t="shared" si="32"/>
        <v>1677.5741666666665</v>
      </c>
      <c r="AI59" s="13">
        <f t="shared" si="32"/>
        <v>1677.5741666666665</v>
      </c>
      <c r="AJ59" s="13">
        <f t="shared" si="32"/>
        <v>1677.5741666666665</v>
      </c>
      <c r="AK59" s="13">
        <f t="shared" si="32"/>
        <v>1677.5741666666665</v>
      </c>
      <c r="AL59" s="13">
        <f t="shared" si="32"/>
        <v>1677.5741666666665</v>
      </c>
      <c r="AM59" s="13">
        <f t="shared" si="32"/>
        <v>1677.5741666666665</v>
      </c>
      <c r="AN59" s="13">
        <f t="shared" si="32"/>
        <v>1677.5741666666665</v>
      </c>
      <c r="AO59" s="13">
        <f t="shared" si="32"/>
        <v>1677.5741666666665</v>
      </c>
      <c r="AP59" s="13">
        <f t="shared" si="32"/>
        <v>1677.5741666666665</v>
      </c>
      <c r="AQ59" s="13">
        <f t="shared" si="32"/>
        <v>1677.5741666666665</v>
      </c>
      <c r="AR59" s="13">
        <f t="shared" si="32"/>
        <v>1677.5741666666665</v>
      </c>
      <c r="AS59" s="13">
        <f t="shared" si="6"/>
        <v>20130.89</v>
      </c>
      <c r="AT59" s="13">
        <f t="shared" si="33"/>
        <v>1677.5741666666665</v>
      </c>
      <c r="AU59" s="13">
        <f t="shared" si="33"/>
        <v>1677.5741666666665</v>
      </c>
      <c r="AV59" s="13">
        <f t="shared" si="33"/>
        <v>1677.5741666666665</v>
      </c>
      <c r="AW59" s="13">
        <f t="shared" si="33"/>
        <v>1677.5741666666665</v>
      </c>
      <c r="AX59" s="13">
        <f t="shared" si="33"/>
        <v>1677.5741666666665</v>
      </c>
      <c r="AY59" s="13">
        <f t="shared" si="33"/>
        <v>1677.5741666666665</v>
      </c>
      <c r="AZ59" s="13">
        <f t="shared" si="33"/>
        <v>1677.5741666666665</v>
      </c>
      <c r="BA59" s="13">
        <f t="shared" si="33"/>
        <v>1677.5741666666665</v>
      </c>
      <c r="BB59" s="13">
        <f t="shared" si="33"/>
        <v>1677.5741666666665</v>
      </c>
      <c r="BC59" s="13">
        <f t="shared" si="33"/>
        <v>1677.5741666666665</v>
      </c>
      <c r="BD59" s="13">
        <f t="shared" si="33"/>
        <v>1677.5741666666665</v>
      </c>
      <c r="BE59" s="13">
        <f t="shared" si="33"/>
        <v>1677.5741666666665</v>
      </c>
      <c r="BF59" s="13">
        <f t="shared" si="8"/>
        <v>20130.89</v>
      </c>
    </row>
    <row r="60" spans="2:58" x14ac:dyDescent="0.3">
      <c r="B60" t="s">
        <v>927</v>
      </c>
      <c r="C60" t="s">
        <v>948</v>
      </c>
      <c r="D60" s="10">
        <f>SUMIFS(Seguros!J:J,Seguros!I:I,"VEHICULO")</f>
        <v>60787.19</v>
      </c>
      <c r="E60">
        <v>1</v>
      </c>
      <c r="F60" s="13">
        <f t="shared" si="3"/>
        <v>5065.5991666666669</v>
      </c>
      <c r="G60" s="12"/>
      <c r="T60" s="13">
        <f t="shared" si="30"/>
        <v>5065.5991666666669</v>
      </c>
      <c r="U60" s="13">
        <f t="shared" si="30"/>
        <v>5065.5991666666669</v>
      </c>
      <c r="V60" s="13">
        <f t="shared" si="30"/>
        <v>5065.5991666666669</v>
      </c>
      <c r="W60" s="13">
        <f t="shared" si="30"/>
        <v>5065.5991666666669</v>
      </c>
      <c r="X60" s="13">
        <f t="shared" si="30"/>
        <v>5065.5991666666669</v>
      </c>
      <c r="Y60" s="13">
        <f t="shared" si="30"/>
        <v>5065.5991666666669</v>
      </c>
      <c r="Z60" s="13">
        <f t="shared" si="30"/>
        <v>5065.5991666666669</v>
      </c>
      <c r="AA60" s="13">
        <f t="shared" si="30"/>
        <v>5065.5991666666669</v>
      </c>
      <c r="AB60" s="13">
        <f t="shared" si="30"/>
        <v>5065.5991666666669</v>
      </c>
      <c r="AC60" s="13">
        <f t="shared" si="30"/>
        <v>5065.5991666666669</v>
      </c>
      <c r="AD60" s="13">
        <f t="shared" si="30"/>
        <v>5065.5991666666669</v>
      </c>
      <c r="AE60" s="13">
        <f t="shared" si="30"/>
        <v>5065.5991666666669</v>
      </c>
      <c r="AF60" s="13">
        <f t="shared" si="4"/>
        <v>60787.19</v>
      </c>
      <c r="AG60" s="13">
        <f t="shared" si="29"/>
        <v>5065.5991666666669</v>
      </c>
      <c r="AH60" s="13">
        <f t="shared" si="32"/>
        <v>5065.5991666666669</v>
      </c>
      <c r="AI60" s="13">
        <f t="shared" si="32"/>
        <v>5065.5991666666669</v>
      </c>
      <c r="AJ60" s="13">
        <f t="shared" si="32"/>
        <v>5065.5991666666669</v>
      </c>
      <c r="AK60" s="13">
        <f t="shared" si="32"/>
        <v>5065.5991666666669</v>
      </c>
      <c r="AL60" s="13">
        <f t="shared" si="32"/>
        <v>5065.5991666666669</v>
      </c>
      <c r="AM60" s="13">
        <f t="shared" si="32"/>
        <v>5065.5991666666669</v>
      </c>
      <c r="AN60" s="13">
        <f t="shared" si="32"/>
        <v>5065.5991666666669</v>
      </c>
      <c r="AO60" s="13">
        <f t="shared" si="32"/>
        <v>5065.5991666666669</v>
      </c>
      <c r="AP60" s="13">
        <f t="shared" si="32"/>
        <v>5065.5991666666669</v>
      </c>
      <c r="AQ60" s="13">
        <f t="shared" si="32"/>
        <v>5065.5991666666669</v>
      </c>
      <c r="AR60" s="13">
        <f t="shared" si="32"/>
        <v>5065.5991666666669</v>
      </c>
      <c r="AS60" s="13">
        <f t="shared" si="6"/>
        <v>60787.19</v>
      </c>
      <c r="AT60" s="13">
        <f t="shared" si="33"/>
        <v>5065.5991666666669</v>
      </c>
      <c r="AU60" s="13">
        <f t="shared" si="33"/>
        <v>5065.5991666666669</v>
      </c>
      <c r="AV60" s="13">
        <f t="shared" si="33"/>
        <v>5065.5991666666669</v>
      </c>
      <c r="AW60" s="13">
        <f t="shared" si="33"/>
        <v>5065.5991666666669</v>
      </c>
      <c r="AX60" s="13">
        <f t="shared" si="33"/>
        <v>5065.5991666666669</v>
      </c>
      <c r="AY60" s="13">
        <f t="shared" si="33"/>
        <v>5065.5991666666669</v>
      </c>
      <c r="AZ60" s="13">
        <f t="shared" si="33"/>
        <v>5065.5991666666669</v>
      </c>
      <c r="BA60" s="13">
        <f t="shared" si="33"/>
        <v>5065.5991666666669</v>
      </c>
      <c r="BB60" s="13">
        <f t="shared" si="33"/>
        <v>5065.5991666666669</v>
      </c>
      <c r="BC60" s="13">
        <f t="shared" si="33"/>
        <v>5065.5991666666669</v>
      </c>
      <c r="BD60" s="13">
        <f t="shared" si="33"/>
        <v>5065.5991666666669</v>
      </c>
      <c r="BE60" s="13">
        <f t="shared" si="33"/>
        <v>5065.5991666666669</v>
      </c>
      <c r="BF60" s="13">
        <f t="shared" si="8"/>
        <v>60787.19</v>
      </c>
    </row>
    <row r="61" spans="2:58" x14ac:dyDescent="0.3">
      <c r="B61" t="s">
        <v>989</v>
      </c>
      <c r="C61" t="s">
        <v>948</v>
      </c>
      <c r="D61" s="10">
        <f>SUMIFS(Seguros!J:J,Seguros!I:I,"MIRAMONTES")</f>
        <v>339656.74</v>
      </c>
      <c r="E61">
        <v>1</v>
      </c>
      <c r="F61" s="13">
        <f t="shared" si="3"/>
        <v>28304.728333333333</v>
      </c>
      <c r="G61" s="12"/>
      <c r="T61" s="13">
        <f t="shared" si="30"/>
        <v>28304.728333333333</v>
      </c>
      <c r="U61" s="13">
        <f t="shared" si="30"/>
        <v>28304.728333333333</v>
      </c>
      <c r="V61" s="13">
        <f t="shared" si="30"/>
        <v>28304.728333333333</v>
      </c>
      <c r="W61" s="13">
        <f t="shared" si="30"/>
        <v>28304.728333333333</v>
      </c>
      <c r="X61" s="13">
        <f t="shared" si="30"/>
        <v>28304.728333333333</v>
      </c>
      <c r="Y61" s="13">
        <f t="shared" si="30"/>
        <v>28304.728333333333</v>
      </c>
      <c r="Z61" s="13">
        <f t="shared" si="30"/>
        <v>28304.728333333333</v>
      </c>
      <c r="AA61" s="13">
        <f t="shared" si="30"/>
        <v>28304.728333333333</v>
      </c>
      <c r="AB61" s="13">
        <f t="shared" si="30"/>
        <v>28304.728333333333</v>
      </c>
      <c r="AC61" s="13">
        <f t="shared" si="30"/>
        <v>28304.728333333333</v>
      </c>
      <c r="AD61" s="13">
        <f t="shared" si="30"/>
        <v>28304.728333333333</v>
      </c>
      <c r="AE61" s="13">
        <f t="shared" si="30"/>
        <v>28304.728333333333</v>
      </c>
      <c r="AF61" s="13">
        <f t="shared" si="4"/>
        <v>339656.74</v>
      </c>
      <c r="AG61" s="13">
        <f t="shared" si="29"/>
        <v>28304.728333333333</v>
      </c>
      <c r="AH61" s="13">
        <f t="shared" si="32"/>
        <v>28304.728333333333</v>
      </c>
      <c r="AI61" s="13">
        <f t="shared" si="32"/>
        <v>28304.728333333333</v>
      </c>
      <c r="AJ61" s="13">
        <f t="shared" si="32"/>
        <v>28304.728333333333</v>
      </c>
      <c r="AK61" s="13">
        <f t="shared" si="32"/>
        <v>28304.728333333333</v>
      </c>
      <c r="AL61" s="13">
        <f t="shared" si="32"/>
        <v>28304.728333333333</v>
      </c>
      <c r="AM61" s="13">
        <f t="shared" si="32"/>
        <v>28304.728333333333</v>
      </c>
      <c r="AN61" s="13">
        <f t="shared" si="32"/>
        <v>28304.728333333333</v>
      </c>
      <c r="AO61" s="13">
        <f t="shared" si="32"/>
        <v>28304.728333333333</v>
      </c>
      <c r="AP61" s="13">
        <f t="shared" si="32"/>
        <v>28304.728333333333</v>
      </c>
      <c r="AQ61" s="13">
        <f t="shared" si="32"/>
        <v>28304.728333333333</v>
      </c>
      <c r="AR61" s="13">
        <f t="shared" si="32"/>
        <v>28304.728333333333</v>
      </c>
      <c r="AS61" s="13">
        <f t="shared" si="6"/>
        <v>339656.74</v>
      </c>
      <c r="AT61" s="13">
        <f t="shared" si="33"/>
        <v>28304.728333333333</v>
      </c>
      <c r="AU61" s="13">
        <f t="shared" si="33"/>
        <v>28304.728333333333</v>
      </c>
      <c r="AV61" s="13">
        <f t="shared" si="33"/>
        <v>28304.728333333333</v>
      </c>
      <c r="AW61" s="13">
        <f t="shared" si="33"/>
        <v>28304.728333333333</v>
      </c>
      <c r="AX61" s="13">
        <f t="shared" si="33"/>
        <v>28304.728333333333</v>
      </c>
      <c r="AY61" s="13">
        <f t="shared" si="33"/>
        <v>28304.728333333333</v>
      </c>
      <c r="AZ61" s="13">
        <f t="shared" si="33"/>
        <v>28304.728333333333</v>
      </c>
      <c r="BA61" s="13">
        <f t="shared" si="33"/>
        <v>28304.728333333333</v>
      </c>
      <c r="BB61" s="13">
        <f t="shared" si="33"/>
        <v>28304.728333333333</v>
      </c>
      <c r="BC61" s="13">
        <f t="shared" si="33"/>
        <v>28304.728333333333</v>
      </c>
      <c r="BD61" s="13">
        <f t="shared" si="33"/>
        <v>28304.728333333333</v>
      </c>
      <c r="BE61" s="13">
        <f t="shared" si="33"/>
        <v>28304.728333333333</v>
      </c>
      <c r="BF61" s="13">
        <f t="shared" si="8"/>
        <v>339656.74</v>
      </c>
    </row>
    <row r="62" spans="2:58" x14ac:dyDescent="0.3">
      <c r="B62" t="s">
        <v>990</v>
      </c>
      <c r="C62" t="s">
        <v>948</v>
      </c>
      <c r="D62" s="10">
        <f>SUMIFS(Seguros!J:J,Seguros!I:I,"LFCM")</f>
        <v>85223.13</v>
      </c>
      <c r="E62">
        <v>1</v>
      </c>
      <c r="F62" s="13">
        <f t="shared" si="3"/>
        <v>7101.9274999999998</v>
      </c>
      <c r="G62" s="12"/>
      <c r="T62" s="13">
        <f t="shared" si="30"/>
        <v>7101.9274999999998</v>
      </c>
      <c r="U62" s="13">
        <f t="shared" si="30"/>
        <v>7101.9274999999998</v>
      </c>
      <c r="V62" s="13">
        <f t="shared" si="30"/>
        <v>7101.9274999999998</v>
      </c>
      <c r="W62" s="13">
        <f t="shared" si="30"/>
        <v>7101.9274999999998</v>
      </c>
      <c r="X62" s="13">
        <f t="shared" si="30"/>
        <v>7101.9274999999998</v>
      </c>
      <c r="Y62" s="13">
        <f t="shared" si="30"/>
        <v>7101.9274999999998</v>
      </c>
      <c r="Z62" s="13">
        <f t="shared" si="30"/>
        <v>7101.9274999999998</v>
      </c>
      <c r="AA62" s="13">
        <f t="shared" si="30"/>
        <v>7101.9274999999998</v>
      </c>
      <c r="AB62" s="13">
        <f t="shared" si="30"/>
        <v>7101.9274999999998</v>
      </c>
      <c r="AC62" s="13">
        <f t="shared" si="30"/>
        <v>7101.9274999999998</v>
      </c>
      <c r="AD62" s="13">
        <f t="shared" si="30"/>
        <v>7101.9274999999998</v>
      </c>
      <c r="AE62" s="13">
        <f t="shared" si="30"/>
        <v>7101.9274999999998</v>
      </c>
      <c r="AF62" s="13">
        <f t="shared" si="4"/>
        <v>85223.13</v>
      </c>
      <c r="AG62" s="13">
        <f t="shared" si="29"/>
        <v>7101.9274999999998</v>
      </c>
      <c r="AH62" s="13">
        <f t="shared" si="32"/>
        <v>7101.9274999999998</v>
      </c>
      <c r="AI62" s="13">
        <f t="shared" si="32"/>
        <v>7101.9274999999998</v>
      </c>
      <c r="AJ62" s="13">
        <f t="shared" si="32"/>
        <v>7101.9274999999998</v>
      </c>
      <c r="AK62" s="13">
        <f t="shared" si="32"/>
        <v>7101.9274999999998</v>
      </c>
      <c r="AL62" s="13">
        <f t="shared" si="32"/>
        <v>7101.9274999999998</v>
      </c>
      <c r="AM62" s="13">
        <f t="shared" si="32"/>
        <v>7101.9274999999998</v>
      </c>
      <c r="AN62" s="13">
        <f t="shared" si="32"/>
        <v>7101.9274999999998</v>
      </c>
      <c r="AO62" s="13">
        <f t="shared" si="32"/>
        <v>7101.9274999999998</v>
      </c>
      <c r="AP62" s="13">
        <f t="shared" si="32"/>
        <v>7101.9274999999998</v>
      </c>
      <c r="AQ62" s="13">
        <f t="shared" si="32"/>
        <v>7101.9274999999998</v>
      </c>
      <c r="AR62" s="13">
        <f t="shared" si="32"/>
        <v>7101.9274999999998</v>
      </c>
      <c r="AS62" s="13">
        <f t="shared" si="6"/>
        <v>85223.13</v>
      </c>
      <c r="AT62" s="13">
        <f t="shared" si="33"/>
        <v>7101.9274999999998</v>
      </c>
      <c r="AU62" s="13">
        <f t="shared" si="33"/>
        <v>7101.9274999999998</v>
      </c>
      <c r="AV62" s="13">
        <f t="shared" si="33"/>
        <v>7101.9274999999998</v>
      </c>
      <c r="AW62" s="13">
        <f t="shared" si="33"/>
        <v>7101.9274999999998</v>
      </c>
      <c r="AX62" s="13">
        <f t="shared" si="33"/>
        <v>7101.9274999999998</v>
      </c>
      <c r="AY62" s="13">
        <f t="shared" si="33"/>
        <v>7101.9274999999998</v>
      </c>
      <c r="AZ62" s="13">
        <f t="shared" si="33"/>
        <v>7101.9274999999998</v>
      </c>
      <c r="BA62" s="13">
        <f t="shared" si="33"/>
        <v>7101.9274999999998</v>
      </c>
      <c r="BB62" s="13">
        <f t="shared" si="33"/>
        <v>7101.9274999999998</v>
      </c>
      <c r="BC62" s="13">
        <f t="shared" si="33"/>
        <v>7101.9274999999998</v>
      </c>
      <c r="BD62" s="13">
        <f t="shared" si="33"/>
        <v>7101.9274999999998</v>
      </c>
      <c r="BE62" s="13">
        <f t="shared" si="33"/>
        <v>7101.9274999999998</v>
      </c>
      <c r="BF62" s="13">
        <f t="shared" si="8"/>
        <v>85223.13</v>
      </c>
    </row>
    <row r="64" spans="2:58" x14ac:dyDescent="0.3">
      <c r="D64" s="10"/>
      <c r="F64" s="10"/>
      <c r="G64" s="12"/>
    </row>
  </sheetData>
  <pageMargins left="0.7" right="0.7" top="0.75" bottom="0.75" header="0.3" footer="0.3"/>
  <headerFooter>
    <oddHeader>&amp;R&amp;"Calibri"&amp;10&amp;K000000 Confidencial&amp;1#_x000D_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ECC9E-F875-4924-B22C-AF6E26C013C1}">
  <sheetPr codeName="Sheet4"/>
  <dimension ref="A1:R28"/>
  <sheetViews>
    <sheetView workbookViewId="0">
      <selection sqref="A1:R28"/>
    </sheetView>
  </sheetViews>
  <sheetFormatPr baseColWidth="10" defaultColWidth="8.88671875" defaultRowHeight="14.4" x14ac:dyDescent="0.3"/>
  <cols>
    <col min="1" max="1" width="15.5546875" bestFit="1" customWidth="1"/>
    <col min="2" max="2" width="30" bestFit="1" customWidth="1"/>
    <col min="3" max="3" width="44.88671875" bestFit="1" customWidth="1"/>
    <col min="4" max="4" width="39" bestFit="1" customWidth="1"/>
    <col min="5" max="5" width="7.5546875" bestFit="1" customWidth="1"/>
    <col min="6" max="6" width="5.88671875" bestFit="1" customWidth="1"/>
    <col min="7" max="7" width="9.5546875" bestFit="1" customWidth="1"/>
    <col min="8" max="9" width="13.109375" bestFit="1" customWidth="1"/>
    <col min="10" max="10" width="16" bestFit="1" customWidth="1"/>
    <col min="11" max="11" width="38.6640625" bestFit="1" customWidth="1"/>
    <col min="12" max="12" width="10.88671875" bestFit="1" customWidth="1"/>
    <col min="13" max="13" width="10" bestFit="1" customWidth="1"/>
    <col min="14" max="14" width="9.109375" bestFit="1" customWidth="1"/>
    <col min="15" max="15" width="13.109375" bestFit="1" customWidth="1"/>
    <col min="16" max="16" width="12.109375" bestFit="1" customWidth="1"/>
    <col min="17" max="17" width="13" style="11" bestFit="1" customWidth="1"/>
    <col min="18" max="18" width="12" style="11" bestFit="1" customWidth="1"/>
    <col min="19" max="19" width="12.6640625" bestFit="1" customWidth="1"/>
    <col min="20" max="20" width="9" bestFit="1" customWidth="1"/>
    <col min="21" max="21" width="12" bestFit="1" customWidth="1"/>
  </cols>
  <sheetData>
    <row r="1" spans="1:18" x14ac:dyDescent="0.3">
      <c r="A1" t="s">
        <v>951</v>
      </c>
      <c r="B1" t="s">
        <v>1437</v>
      </c>
      <c r="C1" t="s">
        <v>1438</v>
      </c>
      <c r="D1" t="s">
        <v>953</v>
      </c>
      <c r="E1" t="s">
        <v>1439</v>
      </c>
      <c r="F1" t="s">
        <v>1440</v>
      </c>
      <c r="G1" t="s">
        <v>954</v>
      </c>
      <c r="H1" s="11" t="s">
        <v>955</v>
      </c>
      <c r="I1" t="s">
        <v>459</v>
      </c>
      <c r="J1" t="s">
        <v>1441</v>
      </c>
      <c r="Q1"/>
      <c r="R1"/>
    </row>
    <row r="2" spans="1:18" hidden="1" x14ac:dyDescent="0.3">
      <c r="A2" t="s">
        <v>963</v>
      </c>
      <c r="B2" t="s">
        <v>964</v>
      </c>
      <c r="C2" t="s">
        <v>1459</v>
      </c>
      <c r="D2" t="s">
        <v>1460</v>
      </c>
      <c r="E2">
        <v>45629</v>
      </c>
      <c r="F2">
        <v>45994</v>
      </c>
      <c r="G2" t="s">
        <v>960</v>
      </c>
      <c r="H2" s="25">
        <v>285879.99</v>
      </c>
      <c r="I2" t="s">
        <v>964</v>
      </c>
      <c r="J2" s="9">
        <v>285879.99</v>
      </c>
      <c r="Q2"/>
      <c r="R2"/>
    </row>
    <row r="3" spans="1:18" x14ac:dyDescent="0.3">
      <c r="A3" t="s">
        <v>1456</v>
      </c>
      <c r="B3" t="s">
        <v>1451</v>
      </c>
      <c r="C3" t="s">
        <v>986</v>
      </c>
      <c r="D3" t="s">
        <v>1452</v>
      </c>
      <c r="E3">
        <v>45628</v>
      </c>
      <c r="F3">
        <v>45993</v>
      </c>
      <c r="G3" t="s">
        <v>960</v>
      </c>
      <c r="H3" s="9">
        <v>194307.27</v>
      </c>
      <c r="I3" t="s">
        <v>1480</v>
      </c>
      <c r="J3" s="9">
        <v>194307.27</v>
      </c>
      <c r="Q3"/>
      <c r="R3"/>
    </row>
    <row r="4" spans="1:18" hidden="1" x14ac:dyDescent="0.3">
      <c r="A4" t="s">
        <v>1447</v>
      </c>
      <c r="B4" t="s">
        <v>1443</v>
      </c>
      <c r="C4" t="s">
        <v>1448</v>
      </c>
      <c r="D4" t="s">
        <v>1449</v>
      </c>
      <c r="E4">
        <v>45673</v>
      </c>
      <c r="F4">
        <v>46038</v>
      </c>
      <c r="G4" t="s">
        <v>960</v>
      </c>
      <c r="H4" s="25">
        <v>143529.29999999999</v>
      </c>
      <c r="I4" t="s">
        <v>1446</v>
      </c>
      <c r="J4" s="9">
        <v>143529.29999999999</v>
      </c>
      <c r="Q4"/>
      <c r="R4"/>
    </row>
    <row r="5" spans="1:18" hidden="1" x14ac:dyDescent="0.3">
      <c r="A5" t="s">
        <v>1442</v>
      </c>
      <c r="B5" t="s">
        <v>1443</v>
      </c>
      <c r="C5" t="s">
        <v>1444</v>
      </c>
      <c r="D5" t="s">
        <v>1445</v>
      </c>
      <c r="E5">
        <v>45674</v>
      </c>
      <c r="F5">
        <v>46039</v>
      </c>
      <c r="G5" t="s">
        <v>960</v>
      </c>
      <c r="H5" s="25">
        <v>133146.85999999999</v>
      </c>
      <c r="I5" t="s">
        <v>1446</v>
      </c>
      <c r="J5" s="9">
        <v>133146.85999999999</v>
      </c>
      <c r="Q5"/>
      <c r="R5"/>
    </row>
    <row r="6" spans="1:18" hidden="1" x14ac:dyDescent="0.3">
      <c r="A6" t="s">
        <v>1457</v>
      </c>
      <c r="B6" t="s">
        <v>964</v>
      </c>
      <c r="C6" t="s">
        <v>1458</v>
      </c>
      <c r="D6" t="s">
        <v>959</v>
      </c>
      <c r="E6">
        <v>45387</v>
      </c>
      <c r="F6">
        <v>45752</v>
      </c>
      <c r="G6" t="s">
        <v>968</v>
      </c>
      <c r="H6" s="25">
        <v>4610.3500000000004</v>
      </c>
      <c r="I6" t="s">
        <v>964</v>
      </c>
      <c r="J6" s="9">
        <v>94512.175000000003</v>
      </c>
      <c r="Q6"/>
      <c r="R6"/>
    </row>
    <row r="7" spans="1:18" x14ac:dyDescent="0.3">
      <c r="A7" t="s">
        <v>1450</v>
      </c>
      <c r="B7" t="s">
        <v>1451</v>
      </c>
      <c r="C7" t="s">
        <v>970</v>
      </c>
      <c r="D7" t="s">
        <v>1452</v>
      </c>
      <c r="E7">
        <v>45393</v>
      </c>
      <c r="F7">
        <v>45758</v>
      </c>
      <c r="G7" t="s">
        <v>960</v>
      </c>
      <c r="H7" s="9">
        <v>48392.68</v>
      </c>
      <c r="I7" t="s">
        <v>1453</v>
      </c>
      <c r="J7" s="9">
        <v>48392.68</v>
      </c>
      <c r="Q7"/>
      <c r="R7"/>
    </row>
    <row r="8" spans="1:18" x14ac:dyDescent="0.3">
      <c r="A8" t="s">
        <v>1455</v>
      </c>
      <c r="B8" t="s">
        <v>1451</v>
      </c>
      <c r="C8" t="s">
        <v>987</v>
      </c>
      <c r="D8" t="s">
        <v>1452</v>
      </c>
      <c r="E8">
        <v>45629</v>
      </c>
      <c r="F8">
        <v>45994</v>
      </c>
      <c r="G8" t="s">
        <v>960</v>
      </c>
      <c r="H8" s="9">
        <v>46080.53</v>
      </c>
      <c r="I8" t="s">
        <v>1480</v>
      </c>
      <c r="J8" s="9">
        <v>46080.53</v>
      </c>
      <c r="Q8"/>
      <c r="R8"/>
    </row>
    <row r="9" spans="1:18" x14ac:dyDescent="0.3">
      <c r="A9" t="s">
        <v>980</v>
      </c>
      <c r="B9" t="s">
        <v>973</v>
      </c>
      <c r="C9" t="s">
        <v>981</v>
      </c>
      <c r="D9" t="s">
        <v>962</v>
      </c>
      <c r="E9">
        <v>45533</v>
      </c>
      <c r="F9">
        <v>45898</v>
      </c>
      <c r="G9" t="s">
        <v>960</v>
      </c>
      <c r="H9" s="9">
        <v>34472.35</v>
      </c>
      <c r="I9" t="s">
        <v>1480</v>
      </c>
      <c r="J9" s="9">
        <v>34472.35</v>
      </c>
      <c r="Q9"/>
      <c r="R9"/>
    </row>
    <row r="10" spans="1:18" x14ac:dyDescent="0.3">
      <c r="A10" t="s">
        <v>1473</v>
      </c>
      <c r="B10" t="s">
        <v>958</v>
      </c>
      <c r="C10" t="s">
        <v>977</v>
      </c>
      <c r="D10" t="s">
        <v>1462</v>
      </c>
      <c r="E10">
        <v>45495</v>
      </c>
      <c r="F10">
        <v>45860</v>
      </c>
      <c r="G10" t="s">
        <v>960</v>
      </c>
      <c r="H10" s="9">
        <v>20513.419999999998</v>
      </c>
      <c r="I10" t="s">
        <v>1453</v>
      </c>
      <c r="J10" s="9">
        <v>20513.419999999998</v>
      </c>
      <c r="Q10"/>
      <c r="R10"/>
    </row>
    <row r="11" spans="1:18" hidden="1" x14ac:dyDescent="0.3">
      <c r="A11" t="s">
        <v>982</v>
      </c>
      <c r="B11" t="s">
        <v>983</v>
      </c>
      <c r="C11" t="s">
        <v>984</v>
      </c>
      <c r="D11" t="s">
        <v>962</v>
      </c>
      <c r="E11">
        <v>45556</v>
      </c>
      <c r="F11">
        <v>45921</v>
      </c>
      <c r="G11" t="s">
        <v>960</v>
      </c>
      <c r="H11" s="9">
        <v>18561.13</v>
      </c>
      <c r="I11" t="s">
        <v>1469</v>
      </c>
      <c r="J11" s="9">
        <v>18561.13</v>
      </c>
      <c r="Q11"/>
      <c r="R11"/>
    </row>
    <row r="12" spans="1:18" x14ac:dyDescent="0.3">
      <c r="A12" t="s">
        <v>1454</v>
      </c>
      <c r="B12" t="s">
        <v>1451</v>
      </c>
      <c r="C12" t="s">
        <v>971</v>
      </c>
      <c r="D12" t="s">
        <v>1452</v>
      </c>
      <c r="E12">
        <v>45402</v>
      </c>
      <c r="F12">
        <v>45767</v>
      </c>
      <c r="G12" t="s">
        <v>960</v>
      </c>
      <c r="H12" s="25">
        <v>16317.03</v>
      </c>
      <c r="I12" t="s">
        <v>1453</v>
      </c>
      <c r="J12" s="9">
        <v>16317.03</v>
      </c>
      <c r="Q12"/>
      <c r="R12"/>
    </row>
    <row r="13" spans="1:18" x14ac:dyDescent="0.3">
      <c r="A13" t="s">
        <v>1475</v>
      </c>
      <c r="B13" t="s">
        <v>958</v>
      </c>
      <c r="C13" t="s">
        <v>1476</v>
      </c>
      <c r="D13" t="s">
        <v>1462</v>
      </c>
      <c r="E13">
        <v>45382</v>
      </c>
      <c r="F13">
        <v>45747</v>
      </c>
      <c r="G13" t="s">
        <v>960</v>
      </c>
      <c r="H13" s="9">
        <v>15708.74</v>
      </c>
      <c r="I13" t="s">
        <v>1480</v>
      </c>
      <c r="J13" s="9">
        <v>15708.74</v>
      </c>
      <c r="Q13"/>
      <c r="R13"/>
    </row>
    <row r="14" spans="1:18" x14ac:dyDescent="0.3">
      <c r="A14" t="s">
        <v>1465</v>
      </c>
      <c r="B14" t="s">
        <v>958</v>
      </c>
      <c r="C14" t="s">
        <v>1466</v>
      </c>
      <c r="D14" t="s">
        <v>1462</v>
      </c>
      <c r="E14">
        <v>45678</v>
      </c>
      <c r="F14">
        <v>46043</v>
      </c>
      <c r="G14" t="s">
        <v>960</v>
      </c>
      <c r="H14" s="9">
        <v>15491.51</v>
      </c>
      <c r="I14" t="s">
        <v>1480</v>
      </c>
      <c r="J14" s="9">
        <v>15491.51</v>
      </c>
      <c r="Q14"/>
      <c r="R14"/>
    </row>
    <row r="15" spans="1:18" x14ac:dyDescent="0.3">
      <c r="A15" t="s">
        <v>972</v>
      </c>
      <c r="B15" t="s">
        <v>973</v>
      </c>
      <c r="C15" t="s">
        <v>974</v>
      </c>
      <c r="D15" t="s">
        <v>962</v>
      </c>
      <c r="E15">
        <v>45435</v>
      </c>
      <c r="F15">
        <v>45800</v>
      </c>
      <c r="G15" t="s">
        <v>960</v>
      </c>
      <c r="H15" s="9">
        <v>14559.93</v>
      </c>
      <c r="I15" t="s">
        <v>1480</v>
      </c>
      <c r="J15" s="9">
        <v>14559.93</v>
      </c>
      <c r="Q15"/>
      <c r="R15"/>
    </row>
    <row r="16" spans="1:18" hidden="1" x14ac:dyDescent="0.3">
      <c r="A16" t="s">
        <v>978</v>
      </c>
      <c r="B16" t="s">
        <v>973</v>
      </c>
      <c r="C16" t="s">
        <v>979</v>
      </c>
      <c r="D16" t="s">
        <v>962</v>
      </c>
      <c r="E16">
        <v>45501</v>
      </c>
      <c r="F16">
        <v>45866</v>
      </c>
      <c r="G16" t="s">
        <v>960</v>
      </c>
      <c r="H16" s="9">
        <v>12578.64</v>
      </c>
      <c r="I16" t="s">
        <v>617</v>
      </c>
      <c r="J16" s="9">
        <v>12578.64</v>
      </c>
      <c r="Q16"/>
      <c r="R16"/>
    </row>
    <row r="17" spans="1:18" hidden="1" x14ac:dyDescent="0.3">
      <c r="A17" t="s">
        <v>1467</v>
      </c>
      <c r="B17" t="s">
        <v>958</v>
      </c>
      <c r="C17" t="s">
        <v>1468</v>
      </c>
      <c r="D17" t="s">
        <v>1462</v>
      </c>
      <c r="E17">
        <v>45647</v>
      </c>
      <c r="F17">
        <v>46012</v>
      </c>
      <c r="G17" t="s">
        <v>960</v>
      </c>
      <c r="H17" s="9">
        <v>12307.5</v>
      </c>
      <c r="I17" t="s">
        <v>1469</v>
      </c>
      <c r="J17" s="9">
        <v>12307.5</v>
      </c>
      <c r="Q17"/>
      <c r="R17"/>
    </row>
    <row r="18" spans="1:18" hidden="1" x14ac:dyDescent="0.3">
      <c r="A18" t="s">
        <v>1470</v>
      </c>
      <c r="B18" t="s">
        <v>958</v>
      </c>
      <c r="C18" t="s">
        <v>961</v>
      </c>
      <c r="D18" t="s">
        <v>1462</v>
      </c>
      <c r="E18">
        <v>45625</v>
      </c>
      <c r="F18">
        <v>45990</v>
      </c>
      <c r="G18" t="s">
        <v>960</v>
      </c>
      <c r="H18" s="25">
        <v>11986.04</v>
      </c>
      <c r="I18" t="s">
        <v>1469</v>
      </c>
      <c r="J18" s="9">
        <v>11986.04</v>
      </c>
      <c r="Q18"/>
      <c r="R18"/>
    </row>
    <row r="19" spans="1:18" x14ac:dyDescent="0.3">
      <c r="A19" t="s">
        <v>1472</v>
      </c>
      <c r="B19" t="s">
        <v>958</v>
      </c>
      <c r="C19" t="s">
        <v>976</v>
      </c>
      <c r="D19" t="s">
        <v>1462</v>
      </c>
      <c r="E19">
        <v>45488</v>
      </c>
      <c r="F19">
        <v>45853</v>
      </c>
      <c r="G19" t="s">
        <v>960</v>
      </c>
      <c r="H19" s="25">
        <v>11120.45</v>
      </c>
      <c r="I19" t="s">
        <v>1480</v>
      </c>
      <c r="J19" s="9">
        <v>11120.45</v>
      </c>
      <c r="Q19"/>
      <c r="R19"/>
    </row>
    <row r="20" spans="1:18" hidden="1" x14ac:dyDescent="0.3">
      <c r="A20" t="s">
        <v>1464</v>
      </c>
      <c r="B20" t="s">
        <v>958</v>
      </c>
      <c r="C20" t="s">
        <v>965</v>
      </c>
      <c r="D20" t="s">
        <v>1462</v>
      </c>
      <c r="E20">
        <v>45681</v>
      </c>
      <c r="F20">
        <v>46046</v>
      </c>
      <c r="G20" t="s">
        <v>960</v>
      </c>
      <c r="H20" s="25">
        <v>10363.450000000001</v>
      </c>
      <c r="I20" t="s">
        <v>1463</v>
      </c>
      <c r="J20" s="9">
        <v>10363.450000000001</v>
      </c>
      <c r="Q20"/>
      <c r="R20"/>
    </row>
    <row r="21" spans="1:18" hidden="1" x14ac:dyDescent="0.3">
      <c r="A21" t="s">
        <v>1461</v>
      </c>
      <c r="B21" t="s">
        <v>958</v>
      </c>
      <c r="C21" t="s">
        <v>966</v>
      </c>
      <c r="D21" t="s">
        <v>1462</v>
      </c>
      <c r="E21">
        <v>45681</v>
      </c>
      <c r="F21">
        <v>46046</v>
      </c>
      <c r="G21" t="s">
        <v>960</v>
      </c>
      <c r="H21" s="9">
        <v>9767.44</v>
      </c>
      <c r="I21" t="s">
        <v>1463</v>
      </c>
      <c r="J21" s="9">
        <v>9767.44</v>
      </c>
      <c r="Q21"/>
      <c r="R21"/>
    </row>
    <row r="22" spans="1:18" hidden="1" x14ac:dyDescent="0.3">
      <c r="A22" t="s">
        <v>1471</v>
      </c>
      <c r="B22" t="s">
        <v>958</v>
      </c>
      <c r="C22" t="s">
        <v>985</v>
      </c>
      <c r="D22" t="s">
        <v>1462</v>
      </c>
      <c r="E22">
        <v>45556</v>
      </c>
      <c r="F22">
        <v>45921</v>
      </c>
      <c r="G22" t="s">
        <v>960</v>
      </c>
      <c r="H22" s="25">
        <v>8836.36</v>
      </c>
      <c r="I22" t="s">
        <v>626</v>
      </c>
      <c r="J22" s="9">
        <v>8836.36</v>
      </c>
      <c r="Q22"/>
      <c r="R22"/>
    </row>
    <row r="23" spans="1:18" x14ac:dyDescent="0.3">
      <c r="A23" t="s">
        <v>1474</v>
      </c>
      <c r="B23" t="s">
        <v>958</v>
      </c>
      <c r="C23" t="s">
        <v>975</v>
      </c>
      <c r="D23" t="s">
        <v>1462</v>
      </c>
      <c r="E23">
        <v>45457</v>
      </c>
      <c r="F23">
        <v>45822</v>
      </c>
      <c r="G23" t="s">
        <v>960</v>
      </c>
      <c r="H23" s="25">
        <v>7915.96</v>
      </c>
      <c r="I23" t="s">
        <v>1480</v>
      </c>
      <c r="J23" s="9">
        <v>7915.96</v>
      </c>
      <c r="Q23"/>
      <c r="R23"/>
    </row>
    <row r="24" spans="1:18" hidden="1" x14ac:dyDescent="0.3">
      <c r="A24">
        <v>39937</v>
      </c>
      <c r="B24" t="s">
        <v>956</v>
      </c>
      <c r="C24" t="s">
        <v>969</v>
      </c>
      <c r="D24" t="s">
        <v>967</v>
      </c>
      <c r="E24">
        <v>45387</v>
      </c>
      <c r="F24">
        <v>45752</v>
      </c>
      <c r="G24" t="s">
        <v>960</v>
      </c>
      <c r="H24" s="25">
        <v>6132.05</v>
      </c>
      <c r="I24" t="s">
        <v>1469</v>
      </c>
      <c r="J24" s="9">
        <v>6132.05</v>
      </c>
      <c r="Q24"/>
      <c r="R24"/>
    </row>
    <row r="25" spans="1:18" hidden="1" x14ac:dyDescent="0.3">
      <c r="A25" t="s">
        <v>1477</v>
      </c>
      <c r="B25" t="s">
        <v>958</v>
      </c>
      <c r="C25" t="s">
        <v>957</v>
      </c>
      <c r="D25" t="s">
        <v>959</v>
      </c>
      <c r="E25">
        <v>45625</v>
      </c>
      <c r="F25">
        <v>45990</v>
      </c>
      <c r="G25" t="s">
        <v>960</v>
      </c>
      <c r="H25" s="9">
        <v>6009.85</v>
      </c>
      <c r="I25" t="s">
        <v>1469</v>
      </c>
      <c r="J25" s="9">
        <v>6009.85</v>
      </c>
      <c r="Q25"/>
      <c r="R25"/>
    </row>
    <row r="26" spans="1:18" hidden="1" x14ac:dyDescent="0.3">
      <c r="A26" t="s">
        <v>1478</v>
      </c>
      <c r="B26" t="s">
        <v>958</v>
      </c>
      <c r="C26" t="s">
        <v>1479</v>
      </c>
      <c r="D26" t="s">
        <v>959</v>
      </c>
      <c r="E26">
        <v>45387</v>
      </c>
      <c r="F26">
        <v>45752</v>
      </c>
      <c r="G26" t="s">
        <v>960</v>
      </c>
      <c r="H26" s="25">
        <v>5790.62</v>
      </c>
      <c r="I26" t="s">
        <v>1469</v>
      </c>
      <c r="J26" s="9">
        <v>5790.62</v>
      </c>
      <c r="Q26"/>
      <c r="R26"/>
    </row>
    <row r="27" spans="1:18" x14ac:dyDescent="0.3">
      <c r="Q27"/>
      <c r="R27"/>
    </row>
    <row r="28" spans="1:18" x14ac:dyDescent="0.3">
      <c r="Q28"/>
      <c r="R28"/>
    </row>
  </sheetData>
  <phoneticPr fontId="2" type="noConversion"/>
  <pageMargins left="0.7" right="0.7" top="0.75" bottom="0.75" header="0.3" footer="0.3"/>
  <headerFooter>
    <oddHeader>&amp;R&amp;"Calibri"&amp;10&amp;K000000 Confidencial&amp;1#_x000D_</oddHeader>
  </headerFooter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1565-1567-4380-8794-B4C4BC07B706}">
  <sheetPr codeName="Sheet6"/>
  <dimension ref="A1:DG1000"/>
  <sheetViews>
    <sheetView topLeftCell="BY50" workbookViewId="0">
      <selection activeCell="CF62" sqref="CF62:CF67"/>
    </sheetView>
  </sheetViews>
  <sheetFormatPr baseColWidth="10" defaultColWidth="8.88671875" defaultRowHeight="14.4" x14ac:dyDescent="0.3"/>
  <cols>
    <col min="1" max="1" width="12.5546875" bestFit="1" customWidth="1"/>
    <col min="2" max="2" width="12" bestFit="1" customWidth="1"/>
    <col min="3" max="3" width="11.6640625" bestFit="1" customWidth="1"/>
    <col min="4" max="4" width="11" bestFit="1" customWidth="1"/>
    <col min="5" max="5" width="10.109375" bestFit="1" customWidth="1"/>
    <col min="6" max="6" width="11.6640625" bestFit="1" customWidth="1"/>
    <col min="7" max="7" width="12.109375" bestFit="1" customWidth="1"/>
    <col min="8" max="8" width="10.109375" bestFit="1" customWidth="1"/>
    <col min="9" max="9" width="12.5546875" bestFit="1" customWidth="1"/>
    <col min="10" max="10" width="12" bestFit="1" customWidth="1"/>
    <col min="11" max="11" width="11.6640625" bestFit="1" customWidth="1"/>
    <col min="12" max="13" width="11.109375" bestFit="1" customWidth="1"/>
    <col min="14" max="14" width="11.6640625" bestFit="1" customWidth="1"/>
    <col min="15" max="16" width="11.109375" bestFit="1" customWidth="1"/>
    <col min="17" max="17" width="12.5546875" bestFit="1" customWidth="1"/>
    <col min="18" max="18" width="12" bestFit="1" customWidth="1"/>
    <col min="19" max="19" width="11.6640625" bestFit="1" customWidth="1"/>
    <col min="20" max="21" width="11.109375" bestFit="1" customWidth="1"/>
    <col min="22" max="22" width="11.6640625" bestFit="1" customWidth="1"/>
    <col min="23" max="23" width="12.109375" bestFit="1" customWidth="1"/>
    <col min="24" max="24" width="11.109375" bestFit="1" customWidth="1"/>
    <col min="25" max="25" width="43.44140625" bestFit="1" customWidth="1"/>
    <col min="26" max="26" width="12" bestFit="1" customWidth="1"/>
    <col min="27" max="27" width="11.6640625" bestFit="1" customWidth="1"/>
    <col min="28" max="29" width="11.109375" bestFit="1" customWidth="1"/>
    <col min="30" max="30" width="11.6640625" bestFit="1" customWidth="1"/>
    <col min="31" max="32" width="11.109375" bestFit="1" customWidth="1"/>
    <col min="33" max="33" width="12.5546875" bestFit="1" customWidth="1"/>
    <col min="34" max="34" width="12" bestFit="1" customWidth="1"/>
    <col min="35" max="35" width="11.6640625" bestFit="1" customWidth="1"/>
    <col min="36" max="36" width="12.109375" bestFit="1" customWidth="1"/>
    <col min="37" max="38" width="11.109375" bestFit="1" customWidth="1"/>
    <col min="39" max="39" width="11.6640625" bestFit="1" customWidth="1"/>
    <col min="40" max="40" width="11.109375" bestFit="1" customWidth="1"/>
    <col min="41" max="41" width="28.88671875" bestFit="1" customWidth="1"/>
    <col min="42" max="42" width="12" bestFit="1" customWidth="1"/>
    <col min="43" max="44" width="11.6640625" bestFit="1" customWidth="1"/>
    <col min="45" max="45" width="11.109375" bestFit="1" customWidth="1"/>
    <col min="46" max="46" width="11.6640625" bestFit="1" customWidth="1"/>
    <col min="47" max="47" width="12.109375" bestFit="1" customWidth="1"/>
    <col min="48" max="48" width="11.109375" bestFit="1" customWidth="1"/>
    <col min="49" max="49" width="28.88671875" bestFit="1" customWidth="1"/>
    <col min="50" max="50" width="12" bestFit="1" customWidth="1"/>
    <col min="51" max="54" width="11.6640625" bestFit="1" customWidth="1"/>
    <col min="55" max="55" width="12.109375" bestFit="1" customWidth="1"/>
    <col min="56" max="56" width="11.109375" bestFit="1" customWidth="1"/>
    <col min="57" max="57" width="30" bestFit="1" customWidth="1"/>
    <col min="58" max="58" width="12" bestFit="1" customWidth="1"/>
    <col min="59" max="62" width="11.109375" bestFit="1" customWidth="1"/>
    <col min="63" max="63" width="12.44140625" bestFit="1" customWidth="1"/>
    <col min="64" max="64" width="11.109375" bestFit="1" customWidth="1"/>
    <col min="65" max="65" width="28.44140625" bestFit="1" customWidth="1"/>
    <col min="66" max="66" width="12" bestFit="1" customWidth="1"/>
    <col min="67" max="72" width="11.109375" bestFit="1" customWidth="1"/>
    <col min="73" max="73" width="20.44140625" bestFit="1" customWidth="1"/>
    <col min="74" max="74" width="12" bestFit="1" customWidth="1"/>
    <col min="75" max="75" width="11.109375" bestFit="1" customWidth="1"/>
    <col min="76" max="76" width="11.6640625" bestFit="1" customWidth="1"/>
    <col min="77" max="77" width="11.109375" bestFit="1" customWidth="1"/>
    <col min="78" max="79" width="11.6640625" bestFit="1" customWidth="1"/>
    <col min="80" max="80" width="11.109375" bestFit="1" customWidth="1"/>
    <col min="81" max="81" width="12.5546875" bestFit="1" customWidth="1"/>
    <col min="82" max="82" width="13.5546875" bestFit="1" customWidth="1"/>
    <col min="83" max="83" width="11.77734375" style="9" bestFit="1" customWidth="1"/>
    <col min="84" max="84" width="12.44140625" bestFit="1" customWidth="1"/>
    <col min="85" max="85" width="11.6640625" bestFit="1" customWidth="1"/>
    <col min="86" max="86" width="12.44140625" bestFit="1" customWidth="1"/>
    <col min="87" max="87" width="13.44140625" style="9" bestFit="1" customWidth="1"/>
    <col min="88" max="89" width="11.109375" bestFit="1" customWidth="1"/>
    <col min="90" max="90" width="11.6640625" bestFit="1" customWidth="1"/>
    <col min="91" max="91" width="12.109375" bestFit="1" customWidth="1"/>
    <col min="92" max="99" width="11.109375" bestFit="1" customWidth="1"/>
    <col min="100" max="111" width="12.109375" customWidth="1"/>
    <col min="112" max="137" width="12.109375" bestFit="1" customWidth="1"/>
  </cols>
  <sheetData>
    <row r="1" spans="1:111" x14ac:dyDescent="0.3">
      <c r="A1" t="s">
        <v>1296</v>
      </c>
      <c r="B1" t="s">
        <v>42</v>
      </c>
      <c r="C1" t="s">
        <v>43</v>
      </c>
      <c r="D1" t="s">
        <v>44</v>
      </c>
      <c r="E1" t="s">
        <v>45</v>
      </c>
      <c r="F1" t="s">
        <v>1006</v>
      </c>
      <c r="G1" t="s">
        <v>46</v>
      </c>
      <c r="H1" t="s">
        <v>47</v>
      </c>
      <c r="I1" t="s">
        <v>1297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1298</v>
      </c>
      <c r="R1" t="s">
        <v>57</v>
      </c>
      <c r="S1" t="s">
        <v>58</v>
      </c>
      <c r="T1" t="s">
        <v>1007</v>
      </c>
      <c r="U1" t="s">
        <v>59</v>
      </c>
      <c r="V1" t="s">
        <v>60</v>
      </c>
      <c r="W1" t="s">
        <v>61</v>
      </c>
      <c r="X1" t="s">
        <v>62</v>
      </c>
      <c r="Y1" t="s">
        <v>1299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1300</v>
      </c>
      <c r="AH1" t="s">
        <v>1008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1301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1009</v>
      </c>
      <c r="AW1" t="s">
        <v>1302</v>
      </c>
      <c r="AX1" t="s">
        <v>86</v>
      </c>
      <c r="AY1" t="s">
        <v>87</v>
      </c>
      <c r="AZ1" t="s">
        <v>88</v>
      </c>
      <c r="BA1" t="s">
        <v>89</v>
      </c>
      <c r="BB1" t="s">
        <v>90</v>
      </c>
      <c r="BC1" t="s">
        <v>91</v>
      </c>
      <c r="BD1" t="s">
        <v>92</v>
      </c>
      <c r="BE1" t="s">
        <v>1303</v>
      </c>
      <c r="BF1" t="s">
        <v>94</v>
      </c>
      <c r="BG1" t="s">
        <v>95</v>
      </c>
      <c r="BH1" t="s">
        <v>96</v>
      </c>
      <c r="BI1" t="s">
        <v>97</v>
      </c>
      <c r="BJ1" t="s">
        <v>1010</v>
      </c>
      <c r="BK1" t="s">
        <v>98</v>
      </c>
      <c r="BL1" t="s">
        <v>99</v>
      </c>
      <c r="BM1" t="s">
        <v>1304</v>
      </c>
      <c r="BN1" t="s">
        <v>101</v>
      </c>
      <c r="BO1" t="s">
        <v>102</v>
      </c>
      <c r="BP1" t="s">
        <v>103</v>
      </c>
      <c r="BQ1" t="s">
        <v>104</v>
      </c>
      <c r="BR1" t="s">
        <v>105</v>
      </c>
      <c r="BS1" t="s">
        <v>106</v>
      </c>
      <c r="BT1" t="s">
        <v>107</v>
      </c>
      <c r="BU1" t="s">
        <v>1305</v>
      </c>
      <c r="BV1" t="s">
        <v>109</v>
      </c>
      <c r="BW1" t="s">
        <v>110</v>
      </c>
      <c r="BX1" t="s">
        <v>111</v>
      </c>
      <c r="BY1" t="s">
        <v>112</v>
      </c>
      <c r="BZ1" t="s">
        <v>113</v>
      </c>
      <c r="CA1" t="s">
        <v>114</v>
      </c>
      <c r="CB1" t="s">
        <v>115</v>
      </c>
      <c r="CC1" t="s">
        <v>1306</v>
      </c>
      <c r="CD1" s="9" t="s">
        <v>116</v>
      </c>
      <c r="CE1" s="9" t="s">
        <v>117</v>
      </c>
      <c r="CF1" s="9" t="s">
        <v>118</v>
      </c>
      <c r="CG1" s="9" t="s">
        <v>119</v>
      </c>
      <c r="CH1" s="9" t="s">
        <v>120</v>
      </c>
      <c r="CI1" s="9" t="s">
        <v>121</v>
      </c>
      <c r="CJ1" t="s">
        <v>122</v>
      </c>
      <c r="CK1" t="s">
        <v>123</v>
      </c>
      <c r="CL1" t="s">
        <v>124</v>
      </c>
      <c r="CM1" t="s">
        <v>125</v>
      </c>
      <c r="CN1" t="s">
        <v>126</v>
      </c>
      <c r="CO1" t="s">
        <v>127</v>
      </c>
      <c r="CP1" t="s">
        <v>128</v>
      </c>
      <c r="CQ1" t="s">
        <v>129</v>
      </c>
      <c r="CR1" t="s">
        <v>1012</v>
      </c>
      <c r="CS1" t="s">
        <v>1013</v>
      </c>
      <c r="CT1" t="s">
        <v>1014</v>
      </c>
      <c r="CU1" t="s">
        <v>1015</v>
      </c>
      <c r="CV1" t="s">
        <v>1016</v>
      </c>
      <c r="CW1" t="s">
        <v>1017</v>
      </c>
      <c r="CX1" t="s">
        <v>1018</v>
      </c>
      <c r="CY1" t="s">
        <v>1019</v>
      </c>
      <c r="CZ1" t="s">
        <v>1020</v>
      </c>
      <c r="DA1" t="s">
        <v>1021</v>
      </c>
      <c r="DB1" t="s">
        <v>1022</v>
      </c>
      <c r="DC1" t="s">
        <v>1023</v>
      </c>
      <c r="DD1" t="s">
        <v>1024</v>
      </c>
      <c r="DE1" t="s">
        <v>1025</v>
      </c>
      <c r="DF1" t="s">
        <v>601</v>
      </c>
      <c r="DG1" t="s">
        <v>1026</v>
      </c>
    </row>
    <row r="2" spans="1:111" x14ac:dyDescent="0.3">
      <c r="A2" t="s">
        <v>1307</v>
      </c>
      <c r="B2" t="s">
        <v>1308</v>
      </c>
      <c r="I2" t="s">
        <v>1307</v>
      </c>
      <c r="J2" t="s">
        <v>1308</v>
      </c>
      <c r="Q2" t="s">
        <v>1307</v>
      </c>
      <c r="R2" t="s">
        <v>1308</v>
      </c>
      <c r="Y2" t="s">
        <v>1307</v>
      </c>
      <c r="Z2" t="s">
        <v>1308</v>
      </c>
      <c r="AG2" t="s">
        <v>1307</v>
      </c>
      <c r="AH2" t="s">
        <v>1308</v>
      </c>
      <c r="AO2" t="s">
        <v>1307</v>
      </c>
      <c r="AP2" t="s">
        <v>1308</v>
      </c>
      <c r="AW2" t="s">
        <v>1307</v>
      </c>
      <c r="AX2" t="s">
        <v>1308</v>
      </c>
      <c r="BE2" t="s">
        <v>1307</v>
      </c>
      <c r="BF2" t="s">
        <v>1308</v>
      </c>
      <c r="BM2" t="s">
        <v>1307</v>
      </c>
      <c r="BN2" t="s">
        <v>1308</v>
      </c>
      <c r="BU2" t="s">
        <v>1307</v>
      </c>
      <c r="BV2" t="s">
        <v>1308</v>
      </c>
      <c r="CC2" s="3" t="s">
        <v>1307</v>
      </c>
      <c r="CD2" s="9"/>
      <c r="CF2" s="9"/>
      <c r="CG2" s="9"/>
      <c r="CH2" s="9"/>
    </row>
    <row r="3" spans="1:111" x14ac:dyDescent="0.3">
      <c r="A3" t="s">
        <v>1263</v>
      </c>
      <c r="B3">
        <v>5750000</v>
      </c>
      <c r="D3" t="s">
        <v>1265</v>
      </c>
      <c r="F3" t="s">
        <v>1266</v>
      </c>
      <c r="G3">
        <v>60</v>
      </c>
      <c r="I3" t="s">
        <v>1263</v>
      </c>
      <c r="J3">
        <v>3000000</v>
      </c>
      <c r="L3" t="s">
        <v>1265</v>
      </c>
      <c r="N3" t="s">
        <v>1266</v>
      </c>
      <c r="O3">
        <v>60</v>
      </c>
      <c r="Q3" t="s">
        <v>1263</v>
      </c>
      <c r="R3">
        <v>5000000</v>
      </c>
      <c r="T3" t="s">
        <v>1265</v>
      </c>
      <c r="V3" t="s">
        <v>1266</v>
      </c>
      <c r="W3">
        <v>48</v>
      </c>
      <c r="Y3" t="s">
        <v>1263</v>
      </c>
      <c r="Z3">
        <v>730000</v>
      </c>
      <c r="AB3" t="s">
        <v>1265</v>
      </c>
      <c r="AD3" t="s">
        <v>1266</v>
      </c>
      <c r="AE3">
        <v>54</v>
      </c>
      <c r="AG3" t="s">
        <v>1263</v>
      </c>
      <c r="AH3">
        <v>3000000</v>
      </c>
      <c r="AJ3" t="s">
        <v>1265</v>
      </c>
      <c r="AL3" t="s">
        <v>1266</v>
      </c>
      <c r="AM3">
        <v>24</v>
      </c>
      <c r="AO3" t="s">
        <v>1263</v>
      </c>
      <c r="AP3">
        <v>4199807.28</v>
      </c>
      <c r="AR3" t="s">
        <v>1265</v>
      </c>
      <c r="AT3" t="s">
        <v>1266</v>
      </c>
      <c r="AU3">
        <v>24</v>
      </c>
      <c r="AW3" t="s">
        <v>1263</v>
      </c>
      <c r="AX3">
        <v>404748.23</v>
      </c>
      <c r="AZ3" t="s">
        <v>1265</v>
      </c>
      <c r="BB3" t="s">
        <v>1266</v>
      </c>
      <c r="BC3">
        <v>24</v>
      </c>
      <c r="BE3" t="s">
        <v>1263</v>
      </c>
      <c r="BF3">
        <v>1361469.3</v>
      </c>
      <c r="BH3" t="s">
        <v>1265</v>
      </c>
      <c r="BJ3" t="s">
        <v>1266</v>
      </c>
      <c r="BK3">
        <v>4</v>
      </c>
      <c r="BM3" t="s">
        <v>1263</v>
      </c>
      <c r="BN3">
        <v>500000</v>
      </c>
      <c r="BP3" t="s">
        <v>1265</v>
      </c>
      <c r="BR3" t="s">
        <v>1266</v>
      </c>
      <c r="BS3">
        <v>24</v>
      </c>
      <c r="BU3" t="s">
        <v>1263</v>
      </c>
      <c r="BV3">
        <v>500000</v>
      </c>
      <c r="BX3" t="s">
        <v>1265</v>
      </c>
      <c r="BZ3" t="s">
        <v>1266</v>
      </c>
      <c r="CA3">
        <v>24</v>
      </c>
      <c r="CC3" s="3" t="s">
        <v>1263</v>
      </c>
      <c r="CD3" s="9">
        <v>18180000</v>
      </c>
      <c r="CF3" s="9" t="s">
        <v>1265</v>
      </c>
      <c r="CG3" s="9"/>
      <c r="CH3" s="9" t="s">
        <v>1266</v>
      </c>
      <c r="CI3" s="9">
        <v>24</v>
      </c>
    </row>
    <row r="4" spans="1:111" x14ac:dyDescent="0.3">
      <c r="A4" t="s">
        <v>1267</v>
      </c>
      <c r="D4" t="s">
        <v>1268</v>
      </c>
      <c r="F4" t="s">
        <v>1269</v>
      </c>
      <c r="I4" t="s">
        <v>1267</v>
      </c>
      <c r="L4" t="s">
        <v>1268</v>
      </c>
      <c r="N4" t="s">
        <v>1269</v>
      </c>
      <c r="Q4" t="s">
        <v>1267</v>
      </c>
      <c r="R4">
        <v>0</v>
      </c>
      <c r="T4" t="s">
        <v>1268</v>
      </c>
      <c r="V4" t="s">
        <v>1269</v>
      </c>
      <c r="Y4" t="s">
        <v>1267</v>
      </c>
      <c r="AB4" t="s">
        <v>1268</v>
      </c>
      <c r="AC4">
        <v>21830</v>
      </c>
      <c r="AD4" t="s">
        <v>1269</v>
      </c>
      <c r="AG4" t="s">
        <v>1267</v>
      </c>
      <c r="AJ4" t="s">
        <v>1268</v>
      </c>
      <c r="AK4">
        <v>190103.31</v>
      </c>
      <c r="AL4" t="s">
        <v>1269</v>
      </c>
      <c r="AO4" t="s">
        <v>1267</v>
      </c>
      <c r="AP4">
        <v>0</v>
      </c>
      <c r="AR4" t="s">
        <v>1268</v>
      </c>
      <c r="AS4">
        <v>190103.31</v>
      </c>
      <c r="AT4" t="s">
        <v>1269</v>
      </c>
      <c r="AW4" t="s">
        <v>1267</v>
      </c>
      <c r="AX4">
        <v>0</v>
      </c>
      <c r="AZ4" t="s">
        <v>1268</v>
      </c>
      <c r="BA4">
        <v>13647.020279874409</v>
      </c>
      <c r="BB4" t="s">
        <v>1269</v>
      </c>
      <c r="BE4" t="s">
        <v>1267</v>
      </c>
      <c r="BF4">
        <v>0</v>
      </c>
      <c r="BH4" t="s">
        <v>1268</v>
      </c>
      <c r="BI4">
        <v>340367.32</v>
      </c>
      <c r="BJ4" t="s">
        <v>1269</v>
      </c>
      <c r="BM4" t="s">
        <v>1267</v>
      </c>
      <c r="BN4">
        <v>0</v>
      </c>
      <c r="BP4" t="s">
        <v>1268</v>
      </c>
      <c r="BQ4">
        <v>190103.31</v>
      </c>
      <c r="BR4" t="s">
        <v>1269</v>
      </c>
      <c r="BU4" t="s">
        <v>1267</v>
      </c>
      <c r="BV4">
        <v>0</v>
      </c>
      <c r="BX4" t="s">
        <v>1268</v>
      </c>
      <c r="BY4">
        <v>190103.31</v>
      </c>
      <c r="BZ4" t="s">
        <v>1269</v>
      </c>
      <c r="CC4" s="3" t="s">
        <v>1267</v>
      </c>
      <c r="CD4" s="9">
        <v>0</v>
      </c>
      <c r="CF4" s="9" t="s">
        <v>1268</v>
      </c>
      <c r="CG4" s="9"/>
      <c r="CH4" s="9" t="s">
        <v>1269</v>
      </c>
    </row>
    <row r="5" spans="1:111" x14ac:dyDescent="0.3">
      <c r="A5" t="s">
        <v>1270</v>
      </c>
      <c r="B5">
        <v>0.1532</v>
      </c>
      <c r="C5">
        <v>1.2766666666666667E-2</v>
      </c>
      <c r="D5" t="s">
        <v>1271</v>
      </c>
      <c r="E5">
        <v>0</v>
      </c>
      <c r="F5" t="s">
        <v>1269</v>
      </c>
      <c r="G5">
        <v>-0.19999999649007805</v>
      </c>
      <c r="I5" t="s">
        <v>1270</v>
      </c>
      <c r="J5">
        <v>0.13</v>
      </c>
      <c r="K5">
        <v>1.0833333333333334E-2</v>
      </c>
      <c r="L5" t="s">
        <v>1271</v>
      </c>
      <c r="M5">
        <v>0</v>
      </c>
      <c r="N5" t="s">
        <v>1269</v>
      </c>
      <c r="O5">
        <v>0</v>
      </c>
      <c r="Q5" t="s">
        <v>1270</v>
      </c>
      <c r="R5">
        <v>0.13</v>
      </c>
      <c r="S5">
        <v>1.0833333333333334E-2</v>
      </c>
      <c r="T5" t="s">
        <v>1271</v>
      </c>
      <c r="U5">
        <v>0</v>
      </c>
      <c r="V5" t="s">
        <v>1269</v>
      </c>
      <c r="W5">
        <v>0.15999999738414772</v>
      </c>
      <c r="Y5" t="s">
        <v>1270</v>
      </c>
      <c r="Z5">
        <v>0.33535740339445608</v>
      </c>
      <c r="AA5">
        <v>2.7946450282871339E-2</v>
      </c>
      <c r="AB5" t="s">
        <v>1271</v>
      </c>
      <c r="AC5">
        <v>0</v>
      </c>
      <c r="AD5" t="s">
        <v>1269</v>
      </c>
      <c r="AE5">
        <v>5.5842974688857794E-10</v>
      </c>
      <c r="AG5" t="s">
        <v>1270</v>
      </c>
      <c r="AH5">
        <v>0.44</v>
      </c>
      <c r="AI5">
        <v>3.6666666666666667E-2</v>
      </c>
      <c r="AJ5" t="s">
        <v>1271</v>
      </c>
      <c r="AK5">
        <v>0</v>
      </c>
      <c r="AL5" t="s">
        <v>1269</v>
      </c>
      <c r="AM5">
        <v>-1405245.63</v>
      </c>
      <c r="AO5" t="s">
        <v>1270</v>
      </c>
      <c r="AP5">
        <v>0.2</v>
      </c>
      <c r="AQ5">
        <v>1.6666666666666666E-2</v>
      </c>
      <c r="AR5" t="s">
        <v>1271</v>
      </c>
      <c r="AS5">
        <v>0</v>
      </c>
      <c r="AT5" t="s">
        <v>1269</v>
      </c>
      <c r="AU5">
        <v>-3.9166671922430396E-3</v>
      </c>
      <c r="AW5" t="s">
        <v>1270</v>
      </c>
      <c r="AX5">
        <v>0.26</v>
      </c>
      <c r="AY5">
        <v>2.1666666666666667E-2</v>
      </c>
      <c r="AZ5" t="s">
        <v>1271</v>
      </c>
      <c r="BA5">
        <v>0</v>
      </c>
      <c r="BB5" t="s">
        <v>1269</v>
      </c>
      <c r="BC5">
        <v>-6.8575900513678789E-10</v>
      </c>
      <c r="BE5" t="s">
        <v>1270</v>
      </c>
      <c r="BF5">
        <v>0</v>
      </c>
      <c r="BG5">
        <v>0</v>
      </c>
      <c r="BH5" t="s">
        <v>1271</v>
      </c>
      <c r="BI5">
        <v>0</v>
      </c>
      <c r="BJ5" t="s">
        <v>1269</v>
      </c>
      <c r="BK5">
        <v>0</v>
      </c>
      <c r="BM5" t="s">
        <v>1270</v>
      </c>
      <c r="BN5">
        <v>0.36</v>
      </c>
      <c r="BO5">
        <v>0.03</v>
      </c>
      <c r="BP5" t="s">
        <v>1271</v>
      </c>
      <c r="BQ5">
        <v>0</v>
      </c>
      <c r="BR5" t="s">
        <v>1269</v>
      </c>
      <c r="BS5">
        <v>0</v>
      </c>
      <c r="BU5" t="s">
        <v>1270</v>
      </c>
      <c r="BV5">
        <v>0</v>
      </c>
      <c r="BW5">
        <v>0</v>
      </c>
      <c r="BX5" t="s">
        <v>1271</v>
      </c>
      <c r="BY5">
        <v>0</v>
      </c>
      <c r="BZ5" t="s">
        <v>1269</v>
      </c>
      <c r="CA5">
        <v>0</v>
      </c>
      <c r="CC5" s="3" t="s">
        <v>1270</v>
      </c>
      <c r="CD5" s="9"/>
      <c r="CF5" s="9" t="s">
        <v>1271</v>
      </c>
      <c r="CG5" s="9"/>
      <c r="CH5" s="9" t="s">
        <v>1269</v>
      </c>
    </row>
    <row r="6" spans="1:111" x14ac:dyDescent="0.3">
      <c r="Y6" t="s">
        <v>1309</v>
      </c>
      <c r="AO6" t="s">
        <v>1310</v>
      </c>
      <c r="AP6">
        <v>0.4</v>
      </c>
      <c r="AW6" t="s">
        <v>1310</v>
      </c>
      <c r="BE6" t="s">
        <v>1310</v>
      </c>
      <c r="CC6" s="3"/>
      <c r="CD6" s="9"/>
      <c r="CF6" s="9"/>
      <c r="CG6" s="9"/>
      <c r="CH6" s="9"/>
    </row>
    <row r="7" spans="1:111" x14ac:dyDescent="0.3">
      <c r="A7" t="s">
        <v>1276</v>
      </c>
      <c r="B7" t="s">
        <v>1277</v>
      </c>
      <c r="C7" t="s">
        <v>1278</v>
      </c>
      <c r="D7" t="s">
        <v>1279</v>
      </c>
      <c r="E7" t="s">
        <v>1281</v>
      </c>
      <c r="F7" t="s">
        <v>1282</v>
      </c>
      <c r="G7" t="s">
        <v>1283</v>
      </c>
      <c r="I7" t="s">
        <v>1276</v>
      </c>
      <c r="J7" t="s">
        <v>1277</v>
      </c>
      <c r="K7" t="s">
        <v>1278</v>
      </c>
      <c r="L7" t="s">
        <v>1279</v>
      </c>
      <c r="M7" t="s">
        <v>1281</v>
      </c>
      <c r="N7" t="s">
        <v>1282</v>
      </c>
      <c r="O7" t="s">
        <v>1283</v>
      </c>
      <c r="Q7" t="s">
        <v>1276</v>
      </c>
      <c r="R7" t="s">
        <v>1277</v>
      </c>
      <c r="S7" t="s">
        <v>1278</v>
      </c>
      <c r="T7" t="s">
        <v>1279</v>
      </c>
      <c r="U7" t="s">
        <v>1281</v>
      </c>
      <c r="V7" t="s">
        <v>1282</v>
      </c>
      <c r="W7" t="s">
        <v>1283</v>
      </c>
      <c r="Y7" t="s">
        <v>1276</v>
      </c>
      <c r="Z7" t="s">
        <v>1277</v>
      </c>
      <c r="AA7" t="s">
        <v>1278</v>
      </c>
      <c r="AB7" t="s">
        <v>1279</v>
      </c>
      <c r="AC7" t="s">
        <v>1281</v>
      </c>
      <c r="AD7" t="s">
        <v>1282</v>
      </c>
      <c r="AE7" t="s">
        <v>1283</v>
      </c>
      <c r="AG7" t="s">
        <v>1276</v>
      </c>
      <c r="AH7" t="s">
        <v>1277</v>
      </c>
      <c r="AI7" t="s">
        <v>1278</v>
      </c>
      <c r="AJ7" t="s">
        <v>1279</v>
      </c>
      <c r="AK7" t="s">
        <v>1281</v>
      </c>
      <c r="AL7" t="s">
        <v>1282</v>
      </c>
      <c r="AM7" t="s">
        <v>1283</v>
      </c>
      <c r="AO7" t="s">
        <v>1276</v>
      </c>
      <c r="AP7" t="s">
        <v>1277</v>
      </c>
      <c r="AQ7" t="s">
        <v>1278</v>
      </c>
      <c r="AR7" t="s">
        <v>1279</v>
      </c>
      <c r="AS7" t="s">
        <v>1281</v>
      </c>
      <c r="AT7" t="s">
        <v>1282</v>
      </c>
      <c r="AU7" t="s">
        <v>1283</v>
      </c>
      <c r="AW7" t="s">
        <v>1276</v>
      </c>
      <c r="AX7" t="s">
        <v>1277</v>
      </c>
      <c r="AY7" t="s">
        <v>1278</v>
      </c>
      <c r="AZ7" t="s">
        <v>1279</v>
      </c>
      <c r="BA7" t="s">
        <v>1281</v>
      </c>
      <c r="BB7" t="s">
        <v>1282</v>
      </c>
      <c r="BC7" t="s">
        <v>1283</v>
      </c>
      <c r="BE7" t="s">
        <v>1276</v>
      </c>
      <c r="BF7" t="s">
        <v>1277</v>
      </c>
      <c r="BG7" t="s">
        <v>1278</v>
      </c>
      <c r="BH7" t="s">
        <v>1279</v>
      </c>
      <c r="BI7" t="s">
        <v>1281</v>
      </c>
      <c r="BJ7" t="s">
        <v>1282</v>
      </c>
      <c r="BK7" t="s">
        <v>1283</v>
      </c>
      <c r="BM7" t="s">
        <v>1276</v>
      </c>
      <c r="BN7" t="s">
        <v>1277</v>
      </c>
      <c r="BO7" t="s">
        <v>1278</v>
      </c>
      <c r="BP7" t="s">
        <v>1279</v>
      </c>
      <c r="BQ7" t="s">
        <v>1311</v>
      </c>
      <c r="BR7" t="s">
        <v>1282</v>
      </c>
      <c r="BS7" t="s">
        <v>1283</v>
      </c>
      <c r="BU7" t="s">
        <v>1276</v>
      </c>
      <c r="BV7" t="s">
        <v>1277</v>
      </c>
      <c r="BW7" t="s">
        <v>1278</v>
      </c>
      <c r="BX7" t="s">
        <v>1279</v>
      </c>
      <c r="BY7" t="s">
        <v>1311</v>
      </c>
      <c r="BZ7" t="s">
        <v>1282</v>
      </c>
      <c r="CA7" t="s">
        <v>1283</v>
      </c>
      <c r="CC7" s="3" t="s">
        <v>1276</v>
      </c>
      <c r="CD7" s="9" t="s">
        <v>1277</v>
      </c>
      <c r="CE7" s="9" t="s">
        <v>1278</v>
      </c>
      <c r="CF7" s="9" t="s">
        <v>1279</v>
      </c>
      <c r="CG7" s="9" t="s">
        <v>1281</v>
      </c>
      <c r="CH7" s="9" t="s">
        <v>1282</v>
      </c>
      <c r="CI7" s="9" t="s">
        <v>1283</v>
      </c>
    </row>
    <row r="8" spans="1:111" x14ac:dyDescent="0.3">
      <c r="A8" s="3">
        <v>44212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I8" s="289">
        <v>44211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Q8" s="3">
        <v>44217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Y8">
        <v>44227</v>
      </c>
      <c r="Z8">
        <v>730000</v>
      </c>
      <c r="AA8">
        <v>20400.908706496077</v>
      </c>
      <c r="AB8">
        <v>13518.52</v>
      </c>
      <c r="AC8">
        <v>0</v>
      </c>
      <c r="AD8">
        <v>33919.428706496081</v>
      </c>
      <c r="AE8">
        <v>716481.48</v>
      </c>
      <c r="AF8">
        <v>21830</v>
      </c>
      <c r="AG8">
        <v>44222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O8">
        <v>44222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W8">
        <v>44222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E8">
        <v>44222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M8">
        <v>44222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U8">
        <v>44222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 s="3">
        <v>44222</v>
      </c>
      <c r="CD8" s="9">
        <v>730000</v>
      </c>
      <c r="CE8" s="9">
        <v>20400.908706496077</v>
      </c>
      <c r="CF8" s="9">
        <v>13518.52</v>
      </c>
      <c r="CG8" s="9">
        <v>0</v>
      </c>
      <c r="CH8" s="9">
        <v>33919.428706496081</v>
      </c>
      <c r="CI8" s="9">
        <v>716481.48</v>
      </c>
      <c r="CL8">
        <v>0</v>
      </c>
    </row>
    <row r="9" spans="1:111" x14ac:dyDescent="0.3">
      <c r="A9" s="3">
        <v>44243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I9" s="289">
        <v>44242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Q9" s="3">
        <v>44248</v>
      </c>
      <c r="R9">
        <v>0</v>
      </c>
      <c r="S9" s="3">
        <v>0</v>
      </c>
      <c r="T9">
        <v>0</v>
      </c>
      <c r="U9">
        <v>0</v>
      </c>
      <c r="V9">
        <v>0</v>
      </c>
      <c r="W9">
        <v>0</v>
      </c>
      <c r="Y9">
        <v>44255</v>
      </c>
      <c r="Z9">
        <v>716481.48</v>
      </c>
      <c r="AA9" s="3">
        <v>20023.114059418076</v>
      </c>
      <c r="AB9">
        <v>13518.52</v>
      </c>
      <c r="AC9">
        <v>0</v>
      </c>
      <c r="AD9">
        <v>33541.63405941808</v>
      </c>
      <c r="AE9">
        <v>702962.96</v>
      </c>
      <c r="AG9">
        <v>44253</v>
      </c>
      <c r="AH9">
        <v>0</v>
      </c>
      <c r="AI9" s="3">
        <v>0</v>
      </c>
      <c r="AJ9">
        <v>0</v>
      </c>
      <c r="AK9">
        <v>0</v>
      </c>
      <c r="AL9">
        <v>0</v>
      </c>
      <c r="AM9">
        <v>0</v>
      </c>
      <c r="AO9">
        <v>44253</v>
      </c>
      <c r="AP9">
        <v>0</v>
      </c>
      <c r="AQ9" s="3">
        <v>0</v>
      </c>
      <c r="AR9">
        <v>0</v>
      </c>
      <c r="AS9">
        <v>0</v>
      </c>
      <c r="AT9">
        <v>0</v>
      </c>
      <c r="AU9">
        <v>0</v>
      </c>
      <c r="AW9">
        <v>44253</v>
      </c>
      <c r="AX9">
        <v>0</v>
      </c>
      <c r="AY9" s="3">
        <v>0</v>
      </c>
      <c r="AZ9">
        <v>0</v>
      </c>
      <c r="BA9">
        <v>0</v>
      </c>
      <c r="BB9">
        <v>0</v>
      </c>
      <c r="BC9">
        <v>0</v>
      </c>
      <c r="BE9">
        <v>44253</v>
      </c>
      <c r="BF9">
        <v>0</v>
      </c>
      <c r="BG9" s="3">
        <v>0</v>
      </c>
      <c r="BH9" s="9">
        <v>0</v>
      </c>
      <c r="BI9" s="9">
        <v>0</v>
      </c>
      <c r="BJ9" s="9">
        <v>0</v>
      </c>
      <c r="BK9" s="9">
        <v>0</v>
      </c>
      <c r="BL9" s="9"/>
      <c r="BM9">
        <v>44253</v>
      </c>
      <c r="BN9">
        <v>0</v>
      </c>
      <c r="BO9" s="3">
        <v>0</v>
      </c>
      <c r="BP9" s="9">
        <v>0</v>
      </c>
      <c r="BQ9" s="9">
        <v>0</v>
      </c>
      <c r="BR9" s="9">
        <v>0</v>
      </c>
      <c r="BS9" s="9">
        <v>0</v>
      </c>
      <c r="BT9" s="9"/>
      <c r="BU9">
        <v>44253</v>
      </c>
      <c r="BV9">
        <v>0</v>
      </c>
      <c r="BW9" s="3">
        <v>0</v>
      </c>
      <c r="BX9">
        <v>0</v>
      </c>
      <c r="BY9">
        <v>0</v>
      </c>
      <c r="BZ9">
        <v>0</v>
      </c>
      <c r="CA9">
        <v>0</v>
      </c>
      <c r="CC9" s="3">
        <v>44253</v>
      </c>
      <c r="CD9" s="9">
        <v>716481.48</v>
      </c>
      <c r="CE9" s="9">
        <v>20023.114059418076</v>
      </c>
      <c r="CF9" s="9">
        <v>13518.52</v>
      </c>
      <c r="CG9" s="9">
        <v>0</v>
      </c>
      <c r="CH9" s="9">
        <v>33541.63405941808</v>
      </c>
      <c r="CI9" s="9">
        <v>702962.96</v>
      </c>
      <c r="CL9">
        <v>0</v>
      </c>
      <c r="CM9">
        <v>0</v>
      </c>
    </row>
    <row r="10" spans="1:111" x14ac:dyDescent="0.3">
      <c r="A10" s="3">
        <v>44271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I10" s="289">
        <v>44270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Q10" s="3">
        <v>44276</v>
      </c>
      <c r="R10">
        <v>0</v>
      </c>
      <c r="S10" s="3">
        <v>0</v>
      </c>
      <c r="T10">
        <v>0</v>
      </c>
      <c r="U10">
        <v>0</v>
      </c>
      <c r="V10">
        <v>0</v>
      </c>
      <c r="W10">
        <v>0</v>
      </c>
      <c r="Y10">
        <v>44286</v>
      </c>
      <c r="Z10">
        <v>702962.96</v>
      </c>
      <c r="AA10" s="3">
        <v>19645.319412340072</v>
      </c>
      <c r="AB10">
        <v>13518.52</v>
      </c>
      <c r="AC10">
        <v>0</v>
      </c>
      <c r="AD10">
        <v>33163.839412340072</v>
      </c>
      <c r="AE10">
        <v>689444.44</v>
      </c>
      <c r="AG10">
        <v>44281</v>
      </c>
      <c r="AH10">
        <v>0</v>
      </c>
      <c r="AI10" s="3">
        <v>0</v>
      </c>
      <c r="AJ10">
        <v>0</v>
      </c>
      <c r="AK10">
        <v>0</v>
      </c>
      <c r="AL10">
        <v>0</v>
      </c>
      <c r="AM10">
        <v>0</v>
      </c>
      <c r="AO10">
        <v>44281</v>
      </c>
      <c r="AP10">
        <v>0</v>
      </c>
      <c r="AQ10" s="3">
        <v>0</v>
      </c>
      <c r="AR10">
        <v>0</v>
      </c>
      <c r="AS10">
        <v>0</v>
      </c>
      <c r="AT10">
        <v>0</v>
      </c>
      <c r="AU10">
        <v>0</v>
      </c>
      <c r="AW10">
        <v>44281</v>
      </c>
      <c r="AX10">
        <v>0</v>
      </c>
      <c r="AY10" s="3">
        <v>0</v>
      </c>
      <c r="AZ10">
        <v>0</v>
      </c>
      <c r="BA10">
        <v>0</v>
      </c>
      <c r="BB10">
        <v>0</v>
      </c>
      <c r="BC10">
        <v>0</v>
      </c>
      <c r="BE10">
        <v>44281</v>
      </c>
      <c r="BF10">
        <v>0</v>
      </c>
      <c r="BG10" s="3">
        <v>0</v>
      </c>
      <c r="BH10" s="9">
        <v>0</v>
      </c>
      <c r="BI10" s="9">
        <v>0</v>
      </c>
      <c r="BJ10" s="9">
        <v>0</v>
      </c>
      <c r="BK10" s="9">
        <v>0</v>
      </c>
      <c r="BL10" s="9"/>
      <c r="BM10">
        <v>44281</v>
      </c>
      <c r="BN10">
        <v>0</v>
      </c>
      <c r="BO10" s="3">
        <v>0</v>
      </c>
      <c r="BP10" s="9">
        <v>0</v>
      </c>
      <c r="BQ10" s="9">
        <v>0</v>
      </c>
      <c r="BR10" s="9">
        <v>0</v>
      </c>
      <c r="BS10" s="9">
        <v>0</v>
      </c>
      <c r="BT10" s="9"/>
      <c r="BU10">
        <v>44281</v>
      </c>
      <c r="BV10">
        <v>0</v>
      </c>
      <c r="BW10" s="3">
        <v>0</v>
      </c>
      <c r="BX10">
        <v>0</v>
      </c>
      <c r="BY10">
        <v>0</v>
      </c>
      <c r="BZ10">
        <v>0</v>
      </c>
      <c r="CA10">
        <v>0</v>
      </c>
      <c r="CC10" s="3">
        <v>44281</v>
      </c>
      <c r="CD10" s="9">
        <v>702962.96</v>
      </c>
      <c r="CE10" s="9">
        <v>19645.319412340072</v>
      </c>
      <c r="CF10" s="9">
        <v>13518.52</v>
      </c>
      <c r="CG10" s="9">
        <v>0</v>
      </c>
      <c r="CH10" s="9">
        <v>33163.839412340072</v>
      </c>
      <c r="CI10" s="9">
        <v>689444.44</v>
      </c>
      <c r="CL10">
        <v>0</v>
      </c>
      <c r="CM10">
        <v>0</v>
      </c>
    </row>
    <row r="11" spans="1:111" x14ac:dyDescent="0.3">
      <c r="A11" s="3">
        <v>44302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I11" s="289">
        <v>44301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Q11" s="3">
        <v>44307</v>
      </c>
      <c r="R11">
        <v>0</v>
      </c>
      <c r="S11" s="3">
        <v>0</v>
      </c>
      <c r="T11">
        <v>0</v>
      </c>
      <c r="U11">
        <v>0</v>
      </c>
      <c r="V11">
        <v>0</v>
      </c>
      <c r="W11">
        <v>0</v>
      </c>
      <c r="Y11">
        <v>44316</v>
      </c>
      <c r="Z11">
        <v>689444.44</v>
      </c>
      <c r="AA11" s="3">
        <v>19267.524765262071</v>
      </c>
      <c r="AB11">
        <v>13518.52</v>
      </c>
      <c r="AC11">
        <v>0</v>
      </c>
      <c r="AD11">
        <v>32786.044765262071</v>
      </c>
      <c r="AE11">
        <v>675925.91999999993</v>
      </c>
      <c r="AG11">
        <v>44312</v>
      </c>
      <c r="AH11">
        <v>0</v>
      </c>
      <c r="AI11" s="3">
        <v>0</v>
      </c>
      <c r="AJ11">
        <v>0</v>
      </c>
      <c r="AK11">
        <v>0</v>
      </c>
      <c r="AL11">
        <v>0</v>
      </c>
      <c r="AM11">
        <v>0</v>
      </c>
      <c r="AO11">
        <v>44312</v>
      </c>
      <c r="AP11">
        <v>0</v>
      </c>
      <c r="AQ11" s="3">
        <v>0</v>
      </c>
      <c r="AR11">
        <v>0</v>
      </c>
      <c r="AS11">
        <v>0</v>
      </c>
      <c r="AT11">
        <v>0</v>
      </c>
      <c r="AU11">
        <v>0</v>
      </c>
      <c r="AW11">
        <v>44312</v>
      </c>
      <c r="AX11">
        <v>0</v>
      </c>
      <c r="AY11" s="3">
        <v>0</v>
      </c>
      <c r="AZ11">
        <v>0</v>
      </c>
      <c r="BA11">
        <v>0</v>
      </c>
      <c r="BB11">
        <v>0</v>
      </c>
      <c r="BC11">
        <v>0</v>
      </c>
      <c r="BE11">
        <v>44312</v>
      </c>
      <c r="BF11">
        <v>0</v>
      </c>
      <c r="BG11" s="3">
        <v>0</v>
      </c>
      <c r="BH11" s="9">
        <v>0</v>
      </c>
      <c r="BI11" s="9">
        <v>0</v>
      </c>
      <c r="BJ11" s="9">
        <v>0</v>
      </c>
      <c r="BK11" s="9">
        <v>0</v>
      </c>
      <c r="BL11" s="9"/>
      <c r="BM11">
        <v>44312</v>
      </c>
      <c r="BN11">
        <v>0</v>
      </c>
      <c r="BO11" s="3">
        <v>0</v>
      </c>
      <c r="BP11" s="9">
        <v>0</v>
      </c>
      <c r="BQ11" s="9">
        <v>0</v>
      </c>
      <c r="BR11" s="9">
        <v>0</v>
      </c>
      <c r="BS11" s="9">
        <v>0</v>
      </c>
      <c r="BT11" s="9"/>
      <c r="BU11">
        <v>44312</v>
      </c>
      <c r="BV11">
        <v>0</v>
      </c>
      <c r="BW11" s="3">
        <v>0</v>
      </c>
      <c r="BX11">
        <v>0</v>
      </c>
      <c r="BY11">
        <v>0</v>
      </c>
      <c r="BZ11">
        <v>0</v>
      </c>
      <c r="CA11">
        <v>0</v>
      </c>
      <c r="CC11" s="3">
        <v>44312</v>
      </c>
      <c r="CD11" s="9">
        <v>689444.44</v>
      </c>
      <c r="CE11" s="9">
        <v>19267.524765262071</v>
      </c>
      <c r="CF11" s="9">
        <v>13518.52</v>
      </c>
      <c r="CG11" s="9">
        <v>0</v>
      </c>
      <c r="CH11" s="9">
        <v>32786.044765262071</v>
      </c>
      <c r="CI11" s="9">
        <v>675925.91999999993</v>
      </c>
      <c r="CL11">
        <v>0</v>
      </c>
      <c r="CM11">
        <v>0</v>
      </c>
    </row>
    <row r="12" spans="1:111" x14ac:dyDescent="0.3">
      <c r="A12" s="3">
        <v>44332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I12" s="289">
        <v>44331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Q12" s="3">
        <v>44337</v>
      </c>
      <c r="R12">
        <v>5000000</v>
      </c>
      <c r="S12" s="3">
        <v>54166.666666666672</v>
      </c>
      <c r="T12">
        <v>104166.67</v>
      </c>
      <c r="U12">
        <v>0</v>
      </c>
      <c r="V12">
        <v>158333.33666666667</v>
      </c>
      <c r="W12">
        <v>4895833.33</v>
      </c>
      <c r="Y12">
        <v>44347</v>
      </c>
      <c r="Z12">
        <v>675925.91999999993</v>
      </c>
      <c r="AA12" s="3">
        <v>18889.730118184067</v>
      </c>
      <c r="AB12">
        <v>13518.52</v>
      </c>
      <c r="AC12">
        <v>0</v>
      </c>
      <c r="AD12">
        <v>32408.250118184067</v>
      </c>
      <c r="AE12">
        <v>662407.39999999991</v>
      </c>
      <c r="AG12">
        <v>44342</v>
      </c>
      <c r="AH12">
        <v>0</v>
      </c>
      <c r="AI12" s="3">
        <v>0</v>
      </c>
      <c r="AJ12">
        <v>0</v>
      </c>
      <c r="AK12">
        <v>0</v>
      </c>
      <c r="AL12">
        <v>0</v>
      </c>
      <c r="AM12">
        <v>0</v>
      </c>
      <c r="AO12">
        <v>44342</v>
      </c>
      <c r="AP12">
        <v>0</v>
      </c>
      <c r="AQ12" s="3">
        <v>0</v>
      </c>
      <c r="AR12">
        <v>0</v>
      </c>
      <c r="AS12">
        <v>0</v>
      </c>
      <c r="AT12">
        <v>0</v>
      </c>
      <c r="AU12">
        <v>0</v>
      </c>
      <c r="AW12">
        <v>44342</v>
      </c>
      <c r="AX12">
        <v>0</v>
      </c>
      <c r="AY12" s="3">
        <v>0</v>
      </c>
      <c r="AZ12">
        <v>0</v>
      </c>
      <c r="BA12">
        <v>0</v>
      </c>
      <c r="BB12">
        <v>0</v>
      </c>
      <c r="BC12">
        <v>0</v>
      </c>
      <c r="BE12">
        <v>44342</v>
      </c>
      <c r="BF12">
        <v>0</v>
      </c>
      <c r="BG12" s="3">
        <v>0</v>
      </c>
      <c r="BH12" s="9">
        <v>0</v>
      </c>
      <c r="BI12" s="9">
        <v>0</v>
      </c>
      <c r="BJ12" s="9">
        <v>0</v>
      </c>
      <c r="BK12" s="9">
        <v>0</v>
      </c>
      <c r="BL12" s="9"/>
      <c r="BM12">
        <v>44342</v>
      </c>
      <c r="BN12">
        <v>0</v>
      </c>
      <c r="BO12" s="3">
        <v>0</v>
      </c>
      <c r="BP12" s="9">
        <v>0</v>
      </c>
      <c r="BQ12" s="9">
        <v>0</v>
      </c>
      <c r="BR12" s="9">
        <v>0</v>
      </c>
      <c r="BS12" s="9">
        <v>0</v>
      </c>
      <c r="BT12" s="9"/>
      <c r="BU12">
        <v>44342</v>
      </c>
      <c r="BV12">
        <v>0</v>
      </c>
      <c r="BW12" s="3">
        <v>0</v>
      </c>
      <c r="BX12">
        <v>0</v>
      </c>
      <c r="BY12">
        <v>0</v>
      </c>
      <c r="BZ12">
        <v>0</v>
      </c>
      <c r="CA12">
        <v>0</v>
      </c>
      <c r="CC12" s="3">
        <v>44342</v>
      </c>
      <c r="CD12" s="9">
        <v>5675925.9199999999</v>
      </c>
      <c r="CE12" s="9">
        <v>73056.396784850745</v>
      </c>
      <c r="CF12" s="9">
        <v>117685.19</v>
      </c>
      <c r="CG12" s="9">
        <v>0</v>
      </c>
      <c r="CH12" s="9">
        <v>190741.58678485075</v>
      </c>
      <c r="CI12" s="9">
        <v>5558240.7300000004</v>
      </c>
      <c r="CL12">
        <v>0</v>
      </c>
      <c r="CM12">
        <v>5000000</v>
      </c>
    </row>
    <row r="13" spans="1:111" x14ac:dyDescent="0.3">
      <c r="A13" s="3">
        <v>44363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I13" s="289">
        <v>44362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Q13" s="3">
        <v>44368</v>
      </c>
      <c r="R13">
        <v>4895833.33</v>
      </c>
      <c r="S13" s="3">
        <v>53038.194408333336</v>
      </c>
      <c r="T13">
        <v>104166.67</v>
      </c>
      <c r="U13">
        <v>0</v>
      </c>
      <c r="V13">
        <v>157204.86440833332</v>
      </c>
      <c r="W13">
        <v>4791666.66</v>
      </c>
      <c r="Y13">
        <v>44377</v>
      </c>
      <c r="Z13">
        <v>662407.39999999991</v>
      </c>
      <c r="AA13" s="3">
        <v>18511.935471106062</v>
      </c>
      <c r="AB13">
        <v>13518.52</v>
      </c>
      <c r="AC13">
        <v>0</v>
      </c>
      <c r="AD13">
        <v>32030.455471106063</v>
      </c>
      <c r="AE13">
        <v>648888.87999999989</v>
      </c>
      <c r="AG13">
        <v>44373</v>
      </c>
      <c r="AH13">
        <v>0</v>
      </c>
      <c r="AI13" s="3">
        <v>0</v>
      </c>
      <c r="AJ13">
        <v>0</v>
      </c>
      <c r="AK13">
        <v>0</v>
      </c>
      <c r="AL13">
        <v>0</v>
      </c>
      <c r="AM13">
        <v>0</v>
      </c>
      <c r="AO13">
        <v>44373</v>
      </c>
      <c r="AP13">
        <v>0</v>
      </c>
      <c r="AQ13" s="3">
        <v>0</v>
      </c>
      <c r="AR13">
        <v>0</v>
      </c>
      <c r="AS13">
        <v>0</v>
      </c>
      <c r="AT13">
        <v>0</v>
      </c>
      <c r="AU13">
        <v>0</v>
      </c>
      <c r="AW13">
        <v>44373</v>
      </c>
      <c r="AX13">
        <v>0</v>
      </c>
      <c r="AY13" s="3">
        <v>0</v>
      </c>
      <c r="AZ13">
        <v>0</v>
      </c>
      <c r="BA13">
        <v>0</v>
      </c>
      <c r="BB13">
        <v>0</v>
      </c>
      <c r="BC13">
        <v>0</v>
      </c>
      <c r="BE13">
        <v>44373</v>
      </c>
      <c r="BF13">
        <v>0</v>
      </c>
      <c r="BG13" s="3">
        <v>0</v>
      </c>
      <c r="BH13" s="9">
        <v>0</v>
      </c>
      <c r="BI13" s="9">
        <v>0</v>
      </c>
      <c r="BJ13" s="9">
        <v>0</v>
      </c>
      <c r="BK13" s="9">
        <v>0</v>
      </c>
      <c r="BL13" s="9"/>
      <c r="BM13">
        <v>44373</v>
      </c>
      <c r="BN13">
        <v>0</v>
      </c>
      <c r="BO13" s="3">
        <v>0</v>
      </c>
      <c r="BP13" s="9">
        <v>0</v>
      </c>
      <c r="BQ13" s="9">
        <v>0</v>
      </c>
      <c r="BR13" s="9">
        <v>0</v>
      </c>
      <c r="BS13" s="9">
        <v>0</v>
      </c>
      <c r="BT13" s="9"/>
      <c r="BU13">
        <v>44373</v>
      </c>
      <c r="BV13">
        <v>0</v>
      </c>
      <c r="BW13" s="3">
        <v>0</v>
      </c>
      <c r="BX13">
        <v>0</v>
      </c>
      <c r="BY13">
        <v>0</v>
      </c>
      <c r="BZ13">
        <v>0</v>
      </c>
      <c r="CA13">
        <v>0</v>
      </c>
      <c r="CC13" s="3">
        <v>44373</v>
      </c>
      <c r="CD13" s="9">
        <v>5558240.7300000004</v>
      </c>
      <c r="CE13" s="9">
        <v>71550.129879439395</v>
      </c>
      <c r="CF13" s="9">
        <v>117685.19</v>
      </c>
      <c r="CG13" s="9">
        <v>0</v>
      </c>
      <c r="CH13" s="9">
        <v>189235.3198794394</v>
      </c>
      <c r="CI13" s="9">
        <v>5440555.54</v>
      </c>
      <c r="CL13">
        <v>0</v>
      </c>
      <c r="CM13">
        <v>0</v>
      </c>
    </row>
    <row r="14" spans="1:111" x14ac:dyDescent="0.3">
      <c r="A14" s="3">
        <v>44393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I14" s="289">
        <v>44392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Q14" s="3">
        <v>44398</v>
      </c>
      <c r="R14">
        <v>4791666.66</v>
      </c>
      <c r="S14" s="3">
        <v>51909.722150000001</v>
      </c>
      <c r="T14">
        <v>104166.67</v>
      </c>
      <c r="U14">
        <v>0</v>
      </c>
      <c r="V14">
        <v>156076.39215</v>
      </c>
      <c r="W14">
        <v>4687499.99</v>
      </c>
      <c r="Y14">
        <v>44408</v>
      </c>
      <c r="Z14">
        <v>648888.87999999989</v>
      </c>
      <c r="AA14" s="3">
        <v>18134.140824028065</v>
      </c>
      <c r="AB14">
        <v>13518.52</v>
      </c>
      <c r="AC14">
        <v>0</v>
      </c>
      <c r="AD14">
        <v>31652.660824028066</v>
      </c>
      <c r="AE14">
        <v>635370.35999999987</v>
      </c>
      <c r="AG14">
        <v>44403</v>
      </c>
      <c r="AH14">
        <v>0</v>
      </c>
      <c r="AI14" s="3">
        <v>0</v>
      </c>
      <c r="AJ14">
        <v>0</v>
      </c>
      <c r="AK14">
        <v>0</v>
      </c>
      <c r="AL14">
        <v>0</v>
      </c>
      <c r="AM14">
        <v>0</v>
      </c>
      <c r="AO14">
        <v>44403</v>
      </c>
      <c r="AP14">
        <v>0</v>
      </c>
      <c r="AQ14" s="3">
        <v>0</v>
      </c>
      <c r="AR14">
        <v>0</v>
      </c>
      <c r="AS14">
        <v>0</v>
      </c>
      <c r="AT14">
        <v>0</v>
      </c>
      <c r="AU14">
        <v>0</v>
      </c>
      <c r="AW14">
        <v>44403</v>
      </c>
      <c r="AX14">
        <v>0</v>
      </c>
      <c r="AY14" s="3">
        <v>0</v>
      </c>
      <c r="AZ14">
        <v>0</v>
      </c>
      <c r="BA14">
        <v>0</v>
      </c>
      <c r="BB14">
        <v>0</v>
      </c>
      <c r="BC14">
        <v>0</v>
      </c>
      <c r="BE14">
        <v>44403</v>
      </c>
      <c r="BF14">
        <v>0</v>
      </c>
      <c r="BG14" s="3">
        <v>0</v>
      </c>
      <c r="BH14" s="9">
        <v>0</v>
      </c>
      <c r="BI14" s="9">
        <v>0</v>
      </c>
      <c r="BJ14" s="9">
        <v>0</v>
      </c>
      <c r="BK14" s="9">
        <v>0</v>
      </c>
      <c r="BL14" s="9"/>
      <c r="BM14">
        <v>44403</v>
      </c>
      <c r="BN14">
        <v>0</v>
      </c>
      <c r="BO14" s="3">
        <v>0</v>
      </c>
      <c r="BP14" s="9">
        <v>0</v>
      </c>
      <c r="BQ14" s="9">
        <v>0</v>
      </c>
      <c r="BR14" s="9">
        <v>0</v>
      </c>
      <c r="BS14" s="9">
        <v>0</v>
      </c>
      <c r="BT14" s="9"/>
      <c r="BU14">
        <v>44403</v>
      </c>
      <c r="BV14">
        <v>0</v>
      </c>
      <c r="BW14" s="3">
        <v>0</v>
      </c>
      <c r="BX14">
        <v>0</v>
      </c>
      <c r="BY14">
        <v>0</v>
      </c>
      <c r="BZ14">
        <v>0</v>
      </c>
      <c r="CA14">
        <v>0</v>
      </c>
      <c r="CC14" s="3">
        <v>44403</v>
      </c>
      <c r="CD14" s="9">
        <v>5440555.54</v>
      </c>
      <c r="CE14" s="9">
        <v>70043.862974028059</v>
      </c>
      <c r="CF14" s="9">
        <v>117685.19</v>
      </c>
      <c r="CG14" s="9">
        <v>0</v>
      </c>
      <c r="CH14" s="9">
        <v>187729.05297402805</v>
      </c>
      <c r="CI14" s="9">
        <v>5322870.3499999996</v>
      </c>
      <c r="CL14">
        <v>0</v>
      </c>
      <c r="CM14">
        <v>0</v>
      </c>
    </row>
    <row r="15" spans="1:111" x14ac:dyDescent="0.3">
      <c r="A15" s="3">
        <v>44424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I15" s="289">
        <v>44423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Q15" s="3">
        <v>44429</v>
      </c>
      <c r="R15">
        <v>4687499.99</v>
      </c>
      <c r="S15" s="3">
        <v>50781.249891666674</v>
      </c>
      <c r="T15">
        <v>104166.67</v>
      </c>
      <c r="U15">
        <v>0</v>
      </c>
      <c r="V15">
        <v>154947.91989166668</v>
      </c>
      <c r="W15">
        <v>4583333.32</v>
      </c>
      <c r="Y15">
        <v>44439</v>
      </c>
      <c r="Z15">
        <v>635370.35999999987</v>
      </c>
      <c r="AA15" s="3">
        <v>17756.346176950061</v>
      </c>
      <c r="AB15">
        <v>13518.52</v>
      </c>
      <c r="AC15">
        <v>0</v>
      </c>
      <c r="AD15">
        <v>31274.866176950061</v>
      </c>
      <c r="AE15">
        <v>621851.83999999985</v>
      </c>
      <c r="AG15">
        <v>44434</v>
      </c>
      <c r="AH15">
        <v>0</v>
      </c>
      <c r="AI15" s="3">
        <v>0</v>
      </c>
      <c r="AJ15">
        <v>0</v>
      </c>
      <c r="AK15">
        <v>0</v>
      </c>
      <c r="AL15">
        <v>0</v>
      </c>
      <c r="AM15">
        <v>0</v>
      </c>
      <c r="AO15">
        <v>44434</v>
      </c>
      <c r="AP15">
        <v>0</v>
      </c>
      <c r="AQ15" s="3">
        <v>0</v>
      </c>
      <c r="AR15">
        <v>0</v>
      </c>
      <c r="AS15">
        <v>0</v>
      </c>
      <c r="AT15">
        <v>0</v>
      </c>
      <c r="AU15">
        <v>0</v>
      </c>
      <c r="AW15">
        <v>44434</v>
      </c>
      <c r="AX15">
        <v>0</v>
      </c>
      <c r="AY15" s="3">
        <v>0</v>
      </c>
      <c r="AZ15">
        <v>0</v>
      </c>
      <c r="BA15">
        <v>0</v>
      </c>
      <c r="BB15">
        <v>0</v>
      </c>
      <c r="BC15">
        <v>0</v>
      </c>
      <c r="BE15">
        <v>44434</v>
      </c>
      <c r="BF15">
        <v>0</v>
      </c>
      <c r="BG15" s="3">
        <v>0</v>
      </c>
      <c r="BH15" s="9">
        <v>0</v>
      </c>
      <c r="BI15" s="9">
        <v>0</v>
      </c>
      <c r="BJ15" s="9">
        <v>0</v>
      </c>
      <c r="BK15" s="9">
        <v>0</v>
      </c>
      <c r="BL15" s="9"/>
      <c r="BM15">
        <v>44434</v>
      </c>
      <c r="BN15">
        <v>0</v>
      </c>
      <c r="BO15" s="3">
        <v>0</v>
      </c>
      <c r="BP15" s="9">
        <v>0</v>
      </c>
      <c r="BQ15" s="9">
        <v>0</v>
      </c>
      <c r="BR15" s="9">
        <v>0</v>
      </c>
      <c r="BS15" s="9">
        <v>0</v>
      </c>
      <c r="BT15" s="9"/>
      <c r="BU15">
        <v>44434</v>
      </c>
      <c r="BV15">
        <v>0</v>
      </c>
      <c r="BW15" s="3">
        <v>0</v>
      </c>
      <c r="BX15">
        <v>0</v>
      </c>
      <c r="BY15">
        <v>0</v>
      </c>
      <c r="BZ15">
        <v>0</v>
      </c>
      <c r="CA15">
        <v>0</v>
      </c>
      <c r="CC15" s="3">
        <v>44434</v>
      </c>
      <c r="CD15" s="9">
        <v>5322870.3499999996</v>
      </c>
      <c r="CE15" s="9">
        <v>68537.596068616738</v>
      </c>
      <c r="CF15" s="9">
        <v>117685.19</v>
      </c>
      <c r="CG15" s="9">
        <v>0</v>
      </c>
      <c r="CH15" s="9">
        <v>186222.78606861673</v>
      </c>
      <c r="CI15" s="9">
        <v>5205185.16</v>
      </c>
      <c r="CL15">
        <v>0</v>
      </c>
      <c r="CM15">
        <v>0</v>
      </c>
    </row>
    <row r="16" spans="1:111" x14ac:dyDescent="0.3">
      <c r="A16" s="3">
        <v>44455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I16" s="289">
        <v>44454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Q16" s="3">
        <v>44460</v>
      </c>
      <c r="R16">
        <v>4583333.32</v>
      </c>
      <c r="S16" s="3">
        <v>49652.777633333339</v>
      </c>
      <c r="T16">
        <v>104166.67</v>
      </c>
      <c r="U16">
        <v>0</v>
      </c>
      <c r="V16">
        <v>153819.44763333333</v>
      </c>
      <c r="W16">
        <v>4479166.6500000004</v>
      </c>
      <c r="Y16">
        <v>44469</v>
      </c>
      <c r="Z16">
        <v>621851.83999999985</v>
      </c>
      <c r="AA16" s="3">
        <v>17378.551529872057</v>
      </c>
      <c r="AB16">
        <v>13518.52</v>
      </c>
      <c r="AC16">
        <v>0</v>
      </c>
      <c r="AD16">
        <v>30897.071529872057</v>
      </c>
      <c r="AE16">
        <v>608333.31999999983</v>
      </c>
      <c r="AG16">
        <v>44465</v>
      </c>
      <c r="AH16">
        <v>0</v>
      </c>
      <c r="AI16" s="3">
        <v>0</v>
      </c>
      <c r="AJ16">
        <v>0</v>
      </c>
      <c r="AK16">
        <v>0</v>
      </c>
      <c r="AL16">
        <v>0</v>
      </c>
      <c r="AM16">
        <v>0</v>
      </c>
      <c r="AO16">
        <v>44465</v>
      </c>
      <c r="AP16">
        <v>0</v>
      </c>
      <c r="AQ16" s="3">
        <v>0</v>
      </c>
      <c r="AR16">
        <v>0</v>
      </c>
      <c r="AS16">
        <v>0</v>
      </c>
      <c r="AT16">
        <v>0</v>
      </c>
      <c r="AU16">
        <v>0</v>
      </c>
      <c r="AW16">
        <v>44465</v>
      </c>
      <c r="AX16">
        <v>0</v>
      </c>
      <c r="AY16" s="3">
        <v>0</v>
      </c>
      <c r="AZ16">
        <v>0</v>
      </c>
      <c r="BA16">
        <v>0</v>
      </c>
      <c r="BB16">
        <v>0</v>
      </c>
      <c r="BC16">
        <v>0</v>
      </c>
      <c r="BE16">
        <v>44465</v>
      </c>
      <c r="BF16">
        <v>0</v>
      </c>
      <c r="BG16" s="3">
        <v>0</v>
      </c>
      <c r="BH16" s="9">
        <v>0</v>
      </c>
      <c r="BI16" s="9">
        <v>0</v>
      </c>
      <c r="BJ16" s="9">
        <v>0</v>
      </c>
      <c r="BK16" s="9">
        <v>0</v>
      </c>
      <c r="BL16" s="9"/>
      <c r="BM16">
        <v>44465</v>
      </c>
      <c r="BN16">
        <v>0</v>
      </c>
      <c r="BO16" s="3">
        <v>0</v>
      </c>
      <c r="BP16" s="9">
        <v>0</v>
      </c>
      <c r="BQ16" s="9">
        <v>0</v>
      </c>
      <c r="BR16" s="9">
        <v>0</v>
      </c>
      <c r="BS16" s="9">
        <v>0</v>
      </c>
      <c r="BT16" s="9"/>
      <c r="BU16">
        <v>44465</v>
      </c>
      <c r="BV16">
        <v>0</v>
      </c>
      <c r="BW16" s="3">
        <v>0</v>
      </c>
      <c r="BX16">
        <v>0</v>
      </c>
      <c r="BY16">
        <v>0</v>
      </c>
      <c r="BZ16">
        <v>0</v>
      </c>
      <c r="CA16">
        <v>0</v>
      </c>
      <c r="CC16" s="3">
        <v>44465</v>
      </c>
      <c r="CD16" s="9">
        <v>5205185.16</v>
      </c>
      <c r="CE16" s="9">
        <v>67031.329163205402</v>
      </c>
      <c r="CF16" s="9">
        <v>117685.19</v>
      </c>
      <c r="CG16" s="9">
        <v>0</v>
      </c>
      <c r="CH16" s="9">
        <v>184716.51916320535</v>
      </c>
      <c r="CI16" s="9">
        <v>5087499.9700000007</v>
      </c>
      <c r="CL16">
        <v>0</v>
      </c>
      <c r="CM16">
        <v>0</v>
      </c>
    </row>
    <row r="17" spans="1:91" x14ac:dyDescent="0.3">
      <c r="A17" s="3">
        <v>44485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I17" s="289">
        <v>44484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Q17" s="3">
        <v>44490</v>
      </c>
      <c r="R17">
        <v>4479166.6500000004</v>
      </c>
      <c r="S17" s="3">
        <v>48524.305375000004</v>
      </c>
      <c r="T17">
        <v>104166.67</v>
      </c>
      <c r="U17">
        <v>0</v>
      </c>
      <c r="V17">
        <v>152690.97537500001</v>
      </c>
      <c r="W17">
        <v>4374999.9800000004</v>
      </c>
      <c r="Y17">
        <v>44500</v>
      </c>
      <c r="Z17">
        <v>608333.31999999983</v>
      </c>
      <c r="AA17" s="3">
        <v>17000.756882794056</v>
      </c>
      <c r="AB17">
        <v>13518.52</v>
      </c>
      <c r="AC17">
        <v>0</v>
      </c>
      <c r="AD17">
        <v>30519.276882794056</v>
      </c>
      <c r="AE17">
        <v>594814.79999999981</v>
      </c>
      <c r="AG17">
        <v>44495</v>
      </c>
      <c r="AH17">
        <v>0</v>
      </c>
      <c r="AI17" s="3">
        <v>0</v>
      </c>
      <c r="AJ17">
        <v>0</v>
      </c>
      <c r="AK17">
        <v>0</v>
      </c>
      <c r="AL17">
        <v>0</v>
      </c>
      <c r="AM17">
        <v>0</v>
      </c>
      <c r="AO17">
        <v>44495</v>
      </c>
      <c r="AP17">
        <v>0</v>
      </c>
      <c r="AQ17" s="3">
        <v>0</v>
      </c>
      <c r="AR17">
        <v>0</v>
      </c>
      <c r="AS17">
        <v>0</v>
      </c>
      <c r="AT17">
        <v>0</v>
      </c>
      <c r="AU17">
        <v>0</v>
      </c>
      <c r="AW17">
        <v>44495</v>
      </c>
      <c r="AX17">
        <v>0</v>
      </c>
      <c r="AY17" s="3">
        <v>0</v>
      </c>
      <c r="AZ17">
        <v>0</v>
      </c>
      <c r="BA17">
        <v>0</v>
      </c>
      <c r="BB17">
        <v>0</v>
      </c>
      <c r="BC17">
        <v>0</v>
      </c>
      <c r="BE17">
        <v>44495</v>
      </c>
      <c r="BF17">
        <v>0</v>
      </c>
      <c r="BG17" s="3">
        <v>0</v>
      </c>
      <c r="BH17" s="9">
        <v>0</v>
      </c>
      <c r="BI17" s="9">
        <v>0</v>
      </c>
      <c r="BJ17" s="9">
        <v>0</v>
      </c>
      <c r="BK17" s="9">
        <v>0</v>
      </c>
      <c r="BL17" s="9"/>
      <c r="BM17">
        <v>44495</v>
      </c>
      <c r="BN17">
        <v>0</v>
      </c>
      <c r="BO17" s="3">
        <v>0</v>
      </c>
      <c r="BP17" s="9">
        <v>0</v>
      </c>
      <c r="BQ17" s="9">
        <v>0</v>
      </c>
      <c r="BR17" s="9">
        <v>0</v>
      </c>
      <c r="BS17" s="9">
        <v>0</v>
      </c>
      <c r="BT17" s="9"/>
      <c r="BU17">
        <v>44495</v>
      </c>
      <c r="BV17">
        <v>0</v>
      </c>
      <c r="BW17" s="3">
        <v>0</v>
      </c>
      <c r="BX17">
        <v>0</v>
      </c>
      <c r="BY17">
        <v>0</v>
      </c>
      <c r="BZ17">
        <v>0</v>
      </c>
      <c r="CA17">
        <v>0</v>
      </c>
      <c r="CC17" s="3">
        <v>44495</v>
      </c>
      <c r="CD17" s="9">
        <v>5087499.9700000007</v>
      </c>
      <c r="CE17" s="9">
        <v>65525.062257794059</v>
      </c>
      <c r="CF17" s="9">
        <v>117685.19</v>
      </c>
      <c r="CG17" s="9">
        <v>0</v>
      </c>
      <c r="CH17" s="9">
        <v>183210.25225779405</v>
      </c>
      <c r="CI17" s="9">
        <v>4969814.78</v>
      </c>
      <c r="CL17">
        <v>0</v>
      </c>
      <c r="CM17">
        <v>0</v>
      </c>
    </row>
    <row r="18" spans="1:91" x14ac:dyDescent="0.3">
      <c r="A18" s="3">
        <v>44516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I18" s="289">
        <v>44515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Q18" s="3">
        <v>44521</v>
      </c>
      <c r="R18">
        <v>4374999.9800000004</v>
      </c>
      <c r="S18" s="3">
        <v>47395.833116666669</v>
      </c>
      <c r="T18">
        <v>104166.67</v>
      </c>
      <c r="U18">
        <v>0</v>
      </c>
      <c r="V18">
        <v>151562.50311666669</v>
      </c>
      <c r="W18">
        <v>4270833.3100000005</v>
      </c>
      <c r="Y18">
        <v>44530</v>
      </c>
      <c r="Z18">
        <v>594814.79999999981</v>
      </c>
      <c r="AA18" s="3">
        <v>16622.962235716055</v>
      </c>
      <c r="AB18">
        <v>13518.52</v>
      </c>
      <c r="AC18">
        <v>0</v>
      </c>
      <c r="AD18">
        <v>30141.482235716056</v>
      </c>
      <c r="AE18">
        <v>581296.2799999998</v>
      </c>
      <c r="AG18">
        <v>44526</v>
      </c>
      <c r="AH18">
        <v>0</v>
      </c>
      <c r="AI18" s="3">
        <v>0</v>
      </c>
      <c r="AJ18">
        <v>0</v>
      </c>
      <c r="AK18">
        <v>0</v>
      </c>
      <c r="AL18">
        <v>0</v>
      </c>
      <c r="AM18">
        <v>0</v>
      </c>
      <c r="AO18">
        <v>44526</v>
      </c>
      <c r="AP18">
        <v>0</v>
      </c>
      <c r="AQ18" s="3">
        <v>0</v>
      </c>
      <c r="AR18">
        <v>0</v>
      </c>
      <c r="AS18">
        <v>0</v>
      </c>
      <c r="AT18">
        <v>0</v>
      </c>
      <c r="AU18">
        <v>0</v>
      </c>
      <c r="AW18">
        <v>44526</v>
      </c>
      <c r="AX18">
        <v>0</v>
      </c>
      <c r="AY18" s="3">
        <v>0</v>
      </c>
      <c r="AZ18">
        <v>0</v>
      </c>
      <c r="BA18">
        <v>0</v>
      </c>
      <c r="BB18">
        <v>0</v>
      </c>
      <c r="BC18">
        <v>0</v>
      </c>
      <c r="BE18">
        <v>44526</v>
      </c>
      <c r="BF18">
        <v>0</v>
      </c>
      <c r="BG18" s="3">
        <v>0</v>
      </c>
      <c r="BH18" s="9">
        <v>0</v>
      </c>
      <c r="BI18" s="9">
        <v>0</v>
      </c>
      <c r="BJ18" s="9">
        <v>0</v>
      </c>
      <c r="BK18" s="9">
        <v>0</v>
      </c>
      <c r="BL18" s="9"/>
      <c r="BM18">
        <v>44526</v>
      </c>
      <c r="BN18">
        <v>0</v>
      </c>
      <c r="BO18" s="3">
        <v>0</v>
      </c>
      <c r="BP18" s="9">
        <v>0</v>
      </c>
      <c r="BQ18" s="9">
        <v>0</v>
      </c>
      <c r="BR18" s="9">
        <v>0</v>
      </c>
      <c r="BS18" s="9">
        <v>0</v>
      </c>
      <c r="BT18" s="9"/>
      <c r="BU18">
        <v>44526</v>
      </c>
      <c r="BV18">
        <v>0</v>
      </c>
      <c r="BW18" s="3">
        <v>0</v>
      </c>
      <c r="BX18">
        <v>0</v>
      </c>
      <c r="BY18">
        <v>0</v>
      </c>
      <c r="BZ18">
        <v>0</v>
      </c>
      <c r="CA18">
        <v>0</v>
      </c>
      <c r="CC18" s="3">
        <v>44526</v>
      </c>
      <c r="CD18" s="9">
        <v>4969814.78</v>
      </c>
      <c r="CE18" s="9">
        <v>64018.795352382731</v>
      </c>
      <c r="CF18" s="9">
        <v>117685.19</v>
      </c>
      <c r="CG18" s="9">
        <v>0</v>
      </c>
      <c r="CH18" s="9">
        <v>181703.98535238273</v>
      </c>
      <c r="CI18" s="9">
        <v>4852129.59</v>
      </c>
      <c r="CL18">
        <v>0</v>
      </c>
      <c r="CM18">
        <v>0</v>
      </c>
    </row>
    <row r="19" spans="1:91" x14ac:dyDescent="0.3">
      <c r="A19" s="3">
        <v>44546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I19" s="289">
        <v>44545</v>
      </c>
      <c r="J19">
        <v>3000000</v>
      </c>
      <c r="K19">
        <v>32500</v>
      </c>
      <c r="L19">
        <v>50000</v>
      </c>
      <c r="M19">
        <v>0</v>
      </c>
      <c r="N19">
        <v>82500</v>
      </c>
      <c r="O19">
        <v>2950000</v>
      </c>
      <c r="Q19" s="3">
        <v>44551</v>
      </c>
      <c r="R19">
        <v>4270833.3100000005</v>
      </c>
      <c r="S19" s="3">
        <v>46267.360858333341</v>
      </c>
      <c r="T19">
        <v>104166.67</v>
      </c>
      <c r="U19">
        <v>0</v>
      </c>
      <c r="V19">
        <v>150434.03085833334</v>
      </c>
      <c r="W19">
        <v>4166666.6400000006</v>
      </c>
      <c r="Y19">
        <v>44561</v>
      </c>
      <c r="Z19">
        <v>581296.2799999998</v>
      </c>
      <c r="AA19" s="3">
        <v>16245.167588638053</v>
      </c>
      <c r="AB19">
        <v>13518.52</v>
      </c>
      <c r="AC19">
        <v>0</v>
      </c>
      <c r="AD19">
        <v>29763.687588638051</v>
      </c>
      <c r="AE19">
        <v>567777.75999999978</v>
      </c>
      <c r="AG19">
        <v>44556</v>
      </c>
      <c r="AH19">
        <v>0</v>
      </c>
      <c r="AI19" s="3">
        <v>0</v>
      </c>
      <c r="AJ19">
        <v>0</v>
      </c>
      <c r="AK19">
        <v>0</v>
      </c>
      <c r="AL19">
        <v>0</v>
      </c>
      <c r="AM19">
        <v>0</v>
      </c>
      <c r="AO19">
        <v>44556</v>
      </c>
      <c r="AP19">
        <v>0</v>
      </c>
      <c r="AQ19" s="3">
        <v>0</v>
      </c>
      <c r="AR19">
        <v>0</v>
      </c>
      <c r="AS19">
        <v>0</v>
      </c>
      <c r="AT19">
        <v>0</v>
      </c>
      <c r="AU19">
        <v>0</v>
      </c>
      <c r="AW19">
        <v>44556</v>
      </c>
      <c r="AX19">
        <v>0</v>
      </c>
      <c r="AY19" s="3">
        <v>0</v>
      </c>
      <c r="AZ19">
        <v>0</v>
      </c>
      <c r="BA19">
        <v>0</v>
      </c>
      <c r="BB19">
        <v>0</v>
      </c>
      <c r="BC19">
        <v>0</v>
      </c>
      <c r="BE19">
        <v>44556</v>
      </c>
      <c r="BF19">
        <v>0</v>
      </c>
      <c r="BG19" s="3">
        <v>0</v>
      </c>
      <c r="BH19" s="9">
        <v>0</v>
      </c>
      <c r="BI19" s="9">
        <v>0</v>
      </c>
      <c r="BJ19" s="9">
        <v>0</v>
      </c>
      <c r="BK19" s="9">
        <v>0</v>
      </c>
      <c r="BL19" s="9"/>
      <c r="BM19">
        <v>44556</v>
      </c>
      <c r="BN19">
        <v>0</v>
      </c>
      <c r="BO19" s="3">
        <v>0</v>
      </c>
      <c r="BP19" s="9">
        <v>0</v>
      </c>
      <c r="BQ19" s="9">
        <v>0</v>
      </c>
      <c r="BR19" s="9">
        <v>0</v>
      </c>
      <c r="BS19" s="9">
        <v>0</v>
      </c>
      <c r="BT19" s="9"/>
      <c r="BU19">
        <v>44556</v>
      </c>
      <c r="BV19">
        <v>0</v>
      </c>
      <c r="BW19" s="3">
        <v>0</v>
      </c>
      <c r="BX19">
        <v>0</v>
      </c>
      <c r="BY19">
        <v>0</v>
      </c>
      <c r="BZ19">
        <v>0</v>
      </c>
      <c r="CA19">
        <v>0</v>
      </c>
      <c r="CC19" s="3">
        <v>44556</v>
      </c>
      <c r="CD19" s="9">
        <v>7852129.5899999999</v>
      </c>
      <c r="CE19" s="9">
        <v>95012.528446971395</v>
      </c>
      <c r="CF19" s="9">
        <v>167685.18999999997</v>
      </c>
      <c r="CG19" s="9">
        <v>0</v>
      </c>
      <c r="CH19" s="9">
        <v>262697.71844697138</v>
      </c>
      <c r="CI19" s="9">
        <v>7684444.4000000004</v>
      </c>
      <c r="CL19">
        <v>0</v>
      </c>
      <c r="CM19">
        <v>3000000</v>
      </c>
    </row>
    <row r="20" spans="1:91" x14ac:dyDescent="0.3">
      <c r="A20" s="3">
        <v>44577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I20" s="289">
        <v>44576</v>
      </c>
      <c r="J20">
        <v>2950000</v>
      </c>
      <c r="K20">
        <v>31958.333333333336</v>
      </c>
      <c r="L20">
        <v>50000</v>
      </c>
      <c r="M20">
        <v>0</v>
      </c>
      <c r="N20">
        <v>81958.333333333343</v>
      </c>
      <c r="O20">
        <v>2900000</v>
      </c>
      <c r="Q20" s="3">
        <v>44582</v>
      </c>
      <c r="R20">
        <v>4166666.6400000006</v>
      </c>
      <c r="S20" s="3">
        <v>45138.888600000006</v>
      </c>
      <c r="T20">
        <v>104166.67</v>
      </c>
      <c r="U20">
        <v>0</v>
      </c>
      <c r="V20">
        <v>149305.55859999999</v>
      </c>
      <c r="W20">
        <v>4062499.9700000007</v>
      </c>
      <c r="Y20">
        <v>44592</v>
      </c>
      <c r="Z20">
        <v>567777.75999999978</v>
      </c>
      <c r="AA20" s="3">
        <v>15867.372941560048</v>
      </c>
      <c r="AB20">
        <v>13518.52</v>
      </c>
      <c r="AC20">
        <v>0</v>
      </c>
      <c r="AD20">
        <v>29385.892941560051</v>
      </c>
      <c r="AE20">
        <v>554259.23999999976</v>
      </c>
      <c r="AG20">
        <v>44587</v>
      </c>
      <c r="AH20">
        <v>0</v>
      </c>
      <c r="AI20" s="3">
        <v>0</v>
      </c>
      <c r="AJ20">
        <v>0</v>
      </c>
      <c r="AK20">
        <v>0</v>
      </c>
      <c r="AL20">
        <v>0</v>
      </c>
      <c r="AM20">
        <v>0</v>
      </c>
      <c r="AO20">
        <v>44587</v>
      </c>
      <c r="AP20">
        <v>0</v>
      </c>
      <c r="AQ20" s="3">
        <v>0</v>
      </c>
      <c r="AR20">
        <v>0</v>
      </c>
      <c r="AS20">
        <v>0</v>
      </c>
      <c r="AT20">
        <v>0</v>
      </c>
      <c r="AU20">
        <v>0</v>
      </c>
      <c r="AW20">
        <v>44587</v>
      </c>
      <c r="AX20">
        <v>0</v>
      </c>
      <c r="AY20" s="3">
        <v>0</v>
      </c>
      <c r="AZ20">
        <v>0</v>
      </c>
      <c r="BA20">
        <v>0</v>
      </c>
      <c r="BB20">
        <v>0</v>
      </c>
      <c r="BC20">
        <v>0</v>
      </c>
      <c r="BE20">
        <v>44587</v>
      </c>
      <c r="BF20">
        <v>0</v>
      </c>
      <c r="BG20" s="3">
        <v>0</v>
      </c>
      <c r="BH20" s="9">
        <v>0</v>
      </c>
      <c r="BI20" s="9">
        <v>0</v>
      </c>
      <c r="BJ20" s="9">
        <v>0</v>
      </c>
      <c r="BK20" s="9">
        <v>0</v>
      </c>
      <c r="BL20" s="9"/>
      <c r="BM20">
        <v>44587</v>
      </c>
      <c r="BN20">
        <v>0</v>
      </c>
      <c r="BO20" s="3">
        <v>0</v>
      </c>
      <c r="BP20" s="9">
        <v>0</v>
      </c>
      <c r="BQ20" s="9">
        <v>0</v>
      </c>
      <c r="BR20" s="9">
        <v>0</v>
      </c>
      <c r="BS20" s="9">
        <v>0</v>
      </c>
      <c r="BT20" s="9"/>
      <c r="BU20">
        <v>44587</v>
      </c>
      <c r="BV20">
        <v>0</v>
      </c>
      <c r="BW20" s="3">
        <v>0</v>
      </c>
      <c r="BX20">
        <v>0</v>
      </c>
      <c r="BY20">
        <v>0</v>
      </c>
      <c r="BZ20">
        <v>0</v>
      </c>
      <c r="CA20">
        <v>0</v>
      </c>
      <c r="CC20" s="3">
        <v>44587</v>
      </c>
      <c r="CD20" s="9">
        <v>7684444.4000000004</v>
      </c>
      <c r="CE20" s="9">
        <v>92964.594874893402</v>
      </c>
      <c r="CF20" s="9">
        <v>167685.18999999997</v>
      </c>
      <c r="CG20" s="9">
        <v>0</v>
      </c>
      <c r="CH20" s="9">
        <v>260649.78487489335</v>
      </c>
      <c r="CI20" s="9">
        <v>7516759.2100000018</v>
      </c>
      <c r="CL20">
        <v>0</v>
      </c>
      <c r="CM20">
        <v>0</v>
      </c>
    </row>
    <row r="21" spans="1:91" x14ac:dyDescent="0.3">
      <c r="A21" s="3">
        <v>44608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I21" s="289">
        <v>44607</v>
      </c>
      <c r="J21">
        <v>2900000</v>
      </c>
      <c r="K21">
        <v>31416.666666666668</v>
      </c>
      <c r="L21">
        <v>50000</v>
      </c>
      <c r="M21">
        <v>0</v>
      </c>
      <c r="N21">
        <v>81416.666666666672</v>
      </c>
      <c r="O21">
        <v>2850000</v>
      </c>
      <c r="Q21" s="3">
        <v>44613</v>
      </c>
      <c r="R21">
        <v>4062499.9700000007</v>
      </c>
      <c r="S21" s="3">
        <v>44010.416341666678</v>
      </c>
      <c r="T21">
        <v>104166.67</v>
      </c>
      <c r="U21">
        <v>0</v>
      </c>
      <c r="V21">
        <v>148177.08634166667</v>
      </c>
      <c r="W21">
        <v>3958333.3000000007</v>
      </c>
      <c r="Y21">
        <v>44620</v>
      </c>
      <c r="Z21">
        <v>554259.23999999976</v>
      </c>
      <c r="AA21" s="3">
        <v>15489.578294482046</v>
      </c>
      <c r="AB21">
        <v>13518.52</v>
      </c>
      <c r="AC21">
        <v>0</v>
      </c>
      <c r="AD21">
        <v>29008.098294482046</v>
      </c>
      <c r="AE21">
        <v>540740.71999999974</v>
      </c>
      <c r="AG21">
        <v>44618</v>
      </c>
      <c r="AH21">
        <v>0</v>
      </c>
      <c r="AI21" s="3">
        <v>0</v>
      </c>
      <c r="AJ21">
        <v>0</v>
      </c>
      <c r="AK21">
        <v>0</v>
      </c>
      <c r="AL21">
        <v>0</v>
      </c>
      <c r="AM21">
        <v>0</v>
      </c>
      <c r="AO21">
        <v>44618</v>
      </c>
      <c r="AP21">
        <v>0</v>
      </c>
      <c r="AQ21" s="3">
        <v>0</v>
      </c>
      <c r="AR21">
        <v>0</v>
      </c>
      <c r="AS21">
        <v>0</v>
      </c>
      <c r="AT21">
        <v>0</v>
      </c>
      <c r="AU21">
        <v>0</v>
      </c>
      <c r="AW21">
        <v>44618</v>
      </c>
      <c r="AX21">
        <v>0</v>
      </c>
      <c r="AY21" s="3">
        <v>0</v>
      </c>
      <c r="AZ21">
        <v>0</v>
      </c>
      <c r="BA21">
        <v>0</v>
      </c>
      <c r="BB21">
        <v>0</v>
      </c>
      <c r="BC21">
        <v>0</v>
      </c>
      <c r="BE21">
        <v>44618</v>
      </c>
      <c r="BF21">
        <v>0</v>
      </c>
      <c r="BG21" s="3">
        <v>0</v>
      </c>
      <c r="BH21" s="9">
        <v>0</v>
      </c>
      <c r="BI21" s="9">
        <v>0</v>
      </c>
      <c r="BJ21" s="9">
        <v>0</v>
      </c>
      <c r="BK21" s="9">
        <v>0</v>
      </c>
      <c r="BL21" s="9"/>
      <c r="BM21">
        <v>44618</v>
      </c>
      <c r="BN21">
        <v>0</v>
      </c>
      <c r="BO21" s="3">
        <v>0</v>
      </c>
      <c r="BP21" s="9">
        <v>0</v>
      </c>
      <c r="BQ21" s="9">
        <v>0</v>
      </c>
      <c r="BR21" s="9">
        <v>0</v>
      </c>
      <c r="BS21" s="9">
        <v>0</v>
      </c>
      <c r="BT21" s="9"/>
      <c r="BU21">
        <v>44618</v>
      </c>
      <c r="BV21">
        <v>0</v>
      </c>
      <c r="BW21" s="3">
        <v>0</v>
      </c>
      <c r="BX21">
        <v>0</v>
      </c>
      <c r="BY21">
        <v>0</v>
      </c>
      <c r="BZ21">
        <v>0</v>
      </c>
      <c r="CA21">
        <v>0</v>
      </c>
      <c r="CC21" s="3">
        <v>44618</v>
      </c>
      <c r="CD21" s="9">
        <v>7516759.2100000018</v>
      </c>
      <c r="CE21" s="9">
        <v>90916.661302815395</v>
      </c>
      <c r="CF21" s="9">
        <v>167685.18999999997</v>
      </c>
      <c r="CG21" s="9">
        <v>0</v>
      </c>
      <c r="CH21" s="9">
        <v>258601.85130281537</v>
      </c>
      <c r="CI21" s="9">
        <v>7349074.0199999996</v>
      </c>
      <c r="CL21">
        <v>0</v>
      </c>
      <c r="CM21">
        <v>0</v>
      </c>
    </row>
    <row r="22" spans="1:91" x14ac:dyDescent="0.3">
      <c r="A22" s="3">
        <v>44636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I22" s="289">
        <v>44635</v>
      </c>
      <c r="J22">
        <v>2850000</v>
      </c>
      <c r="K22">
        <v>30875</v>
      </c>
      <c r="L22">
        <v>50000</v>
      </c>
      <c r="M22">
        <v>0</v>
      </c>
      <c r="N22">
        <v>80875</v>
      </c>
      <c r="O22">
        <v>2800000</v>
      </c>
      <c r="Q22" s="3">
        <v>44641</v>
      </c>
      <c r="R22">
        <v>3958333.3000000007</v>
      </c>
      <c r="S22" s="3">
        <v>42881.944083333343</v>
      </c>
      <c r="T22">
        <v>104166.67</v>
      </c>
      <c r="U22">
        <v>0</v>
      </c>
      <c r="V22">
        <v>147048.61408333335</v>
      </c>
      <c r="W22">
        <v>3854166.6300000008</v>
      </c>
      <c r="Y22">
        <v>44651</v>
      </c>
      <c r="Z22">
        <v>540740.71999999974</v>
      </c>
      <c r="AA22" s="3">
        <v>15111.783647404043</v>
      </c>
      <c r="AB22">
        <v>13518.52</v>
      </c>
      <c r="AC22">
        <v>0</v>
      </c>
      <c r="AD22">
        <v>28630.303647404038</v>
      </c>
      <c r="AE22">
        <v>527222.19999999972</v>
      </c>
      <c r="AG22">
        <v>44646</v>
      </c>
      <c r="AH22">
        <v>0</v>
      </c>
      <c r="AI22" s="3">
        <v>0</v>
      </c>
      <c r="AJ22">
        <v>0</v>
      </c>
      <c r="AK22">
        <v>0</v>
      </c>
      <c r="AL22">
        <v>0</v>
      </c>
      <c r="AM22">
        <v>0</v>
      </c>
      <c r="AO22">
        <v>44646</v>
      </c>
      <c r="AP22">
        <v>0</v>
      </c>
      <c r="AQ22" s="3">
        <v>0</v>
      </c>
      <c r="AR22">
        <v>0</v>
      </c>
      <c r="AS22">
        <v>0</v>
      </c>
      <c r="AT22">
        <v>0</v>
      </c>
      <c r="AU22">
        <v>0</v>
      </c>
      <c r="AW22">
        <v>44646</v>
      </c>
      <c r="AX22">
        <v>0</v>
      </c>
      <c r="AY22" s="3">
        <v>0</v>
      </c>
      <c r="AZ22">
        <v>0</v>
      </c>
      <c r="BA22">
        <v>0</v>
      </c>
      <c r="BB22">
        <v>0</v>
      </c>
      <c r="BC22">
        <v>0</v>
      </c>
      <c r="BE22">
        <v>44646</v>
      </c>
      <c r="BF22">
        <v>0</v>
      </c>
      <c r="BG22" s="3">
        <v>0</v>
      </c>
      <c r="BH22" s="9">
        <v>0</v>
      </c>
      <c r="BI22" s="9">
        <v>0</v>
      </c>
      <c r="BJ22" s="9">
        <v>0</v>
      </c>
      <c r="BK22" s="9">
        <v>0</v>
      </c>
      <c r="BL22" s="9"/>
      <c r="BM22">
        <v>44646</v>
      </c>
      <c r="BN22">
        <v>0</v>
      </c>
      <c r="BO22" s="3">
        <v>0</v>
      </c>
      <c r="BP22" s="9">
        <v>0</v>
      </c>
      <c r="BQ22" s="9">
        <v>0</v>
      </c>
      <c r="BR22" s="9">
        <v>0</v>
      </c>
      <c r="BS22" s="9">
        <v>0</v>
      </c>
      <c r="BT22" s="9"/>
      <c r="BU22">
        <v>44646</v>
      </c>
      <c r="BV22">
        <v>0</v>
      </c>
      <c r="BW22" s="3">
        <v>0</v>
      </c>
      <c r="BX22">
        <v>0</v>
      </c>
      <c r="BY22">
        <v>0</v>
      </c>
      <c r="BZ22">
        <v>0</v>
      </c>
      <c r="CA22">
        <v>0</v>
      </c>
      <c r="CC22" s="3">
        <v>44646</v>
      </c>
      <c r="CD22" s="9">
        <v>7349074.0199999996</v>
      </c>
      <c r="CE22" s="9">
        <v>88868.727730737373</v>
      </c>
      <c r="CF22" s="9">
        <v>167685.18999999997</v>
      </c>
      <c r="CG22" s="9">
        <v>0</v>
      </c>
      <c r="CH22" s="9">
        <v>256553.91773073739</v>
      </c>
      <c r="CI22" s="9">
        <v>7181388.8300000001</v>
      </c>
      <c r="CL22">
        <v>0</v>
      </c>
      <c r="CM22">
        <v>0</v>
      </c>
    </row>
    <row r="23" spans="1:91" x14ac:dyDescent="0.3">
      <c r="A23" s="3">
        <v>44667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I23" s="289">
        <v>44666</v>
      </c>
      <c r="J23">
        <v>2800000</v>
      </c>
      <c r="K23">
        <v>30333.333333333336</v>
      </c>
      <c r="L23">
        <v>50000</v>
      </c>
      <c r="M23">
        <v>0</v>
      </c>
      <c r="N23">
        <v>80333.333333333343</v>
      </c>
      <c r="O23">
        <v>2750000</v>
      </c>
      <c r="Q23" s="3">
        <v>44672</v>
      </c>
      <c r="R23">
        <v>3854166.6300000008</v>
      </c>
      <c r="S23" s="3">
        <v>41753.471825000008</v>
      </c>
      <c r="T23">
        <v>104166.67</v>
      </c>
      <c r="U23">
        <v>0</v>
      </c>
      <c r="V23">
        <v>145920.141825</v>
      </c>
      <c r="W23">
        <v>3749999.9600000009</v>
      </c>
      <c r="Y23">
        <v>44681</v>
      </c>
      <c r="Z23">
        <v>527222.19999999972</v>
      </c>
      <c r="AA23" s="3">
        <v>14733.989000326044</v>
      </c>
      <c r="AB23">
        <v>13518.52</v>
      </c>
      <c r="AC23">
        <v>0</v>
      </c>
      <c r="AD23">
        <v>28252.509000326041</v>
      </c>
      <c r="AE23">
        <v>513703.6799999997</v>
      </c>
      <c r="AG23">
        <v>44677</v>
      </c>
      <c r="AH23">
        <v>0</v>
      </c>
      <c r="AI23" s="3">
        <v>0</v>
      </c>
      <c r="AJ23">
        <v>0</v>
      </c>
      <c r="AK23">
        <v>0</v>
      </c>
      <c r="AL23">
        <v>0</v>
      </c>
      <c r="AM23">
        <v>0</v>
      </c>
      <c r="AO23">
        <v>44677</v>
      </c>
      <c r="AP23">
        <v>0</v>
      </c>
      <c r="AQ23" s="3">
        <v>0</v>
      </c>
      <c r="AR23">
        <v>0</v>
      </c>
      <c r="AS23">
        <v>0</v>
      </c>
      <c r="AT23">
        <v>0</v>
      </c>
      <c r="AU23">
        <v>0</v>
      </c>
      <c r="AW23">
        <v>44677</v>
      </c>
      <c r="AX23">
        <v>0</v>
      </c>
      <c r="AY23" s="3">
        <v>0</v>
      </c>
      <c r="AZ23">
        <v>0</v>
      </c>
      <c r="BA23">
        <v>0</v>
      </c>
      <c r="BB23">
        <v>0</v>
      </c>
      <c r="BC23">
        <v>0</v>
      </c>
      <c r="BE23">
        <v>44677</v>
      </c>
      <c r="BF23">
        <v>0</v>
      </c>
      <c r="BG23" s="3">
        <v>0</v>
      </c>
      <c r="BH23" s="9">
        <v>0</v>
      </c>
      <c r="BI23" s="9">
        <v>0</v>
      </c>
      <c r="BJ23" s="9">
        <v>0</v>
      </c>
      <c r="BK23" s="9">
        <v>0</v>
      </c>
      <c r="BL23" s="9"/>
      <c r="BM23">
        <v>44677</v>
      </c>
      <c r="BN23">
        <v>0</v>
      </c>
      <c r="BO23" s="3">
        <v>0</v>
      </c>
      <c r="BP23" s="9">
        <v>0</v>
      </c>
      <c r="BQ23" s="9">
        <v>0</v>
      </c>
      <c r="BR23" s="9">
        <v>0</v>
      </c>
      <c r="BS23" s="9">
        <v>0</v>
      </c>
      <c r="BT23" s="9"/>
      <c r="BU23">
        <v>44677</v>
      </c>
      <c r="BV23">
        <v>0</v>
      </c>
      <c r="BW23" s="3">
        <v>0</v>
      </c>
      <c r="BX23">
        <v>0</v>
      </c>
      <c r="BY23">
        <v>0</v>
      </c>
      <c r="BZ23">
        <v>0</v>
      </c>
      <c r="CA23">
        <v>0</v>
      </c>
      <c r="CC23" s="3">
        <v>44677</v>
      </c>
      <c r="CD23" s="9">
        <v>7181388.8300000001</v>
      </c>
      <c r="CE23" s="9">
        <v>86820.794158659381</v>
      </c>
      <c r="CF23" s="9">
        <v>167685.18999999997</v>
      </c>
      <c r="CG23" s="9">
        <v>0</v>
      </c>
      <c r="CH23" s="9">
        <v>254505.98415865935</v>
      </c>
      <c r="CI23" s="9">
        <v>7013703.6400000006</v>
      </c>
      <c r="CL23">
        <v>0</v>
      </c>
      <c r="CM23">
        <v>0</v>
      </c>
    </row>
    <row r="24" spans="1:91" x14ac:dyDescent="0.3">
      <c r="A24" s="3">
        <v>44697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I24" s="289">
        <v>44696</v>
      </c>
      <c r="J24">
        <v>2750000</v>
      </c>
      <c r="K24">
        <v>29791.666666666668</v>
      </c>
      <c r="L24">
        <v>50000</v>
      </c>
      <c r="M24">
        <v>0</v>
      </c>
      <c r="N24">
        <v>79791.666666666672</v>
      </c>
      <c r="O24">
        <v>2700000</v>
      </c>
      <c r="Q24" s="3">
        <v>44702</v>
      </c>
      <c r="R24">
        <v>3749999.9600000009</v>
      </c>
      <c r="S24" s="3">
        <v>40624.99956666668</v>
      </c>
      <c r="T24">
        <v>104166.67</v>
      </c>
      <c r="U24">
        <v>0</v>
      </c>
      <c r="V24">
        <v>144791.66956666668</v>
      </c>
      <c r="W24">
        <v>3645833.290000001</v>
      </c>
      <c r="Y24">
        <v>44712</v>
      </c>
      <c r="Z24">
        <v>513703.6799999997</v>
      </c>
      <c r="AA24" s="3">
        <v>14356.19435324804</v>
      </c>
      <c r="AB24">
        <v>13518.52</v>
      </c>
      <c r="AC24">
        <v>0</v>
      </c>
      <c r="AD24">
        <v>27874.71435324804</v>
      </c>
      <c r="AE24">
        <v>500185.15999999968</v>
      </c>
      <c r="AG24">
        <v>44707</v>
      </c>
      <c r="AH24">
        <v>0</v>
      </c>
      <c r="AI24" s="3">
        <v>0</v>
      </c>
      <c r="AJ24">
        <v>0</v>
      </c>
      <c r="AK24">
        <v>0</v>
      </c>
      <c r="AL24">
        <v>0</v>
      </c>
      <c r="AM24">
        <v>0</v>
      </c>
      <c r="AO24">
        <v>44707</v>
      </c>
      <c r="AP24">
        <v>0</v>
      </c>
      <c r="AQ24" s="3">
        <v>0</v>
      </c>
      <c r="AR24">
        <v>0</v>
      </c>
      <c r="AS24">
        <v>0</v>
      </c>
      <c r="AT24">
        <v>0</v>
      </c>
      <c r="AU24">
        <v>0</v>
      </c>
      <c r="AW24">
        <v>44707</v>
      </c>
      <c r="AX24">
        <v>0</v>
      </c>
      <c r="AY24" s="3">
        <v>0</v>
      </c>
      <c r="AZ24">
        <v>0</v>
      </c>
      <c r="BA24">
        <v>0</v>
      </c>
      <c r="BB24">
        <v>0</v>
      </c>
      <c r="BC24">
        <v>0</v>
      </c>
      <c r="BE24">
        <v>44707</v>
      </c>
      <c r="BF24">
        <v>0</v>
      </c>
      <c r="BG24" s="3">
        <v>0</v>
      </c>
      <c r="BH24" s="9">
        <v>0</v>
      </c>
      <c r="BI24" s="9">
        <v>0</v>
      </c>
      <c r="BJ24" s="9">
        <v>0</v>
      </c>
      <c r="BK24" s="9">
        <v>0</v>
      </c>
      <c r="BL24" s="9"/>
      <c r="BM24">
        <v>44707</v>
      </c>
      <c r="BN24">
        <v>0</v>
      </c>
      <c r="BO24" s="3">
        <v>0</v>
      </c>
      <c r="BP24" s="9">
        <v>0</v>
      </c>
      <c r="BQ24" s="9">
        <v>0</v>
      </c>
      <c r="BR24" s="9">
        <v>0</v>
      </c>
      <c r="BS24" s="9">
        <v>0</v>
      </c>
      <c r="BT24" s="9"/>
      <c r="BU24">
        <v>44707</v>
      </c>
      <c r="BV24">
        <v>0</v>
      </c>
      <c r="BW24" s="3">
        <v>0</v>
      </c>
      <c r="BX24">
        <v>0</v>
      </c>
      <c r="BY24">
        <v>0</v>
      </c>
      <c r="BZ24">
        <v>0</v>
      </c>
      <c r="CA24">
        <v>0</v>
      </c>
      <c r="CC24" s="3">
        <v>44707</v>
      </c>
      <c r="CD24" s="9">
        <v>7013703.6400000006</v>
      </c>
      <c r="CE24" s="9">
        <v>84772.860586581388</v>
      </c>
      <c r="CF24" s="9">
        <v>167685.18999999997</v>
      </c>
      <c r="CG24" s="9">
        <v>0</v>
      </c>
      <c r="CH24" s="9">
        <v>252458.05058658135</v>
      </c>
      <c r="CI24" s="9">
        <v>6846018.4500000011</v>
      </c>
      <c r="CL24">
        <v>0</v>
      </c>
      <c r="CM24">
        <v>0</v>
      </c>
    </row>
    <row r="25" spans="1:91" x14ac:dyDescent="0.3">
      <c r="A25" s="3">
        <v>44728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I25" s="289">
        <v>44727</v>
      </c>
      <c r="J25">
        <v>2700000</v>
      </c>
      <c r="K25">
        <v>29250</v>
      </c>
      <c r="L25">
        <v>50000</v>
      </c>
      <c r="M25">
        <v>0</v>
      </c>
      <c r="N25">
        <v>79250</v>
      </c>
      <c r="O25">
        <v>2650000</v>
      </c>
      <c r="Q25" s="3">
        <v>44733</v>
      </c>
      <c r="R25">
        <v>3645833.290000001</v>
      </c>
      <c r="S25" s="3">
        <v>39496.527308333345</v>
      </c>
      <c r="T25">
        <v>104166.67</v>
      </c>
      <c r="U25">
        <v>0</v>
      </c>
      <c r="V25">
        <v>143663.19730833336</v>
      </c>
      <c r="W25">
        <v>3541666.620000001</v>
      </c>
      <c r="Y25">
        <v>44742</v>
      </c>
      <c r="Z25">
        <v>500185.15999999968</v>
      </c>
      <c r="AA25" s="3">
        <v>13978.399706170036</v>
      </c>
      <c r="AB25">
        <v>13518.52</v>
      </c>
      <c r="AC25">
        <v>0</v>
      </c>
      <c r="AD25">
        <v>27496.91970617004</v>
      </c>
      <c r="AE25">
        <v>486666.63999999966</v>
      </c>
      <c r="AG25">
        <v>44738</v>
      </c>
      <c r="AH25">
        <v>0</v>
      </c>
      <c r="AI25" s="3">
        <v>0</v>
      </c>
      <c r="AJ25">
        <v>0</v>
      </c>
      <c r="AK25">
        <v>0</v>
      </c>
      <c r="AL25">
        <v>0</v>
      </c>
      <c r="AM25">
        <v>0</v>
      </c>
      <c r="AO25">
        <v>44738</v>
      </c>
      <c r="AP25">
        <v>0</v>
      </c>
      <c r="AQ25" s="3">
        <v>0</v>
      </c>
      <c r="AR25">
        <v>0</v>
      </c>
      <c r="AS25">
        <v>0</v>
      </c>
      <c r="AT25">
        <v>0</v>
      </c>
      <c r="AU25">
        <v>0</v>
      </c>
      <c r="AW25">
        <v>44738</v>
      </c>
      <c r="AX25">
        <v>0</v>
      </c>
      <c r="AY25" s="3">
        <v>0</v>
      </c>
      <c r="AZ25">
        <v>0</v>
      </c>
      <c r="BA25">
        <v>0</v>
      </c>
      <c r="BB25">
        <v>0</v>
      </c>
      <c r="BC25">
        <v>0</v>
      </c>
      <c r="BE25">
        <v>44738</v>
      </c>
      <c r="BF25">
        <v>0</v>
      </c>
      <c r="BG25" s="3">
        <v>0</v>
      </c>
      <c r="BH25" s="9">
        <v>0</v>
      </c>
      <c r="BI25" s="9">
        <v>0</v>
      </c>
      <c r="BJ25" s="9">
        <v>0</v>
      </c>
      <c r="BK25" s="9">
        <v>0</v>
      </c>
      <c r="BL25" s="9"/>
      <c r="BM25">
        <v>44738</v>
      </c>
      <c r="BN25">
        <v>0</v>
      </c>
      <c r="BO25" s="3">
        <v>0</v>
      </c>
      <c r="BP25" s="9">
        <v>0</v>
      </c>
      <c r="BQ25" s="9">
        <v>0</v>
      </c>
      <c r="BR25" s="9">
        <v>0</v>
      </c>
      <c r="BS25" s="9">
        <v>0</v>
      </c>
      <c r="BT25" s="9"/>
      <c r="BU25">
        <v>44738</v>
      </c>
      <c r="BV25">
        <v>0</v>
      </c>
      <c r="BW25" s="3">
        <v>0</v>
      </c>
      <c r="BX25">
        <v>0</v>
      </c>
      <c r="BY25">
        <v>0</v>
      </c>
      <c r="BZ25">
        <v>0</v>
      </c>
      <c r="CA25">
        <v>0</v>
      </c>
      <c r="CC25" s="3">
        <v>44738</v>
      </c>
      <c r="CD25" s="9">
        <v>6846018.4500000011</v>
      </c>
      <c r="CE25" s="9">
        <v>82724.927014503381</v>
      </c>
      <c r="CF25" s="9">
        <v>167685.18999999997</v>
      </c>
      <c r="CG25" s="9">
        <v>0</v>
      </c>
      <c r="CH25" s="9">
        <v>250410.1170145034</v>
      </c>
      <c r="CI25" s="9">
        <v>6678333.2600000007</v>
      </c>
      <c r="CL25">
        <v>0</v>
      </c>
      <c r="CM25">
        <v>0</v>
      </c>
    </row>
    <row r="26" spans="1:91" x14ac:dyDescent="0.3">
      <c r="A26" s="3">
        <v>44758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I26" s="289">
        <v>44757</v>
      </c>
      <c r="J26">
        <v>2650000</v>
      </c>
      <c r="K26">
        <v>28708.333333333336</v>
      </c>
      <c r="L26">
        <v>50000</v>
      </c>
      <c r="M26">
        <v>0</v>
      </c>
      <c r="N26">
        <v>78708.333333333343</v>
      </c>
      <c r="O26">
        <v>2600000</v>
      </c>
      <c r="Q26" s="3">
        <v>44763</v>
      </c>
      <c r="R26">
        <v>3541666.620000001</v>
      </c>
      <c r="S26" s="3">
        <v>38368.05505000001</v>
      </c>
      <c r="T26">
        <v>104166.67</v>
      </c>
      <c r="U26">
        <v>0</v>
      </c>
      <c r="V26">
        <v>142534.72505000001</v>
      </c>
      <c r="W26">
        <v>3437499.9500000011</v>
      </c>
      <c r="Y26">
        <v>44773</v>
      </c>
      <c r="Z26">
        <v>486666.63999999966</v>
      </c>
      <c r="AA26" s="3">
        <v>13600.605059092037</v>
      </c>
      <c r="AB26">
        <v>13518.52</v>
      </c>
      <c r="AC26">
        <v>0</v>
      </c>
      <c r="AD26">
        <v>27119.125059092035</v>
      </c>
      <c r="AE26">
        <v>473148.1199999997</v>
      </c>
      <c r="AG26">
        <v>44768</v>
      </c>
      <c r="AH26">
        <v>0</v>
      </c>
      <c r="AI26" s="3">
        <v>0</v>
      </c>
      <c r="AJ26">
        <v>0</v>
      </c>
      <c r="AK26">
        <v>0</v>
      </c>
      <c r="AL26">
        <v>0</v>
      </c>
      <c r="AM26">
        <v>0</v>
      </c>
      <c r="AO26">
        <v>44768</v>
      </c>
      <c r="AP26">
        <v>0</v>
      </c>
      <c r="AQ26" s="3">
        <v>0</v>
      </c>
      <c r="AR26">
        <v>0</v>
      </c>
      <c r="AS26">
        <v>0</v>
      </c>
      <c r="AT26">
        <v>0</v>
      </c>
      <c r="AU26">
        <v>0</v>
      </c>
      <c r="AW26">
        <v>44768</v>
      </c>
      <c r="AX26">
        <v>0</v>
      </c>
      <c r="AY26" s="3">
        <v>0</v>
      </c>
      <c r="AZ26">
        <v>0</v>
      </c>
      <c r="BA26">
        <v>0</v>
      </c>
      <c r="BB26">
        <v>0</v>
      </c>
      <c r="BC26">
        <v>0</v>
      </c>
      <c r="BE26">
        <v>44768</v>
      </c>
      <c r="BF26">
        <v>0</v>
      </c>
      <c r="BG26" s="3">
        <v>0</v>
      </c>
      <c r="BH26" s="9">
        <v>0</v>
      </c>
      <c r="BI26" s="9">
        <v>0</v>
      </c>
      <c r="BJ26" s="9">
        <v>0</v>
      </c>
      <c r="BK26" s="9">
        <v>0</v>
      </c>
      <c r="BL26" s="9"/>
      <c r="BM26">
        <v>44768</v>
      </c>
      <c r="BN26">
        <v>0</v>
      </c>
      <c r="BO26" s="3">
        <v>0</v>
      </c>
      <c r="BP26" s="9">
        <v>0</v>
      </c>
      <c r="BQ26" s="9">
        <v>0</v>
      </c>
      <c r="BR26" s="9">
        <v>0</v>
      </c>
      <c r="BS26" s="9">
        <v>0</v>
      </c>
      <c r="BT26" s="9"/>
      <c r="BU26">
        <v>44768</v>
      </c>
      <c r="BV26">
        <v>0</v>
      </c>
      <c r="BW26" s="3">
        <v>0</v>
      </c>
      <c r="BX26">
        <v>0</v>
      </c>
      <c r="BY26">
        <v>0</v>
      </c>
      <c r="BZ26">
        <v>0</v>
      </c>
      <c r="CA26">
        <v>0</v>
      </c>
      <c r="CC26" s="3">
        <v>44768</v>
      </c>
      <c r="CD26" s="9">
        <v>6678333.2600000007</v>
      </c>
      <c r="CE26" s="9">
        <v>80676.993442425373</v>
      </c>
      <c r="CF26" s="9">
        <v>167685.18999999997</v>
      </c>
      <c r="CG26" s="9">
        <v>0</v>
      </c>
      <c r="CH26" s="9">
        <v>248362.18344242539</v>
      </c>
      <c r="CI26" s="9">
        <v>6510648.0700000003</v>
      </c>
      <c r="CL26">
        <v>0</v>
      </c>
      <c r="CM26">
        <v>0</v>
      </c>
    </row>
    <row r="27" spans="1:91" x14ac:dyDescent="0.3">
      <c r="A27" s="3">
        <v>44789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I27" s="289">
        <v>44788</v>
      </c>
      <c r="J27">
        <v>2600000</v>
      </c>
      <c r="K27">
        <v>28166.666666666668</v>
      </c>
      <c r="L27">
        <v>50000</v>
      </c>
      <c r="M27">
        <v>0</v>
      </c>
      <c r="N27">
        <v>78166.666666666672</v>
      </c>
      <c r="O27">
        <v>2550000</v>
      </c>
      <c r="Q27" s="3">
        <v>44794</v>
      </c>
      <c r="R27">
        <v>3437499.9500000011</v>
      </c>
      <c r="S27" s="3">
        <v>37239.582791666682</v>
      </c>
      <c r="T27">
        <v>104166.67</v>
      </c>
      <c r="U27">
        <v>0</v>
      </c>
      <c r="V27">
        <v>141406.25279166669</v>
      </c>
      <c r="W27">
        <v>3333333.2800000012</v>
      </c>
      <c r="Y27">
        <v>44804</v>
      </c>
      <c r="Z27">
        <v>473148.1199999997</v>
      </c>
      <c r="AA27" s="3">
        <v>13222.810412014032</v>
      </c>
      <c r="AB27">
        <v>13518.52</v>
      </c>
      <c r="AC27">
        <v>0</v>
      </c>
      <c r="AD27">
        <v>26741.330412014031</v>
      </c>
      <c r="AE27">
        <v>459629.59999999963</v>
      </c>
      <c r="AG27">
        <v>44799</v>
      </c>
      <c r="AH27">
        <v>0</v>
      </c>
      <c r="AI27" s="3">
        <v>0</v>
      </c>
      <c r="AJ27">
        <v>0</v>
      </c>
      <c r="AK27">
        <v>0</v>
      </c>
      <c r="AL27">
        <v>0</v>
      </c>
      <c r="AM27">
        <v>0</v>
      </c>
      <c r="AO27">
        <v>44799</v>
      </c>
      <c r="AP27">
        <v>0</v>
      </c>
      <c r="AQ27" s="3">
        <v>0</v>
      </c>
      <c r="AR27">
        <v>0</v>
      </c>
      <c r="AS27">
        <v>0</v>
      </c>
      <c r="AT27">
        <v>0</v>
      </c>
      <c r="AU27">
        <v>0</v>
      </c>
      <c r="AW27">
        <v>44799</v>
      </c>
      <c r="AX27">
        <v>0</v>
      </c>
      <c r="AY27" s="3">
        <v>0</v>
      </c>
      <c r="AZ27">
        <v>0</v>
      </c>
      <c r="BA27">
        <v>0</v>
      </c>
      <c r="BB27">
        <v>0</v>
      </c>
      <c r="BC27">
        <v>0</v>
      </c>
      <c r="BE27">
        <v>44799</v>
      </c>
      <c r="BF27">
        <v>0</v>
      </c>
      <c r="BG27" s="3">
        <v>0</v>
      </c>
      <c r="BH27" s="9">
        <v>0</v>
      </c>
      <c r="BI27" s="9">
        <v>0</v>
      </c>
      <c r="BJ27" s="9">
        <v>0</v>
      </c>
      <c r="BK27" s="9">
        <v>0</v>
      </c>
      <c r="BL27" s="9"/>
      <c r="BM27">
        <v>44799</v>
      </c>
      <c r="BN27">
        <v>0</v>
      </c>
      <c r="BO27" s="3">
        <v>0</v>
      </c>
      <c r="BP27" s="9">
        <v>0</v>
      </c>
      <c r="BQ27" s="9">
        <v>0</v>
      </c>
      <c r="BR27" s="9">
        <v>0</v>
      </c>
      <c r="BS27" s="9">
        <v>0</v>
      </c>
      <c r="BT27" s="9"/>
      <c r="BU27">
        <v>44799</v>
      </c>
      <c r="BV27">
        <v>0</v>
      </c>
      <c r="BW27" s="3">
        <v>0</v>
      </c>
      <c r="BX27">
        <v>0</v>
      </c>
      <c r="BY27">
        <v>0</v>
      </c>
      <c r="BZ27">
        <v>0</v>
      </c>
      <c r="CA27">
        <v>0</v>
      </c>
      <c r="CC27" s="3">
        <v>44799</v>
      </c>
      <c r="CD27" s="9">
        <v>6510648.0700000003</v>
      </c>
      <c r="CE27" s="9">
        <v>78629.059870347381</v>
      </c>
      <c r="CF27" s="9">
        <v>167685.18999999997</v>
      </c>
      <c r="CG27" s="9">
        <v>0</v>
      </c>
      <c r="CH27" s="9">
        <v>246314.24987034735</v>
      </c>
      <c r="CI27" s="9">
        <v>6342962.8800000008</v>
      </c>
      <c r="CL27">
        <v>0</v>
      </c>
      <c r="CM27">
        <v>0</v>
      </c>
    </row>
    <row r="28" spans="1:91" x14ac:dyDescent="0.3">
      <c r="A28" s="3">
        <v>44820</v>
      </c>
      <c r="B28">
        <v>5750000</v>
      </c>
      <c r="C28">
        <v>73408.333333333343</v>
      </c>
      <c r="D28">
        <v>95833.33</v>
      </c>
      <c r="E28">
        <v>0</v>
      </c>
      <c r="F28">
        <v>169241.66333333333</v>
      </c>
      <c r="G28">
        <v>5654166.6699999999</v>
      </c>
      <c r="I28" s="289">
        <v>44819</v>
      </c>
      <c r="J28">
        <v>2550000</v>
      </c>
      <c r="K28">
        <v>27625</v>
      </c>
      <c r="L28">
        <v>50000</v>
      </c>
      <c r="M28">
        <v>0</v>
      </c>
      <c r="N28">
        <v>77625</v>
      </c>
      <c r="O28">
        <v>2500000</v>
      </c>
      <c r="Q28" s="3">
        <v>44825</v>
      </c>
      <c r="R28">
        <v>3333333.2800000012</v>
      </c>
      <c r="S28" s="3">
        <v>36111.110533333347</v>
      </c>
      <c r="T28">
        <v>104166.67</v>
      </c>
      <c r="U28">
        <v>0</v>
      </c>
      <c r="V28">
        <v>140277.78053333334</v>
      </c>
      <c r="W28">
        <v>3229166.6100000013</v>
      </c>
      <c r="Y28">
        <v>44834</v>
      </c>
      <c r="Z28">
        <v>459629.59999999963</v>
      </c>
      <c r="AA28" s="3">
        <v>12845.01576493603</v>
      </c>
      <c r="AB28">
        <v>13518.52</v>
      </c>
      <c r="AC28">
        <v>0</v>
      </c>
      <c r="AD28">
        <v>26363.53576493603</v>
      </c>
      <c r="AE28">
        <v>446111.07999999961</v>
      </c>
      <c r="AG28">
        <v>44830</v>
      </c>
      <c r="AH28">
        <v>0</v>
      </c>
      <c r="AI28" s="3">
        <v>0</v>
      </c>
      <c r="AJ28">
        <v>0</v>
      </c>
      <c r="AK28">
        <v>0</v>
      </c>
      <c r="AL28">
        <v>0</v>
      </c>
      <c r="AM28">
        <v>0</v>
      </c>
      <c r="AO28">
        <v>44830</v>
      </c>
      <c r="AP28">
        <v>0</v>
      </c>
      <c r="AQ28" s="3">
        <v>0</v>
      </c>
      <c r="AR28">
        <v>0</v>
      </c>
      <c r="AS28">
        <v>0</v>
      </c>
      <c r="AT28">
        <v>0</v>
      </c>
      <c r="AU28">
        <v>0</v>
      </c>
      <c r="AW28">
        <v>44830</v>
      </c>
      <c r="AX28">
        <v>0</v>
      </c>
      <c r="AY28" s="3">
        <v>0</v>
      </c>
      <c r="AZ28">
        <v>0</v>
      </c>
      <c r="BA28">
        <v>0</v>
      </c>
      <c r="BB28">
        <v>0</v>
      </c>
      <c r="BC28">
        <v>0</v>
      </c>
      <c r="BE28">
        <v>44830</v>
      </c>
      <c r="BF28">
        <v>0</v>
      </c>
      <c r="BG28" s="3">
        <v>0</v>
      </c>
      <c r="BH28" s="9">
        <v>0</v>
      </c>
      <c r="BI28" s="9">
        <v>0</v>
      </c>
      <c r="BJ28" s="9">
        <v>0</v>
      </c>
      <c r="BK28" s="9">
        <v>0</v>
      </c>
      <c r="BL28" s="9"/>
      <c r="BM28">
        <v>44830</v>
      </c>
      <c r="BN28">
        <v>0</v>
      </c>
      <c r="BO28" s="3">
        <v>0</v>
      </c>
      <c r="BP28" s="9">
        <v>0</v>
      </c>
      <c r="BQ28" s="9">
        <v>0</v>
      </c>
      <c r="BR28" s="9">
        <v>0</v>
      </c>
      <c r="BS28" s="9">
        <v>0</v>
      </c>
      <c r="BT28" s="9"/>
      <c r="BU28">
        <v>44830</v>
      </c>
      <c r="BV28">
        <v>0</v>
      </c>
      <c r="BW28" s="3">
        <v>0</v>
      </c>
      <c r="BX28">
        <v>0</v>
      </c>
      <c r="BY28">
        <v>0</v>
      </c>
      <c r="BZ28">
        <v>0</v>
      </c>
      <c r="CA28">
        <v>0</v>
      </c>
      <c r="CC28" s="3">
        <v>44830</v>
      </c>
      <c r="CD28" s="9">
        <v>12092962.880000001</v>
      </c>
      <c r="CE28" s="9">
        <v>149989.45963160272</v>
      </c>
      <c r="CF28" s="9">
        <v>263518.52</v>
      </c>
      <c r="CG28" s="9">
        <v>0</v>
      </c>
      <c r="CH28" s="9">
        <v>413507.97963160265</v>
      </c>
      <c r="CI28" s="9">
        <v>11829444.359999999</v>
      </c>
      <c r="CL28">
        <v>0</v>
      </c>
      <c r="CM28">
        <v>5750000</v>
      </c>
    </row>
    <row r="29" spans="1:91" x14ac:dyDescent="0.3">
      <c r="A29" s="3">
        <v>44850</v>
      </c>
      <c r="B29">
        <v>5654166.6699999999</v>
      </c>
      <c r="C29">
        <v>72184.861153666672</v>
      </c>
      <c r="D29">
        <v>95833.33</v>
      </c>
      <c r="E29">
        <v>0</v>
      </c>
      <c r="F29">
        <v>168018.19115366667</v>
      </c>
      <c r="G29">
        <v>5558333.3399999999</v>
      </c>
      <c r="I29" s="289">
        <v>44849</v>
      </c>
      <c r="J29">
        <v>2500000</v>
      </c>
      <c r="K29">
        <v>27083.333333333336</v>
      </c>
      <c r="L29">
        <v>50000</v>
      </c>
      <c r="M29">
        <v>0</v>
      </c>
      <c r="N29">
        <v>77083.333333333343</v>
      </c>
      <c r="O29">
        <v>2450000</v>
      </c>
      <c r="Q29" s="3">
        <v>44855</v>
      </c>
      <c r="R29">
        <v>3229166.6100000013</v>
      </c>
      <c r="S29" s="3">
        <v>34982.638275000012</v>
      </c>
      <c r="T29">
        <v>104166.67</v>
      </c>
      <c r="U29">
        <v>0</v>
      </c>
      <c r="V29">
        <v>139149.30827500002</v>
      </c>
      <c r="W29">
        <v>3124999.9400000013</v>
      </c>
      <c r="Y29">
        <v>44865</v>
      </c>
      <c r="Z29">
        <v>446111.07999999961</v>
      </c>
      <c r="AA29" s="3">
        <v>12467.221117858027</v>
      </c>
      <c r="AB29">
        <v>13518.52</v>
      </c>
      <c r="AC29">
        <v>0</v>
      </c>
      <c r="AD29">
        <v>25985.74111785803</v>
      </c>
      <c r="AE29">
        <v>432592.55999999959</v>
      </c>
      <c r="AG29">
        <v>44860</v>
      </c>
      <c r="AH29">
        <v>0</v>
      </c>
      <c r="AI29" s="3">
        <v>0</v>
      </c>
      <c r="AJ29">
        <v>0</v>
      </c>
      <c r="AK29">
        <v>0</v>
      </c>
      <c r="AL29">
        <v>0</v>
      </c>
      <c r="AM29">
        <v>0</v>
      </c>
      <c r="AO29">
        <v>44860</v>
      </c>
      <c r="AP29">
        <v>0</v>
      </c>
      <c r="AQ29" s="3">
        <v>0</v>
      </c>
      <c r="AR29">
        <v>0</v>
      </c>
      <c r="AS29">
        <v>0</v>
      </c>
      <c r="AT29">
        <v>0</v>
      </c>
      <c r="AU29">
        <v>0</v>
      </c>
      <c r="AW29">
        <v>44860</v>
      </c>
      <c r="AX29">
        <v>0</v>
      </c>
      <c r="AY29" s="3">
        <v>0</v>
      </c>
      <c r="AZ29">
        <v>0</v>
      </c>
      <c r="BA29">
        <v>0</v>
      </c>
      <c r="BB29">
        <v>0</v>
      </c>
      <c r="BC29">
        <v>0</v>
      </c>
      <c r="BE29">
        <v>44860</v>
      </c>
      <c r="BF29">
        <v>0</v>
      </c>
      <c r="BG29" s="3">
        <v>0</v>
      </c>
      <c r="BH29" s="9">
        <v>0</v>
      </c>
      <c r="BI29" s="9">
        <v>0</v>
      </c>
      <c r="BJ29" s="9">
        <v>0</v>
      </c>
      <c r="BK29" s="9">
        <v>0</v>
      </c>
      <c r="BL29" s="9"/>
      <c r="BM29">
        <v>44860</v>
      </c>
      <c r="BN29">
        <v>0</v>
      </c>
      <c r="BO29" s="3">
        <v>0</v>
      </c>
      <c r="BP29" s="9">
        <v>0</v>
      </c>
      <c r="BQ29" s="9">
        <v>0</v>
      </c>
      <c r="BR29" s="9">
        <v>0</v>
      </c>
      <c r="BS29" s="9">
        <v>0</v>
      </c>
      <c r="BT29" s="9"/>
      <c r="BU29">
        <v>44860</v>
      </c>
      <c r="BV29">
        <v>0</v>
      </c>
      <c r="BW29" s="3">
        <v>0</v>
      </c>
      <c r="BX29">
        <v>0</v>
      </c>
      <c r="BY29">
        <v>0</v>
      </c>
      <c r="BZ29">
        <v>0</v>
      </c>
      <c r="CA29">
        <v>0</v>
      </c>
      <c r="CC29" s="3">
        <v>44860</v>
      </c>
      <c r="CD29" s="9">
        <v>11829444.359999999</v>
      </c>
      <c r="CE29" s="9">
        <v>146718.05387985802</v>
      </c>
      <c r="CF29" s="9">
        <v>263518.52</v>
      </c>
      <c r="CG29" s="9">
        <v>0</v>
      </c>
      <c r="CH29" s="9">
        <v>410236.57387985807</v>
      </c>
      <c r="CI29" s="9">
        <v>11565925.84</v>
      </c>
      <c r="CL29">
        <v>0</v>
      </c>
      <c r="CM29">
        <v>0</v>
      </c>
    </row>
    <row r="30" spans="1:91" x14ac:dyDescent="0.3">
      <c r="A30" s="3">
        <v>44881</v>
      </c>
      <c r="B30">
        <v>5558333.3399999999</v>
      </c>
      <c r="C30">
        <v>70961.388974000001</v>
      </c>
      <c r="D30">
        <v>95833.33</v>
      </c>
      <c r="E30">
        <v>0</v>
      </c>
      <c r="F30">
        <v>166794.71897400002</v>
      </c>
      <c r="G30">
        <v>5462500.0099999998</v>
      </c>
      <c r="I30" s="289">
        <v>44880</v>
      </c>
      <c r="J30">
        <v>2450000</v>
      </c>
      <c r="K30">
        <v>26541.666666666668</v>
      </c>
      <c r="L30">
        <v>50000</v>
      </c>
      <c r="M30">
        <v>0</v>
      </c>
      <c r="N30">
        <v>76541.666666666672</v>
      </c>
      <c r="O30">
        <v>2400000</v>
      </c>
      <c r="Q30" s="3">
        <v>44886</v>
      </c>
      <c r="R30">
        <v>3124999.9400000013</v>
      </c>
      <c r="S30" s="3">
        <v>33854.166016666684</v>
      </c>
      <c r="T30">
        <v>104166.67</v>
      </c>
      <c r="U30">
        <v>0</v>
      </c>
      <c r="V30">
        <v>138020.83601666667</v>
      </c>
      <c r="W30">
        <v>3020833.2700000014</v>
      </c>
      <c r="Y30">
        <v>44895</v>
      </c>
      <c r="Z30">
        <v>432592.55999999959</v>
      </c>
      <c r="AA30" s="3">
        <v>12089.426470780025</v>
      </c>
      <c r="AB30">
        <v>13518.52</v>
      </c>
      <c r="AC30">
        <v>0</v>
      </c>
      <c r="AD30">
        <v>25607.946470780025</v>
      </c>
      <c r="AE30">
        <v>419074.03999999957</v>
      </c>
      <c r="AG30">
        <v>44891</v>
      </c>
      <c r="AH30">
        <v>0</v>
      </c>
      <c r="AI30" s="3">
        <v>0</v>
      </c>
      <c r="AJ30">
        <v>0</v>
      </c>
      <c r="AK30">
        <v>0</v>
      </c>
      <c r="AL30">
        <v>0</v>
      </c>
      <c r="AM30">
        <v>0</v>
      </c>
      <c r="AO30">
        <v>44891</v>
      </c>
      <c r="AP30">
        <v>0</v>
      </c>
      <c r="AQ30" s="3">
        <v>0</v>
      </c>
      <c r="AR30">
        <v>0</v>
      </c>
      <c r="AS30">
        <v>0</v>
      </c>
      <c r="AT30">
        <v>0</v>
      </c>
      <c r="AU30">
        <v>0</v>
      </c>
      <c r="AW30">
        <v>44891</v>
      </c>
      <c r="AX30">
        <v>0</v>
      </c>
      <c r="AY30" s="3">
        <v>0</v>
      </c>
      <c r="AZ30">
        <v>0</v>
      </c>
      <c r="BA30">
        <v>0</v>
      </c>
      <c r="BB30">
        <v>0</v>
      </c>
      <c r="BC30">
        <v>0</v>
      </c>
      <c r="BE30">
        <v>44891</v>
      </c>
      <c r="BF30">
        <v>0</v>
      </c>
      <c r="BG30" s="3">
        <v>0</v>
      </c>
      <c r="BH30" s="9">
        <v>0</v>
      </c>
      <c r="BI30" s="9">
        <v>0</v>
      </c>
      <c r="BJ30" s="9">
        <v>0</v>
      </c>
      <c r="BK30" s="9">
        <v>0</v>
      </c>
      <c r="BL30" s="9"/>
      <c r="BM30">
        <v>44891</v>
      </c>
      <c r="BN30">
        <v>0</v>
      </c>
      <c r="BO30" s="3">
        <v>0</v>
      </c>
      <c r="BP30" s="9">
        <v>0</v>
      </c>
      <c r="BQ30" s="9">
        <v>0</v>
      </c>
      <c r="BR30" s="9">
        <v>0</v>
      </c>
      <c r="BS30" s="9">
        <v>0</v>
      </c>
      <c r="BT30" s="9"/>
      <c r="BU30">
        <v>44891</v>
      </c>
      <c r="BV30">
        <v>0</v>
      </c>
      <c r="BW30" s="3">
        <v>0</v>
      </c>
      <c r="BX30">
        <v>0</v>
      </c>
      <c r="BY30">
        <v>0</v>
      </c>
      <c r="BZ30">
        <v>0</v>
      </c>
      <c r="CA30">
        <v>0</v>
      </c>
      <c r="CC30" s="3">
        <v>44891</v>
      </c>
      <c r="CD30" s="9">
        <v>11565925.84</v>
      </c>
      <c r="CE30" s="9">
        <v>143446.64812811339</v>
      </c>
      <c r="CF30" s="9">
        <v>263518.52</v>
      </c>
      <c r="CG30" s="9">
        <v>0</v>
      </c>
      <c r="CH30" s="9">
        <v>406965.16812811338</v>
      </c>
      <c r="CI30" s="9">
        <v>11302407.32</v>
      </c>
      <c r="CL30">
        <v>0</v>
      </c>
      <c r="CM30">
        <v>0</v>
      </c>
    </row>
    <row r="31" spans="1:91" x14ac:dyDescent="0.3">
      <c r="A31" s="3">
        <v>44911</v>
      </c>
      <c r="B31">
        <v>5462500.0099999998</v>
      </c>
      <c r="C31">
        <v>69737.91679433333</v>
      </c>
      <c r="D31">
        <v>95833.33</v>
      </c>
      <c r="E31">
        <v>0</v>
      </c>
      <c r="F31">
        <v>165571.24679433333</v>
      </c>
      <c r="G31">
        <v>5366666.68</v>
      </c>
      <c r="I31" s="289">
        <v>44910</v>
      </c>
      <c r="J31">
        <v>2400000</v>
      </c>
      <c r="K31">
        <v>26000</v>
      </c>
      <c r="L31">
        <v>50000</v>
      </c>
      <c r="M31">
        <v>0</v>
      </c>
      <c r="N31">
        <v>76000</v>
      </c>
      <c r="O31">
        <v>2350000</v>
      </c>
      <c r="Q31" s="3">
        <v>44916</v>
      </c>
      <c r="R31">
        <v>3020833.2700000014</v>
      </c>
      <c r="S31" s="3">
        <v>32725.693758333349</v>
      </c>
      <c r="T31">
        <v>104166.67</v>
      </c>
      <c r="U31">
        <v>0</v>
      </c>
      <c r="V31">
        <v>136892.36375833335</v>
      </c>
      <c r="W31">
        <v>2916666.6000000015</v>
      </c>
      <c r="Y31">
        <v>44926</v>
      </c>
      <c r="Z31">
        <v>419074.03999999957</v>
      </c>
      <c r="AA31" s="3">
        <v>11711.631823702022</v>
      </c>
      <c r="AB31">
        <v>13518.52</v>
      </c>
      <c r="AC31">
        <v>0</v>
      </c>
      <c r="AD31">
        <v>25230.151823702021</v>
      </c>
      <c r="AE31">
        <v>405555.51999999949</v>
      </c>
      <c r="AG31">
        <v>44921</v>
      </c>
      <c r="AH31">
        <v>0</v>
      </c>
      <c r="AI31" s="3">
        <v>0</v>
      </c>
      <c r="AJ31">
        <v>0</v>
      </c>
      <c r="AK31">
        <v>0</v>
      </c>
      <c r="AL31">
        <v>0</v>
      </c>
      <c r="AM31">
        <v>0</v>
      </c>
      <c r="AO31">
        <v>44921</v>
      </c>
      <c r="AP31">
        <v>0</v>
      </c>
      <c r="AQ31" s="3">
        <v>0</v>
      </c>
      <c r="AR31">
        <v>0</v>
      </c>
      <c r="AS31">
        <v>0</v>
      </c>
      <c r="AT31">
        <v>0</v>
      </c>
      <c r="AU31">
        <v>0</v>
      </c>
      <c r="AW31">
        <v>44921</v>
      </c>
      <c r="AX31">
        <v>0</v>
      </c>
      <c r="AY31" s="3">
        <v>0</v>
      </c>
      <c r="AZ31">
        <v>0</v>
      </c>
      <c r="BA31">
        <v>0</v>
      </c>
      <c r="BB31">
        <v>0</v>
      </c>
      <c r="BC31">
        <v>0</v>
      </c>
      <c r="BE31">
        <v>44921</v>
      </c>
      <c r="BF31">
        <v>0</v>
      </c>
      <c r="BG31" s="3">
        <v>0</v>
      </c>
      <c r="BH31" s="9">
        <v>0</v>
      </c>
      <c r="BI31" s="9">
        <v>0</v>
      </c>
      <c r="BJ31" s="9">
        <v>0</v>
      </c>
      <c r="BK31" s="9">
        <v>0</v>
      </c>
      <c r="BL31" s="9"/>
      <c r="BM31">
        <v>44921</v>
      </c>
      <c r="BN31">
        <v>0</v>
      </c>
      <c r="BO31" s="3">
        <v>0</v>
      </c>
      <c r="BP31" s="9">
        <v>0</v>
      </c>
      <c r="BQ31" s="9">
        <v>0</v>
      </c>
      <c r="BR31" s="9">
        <v>0</v>
      </c>
      <c r="BS31" s="9">
        <v>0</v>
      </c>
      <c r="BT31" s="9"/>
      <c r="BU31">
        <v>44921</v>
      </c>
      <c r="BV31">
        <v>0</v>
      </c>
      <c r="BW31" s="3">
        <v>0</v>
      </c>
      <c r="BX31">
        <v>0</v>
      </c>
      <c r="BY31">
        <v>0</v>
      </c>
      <c r="BZ31">
        <v>0</v>
      </c>
      <c r="CA31">
        <v>0</v>
      </c>
      <c r="CC31" s="3">
        <v>44921</v>
      </c>
      <c r="CD31" s="9">
        <v>11302407.32</v>
      </c>
      <c r="CE31" s="9">
        <v>140175.2423763687</v>
      </c>
      <c r="CF31" s="9">
        <v>263518.52</v>
      </c>
      <c r="CG31" s="9">
        <v>0</v>
      </c>
      <c r="CH31" s="9">
        <v>403693.76237636874</v>
      </c>
      <c r="CI31" s="9">
        <v>11038888.800000001</v>
      </c>
      <c r="CL31">
        <v>0</v>
      </c>
      <c r="CM31">
        <v>0</v>
      </c>
    </row>
    <row r="32" spans="1:91" x14ac:dyDescent="0.3">
      <c r="A32" s="3">
        <v>44942</v>
      </c>
      <c r="B32">
        <v>5366666.68</v>
      </c>
      <c r="C32">
        <v>68514.444614666674</v>
      </c>
      <c r="D32">
        <v>95833.33</v>
      </c>
      <c r="E32">
        <v>0</v>
      </c>
      <c r="F32">
        <v>164347.77461466668</v>
      </c>
      <c r="G32">
        <v>5270833.3499999996</v>
      </c>
      <c r="I32" s="289">
        <v>44941</v>
      </c>
      <c r="J32">
        <v>2350000</v>
      </c>
      <c r="K32">
        <v>25458.333333333336</v>
      </c>
      <c r="L32">
        <v>50000</v>
      </c>
      <c r="M32">
        <v>0</v>
      </c>
      <c r="N32">
        <v>75458.333333333343</v>
      </c>
      <c r="O32">
        <v>2300000</v>
      </c>
      <c r="Q32" s="3">
        <v>44947</v>
      </c>
      <c r="R32">
        <v>2916666.6000000015</v>
      </c>
      <c r="S32" s="3">
        <v>31597.221500000014</v>
      </c>
      <c r="T32">
        <v>104166.67</v>
      </c>
      <c r="U32">
        <v>0</v>
      </c>
      <c r="V32">
        <v>135763.89150000003</v>
      </c>
      <c r="W32">
        <v>2812499.9300000016</v>
      </c>
      <c r="Y32">
        <v>44957</v>
      </c>
      <c r="Z32">
        <v>405555.51999999949</v>
      </c>
      <c r="AA32" s="3">
        <v>11333.83717662402</v>
      </c>
      <c r="AB32">
        <v>13518.52</v>
      </c>
      <c r="AC32">
        <v>0</v>
      </c>
      <c r="AD32">
        <v>24852.35717662402</v>
      </c>
      <c r="AE32">
        <v>392036.99999999953</v>
      </c>
      <c r="AG32">
        <v>44952</v>
      </c>
      <c r="AH32">
        <v>0</v>
      </c>
      <c r="AI32" s="3">
        <v>0</v>
      </c>
      <c r="AJ32">
        <v>0</v>
      </c>
      <c r="AK32">
        <v>0</v>
      </c>
      <c r="AL32">
        <v>0</v>
      </c>
      <c r="AM32">
        <v>0</v>
      </c>
      <c r="AO32">
        <v>44952</v>
      </c>
      <c r="AP32">
        <v>0</v>
      </c>
      <c r="AQ32" s="3">
        <v>0</v>
      </c>
      <c r="AR32">
        <v>0</v>
      </c>
      <c r="AS32">
        <v>0</v>
      </c>
      <c r="AT32">
        <v>0</v>
      </c>
      <c r="AU32">
        <v>0</v>
      </c>
      <c r="AW32">
        <v>44952</v>
      </c>
      <c r="AX32">
        <v>0</v>
      </c>
      <c r="AY32" s="3">
        <v>0</v>
      </c>
      <c r="AZ32">
        <v>0</v>
      </c>
      <c r="BA32">
        <v>0</v>
      </c>
      <c r="BB32">
        <v>0</v>
      </c>
      <c r="BC32">
        <v>0</v>
      </c>
      <c r="BE32">
        <v>44952</v>
      </c>
      <c r="BF32">
        <v>0</v>
      </c>
      <c r="BG32" s="3">
        <v>0</v>
      </c>
      <c r="BH32" s="9">
        <v>0</v>
      </c>
      <c r="BI32" s="9">
        <v>0</v>
      </c>
      <c r="BJ32" s="9">
        <v>0</v>
      </c>
      <c r="BK32" s="9">
        <v>0</v>
      </c>
      <c r="BL32" s="9"/>
      <c r="BM32">
        <v>44952</v>
      </c>
      <c r="BN32">
        <v>0</v>
      </c>
      <c r="BO32" s="3">
        <v>0</v>
      </c>
      <c r="BP32" s="9">
        <v>0</v>
      </c>
      <c r="BQ32" s="9">
        <v>0</v>
      </c>
      <c r="BR32" s="9">
        <v>0</v>
      </c>
      <c r="BS32" s="9">
        <v>0</v>
      </c>
      <c r="BT32" s="9"/>
      <c r="BU32">
        <v>44952</v>
      </c>
      <c r="BV32">
        <v>0</v>
      </c>
      <c r="BW32" s="3">
        <v>0</v>
      </c>
      <c r="BX32">
        <v>0</v>
      </c>
      <c r="BY32">
        <v>0</v>
      </c>
      <c r="BZ32">
        <v>0</v>
      </c>
      <c r="CA32">
        <v>0</v>
      </c>
      <c r="CC32" s="3">
        <v>44952</v>
      </c>
      <c r="CD32" s="9">
        <v>11038888.800000001</v>
      </c>
      <c r="CE32" s="9">
        <v>136903.83662462403</v>
      </c>
      <c r="CF32" s="9">
        <v>263518.52</v>
      </c>
      <c r="CG32" s="9">
        <v>0</v>
      </c>
      <c r="CH32" s="9">
        <v>400422.35662462405</v>
      </c>
      <c r="CI32" s="9">
        <v>10775370.279999999</v>
      </c>
      <c r="CL32">
        <v>0</v>
      </c>
      <c r="CM32">
        <v>0</v>
      </c>
    </row>
    <row r="33" spans="1:91" x14ac:dyDescent="0.3">
      <c r="A33" s="3">
        <v>44973</v>
      </c>
      <c r="B33">
        <v>5270833.3499999996</v>
      </c>
      <c r="C33">
        <v>67290.972435000003</v>
      </c>
      <c r="D33">
        <v>95833.33</v>
      </c>
      <c r="E33">
        <v>0</v>
      </c>
      <c r="F33">
        <v>163124.30243500002</v>
      </c>
      <c r="G33">
        <v>5175000.0199999996</v>
      </c>
      <c r="I33" s="289">
        <v>44972</v>
      </c>
      <c r="J33">
        <v>2300000</v>
      </c>
      <c r="K33">
        <v>24916.666666666668</v>
      </c>
      <c r="L33">
        <v>50000</v>
      </c>
      <c r="M33">
        <v>0</v>
      </c>
      <c r="N33">
        <v>74916.666666666672</v>
      </c>
      <c r="O33">
        <v>2250000</v>
      </c>
      <c r="Q33" s="3">
        <v>44978</v>
      </c>
      <c r="R33">
        <v>2812499.9300000016</v>
      </c>
      <c r="S33" s="3">
        <v>30468.749241666686</v>
      </c>
      <c r="T33">
        <v>104166.67</v>
      </c>
      <c r="U33">
        <v>0</v>
      </c>
      <c r="V33">
        <v>134635.41924166668</v>
      </c>
      <c r="W33">
        <v>2708333.2600000016</v>
      </c>
      <c r="Y33">
        <v>44985</v>
      </c>
      <c r="Z33">
        <v>392036.99999999953</v>
      </c>
      <c r="AA33" s="3">
        <v>10956.042529546015</v>
      </c>
      <c r="AB33">
        <v>13518.52</v>
      </c>
      <c r="AC33">
        <v>0</v>
      </c>
      <c r="AD33">
        <v>24474.56252954602</v>
      </c>
      <c r="AE33">
        <v>378518.47999999952</v>
      </c>
      <c r="AG33">
        <v>44983</v>
      </c>
      <c r="AH33">
        <v>0</v>
      </c>
      <c r="AI33" s="3">
        <v>0</v>
      </c>
      <c r="AJ33">
        <v>0</v>
      </c>
      <c r="AK33">
        <v>0</v>
      </c>
      <c r="AL33">
        <v>0</v>
      </c>
      <c r="AM33">
        <v>0</v>
      </c>
      <c r="AO33">
        <v>44983</v>
      </c>
      <c r="AP33">
        <v>0</v>
      </c>
      <c r="AQ33" s="3">
        <v>0</v>
      </c>
      <c r="AR33">
        <v>0</v>
      </c>
      <c r="AS33">
        <v>0</v>
      </c>
      <c r="AT33">
        <v>0</v>
      </c>
      <c r="AU33">
        <v>0</v>
      </c>
      <c r="AW33">
        <v>44983</v>
      </c>
      <c r="AX33">
        <v>0</v>
      </c>
      <c r="AY33" s="3">
        <v>0</v>
      </c>
      <c r="AZ33">
        <v>0</v>
      </c>
      <c r="BA33">
        <v>0</v>
      </c>
      <c r="BB33">
        <v>0</v>
      </c>
      <c r="BC33">
        <v>0</v>
      </c>
      <c r="BE33">
        <v>44983</v>
      </c>
      <c r="BF33">
        <v>0</v>
      </c>
      <c r="BG33" s="3">
        <v>0</v>
      </c>
      <c r="BH33" s="9">
        <v>0</v>
      </c>
      <c r="BI33" s="9">
        <v>0</v>
      </c>
      <c r="BJ33" s="9">
        <v>0</v>
      </c>
      <c r="BK33" s="9">
        <v>0</v>
      </c>
      <c r="BL33" s="9"/>
      <c r="BM33">
        <v>44983</v>
      </c>
      <c r="BN33">
        <v>0</v>
      </c>
      <c r="BO33" s="3">
        <v>0</v>
      </c>
      <c r="BP33" s="9">
        <v>0</v>
      </c>
      <c r="BQ33" s="9">
        <v>0</v>
      </c>
      <c r="BR33" s="9">
        <v>0</v>
      </c>
      <c r="BS33" s="9">
        <v>0</v>
      </c>
      <c r="BT33" s="9"/>
      <c r="BU33">
        <v>44983</v>
      </c>
      <c r="BV33">
        <v>0</v>
      </c>
      <c r="BW33" s="3">
        <v>0</v>
      </c>
      <c r="BX33">
        <v>0</v>
      </c>
      <c r="BY33">
        <v>0</v>
      </c>
      <c r="BZ33">
        <v>0</v>
      </c>
      <c r="CA33">
        <v>0</v>
      </c>
      <c r="CC33" s="3">
        <v>44983</v>
      </c>
      <c r="CD33" s="9">
        <v>10775370.279999999</v>
      </c>
      <c r="CE33" s="9">
        <v>133632.43087287937</v>
      </c>
      <c r="CF33" s="9">
        <v>263518.52</v>
      </c>
      <c r="CG33" s="9">
        <v>0</v>
      </c>
      <c r="CH33" s="9">
        <v>397150.95087287942</v>
      </c>
      <c r="CI33" s="9">
        <v>10511851.760000002</v>
      </c>
      <c r="CL33">
        <v>0</v>
      </c>
      <c r="CM33">
        <v>0</v>
      </c>
    </row>
    <row r="34" spans="1:91" x14ac:dyDescent="0.3">
      <c r="A34" s="3">
        <v>45001</v>
      </c>
      <c r="B34">
        <v>5175000.0199999996</v>
      </c>
      <c r="C34">
        <v>66067.500255333332</v>
      </c>
      <c r="D34">
        <v>95833.33</v>
      </c>
      <c r="E34">
        <v>0</v>
      </c>
      <c r="F34">
        <v>161900.83025533333</v>
      </c>
      <c r="G34">
        <v>5079166.6899999995</v>
      </c>
      <c r="I34" s="289">
        <v>45000</v>
      </c>
      <c r="J34">
        <v>2250000</v>
      </c>
      <c r="K34">
        <v>24375</v>
      </c>
      <c r="L34">
        <v>50000</v>
      </c>
      <c r="M34">
        <v>0</v>
      </c>
      <c r="N34">
        <v>74375</v>
      </c>
      <c r="O34">
        <v>2200000</v>
      </c>
      <c r="Q34" s="3">
        <v>45006</v>
      </c>
      <c r="R34">
        <v>2708333.2600000016</v>
      </c>
      <c r="S34" s="3">
        <v>29340.276983333351</v>
      </c>
      <c r="T34">
        <v>104166.67</v>
      </c>
      <c r="U34">
        <v>0</v>
      </c>
      <c r="V34">
        <v>133506.94698333336</v>
      </c>
      <c r="W34">
        <v>2604166.5900000017</v>
      </c>
      <c r="Y34">
        <v>45016</v>
      </c>
      <c r="Z34">
        <v>378518.47999999952</v>
      </c>
      <c r="AA34" s="3">
        <v>10578.247882468017</v>
      </c>
      <c r="AB34">
        <v>13518.52</v>
      </c>
      <c r="AC34">
        <v>0</v>
      </c>
      <c r="AD34">
        <v>24096.767882468015</v>
      </c>
      <c r="AE34">
        <v>364999.9599999995</v>
      </c>
      <c r="AG34">
        <v>45011</v>
      </c>
      <c r="AH34">
        <v>0</v>
      </c>
      <c r="AI34" s="3">
        <v>0</v>
      </c>
      <c r="AJ34">
        <v>0</v>
      </c>
      <c r="AK34">
        <v>0</v>
      </c>
      <c r="AL34">
        <v>0</v>
      </c>
      <c r="AM34">
        <v>0</v>
      </c>
      <c r="AO34">
        <v>45011</v>
      </c>
      <c r="AP34">
        <v>0</v>
      </c>
      <c r="AQ34" s="3">
        <v>0</v>
      </c>
      <c r="AR34">
        <v>0</v>
      </c>
      <c r="AS34">
        <v>0</v>
      </c>
      <c r="AT34">
        <v>0</v>
      </c>
      <c r="AU34">
        <v>0</v>
      </c>
      <c r="AW34">
        <v>45011</v>
      </c>
      <c r="AX34">
        <v>0</v>
      </c>
      <c r="AY34" s="3">
        <v>0</v>
      </c>
      <c r="AZ34">
        <v>0</v>
      </c>
      <c r="BA34">
        <v>0</v>
      </c>
      <c r="BB34">
        <v>0</v>
      </c>
      <c r="BC34">
        <v>0</v>
      </c>
      <c r="BE34">
        <v>45011</v>
      </c>
      <c r="BF34">
        <v>0</v>
      </c>
      <c r="BG34" s="3">
        <v>0</v>
      </c>
      <c r="BH34" s="9">
        <v>0</v>
      </c>
      <c r="BI34" s="9">
        <v>0</v>
      </c>
      <c r="BJ34" s="9">
        <v>0</v>
      </c>
      <c r="BK34" s="9">
        <v>0</v>
      </c>
      <c r="BL34" s="9"/>
      <c r="BM34">
        <v>45011</v>
      </c>
      <c r="BN34">
        <v>0</v>
      </c>
      <c r="BO34" s="3">
        <v>0</v>
      </c>
      <c r="BP34" s="9">
        <v>0</v>
      </c>
      <c r="BQ34" s="9">
        <v>0</v>
      </c>
      <c r="BR34" s="9">
        <v>0</v>
      </c>
      <c r="BS34" s="9">
        <v>0</v>
      </c>
      <c r="BT34" s="9"/>
      <c r="BU34">
        <v>45011</v>
      </c>
      <c r="BV34">
        <v>0</v>
      </c>
      <c r="BW34" s="3">
        <v>0</v>
      </c>
      <c r="BX34">
        <v>0</v>
      </c>
      <c r="BY34">
        <v>0</v>
      </c>
      <c r="BZ34">
        <v>0</v>
      </c>
      <c r="CA34">
        <v>0</v>
      </c>
      <c r="CC34" s="3">
        <v>45011</v>
      </c>
      <c r="CD34" s="9">
        <v>10511851.760000002</v>
      </c>
      <c r="CE34" s="9">
        <v>130361.02512113472</v>
      </c>
      <c r="CF34" s="9">
        <v>263518.52</v>
      </c>
      <c r="CG34" s="9">
        <v>0</v>
      </c>
      <c r="CH34" s="9">
        <v>393879.54512113467</v>
      </c>
      <c r="CI34" s="9">
        <v>10248333.24</v>
      </c>
      <c r="CL34">
        <v>0</v>
      </c>
      <c r="CM34">
        <v>0</v>
      </c>
    </row>
    <row r="35" spans="1:91" x14ac:dyDescent="0.3">
      <c r="A35" s="3">
        <v>45032</v>
      </c>
      <c r="B35">
        <v>5079166.6899999995</v>
      </c>
      <c r="C35">
        <v>64844.028075666662</v>
      </c>
      <c r="D35">
        <v>95833.33</v>
      </c>
      <c r="E35">
        <v>0</v>
      </c>
      <c r="F35">
        <v>160677.35807566665</v>
      </c>
      <c r="G35">
        <v>4983333.3599999994</v>
      </c>
      <c r="I35" s="289">
        <v>45031</v>
      </c>
      <c r="J35">
        <v>2200000</v>
      </c>
      <c r="K35">
        <v>23833.333333333336</v>
      </c>
      <c r="L35">
        <v>50000</v>
      </c>
      <c r="M35">
        <v>0</v>
      </c>
      <c r="N35">
        <v>73833.333333333343</v>
      </c>
      <c r="O35">
        <v>2150000</v>
      </c>
      <c r="Q35" s="3">
        <v>45037</v>
      </c>
      <c r="R35">
        <v>2604166.5900000017</v>
      </c>
      <c r="S35" s="3">
        <v>28211.80472500002</v>
      </c>
      <c r="T35">
        <v>104166.67</v>
      </c>
      <c r="U35">
        <v>0</v>
      </c>
      <c r="V35">
        <v>132378.47472500001</v>
      </c>
      <c r="W35">
        <v>2499999.9200000018</v>
      </c>
      <c r="Y35">
        <v>45046</v>
      </c>
      <c r="Z35">
        <v>364999.9599999995</v>
      </c>
      <c r="AA35" s="3">
        <v>10200.453235390014</v>
      </c>
      <c r="AB35">
        <v>13518.52</v>
      </c>
      <c r="AC35">
        <v>0</v>
      </c>
      <c r="AD35">
        <v>23718.973235390014</v>
      </c>
      <c r="AE35">
        <v>351481.43999999948</v>
      </c>
      <c r="AG35">
        <v>45042</v>
      </c>
      <c r="AH35">
        <v>0</v>
      </c>
      <c r="AI35" s="3">
        <v>0</v>
      </c>
      <c r="AJ35">
        <v>0</v>
      </c>
      <c r="AK35">
        <v>0</v>
      </c>
      <c r="AL35">
        <v>0</v>
      </c>
      <c r="AM35">
        <v>0</v>
      </c>
      <c r="AO35">
        <v>45042</v>
      </c>
      <c r="AP35">
        <v>0</v>
      </c>
      <c r="AQ35" s="3">
        <v>0</v>
      </c>
      <c r="AR35">
        <v>0</v>
      </c>
      <c r="AS35">
        <v>0</v>
      </c>
      <c r="AT35">
        <v>0</v>
      </c>
      <c r="AU35">
        <v>0</v>
      </c>
      <c r="AW35">
        <v>45042</v>
      </c>
      <c r="AX35">
        <v>0</v>
      </c>
      <c r="AY35" s="3">
        <v>0</v>
      </c>
      <c r="AZ35">
        <v>0</v>
      </c>
      <c r="BA35">
        <v>0</v>
      </c>
      <c r="BB35">
        <v>0</v>
      </c>
      <c r="BC35">
        <v>0</v>
      </c>
      <c r="BE35">
        <v>45042</v>
      </c>
      <c r="BF35">
        <v>0</v>
      </c>
      <c r="BG35" s="3">
        <v>0</v>
      </c>
      <c r="BH35" s="9">
        <v>0</v>
      </c>
      <c r="BI35" s="9">
        <v>0</v>
      </c>
      <c r="BJ35" s="9">
        <v>0</v>
      </c>
      <c r="BK35" s="9">
        <v>0</v>
      </c>
      <c r="BL35" s="9"/>
      <c r="BM35">
        <v>45042</v>
      </c>
      <c r="BN35">
        <v>0</v>
      </c>
      <c r="BO35" s="3">
        <v>0</v>
      </c>
      <c r="BP35" s="9">
        <v>0</v>
      </c>
      <c r="BQ35" s="9">
        <v>0</v>
      </c>
      <c r="BR35" s="9">
        <v>0</v>
      </c>
      <c r="BS35" s="9">
        <v>0</v>
      </c>
      <c r="BT35" s="9"/>
      <c r="BU35">
        <v>45042</v>
      </c>
      <c r="BV35">
        <v>0</v>
      </c>
      <c r="BW35" s="3">
        <v>0</v>
      </c>
      <c r="BX35">
        <v>0</v>
      </c>
      <c r="BY35">
        <v>0</v>
      </c>
      <c r="BZ35">
        <v>0</v>
      </c>
      <c r="CA35">
        <v>0</v>
      </c>
      <c r="CC35" s="3">
        <v>45042</v>
      </c>
      <c r="CD35" s="9">
        <v>10248333.24</v>
      </c>
      <c r="CE35" s="9">
        <v>127089.61936939004</v>
      </c>
      <c r="CF35" s="9">
        <v>263518.52</v>
      </c>
      <c r="CG35" s="9">
        <v>0</v>
      </c>
      <c r="CH35" s="9">
        <v>390608.13936938997</v>
      </c>
      <c r="CI35" s="9">
        <v>9984814.7200000007</v>
      </c>
      <c r="CL35">
        <v>0</v>
      </c>
      <c r="CM35">
        <v>0</v>
      </c>
    </row>
    <row r="36" spans="1:91" x14ac:dyDescent="0.3">
      <c r="A36" s="3">
        <v>45062</v>
      </c>
      <c r="B36">
        <v>4983333.3599999994</v>
      </c>
      <c r="C36">
        <v>63620.555895999998</v>
      </c>
      <c r="D36">
        <v>95833.33</v>
      </c>
      <c r="E36">
        <v>0</v>
      </c>
      <c r="F36">
        <v>159453.88589599999</v>
      </c>
      <c r="G36">
        <v>4887500.0299999993</v>
      </c>
      <c r="I36" s="289">
        <v>45061</v>
      </c>
      <c r="J36">
        <v>2150000</v>
      </c>
      <c r="K36">
        <v>23291.666666666668</v>
      </c>
      <c r="L36">
        <v>50000</v>
      </c>
      <c r="M36">
        <v>0</v>
      </c>
      <c r="N36">
        <v>73291.666666666672</v>
      </c>
      <c r="O36">
        <v>2100000</v>
      </c>
      <c r="Q36" s="3">
        <v>45067</v>
      </c>
      <c r="R36">
        <v>2499999.9200000018</v>
      </c>
      <c r="S36" s="3">
        <v>27083.332466666689</v>
      </c>
      <c r="T36">
        <v>104166.67</v>
      </c>
      <c r="U36">
        <v>0</v>
      </c>
      <c r="V36">
        <v>131250.00246666669</v>
      </c>
      <c r="W36">
        <v>2395833.2500000019</v>
      </c>
      <c r="Y36">
        <v>45077</v>
      </c>
      <c r="Z36">
        <v>351481.43999999948</v>
      </c>
      <c r="AA36" s="3">
        <v>9822.6585883120115</v>
      </c>
      <c r="AB36">
        <v>13518.52</v>
      </c>
      <c r="AC36">
        <v>0</v>
      </c>
      <c r="AD36">
        <v>23341.17858831201</v>
      </c>
      <c r="AE36">
        <v>337962.91999999946</v>
      </c>
      <c r="AG36">
        <v>45072</v>
      </c>
      <c r="AH36">
        <v>0</v>
      </c>
      <c r="AI36" s="3">
        <v>0</v>
      </c>
      <c r="AJ36">
        <v>0</v>
      </c>
      <c r="AK36">
        <v>0</v>
      </c>
      <c r="AL36">
        <v>0</v>
      </c>
      <c r="AM36">
        <v>0</v>
      </c>
      <c r="AO36">
        <v>45072</v>
      </c>
      <c r="AP36">
        <v>0</v>
      </c>
      <c r="AQ36" s="3">
        <v>0</v>
      </c>
      <c r="AR36">
        <v>0</v>
      </c>
      <c r="AS36">
        <v>0</v>
      </c>
      <c r="AT36">
        <v>0</v>
      </c>
      <c r="AU36">
        <v>0</v>
      </c>
      <c r="AW36">
        <v>45072</v>
      </c>
      <c r="AX36">
        <v>0</v>
      </c>
      <c r="AY36" s="3">
        <v>0</v>
      </c>
      <c r="AZ36">
        <v>0</v>
      </c>
      <c r="BA36">
        <v>0</v>
      </c>
      <c r="BB36">
        <v>0</v>
      </c>
      <c r="BC36">
        <v>0</v>
      </c>
      <c r="BE36">
        <v>45072</v>
      </c>
      <c r="BF36">
        <v>0</v>
      </c>
      <c r="BG36" s="3">
        <v>0</v>
      </c>
      <c r="BH36" s="9">
        <v>0</v>
      </c>
      <c r="BI36" s="9">
        <v>0</v>
      </c>
      <c r="BJ36" s="9">
        <v>0</v>
      </c>
      <c r="BK36" s="9">
        <v>0</v>
      </c>
      <c r="BL36" s="9"/>
      <c r="BM36">
        <v>45072</v>
      </c>
      <c r="BN36">
        <v>0</v>
      </c>
      <c r="BO36" s="3">
        <v>0</v>
      </c>
      <c r="BP36" s="9">
        <v>0</v>
      </c>
      <c r="BQ36" s="9">
        <v>0</v>
      </c>
      <c r="BR36" s="9">
        <v>0</v>
      </c>
      <c r="BS36" s="9">
        <v>0</v>
      </c>
      <c r="BT36" s="9"/>
      <c r="BU36">
        <v>45072</v>
      </c>
      <c r="BV36">
        <v>0</v>
      </c>
      <c r="BW36" s="3">
        <v>0</v>
      </c>
      <c r="BX36">
        <v>0</v>
      </c>
      <c r="BY36">
        <v>0</v>
      </c>
      <c r="BZ36">
        <v>0</v>
      </c>
      <c r="CA36">
        <v>0</v>
      </c>
      <c r="CC36" s="3">
        <v>45072</v>
      </c>
      <c r="CD36" s="9">
        <v>9984814.7200000007</v>
      </c>
      <c r="CE36" s="9">
        <v>123818.21361764536</v>
      </c>
      <c r="CF36" s="9">
        <v>263518.52</v>
      </c>
      <c r="CG36" s="9">
        <v>0</v>
      </c>
      <c r="CH36" s="9">
        <v>387336.73361764534</v>
      </c>
      <c r="CI36" s="9">
        <v>9721296.2000000011</v>
      </c>
      <c r="CL36">
        <v>0</v>
      </c>
      <c r="CM36">
        <v>0</v>
      </c>
    </row>
    <row r="37" spans="1:91" x14ac:dyDescent="0.3">
      <c r="A37" s="3">
        <v>45093</v>
      </c>
      <c r="B37">
        <v>4887500.0299999993</v>
      </c>
      <c r="C37">
        <v>62397.083716333327</v>
      </c>
      <c r="D37">
        <v>95833.33</v>
      </c>
      <c r="E37">
        <v>0</v>
      </c>
      <c r="F37">
        <v>158230.41371633334</v>
      </c>
      <c r="G37">
        <v>4791666.6999999993</v>
      </c>
      <c r="I37" s="289">
        <v>45092</v>
      </c>
      <c r="J37">
        <v>2100000</v>
      </c>
      <c r="K37">
        <v>22750</v>
      </c>
      <c r="L37">
        <v>50000</v>
      </c>
      <c r="M37">
        <v>0</v>
      </c>
      <c r="N37">
        <v>72750</v>
      </c>
      <c r="O37">
        <v>2050000</v>
      </c>
      <c r="Q37" s="3">
        <v>45098</v>
      </c>
      <c r="R37">
        <v>2395833.2500000019</v>
      </c>
      <c r="S37" s="3">
        <v>25954.860208333354</v>
      </c>
      <c r="T37">
        <v>104166.67</v>
      </c>
      <c r="U37">
        <v>0</v>
      </c>
      <c r="V37">
        <v>130121.53020833337</v>
      </c>
      <c r="W37">
        <v>2291666.5800000019</v>
      </c>
      <c r="Y37">
        <v>45107</v>
      </c>
      <c r="Z37">
        <v>337962.91999999946</v>
      </c>
      <c r="AA37" s="3">
        <v>9444.8639412340071</v>
      </c>
      <c r="AB37">
        <v>13518.52</v>
      </c>
      <c r="AC37">
        <v>0</v>
      </c>
      <c r="AD37">
        <v>22963.383941234009</v>
      </c>
      <c r="AE37">
        <v>324444.39999999944</v>
      </c>
      <c r="AG37">
        <v>45103</v>
      </c>
      <c r="AH37">
        <v>3000000</v>
      </c>
      <c r="AI37" s="3">
        <v>110000</v>
      </c>
      <c r="AJ37">
        <v>80103.31</v>
      </c>
      <c r="AK37">
        <v>0</v>
      </c>
      <c r="AL37">
        <v>190103.31</v>
      </c>
      <c r="AM37">
        <v>2919896.69</v>
      </c>
      <c r="AO37">
        <v>45103</v>
      </c>
      <c r="AP37">
        <v>0</v>
      </c>
      <c r="AQ37" s="3">
        <v>0</v>
      </c>
      <c r="AR37">
        <v>0</v>
      </c>
      <c r="AS37">
        <v>0</v>
      </c>
      <c r="AT37">
        <v>0</v>
      </c>
      <c r="AU37">
        <v>0</v>
      </c>
      <c r="AW37">
        <v>45103</v>
      </c>
      <c r="AX37">
        <v>0</v>
      </c>
      <c r="AY37" s="3">
        <v>0</v>
      </c>
      <c r="AZ37">
        <v>0</v>
      </c>
      <c r="BA37">
        <v>0</v>
      </c>
      <c r="BB37">
        <v>0</v>
      </c>
      <c r="BC37">
        <v>0</v>
      </c>
      <c r="BE37">
        <v>45103</v>
      </c>
      <c r="BF37">
        <v>0</v>
      </c>
      <c r="BG37" s="3">
        <v>0</v>
      </c>
      <c r="BH37" s="9">
        <v>0</v>
      </c>
      <c r="BI37" s="9">
        <v>0</v>
      </c>
      <c r="BJ37" s="9">
        <v>0</v>
      </c>
      <c r="BK37" s="9">
        <v>0</v>
      </c>
      <c r="BL37" s="9"/>
      <c r="BM37">
        <v>45103</v>
      </c>
      <c r="BN37">
        <v>0</v>
      </c>
      <c r="BO37" s="3">
        <v>0</v>
      </c>
      <c r="BP37" s="9">
        <v>0</v>
      </c>
      <c r="BQ37" s="9">
        <v>0</v>
      </c>
      <c r="BR37" s="9">
        <v>0</v>
      </c>
      <c r="BS37" s="9">
        <v>0</v>
      </c>
      <c r="BT37" s="9"/>
      <c r="BU37">
        <v>45103</v>
      </c>
      <c r="BV37">
        <v>0</v>
      </c>
      <c r="BW37" s="3">
        <v>0</v>
      </c>
      <c r="BX37">
        <v>0</v>
      </c>
      <c r="BY37">
        <v>0</v>
      </c>
      <c r="BZ37">
        <v>0</v>
      </c>
      <c r="CA37">
        <v>0</v>
      </c>
      <c r="CC37" s="3">
        <v>45103</v>
      </c>
      <c r="CD37" s="9">
        <v>12721296.199999999</v>
      </c>
      <c r="CE37" s="9">
        <v>230546.80786590069</v>
      </c>
      <c r="CF37" s="9">
        <v>343621.83</v>
      </c>
      <c r="CG37" s="9">
        <v>0</v>
      </c>
      <c r="CH37" s="9">
        <v>574168.63786590076</v>
      </c>
      <c r="CI37" s="9">
        <v>12377674.369999999</v>
      </c>
      <c r="CL37">
        <v>0</v>
      </c>
      <c r="CM37">
        <v>3000000</v>
      </c>
    </row>
    <row r="38" spans="1:91" x14ac:dyDescent="0.3">
      <c r="A38" s="3">
        <v>45123</v>
      </c>
      <c r="B38">
        <v>4791666.6999999993</v>
      </c>
      <c r="C38">
        <v>61173.611536666664</v>
      </c>
      <c r="D38">
        <v>95833.33</v>
      </c>
      <c r="E38">
        <v>0</v>
      </c>
      <c r="F38">
        <v>157006.94153666665</v>
      </c>
      <c r="G38">
        <v>4695833.3699999992</v>
      </c>
      <c r="I38" s="289">
        <v>45122</v>
      </c>
      <c r="J38">
        <v>2050000</v>
      </c>
      <c r="K38">
        <v>22208.333333333336</v>
      </c>
      <c r="L38">
        <v>50000</v>
      </c>
      <c r="M38">
        <v>0</v>
      </c>
      <c r="N38">
        <v>72208.333333333343</v>
      </c>
      <c r="O38">
        <v>2000000</v>
      </c>
      <c r="Q38" s="3">
        <v>45128</v>
      </c>
      <c r="R38">
        <v>2291666.5800000019</v>
      </c>
      <c r="S38" s="3">
        <v>24826.387950000026</v>
      </c>
      <c r="T38">
        <v>104166.67</v>
      </c>
      <c r="U38">
        <v>0</v>
      </c>
      <c r="V38">
        <v>128993.05795000002</v>
      </c>
      <c r="W38">
        <v>2187499.910000002</v>
      </c>
      <c r="Y38">
        <v>45138</v>
      </c>
      <c r="Z38">
        <v>324444.39999999944</v>
      </c>
      <c r="AA38" s="3">
        <v>9067.0692941560064</v>
      </c>
      <c r="AB38">
        <v>13518.52</v>
      </c>
      <c r="AC38">
        <v>0</v>
      </c>
      <c r="AD38">
        <v>22585.589294156009</v>
      </c>
      <c r="AE38">
        <v>310925.87999999942</v>
      </c>
      <c r="AG38">
        <v>45133</v>
      </c>
      <c r="AH38">
        <v>2919896.69</v>
      </c>
      <c r="AI38" s="3">
        <v>107062.87863333333</v>
      </c>
      <c r="AJ38">
        <v>83040.431366666671</v>
      </c>
      <c r="AK38">
        <v>0</v>
      </c>
      <c r="AL38">
        <v>190103.31</v>
      </c>
      <c r="AM38">
        <v>2836856.2586333333</v>
      </c>
      <c r="AO38">
        <v>45133</v>
      </c>
      <c r="AP38">
        <v>0</v>
      </c>
      <c r="AQ38" s="3">
        <v>0</v>
      </c>
      <c r="AR38">
        <v>0</v>
      </c>
      <c r="AS38">
        <v>0</v>
      </c>
      <c r="AT38">
        <v>0</v>
      </c>
      <c r="AU38">
        <v>0</v>
      </c>
      <c r="AW38">
        <v>45133</v>
      </c>
      <c r="AX38">
        <v>0</v>
      </c>
      <c r="AY38" s="3">
        <v>0</v>
      </c>
      <c r="AZ38">
        <v>0</v>
      </c>
      <c r="BA38">
        <v>0</v>
      </c>
      <c r="BB38">
        <v>0</v>
      </c>
      <c r="BC38">
        <v>0</v>
      </c>
      <c r="BE38">
        <v>45133</v>
      </c>
      <c r="BF38">
        <v>0</v>
      </c>
      <c r="BG38" s="3">
        <v>0</v>
      </c>
      <c r="BH38" s="9">
        <v>0</v>
      </c>
      <c r="BI38" s="9">
        <v>0</v>
      </c>
      <c r="BJ38" s="9">
        <v>0</v>
      </c>
      <c r="BK38" s="9">
        <v>0</v>
      </c>
      <c r="BL38" s="9"/>
      <c r="BM38">
        <v>45133</v>
      </c>
      <c r="BN38">
        <v>0</v>
      </c>
      <c r="BO38" s="3">
        <v>0</v>
      </c>
      <c r="BP38" s="9">
        <v>0</v>
      </c>
      <c r="BQ38" s="9">
        <v>0</v>
      </c>
      <c r="BR38" s="9">
        <v>0</v>
      </c>
      <c r="BS38" s="9">
        <v>0</v>
      </c>
      <c r="BT38" s="9"/>
      <c r="BU38">
        <v>45133</v>
      </c>
      <c r="BV38">
        <v>0</v>
      </c>
      <c r="BW38" s="3">
        <v>0</v>
      </c>
      <c r="BX38">
        <v>0</v>
      </c>
      <c r="BY38">
        <v>0</v>
      </c>
      <c r="BZ38">
        <v>0</v>
      </c>
      <c r="CA38">
        <v>0</v>
      </c>
      <c r="CC38" s="3">
        <v>45133</v>
      </c>
      <c r="CD38" s="9">
        <v>12377674.369999999</v>
      </c>
      <c r="CE38" s="9">
        <v>224338.28074748936</v>
      </c>
      <c r="CF38" s="9">
        <v>346558.9513666667</v>
      </c>
      <c r="CG38" s="9">
        <v>0</v>
      </c>
      <c r="CH38" s="9">
        <v>570897.23211415601</v>
      </c>
      <c r="CI38" s="9">
        <v>12031115.418633334</v>
      </c>
      <c r="CL38">
        <v>0</v>
      </c>
      <c r="CM38">
        <v>0</v>
      </c>
    </row>
    <row r="39" spans="1:91" x14ac:dyDescent="0.3">
      <c r="A39" s="3">
        <v>45154</v>
      </c>
      <c r="B39">
        <v>4695833.3699999992</v>
      </c>
      <c r="C39">
        <v>59950.139356999993</v>
      </c>
      <c r="D39">
        <v>95833.33</v>
      </c>
      <c r="E39">
        <v>0</v>
      </c>
      <c r="F39">
        <v>155783.46935699999</v>
      </c>
      <c r="G39">
        <v>4600000.0399999991</v>
      </c>
      <c r="I39" s="289">
        <v>45153</v>
      </c>
      <c r="J39">
        <v>2000000</v>
      </c>
      <c r="K39">
        <v>21666.666666666668</v>
      </c>
      <c r="L39">
        <v>50000</v>
      </c>
      <c r="M39">
        <v>0</v>
      </c>
      <c r="N39">
        <v>71666.666666666672</v>
      </c>
      <c r="O39">
        <v>1950000</v>
      </c>
      <c r="Q39" s="3">
        <v>45159</v>
      </c>
      <c r="R39">
        <v>2187499.910000002</v>
      </c>
      <c r="S39" s="3">
        <v>23697.915691666691</v>
      </c>
      <c r="T39">
        <v>104166.67</v>
      </c>
      <c r="U39">
        <v>0</v>
      </c>
      <c r="V39">
        <v>127864.5856916667</v>
      </c>
      <c r="W39">
        <v>2083333.2400000021</v>
      </c>
      <c r="Y39">
        <v>45169</v>
      </c>
      <c r="Z39">
        <v>310925.87999999942</v>
      </c>
      <c r="AA39" s="3">
        <v>8689.2746470780039</v>
      </c>
      <c r="AB39">
        <v>13518.52</v>
      </c>
      <c r="AC39">
        <v>0</v>
      </c>
      <c r="AD39">
        <v>22207.794647078004</v>
      </c>
      <c r="AE39">
        <v>297407.3599999994</v>
      </c>
      <c r="AG39">
        <v>45164</v>
      </c>
      <c r="AH39">
        <v>2836856.2586333333</v>
      </c>
      <c r="AI39" s="3">
        <v>104018.06281655555</v>
      </c>
      <c r="AJ39">
        <v>86085.247183444444</v>
      </c>
      <c r="AK39">
        <v>0</v>
      </c>
      <c r="AL39">
        <v>190103.31</v>
      </c>
      <c r="AM39">
        <v>2750771.0114498888</v>
      </c>
      <c r="AO39">
        <v>45164</v>
      </c>
      <c r="AP39">
        <v>0</v>
      </c>
      <c r="AQ39" s="3">
        <v>0</v>
      </c>
      <c r="AR39">
        <v>0</v>
      </c>
      <c r="AS39">
        <v>0</v>
      </c>
      <c r="AT39">
        <v>0</v>
      </c>
      <c r="AU39">
        <v>0</v>
      </c>
      <c r="AW39">
        <v>45164</v>
      </c>
      <c r="AX39">
        <v>0</v>
      </c>
      <c r="AY39" s="3">
        <v>0</v>
      </c>
      <c r="AZ39">
        <v>0</v>
      </c>
      <c r="BA39">
        <v>0</v>
      </c>
      <c r="BB39">
        <v>0</v>
      </c>
      <c r="BC39">
        <v>0</v>
      </c>
      <c r="BE39">
        <v>45164</v>
      </c>
      <c r="BF39">
        <v>0</v>
      </c>
      <c r="BG39" s="3">
        <v>0</v>
      </c>
      <c r="BH39" s="9">
        <v>0</v>
      </c>
      <c r="BI39" s="9">
        <v>0</v>
      </c>
      <c r="BJ39" s="9">
        <v>0</v>
      </c>
      <c r="BK39" s="9">
        <v>0</v>
      </c>
      <c r="BL39" s="9"/>
      <c r="BM39">
        <v>45164</v>
      </c>
      <c r="BN39">
        <v>0</v>
      </c>
      <c r="BO39" s="3">
        <v>0</v>
      </c>
      <c r="BP39" s="9">
        <v>0</v>
      </c>
      <c r="BQ39" s="9">
        <v>0</v>
      </c>
      <c r="BR39" s="9">
        <v>0</v>
      </c>
      <c r="BS39" s="9">
        <v>0</v>
      </c>
      <c r="BT39" s="9"/>
      <c r="BU39">
        <v>45164</v>
      </c>
      <c r="BV39">
        <v>0</v>
      </c>
      <c r="BW39" s="3">
        <v>0</v>
      </c>
      <c r="BX39">
        <v>0</v>
      </c>
      <c r="BY39">
        <v>0</v>
      </c>
      <c r="BZ39">
        <v>0</v>
      </c>
      <c r="CA39">
        <v>0</v>
      </c>
      <c r="CC39" s="3">
        <v>45164</v>
      </c>
      <c r="CD39" s="9">
        <v>12731115.418633334</v>
      </c>
      <c r="CE39" s="9">
        <v>253798.44277298148</v>
      </c>
      <c r="CF39" s="9">
        <v>369200.6022143875</v>
      </c>
      <c r="CG39" s="9">
        <v>5724.2213750423289</v>
      </c>
      <c r="CH39" s="9">
        <v>628723.26636241144</v>
      </c>
      <c r="CI39" s="9">
        <v>12361914.816418946</v>
      </c>
      <c r="CL39">
        <v>0</v>
      </c>
      <c r="CM39">
        <v>700000</v>
      </c>
    </row>
    <row r="40" spans="1:91" x14ac:dyDescent="0.3">
      <c r="A40" s="3">
        <v>45185</v>
      </c>
      <c r="B40">
        <v>4600000.0399999991</v>
      </c>
      <c r="C40">
        <v>58726.667177333329</v>
      </c>
      <c r="D40">
        <v>95833.33</v>
      </c>
      <c r="E40">
        <v>0</v>
      </c>
      <c r="F40">
        <v>154559.99717733334</v>
      </c>
      <c r="G40">
        <v>4504166.709999999</v>
      </c>
      <c r="I40" s="289">
        <v>45184</v>
      </c>
      <c r="J40">
        <v>1950000</v>
      </c>
      <c r="K40">
        <v>21125</v>
      </c>
      <c r="L40">
        <v>50000</v>
      </c>
      <c r="M40">
        <v>0</v>
      </c>
      <c r="N40">
        <v>71125</v>
      </c>
      <c r="O40">
        <v>1900000</v>
      </c>
      <c r="Q40" s="3">
        <v>45190</v>
      </c>
      <c r="R40">
        <v>2083333.2400000021</v>
      </c>
      <c r="S40" s="3">
        <v>22569.443433333356</v>
      </c>
      <c r="T40">
        <v>104166.67</v>
      </c>
      <c r="U40">
        <v>0</v>
      </c>
      <c r="V40">
        <v>126736.11343333336</v>
      </c>
      <c r="W40">
        <v>1979166.5700000024</v>
      </c>
      <c r="Y40">
        <v>45199</v>
      </c>
      <c r="Z40">
        <v>297407.3599999994</v>
      </c>
      <c r="AA40" s="3">
        <v>8311.4800000000014</v>
      </c>
      <c r="AB40">
        <v>13518.52</v>
      </c>
      <c r="AC40">
        <v>0</v>
      </c>
      <c r="AD40">
        <v>21830</v>
      </c>
      <c r="AE40">
        <v>283888.83999999939</v>
      </c>
      <c r="AG40">
        <v>45195</v>
      </c>
      <c r="AH40">
        <v>2750771.0114498888</v>
      </c>
      <c r="AI40" s="3">
        <v>100861.60375316261</v>
      </c>
      <c r="AJ40">
        <v>89241.706246837406</v>
      </c>
      <c r="AK40">
        <v>0</v>
      </c>
      <c r="AL40">
        <v>190103.31</v>
      </c>
      <c r="AM40">
        <v>2661529.3052030513</v>
      </c>
      <c r="AO40">
        <v>45195</v>
      </c>
      <c r="AP40">
        <v>0</v>
      </c>
      <c r="AQ40" s="3">
        <v>0</v>
      </c>
      <c r="AR40">
        <v>0</v>
      </c>
      <c r="AS40">
        <v>0</v>
      </c>
      <c r="AT40">
        <v>0</v>
      </c>
      <c r="AU40">
        <v>0</v>
      </c>
      <c r="AW40">
        <v>45195</v>
      </c>
      <c r="AX40">
        <v>0</v>
      </c>
      <c r="AY40" s="3">
        <v>0</v>
      </c>
      <c r="AZ40">
        <v>0</v>
      </c>
      <c r="BA40">
        <v>0</v>
      </c>
      <c r="BB40">
        <v>0</v>
      </c>
      <c r="BC40">
        <v>0</v>
      </c>
      <c r="BE40">
        <v>45195</v>
      </c>
      <c r="BF40">
        <v>0</v>
      </c>
      <c r="BG40" s="3">
        <v>0</v>
      </c>
      <c r="BH40" s="9">
        <v>0</v>
      </c>
      <c r="BI40" s="9">
        <v>0</v>
      </c>
      <c r="BJ40" s="9">
        <v>0</v>
      </c>
      <c r="BK40" s="9">
        <v>0</v>
      </c>
      <c r="BL40" s="9"/>
      <c r="BM40">
        <v>45195</v>
      </c>
      <c r="BN40">
        <v>0</v>
      </c>
      <c r="BO40" s="3">
        <v>0</v>
      </c>
      <c r="BP40" s="9">
        <v>0</v>
      </c>
      <c r="BQ40" s="9">
        <v>0</v>
      </c>
      <c r="BR40" s="9">
        <v>0</v>
      </c>
      <c r="BS40" s="9">
        <v>0</v>
      </c>
      <c r="BT40" s="9"/>
      <c r="BU40">
        <v>45195</v>
      </c>
      <c r="BV40">
        <v>0</v>
      </c>
      <c r="BW40" s="3">
        <v>0</v>
      </c>
      <c r="BX40">
        <v>0</v>
      </c>
      <c r="BY40">
        <v>0</v>
      </c>
      <c r="BZ40">
        <v>0</v>
      </c>
      <c r="CA40">
        <v>0</v>
      </c>
      <c r="CC40" s="3">
        <v>45195</v>
      </c>
      <c r="CD40" s="9">
        <v>12361914.816418946</v>
      </c>
      <c r="CE40" s="9">
        <v>246335.54314410215</v>
      </c>
      <c r="CF40" s="9">
        <v>609633.1016617209</v>
      </c>
      <c r="CG40" s="9">
        <v>5558.6158048436564</v>
      </c>
      <c r="CH40" s="9">
        <v>625451.86061066668</v>
      </c>
      <c r="CI40" s="9">
        <v>11988357.114757225</v>
      </c>
      <c r="CL40">
        <v>-236075.40000000037</v>
      </c>
      <c r="CM40">
        <v>0</v>
      </c>
    </row>
    <row r="41" spans="1:91" x14ac:dyDescent="0.3">
      <c r="A41" s="3">
        <v>45215</v>
      </c>
      <c r="B41">
        <v>4504166.709999999</v>
      </c>
      <c r="C41">
        <v>57503.194997666658</v>
      </c>
      <c r="D41">
        <v>95833.33</v>
      </c>
      <c r="E41">
        <v>0</v>
      </c>
      <c r="F41">
        <v>153336.52499766665</v>
      </c>
      <c r="G41">
        <v>4408333.379999999</v>
      </c>
      <c r="I41" s="289">
        <v>45214</v>
      </c>
      <c r="J41">
        <v>1900000</v>
      </c>
      <c r="K41">
        <v>20583.333333333336</v>
      </c>
      <c r="L41">
        <v>50000</v>
      </c>
      <c r="M41">
        <v>0</v>
      </c>
      <c r="N41">
        <v>70583.333333333343</v>
      </c>
      <c r="O41">
        <v>1850000</v>
      </c>
      <c r="Q41" s="3">
        <v>45220</v>
      </c>
      <c r="R41">
        <v>1979166.5700000024</v>
      </c>
      <c r="S41" s="3">
        <v>21440.971175000024</v>
      </c>
      <c r="T41">
        <v>104166.67</v>
      </c>
      <c r="U41">
        <v>0</v>
      </c>
      <c r="V41">
        <v>125607.64117500004</v>
      </c>
      <c r="W41">
        <v>1874999.9000000025</v>
      </c>
      <c r="Y41">
        <v>45230</v>
      </c>
      <c r="Z41">
        <v>283888.83999999939</v>
      </c>
      <c r="AA41" s="3">
        <v>7933.6853529219979</v>
      </c>
      <c r="AB41">
        <v>13518.52</v>
      </c>
      <c r="AC41">
        <v>0</v>
      </c>
      <c r="AD41">
        <v>21452.205352921999</v>
      </c>
      <c r="AE41">
        <v>270370.31999999937</v>
      </c>
      <c r="AG41">
        <v>45225</v>
      </c>
      <c r="AH41">
        <v>2661529.3052030513</v>
      </c>
      <c r="AI41" s="3">
        <v>97589.407857445214</v>
      </c>
      <c r="AJ41">
        <v>-97589.407857445214</v>
      </c>
      <c r="AK41">
        <v>0</v>
      </c>
      <c r="AL41">
        <v>0</v>
      </c>
      <c r="AM41">
        <v>2759118.7130604964</v>
      </c>
      <c r="AO41">
        <v>45230</v>
      </c>
      <c r="AP41">
        <v>0</v>
      </c>
      <c r="AQ41" s="3">
        <v>0</v>
      </c>
      <c r="AR41">
        <v>0</v>
      </c>
      <c r="AS41">
        <v>0</v>
      </c>
      <c r="AT41">
        <v>0</v>
      </c>
      <c r="AU41">
        <v>0</v>
      </c>
      <c r="AW41">
        <v>45230</v>
      </c>
      <c r="AX41">
        <v>0</v>
      </c>
      <c r="AY41" s="3">
        <v>0</v>
      </c>
      <c r="AZ41">
        <v>0</v>
      </c>
      <c r="BA41">
        <v>0</v>
      </c>
      <c r="BB41">
        <v>0</v>
      </c>
      <c r="BC41">
        <v>0</v>
      </c>
      <c r="BE41">
        <v>45230</v>
      </c>
      <c r="BF41">
        <v>0</v>
      </c>
      <c r="BG41" s="3">
        <v>0</v>
      </c>
      <c r="BH41" s="9">
        <v>0</v>
      </c>
      <c r="BI41" s="9">
        <v>0</v>
      </c>
      <c r="BJ41" s="9">
        <v>0</v>
      </c>
      <c r="BK41" s="9">
        <v>0</v>
      </c>
      <c r="BL41" s="9"/>
      <c r="BM41">
        <v>45230</v>
      </c>
      <c r="BN41">
        <v>0</v>
      </c>
      <c r="BO41" s="3">
        <v>0</v>
      </c>
      <c r="BP41" s="9">
        <v>0</v>
      </c>
      <c r="BQ41" s="9">
        <v>0</v>
      </c>
      <c r="BR41" s="9">
        <v>0</v>
      </c>
      <c r="BS41" s="9">
        <v>0</v>
      </c>
      <c r="BT41" s="9"/>
      <c r="BU41">
        <v>45230</v>
      </c>
      <c r="BV41">
        <v>0</v>
      </c>
      <c r="BW41" s="3">
        <v>0</v>
      </c>
      <c r="BX41">
        <v>0</v>
      </c>
      <c r="BY41">
        <v>0</v>
      </c>
      <c r="BZ41">
        <v>0</v>
      </c>
      <c r="CA41">
        <v>0</v>
      </c>
      <c r="CC41" s="3">
        <v>45225</v>
      </c>
      <c r="CD41" s="9">
        <v>11988357.114757225</v>
      </c>
      <c r="CE41" s="9">
        <v>246924.78784206379</v>
      </c>
      <c r="CF41" s="9">
        <v>193726.84579674681</v>
      </c>
      <c r="CG41" s="9">
        <v>6699.8712201114467</v>
      </c>
      <c r="CH41" s="9">
        <v>447351.50485892198</v>
      </c>
      <c r="CI41" s="9">
        <v>11794630.268960478</v>
      </c>
      <c r="CL41">
        <v>0</v>
      </c>
      <c r="CM41">
        <v>0</v>
      </c>
    </row>
    <row r="42" spans="1:91" x14ac:dyDescent="0.3">
      <c r="A42" s="3">
        <v>45246</v>
      </c>
      <c r="B42">
        <v>4408333.379999999</v>
      </c>
      <c r="C42">
        <v>56279.722817999987</v>
      </c>
      <c r="D42">
        <v>95833.33</v>
      </c>
      <c r="E42">
        <v>0</v>
      </c>
      <c r="F42">
        <v>152113.052818</v>
      </c>
      <c r="G42">
        <v>4312500.0499999989</v>
      </c>
      <c r="I42" s="289">
        <v>45245</v>
      </c>
      <c r="J42">
        <v>1850000</v>
      </c>
      <c r="K42">
        <v>20041.666666666668</v>
      </c>
      <c r="L42">
        <v>50000</v>
      </c>
      <c r="M42">
        <v>0</v>
      </c>
      <c r="N42">
        <v>70041.666666666672</v>
      </c>
      <c r="O42">
        <v>1800000</v>
      </c>
      <c r="Q42" s="3">
        <v>45251</v>
      </c>
      <c r="R42">
        <v>1874999.9000000025</v>
      </c>
      <c r="S42" s="3">
        <v>20312.498916666693</v>
      </c>
      <c r="T42">
        <v>104166.67</v>
      </c>
      <c r="U42">
        <v>0</v>
      </c>
      <c r="V42">
        <v>124479.16891666668</v>
      </c>
      <c r="W42">
        <v>1770833.2300000023</v>
      </c>
      <c r="Y42">
        <v>45260</v>
      </c>
      <c r="Z42">
        <v>270370.31999999937</v>
      </c>
      <c r="AA42" s="3">
        <v>7555.8907058439972</v>
      </c>
      <c r="AB42">
        <v>13518.52</v>
      </c>
      <c r="AC42">
        <v>0</v>
      </c>
      <c r="AD42">
        <v>21074.410705843999</v>
      </c>
      <c r="AE42">
        <v>256851.79999999935</v>
      </c>
      <c r="AG42">
        <v>45256</v>
      </c>
      <c r="AH42">
        <v>2759118.7130604964</v>
      </c>
      <c r="AI42" s="3">
        <v>101167.68614555152</v>
      </c>
      <c r="AJ42">
        <v>-101167.68614555152</v>
      </c>
      <c r="AK42">
        <v>0</v>
      </c>
      <c r="AL42">
        <v>0</v>
      </c>
      <c r="AM42">
        <v>2860286.3992060479</v>
      </c>
      <c r="AO42">
        <v>45260</v>
      </c>
      <c r="AP42">
        <v>0</v>
      </c>
      <c r="AQ42" s="3">
        <v>0</v>
      </c>
      <c r="AR42">
        <v>0</v>
      </c>
      <c r="AS42">
        <v>0</v>
      </c>
      <c r="AT42">
        <v>0</v>
      </c>
      <c r="AU42">
        <v>0</v>
      </c>
      <c r="AW42">
        <v>45260</v>
      </c>
      <c r="AX42">
        <v>0</v>
      </c>
      <c r="AY42" s="3">
        <v>0</v>
      </c>
      <c r="AZ42">
        <v>0</v>
      </c>
      <c r="BA42">
        <v>0</v>
      </c>
      <c r="BB42">
        <v>0</v>
      </c>
      <c r="BC42">
        <v>0</v>
      </c>
      <c r="BE42">
        <v>45260</v>
      </c>
      <c r="BF42">
        <v>0</v>
      </c>
      <c r="BG42" s="3">
        <v>0</v>
      </c>
      <c r="BH42" s="9">
        <v>0</v>
      </c>
      <c r="BI42" s="9">
        <v>0</v>
      </c>
      <c r="BJ42" s="9">
        <v>0</v>
      </c>
      <c r="BK42" s="9">
        <v>0</v>
      </c>
      <c r="BL42" s="9"/>
      <c r="BM42">
        <v>45260</v>
      </c>
      <c r="BN42">
        <v>0</v>
      </c>
      <c r="BO42" s="3">
        <v>0</v>
      </c>
      <c r="BP42" s="9">
        <v>0</v>
      </c>
      <c r="BQ42" s="9">
        <v>0</v>
      </c>
      <c r="BR42" s="9">
        <v>0</v>
      </c>
      <c r="BS42" s="9">
        <v>0</v>
      </c>
      <c r="BT42" s="9"/>
      <c r="BU42">
        <v>45260</v>
      </c>
      <c r="BV42">
        <v>0</v>
      </c>
      <c r="BW42" s="3">
        <v>0</v>
      </c>
      <c r="BX42">
        <v>0</v>
      </c>
      <c r="BY42">
        <v>0</v>
      </c>
      <c r="BZ42">
        <v>0</v>
      </c>
      <c r="CA42">
        <v>0</v>
      </c>
      <c r="CC42" s="3">
        <v>45256</v>
      </c>
      <c r="CD42" s="9">
        <v>11794630.268960478</v>
      </c>
      <c r="CE42" s="9">
        <v>237532.18870354776</v>
      </c>
      <c r="CF42" s="9">
        <v>186125.59465149857</v>
      </c>
      <c r="CG42" s="9">
        <v>5147.9557521310226</v>
      </c>
      <c r="CH42" s="9">
        <v>428805.73910717736</v>
      </c>
      <c r="CI42" s="9">
        <v>11608504.674308978</v>
      </c>
      <c r="CL42">
        <v>0</v>
      </c>
      <c r="CM42">
        <v>0</v>
      </c>
    </row>
    <row r="43" spans="1:91" x14ac:dyDescent="0.3">
      <c r="A43" s="3">
        <v>45276</v>
      </c>
      <c r="B43">
        <v>4312500.0499999989</v>
      </c>
      <c r="C43">
        <v>55056.250638333331</v>
      </c>
      <c r="D43">
        <v>95833.33</v>
      </c>
      <c r="E43">
        <v>0</v>
      </c>
      <c r="F43">
        <v>150889.58063833334</v>
      </c>
      <c r="G43">
        <v>4216666.7199999988</v>
      </c>
      <c r="I43" s="289">
        <v>45275</v>
      </c>
      <c r="J43">
        <v>1800000</v>
      </c>
      <c r="K43">
        <v>19500</v>
      </c>
      <c r="L43">
        <v>50000</v>
      </c>
      <c r="M43">
        <v>0</v>
      </c>
      <c r="N43">
        <v>69500</v>
      </c>
      <c r="O43">
        <v>1750000</v>
      </c>
      <c r="Q43" s="3">
        <v>45281</v>
      </c>
      <c r="R43">
        <v>1770833.2300000023</v>
      </c>
      <c r="S43" s="3">
        <v>19184.026658333361</v>
      </c>
      <c r="T43">
        <v>104166.67</v>
      </c>
      <c r="U43">
        <v>0</v>
      </c>
      <c r="V43">
        <v>123350.69665833336</v>
      </c>
      <c r="W43">
        <v>1666666.5600000024</v>
      </c>
      <c r="Y43">
        <v>45291</v>
      </c>
      <c r="Z43">
        <v>256851.79999999935</v>
      </c>
      <c r="AA43" s="3">
        <v>7178.0960587659947</v>
      </c>
      <c r="AB43">
        <v>13518.52</v>
      </c>
      <c r="AC43">
        <v>0</v>
      </c>
      <c r="AD43">
        <v>20696.616058765991</v>
      </c>
      <c r="AE43">
        <v>243333.27999999939</v>
      </c>
      <c r="AG43">
        <v>45286</v>
      </c>
      <c r="AH43">
        <v>2860286.3992060479</v>
      </c>
      <c r="AI43" s="3">
        <v>104877.16797088842</v>
      </c>
      <c r="AJ43">
        <v>-104877.16797088842</v>
      </c>
      <c r="AK43">
        <v>0</v>
      </c>
      <c r="AL43">
        <v>0</v>
      </c>
      <c r="AM43">
        <v>2965163.5671769362</v>
      </c>
      <c r="AO43">
        <v>45291</v>
      </c>
      <c r="AP43">
        <v>0</v>
      </c>
      <c r="AQ43" s="3">
        <v>0</v>
      </c>
      <c r="AR43">
        <v>0</v>
      </c>
      <c r="AS43">
        <v>0</v>
      </c>
      <c r="AT43">
        <v>0</v>
      </c>
      <c r="AU43">
        <v>0</v>
      </c>
      <c r="AW43">
        <v>45291</v>
      </c>
      <c r="AX43">
        <v>0</v>
      </c>
      <c r="AY43" s="3">
        <v>0</v>
      </c>
      <c r="AZ43">
        <v>0</v>
      </c>
      <c r="BA43">
        <v>0</v>
      </c>
      <c r="BB43">
        <v>0</v>
      </c>
      <c r="BC43">
        <v>0</v>
      </c>
      <c r="BE43">
        <v>45291</v>
      </c>
      <c r="BF43">
        <v>0</v>
      </c>
      <c r="BG43" s="3">
        <v>0</v>
      </c>
      <c r="BH43" s="9">
        <v>0</v>
      </c>
      <c r="BI43" s="9">
        <v>0</v>
      </c>
      <c r="BJ43" s="9">
        <v>0</v>
      </c>
      <c r="BK43" s="9">
        <v>0</v>
      </c>
      <c r="BL43" s="9"/>
      <c r="BM43">
        <v>45291</v>
      </c>
      <c r="BN43">
        <v>0</v>
      </c>
      <c r="BO43" s="3">
        <v>0</v>
      </c>
      <c r="BP43" s="9">
        <v>0</v>
      </c>
      <c r="BQ43" s="9">
        <v>0</v>
      </c>
      <c r="BR43" s="9">
        <v>0</v>
      </c>
      <c r="BS43" s="9">
        <v>0</v>
      </c>
      <c r="BT43" s="9"/>
      <c r="BU43">
        <v>45291</v>
      </c>
      <c r="BV43">
        <v>0</v>
      </c>
      <c r="BW43" s="3">
        <v>0</v>
      </c>
      <c r="BX43">
        <v>0</v>
      </c>
      <c r="BY43">
        <v>0</v>
      </c>
      <c r="BZ43">
        <v>0</v>
      </c>
      <c r="CA43">
        <v>0</v>
      </c>
      <c r="CC43" s="3">
        <v>45286</v>
      </c>
      <c r="CD43" s="9">
        <v>11608504.674308978</v>
      </c>
      <c r="CE43" s="9">
        <v>236714.56685069049</v>
      </c>
      <c r="CF43" s="9">
        <v>183872.72242084309</v>
      </c>
      <c r="CG43" s="9">
        <v>4947.0440838991017</v>
      </c>
      <c r="CH43" s="9">
        <v>425534.33335543267</v>
      </c>
      <c r="CI43" s="9">
        <v>11424631.951888137</v>
      </c>
      <c r="CL43">
        <v>0</v>
      </c>
      <c r="CM43">
        <v>0</v>
      </c>
    </row>
    <row r="44" spans="1:91" x14ac:dyDescent="0.3">
      <c r="A44" s="3">
        <v>45307</v>
      </c>
      <c r="B44">
        <v>4216666.7199999988</v>
      </c>
      <c r="C44">
        <v>53832.778458666653</v>
      </c>
      <c r="D44">
        <v>95833.33</v>
      </c>
      <c r="E44">
        <v>0</v>
      </c>
      <c r="F44">
        <v>149666.10845866663</v>
      </c>
      <c r="G44">
        <v>4120833.3899999983</v>
      </c>
      <c r="I44" s="289">
        <v>45306</v>
      </c>
      <c r="J44">
        <v>1750000</v>
      </c>
      <c r="K44">
        <v>18958.333333333336</v>
      </c>
      <c r="L44">
        <v>50000</v>
      </c>
      <c r="M44">
        <v>0</v>
      </c>
      <c r="N44">
        <v>68958.333333333343</v>
      </c>
      <c r="O44">
        <v>1700000</v>
      </c>
      <c r="Q44" s="3">
        <v>45312</v>
      </c>
      <c r="R44">
        <v>1666666.5600000024</v>
      </c>
      <c r="S44" s="3">
        <v>18055.554400000023</v>
      </c>
      <c r="T44">
        <v>104166.67</v>
      </c>
      <c r="U44">
        <v>0</v>
      </c>
      <c r="V44">
        <v>122222.22440000002</v>
      </c>
      <c r="W44">
        <v>1562499.8900000025</v>
      </c>
      <c r="Y44">
        <v>45322</v>
      </c>
      <c r="Z44">
        <v>243333.27999999939</v>
      </c>
      <c r="AA44" s="3">
        <v>6800.3014116879931</v>
      </c>
      <c r="AB44">
        <v>13518.52</v>
      </c>
      <c r="AC44">
        <v>0</v>
      </c>
      <c r="AD44">
        <v>20318.821411687994</v>
      </c>
      <c r="AE44">
        <v>229814.7599999994</v>
      </c>
      <c r="AG44">
        <v>45317</v>
      </c>
      <c r="AH44">
        <v>2965163.5671769362</v>
      </c>
      <c r="AI44" s="3">
        <v>108722.664129821</v>
      </c>
      <c r="AJ44">
        <v>-108722.664129821</v>
      </c>
      <c r="AK44">
        <v>0</v>
      </c>
      <c r="AL44">
        <v>0</v>
      </c>
      <c r="AM44">
        <v>3073886.2313067573</v>
      </c>
      <c r="AO44">
        <v>45322</v>
      </c>
      <c r="AP44">
        <v>0</v>
      </c>
      <c r="AQ44" s="3">
        <v>0</v>
      </c>
      <c r="AR44">
        <v>0</v>
      </c>
      <c r="AS44">
        <v>0</v>
      </c>
      <c r="AT44">
        <v>0</v>
      </c>
      <c r="AU44">
        <v>0</v>
      </c>
      <c r="AW44">
        <v>45322</v>
      </c>
      <c r="AX44">
        <v>0</v>
      </c>
      <c r="AY44" s="3">
        <v>0</v>
      </c>
      <c r="AZ44">
        <v>0</v>
      </c>
      <c r="BA44">
        <v>0</v>
      </c>
      <c r="BB44">
        <v>0</v>
      </c>
      <c r="BC44">
        <v>0</v>
      </c>
      <c r="BD44" t="s">
        <v>1282</v>
      </c>
      <c r="BE44">
        <v>45322</v>
      </c>
      <c r="BF44">
        <v>0</v>
      </c>
      <c r="BG44" s="3">
        <v>0</v>
      </c>
      <c r="BH44" s="9">
        <v>0</v>
      </c>
      <c r="BI44" s="9">
        <v>0</v>
      </c>
      <c r="BJ44" s="9">
        <v>0</v>
      </c>
      <c r="BK44" s="9">
        <v>0</v>
      </c>
      <c r="BL44" s="9"/>
      <c r="BM44">
        <v>45322</v>
      </c>
      <c r="BN44">
        <v>0</v>
      </c>
      <c r="BO44" s="3">
        <v>0</v>
      </c>
      <c r="BP44" s="9">
        <v>0</v>
      </c>
      <c r="BQ44" s="9">
        <v>0</v>
      </c>
      <c r="BR44" s="9">
        <v>0</v>
      </c>
      <c r="BS44" s="9">
        <v>0</v>
      </c>
      <c r="BT44" s="9"/>
      <c r="BU44">
        <v>45322</v>
      </c>
      <c r="BV44">
        <v>0</v>
      </c>
      <c r="BW44" s="3">
        <v>0</v>
      </c>
      <c r="BX44">
        <v>0</v>
      </c>
      <c r="BY44">
        <v>0</v>
      </c>
      <c r="BZ44">
        <v>0</v>
      </c>
      <c r="CA44">
        <v>0</v>
      </c>
      <c r="CC44" s="3">
        <v>45317</v>
      </c>
      <c r="CD44" s="9">
        <v>11424631.951888137</v>
      </c>
      <c r="CE44" s="9">
        <v>243134.94120418077</v>
      </c>
      <c r="CF44" s="9">
        <v>188519.89688419976</v>
      </c>
      <c r="CG44" s="9">
        <v>5882.449515307484</v>
      </c>
      <c r="CH44" s="9">
        <v>437537.28760368802</v>
      </c>
      <c r="CI44" s="9">
        <v>11236112.055003935</v>
      </c>
      <c r="CL44">
        <v>0</v>
      </c>
      <c r="CM44">
        <v>0</v>
      </c>
    </row>
    <row r="45" spans="1:91" x14ac:dyDescent="0.3">
      <c r="A45" s="3">
        <v>45338</v>
      </c>
      <c r="B45">
        <v>4120833.3899999983</v>
      </c>
      <c r="C45">
        <v>52609.306278999989</v>
      </c>
      <c r="D45">
        <v>95833.33</v>
      </c>
      <c r="E45">
        <v>0</v>
      </c>
      <c r="F45">
        <v>148442.636279</v>
      </c>
      <c r="G45">
        <v>4025000.0599999982</v>
      </c>
      <c r="I45" s="289">
        <v>45337</v>
      </c>
      <c r="J45">
        <v>1700000</v>
      </c>
      <c r="K45">
        <v>18416.666666666668</v>
      </c>
      <c r="L45">
        <v>50000</v>
      </c>
      <c r="M45">
        <v>0</v>
      </c>
      <c r="N45">
        <v>68416.666666666672</v>
      </c>
      <c r="O45">
        <v>1650000</v>
      </c>
      <c r="Q45" s="3">
        <v>45343</v>
      </c>
      <c r="R45">
        <v>1562499.8900000025</v>
      </c>
      <c r="S45" s="3">
        <v>16927.082141666695</v>
      </c>
      <c r="T45">
        <v>104166.67</v>
      </c>
      <c r="U45">
        <v>0</v>
      </c>
      <c r="V45">
        <v>121093.75214166669</v>
      </c>
      <c r="W45">
        <v>1458333.2200000023</v>
      </c>
      <c r="Y45">
        <v>45351</v>
      </c>
      <c r="Z45">
        <v>229814.7599999994</v>
      </c>
      <c r="AA45" s="3">
        <v>6422.5067646099924</v>
      </c>
      <c r="AB45">
        <v>13518.52</v>
      </c>
      <c r="AC45">
        <v>0</v>
      </c>
      <c r="AD45">
        <v>19941.026764609993</v>
      </c>
      <c r="AE45">
        <v>216296.23999999941</v>
      </c>
      <c r="AG45">
        <v>45348</v>
      </c>
      <c r="AH45">
        <v>3073886.2313067573</v>
      </c>
      <c r="AI45" s="3">
        <v>112709.16181458112</v>
      </c>
      <c r="AJ45">
        <v>-112709.16181458112</v>
      </c>
      <c r="AK45">
        <v>0</v>
      </c>
      <c r="AL45">
        <v>0</v>
      </c>
      <c r="AM45">
        <v>3186595.3931213384</v>
      </c>
      <c r="AO45">
        <v>45351</v>
      </c>
      <c r="AP45">
        <v>0</v>
      </c>
      <c r="AQ45" s="3">
        <v>0</v>
      </c>
      <c r="AR45">
        <v>0</v>
      </c>
      <c r="AS45">
        <v>0</v>
      </c>
      <c r="AT45">
        <v>0</v>
      </c>
      <c r="AU45">
        <v>0</v>
      </c>
      <c r="AW45">
        <v>45351</v>
      </c>
      <c r="AX45">
        <v>0</v>
      </c>
      <c r="AY45" s="3">
        <v>0</v>
      </c>
      <c r="AZ45">
        <v>0</v>
      </c>
      <c r="BA45">
        <v>0</v>
      </c>
      <c r="BB45">
        <v>0</v>
      </c>
      <c r="BC45">
        <v>0</v>
      </c>
      <c r="BE45">
        <v>45351</v>
      </c>
      <c r="BF45">
        <v>0</v>
      </c>
      <c r="BG45" s="3">
        <v>0</v>
      </c>
      <c r="BH45" s="9">
        <v>0</v>
      </c>
      <c r="BI45" s="9">
        <v>0</v>
      </c>
      <c r="BJ45" s="9">
        <v>0</v>
      </c>
      <c r="BK45" s="9">
        <v>0</v>
      </c>
      <c r="BL45" s="9"/>
      <c r="BM45">
        <v>45351</v>
      </c>
      <c r="BN45">
        <v>0</v>
      </c>
      <c r="BO45" s="3">
        <v>0</v>
      </c>
      <c r="BP45" s="9">
        <v>0</v>
      </c>
      <c r="BQ45" s="9">
        <v>0</v>
      </c>
      <c r="BR45" s="9">
        <v>0</v>
      </c>
      <c r="BS45" s="9">
        <v>0</v>
      </c>
      <c r="BT45" s="9"/>
      <c r="BU45">
        <v>45351</v>
      </c>
      <c r="BV45">
        <v>0</v>
      </c>
      <c r="BW45" s="3">
        <v>0</v>
      </c>
      <c r="BX45">
        <v>0</v>
      </c>
      <c r="BY45">
        <v>0</v>
      </c>
      <c r="BZ45">
        <v>0</v>
      </c>
      <c r="CA45">
        <v>0</v>
      </c>
      <c r="CC45" s="3">
        <v>45348</v>
      </c>
      <c r="CD45" s="9">
        <v>11236112.055003935</v>
      </c>
      <c r="CE45" s="9">
        <v>234889.93498737237</v>
      </c>
      <c r="CF45" s="9">
        <v>179652.75305323533</v>
      </c>
      <c r="CG45" s="9">
        <v>4448.8338113356649</v>
      </c>
      <c r="CH45" s="9">
        <v>418991.52185194334</v>
      </c>
      <c r="CI45" s="9">
        <v>11056459.301950701</v>
      </c>
      <c r="CL45">
        <v>0</v>
      </c>
      <c r="CM45">
        <v>0</v>
      </c>
    </row>
    <row r="46" spans="1:91" x14ac:dyDescent="0.3">
      <c r="A46" s="3">
        <v>45367</v>
      </c>
      <c r="B46">
        <v>4025000.0599999982</v>
      </c>
      <c r="C46">
        <v>51385.834099333319</v>
      </c>
      <c r="D46">
        <v>95833.33</v>
      </c>
      <c r="E46">
        <v>0</v>
      </c>
      <c r="F46">
        <v>147219.16409933331</v>
      </c>
      <c r="G46">
        <v>3929166.7299999986</v>
      </c>
      <c r="I46" s="289">
        <v>45366</v>
      </c>
      <c r="J46">
        <v>1650000</v>
      </c>
      <c r="K46">
        <v>17875</v>
      </c>
      <c r="L46">
        <v>50000</v>
      </c>
      <c r="M46">
        <v>0</v>
      </c>
      <c r="N46">
        <v>67875</v>
      </c>
      <c r="O46">
        <v>1600000</v>
      </c>
      <c r="Q46" s="3">
        <v>45372</v>
      </c>
      <c r="R46">
        <v>1458333.2200000023</v>
      </c>
      <c r="S46" s="3">
        <v>15798.609883333362</v>
      </c>
      <c r="T46">
        <v>104166.67</v>
      </c>
      <c r="U46">
        <v>0</v>
      </c>
      <c r="V46">
        <v>119965.27988333337</v>
      </c>
      <c r="W46">
        <v>1354166.5500000026</v>
      </c>
      <c r="Y46">
        <v>45382</v>
      </c>
      <c r="Z46">
        <v>216296.23999999941</v>
      </c>
      <c r="AA46" s="3">
        <v>6044.7121175319908</v>
      </c>
      <c r="AB46">
        <v>13518.52</v>
      </c>
      <c r="AC46">
        <v>0</v>
      </c>
      <c r="AD46">
        <v>19563.232117531992</v>
      </c>
      <c r="AE46">
        <v>202777.71999999945</v>
      </c>
      <c r="AG46">
        <v>45377</v>
      </c>
      <c r="AH46">
        <v>3186595.3931213384</v>
      </c>
      <c r="AI46" s="3">
        <v>116841.83108111574</v>
      </c>
      <c r="AJ46">
        <v>1574681.1489188843</v>
      </c>
      <c r="AK46">
        <v>0</v>
      </c>
      <c r="AL46">
        <v>1691522.98</v>
      </c>
      <c r="AM46">
        <v>1405245.63</v>
      </c>
      <c r="AO46">
        <v>45382</v>
      </c>
      <c r="AP46">
        <v>4199807.28</v>
      </c>
      <c r="AQ46" s="3">
        <v>0</v>
      </c>
      <c r="AR46">
        <v>0</v>
      </c>
      <c r="AS46">
        <v>0</v>
      </c>
      <c r="AT46">
        <v>0</v>
      </c>
      <c r="AU46">
        <v>4199807.28</v>
      </c>
      <c r="AW46">
        <v>45382</v>
      </c>
      <c r="AX46">
        <v>404748.23</v>
      </c>
      <c r="AY46" s="3">
        <v>0</v>
      </c>
      <c r="AZ46">
        <v>0</v>
      </c>
      <c r="BA46">
        <v>0</v>
      </c>
      <c r="BB46">
        <v>0</v>
      </c>
      <c r="BC46">
        <v>404748.23</v>
      </c>
      <c r="BE46">
        <v>45382</v>
      </c>
      <c r="BF46">
        <v>1361469.3</v>
      </c>
      <c r="BG46" s="3">
        <v>0</v>
      </c>
      <c r="BH46" s="9">
        <v>0</v>
      </c>
      <c r="BI46" s="9">
        <v>0</v>
      </c>
      <c r="BJ46" s="9">
        <v>0</v>
      </c>
      <c r="BK46" s="9">
        <v>1361469.3</v>
      </c>
      <c r="BL46" s="9"/>
      <c r="BM46">
        <v>45382</v>
      </c>
      <c r="BN46">
        <v>500000</v>
      </c>
      <c r="BO46" s="3">
        <v>0</v>
      </c>
      <c r="BP46" s="9">
        <v>0</v>
      </c>
      <c r="BQ46" s="9">
        <v>0</v>
      </c>
      <c r="BR46" s="9">
        <v>0</v>
      </c>
      <c r="BS46" s="9">
        <v>500000</v>
      </c>
      <c r="BT46" s="9"/>
      <c r="BU46">
        <v>45382</v>
      </c>
      <c r="BV46">
        <v>1100000</v>
      </c>
      <c r="BW46" s="3">
        <v>0</v>
      </c>
      <c r="BX46">
        <v>0</v>
      </c>
      <c r="BY46">
        <v>0</v>
      </c>
      <c r="BZ46">
        <v>0</v>
      </c>
      <c r="CA46">
        <v>1100000</v>
      </c>
      <c r="CC46" s="3">
        <v>45377</v>
      </c>
      <c r="CD46" s="9">
        <v>18622484.111950703</v>
      </c>
      <c r="CE46" s="9">
        <v>234227.79343254017</v>
      </c>
      <c r="CF46" s="9">
        <v>1868810.2136674623</v>
      </c>
      <c r="CG46" s="9">
        <v>4205.0890001961125</v>
      </c>
      <c r="CH46" s="9">
        <v>2107243.0961001986</v>
      </c>
      <c r="CI46" s="9">
        <v>16547005.284080788</v>
      </c>
      <c r="CL46">
        <v>206668.61420245096</v>
      </c>
      <c r="CM46">
        <v>7566024.8100000024</v>
      </c>
    </row>
    <row r="47" spans="1:91" x14ac:dyDescent="0.3">
      <c r="A47" s="3">
        <v>45398</v>
      </c>
      <c r="B47">
        <v>3929166.7299999986</v>
      </c>
      <c r="C47">
        <v>50162.361919666655</v>
      </c>
      <c r="D47">
        <v>95833.33</v>
      </c>
      <c r="E47">
        <v>0</v>
      </c>
      <c r="F47">
        <v>145995.69191966666</v>
      </c>
      <c r="G47">
        <v>3833333.3999999985</v>
      </c>
      <c r="I47" s="289">
        <v>45397</v>
      </c>
      <c r="J47">
        <v>1600000</v>
      </c>
      <c r="K47">
        <v>17333.333333333332</v>
      </c>
      <c r="L47">
        <v>50000</v>
      </c>
      <c r="M47">
        <v>0</v>
      </c>
      <c r="N47">
        <v>67333.333333333328</v>
      </c>
      <c r="O47">
        <v>1550000</v>
      </c>
      <c r="Q47" s="3">
        <v>45403</v>
      </c>
      <c r="R47">
        <v>1354166.5500000026</v>
      </c>
      <c r="S47" s="3">
        <v>14670.137625000028</v>
      </c>
      <c r="T47">
        <v>104166.67</v>
      </c>
      <c r="U47">
        <v>0</v>
      </c>
      <c r="V47">
        <v>118836.80762500004</v>
      </c>
      <c r="W47">
        <v>1249999.8800000029</v>
      </c>
      <c r="Y47">
        <v>45412</v>
      </c>
      <c r="Z47">
        <v>202777.71999999945</v>
      </c>
      <c r="AA47" s="3">
        <v>5666.9174704539892</v>
      </c>
      <c r="AB47">
        <v>13518.52</v>
      </c>
      <c r="AC47">
        <v>0</v>
      </c>
      <c r="AD47">
        <v>19185.437470453988</v>
      </c>
      <c r="AE47">
        <v>189259.19999999943</v>
      </c>
      <c r="AG47">
        <v>45408</v>
      </c>
      <c r="AH47">
        <v>1405245.63</v>
      </c>
      <c r="AI47" s="3">
        <v>0</v>
      </c>
      <c r="AJ47">
        <v>0</v>
      </c>
      <c r="AK47">
        <v>0</v>
      </c>
      <c r="AM47">
        <v>1405245.63</v>
      </c>
      <c r="AO47">
        <v>45397</v>
      </c>
      <c r="AP47">
        <v>4199807.28</v>
      </c>
      <c r="AQ47" s="3">
        <v>0</v>
      </c>
      <c r="AR47">
        <v>0</v>
      </c>
      <c r="AS47">
        <v>0</v>
      </c>
      <c r="AT47">
        <v>0</v>
      </c>
      <c r="AU47">
        <v>4199807.28</v>
      </c>
      <c r="AW47">
        <v>45408</v>
      </c>
      <c r="AX47">
        <v>404748.23</v>
      </c>
      <c r="AY47" s="3"/>
      <c r="AZ47">
        <v>0</v>
      </c>
      <c r="BA47">
        <v>0</v>
      </c>
      <c r="BB47">
        <v>0</v>
      </c>
      <c r="BC47">
        <v>404748.23</v>
      </c>
      <c r="BE47">
        <v>45408</v>
      </c>
      <c r="BF47">
        <v>1361469.3</v>
      </c>
      <c r="BG47" s="3"/>
      <c r="BH47" s="9">
        <v>0</v>
      </c>
      <c r="BI47" s="9">
        <v>0</v>
      </c>
      <c r="BJ47" s="9">
        <v>0</v>
      </c>
      <c r="BK47" s="9">
        <v>1361469.3</v>
      </c>
      <c r="BL47" s="9"/>
      <c r="BM47">
        <v>45400</v>
      </c>
      <c r="BN47">
        <v>500000</v>
      </c>
      <c r="BO47" s="3">
        <v>15000</v>
      </c>
      <c r="BP47" s="9">
        <v>48262.42</v>
      </c>
      <c r="BQ47" s="9">
        <v>2400</v>
      </c>
      <c r="BR47" s="9">
        <v>65662.42</v>
      </c>
      <c r="BS47" s="9">
        <v>451737.58</v>
      </c>
      <c r="BT47" s="9"/>
      <c r="BU47">
        <v>45400</v>
      </c>
      <c r="BV47">
        <v>1100000</v>
      </c>
      <c r="BW47" s="3">
        <v>0</v>
      </c>
      <c r="BX47">
        <v>0</v>
      </c>
      <c r="BY47">
        <v>0</v>
      </c>
      <c r="BZ47">
        <v>0</v>
      </c>
      <c r="CA47">
        <v>1100000</v>
      </c>
      <c r="CC47" s="3">
        <v>45408</v>
      </c>
      <c r="CD47" s="9">
        <v>16547005.284080788</v>
      </c>
      <c r="CE47" s="9">
        <v>133399.9908862646</v>
      </c>
      <c r="CF47" s="9">
        <v>352694.74097613973</v>
      </c>
      <c r="CG47" s="9">
        <v>7290.7584860496927</v>
      </c>
      <c r="CH47" s="9">
        <v>493385.49034845392</v>
      </c>
      <c r="CI47" s="9">
        <v>16194310.543104649</v>
      </c>
      <c r="CL47">
        <v>0</v>
      </c>
      <c r="CM47">
        <v>0</v>
      </c>
    </row>
    <row r="48" spans="1:91" x14ac:dyDescent="0.3">
      <c r="A48" s="3">
        <v>45428</v>
      </c>
      <c r="B48">
        <v>3833333.3999999985</v>
      </c>
      <c r="C48">
        <v>48938.889739999984</v>
      </c>
      <c r="D48">
        <v>95833.33</v>
      </c>
      <c r="E48">
        <v>0</v>
      </c>
      <c r="F48">
        <v>144772.21973999997</v>
      </c>
      <c r="G48">
        <v>3737500.0699999984</v>
      </c>
      <c r="I48" s="289">
        <v>45427</v>
      </c>
      <c r="J48">
        <v>1550000</v>
      </c>
      <c r="K48">
        <v>16791.666666666668</v>
      </c>
      <c r="L48">
        <v>50000</v>
      </c>
      <c r="M48">
        <v>0</v>
      </c>
      <c r="N48">
        <v>66791.666666666672</v>
      </c>
      <c r="O48">
        <v>1500000</v>
      </c>
      <c r="Q48" s="3">
        <v>45433</v>
      </c>
      <c r="R48">
        <v>1249999.8800000029</v>
      </c>
      <c r="S48" s="3">
        <v>13541.665366666695</v>
      </c>
      <c r="T48">
        <v>104166.67</v>
      </c>
      <c r="U48">
        <v>0</v>
      </c>
      <c r="V48">
        <v>117708.3353666667</v>
      </c>
      <c r="W48">
        <v>1145833.2100000028</v>
      </c>
      <c r="Y48">
        <v>45443</v>
      </c>
      <c r="Z48">
        <v>189259.19999999943</v>
      </c>
      <c r="AA48" s="3">
        <v>5289.1228233759875</v>
      </c>
      <c r="AB48">
        <v>13518.52</v>
      </c>
      <c r="AC48">
        <v>0</v>
      </c>
      <c r="AD48">
        <v>18807.642823375987</v>
      </c>
      <c r="AE48">
        <v>175740.67999999944</v>
      </c>
      <c r="AG48">
        <v>45438</v>
      </c>
      <c r="AH48">
        <v>1405245.63</v>
      </c>
      <c r="AI48" s="3">
        <v>0</v>
      </c>
      <c r="AJ48">
        <v>0</v>
      </c>
      <c r="AK48">
        <v>0</v>
      </c>
      <c r="AM48">
        <v>1405245.63</v>
      </c>
      <c r="AO48">
        <v>45430</v>
      </c>
      <c r="AP48">
        <v>4199807.28</v>
      </c>
      <c r="AQ48" s="3">
        <v>0</v>
      </c>
      <c r="AS48">
        <v>0</v>
      </c>
      <c r="AT48">
        <v>0</v>
      </c>
      <c r="AU48">
        <v>4199807.28</v>
      </c>
      <c r="AW48">
        <v>45430</v>
      </c>
      <c r="AX48">
        <v>404748.23</v>
      </c>
      <c r="AY48" s="3">
        <v>8769.5449833333332</v>
      </c>
      <c r="AZ48">
        <v>4877.4752965410735</v>
      </c>
      <c r="BA48">
        <v>0</v>
      </c>
      <c r="BB48">
        <v>13647.020279874409</v>
      </c>
      <c r="BC48">
        <v>399870.75470345886</v>
      </c>
      <c r="BE48">
        <v>45430</v>
      </c>
      <c r="BF48">
        <v>1361469.3</v>
      </c>
      <c r="BG48" s="3">
        <v>0</v>
      </c>
      <c r="BH48" s="9">
        <v>340367.32</v>
      </c>
      <c r="BI48" s="9">
        <v>0</v>
      </c>
      <c r="BJ48" s="9">
        <v>340367.32</v>
      </c>
      <c r="BK48" s="9">
        <v>1021101.98</v>
      </c>
      <c r="BL48" s="9"/>
      <c r="BM48">
        <v>45430</v>
      </c>
      <c r="BN48">
        <v>451737.58</v>
      </c>
      <c r="BO48" s="3">
        <v>13552.127399999999</v>
      </c>
      <c r="BP48" s="9">
        <v>49941.952215999998</v>
      </c>
      <c r="BQ48" s="9">
        <v>2168.3403840000001</v>
      </c>
      <c r="BR48" s="9">
        <v>65662.42</v>
      </c>
      <c r="BS48" s="9">
        <v>401795.62778400001</v>
      </c>
      <c r="BT48" s="9"/>
      <c r="BU48">
        <v>45430</v>
      </c>
      <c r="BV48">
        <v>1100000</v>
      </c>
      <c r="BW48" s="3">
        <v>0</v>
      </c>
      <c r="BX48">
        <v>0</v>
      </c>
      <c r="BY48">
        <v>0</v>
      </c>
      <c r="BZ48">
        <v>0</v>
      </c>
      <c r="CA48">
        <v>1100000</v>
      </c>
      <c r="CC48" s="3">
        <v>45438</v>
      </c>
      <c r="CD48" s="9">
        <v>16194310.543104649</v>
      </c>
      <c r="CE48" s="9">
        <v>129387.16282139668</v>
      </c>
      <c r="CF48" s="9">
        <v>693697.89833657036</v>
      </c>
      <c r="CG48" s="9">
        <v>5769.0037186166446</v>
      </c>
      <c r="CH48" s="9">
        <v>828854.06487658364</v>
      </c>
      <c r="CI48" s="9">
        <v>15500612.644768076</v>
      </c>
      <c r="CL48">
        <v>0</v>
      </c>
      <c r="CM48">
        <v>0</v>
      </c>
    </row>
    <row r="49" spans="1:91" x14ac:dyDescent="0.3">
      <c r="A49" s="3">
        <v>45459</v>
      </c>
      <c r="B49">
        <v>3737500.0699999984</v>
      </c>
      <c r="C49">
        <v>47715.417560333313</v>
      </c>
      <c r="D49">
        <v>95833.33</v>
      </c>
      <c r="E49">
        <v>0</v>
      </c>
      <c r="F49">
        <v>143548.74756033332</v>
      </c>
      <c r="G49">
        <v>3641666.7399999984</v>
      </c>
      <c r="H49" t="s">
        <v>1291</v>
      </c>
      <c r="I49" s="289">
        <v>45458</v>
      </c>
      <c r="J49">
        <v>1500000</v>
      </c>
      <c r="K49">
        <v>16250</v>
      </c>
      <c r="L49">
        <v>50000</v>
      </c>
      <c r="M49">
        <v>0</v>
      </c>
      <c r="N49">
        <v>66250</v>
      </c>
      <c r="O49">
        <v>1450000</v>
      </c>
      <c r="Q49" s="3">
        <v>45464</v>
      </c>
      <c r="R49">
        <v>1145833.2100000028</v>
      </c>
      <c r="S49" s="3">
        <v>12413.193108333364</v>
      </c>
      <c r="T49">
        <v>104166.67</v>
      </c>
      <c r="U49">
        <v>0</v>
      </c>
      <c r="V49">
        <v>116579.86310833336</v>
      </c>
      <c r="W49">
        <v>1041666.5400000028</v>
      </c>
      <c r="Y49">
        <v>45473</v>
      </c>
      <c r="Z49">
        <v>175740.67999999944</v>
      </c>
      <c r="AA49" s="3">
        <v>4911.3281762979859</v>
      </c>
      <c r="AB49">
        <v>13518.52</v>
      </c>
      <c r="AC49">
        <v>0</v>
      </c>
      <c r="AD49">
        <v>18429.848176297983</v>
      </c>
      <c r="AE49">
        <v>162222.15999999945</v>
      </c>
      <c r="AG49">
        <v>45469</v>
      </c>
      <c r="AH49">
        <v>1405245.63</v>
      </c>
      <c r="AI49" s="3">
        <v>0</v>
      </c>
      <c r="AJ49">
        <v>0</v>
      </c>
      <c r="AK49">
        <v>0</v>
      </c>
      <c r="AM49">
        <v>1405245.63</v>
      </c>
      <c r="AO49">
        <v>45461</v>
      </c>
      <c r="AP49">
        <v>4199807.28</v>
      </c>
      <c r="AQ49" s="3">
        <v>127615.73391666668</v>
      </c>
      <c r="AR49">
        <v>826001.96608333325</v>
      </c>
      <c r="AS49">
        <v>0</v>
      </c>
      <c r="AT49">
        <v>953617.7</v>
      </c>
      <c r="AU49">
        <v>3373805.3139166669</v>
      </c>
      <c r="AW49">
        <v>45461</v>
      </c>
      <c r="AX49">
        <v>399870.75470345886</v>
      </c>
      <c r="AY49" s="3">
        <v>8663.8663519082766</v>
      </c>
      <c r="AZ49">
        <v>4983.1539279661301</v>
      </c>
      <c r="BA49">
        <v>0</v>
      </c>
      <c r="BB49">
        <v>13647.020279874409</v>
      </c>
      <c r="BC49">
        <v>394887.60077549279</v>
      </c>
      <c r="BE49">
        <v>45461</v>
      </c>
      <c r="BF49">
        <v>1021101.98</v>
      </c>
      <c r="BG49" s="3">
        <v>0</v>
      </c>
      <c r="BH49" s="9">
        <v>340367.32</v>
      </c>
      <c r="BI49" s="9">
        <v>0</v>
      </c>
      <c r="BJ49" s="9">
        <v>340367.32</v>
      </c>
      <c r="BK49" s="9">
        <v>680734.65999999992</v>
      </c>
      <c r="BL49" s="9"/>
      <c r="BM49">
        <v>45461</v>
      </c>
      <c r="BN49">
        <v>401795.62778400001</v>
      </c>
      <c r="BO49" s="3">
        <v>12053.86883352</v>
      </c>
      <c r="BP49" s="9">
        <v>51679.932153116803</v>
      </c>
      <c r="BQ49" s="9">
        <v>1928.6190133632001</v>
      </c>
      <c r="BR49" s="9">
        <v>65662.42</v>
      </c>
      <c r="BS49" s="9">
        <v>350115.69563088322</v>
      </c>
      <c r="BT49" s="9"/>
      <c r="BU49">
        <v>45461</v>
      </c>
      <c r="BV49">
        <v>1100000</v>
      </c>
      <c r="BW49" s="3">
        <v>0</v>
      </c>
      <c r="BX49">
        <v>183333.33333333337</v>
      </c>
      <c r="BY49">
        <v>0</v>
      </c>
      <c r="BZ49">
        <v>183333.33333333337</v>
      </c>
      <c r="CA49">
        <v>916666.66666666651</v>
      </c>
      <c r="CC49" s="3">
        <v>45469</v>
      </c>
      <c r="CD49" s="9">
        <v>15500612.644768076</v>
      </c>
      <c r="CE49" s="9">
        <v>250279.36804463959</v>
      </c>
      <c r="CF49" s="9">
        <v>1707020.7517845568</v>
      </c>
      <c r="CG49" s="9">
        <v>5233.5726289759941</v>
      </c>
      <c r="CH49" s="9">
        <v>1962533.6924581721</v>
      </c>
      <c r="CI49" s="9">
        <v>14029667.292983521</v>
      </c>
      <c r="CL49">
        <v>-236075.40000000037</v>
      </c>
      <c r="CM49">
        <v>0</v>
      </c>
    </row>
    <row r="50" spans="1:91" x14ac:dyDescent="0.3">
      <c r="A50" s="3">
        <v>45489</v>
      </c>
      <c r="B50">
        <v>3641666.7399999984</v>
      </c>
      <c r="C50">
        <v>46491.94538066665</v>
      </c>
      <c r="D50">
        <v>95833.33</v>
      </c>
      <c r="E50">
        <v>0</v>
      </c>
      <c r="F50">
        <v>142325.27538066666</v>
      </c>
      <c r="G50">
        <v>3545833.4099999983</v>
      </c>
      <c r="I50" s="289">
        <v>45488</v>
      </c>
      <c r="J50">
        <v>1450000</v>
      </c>
      <c r="K50">
        <v>15708.333333333334</v>
      </c>
      <c r="L50">
        <v>50000</v>
      </c>
      <c r="M50">
        <v>0</v>
      </c>
      <c r="N50">
        <v>65708.333333333328</v>
      </c>
      <c r="O50">
        <v>1400000</v>
      </c>
      <c r="Q50" s="3">
        <v>45494</v>
      </c>
      <c r="R50">
        <v>1041666.5400000028</v>
      </c>
      <c r="S50" s="3">
        <v>11284.720850000032</v>
      </c>
      <c r="T50">
        <v>104166.67</v>
      </c>
      <c r="U50">
        <v>0</v>
      </c>
      <c r="V50">
        <v>115451.39085000004</v>
      </c>
      <c r="W50">
        <v>937499.87000000267</v>
      </c>
      <c r="Y50">
        <v>45504</v>
      </c>
      <c r="Z50">
        <v>162222.15999999945</v>
      </c>
      <c r="AA50" s="3">
        <v>4533.5335292199843</v>
      </c>
      <c r="AB50">
        <v>13518.52</v>
      </c>
      <c r="AC50">
        <v>0</v>
      </c>
      <c r="AD50">
        <v>18052.053529219986</v>
      </c>
      <c r="AE50">
        <v>148703.63999999946</v>
      </c>
      <c r="AG50">
        <v>45499</v>
      </c>
      <c r="AH50">
        <v>1405245.63</v>
      </c>
      <c r="AI50" s="3">
        <v>0</v>
      </c>
      <c r="AJ50">
        <v>0</v>
      </c>
      <c r="AK50">
        <v>0</v>
      </c>
      <c r="AM50">
        <v>1405245.63</v>
      </c>
      <c r="AO50">
        <v>45491</v>
      </c>
      <c r="AP50">
        <v>3373805.3139166669</v>
      </c>
      <c r="AQ50" s="3">
        <v>56230.088500000005</v>
      </c>
      <c r="AR50">
        <v>0</v>
      </c>
      <c r="AS50">
        <v>0</v>
      </c>
      <c r="AT50">
        <v>56230.088500000005</v>
      </c>
      <c r="AU50">
        <v>3373805.3139166669</v>
      </c>
      <c r="AW50">
        <v>45491</v>
      </c>
      <c r="AX50">
        <v>394887.60077549279</v>
      </c>
      <c r="AY50" s="3">
        <v>8555.8980168023445</v>
      </c>
      <c r="AZ50">
        <v>5091.1222630720622</v>
      </c>
      <c r="BA50">
        <v>0</v>
      </c>
      <c r="BB50">
        <v>13647.020279874409</v>
      </c>
      <c r="BC50">
        <v>389796.47851242073</v>
      </c>
      <c r="BE50">
        <v>45491</v>
      </c>
      <c r="BF50">
        <v>680734.65999999992</v>
      </c>
      <c r="BG50" s="3">
        <v>0</v>
      </c>
      <c r="BH50" s="9">
        <v>340367.32</v>
      </c>
      <c r="BI50" s="9">
        <v>0</v>
      </c>
      <c r="BJ50" s="9">
        <v>340367.32</v>
      </c>
      <c r="BK50" s="9">
        <v>340367.33999999991</v>
      </c>
      <c r="BL50" s="9"/>
      <c r="BM50">
        <v>45491</v>
      </c>
      <c r="BN50">
        <v>350115.69563088322</v>
      </c>
      <c r="BO50" s="3">
        <v>10503.470868926495</v>
      </c>
      <c r="BP50" s="9">
        <v>53478.393792045266</v>
      </c>
      <c r="BQ50" s="9">
        <v>1680.5553390282394</v>
      </c>
      <c r="BR50" s="9">
        <v>65662.42</v>
      </c>
      <c r="BS50" s="9">
        <v>296637.30183883797</v>
      </c>
      <c r="BT50" s="9"/>
      <c r="BU50">
        <v>45491</v>
      </c>
      <c r="BV50">
        <v>916666.66666666651</v>
      </c>
      <c r="BW50" s="3">
        <v>0</v>
      </c>
      <c r="BX50">
        <v>183333.33333333337</v>
      </c>
      <c r="BY50">
        <v>0</v>
      </c>
      <c r="BZ50">
        <v>183333.33333333337</v>
      </c>
      <c r="CA50">
        <v>733333.33333333326</v>
      </c>
      <c r="CC50" s="3">
        <v>45499</v>
      </c>
      <c r="CD50" s="9">
        <v>14029667.292983521</v>
      </c>
      <c r="CE50" s="9">
        <v>176355.77157089856</v>
      </c>
      <c r="CF50" s="9">
        <v>974116.86332178907</v>
      </c>
      <c r="CG50" s="9">
        <v>5368.2003137401916</v>
      </c>
      <c r="CH50" s="9">
        <v>1077149.0352064278</v>
      </c>
      <c r="CI50" s="9">
        <v>13055550.42966173</v>
      </c>
      <c r="CL50">
        <v>0</v>
      </c>
      <c r="CM50">
        <v>0</v>
      </c>
    </row>
    <row r="51" spans="1:91" x14ac:dyDescent="0.3">
      <c r="A51" s="3">
        <v>45520</v>
      </c>
      <c r="B51">
        <v>3545833.4099999983</v>
      </c>
      <c r="C51">
        <v>45268.473200999979</v>
      </c>
      <c r="D51">
        <v>95833.33</v>
      </c>
      <c r="E51">
        <v>0</v>
      </c>
      <c r="F51">
        <v>141101.80320099997</v>
      </c>
      <c r="G51">
        <v>3450000.0799999982</v>
      </c>
      <c r="I51" s="289">
        <v>45519</v>
      </c>
      <c r="J51">
        <v>1400000</v>
      </c>
      <c r="K51">
        <v>15166.666666666668</v>
      </c>
      <c r="L51">
        <v>50000</v>
      </c>
      <c r="M51">
        <v>0</v>
      </c>
      <c r="N51">
        <v>65166.666666666672</v>
      </c>
      <c r="O51">
        <v>1350000</v>
      </c>
      <c r="Q51" s="3">
        <v>45525</v>
      </c>
      <c r="R51">
        <v>937499.87000000267</v>
      </c>
      <c r="S51" s="3">
        <v>10156.248591666696</v>
      </c>
      <c r="T51">
        <v>104166.67</v>
      </c>
      <c r="U51">
        <v>0</v>
      </c>
      <c r="V51">
        <v>114322.91859166668</v>
      </c>
      <c r="W51">
        <v>833333.20000000251</v>
      </c>
      <c r="Y51">
        <v>45535</v>
      </c>
      <c r="Z51">
        <v>148703.63999999946</v>
      </c>
      <c r="AA51" s="3">
        <v>4155.7388821419827</v>
      </c>
      <c r="AB51">
        <v>13518.52</v>
      </c>
      <c r="AC51">
        <v>0</v>
      </c>
      <c r="AD51">
        <v>17674.258882141985</v>
      </c>
      <c r="AE51">
        <v>135185.11999999947</v>
      </c>
      <c r="AG51">
        <v>45530</v>
      </c>
      <c r="AH51">
        <v>1405245.63</v>
      </c>
      <c r="AI51" s="3">
        <v>0</v>
      </c>
      <c r="AJ51">
        <v>0</v>
      </c>
      <c r="AK51">
        <v>0</v>
      </c>
      <c r="AM51">
        <v>1405245.63</v>
      </c>
      <c r="AO51">
        <v>45522</v>
      </c>
      <c r="AP51">
        <v>3373805.3139166669</v>
      </c>
      <c r="AQ51" s="3">
        <v>59978.761066666681</v>
      </c>
      <c r="AR51">
        <v>319400.00999999995</v>
      </c>
      <c r="AS51">
        <v>0</v>
      </c>
      <c r="AT51">
        <v>379378.77106666664</v>
      </c>
      <c r="AU51">
        <v>3054405.3039166671</v>
      </c>
      <c r="AW51">
        <v>45522</v>
      </c>
      <c r="AX51">
        <v>389796.47851242073</v>
      </c>
      <c r="AY51" s="3">
        <v>8445.5903677691167</v>
      </c>
      <c r="AZ51">
        <v>5201.42991210529</v>
      </c>
      <c r="BA51">
        <v>0</v>
      </c>
      <c r="BB51">
        <v>13647.020279874409</v>
      </c>
      <c r="BC51">
        <v>384595.04860031547</v>
      </c>
      <c r="BE51">
        <v>45522</v>
      </c>
      <c r="BF51">
        <v>340367.33999999991</v>
      </c>
      <c r="BG51" s="3">
        <v>0</v>
      </c>
      <c r="BH51" s="9">
        <v>340367.32</v>
      </c>
      <c r="BI51" s="9">
        <v>0</v>
      </c>
      <c r="BJ51" s="9">
        <v>340367.32</v>
      </c>
      <c r="BK51" s="9">
        <v>1.999999990221113E-2</v>
      </c>
      <c r="BL51" s="9"/>
      <c r="BM51">
        <v>45522</v>
      </c>
      <c r="BN51">
        <v>296637.30183883797</v>
      </c>
      <c r="BO51" s="3">
        <v>8899.119055165138</v>
      </c>
      <c r="BP51" s="9">
        <v>55339.441896008437</v>
      </c>
      <c r="BQ51" s="9">
        <v>1423.8590488264222</v>
      </c>
      <c r="BR51" s="9">
        <v>65662.42</v>
      </c>
      <c r="BS51" s="9">
        <v>241297.85994282953</v>
      </c>
      <c r="BT51" s="9"/>
      <c r="BU51">
        <v>45522</v>
      </c>
      <c r="BV51">
        <v>733333.33333333326</v>
      </c>
      <c r="BW51" s="3">
        <v>0</v>
      </c>
      <c r="BX51">
        <v>183333.33333333337</v>
      </c>
      <c r="BY51">
        <v>0</v>
      </c>
      <c r="BZ51">
        <v>183333.33333333337</v>
      </c>
      <c r="CA51">
        <v>549999.99999999988</v>
      </c>
      <c r="CC51" s="3">
        <v>45530</v>
      </c>
      <c r="CD51" s="9">
        <v>13055550.42966173</v>
      </c>
      <c r="CE51" s="9">
        <v>168143.52334805316</v>
      </c>
      <c r="CF51" s="9">
        <v>1209612.9015417539</v>
      </c>
      <c r="CG51" s="9">
        <v>3995.5271315427294</v>
      </c>
      <c r="CH51" s="9">
        <v>1381751.9520213497</v>
      </c>
      <c r="CI51" s="9">
        <v>11845937.528119976</v>
      </c>
      <c r="CL51">
        <v>0</v>
      </c>
      <c r="CM51">
        <v>0</v>
      </c>
    </row>
    <row r="52" spans="1:91" x14ac:dyDescent="0.3">
      <c r="A52" s="3">
        <v>45551</v>
      </c>
      <c r="B52">
        <v>3450000.0799999982</v>
      </c>
      <c r="C52">
        <v>44045.001021333315</v>
      </c>
      <c r="D52">
        <v>95833.33</v>
      </c>
      <c r="E52">
        <v>0</v>
      </c>
      <c r="F52">
        <v>139878.33102133332</v>
      </c>
      <c r="G52">
        <v>3354166.7499999981</v>
      </c>
      <c r="H52" t="s">
        <v>1291</v>
      </c>
      <c r="I52" s="289">
        <v>45550</v>
      </c>
      <c r="J52">
        <v>1350000</v>
      </c>
      <c r="K52">
        <v>14625</v>
      </c>
      <c r="L52">
        <v>50000</v>
      </c>
      <c r="M52">
        <v>0</v>
      </c>
      <c r="N52">
        <v>64625</v>
      </c>
      <c r="O52">
        <v>1300000</v>
      </c>
      <c r="Q52" s="3">
        <v>45556</v>
      </c>
      <c r="R52">
        <v>833333.20000000251</v>
      </c>
      <c r="S52" s="3">
        <v>9027.7763333333623</v>
      </c>
      <c r="T52">
        <v>104166.67</v>
      </c>
      <c r="U52">
        <v>0</v>
      </c>
      <c r="V52">
        <v>113194.44633333336</v>
      </c>
      <c r="W52">
        <v>729166.53000000259</v>
      </c>
      <c r="Y52">
        <v>45565</v>
      </c>
      <c r="Z52">
        <v>135185.11999999947</v>
      </c>
      <c r="AA52" s="3">
        <v>3777.9442350639806</v>
      </c>
      <c r="AB52">
        <v>13518.52</v>
      </c>
      <c r="AC52">
        <v>0</v>
      </c>
      <c r="AD52">
        <v>17296.464235063981</v>
      </c>
      <c r="AE52">
        <v>121666.59999999948</v>
      </c>
      <c r="AG52">
        <v>45561</v>
      </c>
      <c r="AH52">
        <v>1405245.63</v>
      </c>
      <c r="AI52" s="3">
        <v>0</v>
      </c>
      <c r="AJ52">
        <v>0</v>
      </c>
      <c r="AK52">
        <v>0</v>
      </c>
      <c r="AM52">
        <v>1405245.63</v>
      </c>
      <c r="AO52">
        <v>45553</v>
      </c>
      <c r="AP52">
        <v>3054405.3039166671</v>
      </c>
      <c r="AQ52" s="3">
        <v>50906.755000000019</v>
      </c>
      <c r="AR52">
        <v>381800.66</v>
      </c>
      <c r="AS52">
        <v>0</v>
      </c>
      <c r="AT52">
        <v>432707.41499999998</v>
      </c>
      <c r="AU52">
        <v>2672604.643916667</v>
      </c>
      <c r="AW52">
        <v>45553</v>
      </c>
      <c r="AX52">
        <v>384595.04860031547</v>
      </c>
      <c r="AY52" s="3">
        <v>8332.8927196735021</v>
      </c>
      <c r="AZ52">
        <v>5314.1275602009046</v>
      </c>
      <c r="BA52">
        <v>0</v>
      </c>
      <c r="BB52">
        <v>13647.020279874409</v>
      </c>
      <c r="BC52">
        <v>379280.92104011454</v>
      </c>
      <c r="BE52">
        <v>45553</v>
      </c>
      <c r="BF52">
        <v>0</v>
      </c>
      <c r="BG52" s="3">
        <v>0</v>
      </c>
      <c r="BH52" s="9">
        <v>0</v>
      </c>
      <c r="BI52" s="9">
        <v>0</v>
      </c>
      <c r="BJ52" s="9">
        <v>0</v>
      </c>
      <c r="BK52" s="9">
        <v>0</v>
      </c>
      <c r="BL52" s="9"/>
      <c r="BM52">
        <v>45553</v>
      </c>
      <c r="BN52">
        <v>241297.85994282953</v>
      </c>
      <c r="BO52" s="3">
        <v>7238.935798284886</v>
      </c>
      <c r="BP52" s="9">
        <v>57265.254473989531</v>
      </c>
      <c r="BQ52" s="9">
        <v>1158.2297277255818</v>
      </c>
      <c r="BR52" s="9">
        <v>65662.42</v>
      </c>
      <c r="BS52" s="9">
        <v>184032.60546883999</v>
      </c>
      <c r="BT52" s="9">
        <v>929.99000000000524</v>
      </c>
      <c r="BU52">
        <v>45553</v>
      </c>
      <c r="BV52">
        <v>549999.99999999988</v>
      </c>
      <c r="BW52" s="3">
        <v>0</v>
      </c>
      <c r="BX52">
        <v>183333.33333333337</v>
      </c>
      <c r="BY52">
        <v>0</v>
      </c>
      <c r="BZ52">
        <v>183333.33333333337</v>
      </c>
      <c r="CA52">
        <v>366666.66666666645</v>
      </c>
      <c r="CC52" s="3">
        <v>45561</v>
      </c>
      <c r="CD52" s="9">
        <v>11845937.508119976</v>
      </c>
      <c r="CE52" s="9">
        <v>151785.02294687694</v>
      </c>
      <c r="CF52" s="9">
        <v>975631.60267406597</v>
      </c>
      <c r="CG52" s="9">
        <v>3371.144581995638</v>
      </c>
      <c r="CH52" s="9">
        <v>1091441.8702029383</v>
      </c>
      <c r="CI52" s="9">
        <v>10870305.905445907</v>
      </c>
      <c r="CL52">
        <v>0</v>
      </c>
      <c r="CM52">
        <v>-1.9999999552965164E-2</v>
      </c>
    </row>
    <row r="53" spans="1:91" x14ac:dyDescent="0.3">
      <c r="A53" s="3">
        <v>45581</v>
      </c>
      <c r="B53">
        <v>3354166.7499999981</v>
      </c>
      <c r="C53">
        <v>42821.528841666637</v>
      </c>
      <c r="D53">
        <v>95833.33</v>
      </c>
      <c r="E53">
        <v>0</v>
      </c>
      <c r="F53">
        <v>138654.85884166666</v>
      </c>
      <c r="G53">
        <v>3258333.4199999981</v>
      </c>
      <c r="I53" s="289">
        <v>45580</v>
      </c>
      <c r="J53">
        <v>1300000</v>
      </c>
      <c r="K53">
        <v>14083.333333333334</v>
      </c>
      <c r="L53">
        <v>50000</v>
      </c>
      <c r="M53">
        <v>0</v>
      </c>
      <c r="N53">
        <v>64083.333333333336</v>
      </c>
      <c r="O53">
        <v>1250000</v>
      </c>
      <c r="Q53" s="3">
        <v>45586</v>
      </c>
      <c r="R53">
        <v>729166.53000000259</v>
      </c>
      <c r="S53" s="3">
        <v>7899.3040750000291</v>
      </c>
      <c r="T53">
        <v>104166.67</v>
      </c>
      <c r="U53">
        <v>0</v>
      </c>
      <c r="V53">
        <v>112065.97407500002</v>
      </c>
      <c r="W53">
        <v>624999.86000000255</v>
      </c>
      <c r="Y53">
        <v>45596</v>
      </c>
      <c r="Z53">
        <v>121666.59999999948</v>
      </c>
      <c r="AA53" s="3">
        <v>3400.149587985979</v>
      </c>
      <c r="AB53">
        <v>13518.52</v>
      </c>
      <c r="AC53">
        <v>0</v>
      </c>
      <c r="AD53">
        <v>16918.66958798598</v>
      </c>
      <c r="AE53">
        <v>108148.07999999946</v>
      </c>
      <c r="AG53">
        <v>45591</v>
      </c>
      <c r="AH53">
        <v>1405245.63</v>
      </c>
      <c r="AI53" s="3">
        <v>0</v>
      </c>
      <c r="AJ53">
        <v>0</v>
      </c>
      <c r="AK53">
        <v>0</v>
      </c>
      <c r="AM53">
        <v>1405245.63</v>
      </c>
      <c r="AO53">
        <v>45583</v>
      </c>
      <c r="AP53">
        <v>2672604.643916667</v>
      </c>
      <c r="AQ53" s="3">
        <v>44543.410666666678</v>
      </c>
      <c r="AR53">
        <v>381800.66</v>
      </c>
      <c r="AS53">
        <v>0</v>
      </c>
      <c r="AT53">
        <v>426344.07066666667</v>
      </c>
      <c r="AU53">
        <v>2290803.9839166668</v>
      </c>
      <c r="AW53">
        <v>45583</v>
      </c>
      <c r="AX53">
        <v>379280.92104011454</v>
      </c>
      <c r="AY53" s="3">
        <v>8217.7532892024828</v>
      </c>
      <c r="AZ53">
        <v>5429.2669906719238</v>
      </c>
      <c r="BA53">
        <v>0</v>
      </c>
      <c r="BB53">
        <v>13647.020279874409</v>
      </c>
      <c r="BC53">
        <v>373851.65404944262</v>
      </c>
      <c r="BE53">
        <v>45583</v>
      </c>
      <c r="BF53">
        <v>0</v>
      </c>
      <c r="BG53" s="3">
        <v>0</v>
      </c>
      <c r="BH53" s="9">
        <v>0</v>
      </c>
      <c r="BI53" s="9">
        <v>0</v>
      </c>
      <c r="BJ53" s="9">
        <v>0</v>
      </c>
      <c r="BK53" s="9">
        <v>0</v>
      </c>
      <c r="BL53" s="9"/>
      <c r="BM53">
        <v>45583</v>
      </c>
      <c r="BN53">
        <v>184032.60546883999</v>
      </c>
      <c r="BO53" s="3">
        <v>5520.9781640651991</v>
      </c>
      <c r="BP53" s="9">
        <v>59258.085329684363</v>
      </c>
      <c r="BQ53" s="9">
        <v>883.35650625043183</v>
      </c>
      <c r="BR53" s="9">
        <v>65662.42</v>
      </c>
      <c r="BS53" s="9">
        <v>124774.52013915562</v>
      </c>
      <c r="BT53" s="9">
        <v>66592.41</v>
      </c>
      <c r="BU53">
        <v>45583</v>
      </c>
      <c r="BV53">
        <v>366666.66666666645</v>
      </c>
      <c r="BW53" s="3">
        <v>0</v>
      </c>
      <c r="BX53">
        <v>183333.33333333337</v>
      </c>
      <c r="BY53">
        <v>0</v>
      </c>
      <c r="BZ53">
        <v>183333.33333333337</v>
      </c>
      <c r="CA53">
        <v>183333.33333333317</v>
      </c>
      <c r="CC53" s="3">
        <v>45591</v>
      </c>
      <c r="CD53" s="9">
        <v>10870305.905445907</v>
      </c>
      <c r="CE53" s="9">
        <v>140411.6766888469</v>
      </c>
      <c r="CF53" s="9">
        <v>992904.31192581472</v>
      </c>
      <c r="CG53" s="9">
        <v>3111.3915031986839</v>
      </c>
      <c r="CH53" s="9">
        <v>1097081.4801178605</v>
      </c>
      <c r="CI53" s="9">
        <v>9877401.5935200956</v>
      </c>
      <c r="CL53">
        <v>0</v>
      </c>
      <c r="CM53">
        <v>0</v>
      </c>
    </row>
    <row r="54" spans="1:91" x14ac:dyDescent="0.3">
      <c r="A54" s="3">
        <v>45612</v>
      </c>
      <c r="B54">
        <v>3258333.4199999981</v>
      </c>
      <c r="C54">
        <v>41598.056661999981</v>
      </c>
      <c r="D54">
        <v>95833.33</v>
      </c>
      <c r="E54">
        <v>0</v>
      </c>
      <c r="F54">
        <v>137431.38666199998</v>
      </c>
      <c r="G54">
        <v>3162500.089999998</v>
      </c>
      <c r="I54" s="289">
        <v>45611</v>
      </c>
      <c r="J54">
        <v>1250000</v>
      </c>
      <c r="K54">
        <v>13541.666666666668</v>
      </c>
      <c r="L54">
        <v>50000</v>
      </c>
      <c r="M54">
        <v>0</v>
      </c>
      <c r="N54">
        <v>63541.666666666672</v>
      </c>
      <c r="O54">
        <v>1200000</v>
      </c>
      <c r="Q54" s="3">
        <v>45617</v>
      </c>
      <c r="R54">
        <v>624999.86000000255</v>
      </c>
      <c r="S54" s="3">
        <v>6770.8318166666941</v>
      </c>
      <c r="T54">
        <v>104166.67</v>
      </c>
      <c r="U54">
        <v>0</v>
      </c>
      <c r="V54">
        <v>110937.50181666669</v>
      </c>
      <c r="W54">
        <v>520833.19000000256</v>
      </c>
      <c r="Y54">
        <v>45626</v>
      </c>
      <c r="Z54">
        <v>108148.07999999946</v>
      </c>
      <c r="AA54" s="3">
        <v>3022.3549409079774</v>
      </c>
      <c r="AB54">
        <v>13518.52</v>
      </c>
      <c r="AC54">
        <v>0</v>
      </c>
      <c r="AD54">
        <v>16540.874940907979</v>
      </c>
      <c r="AE54">
        <v>94629.559999999459</v>
      </c>
      <c r="AG54">
        <v>45622</v>
      </c>
      <c r="AH54">
        <v>1405245.63</v>
      </c>
      <c r="AI54" s="3">
        <v>0</v>
      </c>
      <c r="AJ54">
        <v>0</v>
      </c>
      <c r="AK54">
        <v>0</v>
      </c>
      <c r="AM54">
        <v>1405245.63</v>
      </c>
      <c r="AO54">
        <v>45614</v>
      </c>
      <c r="AP54">
        <v>2290803.9839166668</v>
      </c>
      <c r="AQ54" s="3">
        <v>40725.404088888899</v>
      </c>
      <c r="AR54">
        <v>381800.66</v>
      </c>
      <c r="AS54">
        <v>0</v>
      </c>
      <c r="AT54">
        <v>422526.06408888887</v>
      </c>
      <c r="AU54">
        <v>1909003.3239166669</v>
      </c>
      <c r="AW54">
        <v>45614</v>
      </c>
      <c r="AX54">
        <v>373851.65404944262</v>
      </c>
      <c r="AY54" s="3">
        <v>8100.1191710712574</v>
      </c>
      <c r="AZ54">
        <v>5546.9011088031493</v>
      </c>
      <c r="BA54">
        <v>0</v>
      </c>
      <c r="BB54">
        <v>13647.020279874409</v>
      </c>
      <c r="BC54">
        <v>368304.75294063945</v>
      </c>
      <c r="BE54">
        <v>45614</v>
      </c>
      <c r="BF54">
        <v>0</v>
      </c>
      <c r="BG54" s="3">
        <v>0</v>
      </c>
      <c r="BH54" s="9">
        <v>0</v>
      </c>
      <c r="BI54" s="9">
        <v>0</v>
      </c>
      <c r="BJ54" s="9">
        <v>0</v>
      </c>
      <c r="BK54" s="9">
        <v>0</v>
      </c>
      <c r="BL54" s="9"/>
      <c r="BM54">
        <v>45614</v>
      </c>
      <c r="BN54">
        <v>124774.52013915562</v>
      </c>
      <c r="BO54" s="3">
        <v>3743.2356041746689</v>
      </c>
      <c r="BP54" s="9">
        <v>61320.266699157386</v>
      </c>
      <c r="BQ54" s="9">
        <v>598.91769666794698</v>
      </c>
      <c r="BR54" s="9">
        <v>65662.42</v>
      </c>
      <c r="BS54" s="9">
        <v>63454.253439998232</v>
      </c>
      <c r="BT54" s="9"/>
      <c r="BU54">
        <v>45614</v>
      </c>
      <c r="BV54">
        <v>183333.33333333317</v>
      </c>
      <c r="BW54" s="3">
        <v>0</v>
      </c>
      <c r="BX54">
        <v>183333.33333333337</v>
      </c>
      <c r="BY54">
        <v>0</v>
      </c>
      <c r="BZ54">
        <v>183333.33333333337</v>
      </c>
      <c r="CA54">
        <v>0</v>
      </c>
      <c r="CC54" s="3">
        <v>45622</v>
      </c>
      <c r="CD54" s="9">
        <v>9877401.5935200956</v>
      </c>
      <c r="CE54" s="9">
        <v>125772.27717459814</v>
      </c>
      <c r="CF54" s="9">
        <v>986369.11560119654</v>
      </c>
      <c r="CG54" s="9">
        <v>1922.2150125434689</v>
      </c>
      <c r="CH54" s="9">
        <v>1074717.707788338</v>
      </c>
      <c r="CI54" s="9">
        <v>8891032.4779188987</v>
      </c>
      <c r="CL54">
        <v>0</v>
      </c>
      <c r="CM54">
        <v>0</v>
      </c>
    </row>
    <row r="55" spans="1:91" x14ac:dyDescent="0.3">
      <c r="A55" s="3">
        <v>45642</v>
      </c>
      <c r="B55">
        <v>3162500.089999998</v>
      </c>
      <c r="C55">
        <v>40374.58448233331</v>
      </c>
      <c r="D55">
        <v>95833.33</v>
      </c>
      <c r="E55">
        <v>0</v>
      </c>
      <c r="F55">
        <v>136207.91448233332</v>
      </c>
      <c r="G55">
        <v>3066666.7599999979</v>
      </c>
      <c r="I55" s="289">
        <v>45641</v>
      </c>
      <c r="J55">
        <v>1200000</v>
      </c>
      <c r="K55">
        <v>13000</v>
      </c>
      <c r="L55">
        <v>50000</v>
      </c>
      <c r="M55">
        <v>0</v>
      </c>
      <c r="N55">
        <v>63000</v>
      </c>
      <c r="O55">
        <v>1150000</v>
      </c>
      <c r="Q55" s="3">
        <v>45647</v>
      </c>
      <c r="R55">
        <v>520833.19000000256</v>
      </c>
      <c r="S55" s="3">
        <v>5642.3595583333617</v>
      </c>
      <c r="T55">
        <v>104166.67</v>
      </c>
      <c r="U55">
        <v>0</v>
      </c>
      <c r="V55">
        <v>109809.02955833336</v>
      </c>
      <c r="W55">
        <v>416666.52000000258</v>
      </c>
      <c r="Y55">
        <v>45657</v>
      </c>
      <c r="Z55">
        <v>94629.559999999459</v>
      </c>
      <c r="AA55" s="3">
        <v>2644.5602938299753</v>
      </c>
      <c r="AB55">
        <v>13518.52</v>
      </c>
      <c r="AC55">
        <v>0</v>
      </c>
      <c r="AD55">
        <v>16163.080293829977</v>
      </c>
      <c r="AE55">
        <v>81111.039999999455</v>
      </c>
      <c r="AG55">
        <v>45652</v>
      </c>
      <c r="AH55">
        <v>1405245.63</v>
      </c>
      <c r="AI55" s="3">
        <v>0</v>
      </c>
      <c r="AJ55">
        <v>0</v>
      </c>
      <c r="AK55">
        <v>0</v>
      </c>
      <c r="AM55">
        <v>1405245.63</v>
      </c>
      <c r="AO55">
        <v>45644</v>
      </c>
      <c r="AP55">
        <v>1909003.3239166669</v>
      </c>
      <c r="AQ55" s="3">
        <v>30756.164600000007</v>
      </c>
      <c r="AR55">
        <v>381800.66</v>
      </c>
      <c r="AS55">
        <v>0</v>
      </c>
      <c r="AT55">
        <v>412556.82459999999</v>
      </c>
      <c r="AU55">
        <v>1527202.663916667</v>
      </c>
      <c r="AW55">
        <v>45644</v>
      </c>
      <c r="AX55">
        <v>368304.75294063945</v>
      </c>
      <c r="AY55" s="3">
        <v>7979.9363137138562</v>
      </c>
      <c r="AZ55">
        <v>5667.0839661605514</v>
      </c>
      <c r="BA55">
        <v>0</v>
      </c>
      <c r="BB55">
        <v>13647.020279874409</v>
      </c>
      <c r="BC55">
        <v>362637.6689744789</v>
      </c>
      <c r="BE55">
        <v>45644</v>
      </c>
      <c r="BF55">
        <v>0</v>
      </c>
      <c r="BG55" s="3">
        <v>0</v>
      </c>
      <c r="BH55" s="9">
        <v>0</v>
      </c>
      <c r="BI55" s="9">
        <v>0</v>
      </c>
      <c r="BJ55" s="9">
        <v>0</v>
      </c>
      <c r="BK55" s="9">
        <v>0</v>
      </c>
      <c r="BL55" s="9"/>
      <c r="BM55">
        <v>37608</v>
      </c>
      <c r="BN55">
        <v>63454.253439998232</v>
      </c>
      <c r="BO55" s="3">
        <v>1903.6276031999469</v>
      </c>
      <c r="BP55" s="9">
        <v>63454.211980288062</v>
      </c>
      <c r="BQ55" s="9">
        <v>304.58041651199153</v>
      </c>
      <c r="BR55" s="9">
        <v>65662.42</v>
      </c>
      <c r="BS55" s="9">
        <v>4.1459710169874597E-2</v>
      </c>
      <c r="BT55" s="9"/>
      <c r="BU55">
        <v>37608</v>
      </c>
      <c r="BV55">
        <v>0</v>
      </c>
      <c r="BW55" s="3">
        <v>0</v>
      </c>
      <c r="BX55">
        <v>0</v>
      </c>
      <c r="BY55">
        <v>0</v>
      </c>
      <c r="BZ55">
        <v>0</v>
      </c>
      <c r="CA55">
        <v>0</v>
      </c>
      <c r="CC55" s="3">
        <v>45652</v>
      </c>
      <c r="CD55" s="9">
        <v>8891032.4779188987</v>
      </c>
      <c r="CE55" s="9">
        <v>108794.85505046546</v>
      </c>
      <c r="CF55" s="9">
        <v>822625.5741955447</v>
      </c>
      <c r="CG55" s="9">
        <v>1343.5599683607925</v>
      </c>
      <c r="CH55" s="9">
        <v>893418.08921437117</v>
      </c>
      <c r="CI55" s="9">
        <v>8068406.9037233517</v>
      </c>
      <c r="CL55">
        <v>0</v>
      </c>
      <c r="CM55">
        <v>0</v>
      </c>
    </row>
    <row r="56" spans="1:91" x14ac:dyDescent="0.3">
      <c r="A56" s="3">
        <v>45673</v>
      </c>
      <c r="B56">
        <v>3066666.7599999979</v>
      </c>
      <c r="C56">
        <v>39151.112302666639</v>
      </c>
      <c r="D56">
        <v>95833.33</v>
      </c>
      <c r="E56">
        <v>0</v>
      </c>
      <c r="F56">
        <v>134984.44230266663</v>
      </c>
      <c r="G56">
        <v>2970833.4299999974</v>
      </c>
      <c r="I56" s="289">
        <v>45672</v>
      </c>
      <c r="J56">
        <v>1150000</v>
      </c>
      <c r="K56">
        <v>12458.333333333334</v>
      </c>
      <c r="L56">
        <v>50000</v>
      </c>
      <c r="M56">
        <v>0</v>
      </c>
      <c r="N56">
        <v>62458.333333333336</v>
      </c>
      <c r="O56">
        <v>1100000</v>
      </c>
      <c r="Q56" s="3">
        <v>45678</v>
      </c>
      <c r="R56">
        <v>416666.52000000258</v>
      </c>
      <c r="S56" s="3">
        <v>4513.8873000000285</v>
      </c>
      <c r="T56">
        <v>104166.67</v>
      </c>
      <c r="U56">
        <v>0</v>
      </c>
      <c r="V56">
        <v>108680.55730000004</v>
      </c>
      <c r="W56">
        <v>312499.8500000026</v>
      </c>
      <c r="Y56">
        <v>45688</v>
      </c>
      <c r="Z56">
        <v>81111.039999999455</v>
      </c>
      <c r="AA56" s="3">
        <v>2266.7656467519732</v>
      </c>
      <c r="AB56">
        <v>13518.52</v>
      </c>
      <c r="AC56">
        <v>0</v>
      </c>
      <c r="AD56">
        <v>15785.285646751974</v>
      </c>
      <c r="AE56">
        <v>67592.519999999451</v>
      </c>
      <c r="AG56">
        <v>45683</v>
      </c>
      <c r="AH56">
        <v>1405245.63</v>
      </c>
      <c r="AI56" s="3">
        <v>0</v>
      </c>
      <c r="AJ56">
        <v>0</v>
      </c>
      <c r="AK56">
        <v>0</v>
      </c>
      <c r="AM56">
        <v>1405245.63</v>
      </c>
      <c r="AO56">
        <v>45675</v>
      </c>
      <c r="AP56">
        <v>1527202.663916667</v>
      </c>
      <c r="AQ56" s="3">
        <v>27998.715433333349</v>
      </c>
      <c r="AR56">
        <v>381800.66</v>
      </c>
      <c r="AS56">
        <v>0</v>
      </c>
      <c r="AT56">
        <v>409799.37543333333</v>
      </c>
      <c r="AU56">
        <v>1145402.0039166673</v>
      </c>
      <c r="AW56">
        <v>45675</v>
      </c>
      <c r="AX56">
        <v>362637.6689744789</v>
      </c>
      <c r="AY56" s="3">
        <v>7857.1494944470433</v>
      </c>
      <c r="AZ56">
        <v>5789.8707854273634</v>
      </c>
      <c r="BA56">
        <v>0</v>
      </c>
      <c r="BB56">
        <v>13647.020279874409</v>
      </c>
      <c r="BC56">
        <v>356847.79818905157</v>
      </c>
      <c r="BE56">
        <v>45675</v>
      </c>
      <c r="BF56">
        <v>0</v>
      </c>
      <c r="BG56" s="3">
        <v>0</v>
      </c>
      <c r="BH56" s="9">
        <v>0</v>
      </c>
      <c r="BI56" s="9">
        <v>0</v>
      </c>
      <c r="BJ56" s="9">
        <v>0</v>
      </c>
      <c r="BK56" s="9">
        <v>0</v>
      </c>
      <c r="BL56" s="9"/>
      <c r="BM56">
        <v>45683</v>
      </c>
      <c r="BN56">
        <v>0</v>
      </c>
      <c r="BO56" s="3">
        <v>0</v>
      </c>
      <c r="BP56" s="9">
        <v>0</v>
      </c>
      <c r="BQ56" s="9">
        <v>0</v>
      </c>
      <c r="BR56" s="9">
        <v>0</v>
      </c>
      <c r="BS56" s="9">
        <v>0</v>
      </c>
      <c r="BT56" s="9"/>
      <c r="BU56">
        <v>45683</v>
      </c>
      <c r="BV56">
        <v>0</v>
      </c>
      <c r="BW56" s="3">
        <v>0</v>
      </c>
      <c r="BX56">
        <v>0</v>
      </c>
      <c r="BY56">
        <v>0</v>
      </c>
      <c r="BZ56">
        <v>0</v>
      </c>
      <c r="CA56">
        <v>0</v>
      </c>
      <c r="CC56" s="3">
        <v>45683</v>
      </c>
      <c r="CD56" s="9">
        <v>8068406.8622636413</v>
      </c>
      <c r="CE56" s="9">
        <v>96160.498535283725</v>
      </c>
      <c r="CF56" s="9">
        <v>709985.63015671575</v>
      </c>
      <c r="CG56" s="9">
        <v>306.32560396021489</v>
      </c>
      <c r="CH56" s="9">
        <v>806452.45429595979</v>
      </c>
      <c r="CI56" s="9">
        <v>7358421.2321069269</v>
      </c>
      <c r="CL56">
        <v>0</v>
      </c>
      <c r="CM56">
        <v>-4.1459710337221622E-2</v>
      </c>
    </row>
    <row r="57" spans="1:91" x14ac:dyDescent="0.3">
      <c r="A57" s="3">
        <v>45704</v>
      </c>
      <c r="B57">
        <v>2970833.4299999974</v>
      </c>
      <c r="C57">
        <v>37927.640122999976</v>
      </c>
      <c r="D57">
        <v>95833.33</v>
      </c>
      <c r="E57">
        <v>0</v>
      </c>
      <c r="F57">
        <v>133760.97012299998</v>
      </c>
      <c r="G57">
        <v>2875000.0999999978</v>
      </c>
      <c r="I57" s="289">
        <v>45703</v>
      </c>
      <c r="J57">
        <v>1100000</v>
      </c>
      <c r="K57">
        <v>11916.666666666668</v>
      </c>
      <c r="L57">
        <v>50000</v>
      </c>
      <c r="M57">
        <v>0</v>
      </c>
      <c r="N57">
        <v>61916.666666666672</v>
      </c>
      <c r="O57">
        <v>1050000</v>
      </c>
      <c r="Q57" s="3">
        <v>45709</v>
      </c>
      <c r="R57">
        <v>312499.8500000026</v>
      </c>
      <c r="S57" s="3">
        <v>3385.4150416666948</v>
      </c>
      <c r="T57">
        <v>104166.67</v>
      </c>
      <c r="U57">
        <v>0</v>
      </c>
      <c r="V57">
        <v>107552.08504166668</v>
      </c>
      <c r="W57">
        <v>208333.18000000261</v>
      </c>
      <c r="Y57">
        <v>45716</v>
      </c>
      <c r="Z57">
        <v>67592.519999999451</v>
      </c>
      <c r="AA57" s="3">
        <v>1888.9709996739712</v>
      </c>
      <c r="AB57">
        <v>13518.52</v>
      </c>
      <c r="AC57">
        <v>0</v>
      </c>
      <c r="AD57">
        <v>15407.490999673972</v>
      </c>
      <c r="AE57">
        <v>54073.999999999447</v>
      </c>
      <c r="AG57">
        <v>45714</v>
      </c>
      <c r="AH57">
        <v>1405245.63</v>
      </c>
      <c r="AI57" s="3">
        <v>0</v>
      </c>
      <c r="AJ57">
        <v>0</v>
      </c>
      <c r="AK57">
        <v>0</v>
      </c>
      <c r="AM57">
        <v>1405245.63</v>
      </c>
      <c r="AO57">
        <v>45706</v>
      </c>
      <c r="AP57">
        <v>1145402.0039166673</v>
      </c>
      <c r="AQ57" s="3">
        <v>18453.698888888899</v>
      </c>
      <c r="AR57">
        <v>381800.66</v>
      </c>
      <c r="AS57">
        <v>0</v>
      </c>
      <c r="AT57">
        <v>400254.35888888891</v>
      </c>
      <c r="AU57">
        <v>763601.34391666716</v>
      </c>
      <c r="AW57">
        <v>45706</v>
      </c>
      <c r="AX57">
        <v>356847.79818905157</v>
      </c>
      <c r="AY57" s="3">
        <v>7731.7022940961187</v>
      </c>
      <c r="AZ57">
        <v>5915.3179857782889</v>
      </c>
      <c r="BA57">
        <v>0</v>
      </c>
      <c r="BB57">
        <v>13647.020279874409</v>
      </c>
      <c r="BC57">
        <v>350932.4802032733</v>
      </c>
      <c r="BE57">
        <v>45706</v>
      </c>
      <c r="BF57">
        <v>0</v>
      </c>
      <c r="BG57" s="3">
        <v>0</v>
      </c>
      <c r="BH57" s="9">
        <v>0</v>
      </c>
      <c r="BI57" s="9">
        <v>0</v>
      </c>
      <c r="BJ57" s="9">
        <v>0</v>
      </c>
      <c r="BK57" s="9">
        <v>0</v>
      </c>
      <c r="BL57" s="9"/>
      <c r="BM57">
        <v>45714</v>
      </c>
      <c r="BN57">
        <v>0</v>
      </c>
      <c r="BO57" s="3">
        <v>0</v>
      </c>
      <c r="BP57" s="9">
        <v>0</v>
      </c>
      <c r="BQ57" s="9">
        <v>0</v>
      </c>
      <c r="BR57" s="9">
        <v>0</v>
      </c>
      <c r="BS57" s="9">
        <v>0</v>
      </c>
      <c r="BT57" s="9"/>
      <c r="BU57">
        <v>45714</v>
      </c>
      <c r="BV57">
        <v>0</v>
      </c>
      <c r="BW57" s="3">
        <v>0</v>
      </c>
      <c r="BX57">
        <v>0</v>
      </c>
      <c r="BY57">
        <v>0</v>
      </c>
      <c r="BZ57">
        <v>0</v>
      </c>
      <c r="CA57">
        <v>0</v>
      </c>
      <c r="CC57" s="3">
        <v>45714</v>
      </c>
      <c r="CD57" s="9">
        <v>7358421.232105718</v>
      </c>
      <c r="CE57" s="9">
        <v>81304.094013992333</v>
      </c>
      <c r="CF57" s="9">
        <v>651234.49798577826</v>
      </c>
      <c r="CG57" s="9">
        <v>0</v>
      </c>
      <c r="CH57" s="9">
        <v>732538.59199977061</v>
      </c>
      <c r="CI57" s="9">
        <v>6707186.7341199415</v>
      </c>
      <c r="CL57">
        <v>0</v>
      </c>
      <c r="CM57">
        <v>-1.2088567018508911E-6</v>
      </c>
    </row>
    <row r="58" spans="1:91" x14ac:dyDescent="0.3">
      <c r="A58" s="3">
        <v>45732</v>
      </c>
      <c r="B58">
        <v>2875000.0999999978</v>
      </c>
      <c r="C58">
        <v>36704.167943333305</v>
      </c>
      <c r="D58">
        <v>95833.33</v>
      </c>
      <c r="E58">
        <v>0</v>
      </c>
      <c r="F58">
        <v>132537.49794333329</v>
      </c>
      <c r="G58">
        <v>2779166.7699999977</v>
      </c>
      <c r="I58" s="289">
        <v>45731</v>
      </c>
      <c r="J58">
        <v>1050000</v>
      </c>
      <c r="K58">
        <v>11375</v>
      </c>
      <c r="L58">
        <v>50000</v>
      </c>
      <c r="M58">
        <v>0</v>
      </c>
      <c r="N58">
        <v>61375</v>
      </c>
      <c r="O58">
        <v>1000000</v>
      </c>
      <c r="Q58" s="3">
        <v>45737</v>
      </c>
      <c r="R58">
        <v>208333.18000000261</v>
      </c>
      <c r="S58" s="3">
        <v>2256.9427833333616</v>
      </c>
      <c r="T58">
        <v>104166.67</v>
      </c>
      <c r="U58">
        <v>0</v>
      </c>
      <c r="V58">
        <v>106423.61278333336</v>
      </c>
      <c r="W58">
        <v>104166.5100000026</v>
      </c>
      <c r="Y58">
        <v>45747</v>
      </c>
      <c r="Z58">
        <v>54073.999999999447</v>
      </c>
      <c r="AA58" s="3">
        <v>1511.1763525959691</v>
      </c>
      <c r="AB58">
        <v>13518.52</v>
      </c>
      <c r="AC58">
        <v>0</v>
      </c>
      <c r="AD58">
        <v>15029.696352595967</v>
      </c>
      <c r="AE58">
        <v>40555.479999999443</v>
      </c>
      <c r="AG58">
        <v>45742</v>
      </c>
      <c r="AH58">
        <v>1405245.63</v>
      </c>
      <c r="AI58" s="3">
        <v>0</v>
      </c>
      <c r="AJ58">
        <v>0</v>
      </c>
      <c r="AK58">
        <v>0</v>
      </c>
      <c r="AM58">
        <v>1405245.63</v>
      </c>
      <c r="AO58">
        <v>45734</v>
      </c>
      <c r="AP58">
        <v>763601.34391666716</v>
      </c>
      <c r="AQ58" s="3">
        <v>11878.243066666681</v>
      </c>
      <c r="AR58">
        <v>381800.66</v>
      </c>
      <c r="AS58">
        <v>0</v>
      </c>
      <c r="AT58">
        <v>393678.90306666674</v>
      </c>
      <c r="AU58">
        <v>381800.68391666719</v>
      </c>
      <c r="AW58">
        <v>45734</v>
      </c>
      <c r="AX58">
        <v>350932.4802032733</v>
      </c>
      <c r="AY58" s="3">
        <v>7603.5370710709212</v>
      </c>
      <c r="AZ58">
        <v>6043.4832088034846</v>
      </c>
      <c r="BA58">
        <v>0</v>
      </c>
      <c r="BB58">
        <v>13647.020279874409</v>
      </c>
      <c r="BC58">
        <v>344888.99699446984</v>
      </c>
      <c r="BE58">
        <v>45734</v>
      </c>
      <c r="BF58">
        <v>0</v>
      </c>
      <c r="BG58" s="3">
        <v>0</v>
      </c>
      <c r="BH58" s="9">
        <v>0</v>
      </c>
      <c r="BI58" s="9">
        <v>0</v>
      </c>
      <c r="BJ58" s="9">
        <v>0</v>
      </c>
      <c r="BK58" s="9">
        <v>0</v>
      </c>
      <c r="BL58" s="9"/>
      <c r="BM58">
        <v>45742</v>
      </c>
      <c r="BN58">
        <v>0</v>
      </c>
      <c r="BO58" s="3">
        <v>0</v>
      </c>
      <c r="BP58" s="9">
        <v>0</v>
      </c>
      <c r="BQ58" s="9">
        <v>0</v>
      </c>
      <c r="BR58" s="9">
        <v>0</v>
      </c>
      <c r="BS58" s="9">
        <v>0</v>
      </c>
      <c r="BT58" s="9"/>
      <c r="BU58">
        <v>45742</v>
      </c>
      <c r="BV58">
        <v>0</v>
      </c>
      <c r="BW58" s="3">
        <v>0</v>
      </c>
      <c r="BX58">
        <v>0</v>
      </c>
      <c r="BY58">
        <v>0</v>
      </c>
      <c r="BZ58">
        <v>0</v>
      </c>
      <c r="CA58">
        <v>0</v>
      </c>
      <c r="CC58" s="3">
        <v>45742</v>
      </c>
      <c r="CD58" s="9">
        <v>6707186.7341199415</v>
      </c>
      <c r="CE58" s="9">
        <v>71329.067217000236</v>
      </c>
      <c r="CF58" s="9">
        <v>651362.66320880339</v>
      </c>
      <c r="CG58" s="9">
        <v>0</v>
      </c>
      <c r="CH58" s="9">
        <v>722691.73042580381</v>
      </c>
      <c r="CI58" s="9">
        <v>6055824.0709111374</v>
      </c>
      <c r="CL58">
        <v>0</v>
      </c>
      <c r="CM58">
        <v>0</v>
      </c>
    </row>
    <row r="59" spans="1:91" x14ac:dyDescent="0.3">
      <c r="A59" s="3">
        <v>45763</v>
      </c>
      <c r="B59">
        <v>2779166.7699999977</v>
      </c>
      <c r="C59">
        <v>35480.695763666641</v>
      </c>
      <c r="D59">
        <v>95833.33</v>
      </c>
      <c r="E59">
        <v>0</v>
      </c>
      <c r="F59">
        <v>131314.02576366664</v>
      </c>
      <c r="G59">
        <v>2683333.4399999976</v>
      </c>
      <c r="I59" s="289">
        <v>45762</v>
      </c>
      <c r="J59">
        <v>1000000</v>
      </c>
      <c r="K59">
        <v>10833.333333333334</v>
      </c>
      <c r="L59">
        <v>50000</v>
      </c>
      <c r="M59">
        <v>0</v>
      </c>
      <c r="N59">
        <v>60833.333333333336</v>
      </c>
      <c r="O59">
        <v>950000</v>
      </c>
      <c r="Q59" s="3">
        <v>45768</v>
      </c>
      <c r="R59">
        <v>104166.5100000026</v>
      </c>
      <c r="S59" s="3">
        <v>1128.4705250000284</v>
      </c>
      <c r="T59">
        <v>104166.67</v>
      </c>
      <c r="U59">
        <v>0</v>
      </c>
      <c r="V59">
        <v>105295.14052500002</v>
      </c>
      <c r="W59">
        <v>-0.15999999738414772</v>
      </c>
      <c r="Y59">
        <v>45777</v>
      </c>
      <c r="Z59">
        <v>40555.479999999443</v>
      </c>
      <c r="AA59" s="3">
        <v>1133.3817055179672</v>
      </c>
      <c r="AB59">
        <v>13518.52</v>
      </c>
      <c r="AC59">
        <v>0</v>
      </c>
      <c r="AD59">
        <v>14651.901705517968</v>
      </c>
      <c r="AE59">
        <v>27036.959999999443</v>
      </c>
      <c r="AG59">
        <v>45773</v>
      </c>
      <c r="AH59">
        <v>1405245.63</v>
      </c>
      <c r="AI59" s="3">
        <v>0</v>
      </c>
      <c r="AJ59">
        <v>0</v>
      </c>
      <c r="AK59">
        <v>0</v>
      </c>
      <c r="AM59">
        <v>1405245.63</v>
      </c>
      <c r="AO59">
        <v>45765</v>
      </c>
      <c r="AP59">
        <v>381800.68391666719</v>
      </c>
      <c r="AQ59" s="3">
        <v>7211.7906222222364</v>
      </c>
      <c r="AR59">
        <v>381800.68</v>
      </c>
      <c r="AS59">
        <v>0</v>
      </c>
      <c r="AT59">
        <v>389012.47062222223</v>
      </c>
      <c r="AU59">
        <v>3.9166671922430396E-3</v>
      </c>
      <c r="AW59">
        <v>45765</v>
      </c>
      <c r="AX59">
        <v>344888.99699446984</v>
      </c>
      <c r="AY59" s="3">
        <v>7472.5949348801805</v>
      </c>
      <c r="AZ59">
        <v>6174.4253449942262</v>
      </c>
      <c r="BA59">
        <v>0</v>
      </c>
      <c r="BB59">
        <v>13647.020279874409</v>
      </c>
      <c r="BC59">
        <v>338714.57164947561</v>
      </c>
      <c r="BE59">
        <v>45765</v>
      </c>
      <c r="BF59">
        <v>0</v>
      </c>
      <c r="BG59" s="3">
        <v>0</v>
      </c>
      <c r="BH59" s="9">
        <v>0</v>
      </c>
      <c r="BI59" s="9">
        <v>0</v>
      </c>
      <c r="BJ59" s="9">
        <v>0</v>
      </c>
      <c r="BK59" s="9">
        <v>0</v>
      </c>
      <c r="BL59" s="9"/>
      <c r="BM59">
        <v>45773</v>
      </c>
      <c r="BN59">
        <v>0</v>
      </c>
      <c r="BO59" s="3">
        <v>0</v>
      </c>
      <c r="BP59" s="9">
        <v>0</v>
      </c>
      <c r="BQ59" s="9">
        <v>0</v>
      </c>
      <c r="BR59" s="9">
        <v>0</v>
      </c>
      <c r="BS59" s="9">
        <v>0</v>
      </c>
      <c r="BT59" s="9"/>
      <c r="BU59">
        <v>45773</v>
      </c>
      <c r="BV59">
        <v>0</v>
      </c>
      <c r="BW59" s="3">
        <v>0</v>
      </c>
      <c r="BX59">
        <v>0</v>
      </c>
      <c r="BY59">
        <v>0</v>
      </c>
      <c r="BZ59">
        <v>0</v>
      </c>
      <c r="CA59">
        <v>0</v>
      </c>
      <c r="CC59" s="3">
        <v>45773</v>
      </c>
      <c r="CD59" s="9">
        <v>6055824.0709111374</v>
      </c>
      <c r="CE59" s="9">
        <v>63260.266884620389</v>
      </c>
      <c r="CF59" s="9">
        <v>651493.62534499413</v>
      </c>
      <c r="CG59" s="9">
        <v>0</v>
      </c>
      <c r="CH59" s="9">
        <v>714753.89222961466</v>
      </c>
      <c r="CI59" s="9">
        <v>5404330.445566142</v>
      </c>
      <c r="CL59">
        <v>0</v>
      </c>
      <c r="CM59">
        <v>0</v>
      </c>
    </row>
    <row r="60" spans="1:91" x14ac:dyDescent="0.3">
      <c r="A60" s="3">
        <v>45793</v>
      </c>
      <c r="B60">
        <v>2683333.4399999976</v>
      </c>
      <c r="C60">
        <v>34257.22358399997</v>
      </c>
      <c r="D60">
        <v>95833.33</v>
      </c>
      <c r="E60">
        <v>0</v>
      </c>
      <c r="F60">
        <v>130090.55358399998</v>
      </c>
      <c r="G60">
        <v>2587500.1099999975</v>
      </c>
      <c r="I60" s="289">
        <v>45792</v>
      </c>
      <c r="J60">
        <v>950000</v>
      </c>
      <c r="K60">
        <v>10291.666666666668</v>
      </c>
      <c r="L60">
        <v>50000</v>
      </c>
      <c r="M60">
        <v>0</v>
      </c>
      <c r="N60">
        <v>60291.666666666672</v>
      </c>
      <c r="O60">
        <v>900000</v>
      </c>
      <c r="S60" s="3"/>
      <c r="Y60">
        <v>45808</v>
      </c>
      <c r="Z60">
        <v>27036.959999999443</v>
      </c>
      <c r="AA60" s="3">
        <v>755.5870584399654</v>
      </c>
      <c r="AB60">
        <v>13518.52</v>
      </c>
      <c r="AC60">
        <v>0</v>
      </c>
      <c r="AD60">
        <v>14274.107058439966</v>
      </c>
      <c r="AE60">
        <v>13518.439999999442</v>
      </c>
      <c r="AG60">
        <v>45803</v>
      </c>
      <c r="AH60">
        <v>1405245.63</v>
      </c>
      <c r="AI60" s="3">
        <v>0</v>
      </c>
      <c r="AJ60">
        <v>0</v>
      </c>
      <c r="AK60">
        <v>0</v>
      </c>
      <c r="AM60">
        <v>1405245.63</v>
      </c>
      <c r="AO60">
        <v>45795</v>
      </c>
      <c r="AP60">
        <v>3.9166671922430396E-3</v>
      </c>
      <c r="AQ60" s="3">
        <v>3.3333333170351882E-4</v>
      </c>
      <c r="AR60">
        <v>0</v>
      </c>
      <c r="AS60">
        <v>0</v>
      </c>
      <c r="AT60">
        <v>3.3333333170351882E-4</v>
      </c>
      <c r="AU60">
        <v>3.9166671922430396E-3</v>
      </c>
      <c r="AW60">
        <v>45795</v>
      </c>
      <c r="AX60">
        <v>338714.57164947561</v>
      </c>
      <c r="AY60" s="3">
        <v>7338.815719071973</v>
      </c>
      <c r="AZ60">
        <v>6308.2045608024346</v>
      </c>
      <c r="BA60">
        <v>0</v>
      </c>
      <c r="BB60">
        <v>13647.020279874409</v>
      </c>
      <c r="BC60">
        <v>332406.36708867317</v>
      </c>
      <c r="BE60">
        <v>45795</v>
      </c>
      <c r="BF60">
        <v>0</v>
      </c>
      <c r="BG60" s="3">
        <v>0</v>
      </c>
      <c r="BH60" s="9">
        <v>0</v>
      </c>
      <c r="BI60" s="9">
        <v>0</v>
      </c>
      <c r="BJ60" s="9">
        <v>0</v>
      </c>
      <c r="BK60" s="9">
        <v>0</v>
      </c>
      <c r="BL60" s="9"/>
      <c r="BM60">
        <v>45803</v>
      </c>
      <c r="BN60">
        <v>0</v>
      </c>
      <c r="BO60" s="3">
        <v>0</v>
      </c>
      <c r="BP60" s="9">
        <v>0</v>
      </c>
      <c r="BQ60" s="9">
        <v>0</v>
      </c>
      <c r="BR60" s="9">
        <v>0</v>
      </c>
      <c r="BS60" s="9">
        <v>0</v>
      </c>
      <c r="BT60" s="9"/>
      <c r="BU60">
        <v>45803</v>
      </c>
      <c r="BV60">
        <v>0</v>
      </c>
      <c r="BW60" s="3">
        <v>0</v>
      </c>
      <c r="BX60">
        <v>0</v>
      </c>
      <c r="BY60">
        <v>0</v>
      </c>
      <c r="BZ60">
        <v>0</v>
      </c>
      <c r="CA60">
        <v>0</v>
      </c>
      <c r="CC60" s="3">
        <v>45803</v>
      </c>
      <c r="CD60" s="9">
        <v>5404330.6055661403</v>
      </c>
      <c r="CE60" s="9">
        <v>52643.293361511904</v>
      </c>
      <c r="CF60" s="9">
        <v>165660.05456080244</v>
      </c>
      <c r="CG60" s="9">
        <v>0</v>
      </c>
      <c r="CH60" s="9">
        <v>218303.34792231437</v>
      </c>
      <c r="CI60" s="9">
        <v>5238670.5510053374</v>
      </c>
      <c r="CL60">
        <v>0</v>
      </c>
      <c r="CM60">
        <v>0.15999999828636646</v>
      </c>
    </row>
    <row r="61" spans="1:91" x14ac:dyDescent="0.3">
      <c r="A61" s="3">
        <v>45824</v>
      </c>
      <c r="B61">
        <v>2587500.1099999975</v>
      </c>
      <c r="C61">
        <v>33033.751404333307</v>
      </c>
      <c r="D61">
        <v>95833.33</v>
      </c>
      <c r="E61">
        <v>0</v>
      </c>
      <c r="F61">
        <v>128867.08140433332</v>
      </c>
      <c r="G61">
        <v>2491666.7799999975</v>
      </c>
      <c r="I61" s="289">
        <v>45823</v>
      </c>
      <c r="J61">
        <v>900000</v>
      </c>
      <c r="K61">
        <v>9750</v>
      </c>
      <c r="L61">
        <v>50000</v>
      </c>
      <c r="M61">
        <v>0</v>
      </c>
      <c r="N61">
        <v>59750</v>
      </c>
      <c r="O61">
        <v>850000</v>
      </c>
      <c r="S61" s="3"/>
      <c r="Y61">
        <v>45838</v>
      </c>
      <c r="Z61">
        <v>13518.439999999442</v>
      </c>
      <c r="AA61" s="3">
        <v>377.79241136196362</v>
      </c>
      <c r="AB61">
        <v>13518.44</v>
      </c>
      <c r="AC61">
        <v>0</v>
      </c>
      <c r="AD61">
        <v>13896.232411361963</v>
      </c>
      <c r="AE61">
        <v>-5.5842974688857794E-10</v>
      </c>
      <c r="AG61">
        <v>45834</v>
      </c>
      <c r="AH61">
        <v>1405245.63</v>
      </c>
      <c r="AI61">
        <v>0</v>
      </c>
      <c r="AJ61">
        <v>0</v>
      </c>
      <c r="AK61">
        <v>0</v>
      </c>
      <c r="AM61">
        <v>1405245.63</v>
      </c>
      <c r="AQ61" s="3"/>
      <c r="AW61">
        <v>45826</v>
      </c>
      <c r="AX61">
        <v>332406.36708867317</v>
      </c>
      <c r="AY61" s="3">
        <v>7202.1379535879187</v>
      </c>
      <c r="AZ61">
        <v>6444.882326286488</v>
      </c>
      <c r="BA61">
        <v>0</v>
      </c>
      <c r="BB61">
        <v>13647.020279874409</v>
      </c>
      <c r="BC61">
        <v>325961.48476238671</v>
      </c>
      <c r="BE61">
        <v>45826</v>
      </c>
      <c r="BF61">
        <v>0</v>
      </c>
      <c r="BG61" s="3">
        <v>0</v>
      </c>
      <c r="BH61" s="9">
        <v>0</v>
      </c>
      <c r="BI61" s="9">
        <v>0</v>
      </c>
      <c r="BJ61" s="9">
        <v>0</v>
      </c>
      <c r="BK61" s="9">
        <v>0</v>
      </c>
      <c r="BL61" s="9"/>
      <c r="BO61" s="3"/>
      <c r="BP61" s="9"/>
      <c r="BQ61" s="9"/>
      <c r="BR61" s="9"/>
      <c r="BS61" s="9"/>
      <c r="BT61" s="9"/>
      <c r="BW61" s="3"/>
      <c r="CC61" s="3">
        <v>45834</v>
      </c>
      <c r="CD61" s="9">
        <v>5238670.5470886696</v>
      </c>
      <c r="CE61" s="9">
        <v>50363.68176928319</v>
      </c>
      <c r="CF61" s="9">
        <v>165796.65232628651</v>
      </c>
      <c r="CG61" s="9">
        <v>0</v>
      </c>
      <c r="CH61" s="9">
        <v>216160.33409556968</v>
      </c>
      <c r="CI61" s="9">
        <v>5072873.8947623828</v>
      </c>
      <c r="CL61">
        <v>0</v>
      </c>
      <c r="CM61">
        <v>-3.9166677743196487E-3</v>
      </c>
    </row>
    <row r="62" spans="1:91" x14ac:dyDescent="0.3">
      <c r="A62" s="3">
        <v>45854</v>
      </c>
      <c r="B62">
        <v>2491666.7799999975</v>
      </c>
      <c r="C62">
        <v>31810.279224666636</v>
      </c>
      <c r="D62">
        <v>95833.33</v>
      </c>
      <c r="E62">
        <v>0</v>
      </c>
      <c r="F62">
        <v>127643.60922466664</v>
      </c>
      <c r="G62">
        <v>2395833.4499999974</v>
      </c>
      <c r="I62" s="289">
        <v>45853</v>
      </c>
      <c r="J62">
        <v>850000</v>
      </c>
      <c r="K62">
        <v>9208.3333333333339</v>
      </c>
      <c r="L62">
        <v>50000</v>
      </c>
      <c r="M62">
        <v>0</v>
      </c>
      <c r="N62">
        <v>59208.333333333336</v>
      </c>
      <c r="O62">
        <v>800000</v>
      </c>
      <c r="S62" s="3"/>
      <c r="AA62" s="3"/>
      <c r="AG62">
        <v>45864</v>
      </c>
      <c r="AH62">
        <v>1405245.63</v>
      </c>
      <c r="AI62">
        <v>0</v>
      </c>
      <c r="AJ62">
        <v>0</v>
      </c>
      <c r="AK62">
        <v>0</v>
      </c>
      <c r="AM62">
        <v>1405245.63</v>
      </c>
      <c r="AQ62" s="3"/>
      <c r="AW62">
        <v>45856</v>
      </c>
      <c r="AX62">
        <v>325961.48476238671</v>
      </c>
      <c r="AY62" s="3">
        <v>7062.498836518379</v>
      </c>
      <c r="AZ62">
        <v>6584.5214433560277</v>
      </c>
      <c r="BA62">
        <v>0</v>
      </c>
      <c r="BB62">
        <v>13647.020279874409</v>
      </c>
      <c r="BC62">
        <v>319376.96331903071</v>
      </c>
      <c r="BE62">
        <v>45856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O62" s="3"/>
      <c r="BP62" s="9"/>
      <c r="BQ62" s="9"/>
      <c r="BR62" s="9"/>
      <c r="BS62" s="9"/>
      <c r="BT62" s="9"/>
      <c r="BW62" s="3"/>
      <c r="CC62" s="3">
        <v>45864</v>
      </c>
      <c r="CD62" s="9">
        <v>5072873.8947623838</v>
      </c>
      <c r="CE62" s="9">
        <v>48081.111394518353</v>
      </c>
      <c r="CF62" s="62">
        <v>152417.85144335605</v>
      </c>
      <c r="CG62" s="9">
        <v>0</v>
      </c>
      <c r="CH62" s="9">
        <v>200498.96283787439</v>
      </c>
      <c r="CI62" s="9">
        <v>4920456.0433190279</v>
      </c>
      <c r="CL62">
        <v>0</v>
      </c>
      <c r="CM62">
        <v>0</v>
      </c>
    </row>
    <row r="63" spans="1:91" x14ac:dyDescent="0.3">
      <c r="A63" s="3">
        <v>45885</v>
      </c>
      <c r="B63">
        <v>2395833.4499999974</v>
      </c>
      <c r="C63">
        <v>30586.807044999969</v>
      </c>
      <c r="D63">
        <v>95833.33</v>
      </c>
      <c r="E63">
        <v>0</v>
      </c>
      <c r="F63">
        <v>126420.13704499997</v>
      </c>
      <c r="G63">
        <v>2300000.1199999973</v>
      </c>
      <c r="I63" s="289">
        <v>45884</v>
      </c>
      <c r="J63">
        <v>800000</v>
      </c>
      <c r="K63">
        <v>8666.6666666666661</v>
      </c>
      <c r="L63">
        <v>50000</v>
      </c>
      <c r="M63">
        <v>0</v>
      </c>
      <c r="N63">
        <v>58666.666666666664</v>
      </c>
      <c r="O63">
        <v>750000</v>
      </c>
      <c r="S63" s="3"/>
      <c r="AA63" s="3"/>
      <c r="AG63">
        <v>45895</v>
      </c>
      <c r="AH63">
        <v>1405245.63</v>
      </c>
      <c r="AI63">
        <v>0</v>
      </c>
      <c r="AJ63">
        <v>0</v>
      </c>
      <c r="AK63">
        <v>0</v>
      </c>
      <c r="AM63">
        <v>1405245.63</v>
      </c>
      <c r="AW63">
        <v>45887</v>
      </c>
      <c r="AX63">
        <v>319376.96331903071</v>
      </c>
      <c r="AY63" s="3">
        <v>6919.8342052456655</v>
      </c>
      <c r="AZ63">
        <v>6727.1860746287412</v>
      </c>
      <c r="BA63">
        <v>0</v>
      </c>
      <c r="BB63">
        <v>13647.020279874409</v>
      </c>
      <c r="BC63">
        <v>312649.77724440198</v>
      </c>
      <c r="BE63">
        <v>45887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O63" s="3"/>
      <c r="BP63" s="9"/>
      <c r="BQ63" s="9"/>
      <c r="BR63" s="9"/>
      <c r="BS63" s="9"/>
      <c r="BT63" s="9"/>
      <c r="BW63" s="3"/>
      <c r="CC63" s="3">
        <v>45895</v>
      </c>
      <c r="CD63" s="9">
        <v>4920456.0433190279</v>
      </c>
      <c r="CE63" s="9">
        <v>46173.307916912301</v>
      </c>
      <c r="CF63" s="62">
        <v>152560.51607462874</v>
      </c>
      <c r="CG63" s="9">
        <v>0</v>
      </c>
      <c r="CH63" s="9">
        <v>198733.82399154105</v>
      </c>
      <c r="CI63" s="9">
        <v>4767895.5272443993</v>
      </c>
      <c r="CL63">
        <v>0</v>
      </c>
      <c r="CM63">
        <v>0</v>
      </c>
    </row>
    <row r="64" spans="1:91" x14ac:dyDescent="0.3">
      <c r="A64" s="3">
        <v>45916</v>
      </c>
      <c r="B64">
        <v>2300000.1199999973</v>
      </c>
      <c r="C64">
        <v>29363.334865333301</v>
      </c>
      <c r="D64">
        <v>95833.33</v>
      </c>
      <c r="E64">
        <v>0</v>
      </c>
      <c r="F64">
        <v>125196.6648653333</v>
      </c>
      <c r="G64">
        <v>2204166.7899999972</v>
      </c>
      <c r="I64" s="289">
        <v>45915</v>
      </c>
      <c r="J64">
        <v>750000</v>
      </c>
      <c r="K64">
        <v>8125</v>
      </c>
      <c r="L64">
        <v>50000</v>
      </c>
      <c r="M64">
        <v>0</v>
      </c>
      <c r="N64">
        <v>58125</v>
      </c>
      <c r="O64">
        <v>700000</v>
      </c>
      <c r="S64" s="3"/>
      <c r="AA64" s="3"/>
      <c r="AG64">
        <v>45926</v>
      </c>
      <c r="AH64">
        <v>1405245.63</v>
      </c>
      <c r="AI64">
        <v>0</v>
      </c>
      <c r="AJ64">
        <v>0</v>
      </c>
      <c r="AK64">
        <v>0</v>
      </c>
      <c r="AM64">
        <v>1405245.63</v>
      </c>
      <c r="AW64">
        <v>45918</v>
      </c>
      <c r="AX64">
        <v>312649.77724440198</v>
      </c>
      <c r="AY64" s="3">
        <v>6774.0785069620433</v>
      </c>
      <c r="AZ64">
        <v>6872.9417729123634</v>
      </c>
      <c r="BA64">
        <v>0</v>
      </c>
      <c r="BB64">
        <v>13647.020279874409</v>
      </c>
      <c r="BC64">
        <v>305776.83547148964</v>
      </c>
      <c r="BE64">
        <v>45918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O64" s="3"/>
      <c r="BP64" s="9"/>
      <c r="BQ64" s="9"/>
      <c r="BR64" s="9"/>
      <c r="BS64" s="9"/>
      <c r="BT64" s="9"/>
      <c r="BW64" s="3"/>
      <c r="CC64" s="3">
        <v>45926</v>
      </c>
      <c r="CD64" s="9">
        <v>4767895.5272443993</v>
      </c>
      <c r="CE64" s="9">
        <v>44262.413372295341</v>
      </c>
      <c r="CF64" s="62">
        <v>152706.27177291238</v>
      </c>
      <c r="CG64" s="9">
        <v>0</v>
      </c>
      <c r="CH64" s="9">
        <v>196968.68514520771</v>
      </c>
      <c r="CI64" s="9">
        <v>4615189.2554714866</v>
      </c>
      <c r="CL64">
        <v>0</v>
      </c>
      <c r="CM64">
        <v>0</v>
      </c>
    </row>
    <row r="65" spans="1:91" x14ac:dyDescent="0.3">
      <c r="A65" s="3">
        <v>45946</v>
      </c>
      <c r="B65">
        <v>2204166.7899999972</v>
      </c>
      <c r="C65">
        <v>28139.862685666631</v>
      </c>
      <c r="D65">
        <v>95833.33</v>
      </c>
      <c r="E65">
        <v>0</v>
      </c>
      <c r="F65">
        <v>123973.19268566664</v>
      </c>
      <c r="G65">
        <v>2108333.4599999972</v>
      </c>
      <c r="I65" s="289">
        <v>45945</v>
      </c>
      <c r="J65">
        <v>700000</v>
      </c>
      <c r="K65">
        <v>7583.3333333333348</v>
      </c>
      <c r="L65">
        <v>50000</v>
      </c>
      <c r="M65">
        <v>0</v>
      </c>
      <c r="N65">
        <v>57583.333333333336</v>
      </c>
      <c r="O65">
        <v>650000</v>
      </c>
      <c r="S65" s="3"/>
      <c r="AA65" s="3"/>
      <c r="AG65">
        <v>45956</v>
      </c>
      <c r="AH65">
        <v>1405245.63</v>
      </c>
      <c r="AI65">
        <v>0</v>
      </c>
      <c r="AJ65">
        <v>0</v>
      </c>
      <c r="AK65">
        <v>0</v>
      </c>
      <c r="AM65">
        <v>1405245.63</v>
      </c>
      <c r="AW65">
        <v>45948</v>
      </c>
      <c r="AX65">
        <v>305776.83547148964</v>
      </c>
      <c r="AY65" s="3">
        <v>6625.1647685489424</v>
      </c>
      <c r="AZ65">
        <v>7021.8555113254642</v>
      </c>
      <c r="BA65">
        <v>0</v>
      </c>
      <c r="BB65">
        <v>13647.020279874409</v>
      </c>
      <c r="BC65">
        <v>298754.97996016417</v>
      </c>
      <c r="BE65">
        <v>45948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O65" s="3"/>
      <c r="BP65" s="9"/>
      <c r="BQ65" s="9"/>
      <c r="BR65" s="9"/>
      <c r="BS65" s="9"/>
      <c r="BT65" s="9"/>
      <c r="BW65" s="3"/>
      <c r="CC65" s="3">
        <v>45956</v>
      </c>
      <c r="CD65" s="9">
        <v>4615189.2554714866</v>
      </c>
      <c r="CE65" s="9">
        <v>42348.360787548911</v>
      </c>
      <c r="CF65" s="62">
        <v>152855.18551132549</v>
      </c>
      <c r="CG65" s="9">
        <v>0</v>
      </c>
      <c r="CH65" s="9">
        <v>195203.5462988744</v>
      </c>
      <c r="CI65" s="9">
        <v>4462334.0699601611</v>
      </c>
      <c r="CL65">
        <v>0</v>
      </c>
      <c r="CM65">
        <v>0</v>
      </c>
    </row>
    <row r="66" spans="1:91" x14ac:dyDescent="0.3">
      <c r="A66" s="3">
        <v>45977</v>
      </c>
      <c r="B66">
        <v>2108333.4599999972</v>
      </c>
      <c r="C66">
        <v>26916.390505999967</v>
      </c>
      <c r="D66">
        <v>95833.33</v>
      </c>
      <c r="E66">
        <v>0</v>
      </c>
      <c r="F66">
        <v>122749.72050599995</v>
      </c>
      <c r="G66">
        <v>2012500.1299999971</v>
      </c>
      <c r="I66" s="289">
        <v>45976</v>
      </c>
      <c r="J66">
        <v>650000</v>
      </c>
      <c r="K66">
        <v>7041.666666666667</v>
      </c>
      <c r="L66">
        <v>50000</v>
      </c>
      <c r="M66">
        <v>0</v>
      </c>
      <c r="N66">
        <v>57041.666666666664</v>
      </c>
      <c r="O66">
        <v>600000</v>
      </c>
      <c r="S66" s="3"/>
      <c r="AA66" s="3"/>
      <c r="AG66">
        <v>45987</v>
      </c>
      <c r="AH66">
        <v>1405245.63</v>
      </c>
      <c r="AI66">
        <v>0</v>
      </c>
      <c r="AJ66">
        <v>0</v>
      </c>
      <c r="AK66">
        <v>0</v>
      </c>
      <c r="AM66">
        <v>1405245.63</v>
      </c>
      <c r="AW66">
        <v>45979</v>
      </c>
      <c r="AX66">
        <v>298754.97996016417</v>
      </c>
      <c r="AY66" s="3">
        <v>6473.0245658035574</v>
      </c>
      <c r="AZ66">
        <v>7173.9957140708493</v>
      </c>
      <c r="BA66">
        <v>0</v>
      </c>
      <c r="BB66">
        <v>13647.020279874409</v>
      </c>
      <c r="BC66">
        <v>291580.98424609331</v>
      </c>
      <c r="BE66">
        <v>45979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O66" s="3"/>
      <c r="BP66" s="9"/>
      <c r="BQ66" s="9"/>
      <c r="BR66" s="9"/>
      <c r="BS66" s="9"/>
      <c r="BT66" s="9"/>
      <c r="BW66" s="3"/>
      <c r="CC66" s="3">
        <v>45987</v>
      </c>
      <c r="CD66" s="9">
        <v>4462334.0699601611</v>
      </c>
      <c r="CE66" s="9">
        <v>40431.081738470195</v>
      </c>
      <c r="CF66" s="62">
        <v>153007.32571407087</v>
      </c>
      <c r="CG66" s="9">
        <v>0</v>
      </c>
      <c r="CH66" s="9">
        <v>193438.40745254105</v>
      </c>
      <c r="CI66" s="9">
        <v>4309326.7442460898</v>
      </c>
      <c r="CL66">
        <v>0</v>
      </c>
      <c r="CM66">
        <v>0</v>
      </c>
    </row>
    <row r="67" spans="1:91" x14ac:dyDescent="0.3">
      <c r="A67" s="3">
        <v>46007</v>
      </c>
      <c r="B67">
        <v>2012500.1299999971</v>
      </c>
      <c r="C67">
        <v>25692.918326333296</v>
      </c>
      <c r="D67">
        <v>95833.33</v>
      </c>
      <c r="E67">
        <v>0</v>
      </c>
      <c r="F67">
        <v>121526.2483263333</v>
      </c>
      <c r="G67">
        <v>1916666.799999997</v>
      </c>
      <c r="I67" s="289">
        <v>46006</v>
      </c>
      <c r="J67">
        <v>600000</v>
      </c>
      <c r="K67">
        <v>6500</v>
      </c>
      <c r="L67">
        <v>50000</v>
      </c>
      <c r="M67">
        <v>0</v>
      </c>
      <c r="N67">
        <v>56500</v>
      </c>
      <c r="O67">
        <v>550000</v>
      </c>
      <c r="S67" s="3"/>
      <c r="AA67" s="3"/>
      <c r="AG67">
        <v>46017</v>
      </c>
      <c r="AH67">
        <v>1405245.63</v>
      </c>
      <c r="AI67">
        <v>0</v>
      </c>
      <c r="AJ67">
        <v>0</v>
      </c>
      <c r="AK67">
        <v>0</v>
      </c>
      <c r="AM67">
        <v>1405245.63</v>
      </c>
      <c r="AW67">
        <v>46009</v>
      </c>
      <c r="AX67">
        <v>291580.98424609331</v>
      </c>
      <c r="AY67" s="3">
        <v>6317.5879919986883</v>
      </c>
      <c r="AZ67">
        <v>7329.4322878757184</v>
      </c>
      <c r="BA67">
        <v>0</v>
      </c>
      <c r="BB67">
        <v>13647.020279874409</v>
      </c>
      <c r="BC67">
        <v>284251.55195821758</v>
      </c>
      <c r="BE67">
        <v>46009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O67" s="3"/>
      <c r="BP67" s="9"/>
      <c r="BQ67" s="9"/>
      <c r="BR67" s="9"/>
      <c r="BS67" s="9"/>
      <c r="BT67" s="9"/>
      <c r="BW67" s="3"/>
      <c r="CC67" s="3">
        <v>46017</v>
      </c>
      <c r="CD67" s="9">
        <v>4309326.7442460898</v>
      </c>
      <c r="CE67" s="9">
        <v>38510.506318331987</v>
      </c>
      <c r="CF67" s="62">
        <v>153162.76228787572</v>
      </c>
      <c r="CG67" s="9">
        <v>0</v>
      </c>
      <c r="CH67" s="9">
        <v>191673.26860620771</v>
      </c>
      <c r="CI67" s="9">
        <v>4156163.9819582142</v>
      </c>
      <c r="CL67">
        <v>0</v>
      </c>
      <c r="CM67">
        <v>0</v>
      </c>
    </row>
    <row r="68" spans="1:91" x14ac:dyDescent="0.3">
      <c r="A68" s="3">
        <v>46038</v>
      </c>
      <c r="B68">
        <v>1916666.799999997</v>
      </c>
      <c r="C68">
        <v>24469.446146666629</v>
      </c>
      <c r="D68">
        <v>95833.33</v>
      </c>
      <c r="E68">
        <v>0</v>
      </c>
      <c r="F68">
        <v>120302.77614666664</v>
      </c>
      <c r="G68">
        <v>1820833.4699999967</v>
      </c>
      <c r="I68" s="289">
        <v>46037</v>
      </c>
      <c r="J68">
        <v>550000</v>
      </c>
      <c r="K68">
        <v>5958.3333333333339</v>
      </c>
      <c r="L68">
        <v>50000</v>
      </c>
      <c r="M68">
        <v>0</v>
      </c>
      <c r="N68">
        <v>55958.333333333336</v>
      </c>
      <c r="O68">
        <v>500000</v>
      </c>
      <c r="S68" s="3"/>
      <c r="AA68" s="3"/>
      <c r="AG68">
        <v>46048</v>
      </c>
      <c r="AH68">
        <v>1405245.63</v>
      </c>
      <c r="AI68">
        <v>0</v>
      </c>
      <c r="AJ68">
        <v>0</v>
      </c>
      <c r="AK68">
        <v>0</v>
      </c>
      <c r="AM68">
        <v>1405245.63</v>
      </c>
      <c r="AW68">
        <v>46040</v>
      </c>
      <c r="AX68">
        <v>284251.55195821758</v>
      </c>
      <c r="AY68" s="3">
        <v>6158.7836257613808</v>
      </c>
      <c r="AZ68">
        <v>7488.2366541130259</v>
      </c>
      <c r="BA68">
        <v>0</v>
      </c>
      <c r="BB68">
        <v>13647.020279874409</v>
      </c>
      <c r="BC68">
        <v>276763.31530410453</v>
      </c>
      <c r="BE68">
        <v>46040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O68" s="3"/>
      <c r="BP68" s="9"/>
      <c r="BQ68" s="9"/>
      <c r="BR68" s="9"/>
      <c r="BS68" s="9"/>
      <c r="BT68" s="9"/>
      <c r="BW68" s="3"/>
      <c r="CC68" s="3">
        <v>46048</v>
      </c>
      <c r="CD68" s="9">
        <v>4156163.9819582142</v>
      </c>
      <c r="CE68" s="9">
        <v>36586.563105761343</v>
      </c>
      <c r="CF68" s="62">
        <v>153321.56665411303</v>
      </c>
      <c r="CG68" s="9">
        <v>0</v>
      </c>
      <c r="CH68" s="9">
        <v>189908.12975987437</v>
      </c>
      <c r="CI68" s="9">
        <v>4002842.4153041015</v>
      </c>
      <c r="CL68">
        <v>0</v>
      </c>
      <c r="CM68">
        <v>0</v>
      </c>
    </row>
    <row r="69" spans="1:91" x14ac:dyDescent="0.3">
      <c r="A69" s="3">
        <v>46069</v>
      </c>
      <c r="B69">
        <v>1820833.4699999967</v>
      </c>
      <c r="C69">
        <v>23245.973966999962</v>
      </c>
      <c r="D69">
        <v>95833.33</v>
      </c>
      <c r="E69">
        <v>0</v>
      </c>
      <c r="F69">
        <v>119079.30396699996</v>
      </c>
      <c r="G69">
        <v>1725000.1399999969</v>
      </c>
      <c r="I69" s="289">
        <v>46068</v>
      </c>
      <c r="J69">
        <v>500000</v>
      </c>
      <c r="K69">
        <v>5416.666666666667</v>
      </c>
      <c r="L69">
        <v>50000</v>
      </c>
      <c r="M69">
        <v>0</v>
      </c>
      <c r="N69">
        <v>55416.666666666664</v>
      </c>
      <c r="O69">
        <v>450000</v>
      </c>
      <c r="S69" s="3"/>
      <c r="AA69" s="3"/>
      <c r="AG69">
        <v>46079</v>
      </c>
      <c r="AH69">
        <v>1405245.63</v>
      </c>
      <c r="AI69">
        <v>0</v>
      </c>
      <c r="AJ69">
        <v>0</v>
      </c>
      <c r="AK69">
        <v>0</v>
      </c>
      <c r="AM69">
        <v>1405245.63</v>
      </c>
      <c r="AW69">
        <v>46071</v>
      </c>
      <c r="AX69">
        <v>276763.31530410453</v>
      </c>
      <c r="AY69" s="3">
        <v>5996.5384982555979</v>
      </c>
      <c r="AZ69">
        <v>7650.4817816188097</v>
      </c>
      <c r="BA69">
        <v>0</v>
      </c>
      <c r="BB69">
        <v>13647.020279874409</v>
      </c>
      <c r="BC69">
        <v>269112.83352248574</v>
      </c>
      <c r="BE69">
        <v>46071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O69" s="3"/>
      <c r="BP69" s="9"/>
      <c r="BQ69" s="9"/>
      <c r="BR69" s="9"/>
      <c r="BS69" s="9"/>
      <c r="BT69" s="9"/>
      <c r="BW69" s="3"/>
      <c r="CC69" s="3">
        <v>46079</v>
      </c>
      <c r="CD69" s="9">
        <v>4002842.4153041015</v>
      </c>
      <c r="CE69" s="9">
        <v>34659.179131922225</v>
      </c>
      <c r="CF69" s="62">
        <v>153483.81178161883</v>
      </c>
      <c r="CG69" s="9">
        <v>0</v>
      </c>
      <c r="CH69" s="9">
        <v>188142.99091354103</v>
      </c>
      <c r="CI69" s="9">
        <v>3849358.6035224823</v>
      </c>
      <c r="CL69">
        <v>0</v>
      </c>
      <c r="CM69">
        <v>0</v>
      </c>
    </row>
    <row r="70" spans="1:91" x14ac:dyDescent="0.3">
      <c r="A70" s="3">
        <v>46097</v>
      </c>
      <c r="B70">
        <v>1725000.1399999969</v>
      </c>
      <c r="C70">
        <v>22022.501787333294</v>
      </c>
      <c r="D70">
        <v>95833.33</v>
      </c>
      <c r="E70">
        <v>0</v>
      </c>
      <c r="F70">
        <v>117855.8317873333</v>
      </c>
      <c r="G70">
        <v>1629166.8099999968</v>
      </c>
      <c r="I70" s="289">
        <v>46096</v>
      </c>
      <c r="J70">
        <v>450000</v>
      </c>
      <c r="K70">
        <v>4875</v>
      </c>
      <c r="L70">
        <v>50000</v>
      </c>
      <c r="M70">
        <v>0</v>
      </c>
      <c r="N70">
        <v>54875</v>
      </c>
      <c r="O70">
        <v>400000</v>
      </c>
      <c r="S70" s="3"/>
      <c r="AA70" s="3"/>
      <c r="AG70">
        <v>46107</v>
      </c>
      <c r="AH70">
        <v>1405245.63</v>
      </c>
      <c r="AI70">
        <v>0</v>
      </c>
      <c r="AJ70">
        <v>0</v>
      </c>
      <c r="AK70">
        <v>0</v>
      </c>
      <c r="AM70">
        <v>1405245.63</v>
      </c>
      <c r="AW70">
        <v>46099</v>
      </c>
      <c r="AX70">
        <v>269112.83352248574</v>
      </c>
      <c r="AY70" s="3">
        <v>5830.7780596538578</v>
      </c>
      <c r="AZ70">
        <v>7816.2422202205489</v>
      </c>
      <c r="BA70">
        <v>0</v>
      </c>
      <c r="BB70">
        <v>13647.020279874409</v>
      </c>
      <c r="BC70">
        <v>261296.59130226521</v>
      </c>
      <c r="BE70">
        <v>46099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O70" s="3"/>
      <c r="BP70" s="9"/>
      <c r="BQ70" s="9"/>
      <c r="BR70" s="9"/>
      <c r="BS70" s="9"/>
      <c r="BT70" s="9"/>
      <c r="BW70" s="3"/>
      <c r="CC70" s="3">
        <v>46107</v>
      </c>
      <c r="CD70" s="9">
        <v>3849358.6035224823</v>
      </c>
      <c r="CE70" s="9">
        <v>32728.279846987152</v>
      </c>
      <c r="CF70" s="62">
        <v>153649.57222022058</v>
      </c>
      <c r="CG70" s="9">
        <v>0</v>
      </c>
      <c r="CH70" s="9">
        <v>186377.85206720771</v>
      </c>
      <c r="CI70" s="9">
        <v>3695709.0313022626</v>
      </c>
      <c r="CL70">
        <v>0</v>
      </c>
      <c r="CM70">
        <v>0</v>
      </c>
    </row>
    <row r="71" spans="1:91" x14ac:dyDescent="0.3">
      <c r="A71" s="3">
        <v>46128</v>
      </c>
      <c r="B71">
        <v>1629166.8099999968</v>
      </c>
      <c r="C71">
        <v>20799.029607666627</v>
      </c>
      <c r="D71">
        <v>95833.33</v>
      </c>
      <c r="E71">
        <v>0</v>
      </c>
      <c r="F71">
        <v>116632.35960766664</v>
      </c>
      <c r="G71">
        <v>1533333.4799999967</v>
      </c>
      <c r="I71" s="289">
        <v>46127</v>
      </c>
      <c r="J71">
        <v>400000</v>
      </c>
      <c r="K71">
        <v>4333.333333333333</v>
      </c>
      <c r="L71">
        <v>50000</v>
      </c>
      <c r="M71">
        <v>0</v>
      </c>
      <c r="N71">
        <v>54333.333333333336</v>
      </c>
      <c r="O71">
        <v>350000</v>
      </c>
      <c r="S71" s="3"/>
      <c r="AA71" s="3"/>
      <c r="AG71">
        <v>46138</v>
      </c>
      <c r="AH71">
        <v>1405245.63</v>
      </c>
      <c r="AI71">
        <v>0</v>
      </c>
      <c r="AJ71">
        <v>0</v>
      </c>
      <c r="AK71">
        <v>0</v>
      </c>
      <c r="AM71">
        <v>1405245.63</v>
      </c>
      <c r="AW71">
        <v>46130</v>
      </c>
      <c r="AX71">
        <v>261296.59130226521</v>
      </c>
      <c r="AY71" s="3">
        <v>5661.4261448824127</v>
      </c>
      <c r="AZ71">
        <v>7985.594134991994</v>
      </c>
      <c r="BA71">
        <v>0</v>
      </c>
      <c r="BB71">
        <v>13647.020279874409</v>
      </c>
      <c r="BC71">
        <v>253310.99716727319</v>
      </c>
      <c r="BE71">
        <v>46130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O71" s="3"/>
      <c r="BP71" s="9"/>
      <c r="BQ71" s="9"/>
      <c r="BR71" s="9"/>
      <c r="BS71" s="9"/>
      <c r="BT71" s="9"/>
      <c r="BW71" s="3"/>
      <c r="CC71" s="3">
        <v>46138</v>
      </c>
      <c r="CD71" s="9">
        <v>3695709.0313022626</v>
      </c>
      <c r="CE71" s="9">
        <v>30793.789085882378</v>
      </c>
      <c r="CF71" s="62">
        <v>153818.924134992</v>
      </c>
      <c r="CG71" s="9">
        <v>0</v>
      </c>
      <c r="CH71" s="9">
        <v>184612.71322087437</v>
      </c>
      <c r="CI71" s="9">
        <v>3541890.10716727</v>
      </c>
      <c r="CL71">
        <v>0</v>
      </c>
      <c r="CM71">
        <v>0</v>
      </c>
    </row>
    <row r="72" spans="1:91" x14ac:dyDescent="0.3">
      <c r="A72" s="3">
        <v>46158</v>
      </c>
      <c r="B72">
        <v>1533333.4799999967</v>
      </c>
      <c r="C72">
        <v>19575.55742799996</v>
      </c>
      <c r="D72">
        <v>95833.33</v>
      </c>
      <c r="E72">
        <v>0</v>
      </c>
      <c r="F72">
        <v>115408.88742799996</v>
      </c>
      <c r="G72">
        <v>1437500.1499999966</v>
      </c>
      <c r="I72" s="289">
        <v>46157</v>
      </c>
      <c r="J72">
        <v>350000</v>
      </c>
      <c r="K72">
        <v>3791.666666666667</v>
      </c>
      <c r="L72">
        <v>50000</v>
      </c>
      <c r="M72">
        <v>0</v>
      </c>
      <c r="N72">
        <v>53791.666666666664</v>
      </c>
      <c r="O72">
        <v>300000</v>
      </c>
      <c r="S72" s="3"/>
      <c r="AA72" s="3"/>
      <c r="AG72">
        <v>46168</v>
      </c>
      <c r="AH72">
        <v>1405245.63</v>
      </c>
      <c r="AI72">
        <v>0</v>
      </c>
      <c r="AJ72">
        <v>0</v>
      </c>
      <c r="AK72">
        <v>0</v>
      </c>
      <c r="AM72">
        <v>1405245.63</v>
      </c>
      <c r="AW72">
        <v>46160</v>
      </c>
      <c r="AX72">
        <v>253310.99716727319</v>
      </c>
      <c r="AY72" s="3">
        <v>5488.4049386242523</v>
      </c>
      <c r="AZ72">
        <v>8158.6153412501535</v>
      </c>
      <c r="BA72">
        <v>0</v>
      </c>
      <c r="BB72">
        <v>13647.020279874409</v>
      </c>
      <c r="BC72">
        <v>245152.38182602305</v>
      </c>
      <c r="BE72">
        <v>46160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O72" s="3"/>
      <c r="BP72" s="9"/>
      <c r="BQ72" s="9"/>
      <c r="BR72" s="9"/>
      <c r="BS72" s="9"/>
      <c r="BT72" s="9"/>
      <c r="BW72" s="3"/>
      <c r="CC72" s="3">
        <v>46168</v>
      </c>
      <c r="CD72" s="9">
        <v>3541890.10716727</v>
      </c>
      <c r="CE72" s="9">
        <v>28855.629033290879</v>
      </c>
      <c r="CF72" s="62">
        <v>153991.94534125016</v>
      </c>
      <c r="CG72" s="9">
        <v>0</v>
      </c>
      <c r="CH72" s="9">
        <v>182847.57437454103</v>
      </c>
      <c r="CI72" s="9">
        <v>3387898.1618260196</v>
      </c>
      <c r="CL72">
        <v>0</v>
      </c>
      <c r="CM72">
        <v>0</v>
      </c>
    </row>
    <row r="73" spans="1:91" x14ac:dyDescent="0.3">
      <c r="A73" s="3">
        <v>46189</v>
      </c>
      <c r="B73">
        <v>1437500.1499999966</v>
      </c>
      <c r="C73">
        <v>18352.085248333293</v>
      </c>
      <c r="D73">
        <v>95833.33</v>
      </c>
      <c r="E73">
        <v>0</v>
      </c>
      <c r="F73">
        <v>114185.4152483333</v>
      </c>
      <c r="G73">
        <v>1341666.8199999966</v>
      </c>
      <c r="I73" s="289">
        <v>46188</v>
      </c>
      <c r="J73">
        <v>300000</v>
      </c>
      <c r="K73">
        <v>3250</v>
      </c>
      <c r="L73">
        <v>50000</v>
      </c>
      <c r="M73">
        <v>0</v>
      </c>
      <c r="N73">
        <v>53250</v>
      </c>
      <c r="O73">
        <v>250000</v>
      </c>
      <c r="S73" s="3"/>
      <c r="AA73" s="3"/>
      <c r="AG73">
        <v>46199</v>
      </c>
      <c r="AH73">
        <v>1405245.63</v>
      </c>
      <c r="AI73">
        <v>0</v>
      </c>
      <c r="AJ73">
        <v>0</v>
      </c>
      <c r="AK73">
        <v>0</v>
      </c>
      <c r="AM73">
        <v>1405245.63</v>
      </c>
      <c r="AW73">
        <v>46191</v>
      </c>
      <c r="AX73">
        <v>245152.38182602305</v>
      </c>
      <c r="AY73" s="3">
        <v>5311.6349395638326</v>
      </c>
      <c r="AZ73">
        <v>8335.385340310575</v>
      </c>
      <c r="BA73">
        <v>0</v>
      </c>
      <c r="BB73">
        <v>13647.020279874409</v>
      </c>
      <c r="BC73">
        <v>236816.99648571247</v>
      </c>
      <c r="BE73">
        <v>46191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O73" s="3"/>
      <c r="BP73" s="9"/>
      <c r="BQ73" s="9"/>
      <c r="BR73" s="9"/>
      <c r="BS73" s="9"/>
      <c r="BT73" s="9"/>
      <c r="BW73" s="3"/>
      <c r="CC73" s="3">
        <v>46199</v>
      </c>
      <c r="CD73" s="9">
        <v>3387898.1618260196</v>
      </c>
      <c r="CE73" s="9">
        <v>26913.720187897125</v>
      </c>
      <c r="CF73" s="62">
        <v>154168.71534031059</v>
      </c>
      <c r="CG73" s="9">
        <v>0</v>
      </c>
      <c r="CH73" s="9">
        <v>181082.43552820772</v>
      </c>
      <c r="CI73" s="9">
        <v>3233729.4464857089</v>
      </c>
      <c r="CL73">
        <v>0</v>
      </c>
      <c r="CM73">
        <v>0</v>
      </c>
    </row>
    <row r="74" spans="1:91" x14ac:dyDescent="0.3">
      <c r="A74" s="3">
        <v>46219</v>
      </c>
      <c r="B74">
        <v>1341666.8199999966</v>
      </c>
      <c r="C74">
        <v>17128.613068666626</v>
      </c>
      <c r="D74">
        <v>95833.33</v>
      </c>
      <c r="E74">
        <v>0</v>
      </c>
      <c r="F74">
        <v>112961.94306866665</v>
      </c>
      <c r="G74">
        <v>1245833.4899999965</v>
      </c>
      <c r="I74" s="289">
        <v>46218</v>
      </c>
      <c r="J74">
        <v>250000</v>
      </c>
      <c r="K74">
        <v>2708.3333333333335</v>
      </c>
      <c r="L74">
        <v>50000</v>
      </c>
      <c r="M74">
        <v>0</v>
      </c>
      <c r="N74">
        <v>52708.333333333336</v>
      </c>
      <c r="O74">
        <v>200000</v>
      </c>
      <c r="S74" s="3"/>
      <c r="AA74" s="3"/>
      <c r="AG74">
        <v>46229</v>
      </c>
      <c r="AH74">
        <v>1405245.63</v>
      </c>
      <c r="AI74">
        <v>0</v>
      </c>
      <c r="AJ74">
        <v>0</v>
      </c>
      <c r="AK74">
        <v>0</v>
      </c>
      <c r="AM74">
        <v>1405245.63</v>
      </c>
      <c r="AW74">
        <v>46221</v>
      </c>
      <c r="AX74">
        <v>236816.99648571247</v>
      </c>
      <c r="AY74" s="3">
        <v>5131.0349238571034</v>
      </c>
      <c r="AZ74">
        <v>8515.9853560173033</v>
      </c>
      <c r="BA74">
        <v>0</v>
      </c>
      <c r="BB74">
        <v>13647.020279874409</v>
      </c>
      <c r="BC74">
        <v>228301.01112969517</v>
      </c>
      <c r="BE74">
        <v>46221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O74" s="3"/>
      <c r="BP74" s="9"/>
      <c r="BQ74" s="9"/>
      <c r="BR74" s="9"/>
      <c r="BS74" s="9"/>
      <c r="BT74" s="9"/>
      <c r="BW74" s="3"/>
      <c r="CC74" s="3">
        <v>46229</v>
      </c>
      <c r="CD74" s="9">
        <v>3233729.4464857089</v>
      </c>
      <c r="CE74" s="9">
        <v>24967.981325857061</v>
      </c>
      <c r="CF74" s="62">
        <v>154349.31535601732</v>
      </c>
      <c r="CG74" s="9">
        <v>0</v>
      </c>
      <c r="CH74" s="9">
        <v>179317.29668187437</v>
      </c>
      <c r="CI74" s="9">
        <v>3079380.1311296914</v>
      </c>
      <c r="CL74">
        <v>0</v>
      </c>
      <c r="CM74">
        <v>0</v>
      </c>
    </row>
    <row r="75" spans="1:91" x14ac:dyDescent="0.3">
      <c r="A75" s="3">
        <v>46250</v>
      </c>
      <c r="B75">
        <v>1245833.4899999965</v>
      </c>
      <c r="C75">
        <v>15905.140888999957</v>
      </c>
      <c r="D75">
        <v>95833.33</v>
      </c>
      <c r="E75">
        <v>0</v>
      </c>
      <c r="F75">
        <v>111738.47088899996</v>
      </c>
      <c r="G75">
        <v>1150000.1599999964</v>
      </c>
      <c r="I75" s="289">
        <v>46249</v>
      </c>
      <c r="J75">
        <v>200000</v>
      </c>
      <c r="K75">
        <v>2166.6666666666665</v>
      </c>
      <c r="L75">
        <v>50000</v>
      </c>
      <c r="M75">
        <v>0</v>
      </c>
      <c r="N75">
        <v>52166.666666666664</v>
      </c>
      <c r="O75">
        <v>150000</v>
      </c>
      <c r="S75" s="3"/>
      <c r="AA75" s="3"/>
      <c r="AG75">
        <v>46260</v>
      </c>
      <c r="AH75">
        <v>1405245.63</v>
      </c>
      <c r="AI75">
        <v>0</v>
      </c>
      <c r="AJ75">
        <v>0</v>
      </c>
      <c r="AK75">
        <v>0</v>
      </c>
      <c r="AM75">
        <v>1405245.63</v>
      </c>
      <c r="AW75">
        <v>46252</v>
      </c>
      <c r="AX75">
        <v>228301.01112969517</v>
      </c>
      <c r="AY75" s="3">
        <v>4946.5219078100617</v>
      </c>
      <c r="AZ75">
        <v>8700.4983720643449</v>
      </c>
      <c r="BA75">
        <v>0</v>
      </c>
      <c r="BB75">
        <v>13647.020279874409</v>
      </c>
      <c r="BC75">
        <v>219600.51275763079</v>
      </c>
      <c r="BE75">
        <v>46252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O75" s="3"/>
      <c r="BP75" s="9"/>
      <c r="BQ75" s="9"/>
      <c r="BR75" s="9"/>
      <c r="BS75" s="9"/>
      <c r="BT75" s="9"/>
      <c r="BW75" s="3"/>
      <c r="CC75" s="3">
        <v>46260</v>
      </c>
      <c r="CD75" s="9">
        <v>3079380.1311296914</v>
      </c>
      <c r="CE75" s="9">
        <v>23018.329463476686</v>
      </c>
      <c r="CF75" s="62">
        <v>154533.82837206437</v>
      </c>
      <c r="CG75" s="9">
        <v>0</v>
      </c>
      <c r="CH75" s="9">
        <v>177552.15783554103</v>
      </c>
      <c r="CI75" s="9">
        <v>2924846.3027576273</v>
      </c>
      <c r="CL75">
        <v>0</v>
      </c>
      <c r="CM75">
        <v>0</v>
      </c>
    </row>
    <row r="76" spans="1:91" x14ac:dyDescent="0.3">
      <c r="A76" s="3">
        <v>46281</v>
      </c>
      <c r="B76">
        <v>1150000.1599999964</v>
      </c>
      <c r="C76">
        <v>14681.668709333288</v>
      </c>
      <c r="D76">
        <v>95833.33</v>
      </c>
      <c r="E76">
        <v>0</v>
      </c>
      <c r="F76">
        <v>110514.99870933327</v>
      </c>
      <c r="G76">
        <v>1054166.8299999963</v>
      </c>
      <c r="I76" s="289">
        <v>46280</v>
      </c>
      <c r="J76">
        <v>150000</v>
      </c>
      <c r="K76">
        <v>1625</v>
      </c>
      <c r="L76">
        <v>50000</v>
      </c>
      <c r="M76">
        <v>0</v>
      </c>
      <c r="N76">
        <v>51625</v>
      </c>
      <c r="O76">
        <v>100000</v>
      </c>
      <c r="S76" s="3"/>
      <c r="AA76" s="3"/>
      <c r="AG76">
        <v>46291</v>
      </c>
      <c r="AH76">
        <v>1405245.63</v>
      </c>
      <c r="AI76">
        <v>0</v>
      </c>
      <c r="AJ76">
        <v>0</v>
      </c>
      <c r="AK76">
        <v>0</v>
      </c>
      <c r="AM76">
        <v>1405245.63</v>
      </c>
      <c r="AW76">
        <v>46283</v>
      </c>
      <c r="AX76">
        <v>219600.51275763079</v>
      </c>
      <c r="AY76" s="3">
        <v>4758.0111097486679</v>
      </c>
      <c r="AZ76">
        <v>8889.0091701257388</v>
      </c>
      <c r="BA76">
        <v>0</v>
      </c>
      <c r="BB76">
        <v>13647.020279874409</v>
      </c>
      <c r="BC76">
        <v>210711.50358750508</v>
      </c>
      <c r="BE76">
        <v>46283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O76" s="3"/>
      <c r="BP76" s="9"/>
      <c r="BQ76" s="9"/>
      <c r="BR76" s="9"/>
      <c r="BS76" s="9"/>
      <c r="BT76" s="9"/>
      <c r="BW76" s="3"/>
      <c r="CC76" s="3">
        <v>46291</v>
      </c>
      <c r="CD76" s="9">
        <v>2924846.3027576273</v>
      </c>
      <c r="CE76" s="9">
        <v>21064.679819081957</v>
      </c>
      <c r="CF76" s="62">
        <v>154722.33917012575</v>
      </c>
      <c r="CG76" s="9">
        <v>0</v>
      </c>
      <c r="CH76" s="9">
        <v>175787.01898920772</v>
      </c>
      <c r="CI76" s="9">
        <v>2770123.9635875011</v>
      </c>
      <c r="CL76">
        <v>0</v>
      </c>
      <c r="CM76">
        <v>0</v>
      </c>
    </row>
    <row r="77" spans="1:91" x14ac:dyDescent="0.3">
      <c r="A77" s="3">
        <v>46311</v>
      </c>
      <c r="B77">
        <v>1054166.8299999963</v>
      </c>
      <c r="C77">
        <v>13458.19652966662</v>
      </c>
      <c r="D77">
        <v>95833.33</v>
      </c>
      <c r="E77">
        <v>0</v>
      </c>
      <c r="F77">
        <v>109291.52652966662</v>
      </c>
      <c r="G77">
        <v>958333.49999999627</v>
      </c>
      <c r="I77" s="289">
        <v>46310</v>
      </c>
      <c r="J77">
        <v>100000</v>
      </c>
      <c r="K77">
        <v>1083.3333333333333</v>
      </c>
      <c r="L77">
        <v>50000</v>
      </c>
      <c r="M77">
        <v>0</v>
      </c>
      <c r="N77">
        <v>51083.333333333336</v>
      </c>
      <c r="O77">
        <v>50000</v>
      </c>
      <c r="S77" s="3"/>
      <c r="AA77" s="3"/>
      <c r="AG77">
        <v>46321</v>
      </c>
      <c r="AH77">
        <v>1405245.63</v>
      </c>
      <c r="AI77">
        <v>0</v>
      </c>
      <c r="AJ77">
        <v>0</v>
      </c>
      <c r="AK77">
        <v>0</v>
      </c>
      <c r="AM77">
        <v>1405245.63</v>
      </c>
      <c r="AW77">
        <v>46313</v>
      </c>
      <c r="AX77">
        <v>210711.50358750508</v>
      </c>
      <c r="AY77" s="3">
        <v>4565.4159110626106</v>
      </c>
      <c r="AZ77">
        <v>9081.6043688117952</v>
      </c>
      <c r="BA77">
        <v>0</v>
      </c>
      <c r="BB77">
        <v>13647.020279874409</v>
      </c>
      <c r="BC77">
        <v>201629.89921869329</v>
      </c>
      <c r="BE77">
        <v>46313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O77" s="3"/>
      <c r="BP77" s="9"/>
      <c r="BQ77" s="9"/>
      <c r="BR77" s="9"/>
      <c r="BS77" s="9"/>
      <c r="BT77" s="9"/>
      <c r="BW77" s="3"/>
      <c r="CC77" s="3">
        <v>46321</v>
      </c>
      <c r="CD77" s="9">
        <v>2770123.9635875011</v>
      </c>
      <c r="CE77" s="9">
        <v>19106.945774062569</v>
      </c>
      <c r="CF77" s="62">
        <v>154914.93436881181</v>
      </c>
      <c r="CG77" s="9">
        <v>0</v>
      </c>
      <c r="CH77" s="9">
        <v>174021.88014287438</v>
      </c>
      <c r="CI77" s="9">
        <v>2615209.0292186895</v>
      </c>
      <c r="CL77">
        <v>0</v>
      </c>
      <c r="CM77">
        <v>0</v>
      </c>
    </row>
    <row r="78" spans="1:91" x14ac:dyDescent="0.3">
      <c r="A78" s="3">
        <v>46342</v>
      </c>
      <c r="B78">
        <v>958333.49999999627</v>
      </c>
      <c r="C78">
        <v>12234.724349999957</v>
      </c>
      <c r="D78">
        <v>95833.33</v>
      </c>
      <c r="E78">
        <v>0</v>
      </c>
      <c r="F78">
        <v>108068.05434999996</v>
      </c>
      <c r="G78">
        <v>862500.16999999643</v>
      </c>
      <c r="I78" s="289">
        <v>46341</v>
      </c>
      <c r="J78">
        <v>50000</v>
      </c>
      <c r="K78">
        <v>541.66666666666663</v>
      </c>
      <c r="L78">
        <v>50000</v>
      </c>
      <c r="M78">
        <v>0</v>
      </c>
      <c r="N78">
        <v>50541.666666666664</v>
      </c>
      <c r="O78">
        <v>0</v>
      </c>
      <c r="S78" s="3"/>
      <c r="AA78" s="3"/>
      <c r="AG78">
        <v>46352</v>
      </c>
      <c r="AH78">
        <v>1405245.63</v>
      </c>
      <c r="AI78">
        <v>0</v>
      </c>
      <c r="AJ78">
        <v>0</v>
      </c>
      <c r="AK78">
        <v>0</v>
      </c>
      <c r="AM78">
        <v>1405245.63</v>
      </c>
      <c r="AW78">
        <v>46344</v>
      </c>
      <c r="AX78">
        <v>201629.89921869329</v>
      </c>
      <c r="AY78" s="3">
        <v>4368.6478164050213</v>
      </c>
      <c r="AZ78">
        <v>9278.3724634693863</v>
      </c>
      <c r="BA78">
        <v>0</v>
      </c>
      <c r="BB78">
        <v>13647.020279874409</v>
      </c>
      <c r="BC78">
        <v>192351.52675522387</v>
      </c>
      <c r="BE78">
        <v>46344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O78" s="3"/>
      <c r="BP78" s="9"/>
      <c r="BQ78" s="9"/>
      <c r="BR78" s="9"/>
      <c r="BS78" s="9"/>
      <c r="BT78" s="9"/>
      <c r="BW78" s="3"/>
      <c r="CC78" s="3">
        <v>46352</v>
      </c>
      <c r="CD78" s="9">
        <v>2615209.0292186895</v>
      </c>
      <c r="CE78" s="9">
        <v>17145.038833071641</v>
      </c>
      <c r="CF78" s="62">
        <v>155111.70246346941</v>
      </c>
      <c r="CG78" s="9">
        <v>0</v>
      </c>
      <c r="CH78" s="9">
        <v>172256.74129654103</v>
      </c>
      <c r="CI78" s="9">
        <v>2460097.3267552201</v>
      </c>
      <c r="CL78">
        <v>0</v>
      </c>
      <c r="CM78">
        <v>0</v>
      </c>
    </row>
    <row r="79" spans="1:91" x14ac:dyDescent="0.3">
      <c r="A79" s="3">
        <v>46372</v>
      </c>
      <c r="B79">
        <v>862500.16999999643</v>
      </c>
      <c r="C79">
        <v>11011.252170333288</v>
      </c>
      <c r="D79">
        <v>95833.33</v>
      </c>
      <c r="E79">
        <v>0</v>
      </c>
      <c r="F79">
        <v>106844.58217033328</v>
      </c>
      <c r="G79">
        <v>766666.83999999647</v>
      </c>
      <c r="S79" s="3"/>
      <c r="AA79" s="3"/>
      <c r="AG79">
        <v>46382</v>
      </c>
      <c r="AH79">
        <v>1405245.63</v>
      </c>
      <c r="AI79">
        <v>0</v>
      </c>
      <c r="AJ79">
        <v>0</v>
      </c>
      <c r="AK79">
        <v>0</v>
      </c>
      <c r="AM79">
        <v>1405245.63</v>
      </c>
      <c r="AW79">
        <v>46374</v>
      </c>
      <c r="AX79">
        <v>192351.52675522387</v>
      </c>
      <c r="AY79" s="3">
        <v>4167.6164130298512</v>
      </c>
      <c r="AZ79">
        <v>9479.4038668445555</v>
      </c>
      <c r="BA79">
        <v>0</v>
      </c>
      <c r="BB79">
        <v>13647.020279874409</v>
      </c>
      <c r="BC79">
        <v>182872.12288837935</v>
      </c>
      <c r="BE79">
        <v>46374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O79" s="3"/>
      <c r="BP79" s="9"/>
      <c r="BQ79" s="9"/>
      <c r="BR79" s="9"/>
      <c r="BS79" s="9"/>
      <c r="BT79" s="9"/>
      <c r="BW79" s="3"/>
      <c r="CC79" s="3">
        <v>46382</v>
      </c>
      <c r="CD79" s="9">
        <v>2460097.3267552201</v>
      </c>
      <c r="CE79" s="9">
        <v>15178.868583363141</v>
      </c>
      <c r="CF79" s="62">
        <v>105312.73386684456</v>
      </c>
      <c r="CG79" s="9">
        <v>0</v>
      </c>
      <c r="CH79" s="9">
        <v>120491.60245020768</v>
      </c>
      <c r="CI79" s="9">
        <v>2354784.5928883757</v>
      </c>
      <c r="CL79">
        <v>0</v>
      </c>
      <c r="CM79">
        <v>0</v>
      </c>
    </row>
    <row r="80" spans="1:91" x14ac:dyDescent="0.3">
      <c r="A80" s="3">
        <v>46403</v>
      </c>
      <c r="B80">
        <v>766666.83999999647</v>
      </c>
      <c r="C80">
        <v>9787.7799906666223</v>
      </c>
      <c r="D80">
        <v>95833.33</v>
      </c>
      <c r="E80">
        <v>0</v>
      </c>
      <c r="F80">
        <v>105621.10999066662</v>
      </c>
      <c r="G80">
        <v>670833.50999999652</v>
      </c>
      <c r="S80" s="3"/>
      <c r="AG80">
        <v>46413</v>
      </c>
      <c r="AH80">
        <v>1405245.63</v>
      </c>
      <c r="AI80">
        <v>0</v>
      </c>
      <c r="AJ80">
        <v>0</v>
      </c>
      <c r="AK80">
        <v>0</v>
      </c>
      <c r="AM80">
        <v>1405245.63</v>
      </c>
      <c r="AW80">
        <v>46405</v>
      </c>
      <c r="AX80">
        <v>182872.12288837935</v>
      </c>
      <c r="AY80" s="3">
        <v>3962.2293292482191</v>
      </c>
      <c r="AZ80">
        <v>9684.7909506261876</v>
      </c>
      <c r="BA80">
        <v>0</v>
      </c>
      <c r="BB80">
        <v>13647.020279874409</v>
      </c>
      <c r="BC80">
        <v>173187.33193775316</v>
      </c>
      <c r="BE80">
        <v>46405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O80" s="3"/>
      <c r="BP80" s="9"/>
      <c r="BQ80" s="9"/>
      <c r="BR80" s="9"/>
      <c r="BS80" s="9"/>
      <c r="BT80" s="9"/>
      <c r="BW80" s="3"/>
      <c r="CC80" s="3">
        <v>46413</v>
      </c>
      <c r="CD80" s="9">
        <v>2354784.5928883757</v>
      </c>
      <c r="CE80" s="9">
        <v>13750.00931991484</v>
      </c>
      <c r="CF80" s="62">
        <v>105518.12095062619</v>
      </c>
      <c r="CG80" s="9">
        <v>0</v>
      </c>
      <c r="CH80" s="9">
        <v>119268.13027054103</v>
      </c>
      <c r="CI80" s="9">
        <v>2249266.4719377495</v>
      </c>
      <c r="CL80">
        <v>0</v>
      </c>
      <c r="CM80">
        <v>0</v>
      </c>
    </row>
    <row r="81" spans="1:91" x14ac:dyDescent="0.3">
      <c r="A81" s="3">
        <v>46434</v>
      </c>
      <c r="B81">
        <v>670833.50999999652</v>
      </c>
      <c r="C81">
        <v>8564.3078109999569</v>
      </c>
      <c r="D81">
        <v>95833.33</v>
      </c>
      <c r="E81">
        <v>0</v>
      </c>
      <c r="F81">
        <v>104397.63781099996</v>
      </c>
      <c r="G81">
        <v>575000.17999999656</v>
      </c>
      <c r="S81" s="3"/>
      <c r="AG81">
        <v>46444</v>
      </c>
      <c r="AH81">
        <v>1405245.63</v>
      </c>
      <c r="AI81">
        <v>0</v>
      </c>
      <c r="AJ81">
        <v>0</v>
      </c>
      <c r="AK81">
        <v>0</v>
      </c>
      <c r="AM81">
        <v>1405245.63</v>
      </c>
      <c r="AW81">
        <v>46436</v>
      </c>
      <c r="AX81">
        <v>173187.33193775316</v>
      </c>
      <c r="AY81" s="3">
        <v>3752.3921919846521</v>
      </c>
      <c r="AZ81">
        <v>9894.6280878897542</v>
      </c>
      <c r="BA81">
        <v>0</v>
      </c>
      <c r="BB81">
        <v>13647.020279874409</v>
      </c>
      <c r="BC81">
        <v>163292.70384986341</v>
      </c>
      <c r="BE81">
        <v>46436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O81" s="3"/>
      <c r="BP81" s="9"/>
      <c r="BQ81" s="9"/>
      <c r="BR81" s="9"/>
      <c r="BS81" s="9"/>
      <c r="BT81" s="9"/>
      <c r="BW81" s="3"/>
      <c r="CC81" s="3">
        <v>46444</v>
      </c>
      <c r="CD81" s="9">
        <v>2249266.4719377495</v>
      </c>
      <c r="CE81" s="9">
        <v>12316.700002984608</v>
      </c>
      <c r="CF81" s="62">
        <v>105727.95808788975</v>
      </c>
      <c r="CG81" s="9">
        <v>0</v>
      </c>
      <c r="CH81" s="9">
        <v>118044.65809087438</v>
      </c>
      <c r="CI81" s="9">
        <v>2143538.5138498596</v>
      </c>
      <c r="CL81">
        <v>0</v>
      </c>
      <c r="CM81">
        <v>0</v>
      </c>
    </row>
    <row r="82" spans="1:91" x14ac:dyDescent="0.3">
      <c r="A82" s="3">
        <v>46462</v>
      </c>
      <c r="B82">
        <v>575000.17999999656</v>
      </c>
      <c r="C82">
        <v>7340.8356313332897</v>
      </c>
      <c r="D82">
        <v>95833.33</v>
      </c>
      <c r="E82">
        <v>0</v>
      </c>
      <c r="F82">
        <v>103174.16563133328</v>
      </c>
      <c r="G82">
        <v>479166.84999999654</v>
      </c>
      <c r="S82" s="3"/>
      <c r="AG82">
        <v>46472</v>
      </c>
      <c r="AH82">
        <v>1405245.63</v>
      </c>
      <c r="AI82">
        <v>0</v>
      </c>
      <c r="AJ82">
        <v>0</v>
      </c>
      <c r="AK82">
        <v>0</v>
      </c>
      <c r="AM82">
        <v>1405245.63</v>
      </c>
      <c r="AW82">
        <v>46464</v>
      </c>
      <c r="AX82">
        <v>163292.70384986341</v>
      </c>
      <c r="AY82" s="3">
        <v>3538.0085834137071</v>
      </c>
      <c r="AZ82">
        <v>10109.0116964607</v>
      </c>
      <c r="BA82">
        <v>0</v>
      </c>
      <c r="BB82">
        <v>13647.020279874409</v>
      </c>
      <c r="BC82">
        <v>153183.69215340272</v>
      </c>
      <c r="BE82">
        <v>46464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O82" s="3"/>
      <c r="BP82" s="9"/>
      <c r="BQ82" s="9"/>
      <c r="BR82" s="9"/>
      <c r="BS82" s="9"/>
      <c r="BT82" s="9"/>
      <c r="BW82" s="3"/>
      <c r="CC82" s="3">
        <v>46472</v>
      </c>
      <c r="CD82" s="9">
        <v>2143538.5138498596</v>
      </c>
      <c r="CE82" s="9">
        <v>10878.844214746998</v>
      </c>
      <c r="CF82" s="62">
        <v>105942.3416964607</v>
      </c>
      <c r="CG82" s="9">
        <v>0</v>
      </c>
      <c r="CH82" s="9">
        <v>116821.18591120768</v>
      </c>
      <c r="CI82" s="9">
        <v>2037596.1721533991</v>
      </c>
      <c r="CL82">
        <v>0</v>
      </c>
      <c r="CM82">
        <v>0</v>
      </c>
    </row>
    <row r="83" spans="1:91" x14ac:dyDescent="0.3">
      <c r="A83" s="3">
        <v>46493</v>
      </c>
      <c r="B83">
        <v>479166.84999999654</v>
      </c>
      <c r="C83">
        <v>6117.3634516666225</v>
      </c>
      <c r="D83">
        <v>95833.33</v>
      </c>
      <c r="E83">
        <v>0</v>
      </c>
      <c r="F83">
        <v>101950.69345166662</v>
      </c>
      <c r="G83">
        <v>383333.51999999658</v>
      </c>
      <c r="S83" s="3"/>
      <c r="AG83">
        <v>46503</v>
      </c>
      <c r="AH83">
        <v>1405245.63</v>
      </c>
      <c r="AI83">
        <v>0</v>
      </c>
      <c r="AJ83">
        <v>0</v>
      </c>
      <c r="AK83">
        <v>0</v>
      </c>
      <c r="AM83">
        <v>1405245.63</v>
      </c>
      <c r="AW83">
        <v>46495</v>
      </c>
      <c r="AX83">
        <v>153183.69215340272</v>
      </c>
      <c r="AY83" s="3">
        <v>3318.979996657059</v>
      </c>
      <c r="AZ83">
        <v>10328.040283217348</v>
      </c>
      <c r="BA83">
        <v>0</v>
      </c>
      <c r="BB83">
        <v>13647.020279874409</v>
      </c>
      <c r="BC83">
        <v>142855.65187018536</v>
      </c>
      <c r="BE83">
        <v>46495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O83" s="3"/>
      <c r="BP83" s="9"/>
      <c r="BQ83" s="9"/>
      <c r="BR83" s="9"/>
      <c r="BS83" s="9"/>
      <c r="BT83" s="9"/>
      <c r="BW83" s="3"/>
      <c r="CC83" s="3">
        <v>46503</v>
      </c>
      <c r="CD83" s="9">
        <v>2037596.1721533991</v>
      </c>
      <c r="CE83" s="9">
        <v>9436.3434483236815</v>
      </c>
      <c r="CF83" s="62">
        <v>106161.37028321734</v>
      </c>
      <c r="CG83" s="9">
        <v>0</v>
      </c>
      <c r="CH83" s="9">
        <v>115597.71373154104</v>
      </c>
      <c r="CI83" s="9">
        <v>1931434.8018701817</v>
      </c>
      <c r="CL83">
        <v>0</v>
      </c>
      <c r="CM83">
        <v>0</v>
      </c>
    </row>
    <row r="84" spans="1:91" x14ac:dyDescent="0.3">
      <c r="A84" s="3">
        <v>46523</v>
      </c>
      <c r="B84">
        <v>383333.51999999658</v>
      </c>
      <c r="C84">
        <v>4893.8912719999562</v>
      </c>
      <c r="D84">
        <v>95833.33</v>
      </c>
      <c r="E84">
        <v>0</v>
      </c>
      <c r="F84">
        <v>100727.22127199997</v>
      </c>
      <c r="G84">
        <v>287500.18999999651</v>
      </c>
      <c r="S84" s="3"/>
      <c r="AG84">
        <v>46533</v>
      </c>
      <c r="AH84">
        <v>1405245.63</v>
      </c>
      <c r="AI84">
        <v>0</v>
      </c>
      <c r="AJ84">
        <v>0</v>
      </c>
      <c r="AK84">
        <v>0</v>
      </c>
      <c r="AM84">
        <v>1405245.63</v>
      </c>
      <c r="AW84">
        <v>46525</v>
      </c>
      <c r="AX84">
        <v>142855.65187018536</v>
      </c>
      <c r="AY84" s="3">
        <v>3095.205790520683</v>
      </c>
      <c r="AZ84">
        <v>10551.814489353725</v>
      </c>
      <c r="BA84">
        <v>0</v>
      </c>
      <c r="BB84">
        <v>13647.020279874409</v>
      </c>
      <c r="BC84">
        <v>132303.83738083165</v>
      </c>
      <c r="BE84">
        <v>46525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O84" s="3"/>
      <c r="BP84" s="9"/>
      <c r="BQ84" s="9"/>
      <c r="BR84" s="9"/>
      <c r="BS84" s="9"/>
      <c r="BT84" s="9"/>
      <c r="BW84" s="3"/>
      <c r="CC84" s="3">
        <v>46533</v>
      </c>
      <c r="CD84" s="9">
        <v>1931434.8018701817</v>
      </c>
      <c r="CE84" s="9">
        <v>7989.0970625206401</v>
      </c>
      <c r="CF84" s="62">
        <v>106385.14448935373</v>
      </c>
      <c r="CG84" s="9">
        <v>0</v>
      </c>
      <c r="CH84" s="9">
        <v>114374.24155187437</v>
      </c>
      <c r="CI84" s="9">
        <v>1825049.6573808279</v>
      </c>
      <c r="CL84">
        <v>0</v>
      </c>
      <c r="CM84">
        <v>0</v>
      </c>
    </row>
    <row r="85" spans="1:91" x14ac:dyDescent="0.3">
      <c r="A85" s="3">
        <v>46554</v>
      </c>
      <c r="B85">
        <v>287500.18999999651</v>
      </c>
      <c r="C85">
        <v>3670.419092333289</v>
      </c>
      <c r="D85">
        <v>95833.33</v>
      </c>
      <c r="E85">
        <v>0</v>
      </c>
      <c r="F85">
        <v>99503.749092333295</v>
      </c>
      <c r="G85">
        <v>191666.85999999649</v>
      </c>
      <c r="S85" s="3"/>
      <c r="AG85">
        <v>46564</v>
      </c>
      <c r="AH85">
        <v>1405245.63</v>
      </c>
      <c r="AI85">
        <v>0</v>
      </c>
      <c r="AJ85">
        <v>0</v>
      </c>
      <c r="AK85">
        <v>0</v>
      </c>
      <c r="AM85">
        <v>1405245.63</v>
      </c>
      <c r="AW85">
        <v>46556</v>
      </c>
      <c r="AX85">
        <v>132303.83738083165</v>
      </c>
      <c r="AY85" s="3">
        <v>2866.5831432513528</v>
      </c>
      <c r="AZ85">
        <v>10780.437136623052</v>
      </c>
      <c r="BA85">
        <v>0</v>
      </c>
      <c r="BB85">
        <v>13647.020279874409</v>
      </c>
      <c r="BC85">
        <v>121523.40024420861</v>
      </c>
      <c r="BE85">
        <v>46556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O85" s="3"/>
      <c r="BP85" s="9"/>
      <c r="BQ85" s="9"/>
      <c r="BR85" s="9"/>
      <c r="BS85" s="9"/>
      <c r="BT85" s="9"/>
      <c r="BW85" s="3"/>
      <c r="CC85" s="3">
        <v>46564</v>
      </c>
      <c r="CD85" s="9">
        <v>1825049.6573808279</v>
      </c>
      <c r="CE85" s="9">
        <v>6537.0022355846413</v>
      </c>
      <c r="CF85" s="62">
        <v>106613.76713662304</v>
      </c>
      <c r="CG85" s="9">
        <v>0</v>
      </c>
      <c r="CH85" s="9">
        <v>113150.76937220768</v>
      </c>
      <c r="CI85" s="9">
        <v>1718435.890244205</v>
      </c>
      <c r="CL85">
        <v>0</v>
      </c>
      <c r="CM85">
        <v>0</v>
      </c>
    </row>
    <row r="86" spans="1:91" x14ac:dyDescent="0.3">
      <c r="A86" s="3">
        <v>46584</v>
      </c>
      <c r="B86">
        <v>191666.85999999649</v>
      </c>
      <c r="C86">
        <v>2446.9469126666222</v>
      </c>
      <c r="D86">
        <v>95833.33</v>
      </c>
      <c r="E86">
        <v>0</v>
      </c>
      <c r="F86">
        <v>98280.276912666624</v>
      </c>
      <c r="G86">
        <v>95833.529999996492</v>
      </c>
      <c r="S86" s="3"/>
      <c r="AG86">
        <v>46594</v>
      </c>
      <c r="AH86">
        <v>1405245.63</v>
      </c>
      <c r="AI86">
        <v>0</v>
      </c>
      <c r="AJ86">
        <v>0</v>
      </c>
      <c r="AK86">
        <v>0</v>
      </c>
      <c r="AM86">
        <v>1405245.63</v>
      </c>
      <c r="AW86">
        <v>46586</v>
      </c>
      <c r="AX86">
        <v>121523.40024420861</v>
      </c>
      <c r="AY86" s="3">
        <v>2633.0070052911865</v>
      </c>
      <c r="AZ86">
        <v>11014.01327458322</v>
      </c>
      <c r="BA86">
        <v>0</v>
      </c>
      <c r="BB86">
        <v>13647.020279874409</v>
      </c>
      <c r="BC86">
        <v>110509.38696962538</v>
      </c>
      <c r="BE86">
        <v>46586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O86" s="3"/>
      <c r="BP86" s="9"/>
      <c r="BQ86" s="9"/>
      <c r="BR86" s="9"/>
      <c r="BS86" s="9"/>
      <c r="BT86" s="9"/>
      <c r="BW86" s="3"/>
      <c r="CC86" s="3">
        <v>46594</v>
      </c>
      <c r="CD86" s="9">
        <v>1718435.890244205</v>
      </c>
      <c r="CE86" s="9">
        <v>5079.9539179578087</v>
      </c>
      <c r="CF86" s="62">
        <v>106847.34327458324</v>
      </c>
      <c r="CG86" s="9">
        <v>0</v>
      </c>
      <c r="CH86" s="9">
        <v>111927.29719254104</v>
      </c>
      <c r="CI86" s="9">
        <v>1611588.5469696219</v>
      </c>
      <c r="CL86">
        <v>0</v>
      </c>
      <c r="CM86">
        <v>0</v>
      </c>
    </row>
    <row r="87" spans="1:91" x14ac:dyDescent="0.3">
      <c r="A87" s="3">
        <v>46615</v>
      </c>
      <c r="B87">
        <v>95833.529999996492</v>
      </c>
      <c r="C87">
        <v>1223.4747329999552</v>
      </c>
      <c r="D87">
        <v>95833.33</v>
      </c>
      <c r="E87">
        <v>0</v>
      </c>
      <c r="F87">
        <v>97056.804732999954</v>
      </c>
      <c r="G87">
        <v>0.19999999649007805</v>
      </c>
      <c r="S87" s="3"/>
      <c r="AG87">
        <v>46625</v>
      </c>
      <c r="AH87">
        <v>1405245.63</v>
      </c>
      <c r="AI87">
        <v>0</v>
      </c>
      <c r="AJ87">
        <v>0</v>
      </c>
      <c r="AK87">
        <v>0</v>
      </c>
      <c r="AM87">
        <v>1405245.63</v>
      </c>
      <c r="AW87">
        <v>46617</v>
      </c>
      <c r="AX87">
        <v>110509.38696962538</v>
      </c>
      <c r="AY87" s="3">
        <v>2394.37005100855</v>
      </c>
      <c r="AZ87">
        <v>11252.650228865856</v>
      </c>
      <c r="BA87">
        <v>0</v>
      </c>
      <c r="BB87">
        <v>13647.020279874409</v>
      </c>
      <c r="BC87">
        <v>99256.736740759516</v>
      </c>
      <c r="BE87">
        <v>46617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O87" s="3"/>
      <c r="BP87" s="9"/>
      <c r="BQ87" s="9"/>
      <c r="BR87" s="9"/>
      <c r="BS87" s="9"/>
      <c r="BT87" s="9"/>
      <c r="BW87" s="3"/>
      <c r="CC87" s="3">
        <v>46625</v>
      </c>
      <c r="CD87" s="9">
        <v>1611588.5469696219</v>
      </c>
      <c r="CE87" s="9">
        <v>3617.8447840085055</v>
      </c>
      <c r="CF87" s="62">
        <v>107085.98022886584</v>
      </c>
      <c r="CG87" s="9">
        <v>0</v>
      </c>
      <c r="CH87" s="9">
        <v>110703.82501287435</v>
      </c>
      <c r="CI87" s="9">
        <v>1504502.5667407559</v>
      </c>
      <c r="CL87">
        <v>0</v>
      </c>
      <c r="CM87">
        <v>0</v>
      </c>
    </row>
    <row r="88" spans="1:91" x14ac:dyDescent="0.3">
      <c r="S88" s="3"/>
      <c r="AG88">
        <v>46656</v>
      </c>
      <c r="AH88">
        <v>1405245.63</v>
      </c>
      <c r="AI88">
        <v>0</v>
      </c>
      <c r="AJ88">
        <v>0</v>
      </c>
      <c r="AK88">
        <v>0</v>
      </c>
      <c r="AM88">
        <v>1405245.63</v>
      </c>
      <c r="AW88">
        <v>46648</v>
      </c>
      <c r="AX88">
        <v>99256.736740759516</v>
      </c>
      <c r="AY88" s="3">
        <v>2150.5626293831233</v>
      </c>
      <c r="AZ88">
        <v>11496.457650491284</v>
      </c>
      <c r="BA88">
        <v>0</v>
      </c>
      <c r="BB88">
        <v>13647.020279874409</v>
      </c>
      <c r="BC88">
        <v>87760.279090268246</v>
      </c>
      <c r="BE88">
        <v>46648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O88" s="3"/>
      <c r="BP88" s="9"/>
      <c r="BQ88" s="9"/>
      <c r="BR88" s="9"/>
      <c r="BS88" s="9"/>
      <c r="BT88" s="9"/>
      <c r="BW88" s="3"/>
      <c r="CC88" s="3">
        <v>46656</v>
      </c>
      <c r="CD88" s="9">
        <v>1504502.3667407597</v>
      </c>
      <c r="CE88" s="9">
        <v>2150.5626293831233</v>
      </c>
      <c r="CF88" s="62">
        <v>11496.457650491284</v>
      </c>
      <c r="CG88" s="9">
        <v>0</v>
      </c>
      <c r="CH88" s="9">
        <v>13647.020279874409</v>
      </c>
      <c r="CI88" s="9">
        <v>1493005.9090902682</v>
      </c>
      <c r="CL88">
        <v>0</v>
      </c>
      <c r="CM88">
        <v>-0.19999999646097422</v>
      </c>
    </row>
    <row r="89" spans="1:91" x14ac:dyDescent="0.3">
      <c r="AG89">
        <v>46686</v>
      </c>
      <c r="AH89">
        <v>1405245.63</v>
      </c>
      <c r="AI89">
        <v>0</v>
      </c>
      <c r="AJ89">
        <v>0</v>
      </c>
      <c r="AK89">
        <v>0</v>
      </c>
      <c r="AM89">
        <v>1405245.63</v>
      </c>
      <c r="AW89">
        <v>46678</v>
      </c>
      <c r="AX89">
        <v>87760.279090268246</v>
      </c>
      <c r="AY89" s="3">
        <v>1901.4727136224788</v>
      </c>
      <c r="AZ89">
        <v>11745.547566251927</v>
      </c>
      <c r="BA89">
        <v>0</v>
      </c>
      <c r="BB89">
        <v>13647.020279874409</v>
      </c>
      <c r="BC89">
        <v>76014.731524016315</v>
      </c>
      <c r="BE89">
        <v>46678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O89" s="3"/>
      <c r="BP89" s="9"/>
      <c r="BQ89" s="9"/>
      <c r="BR89" s="9"/>
      <c r="BS89" s="9"/>
      <c r="BT89" s="9"/>
      <c r="BW89" s="3"/>
      <c r="CC89" s="3">
        <v>46686</v>
      </c>
      <c r="CD89" s="9">
        <v>1493005.9090902682</v>
      </c>
      <c r="CE89" s="9">
        <v>1901.4727136224788</v>
      </c>
      <c r="CF89" s="62">
        <v>11745.547566251927</v>
      </c>
      <c r="CG89" s="9">
        <v>0</v>
      </c>
      <c r="CH89" s="9">
        <v>13647.020279874409</v>
      </c>
      <c r="CI89" s="9">
        <v>1481260.3615240159</v>
      </c>
      <c r="CL89">
        <v>0</v>
      </c>
      <c r="CM89">
        <v>0</v>
      </c>
    </row>
    <row r="90" spans="1:91" x14ac:dyDescent="0.3">
      <c r="AG90">
        <v>46717</v>
      </c>
      <c r="AH90">
        <v>1405245.63</v>
      </c>
      <c r="AI90">
        <v>0</v>
      </c>
      <c r="AJ90">
        <v>0</v>
      </c>
      <c r="AK90">
        <v>0</v>
      </c>
      <c r="AM90">
        <v>1405245.63</v>
      </c>
      <c r="AW90">
        <v>46709</v>
      </c>
      <c r="AX90">
        <v>76014.731524016315</v>
      </c>
      <c r="AY90" s="3">
        <v>1646.9858496870202</v>
      </c>
      <c r="AZ90">
        <v>12000.034430187388</v>
      </c>
      <c r="BA90">
        <v>0</v>
      </c>
      <c r="BB90">
        <v>13647.020279874409</v>
      </c>
      <c r="BC90">
        <v>64014.697093828931</v>
      </c>
      <c r="BE90">
        <v>46709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O90" s="3"/>
      <c r="BP90" s="9"/>
      <c r="BQ90" s="9"/>
      <c r="BR90" s="9"/>
      <c r="BS90" s="9"/>
      <c r="BT90" s="9"/>
      <c r="BW90" s="3"/>
      <c r="CC90" s="3">
        <v>46717</v>
      </c>
      <c r="CD90" s="9">
        <v>1481260.3615240159</v>
      </c>
      <c r="CE90" s="9">
        <v>1646.9858496870202</v>
      </c>
      <c r="CF90" s="62">
        <v>12000.034430187388</v>
      </c>
      <c r="CG90" s="9">
        <v>0</v>
      </c>
      <c r="CH90" s="9">
        <v>13647.020279874409</v>
      </c>
      <c r="CI90" s="9">
        <v>1469260.3270938287</v>
      </c>
      <c r="CL90">
        <v>0</v>
      </c>
      <c r="CM90">
        <v>0</v>
      </c>
    </row>
    <row r="91" spans="1:91" x14ac:dyDescent="0.3">
      <c r="AG91">
        <v>46747</v>
      </c>
      <c r="AH91">
        <v>1405245.63</v>
      </c>
      <c r="AI91">
        <v>0</v>
      </c>
      <c r="AJ91">
        <v>0</v>
      </c>
      <c r="AK91">
        <v>0</v>
      </c>
      <c r="AM91">
        <v>1405245.63</v>
      </c>
      <c r="AW91">
        <v>46739</v>
      </c>
      <c r="AX91">
        <v>64014.697093828931</v>
      </c>
      <c r="AY91" s="3">
        <v>1386.985103699627</v>
      </c>
      <c r="AZ91">
        <v>12260.035176174781</v>
      </c>
      <c r="BA91">
        <v>0</v>
      </c>
      <c r="BB91">
        <v>13647.020279874409</v>
      </c>
      <c r="BC91">
        <v>51754.66191765415</v>
      </c>
      <c r="BE91">
        <v>46739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O91" s="3"/>
      <c r="BP91" s="9"/>
      <c r="BQ91" s="9"/>
      <c r="BR91" s="9"/>
      <c r="BS91" s="9"/>
      <c r="BT91" s="9"/>
      <c r="BW91" s="3"/>
      <c r="CC91" s="3">
        <v>46747</v>
      </c>
      <c r="CD91" s="9">
        <v>1469260.3270938287</v>
      </c>
      <c r="CE91" s="9">
        <v>1386.985103699627</v>
      </c>
      <c r="CF91" s="62">
        <v>12260.035176174781</v>
      </c>
      <c r="CG91" s="9">
        <v>0</v>
      </c>
      <c r="CH91" s="9">
        <v>13647.020279874409</v>
      </c>
      <c r="CI91" s="9">
        <v>1457000.291917654</v>
      </c>
      <c r="CL91">
        <v>0</v>
      </c>
      <c r="CM91">
        <v>0</v>
      </c>
    </row>
    <row r="92" spans="1:91" x14ac:dyDescent="0.3">
      <c r="AG92">
        <v>46778</v>
      </c>
      <c r="AH92">
        <v>1405245.63</v>
      </c>
      <c r="AI92">
        <v>0</v>
      </c>
      <c r="AJ92">
        <v>0</v>
      </c>
      <c r="AK92">
        <v>0</v>
      </c>
      <c r="AM92">
        <v>1405245.63</v>
      </c>
      <c r="AW92">
        <v>46770</v>
      </c>
      <c r="AX92">
        <v>51754.66191765415</v>
      </c>
      <c r="AY92" s="3">
        <v>1121.35100821584</v>
      </c>
      <c r="AZ92">
        <v>12525.669271658568</v>
      </c>
      <c r="BA92">
        <v>0</v>
      </c>
      <c r="BB92">
        <v>13647.020279874409</v>
      </c>
      <c r="BC92">
        <v>39228.992645995582</v>
      </c>
      <c r="BE92">
        <v>46770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O92" s="3"/>
      <c r="BP92" s="9"/>
      <c r="BQ92" s="9"/>
      <c r="BR92" s="9"/>
      <c r="BS92" s="9"/>
      <c r="BT92" s="9"/>
      <c r="BW92" s="3"/>
      <c r="CC92" s="3">
        <v>46778</v>
      </c>
      <c r="CD92" s="9">
        <v>1457000.291917654</v>
      </c>
      <c r="CE92" s="9">
        <v>1121.35100821584</v>
      </c>
      <c r="CF92" s="62">
        <v>12525.669271658568</v>
      </c>
      <c r="CG92" s="9">
        <v>0</v>
      </c>
      <c r="CH92" s="9">
        <v>13647.020279874409</v>
      </c>
      <c r="CI92" s="9">
        <v>1444474.6226459956</v>
      </c>
      <c r="CL92">
        <v>0</v>
      </c>
      <c r="CM92">
        <v>0</v>
      </c>
    </row>
    <row r="93" spans="1:91" x14ac:dyDescent="0.3">
      <c r="AG93">
        <v>46809</v>
      </c>
      <c r="AH93">
        <v>1405245.63</v>
      </c>
      <c r="AI93">
        <v>0</v>
      </c>
      <c r="AJ93">
        <v>0</v>
      </c>
      <c r="AK93">
        <v>0</v>
      </c>
      <c r="AM93">
        <v>1405245.63</v>
      </c>
      <c r="AW93">
        <v>46801</v>
      </c>
      <c r="AX93">
        <v>39228.992645995582</v>
      </c>
      <c r="AY93" s="3">
        <v>849.96150732990429</v>
      </c>
      <c r="AZ93">
        <v>12797.058772544502</v>
      </c>
      <c r="BA93">
        <v>0</v>
      </c>
      <c r="BB93">
        <v>13647.020279874409</v>
      </c>
      <c r="BC93">
        <v>26431.933873451078</v>
      </c>
      <c r="BE93">
        <v>46801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O93" s="3"/>
      <c r="BP93" s="9"/>
      <c r="BQ93" s="9"/>
      <c r="BR93" s="9"/>
      <c r="BS93" s="9"/>
      <c r="BT93" s="9"/>
      <c r="BW93" s="3"/>
      <c r="CC93" s="3">
        <v>46809</v>
      </c>
      <c r="CD93" s="9">
        <v>1444474.6226459956</v>
      </c>
      <c r="CE93" s="9">
        <v>849.96150732990429</v>
      </c>
      <c r="CF93" s="62">
        <v>12797.058772544502</v>
      </c>
      <c r="CG93" s="9">
        <v>0</v>
      </c>
      <c r="CH93" s="9">
        <v>13647.020279874409</v>
      </c>
      <c r="CI93" s="9">
        <v>1431677.563873451</v>
      </c>
      <c r="CL93">
        <v>0</v>
      </c>
      <c r="CM93">
        <v>0</v>
      </c>
    </row>
    <row r="94" spans="1:91" x14ac:dyDescent="0.3">
      <c r="AG94">
        <v>46838</v>
      </c>
      <c r="AH94">
        <v>1405245.63</v>
      </c>
      <c r="AI94">
        <v>0</v>
      </c>
      <c r="AJ94">
        <v>0</v>
      </c>
      <c r="AK94">
        <v>0</v>
      </c>
      <c r="AM94">
        <v>1405245.63</v>
      </c>
      <c r="AW94">
        <v>46830</v>
      </c>
      <c r="AX94">
        <v>26431.933873451078</v>
      </c>
      <c r="AY94" s="3">
        <v>572.69190059144012</v>
      </c>
      <c r="AZ94">
        <v>13074.328379282966</v>
      </c>
      <c r="BA94">
        <v>0</v>
      </c>
      <c r="BB94">
        <v>13647.020279874409</v>
      </c>
      <c r="BC94">
        <v>13357.605494168116</v>
      </c>
      <c r="BE94">
        <v>46830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O94" s="3"/>
      <c r="BP94" s="9"/>
      <c r="BQ94" s="9"/>
      <c r="BR94" s="9"/>
      <c r="BS94" s="9"/>
      <c r="BT94" s="9"/>
      <c r="BW94" s="3"/>
      <c r="CC94" s="3">
        <v>46838</v>
      </c>
      <c r="CD94" s="9">
        <v>1431677.563873451</v>
      </c>
      <c r="CE94" s="9">
        <v>572.69190059144012</v>
      </c>
      <c r="CF94" s="62">
        <v>13074.328379282966</v>
      </c>
      <c r="CG94" s="9">
        <v>0</v>
      </c>
      <c r="CH94" s="9">
        <v>13647.020279874409</v>
      </c>
      <c r="CI94" s="9">
        <v>1418603.235494168</v>
      </c>
      <c r="CL94">
        <v>0</v>
      </c>
      <c r="CM94">
        <v>0</v>
      </c>
    </row>
    <row r="95" spans="1:91" x14ac:dyDescent="0.3">
      <c r="AG95">
        <v>46869</v>
      </c>
      <c r="AH95">
        <v>1405245.63</v>
      </c>
      <c r="AI95">
        <v>0</v>
      </c>
      <c r="AJ95">
        <v>0</v>
      </c>
      <c r="AK95">
        <v>0</v>
      </c>
      <c r="AM95">
        <v>1405245.63</v>
      </c>
      <c r="AW95">
        <v>46861</v>
      </c>
      <c r="AX95">
        <v>13357.605494168116</v>
      </c>
      <c r="AY95" s="3">
        <v>289.41478570697586</v>
      </c>
      <c r="AZ95">
        <v>13357.60549416743</v>
      </c>
      <c r="BA95">
        <v>0</v>
      </c>
      <c r="BB95">
        <v>13647.020279874409</v>
      </c>
      <c r="BC95">
        <v>6.8575900513678789E-10</v>
      </c>
      <c r="BE95">
        <v>46861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O95" s="3"/>
      <c r="BP95" s="9"/>
      <c r="BQ95" s="9"/>
      <c r="BR95" s="9"/>
      <c r="BS95" s="9"/>
      <c r="BT95" s="9"/>
      <c r="BW95" s="3"/>
      <c r="CC95" s="3">
        <v>46869</v>
      </c>
      <c r="CD95" s="9">
        <v>1418603.235494168</v>
      </c>
      <c r="CE95" s="9">
        <v>289.41478570697586</v>
      </c>
      <c r="CF95" s="62">
        <v>13357.60549416743</v>
      </c>
      <c r="CG95" s="9">
        <v>0</v>
      </c>
      <c r="CH95" s="9">
        <v>13647.020279874409</v>
      </c>
      <c r="CI95" s="9">
        <v>1405245.6300000006</v>
      </c>
      <c r="CL95">
        <v>0</v>
      </c>
      <c r="CM95">
        <v>0</v>
      </c>
    </row>
    <row r="96" spans="1:91" x14ac:dyDescent="0.3">
      <c r="AG96">
        <v>46899</v>
      </c>
      <c r="AH96">
        <v>1405245.63</v>
      </c>
      <c r="AI96">
        <v>0</v>
      </c>
      <c r="AJ96">
        <v>0</v>
      </c>
      <c r="AK96">
        <v>0</v>
      </c>
      <c r="AM96">
        <v>1405245.63</v>
      </c>
      <c r="AY96" s="3"/>
      <c r="BO96" s="3"/>
      <c r="BP96" s="9"/>
      <c r="BQ96" s="9"/>
      <c r="BR96" s="9"/>
      <c r="BS96" s="9"/>
      <c r="BT96" s="9"/>
      <c r="BW96" s="3"/>
      <c r="CC96" s="3">
        <v>46899</v>
      </c>
      <c r="CD96" s="9">
        <v>1405245.63</v>
      </c>
      <c r="CE96" s="9">
        <v>0</v>
      </c>
      <c r="CF96" s="62">
        <v>0</v>
      </c>
      <c r="CG96" s="9">
        <v>0</v>
      </c>
      <c r="CH96" s="9">
        <v>0</v>
      </c>
      <c r="CI96" s="9">
        <v>1405245.63</v>
      </c>
      <c r="CL96">
        <v>0</v>
      </c>
      <c r="CM96">
        <v>0</v>
      </c>
    </row>
    <row r="97" spans="33:91" x14ac:dyDescent="0.3">
      <c r="AG97">
        <v>46930</v>
      </c>
      <c r="AH97">
        <v>1405245.63</v>
      </c>
      <c r="AI97">
        <v>0</v>
      </c>
      <c r="AJ97">
        <v>0</v>
      </c>
      <c r="AK97">
        <v>0</v>
      </c>
      <c r="AM97">
        <v>1405245.63</v>
      </c>
      <c r="AY97" s="3"/>
      <c r="CC97" s="3">
        <v>46930</v>
      </c>
      <c r="CD97" s="9">
        <v>1405245.63</v>
      </c>
      <c r="CE97" s="9">
        <v>0</v>
      </c>
      <c r="CF97" s="62">
        <v>0</v>
      </c>
      <c r="CG97" s="9">
        <v>0</v>
      </c>
      <c r="CH97" s="9">
        <v>0</v>
      </c>
      <c r="CI97" s="9">
        <v>1405245.63</v>
      </c>
      <c r="CL97">
        <v>0</v>
      </c>
      <c r="CM97">
        <v>0</v>
      </c>
    </row>
    <row r="98" spans="33:91" x14ac:dyDescent="0.3">
      <c r="AG98">
        <v>46960</v>
      </c>
      <c r="AH98">
        <v>1405245.63</v>
      </c>
      <c r="AI98">
        <v>0</v>
      </c>
      <c r="AJ98">
        <v>0</v>
      </c>
      <c r="AK98">
        <v>0</v>
      </c>
      <c r="AM98">
        <v>1405245.63</v>
      </c>
      <c r="AY98" s="3"/>
      <c r="CC98" s="3">
        <v>46960</v>
      </c>
      <c r="CD98" s="9">
        <v>1405245.63</v>
      </c>
      <c r="CE98" s="9">
        <v>0</v>
      </c>
      <c r="CF98" s="62">
        <v>0</v>
      </c>
      <c r="CG98" s="9">
        <v>0</v>
      </c>
      <c r="CH98" s="9">
        <v>0</v>
      </c>
      <c r="CI98" s="9">
        <v>1405245.63</v>
      </c>
      <c r="CL98">
        <v>0</v>
      </c>
      <c r="CM98">
        <v>0</v>
      </c>
    </row>
    <row r="99" spans="33:91" x14ac:dyDescent="0.3">
      <c r="AG99">
        <v>46991</v>
      </c>
      <c r="AH99">
        <v>1405245.63</v>
      </c>
      <c r="AI99">
        <v>0</v>
      </c>
      <c r="AJ99">
        <v>0</v>
      </c>
      <c r="AK99">
        <v>0</v>
      </c>
      <c r="AM99">
        <v>1405245.63</v>
      </c>
      <c r="AY99" s="3"/>
      <c r="CC99" s="3">
        <v>46991</v>
      </c>
      <c r="CD99" s="9">
        <v>1405245.63</v>
      </c>
      <c r="CE99" s="9">
        <v>0</v>
      </c>
      <c r="CF99" s="62">
        <v>0</v>
      </c>
      <c r="CG99" s="9">
        <v>0</v>
      </c>
      <c r="CH99" s="9">
        <v>0</v>
      </c>
      <c r="CI99" s="9">
        <v>1405245.63</v>
      </c>
      <c r="CL99">
        <v>0</v>
      </c>
      <c r="CM99">
        <v>0</v>
      </c>
    </row>
    <row r="100" spans="33:91" x14ac:dyDescent="0.3">
      <c r="AG100">
        <v>47022</v>
      </c>
      <c r="AH100">
        <v>1405245.63</v>
      </c>
      <c r="AI100">
        <v>0</v>
      </c>
      <c r="AJ100">
        <v>0</v>
      </c>
      <c r="AK100">
        <v>0</v>
      </c>
      <c r="AM100">
        <v>1405245.63</v>
      </c>
      <c r="AY100" s="3"/>
      <c r="CC100" s="3">
        <v>47022</v>
      </c>
      <c r="CD100" s="9">
        <v>1405245.63</v>
      </c>
      <c r="CE100" s="9">
        <v>0</v>
      </c>
      <c r="CF100" s="62">
        <v>0</v>
      </c>
      <c r="CG100" s="9">
        <v>0</v>
      </c>
      <c r="CH100" s="9">
        <v>0</v>
      </c>
      <c r="CI100" s="9">
        <v>1405245.63</v>
      </c>
      <c r="CL100">
        <v>0</v>
      </c>
      <c r="CM100">
        <v>0</v>
      </c>
    </row>
    <row r="101" spans="33:91" x14ac:dyDescent="0.3">
      <c r="AG101">
        <v>47052</v>
      </c>
      <c r="AH101">
        <v>1405245.63</v>
      </c>
      <c r="AI101">
        <v>0</v>
      </c>
      <c r="AJ101">
        <v>0</v>
      </c>
      <c r="AK101">
        <v>0</v>
      </c>
      <c r="AM101">
        <v>1405245.63</v>
      </c>
      <c r="AY101" s="3"/>
      <c r="CC101" s="3">
        <v>47052</v>
      </c>
      <c r="CD101" s="9">
        <v>1405245.63</v>
      </c>
      <c r="CE101" s="9">
        <v>0</v>
      </c>
      <c r="CF101" s="62">
        <v>0</v>
      </c>
      <c r="CG101" s="9">
        <v>0</v>
      </c>
      <c r="CH101" s="9">
        <v>0</v>
      </c>
      <c r="CI101" s="9">
        <v>1405245.63</v>
      </c>
      <c r="CL101">
        <v>0</v>
      </c>
      <c r="CM101">
        <v>0</v>
      </c>
    </row>
    <row r="102" spans="33:91" x14ac:dyDescent="0.3">
      <c r="AG102">
        <v>47083</v>
      </c>
      <c r="AH102">
        <v>1405245.63</v>
      </c>
      <c r="AI102">
        <v>0</v>
      </c>
      <c r="AJ102">
        <v>0</v>
      </c>
      <c r="AK102">
        <v>0</v>
      </c>
      <c r="AM102">
        <v>1405245.63</v>
      </c>
      <c r="AY102" s="3"/>
      <c r="CC102" s="3">
        <v>47083</v>
      </c>
      <c r="CD102" s="9">
        <v>1405245.63</v>
      </c>
      <c r="CE102" s="9">
        <v>0</v>
      </c>
      <c r="CF102" s="62">
        <v>0</v>
      </c>
      <c r="CG102" s="9">
        <v>0</v>
      </c>
      <c r="CH102" s="9">
        <v>0</v>
      </c>
      <c r="CI102" s="9">
        <v>1405245.63</v>
      </c>
      <c r="CL102">
        <v>0</v>
      </c>
      <c r="CM102">
        <v>0</v>
      </c>
    </row>
    <row r="103" spans="33:91" x14ac:dyDescent="0.3">
      <c r="AG103">
        <v>47113</v>
      </c>
      <c r="AH103">
        <v>1405245.63</v>
      </c>
      <c r="AI103">
        <v>0</v>
      </c>
      <c r="AJ103">
        <v>0</v>
      </c>
      <c r="AK103">
        <v>0</v>
      </c>
      <c r="AM103">
        <v>1405245.63</v>
      </c>
      <c r="AY103" s="3"/>
      <c r="CC103" s="3">
        <v>47113</v>
      </c>
      <c r="CD103" s="9">
        <v>1405245.63</v>
      </c>
      <c r="CE103" s="9">
        <v>0</v>
      </c>
      <c r="CF103" s="62">
        <v>0</v>
      </c>
      <c r="CG103" s="9">
        <v>0</v>
      </c>
      <c r="CH103" s="9">
        <v>0</v>
      </c>
      <c r="CI103" s="9">
        <v>1405245.63</v>
      </c>
      <c r="CL103">
        <v>0</v>
      </c>
      <c r="CM103">
        <v>0</v>
      </c>
    </row>
    <row r="104" spans="33:91" x14ac:dyDescent="0.3">
      <c r="AY104" s="3"/>
      <c r="CC104" s="3"/>
      <c r="CD104" s="9"/>
      <c r="CF104" s="9"/>
      <c r="CG104" s="9"/>
      <c r="CH104" s="9"/>
    </row>
    <row r="105" spans="33:91" x14ac:dyDescent="0.3">
      <c r="CC105" s="3"/>
      <c r="CD105" s="9"/>
      <c r="CF105" s="9"/>
      <c r="CG105" s="9"/>
      <c r="CH105" s="9"/>
    </row>
    <row r="106" spans="33:91" x14ac:dyDescent="0.3">
      <c r="CC106" s="3"/>
      <c r="CD106" s="9"/>
      <c r="CF106" s="9"/>
      <c r="CG106" s="9"/>
      <c r="CH106" s="9"/>
    </row>
    <row r="107" spans="33:91" x14ac:dyDescent="0.3">
      <c r="CC107" s="3"/>
      <c r="CD107" s="9"/>
      <c r="CF107" s="9"/>
      <c r="CG107" s="9"/>
      <c r="CH107" s="9"/>
    </row>
    <row r="108" spans="33:91" x14ac:dyDescent="0.3">
      <c r="CC108" s="3"/>
      <c r="CD108" s="9"/>
      <c r="CF108" s="9"/>
      <c r="CG108" s="9"/>
      <c r="CH108" s="9"/>
    </row>
    <row r="109" spans="33:91" x14ac:dyDescent="0.3">
      <c r="CC109" s="3"/>
      <c r="CD109" s="9"/>
      <c r="CF109" s="9"/>
      <c r="CG109" s="9"/>
      <c r="CH109" s="9"/>
    </row>
    <row r="110" spans="33:91" x14ac:dyDescent="0.3">
      <c r="CC110" s="3"/>
      <c r="CD110" s="9"/>
      <c r="CF110" s="9"/>
      <c r="CG110" s="9"/>
      <c r="CH110" s="9"/>
    </row>
    <row r="111" spans="33:91" x14ac:dyDescent="0.3">
      <c r="CC111" s="3"/>
      <c r="CD111" s="9"/>
      <c r="CF111" s="9"/>
      <c r="CG111" s="9"/>
      <c r="CH111" s="9"/>
    </row>
    <row r="112" spans="33:91" x14ac:dyDescent="0.3">
      <c r="CC112" s="3"/>
      <c r="CD112" s="9"/>
      <c r="CF112" s="9"/>
      <c r="CG112" s="9"/>
      <c r="CH112" s="9"/>
    </row>
    <row r="113" spans="81:86" x14ac:dyDescent="0.3">
      <c r="CC113" s="3"/>
      <c r="CD113" s="9"/>
      <c r="CF113" s="9"/>
      <c r="CG113" s="9"/>
      <c r="CH113" s="9"/>
    </row>
    <row r="114" spans="81:86" x14ac:dyDescent="0.3">
      <c r="CC114" s="3"/>
      <c r="CD114" s="9"/>
      <c r="CF114" s="9"/>
      <c r="CG114" s="9"/>
      <c r="CH114" s="9"/>
    </row>
    <row r="115" spans="81:86" x14ac:dyDescent="0.3">
      <c r="CC115" s="3"/>
      <c r="CD115" s="9"/>
      <c r="CF115" s="9"/>
      <c r="CG115" s="9"/>
      <c r="CH115" s="9"/>
    </row>
    <row r="116" spans="81:86" x14ac:dyDescent="0.3">
      <c r="CC116" s="3"/>
      <c r="CD116" s="9"/>
      <c r="CF116" s="9"/>
      <c r="CG116" s="9"/>
      <c r="CH116" s="9"/>
    </row>
    <row r="117" spans="81:86" x14ac:dyDescent="0.3">
      <c r="CC117" s="3"/>
      <c r="CD117" s="9"/>
      <c r="CF117" s="9"/>
      <c r="CG117" s="9"/>
      <c r="CH117" s="9"/>
    </row>
    <row r="118" spans="81:86" x14ac:dyDescent="0.3">
      <c r="CC118" s="3"/>
      <c r="CD118" s="9"/>
      <c r="CF118" s="9"/>
      <c r="CG118" s="9"/>
      <c r="CH118" s="9"/>
    </row>
    <row r="119" spans="81:86" x14ac:dyDescent="0.3">
      <c r="CC119" s="3"/>
      <c r="CD119" s="9"/>
      <c r="CF119" s="9"/>
      <c r="CG119" s="9"/>
      <c r="CH119" s="9"/>
    </row>
    <row r="120" spans="81:86" x14ac:dyDescent="0.3">
      <c r="CC120" s="3"/>
      <c r="CD120" s="9"/>
      <c r="CF120" s="9"/>
      <c r="CG120" s="9"/>
      <c r="CH120" s="9"/>
    </row>
    <row r="121" spans="81:86" x14ac:dyDescent="0.3">
      <c r="CC121" s="3"/>
      <c r="CD121" s="9"/>
      <c r="CF121" s="9"/>
      <c r="CG121" s="9"/>
      <c r="CH121" s="9"/>
    </row>
    <row r="122" spans="81:86" x14ac:dyDescent="0.3">
      <c r="CC122" s="3"/>
      <c r="CD122" s="9"/>
      <c r="CF122" s="9"/>
      <c r="CG122" s="9"/>
      <c r="CH122" s="9"/>
    </row>
    <row r="123" spans="81:86" x14ac:dyDescent="0.3">
      <c r="CC123" s="3"/>
      <c r="CD123" s="9"/>
      <c r="CF123" s="9"/>
      <c r="CG123" s="9"/>
      <c r="CH123" s="9"/>
    </row>
    <row r="124" spans="81:86" x14ac:dyDescent="0.3">
      <c r="CC124" s="3"/>
      <c r="CD124" s="9"/>
      <c r="CF124" s="9"/>
      <c r="CG124" s="9"/>
      <c r="CH124" s="9"/>
    </row>
    <row r="125" spans="81:86" x14ac:dyDescent="0.3">
      <c r="CC125" s="3"/>
      <c r="CD125" s="9"/>
      <c r="CF125" s="9"/>
      <c r="CG125" s="9"/>
      <c r="CH125" s="9"/>
    </row>
    <row r="126" spans="81:86" x14ac:dyDescent="0.3">
      <c r="CC126" s="3"/>
      <c r="CD126" s="9"/>
      <c r="CF126" s="9"/>
      <c r="CG126" s="9"/>
      <c r="CH126" s="9"/>
    </row>
    <row r="127" spans="81:86" x14ac:dyDescent="0.3">
      <c r="CC127" s="3"/>
      <c r="CD127" s="9"/>
      <c r="CF127" s="9"/>
      <c r="CG127" s="9"/>
      <c r="CH127" s="9"/>
    </row>
    <row r="128" spans="81:86" x14ac:dyDescent="0.3">
      <c r="CC128" s="3"/>
      <c r="CD128" s="9"/>
      <c r="CF128" s="9"/>
      <c r="CG128" s="9"/>
      <c r="CH128" s="9"/>
    </row>
    <row r="129" spans="81:86" x14ac:dyDescent="0.3">
      <c r="CC129" s="3"/>
      <c r="CD129" s="9"/>
      <c r="CF129" s="9"/>
      <c r="CG129" s="9"/>
      <c r="CH129" s="9"/>
    </row>
    <row r="130" spans="81:86" x14ac:dyDescent="0.3">
      <c r="CC130" s="3"/>
      <c r="CD130" s="9"/>
      <c r="CF130" s="9"/>
      <c r="CG130" s="9"/>
      <c r="CH130" s="9"/>
    </row>
    <row r="131" spans="81:86" x14ac:dyDescent="0.3">
      <c r="CC131" s="3"/>
      <c r="CD131" s="9"/>
      <c r="CF131" s="9"/>
      <c r="CG131" s="9"/>
      <c r="CH131" s="9"/>
    </row>
    <row r="132" spans="81:86" x14ac:dyDescent="0.3">
      <c r="CC132" s="3"/>
      <c r="CD132" s="9"/>
      <c r="CF132" s="9"/>
      <c r="CG132" s="9"/>
      <c r="CH132" s="9"/>
    </row>
    <row r="133" spans="81:86" x14ac:dyDescent="0.3">
      <c r="CC133" s="3"/>
      <c r="CD133" s="9"/>
      <c r="CF133" s="9"/>
      <c r="CG133" s="9"/>
      <c r="CH133" s="9"/>
    </row>
    <row r="134" spans="81:86" x14ac:dyDescent="0.3">
      <c r="CC134" s="3"/>
      <c r="CD134" s="9"/>
      <c r="CF134" s="9"/>
      <c r="CG134" s="9"/>
      <c r="CH134" s="9"/>
    </row>
    <row r="135" spans="81:86" x14ac:dyDescent="0.3">
      <c r="CC135" s="3"/>
      <c r="CD135" s="9"/>
      <c r="CF135" s="9"/>
      <c r="CG135" s="9"/>
      <c r="CH135" s="9"/>
    </row>
    <row r="136" spans="81:86" x14ac:dyDescent="0.3">
      <c r="CC136" s="3"/>
      <c r="CD136" s="9"/>
      <c r="CF136" s="9"/>
      <c r="CG136" s="9"/>
      <c r="CH136" s="9"/>
    </row>
    <row r="137" spans="81:86" x14ac:dyDescent="0.3">
      <c r="CC137" s="3"/>
      <c r="CD137" s="9"/>
      <c r="CF137" s="9"/>
      <c r="CG137" s="9"/>
      <c r="CH137" s="9"/>
    </row>
    <row r="138" spans="81:86" x14ac:dyDescent="0.3">
      <c r="CC138" s="3"/>
      <c r="CD138" s="9"/>
      <c r="CF138" s="9"/>
      <c r="CG138" s="9"/>
      <c r="CH138" s="9"/>
    </row>
    <row r="139" spans="81:86" x14ac:dyDescent="0.3">
      <c r="CC139" s="3"/>
      <c r="CD139" s="9"/>
      <c r="CF139" s="9"/>
      <c r="CG139" s="9"/>
      <c r="CH139" s="9"/>
    </row>
    <row r="140" spans="81:86" x14ac:dyDescent="0.3">
      <c r="CC140" s="3"/>
      <c r="CD140" s="9"/>
      <c r="CF140" s="9"/>
      <c r="CG140" s="9"/>
      <c r="CH140" s="9"/>
    </row>
    <row r="141" spans="81:86" x14ac:dyDescent="0.3">
      <c r="CC141" s="3"/>
      <c r="CD141" s="9"/>
      <c r="CF141" s="9"/>
      <c r="CG141" s="9"/>
      <c r="CH141" s="9"/>
    </row>
    <row r="142" spans="81:86" x14ac:dyDescent="0.3">
      <c r="CC142" s="3"/>
      <c r="CD142" s="9"/>
      <c r="CF142" s="9"/>
      <c r="CG142" s="9"/>
      <c r="CH142" s="9"/>
    </row>
    <row r="143" spans="81:86" x14ac:dyDescent="0.3">
      <c r="CC143" s="3"/>
      <c r="CD143" s="9"/>
      <c r="CF143" s="9"/>
      <c r="CG143" s="9"/>
      <c r="CH143" s="9"/>
    </row>
    <row r="144" spans="81:86" x14ac:dyDescent="0.3">
      <c r="CC144" s="3"/>
      <c r="CD144" s="9"/>
      <c r="CF144" s="9"/>
      <c r="CG144" s="9"/>
      <c r="CH144" s="9"/>
    </row>
    <row r="145" spans="81:86" x14ac:dyDescent="0.3">
      <c r="CC145" s="3"/>
      <c r="CD145" s="9"/>
      <c r="CF145" s="9"/>
      <c r="CG145" s="9"/>
      <c r="CH145" s="9"/>
    </row>
    <row r="146" spans="81:86" x14ac:dyDescent="0.3">
      <c r="CC146" s="3"/>
      <c r="CD146" s="9"/>
      <c r="CF146" s="9"/>
      <c r="CG146" s="9"/>
      <c r="CH146" s="9"/>
    </row>
    <row r="147" spans="81:86" x14ac:dyDescent="0.3">
      <c r="CC147" s="3"/>
      <c r="CD147" s="9"/>
      <c r="CF147" s="9"/>
      <c r="CG147" s="9"/>
      <c r="CH147" s="9"/>
    </row>
    <row r="148" spans="81:86" x14ac:dyDescent="0.3">
      <c r="CC148" s="3"/>
      <c r="CD148" s="9"/>
      <c r="CF148" s="9"/>
      <c r="CG148" s="9"/>
      <c r="CH148" s="9"/>
    </row>
    <row r="149" spans="81:86" x14ac:dyDescent="0.3">
      <c r="CC149" s="3"/>
      <c r="CD149" s="9"/>
      <c r="CF149" s="9"/>
      <c r="CG149" s="9"/>
      <c r="CH149" s="9"/>
    </row>
    <row r="150" spans="81:86" x14ac:dyDescent="0.3">
      <c r="CC150" s="3"/>
      <c r="CD150" s="9"/>
      <c r="CF150" s="9"/>
      <c r="CG150" s="9"/>
      <c r="CH150" s="9"/>
    </row>
    <row r="151" spans="81:86" x14ac:dyDescent="0.3">
      <c r="CC151" s="3"/>
      <c r="CD151" s="9"/>
      <c r="CF151" s="9"/>
      <c r="CG151" s="9"/>
      <c r="CH151" s="9"/>
    </row>
    <row r="152" spans="81:86" x14ac:dyDescent="0.3">
      <c r="CC152" s="3"/>
      <c r="CD152" s="9"/>
      <c r="CF152" s="9"/>
      <c r="CG152" s="9"/>
      <c r="CH152" s="9"/>
    </row>
    <row r="153" spans="81:86" x14ac:dyDescent="0.3">
      <c r="CC153" s="3"/>
      <c r="CD153" s="9"/>
      <c r="CF153" s="9"/>
      <c r="CG153" s="9"/>
      <c r="CH153" s="9"/>
    </row>
    <row r="154" spans="81:86" x14ac:dyDescent="0.3">
      <c r="CC154" s="3"/>
      <c r="CD154" s="9"/>
      <c r="CF154" s="9"/>
      <c r="CG154" s="9"/>
      <c r="CH154" s="9"/>
    </row>
    <row r="155" spans="81:86" x14ac:dyDescent="0.3">
      <c r="CC155" s="3"/>
      <c r="CD155" s="9"/>
      <c r="CF155" s="9"/>
      <c r="CG155" s="9"/>
      <c r="CH155" s="9"/>
    </row>
    <row r="156" spans="81:86" x14ac:dyDescent="0.3">
      <c r="CC156" s="3"/>
      <c r="CD156" s="9"/>
      <c r="CF156" s="9"/>
      <c r="CG156" s="9"/>
      <c r="CH156" s="9"/>
    </row>
    <row r="157" spans="81:86" x14ac:dyDescent="0.3">
      <c r="CC157" s="3"/>
      <c r="CD157" s="9"/>
      <c r="CF157" s="9"/>
      <c r="CG157" s="9"/>
      <c r="CH157" s="9"/>
    </row>
    <row r="158" spans="81:86" x14ac:dyDescent="0.3">
      <c r="CC158" s="3"/>
      <c r="CD158" s="9"/>
      <c r="CF158" s="9"/>
      <c r="CG158" s="9"/>
      <c r="CH158" s="9"/>
    </row>
    <row r="159" spans="81:86" x14ac:dyDescent="0.3">
      <c r="CC159" s="3"/>
      <c r="CD159" s="9"/>
      <c r="CF159" s="9"/>
      <c r="CG159" s="9"/>
      <c r="CH159" s="9"/>
    </row>
    <row r="160" spans="81:86" x14ac:dyDescent="0.3">
      <c r="CC160" s="3"/>
      <c r="CD160" s="9"/>
      <c r="CF160" s="9"/>
      <c r="CG160" s="9"/>
      <c r="CH160" s="9"/>
    </row>
    <row r="161" spans="81:86" x14ac:dyDescent="0.3">
      <c r="CC161" s="3"/>
      <c r="CD161" s="9"/>
      <c r="CF161" s="9"/>
      <c r="CG161" s="9"/>
      <c r="CH161" s="9"/>
    </row>
    <row r="162" spans="81:86" x14ac:dyDescent="0.3">
      <c r="CC162" s="3"/>
      <c r="CD162" s="9"/>
      <c r="CF162" s="9"/>
      <c r="CG162" s="9"/>
      <c r="CH162" s="9"/>
    </row>
    <row r="163" spans="81:86" x14ac:dyDescent="0.3">
      <c r="CC163" s="3"/>
      <c r="CD163" s="9"/>
      <c r="CF163" s="9"/>
      <c r="CG163" s="9"/>
      <c r="CH163" s="9"/>
    </row>
    <row r="164" spans="81:86" x14ac:dyDescent="0.3">
      <c r="CC164" s="3"/>
      <c r="CD164" s="9"/>
      <c r="CF164" s="9"/>
      <c r="CG164" s="9"/>
      <c r="CH164" s="9"/>
    </row>
    <row r="165" spans="81:86" x14ac:dyDescent="0.3">
      <c r="CC165" s="3"/>
      <c r="CD165" s="9"/>
      <c r="CF165" s="9"/>
      <c r="CG165" s="9"/>
      <c r="CH165" s="9"/>
    </row>
    <row r="166" spans="81:86" x14ac:dyDescent="0.3">
      <c r="CC166" s="3"/>
      <c r="CD166" s="9"/>
      <c r="CF166" s="9"/>
      <c r="CG166" s="9"/>
      <c r="CH166" s="9"/>
    </row>
    <row r="167" spans="81:86" x14ac:dyDescent="0.3">
      <c r="CC167" s="3"/>
      <c r="CD167" s="9"/>
      <c r="CF167" s="9"/>
      <c r="CG167" s="9"/>
      <c r="CH167" s="9"/>
    </row>
    <row r="168" spans="81:86" x14ac:dyDescent="0.3">
      <c r="CC168" s="3"/>
      <c r="CD168" s="9"/>
      <c r="CF168" s="9"/>
      <c r="CG168" s="9"/>
      <c r="CH168" s="9"/>
    </row>
    <row r="169" spans="81:86" x14ac:dyDescent="0.3">
      <c r="CC169" s="3"/>
      <c r="CD169" s="9"/>
      <c r="CF169" s="9"/>
      <c r="CG169" s="9"/>
      <c r="CH169" s="9"/>
    </row>
    <row r="170" spans="81:86" x14ac:dyDescent="0.3">
      <c r="CC170" s="3"/>
      <c r="CD170" s="9"/>
      <c r="CF170" s="9"/>
      <c r="CG170" s="9"/>
      <c r="CH170" s="9"/>
    </row>
    <row r="171" spans="81:86" x14ac:dyDescent="0.3">
      <c r="CC171" s="3"/>
      <c r="CD171" s="9"/>
      <c r="CF171" s="9"/>
      <c r="CG171" s="9"/>
      <c r="CH171" s="9"/>
    </row>
    <row r="172" spans="81:86" x14ac:dyDescent="0.3">
      <c r="CC172" s="3"/>
      <c r="CD172" s="9"/>
      <c r="CF172" s="9"/>
      <c r="CG172" s="9"/>
      <c r="CH172" s="9"/>
    </row>
    <row r="173" spans="81:86" x14ac:dyDescent="0.3">
      <c r="CC173" s="3"/>
      <c r="CD173" s="9"/>
      <c r="CF173" s="9"/>
      <c r="CG173" s="9"/>
      <c r="CH173" s="9"/>
    </row>
    <row r="174" spans="81:86" x14ac:dyDescent="0.3">
      <c r="CC174" s="3"/>
      <c r="CD174" s="9"/>
      <c r="CF174" s="9"/>
      <c r="CG174" s="9"/>
      <c r="CH174" s="9"/>
    </row>
    <row r="175" spans="81:86" x14ac:dyDescent="0.3">
      <c r="CC175" s="3"/>
      <c r="CD175" s="9"/>
      <c r="CF175" s="9"/>
      <c r="CG175" s="9"/>
      <c r="CH175" s="9"/>
    </row>
    <row r="176" spans="81:86" x14ac:dyDescent="0.3">
      <c r="CC176" s="3"/>
      <c r="CD176" s="9"/>
      <c r="CF176" s="9"/>
      <c r="CG176" s="9"/>
      <c r="CH176" s="9"/>
    </row>
    <row r="177" spans="81:86" x14ac:dyDescent="0.3">
      <c r="CC177" s="3"/>
      <c r="CD177" s="9"/>
      <c r="CF177" s="9"/>
      <c r="CG177" s="9"/>
      <c r="CH177" s="9"/>
    </row>
    <row r="178" spans="81:86" x14ac:dyDescent="0.3">
      <c r="CC178" s="3"/>
      <c r="CD178" s="9"/>
      <c r="CF178" s="9"/>
      <c r="CG178" s="9"/>
      <c r="CH178" s="9"/>
    </row>
    <row r="179" spans="81:86" x14ac:dyDescent="0.3">
      <c r="CC179" s="3"/>
      <c r="CD179" s="9"/>
      <c r="CF179" s="9"/>
      <c r="CG179" s="9"/>
      <c r="CH179" s="9"/>
    </row>
    <row r="180" spans="81:86" x14ac:dyDescent="0.3">
      <c r="CC180" s="3"/>
      <c r="CD180" s="9"/>
      <c r="CF180" s="9"/>
      <c r="CG180" s="9"/>
      <c r="CH180" s="9"/>
    </row>
    <row r="181" spans="81:86" x14ac:dyDescent="0.3">
      <c r="CC181" s="3"/>
      <c r="CD181" s="9"/>
      <c r="CF181" s="9"/>
      <c r="CG181" s="9"/>
      <c r="CH181" s="9"/>
    </row>
    <row r="182" spans="81:86" x14ac:dyDescent="0.3">
      <c r="CC182" s="3"/>
      <c r="CD182" s="9"/>
      <c r="CF182" s="9"/>
      <c r="CG182" s="9"/>
      <c r="CH182" s="9"/>
    </row>
    <row r="183" spans="81:86" x14ac:dyDescent="0.3">
      <c r="CC183" s="3"/>
      <c r="CD183" s="9"/>
      <c r="CF183" s="9"/>
      <c r="CG183" s="9"/>
      <c r="CH183" s="9"/>
    </row>
    <row r="184" spans="81:86" x14ac:dyDescent="0.3">
      <c r="CC184" s="3"/>
      <c r="CD184" s="9"/>
      <c r="CF184" s="9"/>
      <c r="CG184" s="9"/>
      <c r="CH184" s="9"/>
    </row>
    <row r="185" spans="81:86" x14ac:dyDescent="0.3">
      <c r="CC185" s="3"/>
      <c r="CD185" s="9"/>
      <c r="CF185" s="9"/>
      <c r="CG185" s="9"/>
      <c r="CH185" s="9"/>
    </row>
    <row r="186" spans="81:86" x14ac:dyDescent="0.3">
      <c r="CC186" s="3"/>
      <c r="CD186" s="9"/>
      <c r="CF186" s="9"/>
      <c r="CG186" s="9"/>
      <c r="CH186" s="9"/>
    </row>
    <row r="187" spans="81:86" x14ac:dyDescent="0.3">
      <c r="CC187" s="3"/>
      <c r="CD187" s="9"/>
      <c r="CF187" s="9"/>
      <c r="CG187" s="9"/>
      <c r="CH187" s="9"/>
    </row>
    <row r="188" spans="81:86" x14ac:dyDescent="0.3">
      <c r="CC188" s="3"/>
      <c r="CD188" s="9"/>
      <c r="CF188" s="9"/>
      <c r="CG188" s="9"/>
      <c r="CH188" s="9"/>
    </row>
    <row r="189" spans="81:86" x14ac:dyDescent="0.3">
      <c r="CC189" s="3"/>
      <c r="CD189" s="9"/>
      <c r="CF189" s="9"/>
      <c r="CG189" s="9"/>
      <c r="CH189" s="9"/>
    </row>
    <row r="190" spans="81:86" x14ac:dyDescent="0.3">
      <c r="CC190" s="3"/>
      <c r="CD190" s="9"/>
      <c r="CF190" s="9"/>
      <c r="CG190" s="9"/>
      <c r="CH190" s="9"/>
    </row>
    <row r="191" spans="81:86" x14ac:dyDescent="0.3">
      <c r="CC191" s="3"/>
      <c r="CD191" s="9"/>
      <c r="CF191" s="9"/>
      <c r="CG191" s="9"/>
      <c r="CH191" s="9"/>
    </row>
    <row r="192" spans="81:86" x14ac:dyDescent="0.3">
      <c r="CC192" s="3"/>
      <c r="CD192" s="9"/>
      <c r="CF192" s="9"/>
      <c r="CG192" s="9"/>
      <c r="CH192" s="9"/>
    </row>
    <row r="193" spans="81:86" x14ac:dyDescent="0.3">
      <c r="CC193" s="3"/>
      <c r="CD193" s="9"/>
      <c r="CF193" s="9"/>
      <c r="CG193" s="9"/>
      <c r="CH193" s="9"/>
    </row>
    <row r="194" spans="81:86" x14ac:dyDescent="0.3">
      <c r="CC194" s="3"/>
      <c r="CD194" s="9"/>
      <c r="CF194" s="9"/>
      <c r="CG194" s="9"/>
      <c r="CH194" s="9"/>
    </row>
    <row r="195" spans="81:86" x14ac:dyDescent="0.3">
      <c r="CC195" s="3"/>
      <c r="CD195" s="9"/>
      <c r="CF195" s="9"/>
      <c r="CG195" s="9"/>
      <c r="CH195" s="9"/>
    </row>
    <row r="196" spans="81:86" x14ac:dyDescent="0.3">
      <c r="CC196" s="3"/>
      <c r="CD196" s="9"/>
      <c r="CF196" s="9"/>
      <c r="CG196" s="9"/>
      <c r="CH196" s="9"/>
    </row>
    <row r="197" spans="81:86" x14ac:dyDescent="0.3">
      <c r="CC197" s="3"/>
      <c r="CD197" s="9"/>
      <c r="CF197" s="9"/>
      <c r="CG197" s="9"/>
      <c r="CH197" s="9"/>
    </row>
    <row r="198" spans="81:86" x14ac:dyDescent="0.3">
      <c r="CC198" s="3"/>
      <c r="CD198" s="9"/>
      <c r="CF198" s="9"/>
      <c r="CG198" s="9"/>
      <c r="CH198" s="9"/>
    </row>
    <row r="199" spans="81:86" x14ac:dyDescent="0.3">
      <c r="CC199" s="3"/>
      <c r="CD199" s="9"/>
      <c r="CF199" s="9"/>
      <c r="CG199" s="9"/>
      <c r="CH199" s="9"/>
    </row>
    <row r="200" spans="81:86" x14ac:dyDescent="0.3">
      <c r="CC200" s="3"/>
      <c r="CD200" s="9"/>
      <c r="CF200" s="9"/>
      <c r="CG200" s="9"/>
      <c r="CH200" s="9"/>
    </row>
    <row r="201" spans="81:86" x14ac:dyDescent="0.3">
      <c r="CC201" s="3"/>
      <c r="CD201" s="9"/>
      <c r="CF201" s="9"/>
      <c r="CG201" s="9"/>
      <c r="CH201" s="9"/>
    </row>
    <row r="202" spans="81:86" x14ac:dyDescent="0.3">
      <c r="CC202" s="3"/>
      <c r="CD202" s="9"/>
      <c r="CF202" s="9"/>
      <c r="CG202" s="9"/>
      <c r="CH202" s="9"/>
    </row>
    <row r="203" spans="81:86" x14ac:dyDescent="0.3">
      <c r="CC203" s="3"/>
      <c r="CD203" s="9"/>
      <c r="CF203" s="9"/>
      <c r="CG203" s="9"/>
      <c r="CH203" s="9"/>
    </row>
    <row r="204" spans="81:86" x14ac:dyDescent="0.3">
      <c r="CC204" s="3"/>
      <c r="CD204" s="9"/>
      <c r="CF204" s="9"/>
      <c r="CG204" s="9"/>
      <c r="CH204" s="9"/>
    </row>
    <row r="205" spans="81:86" x14ac:dyDescent="0.3">
      <c r="CC205" s="3"/>
      <c r="CD205" s="9"/>
      <c r="CF205" s="9"/>
      <c r="CG205" s="9"/>
      <c r="CH205" s="9"/>
    </row>
    <row r="206" spans="81:86" x14ac:dyDescent="0.3">
      <c r="CC206" s="3"/>
      <c r="CD206" s="9"/>
      <c r="CF206" s="9"/>
      <c r="CG206" s="9"/>
      <c r="CH206" s="9"/>
    </row>
    <row r="207" spans="81:86" x14ac:dyDescent="0.3">
      <c r="CC207" s="3"/>
      <c r="CD207" s="9"/>
      <c r="CF207" s="9"/>
      <c r="CG207" s="9"/>
      <c r="CH207" s="9"/>
    </row>
    <row r="208" spans="81:86" x14ac:dyDescent="0.3">
      <c r="CC208" s="3"/>
      <c r="CD208" s="9"/>
      <c r="CF208" s="9"/>
      <c r="CG208" s="9"/>
      <c r="CH208" s="9"/>
    </row>
    <row r="209" spans="81:86" x14ac:dyDescent="0.3">
      <c r="CC209" s="3"/>
      <c r="CD209" s="9"/>
      <c r="CF209" s="9"/>
      <c r="CG209" s="9"/>
      <c r="CH209" s="9"/>
    </row>
    <row r="210" spans="81:86" x14ac:dyDescent="0.3">
      <c r="CC210" s="3"/>
      <c r="CD210" s="9"/>
      <c r="CF210" s="9"/>
      <c r="CG210" s="9"/>
      <c r="CH210" s="9"/>
    </row>
    <row r="211" spans="81:86" x14ac:dyDescent="0.3">
      <c r="CC211" s="3"/>
      <c r="CD211" s="9"/>
      <c r="CF211" s="9"/>
      <c r="CG211" s="9"/>
      <c r="CH211" s="9"/>
    </row>
    <row r="212" spans="81:86" x14ac:dyDescent="0.3">
      <c r="CC212" s="3"/>
      <c r="CD212" s="9"/>
      <c r="CF212" s="9"/>
      <c r="CG212" s="9"/>
      <c r="CH212" s="9"/>
    </row>
    <row r="213" spans="81:86" x14ac:dyDescent="0.3">
      <c r="CC213" s="3"/>
      <c r="CD213" s="9"/>
      <c r="CF213" s="9"/>
      <c r="CG213" s="9"/>
      <c r="CH213" s="9"/>
    </row>
    <row r="214" spans="81:86" x14ac:dyDescent="0.3">
      <c r="CC214" s="3"/>
      <c r="CD214" s="9"/>
      <c r="CF214" s="9"/>
      <c r="CG214" s="9"/>
      <c r="CH214" s="9"/>
    </row>
    <row r="215" spans="81:86" x14ac:dyDescent="0.3">
      <c r="CC215" s="3"/>
      <c r="CD215" s="9"/>
      <c r="CF215" s="9"/>
      <c r="CG215" s="9"/>
      <c r="CH215" s="9"/>
    </row>
    <row r="216" spans="81:86" x14ac:dyDescent="0.3">
      <c r="CC216" s="3"/>
      <c r="CD216" s="9"/>
      <c r="CF216" s="9"/>
      <c r="CG216" s="9"/>
      <c r="CH216" s="9"/>
    </row>
    <row r="217" spans="81:86" x14ac:dyDescent="0.3">
      <c r="CC217" s="3"/>
      <c r="CD217" s="9"/>
      <c r="CF217" s="9"/>
      <c r="CG217" s="9"/>
      <c r="CH217" s="9"/>
    </row>
    <row r="218" spans="81:86" x14ac:dyDescent="0.3">
      <c r="CC218" s="3"/>
      <c r="CD218" s="9"/>
      <c r="CF218" s="9"/>
      <c r="CG218" s="9"/>
      <c r="CH218" s="9"/>
    </row>
    <row r="219" spans="81:86" x14ac:dyDescent="0.3">
      <c r="CC219" s="3"/>
      <c r="CD219" s="9"/>
      <c r="CF219" s="9"/>
      <c r="CG219" s="9"/>
      <c r="CH219" s="9"/>
    </row>
    <row r="220" spans="81:86" x14ac:dyDescent="0.3">
      <c r="CC220" s="3"/>
      <c r="CD220" s="9"/>
      <c r="CF220" s="9"/>
      <c r="CG220" s="9"/>
      <c r="CH220" s="9"/>
    </row>
    <row r="221" spans="81:86" x14ac:dyDescent="0.3">
      <c r="CC221" s="3"/>
      <c r="CD221" s="9"/>
      <c r="CF221" s="9"/>
      <c r="CG221" s="9"/>
      <c r="CH221" s="9"/>
    </row>
    <row r="222" spans="81:86" x14ac:dyDescent="0.3">
      <c r="CC222" s="3"/>
      <c r="CD222" s="9"/>
      <c r="CF222" s="9"/>
      <c r="CG222" s="9"/>
      <c r="CH222" s="9"/>
    </row>
    <row r="223" spans="81:86" x14ac:dyDescent="0.3">
      <c r="CC223" s="3"/>
      <c r="CD223" s="9"/>
      <c r="CF223" s="9"/>
      <c r="CG223" s="9"/>
      <c r="CH223" s="9"/>
    </row>
    <row r="224" spans="81:86" x14ac:dyDescent="0.3">
      <c r="CC224" s="3"/>
      <c r="CD224" s="9"/>
      <c r="CF224" s="9"/>
      <c r="CG224" s="9"/>
      <c r="CH224" s="9"/>
    </row>
    <row r="225" spans="81:86" x14ac:dyDescent="0.3">
      <c r="CC225" s="3"/>
      <c r="CD225" s="9"/>
      <c r="CF225" s="9"/>
      <c r="CG225" s="9"/>
      <c r="CH225" s="9"/>
    </row>
    <row r="226" spans="81:86" x14ac:dyDescent="0.3">
      <c r="CC226" s="3"/>
      <c r="CD226" s="9"/>
      <c r="CF226" s="9"/>
      <c r="CG226" s="9"/>
      <c r="CH226" s="9"/>
    </row>
    <row r="227" spans="81:86" x14ac:dyDescent="0.3">
      <c r="CC227" s="3"/>
      <c r="CD227" s="9"/>
      <c r="CF227" s="9"/>
      <c r="CG227" s="9"/>
      <c r="CH227" s="9"/>
    </row>
    <row r="228" spans="81:86" x14ac:dyDescent="0.3">
      <c r="CC228" s="3"/>
      <c r="CD228" s="9"/>
      <c r="CF228" s="9"/>
      <c r="CG228" s="9"/>
      <c r="CH228" s="9"/>
    </row>
    <row r="229" spans="81:86" x14ac:dyDescent="0.3">
      <c r="CC229" s="3"/>
      <c r="CD229" s="9"/>
      <c r="CF229" s="9"/>
      <c r="CG229" s="9"/>
      <c r="CH229" s="9"/>
    </row>
    <row r="230" spans="81:86" x14ac:dyDescent="0.3">
      <c r="CC230" s="3"/>
      <c r="CD230" s="9"/>
      <c r="CF230" s="9"/>
      <c r="CG230" s="9"/>
      <c r="CH230" s="9"/>
    </row>
    <row r="231" spans="81:86" x14ac:dyDescent="0.3">
      <c r="CC231" s="3"/>
      <c r="CD231" s="9"/>
      <c r="CF231" s="9"/>
      <c r="CG231" s="9"/>
      <c r="CH231" s="9"/>
    </row>
    <row r="232" spans="81:86" x14ac:dyDescent="0.3">
      <c r="CC232" s="3"/>
      <c r="CD232" s="9"/>
      <c r="CF232" s="9"/>
      <c r="CG232" s="9"/>
      <c r="CH232" s="9"/>
    </row>
    <row r="233" spans="81:86" x14ac:dyDescent="0.3">
      <c r="CC233" s="3"/>
      <c r="CD233" s="9"/>
      <c r="CF233" s="9"/>
      <c r="CG233" s="9"/>
      <c r="CH233" s="9"/>
    </row>
    <row r="234" spans="81:86" x14ac:dyDescent="0.3">
      <c r="CC234" s="3"/>
      <c r="CD234" s="9"/>
      <c r="CF234" s="9"/>
      <c r="CG234" s="9"/>
      <c r="CH234" s="9"/>
    </row>
    <row r="235" spans="81:86" x14ac:dyDescent="0.3">
      <c r="CC235" s="3"/>
      <c r="CD235" s="9"/>
      <c r="CF235" s="9"/>
      <c r="CG235" s="9"/>
      <c r="CH235" s="9"/>
    </row>
    <row r="236" spans="81:86" x14ac:dyDescent="0.3">
      <c r="CC236" s="3"/>
      <c r="CD236" s="9"/>
      <c r="CF236" s="9"/>
      <c r="CG236" s="9"/>
      <c r="CH236" s="9"/>
    </row>
    <row r="237" spans="81:86" x14ac:dyDescent="0.3">
      <c r="CC237" s="3"/>
      <c r="CD237" s="9"/>
      <c r="CF237" s="9"/>
      <c r="CG237" s="9"/>
      <c r="CH237" s="9"/>
    </row>
    <row r="238" spans="81:86" x14ac:dyDescent="0.3">
      <c r="CC238" s="3"/>
      <c r="CD238" s="9"/>
      <c r="CF238" s="9"/>
      <c r="CG238" s="9"/>
      <c r="CH238" s="9"/>
    </row>
    <row r="239" spans="81:86" x14ac:dyDescent="0.3">
      <c r="CC239" s="3"/>
      <c r="CD239" s="9"/>
      <c r="CF239" s="9"/>
      <c r="CG239" s="9"/>
      <c r="CH239" s="9"/>
    </row>
    <row r="240" spans="81:86" x14ac:dyDescent="0.3">
      <c r="CC240" s="3"/>
      <c r="CD240" s="9"/>
      <c r="CF240" s="9"/>
      <c r="CG240" s="9"/>
      <c r="CH240" s="9"/>
    </row>
    <row r="241" spans="81:86" x14ac:dyDescent="0.3">
      <c r="CC241" s="3"/>
      <c r="CD241" s="9"/>
      <c r="CF241" s="9"/>
      <c r="CG241" s="9"/>
      <c r="CH241" s="9"/>
    </row>
    <row r="242" spans="81:86" x14ac:dyDescent="0.3">
      <c r="CC242" s="3"/>
      <c r="CD242" s="9"/>
      <c r="CF242" s="9"/>
      <c r="CG242" s="9"/>
      <c r="CH242" s="9"/>
    </row>
    <row r="243" spans="81:86" x14ac:dyDescent="0.3">
      <c r="CC243" s="3"/>
      <c r="CD243" s="9"/>
      <c r="CF243" s="9"/>
      <c r="CG243" s="9"/>
      <c r="CH243" s="9"/>
    </row>
    <row r="244" spans="81:86" x14ac:dyDescent="0.3">
      <c r="CC244" s="3"/>
      <c r="CD244" s="9"/>
      <c r="CF244" s="9"/>
      <c r="CG244" s="9"/>
      <c r="CH244" s="9"/>
    </row>
    <row r="245" spans="81:86" x14ac:dyDescent="0.3">
      <c r="CC245" s="3"/>
      <c r="CD245" s="9"/>
      <c r="CF245" s="9"/>
      <c r="CG245" s="9"/>
      <c r="CH245" s="9"/>
    </row>
    <row r="246" spans="81:86" x14ac:dyDescent="0.3">
      <c r="CC246" s="3"/>
      <c r="CD246" s="9"/>
      <c r="CF246" s="9"/>
      <c r="CG246" s="9"/>
      <c r="CH246" s="9"/>
    </row>
    <row r="247" spans="81:86" x14ac:dyDescent="0.3">
      <c r="CC247" s="3"/>
      <c r="CD247" s="9"/>
      <c r="CF247" s="9"/>
      <c r="CG247" s="9"/>
      <c r="CH247" s="9"/>
    </row>
    <row r="248" spans="81:86" x14ac:dyDescent="0.3">
      <c r="CC248" s="3"/>
      <c r="CD248" s="9"/>
      <c r="CF248" s="9"/>
      <c r="CG248" s="9"/>
      <c r="CH248" s="9"/>
    </row>
    <row r="249" spans="81:86" x14ac:dyDescent="0.3">
      <c r="CC249" s="3"/>
      <c r="CD249" s="9"/>
      <c r="CF249" s="9"/>
      <c r="CG249" s="9"/>
      <c r="CH249" s="9"/>
    </row>
    <row r="250" spans="81:86" x14ac:dyDescent="0.3">
      <c r="CC250" s="3"/>
      <c r="CD250" s="9"/>
      <c r="CF250" s="9"/>
      <c r="CG250" s="9"/>
      <c r="CH250" s="9"/>
    </row>
    <row r="251" spans="81:86" x14ac:dyDescent="0.3">
      <c r="CC251" s="3"/>
      <c r="CD251" s="9"/>
      <c r="CF251" s="9"/>
      <c r="CG251" s="9"/>
      <c r="CH251" s="9"/>
    </row>
    <row r="252" spans="81:86" x14ac:dyDescent="0.3">
      <c r="CC252" s="3"/>
      <c r="CD252" s="9"/>
      <c r="CF252" s="9"/>
      <c r="CG252" s="9"/>
      <c r="CH252" s="9"/>
    </row>
    <row r="253" spans="81:86" x14ac:dyDescent="0.3">
      <c r="CC253" s="3"/>
      <c r="CD253" s="9"/>
      <c r="CF253" s="9"/>
      <c r="CG253" s="9"/>
      <c r="CH253" s="9"/>
    </row>
    <row r="254" spans="81:86" x14ac:dyDescent="0.3">
      <c r="CC254" s="3"/>
      <c r="CD254" s="9"/>
      <c r="CF254" s="9"/>
      <c r="CG254" s="9"/>
      <c r="CH254" s="9"/>
    </row>
    <row r="255" spans="81:86" x14ac:dyDescent="0.3">
      <c r="CC255" s="3"/>
      <c r="CD255" s="9"/>
      <c r="CF255" s="9"/>
      <c r="CG255" s="9"/>
      <c r="CH255" s="9"/>
    </row>
    <row r="256" spans="81:86" x14ac:dyDescent="0.3">
      <c r="CC256" s="3"/>
      <c r="CD256" s="9"/>
      <c r="CF256" s="9"/>
      <c r="CG256" s="9"/>
      <c r="CH256" s="9"/>
    </row>
    <row r="257" spans="81:86" x14ac:dyDescent="0.3">
      <c r="CC257" s="3"/>
      <c r="CD257" s="9"/>
      <c r="CF257" s="9"/>
      <c r="CG257" s="9"/>
      <c r="CH257" s="9"/>
    </row>
    <row r="258" spans="81:86" x14ac:dyDescent="0.3">
      <c r="CC258" s="3"/>
      <c r="CD258" s="9"/>
      <c r="CF258" s="9"/>
      <c r="CG258" s="9"/>
      <c r="CH258" s="9"/>
    </row>
    <row r="259" spans="81:86" x14ac:dyDescent="0.3">
      <c r="CC259" s="3"/>
      <c r="CD259" s="9"/>
      <c r="CF259" s="9"/>
      <c r="CG259" s="9"/>
      <c r="CH259" s="9"/>
    </row>
    <row r="260" spans="81:86" x14ac:dyDescent="0.3">
      <c r="CC260" s="3"/>
      <c r="CD260" s="9"/>
      <c r="CF260" s="9"/>
      <c r="CG260" s="9"/>
      <c r="CH260" s="9"/>
    </row>
    <row r="261" spans="81:86" x14ac:dyDescent="0.3">
      <c r="CC261" s="3"/>
      <c r="CD261" s="9"/>
      <c r="CF261" s="9"/>
      <c r="CG261" s="9"/>
      <c r="CH261" s="9"/>
    </row>
    <row r="262" spans="81:86" x14ac:dyDescent="0.3">
      <c r="CC262" s="3"/>
      <c r="CD262" s="9"/>
      <c r="CF262" s="9"/>
      <c r="CG262" s="9"/>
      <c r="CH262" s="9"/>
    </row>
    <row r="263" spans="81:86" x14ac:dyDescent="0.3">
      <c r="CC263" s="3"/>
      <c r="CD263" s="9"/>
      <c r="CF263" s="9"/>
      <c r="CG263" s="9"/>
      <c r="CH263" s="9"/>
    </row>
    <row r="264" spans="81:86" x14ac:dyDescent="0.3">
      <c r="CC264" s="3"/>
      <c r="CD264" s="9"/>
      <c r="CF264" s="9"/>
      <c r="CG264" s="9"/>
      <c r="CH264" s="9"/>
    </row>
    <row r="265" spans="81:86" x14ac:dyDescent="0.3">
      <c r="CC265" s="3"/>
      <c r="CD265" s="9"/>
      <c r="CF265" s="9"/>
      <c r="CG265" s="9"/>
      <c r="CH265" s="9"/>
    </row>
    <row r="266" spans="81:86" x14ac:dyDescent="0.3">
      <c r="CC266" s="3"/>
      <c r="CD266" s="9"/>
      <c r="CF266" s="9"/>
      <c r="CG266" s="9"/>
      <c r="CH266" s="9"/>
    </row>
    <row r="267" spans="81:86" x14ac:dyDescent="0.3">
      <c r="CC267" s="3"/>
      <c r="CD267" s="9"/>
      <c r="CF267" s="9"/>
      <c r="CG267" s="9"/>
      <c r="CH267" s="9"/>
    </row>
    <row r="268" spans="81:86" x14ac:dyDescent="0.3">
      <c r="CC268" s="3"/>
      <c r="CD268" s="9"/>
      <c r="CF268" s="9"/>
      <c r="CG268" s="9"/>
      <c r="CH268" s="9"/>
    </row>
    <row r="269" spans="81:86" x14ac:dyDescent="0.3">
      <c r="CC269" s="3"/>
      <c r="CD269" s="9"/>
      <c r="CF269" s="9"/>
      <c r="CG269" s="9"/>
      <c r="CH269" s="9"/>
    </row>
    <row r="270" spans="81:86" x14ac:dyDescent="0.3">
      <c r="CC270" s="3"/>
      <c r="CD270" s="9"/>
      <c r="CF270" s="9"/>
      <c r="CG270" s="9"/>
      <c r="CH270" s="9"/>
    </row>
    <row r="271" spans="81:86" x14ac:dyDescent="0.3">
      <c r="CC271" s="3"/>
      <c r="CD271" s="9"/>
      <c r="CF271" s="9"/>
      <c r="CG271" s="9"/>
      <c r="CH271" s="9"/>
    </row>
    <row r="272" spans="81:86" x14ac:dyDescent="0.3">
      <c r="CC272" s="3"/>
      <c r="CD272" s="9"/>
      <c r="CF272" s="9"/>
      <c r="CG272" s="9"/>
      <c r="CH272" s="9"/>
    </row>
    <row r="273" spans="81:86" x14ac:dyDescent="0.3">
      <c r="CC273" s="3"/>
      <c r="CD273" s="9"/>
      <c r="CF273" s="9"/>
      <c r="CG273" s="9"/>
      <c r="CH273" s="9"/>
    </row>
    <row r="274" spans="81:86" x14ac:dyDescent="0.3">
      <c r="CC274" s="3"/>
      <c r="CD274" s="9"/>
      <c r="CF274" s="9"/>
      <c r="CG274" s="9"/>
      <c r="CH274" s="9"/>
    </row>
    <row r="275" spans="81:86" x14ac:dyDescent="0.3">
      <c r="CC275" s="3"/>
      <c r="CD275" s="9"/>
      <c r="CF275" s="9"/>
      <c r="CG275" s="9"/>
      <c r="CH275" s="9"/>
    </row>
    <row r="276" spans="81:86" x14ac:dyDescent="0.3">
      <c r="CC276" s="3"/>
      <c r="CD276" s="9"/>
      <c r="CF276" s="9"/>
      <c r="CG276" s="9"/>
      <c r="CH276" s="9"/>
    </row>
    <row r="277" spans="81:86" x14ac:dyDescent="0.3">
      <c r="CC277" s="3"/>
      <c r="CD277" s="9"/>
      <c r="CF277" s="9"/>
      <c r="CG277" s="9"/>
      <c r="CH277" s="9"/>
    </row>
    <row r="278" spans="81:86" x14ac:dyDescent="0.3">
      <c r="CC278" s="3"/>
      <c r="CD278" s="9"/>
      <c r="CF278" s="9"/>
      <c r="CG278" s="9"/>
      <c r="CH278" s="9"/>
    </row>
    <row r="279" spans="81:86" x14ac:dyDescent="0.3">
      <c r="CC279" s="3"/>
      <c r="CD279" s="9"/>
      <c r="CF279" s="9"/>
      <c r="CG279" s="9"/>
      <c r="CH279" s="9"/>
    </row>
    <row r="280" spans="81:86" x14ac:dyDescent="0.3">
      <c r="CC280" s="3"/>
      <c r="CD280" s="9"/>
      <c r="CF280" s="9"/>
      <c r="CG280" s="9"/>
      <c r="CH280" s="9"/>
    </row>
    <row r="281" spans="81:86" x14ac:dyDescent="0.3">
      <c r="CC281" s="3"/>
      <c r="CD281" s="9"/>
      <c r="CF281" s="9"/>
      <c r="CG281" s="9"/>
      <c r="CH281" s="9"/>
    </row>
    <row r="282" spans="81:86" x14ac:dyDescent="0.3">
      <c r="CC282" s="3"/>
      <c r="CD282" s="9"/>
      <c r="CF282" s="9"/>
      <c r="CG282" s="9"/>
      <c r="CH282" s="9"/>
    </row>
    <row r="283" spans="81:86" x14ac:dyDescent="0.3">
      <c r="CC283" s="3"/>
      <c r="CD283" s="9"/>
      <c r="CF283" s="9"/>
      <c r="CG283" s="9"/>
      <c r="CH283" s="9"/>
    </row>
    <row r="284" spans="81:86" x14ac:dyDescent="0.3">
      <c r="CC284" s="3"/>
      <c r="CD284" s="9"/>
      <c r="CF284" s="9"/>
      <c r="CG284" s="9"/>
      <c r="CH284" s="9"/>
    </row>
    <row r="285" spans="81:86" x14ac:dyDescent="0.3">
      <c r="CC285" s="3"/>
      <c r="CD285" s="9"/>
      <c r="CF285" s="9"/>
      <c r="CG285" s="9"/>
      <c r="CH285" s="9"/>
    </row>
    <row r="286" spans="81:86" x14ac:dyDescent="0.3">
      <c r="CC286" s="3"/>
      <c r="CD286" s="9"/>
      <c r="CF286" s="9"/>
      <c r="CG286" s="9"/>
      <c r="CH286" s="9"/>
    </row>
    <row r="287" spans="81:86" x14ac:dyDescent="0.3">
      <c r="CC287" s="3"/>
      <c r="CD287" s="9"/>
      <c r="CF287" s="9"/>
      <c r="CG287" s="9"/>
      <c r="CH287" s="9"/>
    </row>
    <row r="288" spans="81:86" x14ac:dyDescent="0.3">
      <c r="CC288" s="3"/>
      <c r="CD288" s="9"/>
      <c r="CF288" s="9"/>
      <c r="CG288" s="9"/>
      <c r="CH288" s="9"/>
    </row>
    <row r="289" spans="81:86" x14ac:dyDescent="0.3">
      <c r="CC289" s="3"/>
      <c r="CD289" s="9"/>
      <c r="CF289" s="9"/>
      <c r="CG289" s="9"/>
      <c r="CH289" s="9"/>
    </row>
    <row r="290" spans="81:86" x14ac:dyDescent="0.3">
      <c r="CC290" s="3"/>
      <c r="CD290" s="9"/>
      <c r="CF290" s="9"/>
      <c r="CG290" s="9"/>
      <c r="CH290" s="9"/>
    </row>
    <row r="291" spans="81:86" x14ac:dyDescent="0.3">
      <c r="CC291" s="3"/>
      <c r="CD291" s="9"/>
      <c r="CF291" s="9"/>
      <c r="CG291" s="9"/>
      <c r="CH291" s="9"/>
    </row>
    <row r="292" spans="81:86" x14ac:dyDescent="0.3">
      <c r="CC292" s="3"/>
      <c r="CD292" s="9"/>
      <c r="CF292" s="9"/>
      <c r="CG292" s="9"/>
      <c r="CH292" s="9"/>
    </row>
    <row r="293" spans="81:86" x14ac:dyDescent="0.3">
      <c r="CC293" s="3"/>
      <c r="CD293" s="9"/>
      <c r="CF293" s="9"/>
      <c r="CG293" s="9"/>
      <c r="CH293" s="9"/>
    </row>
    <row r="294" spans="81:86" x14ac:dyDescent="0.3">
      <c r="CC294" s="3"/>
      <c r="CD294" s="9"/>
      <c r="CF294" s="9"/>
      <c r="CG294" s="9"/>
      <c r="CH294" s="9"/>
    </row>
    <row r="295" spans="81:86" x14ac:dyDescent="0.3">
      <c r="CC295" s="3"/>
      <c r="CD295" s="9"/>
      <c r="CF295" s="9"/>
      <c r="CG295" s="9"/>
      <c r="CH295" s="9"/>
    </row>
    <row r="296" spans="81:86" x14ac:dyDescent="0.3">
      <c r="CC296" s="3"/>
      <c r="CD296" s="9"/>
      <c r="CF296" s="9"/>
      <c r="CG296" s="9"/>
      <c r="CH296" s="9"/>
    </row>
    <row r="297" spans="81:86" x14ac:dyDescent="0.3">
      <c r="CC297" s="3"/>
      <c r="CD297" s="9"/>
      <c r="CF297" s="9"/>
      <c r="CG297" s="9"/>
      <c r="CH297" s="9"/>
    </row>
    <row r="298" spans="81:86" x14ac:dyDescent="0.3">
      <c r="CC298" s="3"/>
      <c r="CD298" s="9"/>
      <c r="CF298" s="9"/>
      <c r="CG298" s="9"/>
      <c r="CH298" s="9"/>
    </row>
    <row r="299" spans="81:86" x14ac:dyDescent="0.3">
      <c r="CC299" s="3"/>
      <c r="CD299" s="9"/>
      <c r="CF299" s="9"/>
      <c r="CG299" s="9"/>
      <c r="CH299" s="9"/>
    </row>
    <row r="300" spans="81:86" x14ac:dyDescent="0.3">
      <c r="CC300" s="3"/>
      <c r="CD300" s="9"/>
      <c r="CF300" s="9"/>
      <c r="CG300" s="9"/>
      <c r="CH300" s="9"/>
    </row>
    <row r="301" spans="81:86" x14ac:dyDescent="0.3">
      <c r="CC301" s="3"/>
      <c r="CD301" s="9"/>
      <c r="CF301" s="9"/>
      <c r="CG301" s="9"/>
      <c r="CH301" s="9"/>
    </row>
    <row r="302" spans="81:86" x14ac:dyDescent="0.3">
      <c r="CC302" s="3"/>
      <c r="CD302" s="9"/>
      <c r="CF302" s="9"/>
      <c r="CG302" s="9"/>
      <c r="CH302" s="9"/>
    </row>
    <row r="303" spans="81:86" x14ac:dyDescent="0.3">
      <c r="CC303" s="3"/>
      <c r="CD303" s="9"/>
      <c r="CF303" s="9"/>
      <c r="CG303" s="9"/>
      <c r="CH303" s="9"/>
    </row>
    <row r="304" spans="81:86" x14ac:dyDescent="0.3">
      <c r="CC304" s="3"/>
      <c r="CD304" s="9"/>
      <c r="CF304" s="9"/>
      <c r="CG304" s="9"/>
      <c r="CH304" s="9"/>
    </row>
    <row r="305" spans="81:86" x14ac:dyDescent="0.3">
      <c r="CC305" s="3"/>
      <c r="CD305" s="9"/>
      <c r="CF305" s="9"/>
      <c r="CG305" s="9"/>
      <c r="CH305" s="9"/>
    </row>
    <row r="306" spans="81:86" x14ac:dyDescent="0.3">
      <c r="CC306" s="3"/>
      <c r="CD306" s="9"/>
      <c r="CF306" s="9"/>
      <c r="CG306" s="9"/>
      <c r="CH306" s="9"/>
    </row>
    <row r="307" spans="81:86" x14ac:dyDescent="0.3">
      <c r="CC307" s="3"/>
      <c r="CD307" s="9"/>
      <c r="CF307" s="9"/>
      <c r="CG307" s="9"/>
      <c r="CH307" s="9"/>
    </row>
    <row r="308" spans="81:86" x14ac:dyDescent="0.3">
      <c r="CC308" s="3"/>
      <c r="CD308" s="9"/>
      <c r="CF308" s="9"/>
      <c r="CG308" s="9"/>
      <c r="CH308" s="9"/>
    </row>
    <row r="309" spans="81:86" x14ac:dyDescent="0.3">
      <c r="CC309" s="3"/>
      <c r="CD309" s="9"/>
      <c r="CF309" s="9"/>
      <c r="CG309" s="9"/>
      <c r="CH309" s="9"/>
    </row>
    <row r="310" spans="81:86" x14ac:dyDescent="0.3">
      <c r="CC310" s="3"/>
      <c r="CD310" s="9"/>
      <c r="CF310" s="9"/>
      <c r="CG310" s="9"/>
      <c r="CH310" s="9"/>
    </row>
    <row r="311" spans="81:86" x14ac:dyDescent="0.3">
      <c r="CC311" s="3"/>
      <c r="CD311" s="9"/>
      <c r="CF311" s="9"/>
      <c r="CG311" s="9"/>
      <c r="CH311" s="9"/>
    </row>
    <row r="312" spans="81:86" x14ac:dyDescent="0.3">
      <c r="CC312" s="3"/>
      <c r="CD312" s="9"/>
      <c r="CF312" s="9"/>
      <c r="CG312" s="9"/>
      <c r="CH312" s="9"/>
    </row>
    <row r="313" spans="81:86" x14ac:dyDescent="0.3">
      <c r="CC313" s="3"/>
      <c r="CD313" s="9"/>
      <c r="CF313" s="9"/>
      <c r="CG313" s="9"/>
      <c r="CH313" s="9"/>
    </row>
    <row r="314" spans="81:86" x14ac:dyDescent="0.3">
      <c r="CC314" s="3"/>
      <c r="CD314" s="9"/>
      <c r="CF314" s="9"/>
      <c r="CG314" s="9"/>
      <c r="CH314" s="9"/>
    </row>
    <row r="315" spans="81:86" x14ac:dyDescent="0.3">
      <c r="CC315" s="3"/>
      <c r="CD315" s="9"/>
      <c r="CF315" s="9"/>
      <c r="CG315" s="9"/>
      <c r="CH315" s="9"/>
    </row>
    <row r="316" spans="81:86" x14ac:dyDescent="0.3">
      <c r="CC316" s="3"/>
      <c r="CD316" s="9"/>
      <c r="CF316" s="9"/>
      <c r="CG316" s="9"/>
      <c r="CH316" s="9"/>
    </row>
    <row r="317" spans="81:86" x14ac:dyDescent="0.3">
      <c r="CC317" s="3"/>
      <c r="CD317" s="9"/>
      <c r="CF317" s="9"/>
      <c r="CG317" s="9"/>
      <c r="CH317" s="9"/>
    </row>
    <row r="318" spans="81:86" x14ac:dyDescent="0.3">
      <c r="CC318" s="3"/>
      <c r="CD318" s="9"/>
      <c r="CF318" s="9"/>
      <c r="CG318" s="9"/>
      <c r="CH318" s="9"/>
    </row>
    <row r="319" spans="81:86" x14ac:dyDescent="0.3">
      <c r="CC319" s="3"/>
      <c r="CD319" s="9"/>
      <c r="CF319" s="9"/>
      <c r="CG319" s="9"/>
      <c r="CH319" s="9"/>
    </row>
    <row r="320" spans="81:86" x14ac:dyDescent="0.3">
      <c r="CC320" s="3"/>
      <c r="CD320" s="9"/>
      <c r="CF320" s="9"/>
      <c r="CG320" s="9"/>
      <c r="CH320" s="9"/>
    </row>
    <row r="321" spans="81:86" x14ac:dyDescent="0.3">
      <c r="CC321" s="3"/>
      <c r="CD321" s="9"/>
      <c r="CF321" s="9"/>
      <c r="CG321" s="9"/>
      <c r="CH321" s="9"/>
    </row>
    <row r="322" spans="81:86" x14ac:dyDescent="0.3">
      <c r="CC322" s="3"/>
      <c r="CD322" s="9"/>
      <c r="CF322" s="9"/>
      <c r="CG322" s="9"/>
      <c r="CH322" s="9"/>
    </row>
    <row r="323" spans="81:86" x14ac:dyDescent="0.3">
      <c r="CC323" s="3"/>
      <c r="CD323" s="9"/>
      <c r="CF323" s="9"/>
      <c r="CG323" s="9"/>
      <c r="CH323" s="9"/>
    </row>
    <row r="324" spans="81:86" x14ac:dyDescent="0.3">
      <c r="CC324" s="3"/>
      <c r="CD324" s="9"/>
      <c r="CF324" s="9"/>
      <c r="CG324" s="9"/>
      <c r="CH324" s="9"/>
    </row>
    <row r="325" spans="81:86" x14ac:dyDescent="0.3">
      <c r="CC325" s="3"/>
      <c r="CD325" s="9"/>
      <c r="CF325" s="9"/>
      <c r="CG325" s="9"/>
      <c r="CH325" s="9"/>
    </row>
    <row r="326" spans="81:86" x14ac:dyDescent="0.3">
      <c r="CC326" s="3"/>
      <c r="CD326" s="9"/>
      <c r="CF326" s="9"/>
      <c r="CG326" s="9"/>
      <c r="CH326" s="9"/>
    </row>
    <row r="327" spans="81:86" x14ac:dyDescent="0.3">
      <c r="CC327" s="3"/>
      <c r="CD327" s="9"/>
      <c r="CF327" s="9"/>
      <c r="CG327" s="9"/>
      <c r="CH327" s="9"/>
    </row>
    <row r="328" spans="81:86" x14ac:dyDescent="0.3">
      <c r="CC328" s="3"/>
      <c r="CD328" s="9"/>
      <c r="CF328" s="9"/>
      <c r="CG328" s="9"/>
      <c r="CH328" s="9"/>
    </row>
    <row r="329" spans="81:86" x14ac:dyDescent="0.3">
      <c r="CC329" s="3"/>
      <c r="CD329" s="9"/>
      <c r="CF329" s="9"/>
      <c r="CG329" s="9"/>
      <c r="CH329" s="9"/>
    </row>
    <row r="330" spans="81:86" x14ac:dyDescent="0.3">
      <c r="CC330" s="3"/>
      <c r="CD330" s="9"/>
      <c r="CF330" s="9"/>
      <c r="CG330" s="9"/>
      <c r="CH330" s="9"/>
    </row>
    <row r="331" spans="81:86" x14ac:dyDescent="0.3">
      <c r="CC331" s="3"/>
      <c r="CD331" s="9"/>
      <c r="CF331" s="9"/>
      <c r="CG331" s="9"/>
      <c r="CH331" s="9"/>
    </row>
    <row r="332" spans="81:86" x14ac:dyDescent="0.3">
      <c r="CC332" s="3"/>
      <c r="CD332" s="9"/>
      <c r="CF332" s="9"/>
      <c r="CG332" s="9"/>
      <c r="CH332" s="9"/>
    </row>
    <row r="333" spans="81:86" x14ac:dyDescent="0.3">
      <c r="CC333" s="3"/>
      <c r="CD333" s="9"/>
      <c r="CF333" s="9"/>
      <c r="CG333" s="9"/>
      <c r="CH333" s="9"/>
    </row>
    <row r="334" spans="81:86" x14ac:dyDescent="0.3">
      <c r="CC334" s="3"/>
      <c r="CD334" s="9"/>
      <c r="CF334" s="9"/>
      <c r="CG334" s="9"/>
      <c r="CH334" s="9"/>
    </row>
    <row r="335" spans="81:86" x14ac:dyDescent="0.3">
      <c r="CC335" s="3"/>
      <c r="CD335" s="9"/>
      <c r="CF335" s="9"/>
      <c r="CG335" s="9"/>
      <c r="CH335" s="9"/>
    </row>
    <row r="336" spans="81:86" x14ac:dyDescent="0.3">
      <c r="CC336" s="3"/>
      <c r="CD336" s="9"/>
      <c r="CF336" s="9"/>
      <c r="CG336" s="9"/>
      <c r="CH336" s="9"/>
    </row>
    <row r="337" spans="81:86" x14ac:dyDescent="0.3">
      <c r="CC337" s="3"/>
      <c r="CD337" s="9"/>
      <c r="CF337" s="9"/>
      <c r="CG337" s="9"/>
      <c r="CH337" s="9"/>
    </row>
    <row r="338" spans="81:86" x14ac:dyDescent="0.3">
      <c r="CC338" s="3"/>
      <c r="CD338" s="9"/>
      <c r="CF338" s="9"/>
      <c r="CG338" s="9"/>
      <c r="CH338" s="9"/>
    </row>
    <row r="339" spans="81:86" x14ac:dyDescent="0.3">
      <c r="CC339" s="3"/>
      <c r="CD339" s="9"/>
      <c r="CF339" s="9"/>
      <c r="CG339" s="9"/>
      <c r="CH339" s="9"/>
    </row>
    <row r="340" spans="81:86" x14ac:dyDescent="0.3">
      <c r="CC340" s="3"/>
      <c r="CD340" s="9"/>
      <c r="CF340" s="9"/>
      <c r="CG340" s="9"/>
      <c r="CH340" s="9"/>
    </row>
    <row r="341" spans="81:86" x14ac:dyDescent="0.3">
      <c r="CC341" s="3"/>
      <c r="CD341" s="9"/>
      <c r="CF341" s="9"/>
      <c r="CG341" s="9"/>
      <c r="CH341" s="9"/>
    </row>
    <row r="342" spans="81:86" x14ac:dyDescent="0.3">
      <c r="CC342" s="3"/>
      <c r="CD342" s="9"/>
      <c r="CF342" s="9"/>
      <c r="CG342" s="9"/>
      <c r="CH342" s="9"/>
    </row>
    <row r="343" spans="81:86" x14ac:dyDescent="0.3">
      <c r="CC343" s="3"/>
      <c r="CD343" s="9"/>
      <c r="CF343" s="9"/>
      <c r="CG343" s="9"/>
      <c r="CH343" s="9"/>
    </row>
    <row r="344" spans="81:86" x14ac:dyDescent="0.3">
      <c r="CC344" s="3"/>
      <c r="CD344" s="9"/>
      <c r="CF344" s="9"/>
      <c r="CG344" s="9"/>
      <c r="CH344" s="9"/>
    </row>
    <row r="345" spans="81:86" x14ac:dyDescent="0.3">
      <c r="CC345" s="3"/>
      <c r="CD345" s="9"/>
      <c r="CF345" s="9"/>
      <c r="CG345" s="9"/>
      <c r="CH345" s="9"/>
    </row>
    <row r="346" spans="81:86" x14ac:dyDescent="0.3">
      <c r="CC346" s="3"/>
      <c r="CD346" s="9"/>
      <c r="CF346" s="9"/>
      <c r="CG346" s="9"/>
      <c r="CH346" s="9"/>
    </row>
    <row r="347" spans="81:86" x14ac:dyDescent="0.3">
      <c r="CC347" s="3"/>
      <c r="CD347" s="9"/>
      <c r="CF347" s="9"/>
      <c r="CG347" s="9"/>
      <c r="CH347" s="9"/>
    </row>
    <row r="348" spans="81:86" x14ac:dyDescent="0.3">
      <c r="CC348" s="3"/>
      <c r="CD348" s="9"/>
      <c r="CF348" s="9"/>
      <c r="CG348" s="9"/>
      <c r="CH348" s="9"/>
    </row>
    <row r="349" spans="81:86" x14ac:dyDescent="0.3">
      <c r="CC349" s="3"/>
      <c r="CD349" s="9"/>
      <c r="CF349" s="9"/>
      <c r="CG349" s="9"/>
      <c r="CH349" s="9"/>
    </row>
    <row r="350" spans="81:86" x14ac:dyDescent="0.3">
      <c r="CC350" s="3"/>
      <c r="CD350" s="9"/>
      <c r="CF350" s="9"/>
      <c r="CG350" s="9"/>
      <c r="CH350" s="9"/>
    </row>
    <row r="351" spans="81:86" x14ac:dyDescent="0.3">
      <c r="CC351" s="3"/>
      <c r="CD351" s="9"/>
      <c r="CF351" s="9"/>
      <c r="CG351" s="9"/>
      <c r="CH351" s="9"/>
    </row>
    <row r="352" spans="81:86" x14ac:dyDescent="0.3">
      <c r="CC352" s="3"/>
      <c r="CD352" s="9"/>
      <c r="CF352" s="9"/>
      <c r="CG352" s="9"/>
      <c r="CH352" s="9"/>
    </row>
    <row r="353" spans="81:86" x14ac:dyDescent="0.3">
      <c r="CC353" s="3"/>
      <c r="CD353" s="9"/>
      <c r="CF353" s="9"/>
      <c r="CG353" s="9"/>
      <c r="CH353" s="9"/>
    </row>
    <row r="354" spans="81:86" x14ac:dyDescent="0.3">
      <c r="CC354" s="3"/>
      <c r="CD354" s="9"/>
      <c r="CF354" s="9"/>
      <c r="CG354" s="9"/>
      <c r="CH354" s="9"/>
    </row>
    <row r="355" spans="81:86" x14ac:dyDescent="0.3">
      <c r="CC355" s="3"/>
      <c r="CD355" s="9"/>
      <c r="CF355" s="9"/>
      <c r="CG355" s="9"/>
      <c r="CH355" s="9"/>
    </row>
    <row r="356" spans="81:86" x14ac:dyDescent="0.3">
      <c r="CC356" s="3"/>
      <c r="CD356" s="9"/>
      <c r="CF356" s="9"/>
      <c r="CG356" s="9"/>
      <c r="CH356" s="9"/>
    </row>
    <row r="357" spans="81:86" x14ac:dyDescent="0.3">
      <c r="CC357" s="3"/>
      <c r="CD357" s="9"/>
      <c r="CF357" s="9"/>
      <c r="CG357" s="9"/>
      <c r="CH357" s="9"/>
    </row>
    <row r="358" spans="81:86" x14ac:dyDescent="0.3">
      <c r="CC358" s="3"/>
      <c r="CD358" s="9"/>
      <c r="CF358" s="9"/>
      <c r="CG358" s="9"/>
      <c r="CH358" s="9"/>
    </row>
    <row r="359" spans="81:86" x14ac:dyDescent="0.3">
      <c r="CC359" s="3"/>
      <c r="CD359" s="9"/>
      <c r="CF359" s="9"/>
      <c r="CG359" s="9"/>
      <c r="CH359" s="9"/>
    </row>
    <row r="360" spans="81:86" x14ac:dyDescent="0.3">
      <c r="CC360" s="3"/>
      <c r="CD360" s="9"/>
      <c r="CF360" s="9"/>
      <c r="CG360" s="9"/>
      <c r="CH360" s="9"/>
    </row>
    <row r="361" spans="81:86" x14ac:dyDescent="0.3">
      <c r="CC361" s="3"/>
      <c r="CD361" s="9"/>
      <c r="CF361" s="9"/>
      <c r="CG361" s="9"/>
      <c r="CH361" s="9"/>
    </row>
    <row r="362" spans="81:86" x14ac:dyDescent="0.3">
      <c r="CC362" s="3"/>
      <c r="CD362" s="9"/>
      <c r="CF362" s="9"/>
      <c r="CG362" s="9"/>
      <c r="CH362" s="9"/>
    </row>
    <row r="363" spans="81:86" x14ac:dyDescent="0.3">
      <c r="CC363" s="3"/>
      <c r="CD363" s="9"/>
      <c r="CF363" s="9"/>
      <c r="CG363" s="9"/>
      <c r="CH363" s="9"/>
    </row>
    <row r="364" spans="81:86" x14ac:dyDescent="0.3">
      <c r="CC364" s="3"/>
      <c r="CD364" s="9"/>
      <c r="CF364" s="9"/>
      <c r="CG364" s="9"/>
      <c r="CH364" s="9"/>
    </row>
    <row r="365" spans="81:86" x14ac:dyDescent="0.3">
      <c r="CC365" s="3"/>
      <c r="CD365" s="9"/>
      <c r="CF365" s="9"/>
      <c r="CG365" s="9"/>
      <c r="CH365" s="9"/>
    </row>
    <row r="366" spans="81:86" x14ac:dyDescent="0.3">
      <c r="CC366" s="3"/>
      <c r="CD366" s="9"/>
      <c r="CF366" s="9"/>
      <c r="CG366" s="9"/>
      <c r="CH366" s="9"/>
    </row>
    <row r="367" spans="81:86" x14ac:dyDescent="0.3">
      <c r="CC367" s="3"/>
      <c r="CD367" s="9"/>
      <c r="CF367" s="9"/>
      <c r="CG367" s="9"/>
      <c r="CH367" s="9"/>
    </row>
    <row r="368" spans="81:86" x14ac:dyDescent="0.3">
      <c r="CC368" s="3"/>
      <c r="CD368" s="9"/>
      <c r="CF368" s="9"/>
      <c r="CG368" s="9"/>
      <c r="CH368" s="9"/>
    </row>
    <row r="369" spans="81:86" x14ac:dyDescent="0.3">
      <c r="CC369" s="3"/>
      <c r="CD369" s="9"/>
      <c r="CF369" s="9"/>
      <c r="CG369" s="9"/>
      <c r="CH369" s="9"/>
    </row>
    <row r="370" spans="81:86" x14ac:dyDescent="0.3">
      <c r="CC370" s="3"/>
      <c r="CD370" s="9"/>
      <c r="CF370" s="9"/>
      <c r="CG370" s="9"/>
      <c r="CH370" s="9"/>
    </row>
    <row r="371" spans="81:86" x14ac:dyDescent="0.3">
      <c r="CC371" s="3"/>
      <c r="CD371" s="9"/>
      <c r="CF371" s="9"/>
      <c r="CG371" s="9"/>
      <c r="CH371" s="9"/>
    </row>
    <row r="372" spans="81:86" x14ac:dyDescent="0.3">
      <c r="CC372" s="3"/>
      <c r="CD372" s="9"/>
      <c r="CF372" s="9"/>
      <c r="CG372" s="9"/>
      <c r="CH372" s="9"/>
    </row>
    <row r="373" spans="81:86" x14ac:dyDescent="0.3">
      <c r="CC373" s="3"/>
      <c r="CD373" s="9"/>
      <c r="CF373" s="9"/>
      <c r="CG373" s="9"/>
      <c r="CH373" s="9"/>
    </row>
    <row r="374" spans="81:86" x14ac:dyDescent="0.3">
      <c r="CC374" s="3"/>
      <c r="CD374" s="9"/>
      <c r="CF374" s="9"/>
      <c r="CG374" s="9"/>
      <c r="CH374" s="9"/>
    </row>
    <row r="375" spans="81:86" x14ac:dyDescent="0.3">
      <c r="CC375" s="3"/>
      <c r="CD375" s="9"/>
      <c r="CF375" s="9"/>
      <c r="CG375" s="9"/>
      <c r="CH375" s="9"/>
    </row>
    <row r="376" spans="81:86" x14ac:dyDescent="0.3">
      <c r="CC376" s="3"/>
      <c r="CD376" s="9"/>
      <c r="CF376" s="9"/>
      <c r="CG376" s="9"/>
      <c r="CH376" s="9"/>
    </row>
    <row r="377" spans="81:86" x14ac:dyDescent="0.3">
      <c r="CC377" s="3"/>
      <c r="CD377" s="9"/>
      <c r="CF377" s="9"/>
      <c r="CG377" s="9"/>
      <c r="CH377" s="9"/>
    </row>
    <row r="378" spans="81:86" x14ac:dyDescent="0.3">
      <c r="CC378" s="3"/>
      <c r="CD378" s="9"/>
      <c r="CF378" s="9"/>
      <c r="CG378" s="9"/>
      <c r="CH378" s="9"/>
    </row>
    <row r="379" spans="81:86" x14ac:dyDescent="0.3">
      <c r="CC379" s="3"/>
      <c r="CD379" s="9"/>
      <c r="CF379" s="9"/>
      <c r="CG379" s="9"/>
      <c r="CH379" s="9"/>
    </row>
    <row r="380" spans="81:86" x14ac:dyDescent="0.3">
      <c r="CC380" s="3"/>
      <c r="CD380" s="9"/>
      <c r="CF380" s="9"/>
      <c r="CG380" s="9"/>
      <c r="CH380" s="9"/>
    </row>
    <row r="381" spans="81:86" x14ac:dyDescent="0.3">
      <c r="CC381" s="3"/>
      <c r="CD381" s="9"/>
      <c r="CF381" s="9"/>
      <c r="CG381" s="9"/>
      <c r="CH381" s="9"/>
    </row>
    <row r="382" spans="81:86" x14ac:dyDescent="0.3">
      <c r="CC382" s="3"/>
      <c r="CD382" s="9"/>
      <c r="CF382" s="9"/>
      <c r="CG382" s="9"/>
      <c r="CH382" s="9"/>
    </row>
    <row r="383" spans="81:86" x14ac:dyDescent="0.3">
      <c r="CC383" s="3"/>
      <c r="CD383" s="9"/>
      <c r="CF383" s="9"/>
      <c r="CG383" s="9"/>
      <c r="CH383" s="9"/>
    </row>
    <row r="384" spans="81:86" x14ac:dyDescent="0.3">
      <c r="CC384" s="3"/>
      <c r="CD384" s="9"/>
      <c r="CF384" s="9"/>
      <c r="CG384" s="9"/>
      <c r="CH384" s="9"/>
    </row>
    <row r="385" spans="81:86" x14ac:dyDescent="0.3">
      <c r="CC385" s="3"/>
      <c r="CD385" s="9"/>
      <c r="CF385" s="9"/>
      <c r="CG385" s="9"/>
      <c r="CH385" s="9"/>
    </row>
    <row r="386" spans="81:86" x14ac:dyDescent="0.3">
      <c r="CC386" s="3"/>
      <c r="CD386" s="9"/>
      <c r="CF386" s="9"/>
      <c r="CG386" s="9"/>
      <c r="CH386" s="9"/>
    </row>
    <row r="387" spans="81:86" x14ac:dyDescent="0.3">
      <c r="CC387" s="3"/>
      <c r="CD387" s="9"/>
      <c r="CF387" s="9"/>
      <c r="CG387" s="9"/>
      <c r="CH387" s="9"/>
    </row>
    <row r="388" spans="81:86" x14ac:dyDescent="0.3">
      <c r="CC388" s="3"/>
      <c r="CD388" s="9"/>
      <c r="CF388" s="9"/>
      <c r="CG388" s="9"/>
      <c r="CH388" s="9"/>
    </row>
    <row r="389" spans="81:86" x14ac:dyDescent="0.3">
      <c r="CC389" s="3"/>
      <c r="CD389" s="9"/>
      <c r="CF389" s="9"/>
      <c r="CG389" s="9"/>
      <c r="CH389" s="9"/>
    </row>
    <row r="390" spans="81:86" x14ac:dyDescent="0.3">
      <c r="CC390" s="3"/>
      <c r="CD390" s="9"/>
      <c r="CF390" s="9"/>
      <c r="CG390" s="9"/>
      <c r="CH390" s="9"/>
    </row>
    <row r="391" spans="81:86" x14ac:dyDescent="0.3">
      <c r="CC391" s="3"/>
      <c r="CD391" s="9"/>
      <c r="CF391" s="9"/>
      <c r="CG391" s="9"/>
      <c r="CH391" s="9"/>
    </row>
    <row r="392" spans="81:86" x14ac:dyDescent="0.3">
      <c r="CC392" s="3"/>
      <c r="CD392" s="9"/>
      <c r="CF392" s="9"/>
      <c r="CG392" s="9"/>
      <c r="CH392" s="9"/>
    </row>
    <row r="393" spans="81:86" x14ac:dyDescent="0.3">
      <c r="CC393" s="3"/>
      <c r="CD393" s="9"/>
      <c r="CF393" s="9"/>
      <c r="CG393" s="9"/>
      <c r="CH393" s="9"/>
    </row>
    <row r="394" spans="81:86" x14ac:dyDescent="0.3">
      <c r="CC394" s="3"/>
      <c r="CD394" s="9"/>
      <c r="CF394" s="9"/>
      <c r="CG394" s="9"/>
      <c r="CH394" s="9"/>
    </row>
    <row r="395" spans="81:86" x14ac:dyDescent="0.3">
      <c r="CC395" s="3"/>
      <c r="CD395" s="9"/>
      <c r="CF395" s="9"/>
      <c r="CG395" s="9"/>
      <c r="CH395" s="9"/>
    </row>
    <row r="396" spans="81:86" x14ac:dyDescent="0.3">
      <c r="CC396" s="3"/>
      <c r="CD396" s="9"/>
      <c r="CF396" s="9"/>
      <c r="CG396" s="9"/>
      <c r="CH396" s="9"/>
    </row>
    <row r="397" spans="81:86" x14ac:dyDescent="0.3">
      <c r="CC397" s="3"/>
      <c r="CD397" s="9"/>
      <c r="CF397" s="9"/>
      <c r="CG397" s="9"/>
      <c r="CH397" s="9"/>
    </row>
    <row r="398" spans="81:86" x14ac:dyDescent="0.3">
      <c r="CC398" s="3"/>
      <c r="CD398" s="9"/>
      <c r="CF398" s="9"/>
      <c r="CG398" s="9"/>
      <c r="CH398" s="9"/>
    </row>
    <row r="399" spans="81:86" x14ac:dyDescent="0.3">
      <c r="CC399" s="3"/>
      <c r="CD399" s="9"/>
      <c r="CF399" s="9"/>
      <c r="CG399" s="9"/>
      <c r="CH399" s="9"/>
    </row>
    <row r="400" spans="81:86" x14ac:dyDescent="0.3">
      <c r="CC400" s="3"/>
      <c r="CD400" s="9"/>
      <c r="CF400" s="9"/>
      <c r="CG400" s="9"/>
      <c r="CH400" s="9"/>
    </row>
    <row r="401" spans="81:86" x14ac:dyDescent="0.3">
      <c r="CC401" s="3"/>
      <c r="CD401" s="9"/>
      <c r="CF401" s="9"/>
      <c r="CG401" s="9"/>
      <c r="CH401" s="9"/>
    </row>
    <row r="402" spans="81:86" x14ac:dyDescent="0.3">
      <c r="CC402" s="3"/>
      <c r="CD402" s="9"/>
      <c r="CF402" s="9"/>
      <c r="CG402" s="9"/>
      <c r="CH402" s="9"/>
    </row>
    <row r="403" spans="81:86" x14ac:dyDescent="0.3">
      <c r="CC403" s="3"/>
      <c r="CD403" s="9"/>
      <c r="CF403" s="9"/>
      <c r="CG403" s="9"/>
      <c r="CH403" s="9"/>
    </row>
    <row r="404" spans="81:86" x14ac:dyDescent="0.3">
      <c r="CC404" s="3"/>
      <c r="CD404" s="9"/>
      <c r="CF404" s="9"/>
      <c r="CG404" s="9"/>
      <c r="CH404" s="9"/>
    </row>
    <row r="405" spans="81:86" x14ac:dyDescent="0.3">
      <c r="CC405" s="3"/>
      <c r="CD405" s="9"/>
      <c r="CF405" s="9"/>
      <c r="CG405" s="9"/>
      <c r="CH405" s="9"/>
    </row>
    <row r="406" spans="81:86" x14ac:dyDescent="0.3">
      <c r="CC406" s="3"/>
      <c r="CD406" s="9"/>
      <c r="CF406" s="9"/>
      <c r="CG406" s="9"/>
      <c r="CH406" s="9"/>
    </row>
    <row r="407" spans="81:86" x14ac:dyDescent="0.3">
      <c r="CC407" s="3"/>
      <c r="CD407" s="9"/>
      <c r="CF407" s="9"/>
      <c r="CG407" s="9"/>
      <c r="CH407" s="9"/>
    </row>
    <row r="408" spans="81:86" x14ac:dyDescent="0.3">
      <c r="CC408" s="3"/>
      <c r="CD408" s="9"/>
      <c r="CF408" s="9"/>
      <c r="CG408" s="9"/>
      <c r="CH408" s="9"/>
    </row>
    <row r="409" spans="81:86" x14ac:dyDescent="0.3">
      <c r="CC409" s="3"/>
      <c r="CD409" s="9"/>
      <c r="CF409" s="9"/>
      <c r="CG409" s="9"/>
      <c r="CH409" s="9"/>
    </row>
    <row r="410" spans="81:86" x14ac:dyDescent="0.3">
      <c r="CC410" s="3"/>
      <c r="CD410" s="9"/>
      <c r="CF410" s="9"/>
      <c r="CG410" s="9"/>
      <c r="CH410" s="9"/>
    </row>
    <row r="411" spans="81:86" x14ac:dyDescent="0.3">
      <c r="CC411" s="3"/>
      <c r="CD411" s="9"/>
      <c r="CF411" s="9"/>
      <c r="CG411" s="9"/>
      <c r="CH411" s="9"/>
    </row>
    <row r="412" spans="81:86" x14ac:dyDescent="0.3">
      <c r="CC412" s="3"/>
      <c r="CD412" s="9"/>
      <c r="CF412" s="9"/>
      <c r="CG412" s="9"/>
      <c r="CH412" s="9"/>
    </row>
    <row r="413" spans="81:86" x14ac:dyDescent="0.3">
      <c r="CC413" s="3"/>
      <c r="CD413" s="9"/>
      <c r="CF413" s="9"/>
      <c r="CG413" s="9"/>
      <c r="CH413" s="9"/>
    </row>
    <row r="414" spans="81:86" x14ac:dyDescent="0.3">
      <c r="CC414" s="3"/>
      <c r="CD414" s="9"/>
      <c r="CF414" s="9"/>
      <c r="CG414" s="9"/>
      <c r="CH414" s="9"/>
    </row>
    <row r="415" spans="81:86" x14ac:dyDescent="0.3">
      <c r="CC415" s="3"/>
      <c r="CD415" s="9"/>
      <c r="CF415" s="9"/>
      <c r="CG415" s="9"/>
      <c r="CH415" s="9"/>
    </row>
    <row r="416" spans="81:86" x14ac:dyDescent="0.3">
      <c r="CC416" s="3"/>
      <c r="CD416" s="9"/>
      <c r="CF416" s="9"/>
      <c r="CG416" s="9"/>
      <c r="CH416" s="9"/>
    </row>
    <row r="417" spans="81:86" x14ac:dyDescent="0.3">
      <c r="CC417" s="3"/>
      <c r="CD417" s="9"/>
      <c r="CF417" s="9"/>
      <c r="CG417" s="9"/>
      <c r="CH417" s="9"/>
    </row>
    <row r="418" spans="81:86" x14ac:dyDescent="0.3">
      <c r="CC418" s="3"/>
      <c r="CD418" s="9"/>
      <c r="CF418" s="9"/>
      <c r="CG418" s="9"/>
      <c r="CH418" s="9"/>
    </row>
    <row r="419" spans="81:86" x14ac:dyDescent="0.3">
      <c r="CC419" s="3"/>
      <c r="CD419" s="9"/>
      <c r="CF419" s="9"/>
      <c r="CG419" s="9"/>
      <c r="CH419" s="9"/>
    </row>
    <row r="420" spans="81:86" x14ac:dyDescent="0.3">
      <c r="CC420" s="3"/>
      <c r="CD420" s="9"/>
      <c r="CF420" s="9"/>
      <c r="CG420" s="9"/>
      <c r="CH420" s="9"/>
    </row>
    <row r="421" spans="81:86" x14ac:dyDescent="0.3">
      <c r="CC421" s="3"/>
      <c r="CD421" s="9"/>
      <c r="CF421" s="9"/>
      <c r="CG421" s="9"/>
      <c r="CH421" s="9"/>
    </row>
    <row r="422" spans="81:86" x14ac:dyDescent="0.3">
      <c r="CC422" s="3"/>
      <c r="CD422" s="9"/>
      <c r="CF422" s="9"/>
      <c r="CG422" s="9"/>
      <c r="CH422" s="9"/>
    </row>
    <row r="423" spans="81:86" x14ac:dyDescent="0.3">
      <c r="CC423" s="3"/>
      <c r="CD423" s="9"/>
      <c r="CF423" s="9"/>
      <c r="CG423" s="9"/>
      <c r="CH423" s="9"/>
    </row>
    <row r="424" spans="81:86" x14ac:dyDescent="0.3">
      <c r="CC424" s="3"/>
      <c r="CD424" s="9"/>
      <c r="CF424" s="9"/>
      <c r="CG424" s="9"/>
      <c r="CH424" s="9"/>
    </row>
    <row r="425" spans="81:86" x14ac:dyDescent="0.3">
      <c r="CC425" s="3"/>
      <c r="CD425" s="9"/>
      <c r="CF425" s="9"/>
      <c r="CG425" s="9"/>
      <c r="CH425" s="9"/>
    </row>
    <row r="426" spans="81:86" x14ac:dyDescent="0.3">
      <c r="CC426" s="3"/>
      <c r="CD426" s="9"/>
      <c r="CF426" s="9"/>
      <c r="CG426" s="9"/>
      <c r="CH426" s="9"/>
    </row>
    <row r="427" spans="81:86" x14ac:dyDescent="0.3">
      <c r="CC427" s="3"/>
      <c r="CD427" s="9"/>
      <c r="CF427" s="9"/>
      <c r="CG427" s="9"/>
      <c r="CH427" s="9"/>
    </row>
    <row r="428" spans="81:86" x14ac:dyDescent="0.3">
      <c r="CC428" s="3"/>
      <c r="CD428" s="9"/>
      <c r="CF428" s="9"/>
      <c r="CG428" s="9"/>
      <c r="CH428" s="9"/>
    </row>
    <row r="429" spans="81:86" x14ac:dyDescent="0.3">
      <c r="CC429" s="3"/>
      <c r="CD429" s="9"/>
      <c r="CF429" s="9"/>
      <c r="CG429" s="9"/>
      <c r="CH429" s="9"/>
    </row>
    <row r="430" spans="81:86" x14ac:dyDescent="0.3">
      <c r="CC430" s="3"/>
      <c r="CD430" s="9"/>
      <c r="CF430" s="9"/>
      <c r="CG430" s="9"/>
      <c r="CH430" s="9"/>
    </row>
    <row r="431" spans="81:86" x14ac:dyDescent="0.3">
      <c r="CC431" s="3"/>
      <c r="CD431" s="9"/>
      <c r="CF431" s="9"/>
      <c r="CG431" s="9"/>
      <c r="CH431" s="9"/>
    </row>
    <row r="432" spans="81:86" x14ac:dyDescent="0.3">
      <c r="CC432" s="3"/>
      <c r="CD432" s="9"/>
      <c r="CF432" s="9"/>
      <c r="CG432" s="9"/>
      <c r="CH432" s="9"/>
    </row>
    <row r="433" spans="81:86" x14ac:dyDescent="0.3">
      <c r="CC433" s="3"/>
      <c r="CD433" s="9"/>
      <c r="CF433" s="9"/>
      <c r="CG433" s="9"/>
      <c r="CH433" s="9"/>
    </row>
    <row r="434" spans="81:86" x14ac:dyDescent="0.3">
      <c r="CC434" s="3"/>
      <c r="CD434" s="9"/>
      <c r="CF434" s="9"/>
      <c r="CG434" s="9"/>
      <c r="CH434" s="9"/>
    </row>
    <row r="435" spans="81:86" x14ac:dyDescent="0.3">
      <c r="CC435" s="3"/>
      <c r="CD435" s="9"/>
      <c r="CF435" s="9"/>
      <c r="CG435" s="9"/>
      <c r="CH435" s="9"/>
    </row>
    <row r="436" spans="81:86" x14ac:dyDescent="0.3">
      <c r="CC436" s="3"/>
      <c r="CD436" s="9"/>
      <c r="CF436" s="9"/>
      <c r="CG436" s="9"/>
      <c r="CH436" s="9"/>
    </row>
    <row r="437" spans="81:86" x14ac:dyDescent="0.3">
      <c r="CC437" s="3"/>
      <c r="CD437" s="9"/>
      <c r="CF437" s="9"/>
      <c r="CG437" s="9"/>
      <c r="CH437" s="9"/>
    </row>
    <row r="438" spans="81:86" x14ac:dyDescent="0.3">
      <c r="CC438" s="3"/>
      <c r="CD438" s="9"/>
      <c r="CF438" s="9"/>
      <c r="CG438" s="9"/>
      <c r="CH438" s="9"/>
    </row>
    <row r="439" spans="81:86" x14ac:dyDescent="0.3">
      <c r="CC439" s="3"/>
      <c r="CD439" s="9"/>
      <c r="CF439" s="9"/>
      <c r="CG439" s="9"/>
      <c r="CH439" s="9"/>
    </row>
    <row r="440" spans="81:86" x14ac:dyDescent="0.3">
      <c r="CC440" s="3"/>
      <c r="CD440" s="9"/>
      <c r="CF440" s="9"/>
      <c r="CG440" s="9"/>
      <c r="CH440" s="9"/>
    </row>
    <row r="441" spans="81:86" x14ac:dyDescent="0.3">
      <c r="CC441" s="3"/>
      <c r="CD441" s="9"/>
      <c r="CF441" s="9"/>
      <c r="CG441" s="9"/>
      <c r="CH441" s="9"/>
    </row>
    <row r="442" spans="81:86" x14ac:dyDescent="0.3">
      <c r="CC442" s="3"/>
      <c r="CD442" s="9"/>
      <c r="CF442" s="9"/>
      <c r="CG442" s="9"/>
      <c r="CH442" s="9"/>
    </row>
    <row r="443" spans="81:86" x14ac:dyDescent="0.3">
      <c r="CC443" s="3"/>
      <c r="CD443" s="9"/>
      <c r="CF443" s="9"/>
      <c r="CG443" s="9"/>
      <c r="CH443" s="9"/>
    </row>
    <row r="444" spans="81:86" x14ac:dyDescent="0.3">
      <c r="CC444" s="3"/>
      <c r="CD444" s="9"/>
      <c r="CF444" s="9"/>
      <c r="CG444" s="9"/>
      <c r="CH444" s="9"/>
    </row>
    <row r="445" spans="81:86" x14ac:dyDescent="0.3">
      <c r="CC445" s="3"/>
      <c r="CD445" s="9"/>
      <c r="CF445" s="9"/>
      <c r="CG445" s="9"/>
      <c r="CH445" s="9"/>
    </row>
    <row r="446" spans="81:86" x14ac:dyDescent="0.3">
      <c r="CC446" s="3"/>
      <c r="CD446" s="9"/>
      <c r="CF446" s="9"/>
      <c r="CG446" s="9"/>
      <c r="CH446" s="9"/>
    </row>
    <row r="447" spans="81:86" x14ac:dyDescent="0.3">
      <c r="CC447" s="3"/>
      <c r="CD447" s="9"/>
      <c r="CF447" s="9"/>
      <c r="CG447" s="9"/>
      <c r="CH447" s="9"/>
    </row>
    <row r="448" spans="81:86" x14ac:dyDescent="0.3">
      <c r="CC448" s="3"/>
      <c r="CD448" s="9"/>
      <c r="CF448" s="9"/>
      <c r="CG448" s="9"/>
      <c r="CH448" s="9"/>
    </row>
    <row r="449" spans="81:86" x14ac:dyDescent="0.3">
      <c r="CC449" s="3"/>
      <c r="CD449" s="9"/>
      <c r="CF449" s="9"/>
      <c r="CG449" s="9"/>
      <c r="CH449" s="9"/>
    </row>
    <row r="450" spans="81:86" x14ac:dyDescent="0.3">
      <c r="CC450" s="3"/>
      <c r="CD450" s="9"/>
      <c r="CF450" s="9"/>
      <c r="CG450" s="9"/>
      <c r="CH450" s="9"/>
    </row>
    <row r="451" spans="81:86" x14ac:dyDescent="0.3">
      <c r="CC451" s="3"/>
      <c r="CD451" s="9"/>
      <c r="CF451" s="9"/>
      <c r="CG451" s="9"/>
      <c r="CH451" s="9"/>
    </row>
    <row r="452" spans="81:86" x14ac:dyDescent="0.3">
      <c r="CC452" s="3"/>
      <c r="CD452" s="9"/>
      <c r="CF452" s="9"/>
      <c r="CG452" s="9"/>
      <c r="CH452" s="9"/>
    </row>
    <row r="453" spans="81:86" x14ac:dyDescent="0.3">
      <c r="CC453" s="3"/>
      <c r="CD453" s="9"/>
      <c r="CF453" s="9"/>
      <c r="CG453" s="9"/>
      <c r="CH453" s="9"/>
    </row>
    <row r="454" spans="81:86" x14ac:dyDescent="0.3">
      <c r="CC454" s="3"/>
      <c r="CD454" s="9"/>
      <c r="CF454" s="9"/>
      <c r="CG454" s="9"/>
      <c r="CH454" s="9"/>
    </row>
    <row r="455" spans="81:86" x14ac:dyDescent="0.3">
      <c r="CC455" s="3"/>
      <c r="CD455" s="9"/>
      <c r="CF455" s="9"/>
      <c r="CG455" s="9"/>
      <c r="CH455" s="9"/>
    </row>
    <row r="456" spans="81:86" x14ac:dyDescent="0.3">
      <c r="CC456" s="3"/>
      <c r="CD456" s="9"/>
      <c r="CF456" s="9"/>
      <c r="CG456" s="9"/>
      <c r="CH456" s="9"/>
    </row>
    <row r="457" spans="81:86" x14ac:dyDescent="0.3">
      <c r="CC457" s="3"/>
      <c r="CD457" s="9"/>
      <c r="CF457" s="9"/>
      <c r="CG457" s="9"/>
      <c r="CH457" s="9"/>
    </row>
    <row r="458" spans="81:86" x14ac:dyDescent="0.3">
      <c r="CC458" s="3"/>
      <c r="CD458" s="9"/>
      <c r="CF458" s="9"/>
      <c r="CG458" s="9"/>
      <c r="CH458" s="9"/>
    </row>
    <row r="459" spans="81:86" x14ac:dyDescent="0.3">
      <c r="CC459" s="3"/>
      <c r="CD459" s="9"/>
      <c r="CF459" s="9"/>
      <c r="CG459" s="9"/>
      <c r="CH459" s="9"/>
    </row>
    <row r="460" spans="81:86" x14ac:dyDescent="0.3">
      <c r="CC460" s="3"/>
      <c r="CD460" s="9"/>
      <c r="CF460" s="9"/>
      <c r="CG460" s="9"/>
      <c r="CH460" s="9"/>
    </row>
    <row r="461" spans="81:86" x14ac:dyDescent="0.3">
      <c r="CC461" s="3"/>
      <c r="CD461" s="9"/>
      <c r="CF461" s="9"/>
      <c r="CG461" s="9"/>
      <c r="CH461" s="9"/>
    </row>
    <row r="462" spans="81:86" x14ac:dyDescent="0.3">
      <c r="CC462" s="3"/>
      <c r="CD462" s="9"/>
      <c r="CF462" s="9"/>
      <c r="CG462" s="9"/>
      <c r="CH462" s="9"/>
    </row>
    <row r="463" spans="81:86" x14ac:dyDescent="0.3">
      <c r="CC463" s="3"/>
      <c r="CD463" s="9"/>
      <c r="CF463" s="9"/>
      <c r="CG463" s="9"/>
      <c r="CH463" s="9"/>
    </row>
    <row r="464" spans="81:86" x14ac:dyDescent="0.3">
      <c r="CC464" s="3"/>
      <c r="CD464" s="9"/>
      <c r="CF464" s="9"/>
      <c r="CG464" s="9"/>
      <c r="CH464" s="9"/>
    </row>
    <row r="465" spans="81:86" x14ac:dyDescent="0.3">
      <c r="CC465" s="3"/>
      <c r="CD465" s="9"/>
      <c r="CF465" s="9"/>
      <c r="CG465" s="9"/>
      <c r="CH465" s="9"/>
    </row>
    <row r="466" spans="81:86" x14ac:dyDescent="0.3">
      <c r="CC466" s="3"/>
      <c r="CD466" s="9"/>
      <c r="CF466" s="9"/>
      <c r="CG466" s="9"/>
      <c r="CH466" s="9"/>
    </row>
    <row r="467" spans="81:86" x14ac:dyDescent="0.3">
      <c r="CC467" s="3"/>
      <c r="CD467" s="9"/>
      <c r="CF467" s="9"/>
      <c r="CG467" s="9"/>
      <c r="CH467" s="9"/>
    </row>
    <row r="468" spans="81:86" x14ac:dyDescent="0.3">
      <c r="CC468" s="3"/>
      <c r="CD468" s="9"/>
      <c r="CF468" s="9"/>
      <c r="CG468" s="9"/>
      <c r="CH468" s="9"/>
    </row>
    <row r="469" spans="81:86" x14ac:dyDescent="0.3">
      <c r="CC469" s="3"/>
      <c r="CD469" s="9"/>
      <c r="CF469" s="9"/>
      <c r="CG469" s="9"/>
      <c r="CH469" s="9"/>
    </row>
    <row r="470" spans="81:86" x14ac:dyDescent="0.3">
      <c r="CC470" s="3"/>
      <c r="CD470" s="9"/>
      <c r="CF470" s="9"/>
      <c r="CG470" s="9"/>
      <c r="CH470" s="9"/>
    </row>
    <row r="471" spans="81:86" x14ac:dyDescent="0.3">
      <c r="CC471" s="3"/>
      <c r="CD471" s="9"/>
      <c r="CF471" s="9"/>
      <c r="CG471" s="9"/>
      <c r="CH471" s="9"/>
    </row>
    <row r="472" spans="81:86" x14ac:dyDescent="0.3">
      <c r="CC472" s="3"/>
      <c r="CD472" s="9"/>
      <c r="CF472" s="9"/>
      <c r="CG472" s="9"/>
      <c r="CH472" s="9"/>
    </row>
    <row r="473" spans="81:86" x14ac:dyDescent="0.3">
      <c r="CC473" s="3"/>
      <c r="CD473" s="9"/>
      <c r="CF473" s="9"/>
      <c r="CG473" s="9"/>
      <c r="CH473" s="9"/>
    </row>
    <row r="474" spans="81:86" x14ac:dyDescent="0.3">
      <c r="CC474" s="3"/>
      <c r="CD474" s="9"/>
      <c r="CF474" s="9"/>
      <c r="CG474" s="9"/>
      <c r="CH474" s="9"/>
    </row>
    <row r="475" spans="81:86" x14ac:dyDescent="0.3">
      <c r="CC475" s="3"/>
      <c r="CD475" s="9"/>
      <c r="CF475" s="9"/>
      <c r="CG475" s="9"/>
      <c r="CH475" s="9"/>
    </row>
    <row r="476" spans="81:86" x14ac:dyDescent="0.3">
      <c r="CC476" s="3"/>
      <c r="CD476" s="9"/>
      <c r="CF476" s="9"/>
      <c r="CG476" s="9"/>
      <c r="CH476" s="9"/>
    </row>
    <row r="477" spans="81:86" x14ac:dyDescent="0.3">
      <c r="CC477" s="3"/>
      <c r="CD477" s="9"/>
      <c r="CF477" s="9"/>
      <c r="CG477" s="9"/>
      <c r="CH477" s="9"/>
    </row>
    <row r="478" spans="81:86" x14ac:dyDescent="0.3">
      <c r="CC478" s="3"/>
      <c r="CD478" s="9"/>
      <c r="CF478" s="9"/>
      <c r="CG478" s="9"/>
      <c r="CH478" s="9"/>
    </row>
    <row r="479" spans="81:86" x14ac:dyDescent="0.3">
      <c r="CC479" s="3"/>
      <c r="CD479" s="9"/>
      <c r="CF479" s="9"/>
      <c r="CG479" s="9"/>
      <c r="CH479" s="9"/>
    </row>
    <row r="480" spans="81:86" x14ac:dyDescent="0.3">
      <c r="CC480" s="3"/>
      <c r="CD480" s="9"/>
      <c r="CF480" s="9"/>
      <c r="CG480" s="9"/>
      <c r="CH480" s="9"/>
    </row>
    <row r="481" spans="81:86" x14ac:dyDescent="0.3">
      <c r="CC481" s="3"/>
      <c r="CD481" s="9"/>
      <c r="CF481" s="9"/>
      <c r="CG481" s="9"/>
      <c r="CH481" s="9"/>
    </row>
    <row r="482" spans="81:86" x14ac:dyDescent="0.3">
      <c r="CC482" s="3"/>
      <c r="CD482" s="9"/>
      <c r="CF482" s="9"/>
      <c r="CG482" s="9"/>
      <c r="CH482" s="9"/>
    </row>
    <row r="483" spans="81:86" x14ac:dyDescent="0.3">
      <c r="CC483" s="3"/>
      <c r="CD483" s="9"/>
      <c r="CF483" s="9"/>
      <c r="CG483" s="9"/>
      <c r="CH483" s="9"/>
    </row>
    <row r="484" spans="81:86" x14ac:dyDescent="0.3">
      <c r="CC484" s="3"/>
      <c r="CD484" s="9"/>
      <c r="CF484" s="9"/>
      <c r="CG484" s="9"/>
      <c r="CH484" s="9"/>
    </row>
    <row r="485" spans="81:86" x14ac:dyDescent="0.3">
      <c r="CC485" s="3"/>
      <c r="CD485" s="9"/>
      <c r="CF485" s="9"/>
      <c r="CG485" s="9"/>
      <c r="CH485" s="9"/>
    </row>
    <row r="486" spans="81:86" x14ac:dyDescent="0.3">
      <c r="CC486" s="3"/>
      <c r="CD486" s="9"/>
      <c r="CF486" s="9"/>
      <c r="CG486" s="9"/>
      <c r="CH486" s="9"/>
    </row>
    <row r="487" spans="81:86" x14ac:dyDescent="0.3">
      <c r="CC487" s="3"/>
      <c r="CD487" s="9"/>
      <c r="CF487" s="9"/>
      <c r="CG487" s="9"/>
      <c r="CH487" s="9"/>
    </row>
    <row r="488" spans="81:86" x14ac:dyDescent="0.3">
      <c r="CC488" s="3"/>
      <c r="CD488" s="9"/>
      <c r="CF488" s="9"/>
      <c r="CG488" s="9"/>
      <c r="CH488" s="9"/>
    </row>
    <row r="489" spans="81:86" x14ac:dyDescent="0.3">
      <c r="CC489" s="3"/>
      <c r="CD489" s="9"/>
      <c r="CF489" s="9"/>
      <c r="CG489" s="9"/>
      <c r="CH489" s="9"/>
    </row>
    <row r="490" spans="81:86" x14ac:dyDescent="0.3">
      <c r="CC490" s="3"/>
      <c r="CD490" s="9"/>
      <c r="CF490" s="9"/>
      <c r="CG490" s="9"/>
      <c r="CH490" s="9"/>
    </row>
    <row r="491" spans="81:86" x14ac:dyDescent="0.3">
      <c r="CC491" s="3"/>
      <c r="CD491" s="9"/>
      <c r="CF491" s="9"/>
      <c r="CG491" s="9"/>
      <c r="CH491" s="9"/>
    </row>
    <row r="492" spans="81:86" x14ac:dyDescent="0.3">
      <c r="CC492" s="3"/>
      <c r="CD492" s="9"/>
      <c r="CF492" s="9"/>
      <c r="CG492" s="9"/>
      <c r="CH492" s="9"/>
    </row>
    <row r="493" spans="81:86" x14ac:dyDescent="0.3">
      <c r="CC493" s="3"/>
      <c r="CD493" s="9"/>
      <c r="CF493" s="9"/>
      <c r="CG493" s="9"/>
      <c r="CH493" s="9"/>
    </row>
    <row r="494" spans="81:86" x14ac:dyDescent="0.3">
      <c r="CC494" s="3"/>
      <c r="CD494" s="9"/>
      <c r="CF494" s="9"/>
      <c r="CG494" s="9"/>
      <c r="CH494" s="9"/>
    </row>
    <row r="495" spans="81:86" x14ac:dyDescent="0.3">
      <c r="CC495" s="3"/>
      <c r="CD495" s="9"/>
      <c r="CF495" s="9"/>
      <c r="CG495" s="9"/>
      <c r="CH495" s="9"/>
    </row>
    <row r="496" spans="81:86" x14ac:dyDescent="0.3">
      <c r="CC496" s="3"/>
      <c r="CD496" s="9"/>
      <c r="CF496" s="9"/>
      <c r="CG496" s="9"/>
      <c r="CH496" s="9"/>
    </row>
    <row r="497" spans="81:86" x14ac:dyDescent="0.3">
      <c r="CC497" s="3"/>
      <c r="CD497" s="9"/>
      <c r="CF497" s="9"/>
      <c r="CG497" s="9"/>
      <c r="CH497" s="9"/>
    </row>
    <row r="498" spans="81:86" x14ac:dyDescent="0.3">
      <c r="CC498" s="3"/>
      <c r="CD498" s="9"/>
      <c r="CF498" s="9"/>
      <c r="CG498" s="9"/>
      <c r="CH498" s="9"/>
    </row>
    <row r="499" spans="81:86" x14ac:dyDescent="0.3">
      <c r="CC499" s="3"/>
      <c r="CD499" s="9"/>
      <c r="CF499" s="9"/>
      <c r="CG499" s="9"/>
      <c r="CH499" s="9"/>
    </row>
    <row r="500" spans="81:86" x14ac:dyDescent="0.3">
      <c r="CC500" s="3"/>
      <c r="CD500" s="9"/>
      <c r="CF500" s="9"/>
      <c r="CG500" s="9"/>
      <c r="CH500" s="9"/>
    </row>
    <row r="501" spans="81:86" x14ac:dyDescent="0.3">
      <c r="CC501" s="3"/>
      <c r="CD501" s="9"/>
      <c r="CF501" s="9"/>
      <c r="CG501" s="9"/>
      <c r="CH501" s="9"/>
    </row>
    <row r="502" spans="81:86" x14ac:dyDescent="0.3">
      <c r="CC502" s="3"/>
      <c r="CD502" s="9"/>
      <c r="CF502" s="9"/>
      <c r="CG502" s="9"/>
      <c r="CH502" s="9"/>
    </row>
    <row r="503" spans="81:86" x14ac:dyDescent="0.3">
      <c r="CC503" s="3"/>
      <c r="CD503" s="9"/>
      <c r="CF503" s="9"/>
      <c r="CG503" s="9"/>
      <c r="CH503" s="9"/>
    </row>
    <row r="504" spans="81:86" x14ac:dyDescent="0.3">
      <c r="CC504" s="3"/>
      <c r="CD504" s="9"/>
      <c r="CF504" s="9"/>
      <c r="CG504" s="9"/>
      <c r="CH504" s="9"/>
    </row>
    <row r="505" spans="81:86" x14ac:dyDescent="0.3">
      <c r="CC505" s="3"/>
      <c r="CD505" s="9"/>
      <c r="CF505" s="9"/>
      <c r="CG505" s="9"/>
      <c r="CH505" s="9"/>
    </row>
    <row r="506" spans="81:86" x14ac:dyDescent="0.3">
      <c r="CC506" s="3"/>
      <c r="CD506" s="9"/>
      <c r="CF506" s="9"/>
      <c r="CG506" s="9"/>
      <c r="CH506" s="9"/>
    </row>
    <row r="507" spans="81:86" x14ac:dyDescent="0.3">
      <c r="CC507" s="3"/>
      <c r="CD507" s="9"/>
      <c r="CF507" s="9"/>
      <c r="CG507" s="9"/>
      <c r="CH507" s="9"/>
    </row>
    <row r="508" spans="81:86" x14ac:dyDescent="0.3">
      <c r="CC508" s="3"/>
      <c r="CD508" s="9"/>
      <c r="CF508" s="9"/>
      <c r="CG508" s="9"/>
      <c r="CH508" s="9"/>
    </row>
    <row r="509" spans="81:86" x14ac:dyDescent="0.3">
      <c r="CC509" s="3"/>
      <c r="CD509" s="9"/>
      <c r="CF509" s="9"/>
      <c r="CG509" s="9"/>
      <c r="CH509" s="9"/>
    </row>
    <row r="510" spans="81:86" x14ac:dyDescent="0.3">
      <c r="CC510" s="3"/>
      <c r="CD510" s="9"/>
      <c r="CF510" s="9"/>
      <c r="CG510" s="9"/>
      <c r="CH510" s="9"/>
    </row>
    <row r="511" spans="81:86" x14ac:dyDescent="0.3">
      <c r="CC511" s="3"/>
      <c r="CD511" s="9"/>
      <c r="CF511" s="9"/>
      <c r="CG511" s="9"/>
      <c r="CH511" s="9"/>
    </row>
    <row r="512" spans="81:86" x14ac:dyDescent="0.3">
      <c r="CC512" s="3"/>
      <c r="CD512" s="9"/>
      <c r="CF512" s="9"/>
      <c r="CG512" s="9"/>
      <c r="CH512" s="9"/>
    </row>
    <row r="513" spans="81:86" x14ac:dyDescent="0.3">
      <c r="CC513" s="3"/>
      <c r="CD513" s="9"/>
      <c r="CF513" s="9"/>
      <c r="CG513" s="9"/>
      <c r="CH513" s="9"/>
    </row>
    <row r="514" spans="81:86" x14ac:dyDescent="0.3">
      <c r="CC514" s="3"/>
      <c r="CD514" s="9"/>
      <c r="CF514" s="9"/>
      <c r="CG514" s="9"/>
      <c r="CH514" s="9"/>
    </row>
    <row r="515" spans="81:86" x14ac:dyDescent="0.3">
      <c r="CC515" s="3"/>
      <c r="CD515" s="9"/>
      <c r="CF515" s="9"/>
      <c r="CG515" s="9"/>
      <c r="CH515" s="9"/>
    </row>
    <row r="516" spans="81:86" x14ac:dyDescent="0.3">
      <c r="CC516" s="3"/>
      <c r="CD516" s="9"/>
      <c r="CF516" s="9"/>
      <c r="CG516" s="9"/>
      <c r="CH516" s="9"/>
    </row>
    <row r="517" spans="81:86" x14ac:dyDescent="0.3">
      <c r="CC517" s="3"/>
      <c r="CD517" s="9"/>
      <c r="CF517" s="9"/>
      <c r="CG517" s="9"/>
      <c r="CH517" s="9"/>
    </row>
    <row r="518" spans="81:86" x14ac:dyDescent="0.3">
      <c r="CC518" s="3"/>
      <c r="CD518" s="9"/>
      <c r="CF518" s="9"/>
      <c r="CG518" s="9"/>
      <c r="CH518" s="9"/>
    </row>
    <row r="519" spans="81:86" x14ac:dyDescent="0.3">
      <c r="CC519" s="3"/>
      <c r="CD519" s="9"/>
      <c r="CF519" s="9"/>
      <c r="CG519" s="9"/>
      <c r="CH519" s="9"/>
    </row>
    <row r="520" spans="81:86" x14ac:dyDescent="0.3">
      <c r="CC520" s="3"/>
      <c r="CD520" s="9"/>
      <c r="CF520" s="9"/>
      <c r="CG520" s="9"/>
      <c r="CH520" s="9"/>
    </row>
    <row r="521" spans="81:86" x14ac:dyDescent="0.3">
      <c r="CC521" s="3"/>
      <c r="CD521" s="9"/>
      <c r="CF521" s="9"/>
      <c r="CG521" s="9"/>
      <c r="CH521" s="9"/>
    </row>
    <row r="522" spans="81:86" x14ac:dyDescent="0.3">
      <c r="CC522" s="3"/>
      <c r="CD522" s="9"/>
      <c r="CF522" s="9"/>
      <c r="CG522" s="9"/>
      <c r="CH522" s="9"/>
    </row>
    <row r="523" spans="81:86" x14ac:dyDescent="0.3">
      <c r="CC523" s="3"/>
      <c r="CD523" s="9"/>
      <c r="CF523" s="9"/>
      <c r="CG523" s="9"/>
      <c r="CH523" s="9"/>
    </row>
    <row r="524" spans="81:86" x14ac:dyDescent="0.3">
      <c r="CC524" s="3"/>
      <c r="CD524" s="9"/>
      <c r="CF524" s="9"/>
      <c r="CG524" s="9"/>
      <c r="CH524" s="9"/>
    </row>
    <row r="525" spans="81:86" x14ac:dyDescent="0.3">
      <c r="CC525" s="3"/>
      <c r="CD525" s="9"/>
      <c r="CF525" s="9"/>
      <c r="CG525" s="9"/>
      <c r="CH525" s="9"/>
    </row>
    <row r="526" spans="81:86" x14ac:dyDescent="0.3">
      <c r="CC526" s="3"/>
      <c r="CD526" s="9"/>
      <c r="CF526" s="9"/>
      <c r="CG526" s="9"/>
      <c r="CH526" s="9"/>
    </row>
    <row r="527" spans="81:86" x14ac:dyDescent="0.3">
      <c r="CC527" s="3"/>
      <c r="CD527" s="9"/>
      <c r="CF527" s="9"/>
      <c r="CG527" s="9"/>
      <c r="CH527" s="9"/>
    </row>
    <row r="528" spans="81:86" x14ac:dyDescent="0.3">
      <c r="CC528" s="3"/>
      <c r="CD528" s="9"/>
      <c r="CF528" s="9"/>
      <c r="CG528" s="9"/>
      <c r="CH528" s="9"/>
    </row>
    <row r="529" spans="81:86" x14ac:dyDescent="0.3">
      <c r="CC529" s="3"/>
      <c r="CD529" s="9"/>
      <c r="CF529" s="9"/>
      <c r="CG529" s="9"/>
      <c r="CH529" s="9"/>
    </row>
    <row r="530" spans="81:86" x14ac:dyDescent="0.3">
      <c r="CC530" s="3"/>
      <c r="CD530" s="9"/>
      <c r="CF530" s="9"/>
      <c r="CG530" s="9"/>
      <c r="CH530" s="9"/>
    </row>
    <row r="531" spans="81:86" x14ac:dyDescent="0.3">
      <c r="CC531" s="3"/>
      <c r="CD531" s="9"/>
      <c r="CF531" s="9"/>
      <c r="CG531" s="9"/>
      <c r="CH531" s="9"/>
    </row>
    <row r="532" spans="81:86" x14ac:dyDescent="0.3">
      <c r="CC532" s="3"/>
      <c r="CD532" s="9"/>
      <c r="CF532" s="9"/>
      <c r="CG532" s="9"/>
      <c r="CH532" s="9"/>
    </row>
    <row r="533" spans="81:86" x14ac:dyDescent="0.3">
      <c r="CC533" s="3"/>
      <c r="CD533" s="9"/>
      <c r="CF533" s="9"/>
      <c r="CG533" s="9"/>
      <c r="CH533" s="9"/>
    </row>
    <row r="534" spans="81:86" x14ac:dyDescent="0.3">
      <c r="CC534" s="3"/>
      <c r="CD534" s="9"/>
      <c r="CF534" s="9"/>
      <c r="CG534" s="9"/>
      <c r="CH534" s="9"/>
    </row>
    <row r="535" spans="81:86" x14ac:dyDescent="0.3">
      <c r="CC535" s="3"/>
      <c r="CD535" s="9"/>
      <c r="CF535" s="9"/>
      <c r="CG535" s="9"/>
      <c r="CH535" s="9"/>
    </row>
    <row r="536" spans="81:86" x14ac:dyDescent="0.3">
      <c r="CC536" s="3"/>
      <c r="CD536" s="9"/>
      <c r="CF536" s="9"/>
      <c r="CG536" s="9"/>
      <c r="CH536" s="9"/>
    </row>
    <row r="537" spans="81:86" x14ac:dyDescent="0.3">
      <c r="CC537" s="3"/>
      <c r="CD537" s="9"/>
      <c r="CF537" s="9"/>
      <c r="CG537" s="9"/>
      <c r="CH537" s="9"/>
    </row>
    <row r="538" spans="81:86" x14ac:dyDescent="0.3">
      <c r="CC538" s="3"/>
      <c r="CD538" s="9"/>
      <c r="CF538" s="9"/>
      <c r="CG538" s="9"/>
      <c r="CH538" s="9"/>
    </row>
    <row r="539" spans="81:86" x14ac:dyDescent="0.3">
      <c r="CC539" s="3"/>
      <c r="CD539" s="9"/>
      <c r="CF539" s="9"/>
      <c r="CG539" s="9"/>
      <c r="CH539" s="9"/>
    </row>
    <row r="540" spans="81:86" x14ac:dyDescent="0.3">
      <c r="CC540" s="3"/>
      <c r="CD540" s="9"/>
      <c r="CF540" s="9"/>
      <c r="CG540" s="9"/>
      <c r="CH540" s="9"/>
    </row>
    <row r="541" spans="81:86" x14ac:dyDescent="0.3">
      <c r="CC541" s="3"/>
      <c r="CD541" s="9"/>
      <c r="CF541" s="9"/>
      <c r="CG541" s="9"/>
      <c r="CH541" s="9"/>
    </row>
    <row r="542" spans="81:86" x14ac:dyDescent="0.3">
      <c r="CC542" s="3"/>
      <c r="CD542" s="9"/>
      <c r="CF542" s="9"/>
      <c r="CG542" s="9"/>
      <c r="CH542" s="9"/>
    </row>
    <row r="543" spans="81:86" x14ac:dyDescent="0.3">
      <c r="CC543" s="3"/>
      <c r="CD543" s="9"/>
      <c r="CF543" s="9"/>
      <c r="CG543" s="9"/>
      <c r="CH543" s="9"/>
    </row>
    <row r="544" spans="81:86" x14ac:dyDescent="0.3">
      <c r="CC544" s="3"/>
      <c r="CD544" s="9"/>
      <c r="CF544" s="9"/>
      <c r="CG544" s="9"/>
      <c r="CH544" s="9"/>
    </row>
    <row r="545" spans="81:86" x14ac:dyDescent="0.3">
      <c r="CC545" s="3"/>
      <c r="CD545" s="9"/>
      <c r="CF545" s="9"/>
      <c r="CG545" s="9"/>
      <c r="CH545" s="9"/>
    </row>
    <row r="546" spans="81:86" x14ac:dyDescent="0.3">
      <c r="CC546" s="3"/>
      <c r="CD546" s="9"/>
      <c r="CF546" s="9"/>
      <c r="CG546" s="9"/>
      <c r="CH546" s="9"/>
    </row>
    <row r="547" spans="81:86" x14ac:dyDescent="0.3">
      <c r="CC547" s="3"/>
      <c r="CD547" s="9"/>
      <c r="CF547" s="9"/>
      <c r="CG547" s="9"/>
      <c r="CH547" s="9"/>
    </row>
    <row r="548" spans="81:86" x14ac:dyDescent="0.3">
      <c r="CC548" s="3"/>
      <c r="CD548" s="9"/>
      <c r="CF548" s="9"/>
      <c r="CG548" s="9"/>
      <c r="CH548" s="9"/>
    </row>
    <row r="549" spans="81:86" x14ac:dyDescent="0.3">
      <c r="CC549" s="3"/>
      <c r="CD549" s="9"/>
      <c r="CF549" s="9"/>
      <c r="CG549" s="9"/>
      <c r="CH549" s="9"/>
    </row>
    <row r="550" spans="81:86" x14ac:dyDescent="0.3">
      <c r="CC550" s="3"/>
      <c r="CD550" s="9"/>
      <c r="CF550" s="9"/>
      <c r="CG550" s="9"/>
      <c r="CH550" s="9"/>
    </row>
    <row r="551" spans="81:86" x14ac:dyDescent="0.3">
      <c r="CC551" s="3"/>
      <c r="CD551" s="9"/>
      <c r="CF551" s="9"/>
      <c r="CG551" s="9"/>
      <c r="CH551" s="9"/>
    </row>
    <row r="552" spans="81:86" x14ac:dyDescent="0.3">
      <c r="CC552" s="3"/>
      <c r="CD552" s="9"/>
      <c r="CF552" s="9"/>
      <c r="CG552" s="9"/>
      <c r="CH552" s="9"/>
    </row>
    <row r="553" spans="81:86" x14ac:dyDescent="0.3">
      <c r="CC553" s="3"/>
      <c r="CD553" s="9"/>
      <c r="CF553" s="9"/>
      <c r="CG553" s="9"/>
      <c r="CH553" s="9"/>
    </row>
    <row r="554" spans="81:86" x14ac:dyDescent="0.3">
      <c r="CC554" s="3"/>
      <c r="CD554" s="9"/>
      <c r="CF554" s="9"/>
      <c r="CG554" s="9"/>
      <c r="CH554" s="9"/>
    </row>
    <row r="555" spans="81:86" x14ac:dyDescent="0.3">
      <c r="CC555" s="3"/>
      <c r="CD555" s="9"/>
      <c r="CF555" s="9"/>
      <c r="CG555" s="9"/>
      <c r="CH555" s="9"/>
    </row>
    <row r="556" spans="81:86" x14ac:dyDescent="0.3">
      <c r="CC556" s="3"/>
      <c r="CD556" s="9"/>
      <c r="CF556" s="9"/>
      <c r="CG556" s="9"/>
      <c r="CH556" s="9"/>
    </row>
    <row r="557" spans="81:86" x14ac:dyDescent="0.3">
      <c r="CC557" s="3"/>
      <c r="CD557" s="9"/>
      <c r="CF557" s="9"/>
      <c r="CG557" s="9"/>
      <c r="CH557" s="9"/>
    </row>
    <row r="558" spans="81:86" x14ac:dyDescent="0.3">
      <c r="CC558" s="3"/>
      <c r="CD558" s="9"/>
      <c r="CF558" s="9"/>
      <c r="CG558" s="9"/>
      <c r="CH558" s="9"/>
    </row>
    <row r="559" spans="81:86" x14ac:dyDescent="0.3">
      <c r="CC559" s="3"/>
      <c r="CD559" s="9"/>
      <c r="CF559" s="9"/>
      <c r="CG559" s="9"/>
      <c r="CH559" s="9"/>
    </row>
    <row r="560" spans="81:86" x14ac:dyDescent="0.3">
      <c r="CC560" s="3"/>
      <c r="CD560" s="9"/>
      <c r="CF560" s="9"/>
      <c r="CG560" s="9"/>
      <c r="CH560" s="9"/>
    </row>
    <row r="561" spans="81:86" x14ac:dyDescent="0.3">
      <c r="CC561" s="3"/>
      <c r="CD561" s="9"/>
      <c r="CF561" s="9"/>
      <c r="CG561" s="9"/>
      <c r="CH561" s="9"/>
    </row>
    <row r="562" spans="81:86" x14ac:dyDescent="0.3">
      <c r="CC562" s="3"/>
      <c r="CD562" s="9"/>
      <c r="CF562" s="9"/>
      <c r="CG562" s="9"/>
      <c r="CH562" s="9"/>
    </row>
    <row r="563" spans="81:86" x14ac:dyDescent="0.3">
      <c r="CC563" s="3"/>
      <c r="CD563" s="9"/>
      <c r="CF563" s="9"/>
      <c r="CG563" s="9"/>
      <c r="CH563" s="9"/>
    </row>
    <row r="564" spans="81:86" x14ac:dyDescent="0.3">
      <c r="CC564" s="3"/>
      <c r="CD564" s="9"/>
      <c r="CF564" s="9"/>
      <c r="CG564" s="9"/>
      <c r="CH564" s="9"/>
    </row>
    <row r="565" spans="81:86" x14ac:dyDescent="0.3">
      <c r="CC565" s="3"/>
      <c r="CD565" s="9"/>
      <c r="CF565" s="9"/>
      <c r="CG565" s="9"/>
      <c r="CH565" s="9"/>
    </row>
    <row r="566" spans="81:86" x14ac:dyDescent="0.3">
      <c r="CC566" s="3"/>
      <c r="CD566" s="9"/>
      <c r="CF566" s="9"/>
      <c r="CG566" s="9"/>
      <c r="CH566" s="9"/>
    </row>
    <row r="567" spans="81:86" x14ac:dyDescent="0.3">
      <c r="CC567" s="3"/>
      <c r="CD567" s="9"/>
      <c r="CF567" s="9"/>
      <c r="CG567" s="9"/>
      <c r="CH567" s="9"/>
    </row>
    <row r="568" spans="81:86" x14ac:dyDescent="0.3">
      <c r="CC568" s="3"/>
      <c r="CD568" s="9"/>
      <c r="CF568" s="9"/>
      <c r="CG568" s="9"/>
      <c r="CH568" s="9"/>
    </row>
    <row r="569" spans="81:86" x14ac:dyDescent="0.3">
      <c r="CC569" s="3"/>
      <c r="CD569" s="9"/>
      <c r="CF569" s="9"/>
      <c r="CG569" s="9"/>
      <c r="CH569" s="9"/>
    </row>
    <row r="570" spans="81:86" x14ac:dyDescent="0.3">
      <c r="CC570" s="3"/>
      <c r="CD570" s="9"/>
      <c r="CF570" s="9"/>
      <c r="CG570" s="9"/>
      <c r="CH570" s="9"/>
    </row>
    <row r="571" spans="81:86" x14ac:dyDescent="0.3">
      <c r="CC571" s="3"/>
      <c r="CD571" s="9"/>
      <c r="CF571" s="9"/>
      <c r="CG571" s="9"/>
      <c r="CH571" s="9"/>
    </row>
    <row r="572" spans="81:86" x14ac:dyDescent="0.3">
      <c r="CC572" s="3"/>
      <c r="CD572" s="9"/>
      <c r="CF572" s="9"/>
      <c r="CG572" s="9"/>
      <c r="CH572" s="9"/>
    </row>
    <row r="573" spans="81:86" x14ac:dyDescent="0.3">
      <c r="CC573" s="3"/>
      <c r="CD573" s="9"/>
      <c r="CF573" s="9"/>
      <c r="CG573" s="9"/>
      <c r="CH573" s="9"/>
    </row>
    <row r="574" spans="81:86" x14ac:dyDescent="0.3">
      <c r="CC574" s="3"/>
      <c r="CD574" s="9"/>
      <c r="CF574" s="9"/>
      <c r="CG574" s="9"/>
      <c r="CH574" s="9"/>
    </row>
    <row r="575" spans="81:86" x14ac:dyDescent="0.3">
      <c r="CC575" s="3"/>
      <c r="CD575" s="9"/>
      <c r="CF575" s="9"/>
      <c r="CG575" s="9"/>
      <c r="CH575" s="9"/>
    </row>
    <row r="576" spans="81:86" x14ac:dyDescent="0.3">
      <c r="CC576" s="3"/>
      <c r="CD576" s="9"/>
      <c r="CF576" s="9"/>
      <c r="CG576" s="9"/>
      <c r="CH576" s="9"/>
    </row>
    <row r="577" spans="81:86" x14ac:dyDescent="0.3">
      <c r="CC577" s="3"/>
      <c r="CD577" s="9"/>
      <c r="CF577" s="9"/>
      <c r="CG577" s="9"/>
      <c r="CH577" s="9"/>
    </row>
    <row r="578" spans="81:86" x14ac:dyDescent="0.3">
      <c r="CC578" s="3"/>
      <c r="CD578" s="9"/>
      <c r="CF578" s="9"/>
      <c r="CG578" s="9"/>
      <c r="CH578" s="9"/>
    </row>
    <row r="579" spans="81:86" x14ac:dyDescent="0.3">
      <c r="CC579" s="3"/>
      <c r="CD579" s="9"/>
      <c r="CF579" s="9"/>
      <c r="CG579" s="9"/>
      <c r="CH579" s="9"/>
    </row>
    <row r="580" spans="81:86" x14ac:dyDescent="0.3">
      <c r="CC580" s="3"/>
      <c r="CD580" s="9"/>
      <c r="CF580" s="9"/>
      <c r="CG580" s="9"/>
      <c r="CH580" s="9"/>
    </row>
    <row r="581" spans="81:86" x14ac:dyDescent="0.3">
      <c r="CC581" s="3"/>
      <c r="CD581" s="9"/>
      <c r="CF581" s="9"/>
      <c r="CG581" s="9"/>
      <c r="CH581" s="9"/>
    </row>
    <row r="582" spans="81:86" x14ac:dyDescent="0.3">
      <c r="CC582" s="3"/>
      <c r="CD582" s="9"/>
      <c r="CF582" s="9"/>
      <c r="CG582" s="9"/>
      <c r="CH582" s="9"/>
    </row>
    <row r="583" spans="81:86" x14ac:dyDescent="0.3">
      <c r="CC583" s="3"/>
      <c r="CD583" s="9"/>
      <c r="CF583" s="9"/>
      <c r="CG583" s="9"/>
      <c r="CH583" s="9"/>
    </row>
    <row r="584" spans="81:86" x14ac:dyDescent="0.3">
      <c r="CC584" s="3"/>
      <c r="CD584" s="9"/>
      <c r="CF584" s="9"/>
      <c r="CG584" s="9"/>
      <c r="CH584" s="9"/>
    </row>
    <row r="585" spans="81:86" x14ac:dyDescent="0.3">
      <c r="CC585" s="3"/>
      <c r="CD585" s="9"/>
      <c r="CF585" s="9"/>
      <c r="CG585" s="9"/>
      <c r="CH585" s="9"/>
    </row>
    <row r="586" spans="81:86" x14ac:dyDescent="0.3">
      <c r="CC586" s="3"/>
      <c r="CD586" s="9"/>
      <c r="CF586" s="9"/>
      <c r="CG586" s="9"/>
      <c r="CH586" s="9"/>
    </row>
    <row r="587" spans="81:86" x14ac:dyDescent="0.3">
      <c r="CC587" s="3"/>
      <c r="CD587" s="9"/>
      <c r="CF587" s="9"/>
      <c r="CG587" s="9"/>
      <c r="CH587" s="9"/>
    </row>
    <row r="588" spans="81:86" x14ac:dyDescent="0.3">
      <c r="CC588" s="3"/>
      <c r="CD588" s="9"/>
      <c r="CF588" s="9"/>
      <c r="CG588" s="9"/>
      <c r="CH588" s="9"/>
    </row>
    <row r="589" spans="81:86" x14ac:dyDescent="0.3">
      <c r="CC589" s="3"/>
      <c r="CD589" s="9"/>
      <c r="CF589" s="9"/>
      <c r="CG589" s="9"/>
      <c r="CH589" s="9"/>
    </row>
    <row r="590" spans="81:86" x14ac:dyDescent="0.3">
      <c r="CC590" s="3"/>
      <c r="CD590" s="9"/>
      <c r="CF590" s="9"/>
      <c r="CG590" s="9"/>
      <c r="CH590" s="9"/>
    </row>
    <row r="591" spans="81:86" x14ac:dyDescent="0.3">
      <c r="CC591" s="3"/>
      <c r="CD591" s="9"/>
      <c r="CF591" s="9"/>
      <c r="CG591" s="9"/>
      <c r="CH591" s="9"/>
    </row>
    <row r="592" spans="81:86" x14ac:dyDescent="0.3">
      <c r="CC592" s="3"/>
      <c r="CD592" s="9"/>
      <c r="CF592" s="9"/>
      <c r="CG592" s="9"/>
      <c r="CH592" s="9"/>
    </row>
    <row r="593" spans="81:86" x14ac:dyDescent="0.3">
      <c r="CC593" s="3"/>
      <c r="CD593" s="9"/>
      <c r="CF593" s="9"/>
      <c r="CG593" s="9"/>
      <c r="CH593" s="9"/>
    </row>
    <row r="594" spans="81:86" x14ac:dyDescent="0.3">
      <c r="CC594" s="3"/>
      <c r="CD594" s="9"/>
      <c r="CF594" s="9"/>
      <c r="CG594" s="9"/>
      <c r="CH594" s="9"/>
    </row>
    <row r="595" spans="81:86" x14ac:dyDescent="0.3">
      <c r="CC595" s="3"/>
      <c r="CD595" s="9"/>
      <c r="CF595" s="9"/>
      <c r="CG595" s="9"/>
      <c r="CH595" s="9"/>
    </row>
    <row r="596" spans="81:86" x14ac:dyDescent="0.3">
      <c r="CC596" s="3"/>
      <c r="CD596" s="9"/>
      <c r="CF596" s="9"/>
      <c r="CG596" s="9"/>
      <c r="CH596" s="9"/>
    </row>
    <row r="597" spans="81:86" x14ac:dyDescent="0.3">
      <c r="CC597" s="3"/>
      <c r="CD597" s="9"/>
      <c r="CF597" s="9"/>
      <c r="CG597" s="9"/>
      <c r="CH597" s="9"/>
    </row>
    <row r="598" spans="81:86" x14ac:dyDescent="0.3">
      <c r="CC598" s="3"/>
      <c r="CD598" s="9"/>
      <c r="CF598" s="9"/>
      <c r="CG598" s="9"/>
      <c r="CH598" s="9"/>
    </row>
    <row r="599" spans="81:86" x14ac:dyDescent="0.3">
      <c r="CC599" s="3"/>
      <c r="CD599" s="9"/>
      <c r="CF599" s="9"/>
      <c r="CG599" s="9"/>
      <c r="CH599" s="9"/>
    </row>
    <row r="600" spans="81:86" x14ac:dyDescent="0.3">
      <c r="CC600" s="3"/>
      <c r="CD600" s="9"/>
      <c r="CF600" s="9"/>
      <c r="CG600" s="9"/>
      <c r="CH600" s="9"/>
    </row>
    <row r="601" spans="81:86" x14ac:dyDescent="0.3">
      <c r="CC601" s="3"/>
      <c r="CD601" s="9"/>
      <c r="CF601" s="9"/>
      <c r="CG601" s="9"/>
      <c r="CH601" s="9"/>
    </row>
    <row r="602" spans="81:86" x14ac:dyDescent="0.3">
      <c r="CC602" s="3"/>
      <c r="CD602" s="9"/>
      <c r="CF602" s="9"/>
      <c r="CG602" s="9"/>
      <c r="CH602" s="9"/>
    </row>
    <row r="603" spans="81:86" x14ac:dyDescent="0.3">
      <c r="CC603" s="3"/>
      <c r="CD603" s="9"/>
      <c r="CF603" s="9"/>
      <c r="CG603" s="9"/>
      <c r="CH603" s="9"/>
    </row>
    <row r="604" spans="81:86" x14ac:dyDescent="0.3">
      <c r="CC604" s="3"/>
      <c r="CD604" s="9"/>
      <c r="CF604" s="9"/>
      <c r="CG604" s="9"/>
      <c r="CH604" s="9"/>
    </row>
    <row r="605" spans="81:86" x14ac:dyDescent="0.3">
      <c r="CC605" s="3"/>
      <c r="CD605" s="9"/>
      <c r="CF605" s="9"/>
      <c r="CG605" s="9"/>
      <c r="CH605" s="9"/>
    </row>
    <row r="606" spans="81:86" x14ac:dyDescent="0.3">
      <c r="CC606" s="3"/>
      <c r="CD606" s="9"/>
      <c r="CF606" s="9"/>
      <c r="CG606" s="9"/>
      <c r="CH606" s="9"/>
    </row>
    <row r="607" spans="81:86" x14ac:dyDescent="0.3">
      <c r="CC607" s="3"/>
      <c r="CD607" s="9"/>
      <c r="CF607" s="9"/>
      <c r="CG607" s="9"/>
      <c r="CH607" s="9"/>
    </row>
    <row r="608" spans="81:86" x14ac:dyDescent="0.3">
      <c r="CC608" s="3"/>
      <c r="CD608" s="9"/>
      <c r="CF608" s="9"/>
      <c r="CG608" s="9"/>
      <c r="CH608" s="9"/>
    </row>
    <row r="609" spans="81:86" x14ac:dyDescent="0.3">
      <c r="CC609" s="3"/>
      <c r="CD609" s="9"/>
      <c r="CF609" s="9"/>
      <c r="CG609" s="9"/>
      <c r="CH609" s="9"/>
    </row>
    <row r="610" spans="81:86" x14ac:dyDescent="0.3">
      <c r="CC610" s="3"/>
      <c r="CD610" s="9"/>
      <c r="CF610" s="9"/>
      <c r="CG610" s="9"/>
      <c r="CH610" s="9"/>
    </row>
    <row r="611" spans="81:86" x14ac:dyDescent="0.3">
      <c r="CC611" s="3"/>
      <c r="CD611" s="9"/>
      <c r="CF611" s="9"/>
      <c r="CG611" s="9"/>
      <c r="CH611" s="9"/>
    </row>
    <row r="612" spans="81:86" x14ac:dyDescent="0.3">
      <c r="CC612" s="3"/>
      <c r="CD612" s="9"/>
      <c r="CF612" s="9"/>
      <c r="CG612" s="9"/>
      <c r="CH612" s="9"/>
    </row>
    <row r="613" spans="81:86" x14ac:dyDescent="0.3">
      <c r="CC613" s="3"/>
      <c r="CD613" s="9"/>
      <c r="CF613" s="9"/>
      <c r="CG613" s="9"/>
      <c r="CH613" s="9"/>
    </row>
    <row r="614" spans="81:86" x14ac:dyDescent="0.3">
      <c r="CC614" s="3"/>
      <c r="CD614" s="9"/>
      <c r="CF614" s="9"/>
      <c r="CG614" s="9"/>
      <c r="CH614" s="9"/>
    </row>
    <row r="615" spans="81:86" x14ac:dyDescent="0.3">
      <c r="CC615" s="3"/>
      <c r="CD615" s="9"/>
      <c r="CF615" s="9"/>
      <c r="CG615" s="9"/>
      <c r="CH615" s="9"/>
    </row>
    <row r="616" spans="81:86" x14ac:dyDescent="0.3">
      <c r="CC616" s="3"/>
      <c r="CD616" s="9"/>
      <c r="CF616" s="9"/>
      <c r="CG616" s="9"/>
      <c r="CH616" s="9"/>
    </row>
    <row r="617" spans="81:86" x14ac:dyDescent="0.3">
      <c r="CC617" s="3"/>
      <c r="CD617" s="9"/>
      <c r="CF617" s="9"/>
      <c r="CG617" s="9"/>
      <c r="CH617" s="9"/>
    </row>
    <row r="618" spans="81:86" x14ac:dyDescent="0.3">
      <c r="CC618" s="3"/>
      <c r="CD618" s="9"/>
      <c r="CF618" s="9"/>
      <c r="CG618" s="9"/>
      <c r="CH618" s="9"/>
    </row>
    <row r="619" spans="81:86" x14ac:dyDescent="0.3">
      <c r="CC619" s="3"/>
      <c r="CD619" s="9"/>
      <c r="CF619" s="9"/>
      <c r="CG619" s="9"/>
      <c r="CH619" s="9"/>
    </row>
    <row r="620" spans="81:86" x14ac:dyDescent="0.3">
      <c r="CC620" s="3"/>
      <c r="CD620" s="9"/>
      <c r="CF620" s="9"/>
      <c r="CG620" s="9"/>
      <c r="CH620" s="9"/>
    </row>
    <row r="621" spans="81:86" x14ac:dyDescent="0.3">
      <c r="CC621" s="3"/>
      <c r="CD621" s="9"/>
      <c r="CF621" s="9"/>
      <c r="CG621" s="9"/>
      <c r="CH621" s="9"/>
    </row>
    <row r="622" spans="81:86" x14ac:dyDescent="0.3">
      <c r="CC622" s="3"/>
      <c r="CD622" s="9"/>
      <c r="CF622" s="9"/>
      <c r="CG622" s="9"/>
      <c r="CH622" s="9"/>
    </row>
    <row r="623" spans="81:86" x14ac:dyDescent="0.3">
      <c r="CC623" s="3"/>
      <c r="CD623" s="9"/>
      <c r="CF623" s="9"/>
      <c r="CG623" s="9"/>
      <c r="CH623" s="9"/>
    </row>
    <row r="624" spans="81:86" x14ac:dyDescent="0.3">
      <c r="CC624" s="3"/>
      <c r="CD624" s="9"/>
      <c r="CF624" s="9"/>
      <c r="CG624" s="9"/>
      <c r="CH624" s="9"/>
    </row>
    <row r="625" spans="81:86" x14ac:dyDescent="0.3">
      <c r="CC625" s="3"/>
      <c r="CD625" s="9"/>
      <c r="CF625" s="9"/>
      <c r="CG625" s="9"/>
      <c r="CH625" s="9"/>
    </row>
    <row r="626" spans="81:86" x14ac:dyDescent="0.3">
      <c r="CC626" s="3"/>
      <c r="CD626" s="9"/>
      <c r="CF626" s="9"/>
      <c r="CG626" s="9"/>
      <c r="CH626" s="9"/>
    </row>
    <row r="627" spans="81:86" x14ac:dyDescent="0.3">
      <c r="CC627" s="3"/>
      <c r="CD627" s="9"/>
      <c r="CF627" s="9"/>
      <c r="CG627" s="9"/>
      <c r="CH627" s="9"/>
    </row>
    <row r="628" spans="81:86" x14ac:dyDescent="0.3">
      <c r="CC628" s="3"/>
      <c r="CD628" s="9"/>
      <c r="CF628" s="9"/>
      <c r="CG628" s="9"/>
      <c r="CH628" s="9"/>
    </row>
    <row r="629" spans="81:86" x14ac:dyDescent="0.3">
      <c r="CC629" s="3"/>
      <c r="CD629" s="9"/>
      <c r="CF629" s="9"/>
      <c r="CG629" s="9"/>
      <c r="CH629" s="9"/>
    </row>
    <row r="630" spans="81:86" x14ac:dyDescent="0.3">
      <c r="CC630" s="3"/>
      <c r="CD630" s="9"/>
      <c r="CF630" s="9"/>
      <c r="CG630" s="9"/>
      <c r="CH630" s="9"/>
    </row>
    <row r="631" spans="81:86" x14ac:dyDescent="0.3">
      <c r="CC631" s="3"/>
      <c r="CD631" s="9"/>
      <c r="CF631" s="9"/>
      <c r="CG631" s="9"/>
      <c r="CH631" s="9"/>
    </row>
    <row r="632" spans="81:86" x14ac:dyDescent="0.3">
      <c r="CC632" s="3"/>
      <c r="CD632" s="9"/>
      <c r="CF632" s="9"/>
      <c r="CG632" s="9"/>
      <c r="CH632" s="9"/>
    </row>
    <row r="633" spans="81:86" x14ac:dyDescent="0.3">
      <c r="CC633" s="3"/>
      <c r="CD633" s="9"/>
      <c r="CF633" s="9"/>
      <c r="CG633" s="9"/>
      <c r="CH633" s="9"/>
    </row>
    <row r="634" spans="81:86" x14ac:dyDescent="0.3">
      <c r="CC634" s="3"/>
      <c r="CD634" s="9"/>
      <c r="CF634" s="9"/>
      <c r="CG634" s="9"/>
      <c r="CH634" s="9"/>
    </row>
    <row r="635" spans="81:86" x14ac:dyDescent="0.3">
      <c r="CC635" s="3"/>
      <c r="CD635" s="9"/>
      <c r="CF635" s="9"/>
      <c r="CG635" s="9"/>
      <c r="CH635" s="9"/>
    </row>
    <row r="636" spans="81:86" x14ac:dyDescent="0.3">
      <c r="CC636" s="3"/>
      <c r="CD636" s="9"/>
      <c r="CF636" s="9"/>
      <c r="CG636" s="9"/>
      <c r="CH636" s="9"/>
    </row>
    <row r="637" spans="81:86" x14ac:dyDescent="0.3">
      <c r="CC637" s="3"/>
      <c r="CD637" s="9"/>
      <c r="CF637" s="9"/>
      <c r="CG637" s="9"/>
      <c r="CH637" s="9"/>
    </row>
    <row r="638" spans="81:86" x14ac:dyDescent="0.3">
      <c r="CC638" s="3"/>
      <c r="CD638" s="9"/>
      <c r="CF638" s="9"/>
      <c r="CG638" s="9"/>
      <c r="CH638" s="9"/>
    </row>
    <row r="639" spans="81:86" x14ac:dyDescent="0.3">
      <c r="CC639" s="3"/>
      <c r="CD639" s="9"/>
      <c r="CF639" s="9"/>
      <c r="CG639" s="9"/>
      <c r="CH639" s="9"/>
    </row>
    <row r="640" spans="81:86" x14ac:dyDescent="0.3">
      <c r="CC640" s="3"/>
      <c r="CD640" s="9"/>
      <c r="CF640" s="9"/>
      <c r="CG640" s="9"/>
      <c r="CH640" s="9"/>
    </row>
    <row r="641" spans="81:86" x14ac:dyDescent="0.3">
      <c r="CC641" s="3"/>
      <c r="CD641" s="9"/>
      <c r="CF641" s="9"/>
      <c r="CG641" s="9"/>
      <c r="CH641" s="9"/>
    </row>
    <row r="642" spans="81:86" x14ac:dyDescent="0.3">
      <c r="CC642" s="3"/>
      <c r="CD642" s="9"/>
      <c r="CF642" s="9"/>
      <c r="CG642" s="9"/>
      <c r="CH642" s="9"/>
    </row>
    <row r="643" spans="81:86" x14ac:dyDescent="0.3">
      <c r="CC643" s="3"/>
      <c r="CD643" s="9"/>
      <c r="CF643" s="9"/>
      <c r="CG643" s="9"/>
      <c r="CH643" s="9"/>
    </row>
    <row r="644" spans="81:86" x14ac:dyDescent="0.3">
      <c r="CC644" s="3"/>
      <c r="CD644" s="9"/>
      <c r="CF644" s="9"/>
      <c r="CG644" s="9"/>
      <c r="CH644" s="9"/>
    </row>
    <row r="645" spans="81:86" x14ac:dyDescent="0.3">
      <c r="CC645" s="3"/>
      <c r="CD645" s="9"/>
      <c r="CF645" s="9"/>
      <c r="CG645" s="9"/>
      <c r="CH645" s="9"/>
    </row>
    <row r="646" spans="81:86" x14ac:dyDescent="0.3">
      <c r="CC646" s="3"/>
      <c r="CD646" s="9"/>
      <c r="CF646" s="9"/>
      <c r="CG646" s="9"/>
      <c r="CH646" s="9"/>
    </row>
    <row r="647" spans="81:86" x14ac:dyDescent="0.3">
      <c r="CC647" s="3"/>
      <c r="CD647" s="9"/>
      <c r="CF647" s="9"/>
      <c r="CG647" s="9"/>
      <c r="CH647" s="9"/>
    </row>
    <row r="648" spans="81:86" x14ac:dyDescent="0.3">
      <c r="CC648" s="3"/>
      <c r="CD648" s="9"/>
      <c r="CF648" s="9"/>
      <c r="CG648" s="9"/>
      <c r="CH648" s="9"/>
    </row>
    <row r="649" spans="81:86" x14ac:dyDescent="0.3">
      <c r="CC649" s="3"/>
      <c r="CD649" s="9"/>
      <c r="CF649" s="9"/>
      <c r="CG649" s="9"/>
      <c r="CH649" s="9"/>
    </row>
    <row r="650" spans="81:86" x14ac:dyDescent="0.3">
      <c r="CC650" s="3"/>
      <c r="CD650" s="9"/>
      <c r="CF650" s="9"/>
      <c r="CG650" s="9"/>
      <c r="CH650" s="9"/>
    </row>
    <row r="651" spans="81:86" x14ac:dyDescent="0.3">
      <c r="CC651" s="3"/>
      <c r="CD651" s="9"/>
      <c r="CF651" s="9"/>
      <c r="CG651" s="9"/>
      <c r="CH651" s="9"/>
    </row>
    <row r="652" spans="81:86" x14ac:dyDescent="0.3">
      <c r="CC652" s="3"/>
      <c r="CD652" s="9"/>
      <c r="CF652" s="9"/>
      <c r="CG652" s="9"/>
      <c r="CH652" s="9"/>
    </row>
    <row r="653" spans="81:86" x14ac:dyDescent="0.3">
      <c r="CC653" s="3"/>
      <c r="CD653" s="9"/>
      <c r="CF653" s="9"/>
      <c r="CG653" s="9"/>
      <c r="CH653" s="9"/>
    </row>
    <row r="654" spans="81:86" x14ac:dyDescent="0.3">
      <c r="CC654" s="3"/>
      <c r="CD654" s="9"/>
      <c r="CF654" s="9"/>
      <c r="CG654" s="9"/>
      <c r="CH654" s="9"/>
    </row>
    <row r="655" spans="81:86" x14ac:dyDescent="0.3">
      <c r="CC655" s="3"/>
      <c r="CD655" s="9"/>
      <c r="CF655" s="9"/>
      <c r="CG655" s="9"/>
      <c r="CH655" s="9"/>
    </row>
    <row r="656" spans="81:86" x14ac:dyDescent="0.3">
      <c r="CC656" s="3"/>
      <c r="CD656" s="9"/>
      <c r="CF656" s="9"/>
      <c r="CG656" s="9"/>
      <c r="CH656" s="9"/>
    </row>
    <row r="657" spans="81:86" x14ac:dyDescent="0.3">
      <c r="CC657" s="3"/>
      <c r="CD657" s="9"/>
      <c r="CF657" s="9"/>
      <c r="CG657" s="9"/>
      <c r="CH657" s="9"/>
    </row>
    <row r="658" spans="81:86" x14ac:dyDescent="0.3">
      <c r="CC658" s="3"/>
      <c r="CD658" s="9"/>
      <c r="CF658" s="9"/>
      <c r="CG658" s="9"/>
      <c r="CH658" s="9"/>
    </row>
    <row r="659" spans="81:86" x14ac:dyDescent="0.3">
      <c r="CC659" s="3"/>
      <c r="CD659" s="9"/>
      <c r="CF659" s="9"/>
      <c r="CG659" s="9"/>
      <c r="CH659" s="9"/>
    </row>
    <row r="660" spans="81:86" x14ac:dyDescent="0.3">
      <c r="CC660" s="3"/>
      <c r="CD660" s="9"/>
      <c r="CF660" s="9"/>
      <c r="CG660" s="9"/>
      <c r="CH660" s="9"/>
    </row>
    <row r="661" spans="81:86" x14ac:dyDescent="0.3">
      <c r="CC661" s="3"/>
      <c r="CD661" s="9"/>
      <c r="CF661" s="9"/>
      <c r="CG661" s="9"/>
      <c r="CH661" s="9"/>
    </row>
    <row r="662" spans="81:86" x14ac:dyDescent="0.3">
      <c r="CC662" s="3"/>
      <c r="CD662" s="9"/>
      <c r="CF662" s="9"/>
      <c r="CG662" s="9"/>
      <c r="CH662" s="9"/>
    </row>
    <row r="663" spans="81:86" x14ac:dyDescent="0.3">
      <c r="CC663" s="3"/>
      <c r="CD663" s="9"/>
      <c r="CF663" s="9"/>
      <c r="CG663" s="9"/>
      <c r="CH663" s="9"/>
    </row>
    <row r="664" spans="81:86" x14ac:dyDescent="0.3">
      <c r="CC664" s="3"/>
      <c r="CD664" s="9"/>
      <c r="CF664" s="9"/>
      <c r="CG664" s="9"/>
      <c r="CH664" s="9"/>
    </row>
    <row r="665" spans="81:86" x14ac:dyDescent="0.3">
      <c r="CC665" s="3"/>
      <c r="CD665" s="9"/>
      <c r="CF665" s="9"/>
      <c r="CG665" s="9"/>
      <c r="CH665" s="9"/>
    </row>
    <row r="666" spans="81:86" x14ac:dyDescent="0.3">
      <c r="CC666" s="3"/>
      <c r="CD666" s="9"/>
      <c r="CF666" s="9"/>
      <c r="CG666" s="9"/>
      <c r="CH666" s="9"/>
    </row>
    <row r="667" spans="81:86" x14ac:dyDescent="0.3">
      <c r="CC667" s="3"/>
      <c r="CD667" s="9"/>
      <c r="CF667" s="9"/>
      <c r="CG667" s="9"/>
      <c r="CH667" s="9"/>
    </row>
    <row r="668" spans="81:86" x14ac:dyDescent="0.3">
      <c r="CC668" s="3"/>
      <c r="CD668" s="9"/>
      <c r="CF668" s="9"/>
      <c r="CG668" s="9"/>
      <c r="CH668" s="9"/>
    </row>
    <row r="669" spans="81:86" x14ac:dyDescent="0.3">
      <c r="CC669" s="3"/>
      <c r="CD669" s="9"/>
      <c r="CF669" s="9"/>
      <c r="CG669" s="9"/>
      <c r="CH669" s="9"/>
    </row>
    <row r="670" spans="81:86" x14ac:dyDescent="0.3">
      <c r="CC670" s="3"/>
      <c r="CD670" s="9"/>
      <c r="CF670" s="9"/>
      <c r="CG670" s="9"/>
      <c r="CH670" s="9"/>
    </row>
    <row r="671" spans="81:86" x14ac:dyDescent="0.3">
      <c r="CC671" s="3"/>
      <c r="CD671" s="9"/>
      <c r="CF671" s="9"/>
      <c r="CG671" s="9"/>
      <c r="CH671" s="9"/>
    </row>
    <row r="672" spans="81:86" x14ac:dyDescent="0.3">
      <c r="CC672" s="3"/>
      <c r="CD672" s="9"/>
      <c r="CF672" s="9"/>
      <c r="CG672" s="9"/>
      <c r="CH672" s="9"/>
    </row>
    <row r="673" spans="81:86" x14ac:dyDescent="0.3">
      <c r="CC673" s="3"/>
      <c r="CD673" s="9"/>
      <c r="CF673" s="9"/>
      <c r="CG673" s="9"/>
      <c r="CH673" s="9"/>
    </row>
    <row r="674" spans="81:86" x14ac:dyDescent="0.3">
      <c r="CC674" s="3"/>
      <c r="CD674" s="9"/>
      <c r="CF674" s="9"/>
      <c r="CG674" s="9"/>
      <c r="CH674" s="9"/>
    </row>
    <row r="675" spans="81:86" x14ac:dyDescent="0.3">
      <c r="CC675" s="3"/>
      <c r="CD675" s="9"/>
      <c r="CF675" s="9"/>
      <c r="CG675" s="9"/>
      <c r="CH675" s="9"/>
    </row>
    <row r="676" spans="81:86" x14ac:dyDescent="0.3">
      <c r="CC676" s="3"/>
      <c r="CD676" s="9"/>
      <c r="CF676" s="9"/>
      <c r="CG676" s="9"/>
      <c r="CH676" s="9"/>
    </row>
    <row r="677" spans="81:86" x14ac:dyDescent="0.3">
      <c r="CC677" s="3"/>
      <c r="CD677" s="9"/>
      <c r="CF677" s="9"/>
      <c r="CG677" s="9"/>
      <c r="CH677" s="9"/>
    </row>
    <row r="678" spans="81:86" x14ac:dyDescent="0.3">
      <c r="CC678" s="3"/>
      <c r="CD678" s="9"/>
      <c r="CF678" s="9"/>
      <c r="CG678" s="9"/>
      <c r="CH678" s="9"/>
    </row>
    <row r="679" spans="81:86" x14ac:dyDescent="0.3">
      <c r="CC679" s="3"/>
      <c r="CD679" s="9"/>
      <c r="CF679" s="9"/>
      <c r="CG679" s="9"/>
      <c r="CH679" s="9"/>
    </row>
    <row r="680" spans="81:86" x14ac:dyDescent="0.3">
      <c r="CC680" s="3"/>
      <c r="CD680" s="9"/>
      <c r="CF680" s="9"/>
      <c r="CG680" s="9"/>
      <c r="CH680" s="9"/>
    </row>
    <row r="681" spans="81:86" x14ac:dyDescent="0.3">
      <c r="CC681" s="3"/>
      <c r="CD681" s="9"/>
      <c r="CF681" s="9"/>
      <c r="CG681" s="9"/>
      <c r="CH681" s="9"/>
    </row>
    <row r="682" spans="81:86" x14ac:dyDescent="0.3">
      <c r="CC682" s="3"/>
      <c r="CD682" s="9"/>
      <c r="CF682" s="9"/>
      <c r="CG682" s="9"/>
      <c r="CH682" s="9"/>
    </row>
    <row r="683" spans="81:86" x14ac:dyDescent="0.3">
      <c r="CC683" s="3"/>
      <c r="CD683" s="9"/>
      <c r="CF683" s="9"/>
      <c r="CG683" s="9"/>
      <c r="CH683" s="9"/>
    </row>
    <row r="684" spans="81:86" x14ac:dyDescent="0.3">
      <c r="CC684" s="3"/>
      <c r="CD684" s="9"/>
      <c r="CF684" s="9"/>
      <c r="CG684" s="9"/>
      <c r="CH684" s="9"/>
    </row>
    <row r="685" spans="81:86" x14ac:dyDescent="0.3">
      <c r="CC685" s="3"/>
      <c r="CD685" s="9"/>
      <c r="CF685" s="9"/>
      <c r="CG685" s="9"/>
      <c r="CH685" s="9"/>
    </row>
    <row r="686" spans="81:86" x14ac:dyDescent="0.3">
      <c r="CC686" s="3"/>
      <c r="CD686" s="9"/>
      <c r="CF686" s="9"/>
      <c r="CG686" s="9"/>
      <c r="CH686" s="9"/>
    </row>
    <row r="687" spans="81:86" x14ac:dyDescent="0.3">
      <c r="CC687" s="3"/>
      <c r="CD687" s="9"/>
      <c r="CF687" s="9"/>
      <c r="CG687" s="9"/>
      <c r="CH687" s="9"/>
    </row>
    <row r="688" spans="81:86" x14ac:dyDescent="0.3">
      <c r="CC688" s="3"/>
      <c r="CD688" s="9"/>
      <c r="CF688" s="9"/>
      <c r="CG688" s="9"/>
      <c r="CH688" s="9"/>
    </row>
    <row r="689" spans="81:86" x14ac:dyDescent="0.3">
      <c r="CC689" s="3"/>
      <c r="CD689" s="9"/>
      <c r="CF689" s="9"/>
      <c r="CG689" s="9"/>
      <c r="CH689" s="9"/>
    </row>
    <row r="690" spans="81:86" x14ac:dyDescent="0.3">
      <c r="CC690" s="3"/>
      <c r="CD690" s="9"/>
      <c r="CF690" s="9"/>
      <c r="CG690" s="9"/>
      <c r="CH690" s="9"/>
    </row>
    <row r="691" spans="81:86" x14ac:dyDescent="0.3">
      <c r="CC691" s="3"/>
      <c r="CD691" s="9"/>
      <c r="CF691" s="9"/>
      <c r="CG691" s="9"/>
      <c r="CH691" s="9"/>
    </row>
    <row r="692" spans="81:86" x14ac:dyDescent="0.3">
      <c r="CC692" s="3"/>
      <c r="CD692" s="9"/>
      <c r="CF692" s="9"/>
      <c r="CG692" s="9"/>
      <c r="CH692" s="9"/>
    </row>
    <row r="693" spans="81:86" x14ac:dyDescent="0.3">
      <c r="CC693" s="3"/>
      <c r="CD693" s="9"/>
      <c r="CF693" s="9"/>
      <c r="CG693" s="9"/>
      <c r="CH693" s="9"/>
    </row>
    <row r="694" spans="81:86" x14ac:dyDescent="0.3">
      <c r="CC694" s="3"/>
      <c r="CD694" s="9"/>
      <c r="CF694" s="9"/>
      <c r="CG694" s="9"/>
      <c r="CH694" s="9"/>
    </row>
    <row r="695" spans="81:86" x14ac:dyDescent="0.3">
      <c r="CC695" s="3"/>
      <c r="CD695" s="9"/>
      <c r="CF695" s="9"/>
      <c r="CG695" s="9"/>
      <c r="CH695" s="9"/>
    </row>
    <row r="696" spans="81:86" x14ac:dyDescent="0.3">
      <c r="CC696" s="3"/>
      <c r="CD696" s="9"/>
      <c r="CF696" s="9"/>
      <c r="CG696" s="9"/>
      <c r="CH696" s="9"/>
    </row>
    <row r="697" spans="81:86" x14ac:dyDescent="0.3">
      <c r="CC697" s="3"/>
      <c r="CD697" s="9"/>
      <c r="CF697" s="9"/>
      <c r="CG697" s="9"/>
      <c r="CH697" s="9"/>
    </row>
    <row r="698" spans="81:86" x14ac:dyDescent="0.3">
      <c r="CC698" s="3"/>
      <c r="CD698" s="9"/>
      <c r="CF698" s="9"/>
      <c r="CG698" s="9"/>
      <c r="CH698" s="9"/>
    </row>
    <row r="699" spans="81:86" x14ac:dyDescent="0.3">
      <c r="CC699" s="3"/>
      <c r="CD699" s="9"/>
      <c r="CF699" s="9"/>
      <c r="CG699" s="9"/>
      <c r="CH699" s="9"/>
    </row>
    <row r="700" spans="81:86" x14ac:dyDescent="0.3">
      <c r="CC700" s="3"/>
      <c r="CD700" s="9"/>
      <c r="CF700" s="9"/>
      <c r="CG700" s="9"/>
      <c r="CH700" s="9"/>
    </row>
    <row r="701" spans="81:86" x14ac:dyDescent="0.3">
      <c r="CC701" s="3"/>
      <c r="CD701" s="9"/>
      <c r="CF701" s="9"/>
      <c r="CG701" s="9"/>
      <c r="CH701" s="9"/>
    </row>
    <row r="702" spans="81:86" x14ac:dyDescent="0.3">
      <c r="CC702" s="3"/>
      <c r="CD702" s="9"/>
      <c r="CF702" s="9"/>
      <c r="CG702" s="9"/>
      <c r="CH702" s="9"/>
    </row>
    <row r="703" spans="81:86" x14ac:dyDescent="0.3">
      <c r="CC703" s="3"/>
      <c r="CD703" s="9"/>
      <c r="CF703" s="9"/>
      <c r="CG703" s="9"/>
      <c r="CH703" s="9"/>
    </row>
    <row r="704" spans="81:86" x14ac:dyDescent="0.3">
      <c r="CC704" s="3"/>
      <c r="CD704" s="9"/>
      <c r="CF704" s="9"/>
      <c r="CG704" s="9"/>
      <c r="CH704" s="9"/>
    </row>
    <row r="705" spans="81:86" x14ac:dyDescent="0.3">
      <c r="CC705" s="3"/>
      <c r="CD705" s="9"/>
      <c r="CF705" s="9"/>
      <c r="CG705" s="9"/>
      <c r="CH705" s="9"/>
    </row>
    <row r="706" spans="81:86" x14ac:dyDescent="0.3">
      <c r="CC706" s="3"/>
      <c r="CD706" s="9"/>
      <c r="CF706" s="9"/>
      <c r="CG706" s="9"/>
      <c r="CH706" s="9"/>
    </row>
    <row r="707" spans="81:86" x14ac:dyDescent="0.3">
      <c r="CC707" s="3"/>
      <c r="CD707" s="9"/>
      <c r="CF707" s="9"/>
      <c r="CG707" s="9"/>
      <c r="CH707" s="9"/>
    </row>
    <row r="708" spans="81:86" x14ac:dyDescent="0.3">
      <c r="CC708" s="3"/>
      <c r="CD708" s="9"/>
      <c r="CF708" s="9"/>
      <c r="CG708" s="9"/>
      <c r="CH708" s="9"/>
    </row>
    <row r="709" spans="81:86" x14ac:dyDescent="0.3">
      <c r="CC709" s="3"/>
      <c r="CD709" s="9"/>
      <c r="CF709" s="9"/>
      <c r="CG709" s="9"/>
      <c r="CH709" s="9"/>
    </row>
    <row r="710" spans="81:86" x14ac:dyDescent="0.3">
      <c r="CC710" s="3"/>
      <c r="CD710" s="9"/>
      <c r="CF710" s="9"/>
      <c r="CG710" s="9"/>
      <c r="CH710" s="9"/>
    </row>
    <row r="711" spans="81:86" x14ac:dyDescent="0.3">
      <c r="CC711" s="3"/>
      <c r="CD711" s="9"/>
      <c r="CF711" s="9"/>
      <c r="CG711" s="9"/>
      <c r="CH711" s="9"/>
    </row>
    <row r="712" spans="81:86" x14ac:dyDescent="0.3">
      <c r="CC712" s="3"/>
      <c r="CD712" s="9"/>
      <c r="CF712" s="9"/>
      <c r="CG712" s="9"/>
      <c r="CH712" s="9"/>
    </row>
    <row r="713" spans="81:86" x14ac:dyDescent="0.3">
      <c r="CC713" s="3"/>
      <c r="CD713" s="9"/>
      <c r="CF713" s="9"/>
      <c r="CG713" s="9"/>
      <c r="CH713" s="9"/>
    </row>
    <row r="714" spans="81:86" x14ac:dyDescent="0.3">
      <c r="CC714" s="3"/>
      <c r="CD714" s="9"/>
      <c r="CF714" s="9"/>
      <c r="CG714" s="9"/>
      <c r="CH714" s="9"/>
    </row>
    <row r="715" spans="81:86" x14ac:dyDescent="0.3">
      <c r="CC715" s="3"/>
      <c r="CD715" s="9"/>
      <c r="CF715" s="9"/>
      <c r="CG715" s="9"/>
      <c r="CH715" s="9"/>
    </row>
    <row r="716" spans="81:86" x14ac:dyDescent="0.3">
      <c r="CC716" s="3"/>
      <c r="CD716" s="9"/>
      <c r="CF716" s="9"/>
      <c r="CG716" s="9"/>
      <c r="CH716" s="9"/>
    </row>
    <row r="717" spans="81:86" x14ac:dyDescent="0.3">
      <c r="CC717" s="3"/>
      <c r="CD717" s="9"/>
      <c r="CF717" s="9"/>
      <c r="CG717" s="9"/>
      <c r="CH717" s="9"/>
    </row>
    <row r="718" spans="81:86" x14ac:dyDescent="0.3">
      <c r="CC718" s="3"/>
      <c r="CD718" s="9"/>
      <c r="CF718" s="9"/>
      <c r="CG718" s="9"/>
      <c r="CH718" s="9"/>
    </row>
    <row r="719" spans="81:86" x14ac:dyDescent="0.3">
      <c r="CC719" s="3"/>
      <c r="CD719" s="9"/>
      <c r="CF719" s="9"/>
      <c r="CG719" s="9"/>
      <c r="CH719" s="9"/>
    </row>
    <row r="720" spans="81:86" x14ac:dyDescent="0.3">
      <c r="CC720" s="3"/>
      <c r="CD720" s="9"/>
      <c r="CF720" s="9"/>
      <c r="CG720" s="9"/>
      <c r="CH720" s="9"/>
    </row>
    <row r="721" spans="81:86" x14ac:dyDescent="0.3">
      <c r="CC721" s="3"/>
      <c r="CD721" s="9"/>
      <c r="CF721" s="9"/>
      <c r="CG721" s="9"/>
      <c r="CH721" s="9"/>
    </row>
    <row r="722" spans="81:86" x14ac:dyDescent="0.3">
      <c r="CC722" s="3"/>
      <c r="CD722" s="9"/>
      <c r="CF722" s="9"/>
      <c r="CG722" s="9"/>
      <c r="CH722" s="9"/>
    </row>
    <row r="723" spans="81:86" x14ac:dyDescent="0.3">
      <c r="CC723" s="3"/>
      <c r="CD723" s="9"/>
      <c r="CF723" s="9"/>
      <c r="CG723" s="9"/>
      <c r="CH723" s="9"/>
    </row>
    <row r="724" spans="81:86" x14ac:dyDescent="0.3">
      <c r="CC724" s="3"/>
      <c r="CD724" s="9"/>
      <c r="CF724" s="9"/>
      <c r="CG724" s="9"/>
      <c r="CH724" s="9"/>
    </row>
    <row r="725" spans="81:86" x14ac:dyDescent="0.3">
      <c r="CC725" s="3"/>
      <c r="CD725" s="9"/>
      <c r="CF725" s="9"/>
      <c r="CG725" s="9"/>
      <c r="CH725" s="9"/>
    </row>
    <row r="726" spans="81:86" x14ac:dyDescent="0.3">
      <c r="CC726" s="3"/>
      <c r="CD726" s="9"/>
      <c r="CF726" s="9"/>
      <c r="CG726" s="9"/>
      <c r="CH726" s="9"/>
    </row>
    <row r="727" spans="81:86" x14ac:dyDescent="0.3">
      <c r="CC727" s="3"/>
      <c r="CD727" s="9"/>
      <c r="CF727" s="9"/>
      <c r="CG727" s="9"/>
      <c r="CH727" s="9"/>
    </row>
    <row r="728" spans="81:86" x14ac:dyDescent="0.3">
      <c r="CC728" s="3"/>
      <c r="CD728" s="9"/>
      <c r="CF728" s="9"/>
      <c r="CG728" s="9"/>
      <c r="CH728" s="9"/>
    </row>
    <row r="729" spans="81:86" x14ac:dyDescent="0.3">
      <c r="CC729" s="3"/>
      <c r="CD729" s="9"/>
      <c r="CF729" s="9"/>
      <c r="CG729" s="9"/>
      <c r="CH729" s="9"/>
    </row>
    <row r="730" spans="81:86" x14ac:dyDescent="0.3">
      <c r="CC730" s="3"/>
      <c r="CD730" s="9"/>
      <c r="CF730" s="9"/>
      <c r="CG730" s="9"/>
      <c r="CH730" s="9"/>
    </row>
    <row r="731" spans="81:86" x14ac:dyDescent="0.3">
      <c r="CC731" s="3"/>
      <c r="CD731" s="9"/>
      <c r="CF731" s="9"/>
      <c r="CG731" s="9"/>
      <c r="CH731" s="9"/>
    </row>
    <row r="732" spans="81:86" x14ac:dyDescent="0.3">
      <c r="CC732" s="3"/>
      <c r="CD732" s="9"/>
      <c r="CF732" s="9"/>
      <c r="CG732" s="9"/>
      <c r="CH732" s="9"/>
    </row>
    <row r="733" spans="81:86" x14ac:dyDescent="0.3">
      <c r="CC733" s="3"/>
      <c r="CD733" s="9"/>
      <c r="CF733" s="9"/>
      <c r="CG733" s="9"/>
      <c r="CH733" s="9"/>
    </row>
    <row r="734" spans="81:86" x14ac:dyDescent="0.3">
      <c r="CC734" s="3"/>
      <c r="CD734" s="9"/>
      <c r="CF734" s="9"/>
      <c r="CG734" s="9"/>
      <c r="CH734" s="9"/>
    </row>
    <row r="735" spans="81:86" x14ac:dyDescent="0.3">
      <c r="CC735" s="3"/>
      <c r="CD735" s="9"/>
      <c r="CF735" s="9"/>
      <c r="CG735" s="9"/>
      <c r="CH735" s="9"/>
    </row>
    <row r="736" spans="81:86" x14ac:dyDescent="0.3">
      <c r="CC736" s="3"/>
      <c r="CD736" s="9"/>
      <c r="CF736" s="9"/>
      <c r="CG736" s="9"/>
      <c r="CH736" s="9"/>
    </row>
    <row r="737" spans="81:86" x14ac:dyDescent="0.3">
      <c r="CC737" s="3"/>
      <c r="CD737" s="9"/>
      <c r="CF737" s="9"/>
      <c r="CG737" s="9"/>
      <c r="CH737" s="9"/>
    </row>
    <row r="738" spans="81:86" x14ac:dyDescent="0.3">
      <c r="CC738" s="3"/>
      <c r="CD738" s="9"/>
      <c r="CF738" s="9"/>
      <c r="CG738" s="9"/>
      <c r="CH738" s="9"/>
    </row>
    <row r="739" spans="81:86" x14ac:dyDescent="0.3">
      <c r="CC739" s="3"/>
      <c r="CD739" s="9"/>
      <c r="CF739" s="9"/>
      <c r="CG739" s="9"/>
      <c r="CH739" s="9"/>
    </row>
    <row r="740" spans="81:86" x14ac:dyDescent="0.3">
      <c r="CC740" s="3"/>
      <c r="CD740" s="9"/>
      <c r="CF740" s="9"/>
      <c r="CG740" s="9"/>
      <c r="CH740" s="9"/>
    </row>
    <row r="741" spans="81:86" x14ac:dyDescent="0.3">
      <c r="CC741" s="3"/>
      <c r="CD741" s="9"/>
      <c r="CF741" s="9"/>
      <c r="CG741" s="9"/>
      <c r="CH741" s="9"/>
    </row>
    <row r="742" spans="81:86" x14ac:dyDescent="0.3">
      <c r="CC742" s="3"/>
      <c r="CD742" s="9"/>
      <c r="CF742" s="9"/>
      <c r="CG742" s="9"/>
      <c r="CH742" s="9"/>
    </row>
    <row r="743" spans="81:86" x14ac:dyDescent="0.3">
      <c r="CC743" s="3"/>
      <c r="CD743" s="9"/>
      <c r="CF743" s="9"/>
      <c r="CG743" s="9"/>
      <c r="CH743" s="9"/>
    </row>
    <row r="744" spans="81:86" x14ac:dyDescent="0.3">
      <c r="CC744" s="3"/>
      <c r="CD744" s="9"/>
      <c r="CF744" s="9"/>
      <c r="CG744" s="9"/>
      <c r="CH744" s="9"/>
    </row>
    <row r="745" spans="81:86" x14ac:dyDescent="0.3">
      <c r="CC745" s="3"/>
      <c r="CD745" s="9"/>
      <c r="CF745" s="9"/>
      <c r="CG745" s="9"/>
      <c r="CH745" s="9"/>
    </row>
    <row r="746" spans="81:86" x14ac:dyDescent="0.3">
      <c r="CC746" s="3"/>
      <c r="CD746" s="9"/>
      <c r="CF746" s="9"/>
      <c r="CG746" s="9"/>
      <c r="CH746" s="9"/>
    </row>
    <row r="747" spans="81:86" x14ac:dyDescent="0.3">
      <c r="CC747" s="3"/>
      <c r="CD747" s="9"/>
      <c r="CF747" s="9"/>
      <c r="CG747" s="9"/>
      <c r="CH747" s="9"/>
    </row>
    <row r="748" spans="81:86" x14ac:dyDescent="0.3">
      <c r="CC748" s="3"/>
      <c r="CD748" s="9"/>
      <c r="CF748" s="9"/>
      <c r="CG748" s="9"/>
      <c r="CH748" s="9"/>
    </row>
    <row r="749" spans="81:86" x14ac:dyDescent="0.3">
      <c r="CC749" s="3"/>
      <c r="CD749" s="9"/>
      <c r="CF749" s="9"/>
      <c r="CG749" s="9"/>
      <c r="CH749" s="9"/>
    </row>
    <row r="750" spans="81:86" x14ac:dyDescent="0.3">
      <c r="CC750" s="3"/>
      <c r="CD750" s="9"/>
      <c r="CF750" s="9"/>
      <c r="CG750" s="9"/>
      <c r="CH750" s="9"/>
    </row>
    <row r="751" spans="81:86" x14ac:dyDescent="0.3">
      <c r="CC751" s="3"/>
      <c r="CD751" s="9"/>
      <c r="CF751" s="9"/>
      <c r="CG751" s="9"/>
      <c r="CH751" s="9"/>
    </row>
    <row r="752" spans="81:86" x14ac:dyDescent="0.3">
      <c r="CC752" s="3"/>
      <c r="CD752" s="9"/>
      <c r="CF752" s="9"/>
      <c r="CG752" s="9"/>
      <c r="CH752" s="9"/>
    </row>
    <row r="753" spans="81:86" x14ac:dyDescent="0.3">
      <c r="CC753" s="3"/>
      <c r="CD753" s="9"/>
      <c r="CF753" s="9"/>
      <c r="CG753" s="9"/>
      <c r="CH753" s="9"/>
    </row>
    <row r="754" spans="81:86" x14ac:dyDescent="0.3">
      <c r="CC754" s="3"/>
      <c r="CD754" s="9"/>
      <c r="CF754" s="9"/>
      <c r="CG754" s="9"/>
      <c r="CH754" s="9"/>
    </row>
    <row r="755" spans="81:86" x14ac:dyDescent="0.3">
      <c r="CC755" s="3"/>
      <c r="CD755" s="9"/>
      <c r="CF755" s="9"/>
      <c r="CG755" s="9"/>
      <c r="CH755" s="9"/>
    </row>
    <row r="756" spans="81:86" x14ac:dyDescent="0.3">
      <c r="CC756" s="3"/>
      <c r="CD756" s="9"/>
      <c r="CF756" s="9"/>
      <c r="CG756" s="9"/>
      <c r="CH756" s="9"/>
    </row>
    <row r="757" spans="81:86" x14ac:dyDescent="0.3">
      <c r="CC757" s="3"/>
      <c r="CD757" s="9"/>
      <c r="CF757" s="9"/>
      <c r="CG757" s="9"/>
      <c r="CH757" s="9"/>
    </row>
    <row r="758" spans="81:86" x14ac:dyDescent="0.3">
      <c r="CC758" s="3"/>
      <c r="CD758" s="9"/>
      <c r="CF758" s="9"/>
      <c r="CG758" s="9"/>
      <c r="CH758" s="9"/>
    </row>
    <row r="759" spans="81:86" x14ac:dyDescent="0.3">
      <c r="CC759" s="3"/>
      <c r="CD759" s="9"/>
      <c r="CF759" s="9"/>
      <c r="CG759" s="9"/>
      <c r="CH759" s="9"/>
    </row>
    <row r="760" spans="81:86" x14ac:dyDescent="0.3">
      <c r="CC760" s="3"/>
      <c r="CD760" s="9"/>
      <c r="CF760" s="9"/>
      <c r="CG760" s="9"/>
      <c r="CH760" s="9"/>
    </row>
    <row r="761" spans="81:86" x14ac:dyDescent="0.3">
      <c r="CC761" s="3"/>
      <c r="CD761" s="9"/>
      <c r="CF761" s="9"/>
      <c r="CG761" s="9"/>
      <c r="CH761" s="9"/>
    </row>
    <row r="762" spans="81:86" x14ac:dyDescent="0.3">
      <c r="CC762" s="3"/>
      <c r="CD762" s="9"/>
      <c r="CF762" s="9"/>
      <c r="CG762" s="9"/>
      <c r="CH762" s="9"/>
    </row>
    <row r="763" spans="81:86" x14ac:dyDescent="0.3">
      <c r="CC763" s="3"/>
      <c r="CD763" s="9"/>
      <c r="CF763" s="9"/>
      <c r="CG763" s="9"/>
      <c r="CH763" s="9"/>
    </row>
    <row r="764" spans="81:86" x14ac:dyDescent="0.3">
      <c r="CC764" s="3"/>
      <c r="CD764" s="9"/>
      <c r="CF764" s="9"/>
      <c r="CG764" s="9"/>
      <c r="CH764" s="9"/>
    </row>
    <row r="765" spans="81:86" x14ac:dyDescent="0.3">
      <c r="CC765" s="3"/>
      <c r="CD765" s="9"/>
      <c r="CF765" s="9"/>
      <c r="CG765" s="9"/>
      <c r="CH765" s="9"/>
    </row>
    <row r="766" spans="81:86" x14ac:dyDescent="0.3">
      <c r="CC766" s="3"/>
      <c r="CD766" s="9"/>
      <c r="CF766" s="9"/>
      <c r="CG766" s="9"/>
      <c r="CH766" s="9"/>
    </row>
    <row r="767" spans="81:86" x14ac:dyDescent="0.3">
      <c r="CC767" s="3"/>
      <c r="CD767" s="9"/>
      <c r="CF767" s="9"/>
      <c r="CG767" s="9"/>
      <c r="CH767" s="9"/>
    </row>
    <row r="768" spans="81:86" x14ac:dyDescent="0.3">
      <c r="CC768" s="3"/>
      <c r="CD768" s="9"/>
      <c r="CF768" s="9"/>
      <c r="CG768" s="9"/>
      <c r="CH768" s="9"/>
    </row>
    <row r="769" spans="81:86" x14ac:dyDescent="0.3">
      <c r="CC769" s="3"/>
      <c r="CD769" s="9"/>
      <c r="CF769" s="9"/>
      <c r="CG769" s="9"/>
      <c r="CH769" s="9"/>
    </row>
    <row r="770" spans="81:86" x14ac:dyDescent="0.3">
      <c r="CC770" s="3"/>
      <c r="CD770" s="9"/>
      <c r="CF770" s="9"/>
      <c r="CG770" s="9"/>
      <c r="CH770" s="9"/>
    </row>
    <row r="771" spans="81:86" x14ac:dyDescent="0.3">
      <c r="CC771" s="3"/>
      <c r="CD771" s="9"/>
      <c r="CF771" s="9"/>
      <c r="CG771" s="9"/>
      <c r="CH771" s="9"/>
    </row>
    <row r="772" spans="81:86" x14ac:dyDescent="0.3">
      <c r="CC772" s="3"/>
      <c r="CD772" s="9"/>
      <c r="CF772" s="9"/>
      <c r="CG772" s="9"/>
      <c r="CH772" s="9"/>
    </row>
    <row r="773" spans="81:86" x14ac:dyDescent="0.3">
      <c r="CC773" s="3"/>
      <c r="CD773" s="9"/>
      <c r="CF773" s="9"/>
      <c r="CG773" s="9"/>
      <c r="CH773" s="9"/>
    </row>
    <row r="774" spans="81:86" x14ac:dyDescent="0.3">
      <c r="CC774" s="3"/>
      <c r="CD774" s="9"/>
      <c r="CF774" s="9"/>
      <c r="CG774" s="9"/>
      <c r="CH774" s="9"/>
    </row>
    <row r="775" spans="81:86" x14ac:dyDescent="0.3">
      <c r="CC775" s="3"/>
      <c r="CD775" s="9"/>
      <c r="CF775" s="9"/>
      <c r="CG775" s="9"/>
      <c r="CH775" s="9"/>
    </row>
    <row r="776" spans="81:86" x14ac:dyDescent="0.3">
      <c r="CC776" s="3"/>
      <c r="CD776" s="9"/>
      <c r="CF776" s="9"/>
      <c r="CG776" s="9"/>
      <c r="CH776" s="9"/>
    </row>
    <row r="777" spans="81:86" x14ac:dyDescent="0.3">
      <c r="CC777" s="3"/>
      <c r="CD777" s="9"/>
      <c r="CF777" s="9"/>
      <c r="CG777" s="9"/>
      <c r="CH777" s="9"/>
    </row>
    <row r="778" spans="81:86" x14ac:dyDescent="0.3">
      <c r="CC778" s="3"/>
      <c r="CD778" s="9"/>
      <c r="CF778" s="9"/>
      <c r="CG778" s="9"/>
      <c r="CH778" s="9"/>
    </row>
    <row r="779" spans="81:86" x14ac:dyDescent="0.3">
      <c r="CC779" s="3"/>
      <c r="CD779" s="9"/>
      <c r="CF779" s="9"/>
      <c r="CG779" s="9"/>
      <c r="CH779" s="9"/>
    </row>
    <row r="780" spans="81:86" x14ac:dyDescent="0.3">
      <c r="CC780" s="3"/>
      <c r="CD780" s="9"/>
      <c r="CF780" s="9"/>
      <c r="CG780" s="9"/>
      <c r="CH780" s="9"/>
    </row>
    <row r="781" spans="81:86" x14ac:dyDescent="0.3">
      <c r="CC781" s="3"/>
      <c r="CD781" s="9"/>
      <c r="CF781" s="9"/>
      <c r="CG781" s="9"/>
      <c r="CH781" s="9"/>
    </row>
    <row r="782" spans="81:86" x14ac:dyDescent="0.3">
      <c r="CC782" s="3"/>
      <c r="CD782" s="9"/>
      <c r="CF782" s="9"/>
      <c r="CG782" s="9"/>
      <c r="CH782" s="9"/>
    </row>
    <row r="783" spans="81:86" x14ac:dyDescent="0.3">
      <c r="CC783" s="3"/>
      <c r="CD783" s="9"/>
      <c r="CF783" s="9"/>
      <c r="CG783" s="9"/>
      <c r="CH783" s="9"/>
    </row>
    <row r="784" spans="81:86" x14ac:dyDescent="0.3">
      <c r="CC784" s="3"/>
      <c r="CD784" s="9"/>
      <c r="CF784" s="9"/>
      <c r="CG784" s="9"/>
      <c r="CH784" s="9"/>
    </row>
    <row r="785" spans="81:86" x14ac:dyDescent="0.3">
      <c r="CC785" s="3"/>
      <c r="CD785" s="9"/>
      <c r="CF785" s="9"/>
      <c r="CG785" s="9"/>
      <c r="CH785" s="9"/>
    </row>
    <row r="786" spans="81:86" x14ac:dyDescent="0.3">
      <c r="CC786" s="3"/>
      <c r="CD786" s="9"/>
      <c r="CF786" s="9"/>
      <c r="CG786" s="9"/>
      <c r="CH786" s="9"/>
    </row>
    <row r="787" spans="81:86" x14ac:dyDescent="0.3">
      <c r="CC787" s="3"/>
      <c r="CD787" s="9"/>
      <c r="CF787" s="9"/>
      <c r="CG787" s="9"/>
      <c r="CH787" s="9"/>
    </row>
    <row r="788" spans="81:86" x14ac:dyDescent="0.3">
      <c r="CC788" s="3"/>
      <c r="CD788" s="9"/>
      <c r="CF788" s="9"/>
      <c r="CG788" s="9"/>
      <c r="CH788" s="9"/>
    </row>
    <row r="789" spans="81:86" x14ac:dyDescent="0.3">
      <c r="CC789" s="3"/>
      <c r="CD789" s="9"/>
      <c r="CF789" s="9"/>
      <c r="CG789" s="9"/>
      <c r="CH789" s="9"/>
    </row>
    <row r="790" spans="81:86" x14ac:dyDescent="0.3">
      <c r="CC790" s="3"/>
      <c r="CD790" s="9"/>
      <c r="CF790" s="9"/>
      <c r="CG790" s="9"/>
      <c r="CH790" s="9"/>
    </row>
    <row r="791" spans="81:86" x14ac:dyDescent="0.3">
      <c r="CC791" s="3"/>
      <c r="CD791" s="9"/>
      <c r="CF791" s="9"/>
      <c r="CG791" s="9"/>
      <c r="CH791" s="9"/>
    </row>
    <row r="792" spans="81:86" x14ac:dyDescent="0.3">
      <c r="CC792" s="3"/>
      <c r="CD792" s="9"/>
      <c r="CF792" s="9"/>
      <c r="CG792" s="9"/>
      <c r="CH792" s="9"/>
    </row>
    <row r="793" spans="81:86" x14ac:dyDescent="0.3">
      <c r="CC793" s="3"/>
      <c r="CD793" s="9"/>
      <c r="CF793" s="9"/>
      <c r="CG793" s="9"/>
      <c r="CH793" s="9"/>
    </row>
    <row r="794" spans="81:86" x14ac:dyDescent="0.3">
      <c r="CC794" s="3"/>
      <c r="CD794" s="9"/>
      <c r="CF794" s="9"/>
      <c r="CG794" s="9"/>
      <c r="CH794" s="9"/>
    </row>
    <row r="795" spans="81:86" x14ac:dyDescent="0.3">
      <c r="CC795" s="3"/>
      <c r="CD795" s="9"/>
      <c r="CF795" s="9"/>
      <c r="CG795" s="9"/>
      <c r="CH795" s="9"/>
    </row>
    <row r="796" spans="81:86" x14ac:dyDescent="0.3">
      <c r="CC796" s="3"/>
      <c r="CD796" s="9"/>
      <c r="CF796" s="9"/>
      <c r="CG796" s="9"/>
      <c r="CH796" s="9"/>
    </row>
    <row r="797" spans="81:86" x14ac:dyDescent="0.3">
      <c r="CC797" s="3"/>
      <c r="CD797" s="9"/>
      <c r="CF797" s="9"/>
      <c r="CG797" s="9"/>
      <c r="CH797" s="9"/>
    </row>
    <row r="798" spans="81:86" x14ac:dyDescent="0.3">
      <c r="CC798" s="3"/>
      <c r="CD798" s="9"/>
      <c r="CF798" s="9"/>
      <c r="CG798" s="9"/>
      <c r="CH798" s="9"/>
    </row>
    <row r="799" spans="81:86" x14ac:dyDescent="0.3">
      <c r="CC799" s="3"/>
      <c r="CD799" s="9"/>
      <c r="CF799" s="9"/>
      <c r="CG799" s="9"/>
      <c r="CH799" s="9"/>
    </row>
    <row r="800" spans="81:86" x14ac:dyDescent="0.3">
      <c r="CC800" s="3"/>
      <c r="CD800" s="9"/>
      <c r="CF800" s="9"/>
      <c r="CG800" s="9"/>
      <c r="CH800" s="9"/>
    </row>
    <row r="801" spans="81:86" x14ac:dyDescent="0.3">
      <c r="CC801" s="3"/>
      <c r="CD801" s="9"/>
      <c r="CF801" s="9"/>
      <c r="CG801" s="9"/>
      <c r="CH801" s="9"/>
    </row>
    <row r="802" spans="81:86" x14ac:dyDescent="0.3">
      <c r="CC802" s="3"/>
      <c r="CD802" s="9"/>
      <c r="CF802" s="9"/>
      <c r="CG802" s="9"/>
      <c r="CH802" s="9"/>
    </row>
    <row r="803" spans="81:86" x14ac:dyDescent="0.3">
      <c r="CC803" s="3"/>
      <c r="CD803" s="9"/>
      <c r="CF803" s="9"/>
      <c r="CG803" s="9"/>
      <c r="CH803" s="9"/>
    </row>
    <row r="804" spans="81:86" x14ac:dyDescent="0.3">
      <c r="CC804" s="3"/>
      <c r="CD804" s="9"/>
      <c r="CF804" s="9"/>
      <c r="CG804" s="9"/>
      <c r="CH804" s="9"/>
    </row>
    <row r="805" spans="81:86" x14ac:dyDescent="0.3">
      <c r="CC805" s="3"/>
      <c r="CD805" s="9"/>
      <c r="CF805" s="9"/>
      <c r="CG805" s="9"/>
      <c r="CH805" s="9"/>
    </row>
    <row r="806" spans="81:86" x14ac:dyDescent="0.3">
      <c r="CC806" s="3"/>
      <c r="CD806" s="9"/>
      <c r="CF806" s="9"/>
      <c r="CG806" s="9"/>
      <c r="CH806" s="9"/>
    </row>
    <row r="807" spans="81:86" x14ac:dyDescent="0.3">
      <c r="CC807" s="3"/>
      <c r="CD807" s="9"/>
      <c r="CF807" s="9"/>
      <c r="CG807" s="9"/>
      <c r="CH807" s="9"/>
    </row>
    <row r="808" spans="81:86" x14ac:dyDescent="0.3">
      <c r="CC808" s="3"/>
      <c r="CD808" s="9"/>
      <c r="CF808" s="9"/>
      <c r="CG808" s="9"/>
      <c r="CH808" s="9"/>
    </row>
    <row r="809" spans="81:86" x14ac:dyDescent="0.3">
      <c r="CC809" s="3"/>
      <c r="CD809" s="9"/>
      <c r="CF809" s="9"/>
      <c r="CG809" s="9"/>
      <c r="CH809" s="9"/>
    </row>
    <row r="810" spans="81:86" x14ac:dyDescent="0.3">
      <c r="CC810" s="3"/>
      <c r="CD810" s="9"/>
      <c r="CF810" s="9"/>
      <c r="CG810" s="9"/>
      <c r="CH810" s="9"/>
    </row>
    <row r="811" spans="81:86" x14ac:dyDescent="0.3">
      <c r="CC811" s="3"/>
      <c r="CD811" s="9"/>
      <c r="CF811" s="9"/>
      <c r="CG811" s="9"/>
      <c r="CH811" s="9"/>
    </row>
    <row r="812" spans="81:86" x14ac:dyDescent="0.3">
      <c r="CC812" s="3"/>
      <c r="CD812" s="9"/>
      <c r="CF812" s="9"/>
      <c r="CG812" s="9"/>
      <c r="CH812" s="9"/>
    </row>
    <row r="813" spans="81:86" x14ac:dyDescent="0.3">
      <c r="CC813" s="3"/>
      <c r="CD813" s="9"/>
      <c r="CF813" s="9"/>
      <c r="CG813" s="9"/>
      <c r="CH813" s="9"/>
    </row>
    <row r="814" spans="81:86" x14ac:dyDescent="0.3">
      <c r="CC814" s="3"/>
      <c r="CD814" s="9"/>
      <c r="CF814" s="9"/>
      <c r="CG814" s="9"/>
      <c r="CH814" s="9"/>
    </row>
    <row r="815" spans="81:86" x14ac:dyDescent="0.3">
      <c r="CC815" s="3"/>
      <c r="CD815" s="9"/>
      <c r="CF815" s="9"/>
      <c r="CG815" s="9"/>
      <c r="CH815" s="9"/>
    </row>
    <row r="816" spans="81:86" x14ac:dyDescent="0.3">
      <c r="CC816" s="3"/>
      <c r="CD816" s="9"/>
      <c r="CF816" s="9"/>
      <c r="CG816" s="9"/>
      <c r="CH816" s="9"/>
    </row>
    <row r="817" spans="81:86" x14ac:dyDescent="0.3">
      <c r="CC817" s="3"/>
      <c r="CD817" s="9"/>
      <c r="CF817" s="9"/>
      <c r="CG817" s="9"/>
      <c r="CH817" s="9"/>
    </row>
    <row r="818" spans="81:86" x14ac:dyDescent="0.3">
      <c r="CC818" s="3"/>
      <c r="CD818" s="9"/>
      <c r="CF818" s="9"/>
      <c r="CG818" s="9"/>
      <c r="CH818" s="9"/>
    </row>
    <row r="819" spans="81:86" x14ac:dyDescent="0.3">
      <c r="CC819" s="3"/>
      <c r="CD819" s="9"/>
      <c r="CF819" s="9"/>
      <c r="CG819" s="9"/>
      <c r="CH819" s="9"/>
    </row>
    <row r="820" spans="81:86" x14ac:dyDescent="0.3">
      <c r="CC820" s="3"/>
      <c r="CD820" s="9"/>
      <c r="CF820" s="9"/>
      <c r="CG820" s="9"/>
      <c r="CH820" s="9"/>
    </row>
    <row r="821" spans="81:86" x14ac:dyDescent="0.3">
      <c r="CC821" s="3"/>
      <c r="CD821" s="9"/>
      <c r="CF821" s="9"/>
      <c r="CG821" s="9"/>
      <c r="CH821" s="9"/>
    </row>
    <row r="822" spans="81:86" x14ac:dyDescent="0.3">
      <c r="CC822" s="3"/>
      <c r="CD822" s="9"/>
      <c r="CF822" s="9"/>
      <c r="CG822" s="9"/>
      <c r="CH822" s="9"/>
    </row>
    <row r="823" spans="81:86" x14ac:dyDescent="0.3">
      <c r="CC823" s="3"/>
      <c r="CD823" s="9"/>
      <c r="CF823" s="9"/>
      <c r="CG823" s="9"/>
      <c r="CH823" s="9"/>
    </row>
    <row r="824" spans="81:86" x14ac:dyDescent="0.3">
      <c r="CC824" s="3"/>
      <c r="CD824" s="9"/>
      <c r="CF824" s="9"/>
      <c r="CG824" s="9"/>
      <c r="CH824" s="9"/>
    </row>
    <row r="825" spans="81:86" x14ac:dyDescent="0.3">
      <c r="CC825" s="3"/>
      <c r="CD825" s="9"/>
      <c r="CF825" s="9"/>
      <c r="CG825" s="9"/>
      <c r="CH825" s="9"/>
    </row>
    <row r="826" spans="81:86" x14ac:dyDescent="0.3">
      <c r="CC826" s="3"/>
      <c r="CD826" s="9"/>
      <c r="CF826" s="9"/>
      <c r="CG826" s="9"/>
      <c r="CH826" s="9"/>
    </row>
    <row r="827" spans="81:86" x14ac:dyDescent="0.3">
      <c r="CC827" s="3"/>
      <c r="CD827" s="9"/>
      <c r="CF827" s="9"/>
      <c r="CG827" s="9"/>
      <c r="CH827" s="9"/>
    </row>
    <row r="828" spans="81:86" x14ac:dyDescent="0.3">
      <c r="CC828" s="3"/>
      <c r="CD828" s="9"/>
      <c r="CF828" s="9"/>
      <c r="CG828" s="9"/>
      <c r="CH828" s="9"/>
    </row>
    <row r="829" spans="81:86" x14ac:dyDescent="0.3">
      <c r="CC829" s="3"/>
      <c r="CD829" s="9"/>
      <c r="CF829" s="9"/>
      <c r="CG829" s="9"/>
      <c r="CH829" s="9"/>
    </row>
    <row r="830" spans="81:86" x14ac:dyDescent="0.3">
      <c r="CC830" s="3"/>
      <c r="CD830" s="9"/>
      <c r="CF830" s="9"/>
      <c r="CG830" s="9"/>
      <c r="CH830" s="9"/>
    </row>
    <row r="831" spans="81:86" x14ac:dyDescent="0.3">
      <c r="CC831" s="3"/>
      <c r="CD831" s="9"/>
      <c r="CF831" s="9"/>
      <c r="CG831" s="9"/>
      <c r="CH831" s="9"/>
    </row>
    <row r="832" spans="81:86" x14ac:dyDescent="0.3">
      <c r="CC832" s="3"/>
      <c r="CD832" s="9"/>
      <c r="CF832" s="9"/>
      <c r="CG832" s="9"/>
      <c r="CH832" s="9"/>
    </row>
    <row r="833" spans="81:86" x14ac:dyDescent="0.3">
      <c r="CC833" s="3"/>
      <c r="CD833" s="9"/>
      <c r="CF833" s="9"/>
      <c r="CG833" s="9"/>
      <c r="CH833" s="9"/>
    </row>
    <row r="834" spans="81:86" x14ac:dyDescent="0.3">
      <c r="CC834" s="3"/>
      <c r="CD834" s="9"/>
      <c r="CF834" s="9"/>
      <c r="CG834" s="9"/>
      <c r="CH834" s="9"/>
    </row>
    <row r="835" spans="81:86" x14ac:dyDescent="0.3">
      <c r="CC835" s="3"/>
      <c r="CD835" s="9"/>
      <c r="CF835" s="9"/>
      <c r="CG835" s="9"/>
      <c r="CH835" s="9"/>
    </row>
    <row r="836" spans="81:86" x14ac:dyDescent="0.3">
      <c r="CC836" s="3"/>
      <c r="CD836" s="9"/>
      <c r="CF836" s="9"/>
      <c r="CG836" s="9"/>
      <c r="CH836" s="9"/>
    </row>
    <row r="837" spans="81:86" x14ac:dyDescent="0.3">
      <c r="CC837" s="3"/>
      <c r="CD837" s="9"/>
      <c r="CF837" s="9"/>
      <c r="CG837" s="9"/>
      <c r="CH837" s="9"/>
    </row>
    <row r="838" spans="81:86" x14ac:dyDescent="0.3">
      <c r="CC838" s="3"/>
      <c r="CD838" s="9"/>
      <c r="CF838" s="9"/>
      <c r="CG838" s="9"/>
      <c r="CH838" s="9"/>
    </row>
    <row r="839" spans="81:86" x14ac:dyDescent="0.3">
      <c r="CC839" s="3"/>
      <c r="CD839" s="9"/>
      <c r="CF839" s="9"/>
      <c r="CG839" s="9"/>
      <c r="CH839" s="9"/>
    </row>
    <row r="840" spans="81:86" x14ac:dyDescent="0.3">
      <c r="CC840" s="3"/>
      <c r="CD840" s="9"/>
      <c r="CF840" s="9"/>
      <c r="CG840" s="9"/>
      <c r="CH840" s="9"/>
    </row>
    <row r="841" spans="81:86" x14ac:dyDescent="0.3">
      <c r="CC841" s="3"/>
      <c r="CD841" s="9"/>
      <c r="CF841" s="9"/>
      <c r="CG841" s="9"/>
      <c r="CH841" s="9"/>
    </row>
    <row r="842" spans="81:86" x14ac:dyDescent="0.3">
      <c r="CC842" s="3"/>
      <c r="CD842" s="9"/>
      <c r="CF842" s="9"/>
      <c r="CG842" s="9"/>
      <c r="CH842" s="9"/>
    </row>
    <row r="843" spans="81:86" x14ac:dyDescent="0.3">
      <c r="CC843" s="3"/>
      <c r="CD843" s="9"/>
      <c r="CF843" s="9"/>
      <c r="CG843" s="9"/>
      <c r="CH843" s="9"/>
    </row>
    <row r="844" spans="81:86" x14ac:dyDescent="0.3">
      <c r="CC844" s="3"/>
      <c r="CD844" s="9"/>
      <c r="CF844" s="9"/>
      <c r="CG844" s="9"/>
      <c r="CH844" s="9"/>
    </row>
    <row r="845" spans="81:86" x14ac:dyDescent="0.3">
      <c r="CC845" s="3"/>
      <c r="CD845" s="9"/>
      <c r="CF845" s="9"/>
      <c r="CG845" s="9"/>
      <c r="CH845" s="9"/>
    </row>
    <row r="846" spans="81:86" x14ac:dyDescent="0.3">
      <c r="CC846" s="3"/>
      <c r="CD846" s="9"/>
      <c r="CF846" s="9"/>
      <c r="CG846" s="9"/>
      <c r="CH846" s="9"/>
    </row>
    <row r="847" spans="81:86" x14ac:dyDescent="0.3">
      <c r="CC847" s="3"/>
      <c r="CD847" s="9"/>
      <c r="CF847" s="9"/>
      <c r="CG847" s="9"/>
      <c r="CH847" s="9"/>
    </row>
    <row r="848" spans="81:86" x14ac:dyDescent="0.3">
      <c r="CC848" s="3"/>
      <c r="CD848" s="9"/>
      <c r="CF848" s="9"/>
      <c r="CG848" s="9"/>
      <c r="CH848" s="9"/>
    </row>
    <row r="849" spans="81:86" x14ac:dyDescent="0.3">
      <c r="CC849" s="3"/>
      <c r="CD849" s="9"/>
      <c r="CF849" s="9"/>
      <c r="CG849" s="9"/>
      <c r="CH849" s="9"/>
    </row>
    <row r="850" spans="81:86" x14ac:dyDescent="0.3">
      <c r="CC850" s="3"/>
      <c r="CD850" s="9"/>
      <c r="CF850" s="9"/>
      <c r="CG850" s="9"/>
      <c r="CH850" s="9"/>
    </row>
    <row r="851" spans="81:86" x14ac:dyDescent="0.3">
      <c r="CC851" s="3"/>
      <c r="CD851" s="9"/>
      <c r="CF851" s="9"/>
      <c r="CG851" s="9"/>
      <c r="CH851" s="9"/>
    </row>
    <row r="852" spans="81:86" x14ac:dyDescent="0.3">
      <c r="CC852" s="3"/>
      <c r="CD852" s="9"/>
      <c r="CF852" s="9"/>
      <c r="CG852" s="9"/>
      <c r="CH852" s="9"/>
    </row>
    <row r="853" spans="81:86" x14ac:dyDescent="0.3">
      <c r="CC853" s="3"/>
      <c r="CD853" s="9"/>
      <c r="CF853" s="9"/>
      <c r="CG853" s="9"/>
      <c r="CH853" s="9"/>
    </row>
    <row r="854" spans="81:86" x14ac:dyDescent="0.3">
      <c r="CC854" s="3"/>
      <c r="CD854" s="9"/>
      <c r="CF854" s="9"/>
      <c r="CG854" s="9"/>
      <c r="CH854" s="9"/>
    </row>
    <row r="855" spans="81:86" x14ac:dyDescent="0.3">
      <c r="CC855" s="3"/>
      <c r="CD855" s="9"/>
      <c r="CF855" s="9"/>
      <c r="CG855" s="9"/>
      <c r="CH855" s="9"/>
    </row>
    <row r="856" spans="81:86" x14ac:dyDescent="0.3">
      <c r="CC856" s="3"/>
      <c r="CD856" s="9"/>
      <c r="CF856" s="9"/>
      <c r="CG856" s="9"/>
      <c r="CH856" s="9"/>
    </row>
    <row r="857" spans="81:86" x14ac:dyDescent="0.3">
      <c r="CC857" s="3"/>
      <c r="CD857" s="9"/>
      <c r="CF857" s="9"/>
      <c r="CG857" s="9"/>
      <c r="CH857" s="9"/>
    </row>
    <row r="858" spans="81:86" x14ac:dyDescent="0.3">
      <c r="CC858" s="3"/>
      <c r="CD858" s="9"/>
      <c r="CF858" s="9"/>
      <c r="CG858" s="9"/>
      <c r="CH858" s="9"/>
    </row>
    <row r="859" spans="81:86" x14ac:dyDescent="0.3">
      <c r="CC859" s="3"/>
      <c r="CD859" s="9"/>
      <c r="CF859" s="9"/>
      <c r="CG859" s="9"/>
      <c r="CH859" s="9"/>
    </row>
    <row r="860" spans="81:86" x14ac:dyDescent="0.3">
      <c r="CC860" s="3"/>
      <c r="CD860" s="9"/>
      <c r="CF860" s="9"/>
      <c r="CG860" s="9"/>
      <c r="CH860" s="9"/>
    </row>
    <row r="861" spans="81:86" x14ac:dyDescent="0.3">
      <c r="CC861" s="3"/>
      <c r="CD861" s="9"/>
      <c r="CF861" s="9"/>
      <c r="CG861" s="9"/>
      <c r="CH861" s="9"/>
    </row>
    <row r="862" spans="81:86" x14ac:dyDescent="0.3">
      <c r="CC862" s="3"/>
      <c r="CD862" s="9"/>
      <c r="CF862" s="9"/>
      <c r="CG862" s="9"/>
      <c r="CH862" s="9"/>
    </row>
    <row r="863" spans="81:86" x14ac:dyDescent="0.3">
      <c r="CC863" s="3"/>
      <c r="CD863" s="9"/>
      <c r="CF863" s="9"/>
      <c r="CG863" s="9"/>
      <c r="CH863" s="9"/>
    </row>
    <row r="864" spans="81:86" x14ac:dyDescent="0.3">
      <c r="CC864" s="3"/>
      <c r="CD864" s="9"/>
      <c r="CF864" s="9"/>
      <c r="CG864" s="9"/>
      <c r="CH864" s="9"/>
    </row>
    <row r="865" spans="81:86" x14ac:dyDescent="0.3">
      <c r="CC865" s="3"/>
      <c r="CD865" s="9"/>
      <c r="CF865" s="9"/>
      <c r="CG865" s="9"/>
      <c r="CH865" s="9"/>
    </row>
    <row r="866" spans="81:86" x14ac:dyDescent="0.3">
      <c r="CC866" s="3"/>
      <c r="CD866" s="9"/>
      <c r="CF866" s="9"/>
      <c r="CG866" s="9"/>
      <c r="CH866" s="9"/>
    </row>
    <row r="867" spans="81:86" x14ac:dyDescent="0.3">
      <c r="CC867" s="3"/>
      <c r="CD867" s="9"/>
      <c r="CF867" s="9"/>
      <c r="CG867" s="9"/>
      <c r="CH867" s="9"/>
    </row>
    <row r="868" spans="81:86" x14ac:dyDescent="0.3">
      <c r="CC868" s="3"/>
      <c r="CD868" s="9"/>
      <c r="CF868" s="9"/>
      <c r="CG868" s="9"/>
      <c r="CH868" s="9"/>
    </row>
    <row r="869" spans="81:86" x14ac:dyDescent="0.3">
      <c r="CC869" s="3"/>
      <c r="CD869" s="9"/>
      <c r="CF869" s="9"/>
      <c r="CG869" s="9"/>
      <c r="CH869" s="9"/>
    </row>
    <row r="870" spans="81:86" x14ac:dyDescent="0.3">
      <c r="CC870" s="3"/>
      <c r="CD870" s="9"/>
      <c r="CF870" s="9"/>
      <c r="CG870" s="9"/>
      <c r="CH870" s="9"/>
    </row>
    <row r="871" spans="81:86" x14ac:dyDescent="0.3">
      <c r="CC871" s="3"/>
      <c r="CD871" s="9"/>
      <c r="CF871" s="9"/>
      <c r="CG871" s="9"/>
      <c r="CH871" s="9"/>
    </row>
    <row r="872" spans="81:86" x14ac:dyDescent="0.3">
      <c r="CC872" s="3"/>
      <c r="CD872" s="9"/>
      <c r="CF872" s="9"/>
      <c r="CG872" s="9"/>
      <c r="CH872" s="9"/>
    </row>
    <row r="873" spans="81:86" x14ac:dyDescent="0.3">
      <c r="CC873" s="3"/>
      <c r="CD873" s="9"/>
      <c r="CF873" s="9"/>
      <c r="CG873" s="9"/>
      <c r="CH873" s="9"/>
    </row>
    <row r="874" spans="81:86" x14ac:dyDescent="0.3">
      <c r="CC874" s="3"/>
      <c r="CD874" s="9"/>
      <c r="CF874" s="9"/>
      <c r="CG874" s="9"/>
      <c r="CH874" s="9"/>
    </row>
    <row r="875" spans="81:86" x14ac:dyDescent="0.3">
      <c r="CC875" s="3"/>
      <c r="CD875" s="9"/>
      <c r="CF875" s="9"/>
      <c r="CG875" s="9"/>
      <c r="CH875" s="9"/>
    </row>
    <row r="876" spans="81:86" x14ac:dyDescent="0.3">
      <c r="CC876" s="3"/>
      <c r="CD876" s="9"/>
      <c r="CF876" s="9"/>
      <c r="CG876" s="9"/>
      <c r="CH876" s="9"/>
    </row>
    <row r="877" spans="81:86" x14ac:dyDescent="0.3">
      <c r="CC877" s="3"/>
      <c r="CD877" s="9"/>
      <c r="CF877" s="9"/>
      <c r="CG877" s="9"/>
      <c r="CH877" s="9"/>
    </row>
    <row r="878" spans="81:86" x14ac:dyDescent="0.3">
      <c r="CC878" s="3"/>
      <c r="CD878" s="9"/>
      <c r="CF878" s="9"/>
      <c r="CG878" s="9"/>
      <c r="CH878" s="9"/>
    </row>
    <row r="879" spans="81:86" x14ac:dyDescent="0.3">
      <c r="CC879" s="3"/>
      <c r="CD879" s="9"/>
      <c r="CF879" s="9"/>
      <c r="CG879" s="9"/>
      <c r="CH879" s="9"/>
    </row>
    <row r="880" spans="81:86" x14ac:dyDescent="0.3">
      <c r="CC880" s="3"/>
      <c r="CD880" s="9"/>
      <c r="CF880" s="9"/>
      <c r="CG880" s="9"/>
      <c r="CH880" s="9"/>
    </row>
    <row r="881" spans="81:86" x14ac:dyDescent="0.3">
      <c r="CC881" s="3"/>
      <c r="CD881" s="9"/>
      <c r="CF881" s="9"/>
      <c r="CG881" s="9"/>
      <c r="CH881" s="9"/>
    </row>
    <row r="882" spans="81:86" x14ac:dyDescent="0.3">
      <c r="CC882" s="3"/>
      <c r="CD882" s="9"/>
      <c r="CF882" s="9"/>
      <c r="CG882" s="9"/>
      <c r="CH882" s="9"/>
    </row>
    <row r="883" spans="81:86" x14ac:dyDescent="0.3">
      <c r="CC883" s="3"/>
      <c r="CD883" s="9"/>
      <c r="CF883" s="9"/>
      <c r="CG883" s="9"/>
      <c r="CH883" s="9"/>
    </row>
    <row r="884" spans="81:86" x14ac:dyDescent="0.3">
      <c r="CC884" s="3"/>
      <c r="CD884" s="9"/>
      <c r="CF884" s="9"/>
      <c r="CG884" s="9"/>
      <c r="CH884" s="9"/>
    </row>
    <row r="885" spans="81:86" x14ac:dyDescent="0.3">
      <c r="CC885" s="3"/>
      <c r="CD885" s="9"/>
      <c r="CF885" s="9"/>
      <c r="CG885" s="9"/>
      <c r="CH885" s="9"/>
    </row>
    <row r="886" spans="81:86" x14ac:dyDescent="0.3">
      <c r="CC886" s="3"/>
      <c r="CD886" s="9"/>
      <c r="CF886" s="9"/>
      <c r="CG886" s="9"/>
      <c r="CH886" s="9"/>
    </row>
    <row r="887" spans="81:86" x14ac:dyDescent="0.3">
      <c r="CC887" s="3"/>
      <c r="CD887" s="9"/>
      <c r="CF887" s="9"/>
      <c r="CG887" s="9"/>
      <c r="CH887" s="9"/>
    </row>
    <row r="888" spans="81:86" x14ac:dyDescent="0.3">
      <c r="CC888" s="3"/>
      <c r="CD888" s="9"/>
      <c r="CF888" s="9"/>
      <c r="CG888" s="9"/>
      <c r="CH888" s="9"/>
    </row>
    <row r="889" spans="81:86" x14ac:dyDescent="0.3">
      <c r="CC889" s="3"/>
      <c r="CD889" s="9"/>
      <c r="CF889" s="9"/>
      <c r="CG889" s="9"/>
      <c r="CH889" s="9"/>
    </row>
    <row r="890" spans="81:86" x14ac:dyDescent="0.3">
      <c r="CC890" s="3"/>
      <c r="CD890" s="9"/>
      <c r="CF890" s="9"/>
      <c r="CG890" s="9"/>
      <c r="CH890" s="9"/>
    </row>
    <row r="891" spans="81:86" x14ac:dyDescent="0.3">
      <c r="CC891" s="3"/>
      <c r="CD891" s="9"/>
      <c r="CF891" s="9"/>
      <c r="CG891" s="9"/>
      <c r="CH891" s="9"/>
    </row>
    <row r="892" spans="81:86" x14ac:dyDescent="0.3">
      <c r="CC892" s="3"/>
      <c r="CD892" s="9"/>
      <c r="CF892" s="9"/>
      <c r="CG892" s="9"/>
      <c r="CH892" s="9"/>
    </row>
    <row r="893" spans="81:86" x14ac:dyDescent="0.3">
      <c r="CC893" s="3"/>
      <c r="CD893" s="9"/>
      <c r="CF893" s="9"/>
      <c r="CG893" s="9"/>
      <c r="CH893" s="9"/>
    </row>
    <row r="894" spans="81:86" x14ac:dyDescent="0.3">
      <c r="CC894" s="3"/>
      <c r="CD894" s="9"/>
      <c r="CF894" s="9"/>
      <c r="CG894" s="9"/>
      <c r="CH894" s="9"/>
    </row>
    <row r="895" spans="81:86" x14ac:dyDescent="0.3">
      <c r="CC895" s="3"/>
      <c r="CD895" s="9"/>
      <c r="CF895" s="9"/>
      <c r="CG895" s="9"/>
      <c r="CH895" s="9"/>
    </row>
    <row r="896" spans="81:86" x14ac:dyDescent="0.3">
      <c r="CC896" s="3"/>
      <c r="CD896" s="9"/>
      <c r="CF896" s="9"/>
      <c r="CG896" s="9"/>
      <c r="CH896" s="9"/>
    </row>
    <row r="897" spans="81:86" x14ac:dyDescent="0.3">
      <c r="CC897" s="3"/>
      <c r="CD897" s="9"/>
      <c r="CF897" s="9"/>
      <c r="CG897" s="9"/>
      <c r="CH897" s="9"/>
    </row>
    <row r="898" spans="81:86" x14ac:dyDescent="0.3">
      <c r="CC898" s="3"/>
      <c r="CD898" s="9"/>
      <c r="CF898" s="9"/>
      <c r="CG898" s="9"/>
      <c r="CH898" s="9"/>
    </row>
    <row r="899" spans="81:86" x14ac:dyDescent="0.3">
      <c r="CC899" s="3"/>
      <c r="CD899" s="9"/>
      <c r="CF899" s="9"/>
      <c r="CG899" s="9"/>
      <c r="CH899" s="9"/>
    </row>
    <row r="900" spans="81:86" x14ac:dyDescent="0.3">
      <c r="CC900" s="3"/>
      <c r="CD900" s="9"/>
      <c r="CF900" s="9"/>
      <c r="CG900" s="9"/>
      <c r="CH900" s="9"/>
    </row>
    <row r="901" spans="81:86" x14ac:dyDescent="0.3">
      <c r="CC901" s="3"/>
      <c r="CD901" s="9"/>
      <c r="CF901" s="9"/>
      <c r="CG901" s="9"/>
      <c r="CH901" s="9"/>
    </row>
    <row r="902" spans="81:86" x14ac:dyDescent="0.3">
      <c r="CC902" s="3"/>
      <c r="CD902" s="9"/>
      <c r="CF902" s="9"/>
      <c r="CG902" s="9"/>
      <c r="CH902" s="9"/>
    </row>
    <row r="903" spans="81:86" x14ac:dyDescent="0.3">
      <c r="CC903" s="3"/>
      <c r="CD903" s="9"/>
      <c r="CF903" s="9"/>
      <c r="CG903" s="9"/>
      <c r="CH903" s="9"/>
    </row>
    <row r="904" spans="81:86" x14ac:dyDescent="0.3">
      <c r="CC904" s="3"/>
      <c r="CD904" s="9"/>
      <c r="CF904" s="9"/>
      <c r="CG904" s="9"/>
      <c r="CH904" s="9"/>
    </row>
    <row r="905" spans="81:86" x14ac:dyDescent="0.3">
      <c r="CC905" s="3"/>
      <c r="CD905" s="9"/>
      <c r="CF905" s="9"/>
      <c r="CG905" s="9"/>
      <c r="CH905" s="9"/>
    </row>
    <row r="906" spans="81:86" x14ac:dyDescent="0.3">
      <c r="CC906" s="3"/>
      <c r="CD906" s="9"/>
      <c r="CF906" s="9"/>
      <c r="CG906" s="9"/>
      <c r="CH906" s="9"/>
    </row>
    <row r="907" spans="81:86" x14ac:dyDescent="0.3">
      <c r="CC907" s="3"/>
      <c r="CD907" s="9"/>
      <c r="CF907" s="9"/>
      <c r="CG907" s="9"/>
      <c r="CH907" s="9"/>
    </row>
    <row r="908" spans="81:86" x14ac:dyDescent="0.3">
      <c r="CC908" s="3"/>
      <c r="CD908" s="9"/>
      <c r="CF908" s="9"/>
      <c r="CG908" s="9"/>
      <c r="CH908" s="9"/>
    </row>
    <row r="909" spans="81:86" x14ac:dyDescent="0.3">
      <c r="CC909" s="3"/>
      <c r="CD909" s="9"/>
      <c r="CF909" s="9"/>
      <c r="CG909" s="9"/>
      <c r="CH909" s="9"/>
    </row>
    <row r="910" spans="81:86" x14ac:dyDescent="0.3">
      <c r="CC910" s="3"/>
      <c r="CD910" s="9"/>
      <c r="CF910" s="9"/>
      <c r="CG910" s="9"/>
      <c r="CH910" s="9"/>
    </row>
    <row r="911" spans="81:86" x14ac:dyDescent="0.3">
      <c r="CC911" s="3"/>
      <c r="CD911" s="9"/>
      <c r="CF911" s="9"/>
      <c r="CG911" s="9"/>
      <c r="CH911" s="9"/>
    </row>
    <row r="912" spans="81:86" x14ac:dyDescent="0.3">
      <c r="CC912" s="3"/>
      <c r="CD912" s="9"/>
      <c r="CF912" s="9"/>
      <c r="CG912" s="9"/>
      <c r="CH912" s="9"/>
    </row>
    <row r="913" spans="81:86" x14ac:dyDescent="0.3">
      <c r="CC913" s="3"/>
      <c r="CD913" s="9"/>
      <c r="CF913" s="9"/>
      <c r="CG913" s="9"/>
      <c r="CH913" s="9"/>
    </row>
    <row r="914" spans="81:86" x14ac:dyDescent="0.3">
      <c r="CC914" s="3"/>
      <c r="CD914" s="9"/>
      <c r="CF914" s="9"/>
      <c r="CG914" s="9"/>
      <c r="CH914" s="9"/>
    </row>
    <row r="915" spans="81:86" x14ac:dyDescent="0.3">
      <c r="CC915" s="3"/>
      <c r="CD915" s="9"/>
      <c r="CF915" s="9"/>
      <c r="CG915" s="9"/>
      <c r="CH915" s="9"/>
    </row>
    <row r="916" spans="81:86" x14ac:dyDescent="0.3">
      <c r="CC916" s="3"/>
      <c r="CD916" s="9"/>
      <c r="CF916" s="9"/>
      <c r="CG916" s="9"/>
      <c r="CH916" s="9"/>
    </row>
    <row r="917" spans="81:86" x14ac:dyDescent="0.3">
      <c r="CC917" s="3"/>
      <c r="CD917" s="9"/>
      <c r="CF917" s="9"/>
      <c r="CG917" s="9"/>
      <c r="CH917" s="9"/>
    </row>
    <row r="918" spans="81:86" x14ac:dyDescent="0.3">
      <c r="CC918" s="3"/>
      <c r="CD918" s="9"/>
      <c r="CF918" s="9"/>
      <c r="CG918" s="9"/>
      <c r="CH918" s="9"/>
    </row>
    <row r="919" spans="81:86" x14ac:dyDescent="0.3">
      <c r="CC919" s="3"/>
      <c r="CD919" s="9"/>
      <c r="CF919" s="9"/>
      <c r="CG919" s="9"/>
      <c r="CH919" s="9"/>
    </row>
    <row r="920" spans="81:86" x14ac:dyDescent="0.3">
      <c r="CC920" s="3"/>
      <c r="CD920" s="9"/>
      <c r="CF920" s="9"/>
      <c r="CG920" s="9"/>
      <c r="CH920" s="9"/>
    </row>
    <row r="921" spans="81:86" x14ac:dyDescent="0.3">
      <c r="CC921" s="3"/>
      <c r="CD921" s="9"/>
      <c r="CF921" s="9"/>
      <c r="CG921" s="9"/>
      <c r="CH921" s="9"/>
    </row>
    <row r="922" spans="81:86" x14ac:dyDescent="0.3">
      <c r="CC922" s="3"/>
      <c r="CD922" s="9"/>
      <c r="CF922" s="9"/>
      <c r="CG922" s="9"/>
      <c r="CH922" s="9"/>
    </row>
    <row r="923" spans="81:86" x14ac:dyDescent="0.3">
      <c r="CC923" s="3"/>
      <c r="CD923" s="9"/>
      <c r="CF923" s="9"/>
      <c r="CG923" s="9"/>
      <c r="CH923" s="9"/>
    </row>
    <row r="924" spans="81:86" x14ac:dyDescent="0.3">
      <c r="CC924" s="3"/>
      <c r="CD924" s="9"/>
      <c r="CF924" s="9"/>
      <c r="CG924" s="9"/>
      <c r="CH924" s="9"/>
    </row>
    <row r="925" spans="81:86" x14ac:dyDescent="0.3">
      <c r="CC925" s="3"/>
      <c r="CD925" s="9"/>
      <c r="CF925" s="9"/>
      <c r="CG925" s="9"/>
      <c r="CH925" s="9"/>
    </row>
    <row r="926" spans="81:86" x14ac:dyDescent="0.3">
      <c r="CC926" s="3"/>
      <c r="CD926" s="9"/>
      <c r="CF926" s="9"/>
      <c r="CG926" s="9"/>
      <c r="CH926" s="9"/>
    </row>
    <row r="927" spans="81:86" x14ac:dyDescent="0.3">
      <c r="CC927" s="3"/>
      <c r="CD927" s="9"/>
      <c r="CF927" s="9"/>
      <c r="CG927" s="9"/>
      <c r="CH927" s="9"/>
    </row>
    <row r="928" spans="81:86" x14ac:dyDescent="0.3">
      <c r="CC928" s="3"/>
      <c r="CD928" s="9"/>
      <c r="CF928" s="9"/>
      <c r="CG928" s="9"/>
      <c r="CH928" s="9"/>
    </row>
    <row r="929" spans="81:86" x14ac:dyDescent="0.3">
      <c r="CC929" s="3"/>
      <c r="CD929" s="9"/>
      <c r="CF929" s="9"/>
      <c r="CG929" s="9"/>
      <c r="CH929" s="9"/>
    </row>
    <row r="930" spans="81:86" x14ac:dyDescent="0.3">
      <c r="CC930" s="3"/>
      <c r="CD930" s="9"/>
      <c r="CF930" s="9"/>
      <c r="CG930" s="9"/>
      <c r="CH930" s="9"/>
    </row>
    <row r="931" spans="81:86" x14ac:dyDescent="0.3">
      <c r="CC931" s="3"/>
      <c r="CD931" s="9"/>
      <c r="CF931" s="9"/>
      <c r="CG931" s="9"/>
      <c r="CH931" s="9"/>
    </row>
    <row r="932" spans="81:86" x14ac:dyDescent="0.3">
      <c r="CC932" s="3"/>
      <c r="CD932" s="9"/>
      <c r="CF932" s="9"/>
      <c r="CG932" s="9"/>
      <c r="CH932" s="9"/>
    </row>
    <row r="933" spans="81:86" x14ac:dyDescent="0.3">
      <c r="CC933" s="3"/>
      <c r="CD933" s="9"/>
      <c r="CF933" s="9"/>
      <c r="CG933" s="9"/>
      <c r="CH933" s="9"/>
    </row>
    <row r="934" spans="81:86" x14ac:dyDescent="0.3">
      <c r="CC934" s="3"/>
      <c r="CD934" s="9"/>
      <c r="CF934" s="9"/>
      <c r="CG934" s="9"/>
      <c r="CH934" s="9"/>
    </row>
    <row r="935" spans="81:86" x14ac:dyDescent="0.3">
      <c r="CC935" s="3"/>
      <c r="CD935" s="9"/>
      <c r="CF935" s="9"/>
      <c r="CG935" s="9"/>
      <c r="CH935" s="9"/>
    </row>
    <row r="936" spans="81:86" x14ac:dyDescent="0.3">
      <c r="CC936" s="3"/>
      <c r="CD936" s="9"/>
      <c r="CF936" s="9"/>
      <c r="CG936" s="9"/>
      <c r="CH936" s="9"/>
    </row>
    <row r="937" spans="81:86" x14ac:dyDescent="0.3">
      <c r="CC937" s="3"/>
      <c r="CD937" s="9"/>
      <c r="CF937" s="9"/>
      <c r="CG937" s="9"/>
      <c r="CH937" s="9"/>
    </row>
    <row r="938" spans="81:86" x14ac:dyDescent="0.3">
      <c r="CC938" s="3"/>
      <c r="CD938" s="9"/>
      <c r="CF938" s="9"/>
      <c r="CG938" s="9"/>
      <c r="CH938" s="9"/>
    </row>
    <row r="939" spans="81:86" x14ac:dyDescent="0.3">
      <c r="CC939" s="3"/>
      <c r="CD939" s="9"/>
      <c r="CF939" s="9"/>
      <c r="CG939" s="9"/>
      <c r="CH939" s="9"/>
    </row>
    <row r="940" spans="81:86" x14ac:dyDescent="0.3">
      <c r="CC940" s="3"/>
      <c r="CD940" s="9"/>
      <c r="CF940" s="9"/>
      <c r="CG940" s="9"/>
      <c r="CH940" s="9"/>
    </row>
    <row r="941" spans="81:86" x14ac:dyDescent="0.3">
      <c r="CC941" s="3"/>
      <c r="CD941" s="9"/>
      <c r="CF941" s="9"/>
      <c r="CG941" s="9"/>
      <c r="CH941" s="9"/>
    </row>
    <row r="942" spans="81:86" x14ac:dyDescent="0.3">
      <c r="CC942" s="3"/>
      <c r="CD942" s="9"/>
      <c r="CF942" s="9"/>
      <c r="CG942" s="9"/>
      <c r="CH942" s="9"/>
    </row>
    <row r="943" spans="81:86" x14ac:dyDescent="0.3">
      <c r="CC943" s="3"/>
      <c r="CD943" s="9"/>
      <c r="CF943" s="9"/>
      <c r="CG943" s="9"/>
      <c r="CH943" s="9"/>
    </row>
    <row r="944" spans="81:86" x14ac:dyDescent="0.3">
      <c r="CC944" s="3"/>
      <c r="CD944" s="9"/>
      <c r="CF944" s="9"/>
      <c r="CG944" s="9"/>
      <c r="CH944" s="9"/>
    </row>
    <row r="945" spans="81:86" x14ac:dyDescent="0.3">
      <c r="CC945" s="3"/>
      <c r="CD945" s="9"/>
      <c r="CF945" s="9"/>
      <c r="CG945" s="9"/>
      <c r="CH945" s="9"/>
    </row>
    <row r="946" spans="81:86" x14ac:dyDescent="0.3">
      <c r="CC946" s="3"/>
      <c r="CD946" s="9"/>
      <c r="CF946" s="9"/>
      <c r="CG946" s="9"/>
      <c r="CH946" s="9"/>
    </row>
    <row r="947" spans="81:86" x14ac:dyDescent="0.3">
      <c r="CC947" s="3"/>
      <c r="CD947" s="9"/>
      <c r="CF947" s="9"/>
      <c r="CG947" s="9"/>
      <c r="CH947" s="9"/>
    </row>
    <row r="948" spans="81:86" x14ac:dyDescent="0.3">
      <c r="CC948" s="3"/>
      <c r="CD948" s="9"/>
      <c r="CF948" s="9"/>
      <c r="CG948" s="9"/>
      <c r="CH948" s="9"/>
    </row>
    <row r="949" spans="81:86" x14ac:dyDescent="0.3">
      <c r="CC949" s="3"/>
      <c r="CD949" s="9"/>
      <c r="CF949" s="9"/>
      <c r="CG949" s="9"/>
      <c r="CH949" s="9"/>
    </row>
    <row r="950" spans="81:86" x14ac:dyDescent="0.3">
      <c r="CC950" s="3"/>
      <c r="CD950" s="9"/>
      <c r="CF950" s="9"/>
      <c r="CG950" s="9"/>
      <c r="CH950" s="9"/>
    </row>
    <row r="951" spans="81:86" x14ac:dyDescent="0.3">
      <c r="CC951" s="3"/>
      <c r="CD951" s="9"/>
      <c r="CF951" s="9"/>
      <c r="CG951" s="9"/>
      <c r="CH951" s="9"/>
    </row>
    <row r="952" spans="81:86" x14ac:dyDescent="0.3">
      <c r="CC952" s="3"/>
      <c r="CD952" s="9"/>
      <c r="CF952" s="9"/>
      <c r="CG952" s="9"/>
      <c r="CH952" s="9"/>
    </row>
    <row r="953" spans="81:86" x14ac:dyDescent="0.3">
      <c r="CC953" s="3"/>
      <c r="CD953" s="9"/>
      <c r="CF953" s="9"/>
      <c r="CG953" s="9"/>
      <c r="CH953" s="9"/>
    </row>
    <row r="954" spans="81:86" x14ac:dyDescent="0.3">
      <c r="CC954" s="3"/>
      <c r="CD954" s="9"/>
      <c r="CF954" s="9"/>
      <c r="CG954" s="9"/>
      <c r="CH954" s="9"/>
    </row>
    <row r="955" spans="81:86" x14ac:dyDescent="0.3">
      <c r="CC955" s="3"/>
      <c r="CD955" s="9"/>
      <c r="CF955" s="9"/>
      <c r="CG955" s="9"/>
      <c r="CH955" s="9"/>
    </row>
    <row r="956" spans="81:86" x14ac:dyDescent="0.3">
      <c r="CC956" s="3"/>
      <c r="CD956" s="9"/>
      <c r="CF956" s="9"/>
      <c r="CG956" s="9"/>
      <c r="CH956" s="9"/>
    </row>
    <row r="957" spans="81:86" x14ac:dyDescent="0.3">
      <c r="CC957" s="3"/>
      <c r="CD957" s="9"/>
      <c r="CF957" s="9"/>
      <c r="CG957" s="9"/>
      <c r="CH957" s="9"/>
    </row>
    <row r="958" spans="81:86" x14ac:dyDescent="0.3">
      <c r="CC958" s="3"/>
      <c r="CD958" s="9"/>
      <c r="CF958" s="9"/>
      <c r="CG958" s="9"/>
      <c r="CH958" s="9"/>
    </row>
    <row r="959" spans="81:86" x14ac:dyDescent="0.3">
      <c r="CC959" s="3"/>
      <c r="CD959" s="9"/>
      <c r="CF959" s="9"/>
      <c r="CG959" s="9"/>
      <c r="CH959" s="9"/>
    </row>
    <row r="960" spans="81:86" x14ac:dyDescent="0.3">
      <c r="CC960" s="3"/>
      <c r="CD960" s="9"/>
      <c r="CF960" s="9"/>
      <c r="CG960" s="9"/>
      <c r="CH960" s="9"/>
    </row>
    <row r="961" spans="81:86" x14ac:dyDescent="0.3">
      <c r="CC961" s="3"/>
      <c r="CD961" s="9"/>
      <c r="CF961" s="9"/>
      <c r="CG961" s="9"/>
      <c r="CH961" s="9"/>
    </row>
    <row r="962" spans="81:86" x14ac:dyDescent="0.3">
      <c r="CC962" s="3"/>
      <c r="CD962" s="9"/>
      <c r="CF962" s="9"/>
      <c r="CG962" s="9"/>
      <c r="CH962" s="9"/>
    </row>
    <row r="963" spans="81:86" x14ac:dyDescent="0.3">
      <c r="CC963" s="3"/>
      <c r="CD963" s="9"/>
      <c r="CF963" s="9"/>
      <c r="CG963" s="9"/>
      <c r="CH963" s="9"/>
    </row>
    <row r="964" spans="81:86" x14ac:dyDescent="0.3">
      <c r="CC964" s="3"/>
      <c r="CD964" s="9"/>
      <c r="CF964" s="9"/>
      <c r="CG964" s="9"/>
      <c r="CH964" s="9"/>
    </row>
    <row r="965" spans="81:86" x14ac:dyDescent="0.3">
      <c r="CC965" s="3"/>
      <c r="CD965" s="9"/>
      <c r="CF965" s="9"/>
      <c r="CG965" s="9"/>
      <c r="CH965" s="9"/>
    </row>
    <row r="966" spans="81:86" x14ac:dyDescent="0.3">
      <c r="CC966" s="3"/>
      <c r="CD966" s="9"/>
      <c r="CF966" s="9"/>
      <c r="CG966" s="9"/>
      <c r="CH966" s="9"/>
    </row>
    <row r="967" spans="81:86" x14ac:dyDescent="0.3">
      <c r="CC967" s="3"/>
      <c r="CD967" s="9"/>
      <c r="CF967" s="9"/>
      <c r="CG967" s="9"/>
      <c r="CH967" s="9"/>
    </row>
    <row r="968" spans="81:86" x14ac:dyDescent="0.3">
      <c r="CC968" s="3"/>
      <c r="CD968" s="9"/>
      <c r="CF968" s="9"/>
      <c r="CG968" s="9"/>
      <c r="CH968" s="9"/>
    </row>
    <row r="969" spans="81:86" x14ac:dyDescent="0.3">
      <c r="CC969" s="3"/>
      <c r="CD969" s="9"/>
      <c r="CF969" s="9"/>
      <c r="CG969" s="9"/>
      <c r="CH969" s="9"/>
    </row>
    <row r="970" spans="81:86" x14ac:dyDescent="0.3">
      <c r="CC970" s="3"/>
      <c r="CD970" s="9"/>
      <c r="CF970" s="9"/>
      <c r="CG970" s="9"/>
      <c r="CH970" s="9"/>
    </row>
    <row r="971" spans="81:86" x14ac:dyDescent="0.3">
      <c r="CC971" s="3"/>
      <c r="CD971" s="9"/>
      <c r="CF971" s="9"/>
      <c r="CG971" s="9"/>
      <c r="CH971" s="9"/>
    </row>
    <row r="972" spans="81:86" x14ac:dyDescent="0.3">
      <c r="CC972" s="3"/>
      <c r="CD972" s="9"/>
      <c r="CF972" s="9"/>
      <c r="CG972" s="9"/>
      <c r="CH972" s="9"/>
    </row>
    <row r="973" spans="81:86" x14ac:dyDescent="0.3">
      <c r="CC973" s="3"/>
      <c r="CD973" s="9"/>
      <c r="CF973" s="9"/>
      <c r="CG973" s="9"/>
      <c r="CH973" s="9"/>
    </row>
    <row r="974" spans="81:86" x14ac:dyDescent="0.3">
      <c r="CC974" s="3"/>
      <c r="CD974" s="9"/>
      <c r="CF974" s="9"/>
      <c r="CG974" s="9"/>
      <c r="CH974" s="9"/>
    </row>
    <row r="975" spans="81:86" x14ac:dyDescent="0.3">
      <c r="CC975" s="3"/>
      <c r="CD975" s="9"/>
      <c r="CF975" s="9"/>
      <c r="CG975" s="9"/>
      <c r="CH975" s="9"/>
    </row>
    <row r="976" spans="81:86" x14ac:dyDescent="0.3">
      <c r="CC976" s="3"/>
      <c r="CD976" s="9"/>
      <c r="CF976" s="9"/>
      <c r="CG976" s="9"/>
      <c r="CH976" s="9"/>
    </row>
    <row r="977" spans="81:86" x14ac:dyDescent="0.3">
      <c r="CC977" s="3"/>
      <c r="CD977" s="9"/>
      <c r="CF977" s="9"/>
      <c r="CG977" s="9"/>
      <c r="CH977" s="9"/>
    </row>
    <row r="978" spans="81:86" x14ac:dyDescent="0.3">
      <c r="CC978" s="3"/>
      <c r="CD978" s="9"/>
      <c r="CF978" s="9"/>
      <c r="CG978" s="9"/>
      <c r="CH978" s="9"/>
    </row>
    <row r="979" spans="81:86" x14ac:dyDescent="0.3">
      <c r="CC979" s="3"/>
      <c r="CD979" s="9"/>
      <c r="CF979" s="9"/>
      <c r="CG979" s="9"/>
      <c r="CH979" s="9"/>
    </row>
    <row r="980" spans="81:86" x14ac:dyDescent="0.3">
      <c r="CC980" s="3"/>
      <c r="CD980" s="9"/>
      <c r="CF980" s="9"/>
      <c r="CG980" s="9"/>
      <c r="CH980" s="9"/>
    </row>
    <row r="981" spans="81:86" x14ac:dyDescent="0.3">
      <c r="CC981" s="3"/>
      <c r="CD981" s="9"/>
      <c r="CF981" s="9"/>
      <c r="CG981" s="9"/>
      <c r="CH981" s="9"/>
    </row>
    <row r="982" spans="81:86" x14ac:dyDescent="0.3">
      <c r="CC982" s="3"/>
      <c r="CD982" s="9"/>
      <c r="CF982" s="9"/>
      <c r="CG982" s="9"/>
      <c r="CH982" s="9"/>
    </row>
    <row r="983" spans="81:86" x14ac:dyDescent="0.3">
      <c r="CC983" s="3"/>
      <c r="CD983" s="9"/>
      <c r="CF983" s="9"/>
      <c r="CG983" s="9"/>
      <c r="CH983" s="9"/>
    </row>
    <row r="984" spans="81:86" x14ac:dyDescent="0.3">
      <c r="CC984" s="3"/>
      <c r="CD984" s="9"/>
      <c r="CF984" s="9"/>
      <c r="CG984" s="9"/>
      <c r="CH984" s="9"/>
    </row>
    <row r="985" spans="81:86" x14ac:dyDescent="0.3">
      <c r="CC985" s="3"/>
      <c r="CD985" s="9"/>
      <c r="CF985" s="9"/>
      <c r="CG985" s="9"/>
      <c r="CH985" s="9"/>
    </row>
    <row r="986" spans="81:86" x14ac:dyDescent="0.3">
      <c r="CC986" s="3"/>
      <c r="CD986" s="9"/>
      <c r="CF986" s="9"/>
      <c r="CG986" s="9"/>
      <c r="CH986" s="9"/>
    </row>
    <row r="987" spans="81:86" x14ac:dyDescent="0.3">
      <c r="CC987" s="3"/>
      <c r="CD987" s="9"/>
      <c r="CF987" s="9"/>
      <c r="CG987" s="9"/>
      <c r="CH987" s="9"/>
    </row>
    <row r="988" spans="81:86" x14ac:dyDescent="0.3">
      <c r="CC988" s="3"/>
      <c r="CD988" s="9"/>
      <c r="CF988" s="9"/>
      <c r="CG988" s="9"/>
      <c r="CH988" s="9"/>
    </row>
    <row r="989" spans="81:86" x14ac:dyDescent="0.3">
      <c r="CC989" s="3"/>
      <c r="CD989" s="9"/>
      <c r="CF989" s="9"/>
      <c r="CG989" s="9"/>
      <c r="CH989" s="9"/>
    </row>
    <row r="990" spans="81:86" x14ac:dyDescent="0.3">
      <c r="CC990" s="3"/>
      <c r="CD990" s="9"/>
      <c r="CF990" s="9"/>
      <c r="CG990" s="9"/>
      <c r="CH990" s="9"/>
    </row>
    <row r="991" spans="81:86" x14ac:dyDescent="0.3">
      <c r="CC991" s="3"/>
      <c r="CD991" s="9"/>
      <c r="CF991" s="9"/>
      <c r="CG991" s="9"/>
      <c r="CH991" s="9"/>
    </row>
    <row r="992" spans="81:86" x14ac:dyDescent="0.3">
      <c r="CC992" s="3"/>
      <c r="CD992" s="9"/>
      <c r="CF992" s="9"/>
      <c r="CG992" s="9"/>
      <c r="CH992" s="9"/>
    </row>
    <row r="993" spans="81:86" x14ac:dyDescent="0.3">
      <c r="CC993" s="3"/>
      <c r="CD993" s="9"/>
      <c r="CF993" s="9"/>
      <c r="CG993" s="9"/>
      <c r="CH993" s="9"/>
    </row>
    <row r="994" spans="81:86" x14ac:dyDescent="0.3">
      <c r="CC994" s="3"/>
      <c r="CD994" s="9"/>
      <c r="CF994" s="9"/>
      <c r="CG994" s="9"/>
      <c r="CH994" s="9"/>
    </row>
    <row r="995" spans="81:86" x14ac:dyDescent="0.3">
      <c r="CC995" s="3"/>
      <c r="CD995" s="9"/>
      <c r="CF995" s="9"/>
      <c r="CG995" s="9"/>
      <c r="CH995" s="9"/>
    </row>
    <row r="996" spans="81:86" x14ac:dyDescent="0.3">
      <c r="CC996" s="3"/>
      <c r="CD996" s="9"/>
      <c r="CF996" s="9"/>
      <c r="CG996" s="9"/>
      <c r="CH996" s="9"/>
    </row>
    <row r="997" spans="81:86" x14ac:dyDescent="0.3">
      <c r="CC997" s="3"/>
      <c r="CD997" s="9"/>
      <c r="CF997" s="9"/>
      <c r="CG997" s="9"/>
      <c r="CH997" s="9"/>
    </row>
    <row r="998" spans="81:86" x14ac:dyDescent="0.3">
      <c r="CC998" s="3"/>
      <c r="CD998" s="9"/>
      <c r="CF998" s="9"/>
      <c r="CG998" s="9"/>
      <c r="CH998" s="9"/>
    </row>
    <row r="999" spans="81:86" x14ac:dyDescent="0.3">
      <c r="CC999" s="3"/>
      <c r="CD999" s="9"/>
      <c r="CF999" s="9"/>
      <c r="CG999" s="9"/>
      <c r="CH999" s="9"/>
    </row>
    <row r="1000" spans="81:86" x14ac:dyDescent="0.3">
      <c r="CC1000" s="3"/>
      <c r="CD1000" s="9"/>
      <c r="CF1000" s="9"/>
      <c r="CG1000" s="9"/>
      <c r="CH1000" s="9"/>
    </row>
  </sheetData>
  <phoneticPr fontId="2" type="noConversion"/>
  <pageMargins left="0.7" right="0.7" top="0.75" bottom="0.75" header="0.3" footer="0.3"/>
  <headerFooter>
    <oddHeader>&amp;R&amp;"Calibri"&amp;10&amp;K000000 Confidencial&amp;1#_x000D_</oddHeader>
  </headerFooter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DDFA-AA2B-43EF-9C2B-75C71146B523}">
  <sheetPr codeName="Sheet7"/>
  <dimension ref="A1:KT209"/>
  <sheetViews>
    <sheetView topLeftCell="KA54" workbookViewId="0">
      <selection activeCell="KF62" sqref="KF62"/>
    </sheetView>
  </sheetViews>
  <sheetFormatPr baseColWidth="10" defaultColWidth="8.88671875" defaultRowHeight="14.4" x14ac:dyDescent="0.3"/>
  <cols>
    <col min="1" max="1" width="16.109375" bestFit="1" customWidth="1"/>
    <col min="2" max="2" width="11.6640625" bestFit="1" customWidth="1"/>
    <col min="3" max="3" width="11.88671875" bestFit="1" customWidth="1"/>
    <col min="4" max="4" width="21.109375" bestFit="1" customWidth="1"/>
    <col min="5" max="5" width="11.6640625" bestFit="1" customWidth="1"/>
    <col min="6" max="6" width="80.88671875" bestFit="1" customWidth="1"/>
    <col min="7" max="7" width="11.88671875" bestFit="1" customWidth="1"/>
    <col min="8" max="8" width="12.109375" bestFit="1" customWidth="1"/>
    <col min="9" max="9" width="11.6640625" bestFit="1" customWidth="1"/>
    <col min="10" max="10" width="16.109375" bestFit="1" customWidth="1"/>
    <col min="11" max="11" width="11.6640625" bestFit="1" customWidth="1"/>
    <col min="12" max="12" width="11.88671875" bestFit="1" customWidth="1"/>
    <col min="13" max="13" width="20.44140625" bestFit="1" customWidth="1"/>
    <col min="14" max="14" width="11.6640625" bestFit="1" customWidth="1"/>
    <col min="15" max="15" width="30.5546875" bestFit="1" customWidth="1"/>
    <col min="16" max="16" width="13" bestFit="1" customWidth="1"/>
    <col min="17" max="18" width="11.6640625" bestFit="1" customWidth="1"/>
    <col min="19" max="19" width="16.109375" bestFit="1" customWidth="1"/>
    <col min="20" max="20" width="11.6640625" bestFit="1" customWidth="1"/>
    <col min="21" max="21" width="11.88671875" bestFit="1" customWidth="1"/>
    <col min="22" max="22" width="21.109375" bestFit="1" customWidth="1"/>
    <col min="23" max="23" width="11.6640625" bestFit="1" customWidth="1"/>
    <col min="24" max="24" width="24" bestFit="1" customWidth="1"/>
    <col min="25" max="25" width="14.88671875" bestFit="1" customWidth="1"/>
    <col min="26" max="26" width="12.109375" bestFit="1" customWidth="1"/>
    <col min="27" max="27" width="11.6640625" bestFit="1" customWidth="1"/>
    <col min="28" max="28" width="16.109375" bestFit="1" customWidth="1"/>
    <col min="29" max="29" width="11.6640625" bestFit="1" customWidth="1"/>
    <col min="30" max="30" width="11.88671875" bestFit="1" customWidth="1"/>
    <col min="31" max="31" width="20.88671875" bestFit="1" customWidth="1"/>
    <col min="32" max="32" width="11.6640625" bestFit="1" customWidth="1"/>
    <col min="33" max="33" width="56.5546875" bestFit="1" customWidth="1"/>
    <col min="34" max="34" width="11.88671875" bestFit="1" customWidth="1"/>
    <col min="35" max="35" width="12.109375" bestFit="1" customWidth="1"/>
    <col min="36" max="36" width="11.6640625" bestFit="1" customWidth="1"/>
    <col min="37" max="37" width="16.109375" bestFit="1" customWidth="1"/>
    <col min="38" max="38" width="11.6640625" bestFit="1" customWidth="1"/>
    <col min="39" max="39" width="11.88671875" bestFit="1" customWidth="1"/>
    <col min="40" max="40" width="20.88671875" bestFit="1" customWidth="1"/>
    <col min="41" max="41" width="11.109375" bestFit="1" customWidth="1"/>
    <col min="42" max="42" width="24.109375" bestFit="1" customWidth="1"/>
    <col min="43" max="43" width="11.88671875" bestFit="1" customWidth="1"/>
    <col min="44" max="44" width="11.6640625" bestFit="1" customWidth="1"/>
    <col min="45" max="45" width="11.109375" bestFit="1" customWidth="1"/>
    <col min="46" max="46" width="16.109375" bestFit="1" customWidth="1"/>
    <col min="47" max="47" width="11.6640625" bestFit="1" customWidth="1"/>
    <col min="48" max="48" width="11.88671875" bestFit="1" customWidth="1"/>
    <col min="49" max="49" width="21.109375" bestFit="1" customWidth="1"/>
    <col min="50" max="50" width="11.6640625" bestFit="1" customWidth="1"/>
    <col min="51" max="51" width="80.88671875" bestFit="1" customWidth="1"/>
    <col min="52" max="52" width="14.88671875" bestFit="1" customWidth="1"/>
    <col min="53" max="54" width="11.6640625" bestFit="1" customWidth="1"/>
    <col min="55" max="55" width="16.109375" bestFit="1" customWidth="1"/>
    <col min="56" max="56" width="11.6640625" bestFit="1" customWidth="1"/>
    <col min="57" max="57" width="11.88671875" bestFit="1" customWidth="1"/>
    <col min="58" max="58" width="20.88671875" bestFit="1" customWidth="1"/>
    <col min="59" max="59" width="11.6640625" bestFit="1" customWidth="1"/>
    <col min="60" max="60" width="15" bestFit="1" customWidth="1"/>
    <col min="61" max="61" width="14.88671875" bestFit="1" customWidth="1"/>
    <col min="62" max="62" width="12.109375" bestFit="1" customWidth="1"/>
    <col min="63" max="63" width="11.109375" bestFit="1" customWidth="1"/>
    <col min="64" max="64" width="16.109375" bestFit="1" customWidth="1"/>
    <col min="65" max="65" width="11.6640625" bestFit="1" customWidth="1"/>
    <col min="66" max="66" width="11.88671875" bestFit="1" customWidth="1"/>
    <col min="67" max="67" width="20.88671875" bestFit="1" customWidth="1"/>
    <col min="68" max="68" width="11.6640625" bestFit="1" customWidth="1"/>
    <col min="69" max="69" width="80.88671875" bestFit="1" customWidth="1"/>
    <col min="70" max="70" width="14.88671875" bestFit="1" customWidth="1"/>
    <col min="71" max="71" width="12.109375" bestFit="1" customWidth="1"/>
    <col min="72" max="72" width="11.6640625" bestFit="1" customWidth="1"/>
    <col min="73" max="73" width="16.109375" bestFit="1" customWidth="1"/>
    <col min="74" max="74" width="11.6640625" bestFit="1" customWidth="1"/>
    <col min="75" max="75" width="11.88671875" bestFit="1" customWidth="1"/>
    <col min="76" max="76" width="20.88671875" bestFit="1" customWidth="1"/>
    <col min="77" max="77" width="11.109375" bestFit="1" customWidth="1"/>
    <col min="78" max="78" width="66.109375" bestFit="1" customWidth="1"/>
    <col min="79" max="79" width="14.88671875" bestFit="1" customWidth="1"/>
    <col min="80" max="80" width="12.109375" bestFit="1" customWidth="1"/>
    <col min="81" max="81" width="11.6640625" bestFit="1" customWidth="1"/>
    <col min="82" max="82" width="17.109375" bestFit="1" customWidth="1"/>
    <col min="83" max="83" width="11.6640625" bestFit="1" customWidth="1"/>
    <col min="84" max="84" width="11.88671875" bestFit="1" customWidth="1"/>
    <col min="85" max="85" width="20.44140625" bestFit="1" customWidth="1"/>
    <col min="86" max="86" width="11.109375" bestFit="1" customWidth="1"/>
    <col min="87" max="87" width="65.5546875" bestFit="1" customWidth="1"/>
    <col min="88" max="88" width="11.88671875" bestFit="1" customWidth="1"/>
    <col min="89" max="89" width="12.109375" bestFit="1" customWidth="1"/>
    <col min="90" max="90" width="11.6640625" bestFit="1" customWidth="1"/>
    <col min="91" max="91" width="17.109375" bestFit="1" customWidth="1"/>
    <col min="92" max="92" width="11.6640625" bestFit="1" customWidth="1"/>
    <col min="93" max="93" width="11.88671875" bestFit="1" customWidth="1"/>
    <col min="94" max="94" width="20.44140625" bestFit="1" customWidth="1"/>
    <col min="95" max="95" width="11.109375" bestFit="1" customWidth="1"/>
    <col min="96" max="96" width="62.88671875" bestFit="1" customWidth="1"/>
    <col min="97" max="97" width="11.88671875" bestFit="1" customWidth="1"/>
    <col min="98" max="98" width="12.109375" bestFit="1" customWidth="1"/>
    <col min="99" max="99" width="11.6640625" bestFit="1" customWidth="1"/>
    <col min="100" max="100" width="17.109375" bestFit="1" customWidth="1"/>
    <col min="101" max="101" width="12.109375" bestFit="1" customWidth="1"/>
    <col min="102" max="102" width="11.88671875" bestFit="1" customWidth="1"/>
    <col min="103" max="103" width="20.44140625" bestFit="1" customWidth="1"/>
    <col min="104" max="104" width="12.109375" bestFit="1" customWidth="1"/>
    <col min="105" max="105" width="80.5546875" bestFit="1" customWidth="1"/>
    <col min="106" max="108" width="12.109375" bestFit="1" customWidth="1"/>
    <col min="109" max="109" width="25.109375" bestFit="1" customWidth="1"/>
    <col min="110" max="110" width="12.109375" bestFit="1" customWidth="1"/>
    <col min="111" max="111" width="11.88671875" bestFit="1" customWidth="1"/>
    <col min="112" max="112" width="20.44140625" bestFit="1" customWidth="1"/>
    <col min="113" max="113" width="12.109375" bestFit="1" customWidth="1"/>
    <col min="114" max="114" width="78.5546875" bestFit="1" customWidth="1"/>
    <col min="115" max="117" width="12.109375" bestFit="1" customWidth="1"/>
    <col min="118" max="118" width="25.109375" bestFit="1" customWidth="1"/>
    <col min="119" max="119" width="12.109375" bestFit="1" customWidth="1"/>
    <col min="120" max="120" width="11.88671875" bestFit="1" customWidth="1"/>
    <col min="121" max="121" width="20.44140625" bestFit="1" customWidth="1"/>
    <col min="122" max="122" width="12.109375" bestFit="1" customWidth="1"/>
    <col min="123" max="123" width="76" bestFit="1" customWidth="1"/>
    <col min="124" max="126" width="12.109375" bestFit="1" customWidth="1"/>
    <col min="127" max="127" width="25.109375" bestFit="1" customWidth="1"/>
    <col min="128" max="128" width="12.109375" bestFit="1" customWidth="1"/>
    <col min="129" max="129" width="11.88671875" bestFit="1" customWidth="1"/>
    <col min="130" max="130" width="20.44140625" bestFit="1" customWidth="1"/>
    <col min="131" max="131" width="12.109375" bestFit="1" customWidth="1"/>
    <col min="132" max="132" width="80.88671875" bestFit="1" customWidth="1"/>
    <col min="133" max="135" width="12.109375" bestFit="1" customWidth="1"/>
    <col min="136" max="136" width="24.109375" bestFit="1" customWidth="1"/>
    <col min="137" max="137" width="12.109375" bestFit="1" customWidth="1"/>
    <col min="138" max="138" width="11.88671875" bestFit="1" customWidth="1"/>
    <col min="139" max="139" width="20.44140625" bestFit="1" customWidth="1"/>
    <col min="140" max="140" width="12.109375" bestFit="1" customWidth="1"/>
    <col min="141" max="141" width="80.88671875" bestFit="1" customWidth="1"/>
    <col min="142" max="144" width="12.109375" bestFit="1" customWidth="1"/>
    <col min="145" max="145" width="44.109375" bestFit="1" customWidth="1"/>
    <col min="146" max="147" width="12.109375" bestFit="1" customWidth="1"/>
    <col min="148" max="148" width="17.44140625" bestFit="1" customWidth="1"/>
    <col min="149" max="149" width="28.6640625" bestFit="1" customWidth="1"/>
    <col min="150" max="152" width="12.109375" bestFit="1" customWidth="1"/>
    <col min="153" max="153" width="44.109375" bestFit="1" customWidth="1"/>
    <col min="154" max="155" width="12.109375" bestFit="1" customWidth="1"/>
    <col min="156" max="156" width="17.44140625" bestFit="1" customWidth="1"/>
    <col min="157" max="157" width="37.44140625" bestFit="1" customWidth="1"/>
    <col min="158" max="160" width="12.109375" bestFit="1" customWidth="1"/>
    <col min="161" max="161" width="44.109375" bestFit="1" customWidth="1"/>
    <col min="162" max="163" width="12.109375" bestFit="1" customWidth="1"/>
    <col min="164" max="164" width="17.44140625" bestFit="1" customWidth="1"/>
    <col min="165" max="165" width="28.88671875" bestFit="1" customWidth="1"/>
    <col min="166" max="168" width="12.109375" bestFit="1" customWidth="1"/>
    <col min="169" max="169" width="44.109375" bestFit="1" customWidth="1"/>
    <col min="170" max="171" width="12.109375" bestFit="1" customWidth="1"/>
    <col min="172" max="172" width="17.44140625" bestFit="1" customWidth="1"/>
    <col min="173" max="173" width="29.44140625" bestFit="1" customWidth="1"/>
    <col min="174" max="176" width="12.109375" bestFit="1" customWidth="1"/>
    <col min="177" max="177" width="44.109375" bestFit="1" customWidth="1"/>
    <col min="178" max="179" width="12.109375" bestFit="1" customWidth="1"/>
    <col min="180" max="180" width="17.44140625" bestFit="1" customWidth="1"/>
    <col min="181" max="181" width="20.109375" bestFit="1" customWidth="1"/>
    <col min="182" max="184" width="12.109375" bestFit="1" customWidth="1"/>
    <col min="185" max="185" width="44.109375" bestFit="1" customWidth="1"/>
    <col min="186" max="187" width="12.109375" bestFit="1" customWidth="1"/>
    <col min="188" max="188" width="17.44140625" bestFit="1" customWidth="1"/>
    <col min="189" max="189" width="21" bestFit="1" customWidth="1"/>
    <col min="190" max="192" width="12.109375" bestFit="1" customWidth="1"/>
    <col min="193" max="193" width="44.109375" bestFit="1" customWidth="1"/>
    <col min="194" max="195" width="12.109375" bestFit="1" customWidth="1"/>
    <col min="196" max="196" width="17.44140625" bestFit="1" customWidth="1"/>
    <col min="197" max="197" width="31.109375" bestFit="1" customWidth="1"/>
    <col min="198" max="200" width="12.109375" bestFit="1" customWidth="1"/>
    <col min="201" max="201" width="44.109375" bestFit="1" customWidth="1"/>
    <col min="202" max="203" width="12.109375" bestFit="1" customWidth="1"/>
    <col min="204" max="204" width="17.44140625" bestFit="1" customWidth="1"/>
    <col min="205" max="205" width="29.44140625" bestFit="1" customWidth="1"/>
    <col min="206" max="207" width="12.109375" bestFit="1" customWidth="1"/>
    <col min="208" max="208" width="12.109375" customWidth="1"/>
    <col min="209" max="209" width="44.109375" bestFit="1" customWidth="1"/>
    <col min="210" max="211" width="12.109375" customWidth="1"/>
    <col min="212" max="212" width="17.44140625" bestFit="1" customWidth="1"/>
    <col min="213" max="213" width="34.88671875" bestFit="1" customWidth="1"/>
    <col min="214" max="214" width="12.109375" customWidth="1"/>
    <col min="215" max="215" width="12.109375" bestFit="1" customWidth="1"/>
    <col min="216" max="216" width="12.109375" customWidth="1"/>
    <col min="217" max="217" width="44.109375" bestFit="1" customWidth="1"/>
    <col min="218" max="219" width="12.109375" customWidth="1"/>
    <col min="220" max="220" width="17.44140625" bestFit="1" customWidth="1"/>
    <col min="221" max="221" width="19" bestFit="1" customWidth="1"/>
    <col min="222" max="222" width="12.109375" customWidth="1"/>
    <col min="223" max="223" width="12.109375" bestFit="1" customWidth="1"/>
    <col min="224" max="224" width="12.109375" customWidth="1"/>
    <col min="225" max="225" width="22.44140625" bestFit="1" customWidth="1"/>
    <col min="226" max="227" width="12.109375" customWidth="1"/>
    <col min="228" max="228" width="16.88671875" bestFit="1" customWidth="1"/>
    <col min="229" max="229" width="36" bestFit="1" customWidth="1"/>
    <col min="230" max="232" width="12.109375" customWidth="1"/>
    <col min="233" max="233" width="37.88671875" bestFit="1" customWidth="1"/>
    <col min="234" max="235" width="12.109375" customWidth="1"/>
    <col min="236" max="236" width="22.109375" bestFit="1" customWidth="1"/>
    <col min="237" max="237" width="32.6640625" bestFit="1" customWidth="1"/>
    <col min="238" max="240" width="12.109375" customWidth="1"/>
    <col min="241" max="241" width="26.44140625" bestFit="1" customWidth="1"/>
    <col min="242" max="242" width="12.109375" customWidth="1"/>
    <col min="243" max="243" width="11.88671875" bestFit="1" customWidth="1"/>
    <col min="244" max="244" width="11.6640625" bestFit="1" customWidth="1"/>
    <col min="245" max="246" width="12.109375" customWidth="1"/>
    <col min="247" max="247" width="12.109375" bestFit="1" customWidth="1"/>
    <col min="248" max="248" width="12.109375" customWidth="1"/>
    <col min="249" max="249" width="26.44140625" bestFit="1" customWidth="1"/>
    <col min="250" max="250" width="12.109375" customWidth="1"/>
    <col min="251" max="251" width="11.88671875" bestFit="1" customWidth="1"/>
    <col min="252" max="252" width="11.6640625" bestFit="1" customWidth="1"/>
    <col min="253" max="254" width="12.109375" customWidth="1"/>
    <col min="255" max="255" width="12.109375" bestFit="1" customWidth="1"/>
    <col min="256" max="256" width="12.109375" customWidth="1"/>
    <col min="257" max="257" width="26.44140625" bestFit="1" customWidth="1"/>
    <col min="258" max="258" width="12.109375" customWidth="1"/>
    <col min="259" max="259" width="11.88671875" bestFit="1" customWidth="1"/>
    <col min="260" max="260" width="11.6640625" bestFit="1" customWidth="1"/>
    <col min="261" max="262" width="12.109375" customWidth="1"/>
    <col min="263" max="263" width="12.109375" bestFit="1" customWidth="1"/>
    <col min="264" max="264" width="12.109375" customWidth="1"/>
    <col min="265" max="265" width="26.44140625" bestFit="1" customWidth="1"/>
    <col min="266" max="266" width="12.109375" customWidth="1"/>
    <col min="267" max="267" width="11.88671875" bestFit="1" customWidth="1"/>
    <col min="268" max="268" width="11.6640625" bestFit="1" customWidth="1"/>
    <col min="269" max="270" width="12.109375" customWidth="1"/>
    <col min="271" max="271" width="12.109375" bestFit="1" customWidth="1"/>
    <col min="272" max="272" width="12.109375" customWidth="1"/>
    <col min="273" max="273" width="26.44140625" bestFit="1" customWidth="1"/>
    <col min="274" max="274" width="12.109375" customWidth="1"/>
    <col min="275" max="275" width="11.88671875" bestFit="1" customWidth="1"/>
    <col min="276" max="276" width="11.6640625" bestFit="1" customWidth="1"/>
    <col min="277" max="280" width="12.109375" customWidth="1"/>
    <col min="281" max="281" width="26.44140625" bestFit="1" customWidth="1"/>
    <col min="282" max="282" width="12.109375" customWidth="1"/>
    <col min="283" max="283" width="11.88671875" bestFit="1" customWidth="1"/>
    <col min="284" max="284" width="11.6640625" bestFit="1" customWidth="1"/>
    <col min="285" max="288" width="12.109375" customWidth="1"/>
    <col min="289" max="289" width="20.109375" bestFit="1" customWidth="1"/>
    <col min="290" max="290" width="13.44140625" bestFit="1" customWidth="1"/>
    <col min="291" max="295" width="12.109375" customWidth="1"/>
    <col min="296" max="296" width="13.44140625" bestFit="1" customWidth="1"/>
    <col min="297" max="297" width="12.109375" customWidth="1"/>
    <col min="298" max="298" width="41.109375" bestFit="1" customWidth="1"/>
    <col min="299" max="299" width="12.109375" customWidth="1"/>
    <col min="300" max="300" width="11.88671875" bestFit="1" customWidth="1"/>
    <col min="301" max="301" width="24.109375" bestFit="1" customWidth="1"/>
    <col min="302" max="302" width="80.88671875" bestFit="1" customWidth="1"/>
    <col min="303" max="303" width="12.109375" customWidth="1"/>
    <col min="304" max="304" width="34.109375" bestFit="1" customWidth="1"/>
    <col min="305" max="305" width="12.109375" customWidth="1"/>
    <col min="306" max="306" width="26.5546875" bestFit="1" customWidth="1"/>
    <col min="307" max="308" width="12.109375" bestFit="1" customWidth="1"/>
    <col min="309" max="309" width="41.109375" bestFit="1" customWidth="1"/>
    <col min="310" max="311" width="12.109375" bestFit="1" customWidth="1"/>
    <col min="312" max="312" width="15.109375" bestFit="1" customWidth="1"/>
    <col min="313" max="313" width="34.88671875" bestFit="1" customWidth="1"/>
    <col min="314" max="316" width="12.109375" bestFit="1" customWidth="1"/>
    <col min="317" max="317" width="41.109375" bestFit="1" customWidth="1"/>
    <col min="318" max="319" width="12.109375" bestFit="1" customWidth="1"/>
    <col min="320" max="320" width="15.109375" bestFit="1" customWidth="1"/>
    <col min="321" max="321" width="19" bestFit="1" customWidth="1"/>
    <col min="322" max="324" width="12.109375" bestFit="1" customWidth="1"/>
    <col min="325" max="325" width="19.6640625" bestFit="1" customWidth="1"/>
    <col min="326" max="327" width="12.109375" bestFit="1" customWidth="1"/>
    <col min="328" max="328" width="14.5546875" bestFit="1" customWidth="1"/>
    <col min="329" max="329" width="36" bestFit="1" customWidth="1"/>
    <col min="330" max="332" width="12.109375" bestFit="1" customWidth="1"/>
    <col min="333" max="333" width="37.88671875" bestFit="1" customWidth="1"/>
    <col min="334" max="335" width="12.109375" bestFit="1" customWidth="1"/>
    <col min="336" max="336" width="20" bestFit="1" customWidth="1"/>
    <col min="337" max="337" width="32.6640625" bestFit="1" customWidth="1"/>
    <col min="338" max="340" width="12.109375" bestFit="1" customWidth="1"/>
    <col min="341" max="341" width="23.5546875" bestFit="1" customWidth="1"/>
    <col min="342" max="348" width="12.109375" bestFit="1" customWidth="1"/>
    <col min="349" max="349" width="23.5546875" bestFit="1" customWidth="1"/>
    <col min="350" max="356" width="12.109375" bestFit="1" customWidth="1"/>
    <col min="357" max="357" width="23.5546875" bestFit="1" customWidth="1"/>
    <col min="358" max="364" width="12.109375" bestFit="1" customWidth="1"/>
    <col min="365" max="365" width="23.5546875" bestFit="1" customWidth="1"/>
    <col min="366" max="372" width="12.109375" bestFit="1" customWidth="1"/>
    <col min="373" max="373" width="23.5546875" bestFit="1" customWidth="1"/>
    <col min="374" max="380" width="12.109375" bestFit="1" customWidth="1"/>
    <col min="381" max="381" width="23.5546875" bestFit="1" customWidth="1"/>
    <col min="382" max="388" width="12.109375" bestFit="1" customWidth="1"/>
    <col min="389" max="389" width="17.109375" bestFit="1" customWidth="1"/>
    <col min="390" max="390" width="13.44140625" bestFit="1" customWidth="1"/>
    <col min="391" max="395" width="12.109375" bestFit="1" customWidth="1"/>
    <col min="396" max="396" width="13.44140625" bestFit="1" customWidth="1"/>
    <col min="397" max="397" width="12.109375" bestFit="1" customWidth="1"/>
    <col min="398" max="398" width="41.109375" bestFit="1" customWidth="1"/>
    <col min="399" max="400" width="12.109375" bestFit="1" customWidth="1"/>
    <col min="401" max="401" width="20" bestFit="1" customWidth="1"/>
    <col min="402" max="402" width="80.88671875" bestFit="1" customWidth="1"/>
    <col min="403" max="403" width="12.109375" bestFit="1" customWidth="1"/>
    <col min="404" max="404" width="34.109375" bestFit="1" customWidth="1"/>
    <col min="405" max="405" width="12.109375" bestFit="1" customWidth="1"/>
    <col min="406" max="406" width="26.5546875" bestFit="1" customWidth="1"/>
  </cols>
  <sheetData>
    <row r="1" spans="1:306" x14ac:dyDescent="0.3">
      <c r="A1" t="s">
        <v>1166</v>
      </c>
      <c r="B1" t="s">
        <v>42</v>
      </c>
      <c r="C1" t="s">
        <v>1312</v>
      </c>
      <c r="D1" t="s">
        <v>1167</v>
      </c>
      <c r="E1" t="s">
        <v>45</v>
      </c>
      <c r="F1" t="s">
        <v>1006</v>
      </c>
      <c r="G1" t="s">
        <v>46</v>
      </c>
      <c r="H1" t="s">
        <v>47</v>
      </c>
      <c r="I1" t="s">
        <v>48</v>
      </c>
      <c r="J1" t="s">
        <v>1168</v>
      </c>
      <c r="K1" t="s">
        <v>50</v>
      </c>
      <c r="L1" t="s">
        <v>1313</v>
      </c>
      <c r="M1" t="s">
        <v>1169</v>
      </c>
      <c r="N1" t="s">
        <v>53</v>
      </c>
      <c r="O1" t="s">
        <v>54</v>
      </c>
      <c r="P1" t="s">
        <v>1170</v>
      </c>
      <c r="Q1" t="s">
        <v>56</v>
      </c>
      <c r="R1" t="s">
        <v>57</v>
      </c>
      <c r="S1" t="s">
        <v>1171</v>
      </c>
      <c r="T1" t="s">
        <v>1007</v>
      </c>
      <c r="U1" t="s">
        <v>1314</v>
      </c>
      <c r="V1" t="s">
        <v>1172</v>
      </c>
      <c r="W1" t="s">
        <v>61</v>
      </c>
      <c r="X1" t="s">
        <v>62</v>
      </c>
      <c r="Y1" t="s">
        <v>1315</v>
      </c>
      <c r="Z1" t="s">
        <v>64</v>
      </c>
      <c r="AA1" t="s">
        <v>65</v>
      </c>
      <c r="AB1" t="s">
        <v>1173</v>
      </c>
      <c r="AC1" t="s">
        <v>67</v>
      </c>
      <c r="AD1" t="s">
        <v>1316</v>
      </c>
      <c r="AE1" t="s">
        <v>1174</v>
      </c>
      <c r="AF1" t="s">
        <v>70</v>
      </c>
      <c r="AG1" t="s">
        <v>71</v>
      </c>
      <c r="AH1" t="s">
        <v>1008</v>
      </c>
      <c r="AI1" t="s">
        <v>72</v>
      </c>
      <c r="AJ1" t="s">
        <v>73</v>
      </c>
      <c r="AK1" t="s">
        <v>1175</v>
      </c>
      <c r="AL1" t="s">
        <v>75</v>
      </c>
      <c r="AM1" t="s">
        <v>1317</v>
      </c>
      <c r="AN1" t="s">
        <v>1176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1177</v>
      </c>
      <c r="AU1" t="s">
        <v>84</v>
      </c>
      <c r="AV1" t="s">
        <v>1318</v>
      </c>
      <c r="AW1" t="s">
        <v>1178</v>
      </c>
      <c r="AX1" t="s">
        <v>86</v>
      </c>
      <c r="AY1" t="s">
        <v>87</v>
      </c>
      <c r="AZ1" t="s">
        <v>1319</v>
      </c>
      <c r="BA1" t="s">
        <v>89</v>
      </c>
      <c r="BB1" t="s">
        <v>90</v>
      </c>
      <c r="BC1" t="s">
        <v>1179</v>
      </c>
      <c r="BD1" t="s">
        <v>92</v>
      </c>
      <c r="BE1" t="s">
        <v>1320</v>
      </c>
      <c r="BF1" t="s">
        <v>1180</v>
      </c>
      <c r="BG1" t="s">
        <v>95</v>
      </c>
      <c r="BH1" t="s">
        <v>96</v>
      </c>
      <c r="BI1" t="s">
        <v>1321</v>
      </c>
      <c r="BJ1" t="s">
        <v>1010</v>
      </c>
      <c r="BK1" t="s">
        <v>98</v>
      </c>
      <c r="BL1" t="s">
        <v>1181</v>
      </c>
      <c r="BM1" t="s">
        <v>100</v>
      </c>
      <c r="BN1" t="s">
        <v>1322</v>
      </c>
      <c r="BO1" t="s">
        <v>1182</v>
      </c>
      <c r="BP1" t="s">
        <v>103</v>
      </c>
      <c r="BQ1" t="s">
        <v>104</v>
      </c>
      <c r="BR1" t="s">
        <v>1323</v>
      </c>
      <c r="BS1" t="s">
        <v>106</v>
      </c>
      <c r="BT1" t="s">
        <v>107</v>
      </c>
      <c r="BU1" t="s">
        <v>1183</v>
      </c>
      <c r="BV1" t="s">
        <v>109</v>
      </c>
      <c r="BW1" t="s">
        <v>1324</v>
      </c>
      <c r="BX1" t="s">
        <v>1184</v>
      </c>
      <c r="BY1" t="s">
        <v>112</v>
      </c>
      <c r="BZ1" t="s">
        <v>113</v>
      </c>
      <c r="CA1" t="s">
        <v>1325</v>
      </c>
      <c r="CB1" t="s">
        <v>115</v>
      </c>
      <c r="CC1" t="s">
        <v>1011</v>
      </c>
      <c r="CD1" t="s">
        <v>1185</v>
      </c>
      <c r="CE1" t="s">
        <v>117</v>
      </c>
      <c r="CF1" t="s">
        <v>1326</v>
      </c>
      <c r="CG1" t="s">
        <v>1186</v>
      </c>
      <c r="CH1" t="s">
        <v>120</v>
      </c>
      <c r="CI1" t="s">
        <v>121</v>
      </c>
      <c r="CJ1" t="s">
        <v>122</v>
      </c>
      <c r="CK1" t="s">
        <v>123</v>
      </c>
      <c r="CL1" t="s">
        <v>124</v>
      </c>
      <c r="CM1" t="s">
        <v>1187</v>
      </c>
      <c r="CN1" t="s">
        <v>126</v>
      </c>
      <c r="CO1" t="s">
        <v>1327</v>
      </c>
      <c r="CP1" t="s">
        <v>1188</v>
      </c>
      <c r="CQ1" t="s">
        <v>129</v>
      </c>
      <c r="CR1" t="s">
        <v>1012</v>
      </c>
      <c r="CS1" t="s">
        <v>1013</v>
      </c>
      <c r="CT1" t="s">
        <v>1014</v>
      </c>
      <c r="CU1" t="s">
        <v>1015</v>
      </c>
      <c r="CV1" t="s">
        <v>1189</v>
      </c>
      <c r="CW1" t="s">
        <v>1017</v>
      </c>
      <c r="CX1" t="s">
        <v>1328</v>
      </c>
      <c r="CY1" t="s">
        <v>1190</v>
      </c>
      <c r="CZ1" t="s">
        <v>1020</v>
      </c>
      <c r="DA1" t="s">
        <v>1021</v>
      </c>
      <c r="DB1" t="s">
        <v>1022</v>
      </c>
      <c r="DC1" t="s">
        <v>1023</v>
      </c>
      <c r="DD1" t="s">
        <v>1024</v>
      </c>
      <c r="DE1" t="s">
        <v>1191</v>
      </c>
      <c r="DF1" t="s">
        <v>601</v>
      </c>
      <c r="DG1" t="s">
        <v>1329</v>
      </c>
      <c r="DH1" t="s">
        <v>1192</v>
      </c>
      <c r="DI1" t="s">
        <v>1027</v>
      </c>
      <c r="DJ1" t="s">
        <v>1028</v>
      </c>
      <c r="DK1" t="s">
        <v>1029</v>
      </c>
      <c r="DL1" t="s">
        <v>1030</v>
      </c>
      <c r="DM1" t="s">
        <v>1031</v>
      </c>
      <c r="DN1" t="s">
        <v>1193</v>
      </c>
      <c r="DO1" t="s">
        <v>1032</v>
      </c>
      <c r="DP1" t="s">
        <v>1330</v>
      </c>
      <c r="DQ1" t="s">
        <v>1194</v>
      </c>
      <c r="DR1" t="s">
        <v>1033</v>
      </c>
      <c r="DS1" t="s">
        <v>1034</v>
      </c>
      <c r="DT1" t="s">
        <v>1035</v>
      </c>
      <c r="DU1" t="s">
        <v>1036</v>
      </c>
      <c r="DV1" t="s">
        <v>1037</v>
      </c>
      <c r="DW1" t="s">
        <v>1195</v>
      </c>
      <c r="DX1" t="s">
        <v>1038</v>
      </c>
      <c r="DY1" t="s">
        <v>1331</v>
      </c>
      <c r="DZ1" t="s">
        <v>1196</v>
      </c>
      <c r="EA1" t="s">
        <v>1039</v>
      </c>
      <c r="EB1" t="s">
        <v>1040</v>
      </c>
      <c r="EC1" t="s">
        <v>1041</v>
      </c>
      <c r="ED1" t="s">
        <v>1042</v>
      </c>
      <c r="EE1" t="s">
        <v>1043</v>
      </c>
      <c r="EF1" t="s">
        <v>1197</v>
      </c>
      <c r="EG1" t="s">
        <v>1044</v>
      </c>
      <c r="EH1" t="s">
        <v>1332</v>
      </c>
      <c r="EI1" t="s">
        <v>1198</v>
      </c>
      <c r="EJ1" t="s">
        <v>1045</v>
      </c>
      <c r="EK1" t="s">
        <v>1046</v>
      </c>
      <c r="EL1" t="s">
        <v>1047</v>
      </c>
      <c r="EM1" t="s">
        <v>1048</v>
      </c>
      <c r="EN1" t="s">
        <v>1049</v>
      </c>
      <c r="EO1" t="s">
        <v>1199</v>
      </c>
      <c r="EP1" t="s">
        <v>1050</v>
      </c>
      <c r="EQ1" t="s">
        <v>1051</v>
      </c>
      <c r="ER1" t="s">
        <v>1200</v>
      </c>
      <c r="ES1" t="s">
        <v>1052</v>
      </c>
      <c r="ET1" t="s">
        <v>1053</v>
      </c>
      <c r="EU1" t="s">
        <v>1054</v>
      </c>
      <c r="EV1" t="s">
        <v>1055</v>
      </c>
      <c r="EW1" t="s">
        <v>1201</v>
      </c>
      <c r="EX1" t="s">
        <v>1056</v>
      </c>
      <c r="EY1" t="s">
        <v>1057</v>
      </c>
      <c r="EZ1" t="s">
        <v>1202</v>
      </c>
      <c r="FA1" t="s">
        <v>1058</v>
      </c>
      <c r="FB1" t="s">
        <v>1059</v>
      </c>
      <c r="FC1" t="s">
        <v>1060</v>
      </c>
      <c r="FD1" t="s">
        <v>1061</v>
      </c>
      <c r="FE1" t="s">
        <v>1203</v>
      </c>
      <c r="FF1" t="s">
        <v>1062</v>
      </c>
      <c r="FG1" t="s">
        <v>1063</v>
      </c>
      <c r="FH1" t="s">
        <v>1204</v>
      </c>
      <c r="FI1" t="s">
        <v>1064</v>
      </c>
      <c r="FJ1" t="s">
        <v>1065</v>
      </c>
      <c r="FK1" t="s">
        <v>1066</v>
      </c>
      <c r="FL1" t="s">
        <v>1067</v>
      </c>
      <c r="FM1" t="s">
        <v>1205</v>
      </c>
      <c r="FN1" t="s">
        <v>1068</v>
      </c>
      <c r="FO1" t="s">
        <v>1069</v>
      </c>
      <c r="FP1" t="s">
        <v>1206</v>
      </c>
      <c r="FQ1" t="s">
        <v>1070</v>
      </c>
      <c r="FR1" t="s">
        <v>1071</v>
      </c>
      <c r="FS1" t="s">
        <v>1072</v>
      </c>
      <c r="FT1" t="s">
        <v>1073</v>
      </c>
      <c r="FU1" t="s">
        <v>1207</v>
      </c>
      <c r="FV1" t="s">
        <v>1074</v>
      </c>
      <c r="FW1" t="s">
        <v>1075</v>
      </c>
      <c r="FX1" t="s">
        <v>1208</v>
      </c>
      <c r="FY1" t="s">
        <v>1076</v>
      </c>
      <c r="FZ1" t="s">
        <v>1077</v>
      </c>
      <c r="GA1" t="s">
        <v>1078</v>
      </c>
      <c r="GB1" t="s">
        <v>1079</v>
      </c>
      <c r="GC1" t="s">
        <v>1209</v>
      </c>
      <c r="GD1" t="s">
        <v>1080</v>
      </c>
      <c r="GE1" t="s">
        <v>1081</v>
      </c>
      <c r="GF1" t="s">
        <v>1210</v>
      </c>
      <c r="GG1" t="s">
        <v>1082</v>
      </c>
      <c r="GH1" t="s">
        <v>1083</v>
      </c>
      <c r="GI1" t="s">
        <v>1084</v>
      </c>
      <c r="GJ1" t="s">
        <v>1085</v>
      </c>
      <c r="GK1" t="s">
        <v>1211</v>
      </c>
      <c r="GL1" t="s">
        <v>1086</v>
      </c>
      <c r="GM1" t="s">
        <v>1087</v>
      </c>
      <c r="GN1" t="s">
        <v>1212</v>
      </c>
      <c r="GO1" t="s">
        <v>1088</v>
      </c>
      <c r="GP1" t="s">
        <v>1089</v>
      </c>
      <c r="GQ1" t="s">
        <v>1090</v>
      </c>
      <c r="GR1" t="s">
        <v>1091</v>
      </c>
      <c r="GS1" t="s">
        <v>1213</v>
      </c>
      <c r="GT1" t="s">
        <v>1092</v>
      </c>
      <c r="GU1" t="s">
        <v>1093</v>
      </c>
      <c r="GV1" t="s">
        <v>1214</v>
      </c>
      <c r="GW1" t="s">
        <v>1094</v>
      </c>
      <c r="GX1" t="s">
        <v>1095</v>
      </c>
      <c r="GY1" t="s">
        <v>1096</v>
      </c>
      <c r="GZ1" t="s">
        <v>1097</v>
      </c>
      <c r="HA1" t="s">
        <v>1215</v>
      </c>
      <c r="HB1" t="s">
        <v>1098</v>
      </c>
      <c r="HC1" t="s">
        <v>1099</v>
      </c>
      <c r="HD1" t="s">
        <v>1216</v>
      </c>
      <c r="HE1" t="s">
        <v>1100</v>
      </c>
      <c r="HF1" t="s">
        <v>1101</v>
      </c>
      <c r="HG1" t="s">
        <v>1102</v>
      </c>
      <c r="HH1" t="s">
        <v>1103</v>
      </c>
      <c r="HI1" t="s">
        <v>1217</v>
      </c>
      <c r="HJ1" t="s">
        <v>1104</v>
      </c>
      <c r="HK1" t="s">
        <v>1105</v>
      </c>
      <c r="HL1" t="s">
        <v>1218</v>
      </c>
      <c r="HM1" t="s">
        <v>1106</v>
      </c>
      <c r="HN1" t="s">
        <v>1107</v>
      </c>
      <c r="HO1" t="s">
        <v>1108</v>
      </c>
      <c r="HP1" t="s">
        <v>1109</v>
      </c>
      <c r="HQ1" t="s">
        <v>1219</v>
      </c>
      <c r="HR1" t="s">
        <v>1110</v>
      </c>
      <c r="HS1" t="s">
        <v>1111</v>
      </c>
      <c r="HT1" t="s">
        <v>1220</v>
      </c>
      <c r="HU1" t="s">
        <v>1112</v>
      </c>
      <c r="HV1" t="s">
        <v>1113</v>
      </c>
      <c r="HW1" t="s">
        <v>1114</v>
      </c>
      <c r="HX1" t="s">
        <v>1115</v>
      </c>
      <c r="HY1" t="s">
        <v>1221</v>
      </c>
      <c r="HZ1" t="s">
        <v>1116</v>
      </c>
      <c r="IA1" t="s">
        <v>1117</v>
      </c>
      <c r="IB1" t="s">
        <v>1222</v>
      </c>
      <c r="IC1" t="s">
        <v>1118</v>
      </c>
      <c r="ID1" t="s">
        <v>1119</v>
      </c>
      <c r="IE1" t="s">
        <v>1120</v>
      </c>
      <c r="IF1" t="s">
        <v>1121</v>
      </c>
      <c r="IG1" t="s">
        <v>1223</v>
      </c>
      <c r="IH1" t="s">
        <v>1122</v>
      </c>
      <c r="II1" t="s">
        <v>1224</v>
      </c>
      <c r="IJ1" t="s">
        <v>1333</v>
      </c>
      <c r="IK1" t="s">
        <v>1123</v>
      </c>
      <c r="IL1" t="s">
        <v>1124</v>
      </c>
      <c r="IM1" t="s">
        <v>1125</v>
      </c>
      <c r="IN1" t="s">
        <v>1126</v>
      </c>
      <c r="IO1" t="s">
        <v>1225</v>
      </c>
      <c r="IP1" t="s">
        <v>1127</v>
      </c>
      <c r="IQ1" t="s">
        <v>1334</v>
      </c>
      <c r="IR1" t="s">
        <v>1335</v>
      </c>
      <c r="IS1" t="s">
        <v>1128</v>
      </c>
      <c r="IT1" t="s">
        <v>1129</v>
      </c>
      <c r="IU1" t="s">
        <v>1130</v>
      </c>
      <c r="IV1" t="s">
        <v>1131</v>
      </c>
      <c r="IW1" t="s">
        <v>1226</v>
      </c>
      <c r="IX1" t="s">
        <v>1132</v>
      </c>
      <c r="IY1" t="s">
        <v>1336</v>
      </c>
      <c r="IZ1" t="s">
        <v>1337</v>
      </c>
      <c r="JA1" t="s">
        <v>1133</v>
      </c>
      <c r="JB1" t="s">
        <v>1134</v>
      </c>
      <c r="JC1" t="s">
        <v>1135</v>
      </c>
      <c r="JD1" t="s">
        <v>1136</v>
      </c>
      <c r="JE1" t="s">
        <v>1227</v>
      </c>
      <c r="JF1" t="s">
        <v>1137</v>
      </c>
      <c r="JG1" t="s">
        <v>1338</v>
      </c>
      <c r="JH1" t="s">
        <v>1339</v>
      </c>
      <c r="JI1" t="s">
        <v>1138</v>
      </c>
      <c r="JJ1" t="s">
        <v>1139</v>
      </c>
      <c r="JK1" t="s">
        <v>1140</v>
      </c>
      <c r="JL1" t="s">
        <v>1141</v>
      </c>
      <c r="JM1" t="s">
        <v>1228</v>
      </c>
      <c r="JN1" t="s">
        <v>1142</v>
      </c>
      <c r="JO1" t="s">
        <v>1340</v>
      </c>
      <c r="JP1" t="s">
        <v>1341</v>
      </c>
      <c r="JQ1" t="s">
        <v>1143</v>
      </c>
      <c r="JR1" t="s">
        <v>1144</v>
      </c>
      <c r="JS1" t="s">
        <v>1145</v>
      </c>
      <c r="JT1" t="s">
        <v>1146</v>
      </c>
      <c r="JU1" t="s">
        <v>1229</v>
      </c>
      <c r="JV1" t="s">
        <v>1147</v>
      </c>
      <c r="JW1" t="s">
        <v>1342</v>
      </c>
      <c r="JX1" t="s">
        <v>1343</v>
      </c>
      <c r="JY1" t="s">
        <v>1148</v>
      </c>
      <c r="JZ1" t="s">
        <v>1149</v>
      </c>
      <c r="KA1" t="s">
        <v>1150</v>
      </c>
      <c r="KB1" t="s">
        <v>1151</v>
      </c>
      <c r="KC1" t="s">
        <v>1230</v>
      </c>
      <c r="KD1" t="s">
        <v>1152</v>
      </c>
      <c r="KE1" t="s">
        <v>1153</v>
      </c>
      <c r="KF1" t="s">
        <v>1154</v>
      </c>
      <c r="KG1" t="s">
        <v>1155</v>
      </c>
      <c r="KH1" t="s">
        <v>1156</v>
      </c>
      <c r="KI1" t="s">
        <v>1157</v>
      </c>
      <c r="KJ1" t="s">
        <v>1158</v>
      </c>
      <c r="KK1" t="s">
        <v>1159</v>
      </c>
      <c r="KL1" t="s">
        <v>1344</v>
      </c>
      <c r="KM1" t="s">
        <v>1160</v>
      </c>
      <c r="KN1" t="s">
        <v>1345</v>
      </c>
      <c r="KO1" t="s">
        <v>1346</v>
      </c>
      <c r="KP1" t="s">
        <v>1161</v>
      </c>
      <c r="KQ1" t="s">
        <v>1162</v>
      </c>
      <c r="KR1" t="s">
        <v>1163</v>
      </c>
      <c r="KS1" t="s">
        <v>1164</v>
      </c>
      <c r="KT1" t="s">
        <v>1165</v>
      </c>
    </row>
    <row r="2" spans="1:306" x14ac:dyDescent="0.3">
      <c r="A2" t="s">
        <v>1231</v>
      </c>
      <c r="B2" t="s">
        <v>1232</v>
      </c>
      <c r="D2" t="s">
        <v>1233</v>
      </c>
      <c r="F2" t="s">
        <v>1234</v>
      </c>
      <c r="J2" t="s">
        <v>1231</v>
      </c>
      <c r="K2" t="s">
        <v>1235</v>
      </c>
      <c r="M2" t="s">
        <v>1233</v>
      </c>
      <c r="O2" t="s">
        <v>1236</v>
      </c>
      <c r="S2" t="s">
        <v>1231</v>
      </c>
      <c r="T2" t="s">
        <v>1235</v>
      </c>
      <c r="V2" t="s">
        <v>1233</v>
      </c>
      <c r="X2" t="s">
        <v>1237</v>
      </c>
      <c r="AB2" t="s">
        <v>1231</v>
      </c>
      <c r="AC2" t="s">
        <v>1232</v>
      </c>
      <c r="AE2" t="s">
        <v>1233</v>
      </c>
      <c r="AG2" t="s">
        <v>1238</v>
      </c>
      <c r="AK2" t="s">
        <v>1231</v>
      </c>
      <c r="AL2" t="s">
        <v>1232</v>
      </c>
      <c r="AN2" t="s">
        <v>1233</v>
      </c>
      <c r="AP2" t="s">
        <v>1239</v>
      </c>
      <c r="AT2" t="s">
        <v>1231</v>
      </c>
      <c r="AU2" t="s">
        <v>1232</v>
      </c>
      <c r="AW2" t="s">
        <v>1233</v>
      </c>
      <c r="AY2" t="s">
        <v>1240</v>
      </c>
      <c r="BB2" t="s">
        <v>1224</v>
      </c>
      <c r="BC2" t="s">
        <v>1231</v>
      </c>
      <c r="BD2" t="s">
        <v>1232</v>
      </c>
      <c r="BF2" t="s">
        <v>1233</v>
      </c>
      <c r="BH2" t="s">
        <v>1241</v>
      </c>
      <c r="BL2" t="s">
        <v>1231</v>
      </c>
      <c r="BM2" t="s">
        <v>1232</v>
      </c>
      <c r="BO2" t="s">
        <v>1233</v>
      </c>
      <c r="BQ2" t="s">
        <v>1242</v>
      </c>
      <c r="BT2" t="s">
        <v>1224</v>
      </c>
      <c r="BU2" t="s">
        <v>1231</v>
      </c>
      <c r="BV2" t="s">
        <v>1232</v>
      </c>
      <c r="BX2" t="s">
        <v>1233</v>
      </c>
      <c r="BZ2" t="s">
        <v>1243</v>
      </c>
      <c r="CD2" t="s">
        <v>1231</v>
      </c>
      <c r="CE2" t="s">
        <v>1235</v>
      </c>
      <c r="CG2" t="s">
        <v>1233</v>
      </c>
      <c r="CI2" t="s">
        <v>1244</v>
      </c>
      <c r="CM2" t="s">
        <v>1231</v>
      </c>
      <c r="CN2" t="s">
        <v>1235</v>
      </c>
      <c r="CP2" t="s">
        <v>1233</v>
      </c>
      <c r="CR2" t="s">
        <v>1245</v>
      </c>
      <c r="CV2" t="s">
        <v>1231</v>
      </c>
      <c r="CW2" t="s">
        <v>1235</v>
      </c>
      <c r="CY2" t="s">
        <v>1233</v>
      </c>
      <c r="DA2" t="s">
        <v>1246</v>
      </c>
      <c r="DE2" t="s">
        <v>1231</v>
      </c>
      <c r="DF2" t="s">
        <v>1235</v>
      </c>
      <c r="DH2" t="s">
        <v>1233</v>
      </c>
      <c r="DJ2" t="s">
        <v>1247</v>
      </c>
      <c r="DN2" t="s">
        <v>1231</v>
      </c>
      <c r="DO2" t="s">
        <v>1235</v>
      </c>
      <c r="DQ2" t="s">
        <v>1233</v>
      </c>
      <c r="DS2" t="s">
        <v>1248</v>
      </c>
      <c r="DW2" t="s">
        <v>1231</v>
      </c>
      <c r="DX2" t="s">
        <v>1232</v>
      </c>
      <c r="DZ2" t="s">
        <v>1233</v>
      </c>
      <c r="EB2" t="s">
        <v>1249</v>
      </c>
      <c r="EE2" t="s">
        <v>1224</v>
      </c>
      <c r="EF2" t="s">
        <v>1231</v>
      </c>
      <c r="EG2" t="s">
        <v>1232</v>
      </c>
      <c r="EI2" t="s">
        <v>1233</v>
      </c>
      <c r="EK2" t="s">
        <v>1250</v>
      </c>
      <c r="EN2" t="s">
        <v>1224</v>
      </c>
      <c r="EO2" t="s">
        <v>1231</v>
      </c>
      <c r="EP2" t="s">
        <v>1235</v>
      </c>
      <c r="ER2" t="s">
        <v>1233</v>
      </c>
      <c r="ES2" t="s">
        <v>1251</v>
      </c>
      <c r="EW2" t="s">
        <v>1231</v>
      </c>
      <c r="EX2" t="s">
        <v>1235</v>
      </c>
      <c r="EZ2" t="s">
        <v>1233</v>
      </c>
      <c r="FA2" t="s">
        <v>1252</v>
      </c>
      <c r="FE2" t="s">
        <v>1231</v>
      </c>
      <c r="FF2" t="s">
        <v>1235</v>
      </c>
      <c r="FH2" t="s">
        <v>1233</v>
      </c>
      <c r="FI2" t="s">
        <v>1253</v>
      </c>
      <c r="FM2" t="s">
        <v>1231</v>
      </c>
      <c r="FN2" t="s">
        <v>1235</v>
      </c>
      <c r="FP2" t="s">
        <v>1233</v>
      </c>
      <c r="FQ2" t="s">
        <v>1254</v>
      </c>
      <c r="FU2" t="s">
        <v>1231</v>
      </c>
      <c r="FV2" t="s">
        <v>1235</v>
      </c>
      <c r="FX2" t="s">
        <v>1233</v>
      </c>
      <c r="FY2" t="s">
        <v>1255</v>
      </c>
      <c r="GC2" t="s">
        <v>1231</v>
      </c>
      <c r="GD2" t="s">
        <v>1235</v>
      </c>
      <c r="GF2" t="s">
        <v>1233</v>
      </c>
      <c r="GG2" t="s">
        <v>1256</v>
      </c>
      <c r="GK2" t="s">
        <v>1231</v>
      </c>
      <c r="GL2" t="s">
        <v>1235</v>
      </c>
      <c r="GN2" t="s">
        <v>1233</v>
      </c>
      <c r="GO2" t="s">
        <v>1257</v>
      </c>
      <c r="GS2" t="s">
        <v>1231</v>
      </c>
      <c r="GT2" t="s">
        <v>1235</v>
      </c>
      <c r="GV2" t="s">
        <v>1233</v>
      </c>
      <c r="GW2" t="s">
        <v>1258</v>
      </c>
      <c r="HA2" t="s">
        <v>1231</v>
      </c>
      <c r="HB2" t="s">
        <v>1235</v>
      </c>
      <c r="HD2" t="s">
        <v>1233</v>
      </c>
      <c r="HE2" t="s">
        <v>1259</v>
      </c>
      <c r="HI2" t="s">
        <v>1231</v>
      </c>
      <c r="HJ2" t="s">
        <v>1235</v>
      </c>
      <c r="HL2" t="s">
        <v>1233</v>
      </c>
      <c r="HM2" t="s">
        <v>1260</v>
      </c>
      <c r="HQ2" t="s">
        <v>1231</v>
      </c>
      <c r="HR2" t="s">
        <v>1232</v>
      </c>
      <c r="HT2" t="s">
        <v>1233</v>
      </c>
      <c r="HU2" t="s">
        <v>1261</v>
      </c>
      <c r="HY2" t="s">
        <v>1231</v>
      </c>
      <c r="HZ2" t="s">
        <v>1232</v>
      </c>
      <c r="IB2" t="s">
        <v>1233</v>
      </c>
      <c r="IC2" t="s">
        <v>1262</v>
      </c>
      <c r="IG2" t="s">
        <v>1231</v>
      </c>
      <c r="IH2" t="s">
        <v>1232</v>
      </c>
      <c r="IJ2" t="s">
        <v>1233</v>
      </c>
      <c r="IK2" t="s">
        <v>1224</v>
      </c>
      <c r="IO2" t="s">
        <v>1231</v>
      </c>
      <c r="IP2" t="s">
        <v>1232</v>
      </c>
      <c r="IR2" t="s">
        <v>1233</v>
      </c>
      <c r="IS2" t="s">
        <v>1224</v>
      </c>
      <c r="IW2" t="s">
        <v>1231</v>
      </c>
      <c r="IX2" t="s">
        <v>1232</v>
      </c>
      <c r="IZ2" t="s">
        <v>1233</v>
      </c>
      <c r="JA2" t="s">
        <v>1224</v>
      </c>
      <c r="JE2" t="s">
        <v>1231</v>
      </c>
      <c r="JF2" t="s">
        <v>1232</v>
      </c>
      <c r="JH2" t="s">
        <v>1233</v>
      </c>
      <c r="JI2" t="s">
        <v>1224</v>
      </c>
      <c r="JM2" t="s">
        <v>1231</v>
      </c>
      <c r="JN2" t="s">
        <v>1232</v>
      </c>
      <c r="JP2" t="s">
        <v>1233</v>
      </c>
      <c r="JQ2" t="s">
        <v>1224</v>
      </c>
      <c r="JU2" t="s">
        <v>1231</v>
      </c>
      <c r="JV2" t="s">
        <v>1232</v>
      </c>
      <c r="JX2" t="s">
        <v>1233</v>
      </c>
      <c r="JY2" t="s">
        <v>1224</v>
      </c>
      <c r="KC2" t="s">
        <v>1231</v>
      </c>
      <c r="KF2" t="s">
        <v>1233</v>
      </c>
      <c r="KL2" t="s">
        <v>1231</v>
      </c>
      <c r="KM2" t="s">
        <v>1232</v>
      </c>
      <c r="KN2">
        <v>0</v>
      </c>
      <c r="KO2" t="s">
        <v>1233</v>
      </c>
      <c r="KP2" t="s">
        <v>1234</v>
      </c>
    </row>
    <row r="3" spans="1:306" x14ac:dyDescent="0.3">
      <c r="A3" t="s">
        <v>1263</v>
      </c>
      <c r="B3">
        <v>345705.77586206899</v>
      </c>
      <c r="C3" t="s">
        <v>1264</v>
      </c>
      <c r="D3" t="s">
        <v>1265</v>
      </c>
      <c r="F3">
        <v>60</v>
      </c>
      <c r="G3" t="s">
        <v>1266</v>
      </c>
      <c r="J3" t="s">
        <v>1263</v>
      </c>
      <c r="K3">
        <v>434176.92758620693</v>
      </c>
      <c r="L3" t="s">
        <v>1264</v>
      </c>
      <c r="M3" t="s">
        <v>1265</v>
      </c>
      <c r="O3">
        <v>60</v>
      </c>
      <c r="P3" t="s">
        <v>1266</v>
      </c>
      <c r="S3" t="s">
        <v>1263</v>
      </c>
      <c r="T3">
        <v>174090.03965517241</v>
      </c>
      <c r="U3" t="s">
        <v>1264</v>
      </c>
      <c r="V3" t="s">
        <v>1265</v>
      </c>
      <c r="X3">
        <v>60</v>
      </c>
      <c r="Y3" t="s">
        <v>1266</v>
      </c>
      <c r="AB3" t="s">
        <v>1263</v>
      </c>
      <c r="AC3">
        <v>2939804.9137931038</v>
      </c>
      <c r="AD3" t="s">
        <v>1264</v>
      </c>
      <c r="AE3" t="s">
        <v>1265</v>
      </c>
      <c r="AG3">
        <v>60</v>
      </c>
      <c r="AH3" t="s">
        <v>1266</v>
      </c>
      <c r="AK3" t="s">
        <v>1263</v>
      </c>
      <c r="AL3">
        <v>1628399.3189655172</v>
      </c>
      <c r="AM3" t="s">
        <v>1264</v>
      </c>
      <c r="AN3" t="s">
        <v>1265</v>
      </c>
      <c r="AP3">
        <v>60</v>
      </c>
      <c r="AQ3" t="s">
        <v>1266</v>
      </c>
      <c r="AT3" t="s">
        <v>1263</v>
      </c>
      <c r="AU3">
        <v>1476541.3965517243</v>
      </c>
      <c r="AV3" t="s">
        <v>1264</v>
      </c>
      <c r="AW3" t="s">
        <v>1265</v>
      </c>
      <c r="AY3">
        <v>60</v>
      </c>
      <c r="AZ3" t="s">
        <v>1266</v>
      </c>
      <c r="BC3" t="s">
        <v>1263</v>
      </c>
      <c r="BD3">
        <v>667912.9051724138</v>
      </c>
      <c r="BE3" t="s">
        <v>1264</v>
      </c>
      <c r="BF3" t="s">
        <v>1265</v>
      </c>
      <c r="BH3">
        <v>60</v>
      </c>
      <c r="BI3" t="s">
        <v>1266</v>
      </c>
      <c r="BL3" t="s">
        <v>1263</v>
      </c>
      <c r="BM3">
        <v>1324381.8362068967</v>
      </c>
      <c r="BN3" t="s">
        <v>1264</v>
      </c>
      <c r="BO3" t="s">
        <v>1265</v>
      </c>
      <c r="BQ3">
        <v>60</v>
      </c>
      <c r="BR3" t="s">
        <v>1266</v>
      </c>
      <c r="BU3" t="s">
        <v>1263</v>
      </c>
      <c r="BV3">
        <v>2782745.2241379311</v>
      </c>
      <c r="BW3" t="s">
        <v>1264</v>
      </c>
      <c r="BX3" t="s">
        <v>1265</v>
      </c>
      <c r="BZ3">
        <v>60</v>
      </c>
      <c r="CA3" t="s">
        <v>1266</v>
      </c>
      <c r="CD3" t="s">
        <v>1263</v>
      </c>
      <c r="CE3">
        <v>181894.78103448276</v>
      </c>
      <c r="CF3" t="s">
        <v>1264</v>
      </c>
      <c r="CG3" t="s">
        <v>1265</v>
      </c>
      <c r="CI3">
        <v>60</v>
      </c>
      <c r="CJ3" t="s">
        <v>1266</v>
      </c>
      <c r="CM3" t="s">
        <v>1263</v>
      </c>
      <c r="CN3">
        <v>340914.10000000003</v>
      </c>
      <c r="CO3" t="s">
        <v>1264</v>
      </c>
      <c r="CP3" t="s">
        <v>1265</v>
      </c>
      <c r="CR3">
        <v>60</v>
      </c>
      <c r="CS3" t="s">
        <v>1266</v>
      </c>
      <c r="CV3" t="s">
        <v>1263</v>
      </c>
      <c r="CW3">
        <v>202560.93103448275</v>
      </c>
      <c r="CX3" t="s">
        <v>1264</v>
      </c>
      <c r="CY3" t="s">
        <v>1265</v>
      </c>
      <c r="DA3">
        <v>60</v>
      </c>
      <c r="DB3" t="s">
        <v>1266</v>
      </c>
      <c r="DE3" t="s">
        <v>1263</v>
      </c>
      <c r="DF3">
        <v>176015.1</v>
      </c>
      <c r="DG3" t="s">
        <v>1264</v>
      </c>
      <c r="DH3" t="s">
        <v>1265</v>
      </c>
      <c r="DJ3">
        <v>60</v>
      </c>
      <c r="DK3" t="s">
        <v>1266</v>
      </c>
      <c r="DN3" t="s">
        <v>1263</v>
      </c>
      <c r="DO3">
        <v>162240.46206896554</v>
      </c>
      <c r="DP3" t="s">
        <v>1264</v>
      </c>
      <c r="DQ3" t="s">
        <v>1265</v>
      </c>
      <c r="DS3">
        <v>60</v>
      </c>
      <c r="DT3" t="s">
        <v>1266</v>
      </c>
      <c r="DW3" t="s">
        <v>1263</v>
      </c>
      <c r="DX3">
        <v>782896.94652253983</v>
      </c>
      <c r="DY3" t="s">
        <v>1264</v>
      </c>
      <c r="DZ3" t="s">
        <v>1265</v>
      </c>
      <c r="EB3">
        <v>60</v>
      </c>
      <c r="EC3" t="s">
        <v>1266</v>
      </c>
      <c r="EF3" t="s">
        <v>1263</v>
      </c>
      <c r="EG3">
        <v>1251664.2586206901</v>
      </c>
      <c r="EH3" t="s">
        <v>1264</v>
      </c>
      <c r="EI3" t="s">
        <v>1265</v>
      </c>
      <c r="EK3">
        <v>60</v>
      </c>
      <c r="EL3" t="s">
        <v>1266</v>
      </c>
      <c r="EO3" t="s">
        <v>1263</v>
      </c>
      <c r="EP3">
        <v>852847.41379310354</v>
      </c>
      <c r="EQ3" t="s">
        <v>1264</v>
      </c>
      <c r="ER3" t="s">
        <v>1265</v>
      </c>
      <c r="ES3">
        <v>48</v>
      </c>
      <c r="ET3" t="s">
        <v>1266</v>
      </c>
      <c r="EW3" t="s">
        <v>1263</v>
      </c>
      <c r="EX3">
        <v>168448.27586206899</v>
      </c>
      <c r="EY3" t="s">
        <v>1264</v>
      </c>
      <c r="EZ3" t="s">
        <v>1265</v>
      </c>
      <c r="FA3">
        <v>36</v>
      </c>
      <c r="FB3" t="s">
        <v>1266</v>
      </c>
      <c r="FE3" t="s">
        <v>1263</v>
      </c>
      <c r="FF3">
        <v>168448.27586206899</v>
      </c>
      <c r="FG3" t="s">
        <v>1264</v>
      </c>
      <c r="FH3" t="s">
        <v>1265</v>
      </c>
      <c r="FI3">
        <v>36</v>
      </c>
      <c r="FJ3" t="s">
        <v>1266</v>
      </c>
      <c r="FM3" t="s">
        <v>1263</v>
      </c>
      <c r="FN3">
        <v>792792.36206896557</v>
      </c>
      <c r="FO3" t="s">
        <v>1264</v>
      </c>
      <c r="FP3" t="s">
        <v>1265</v>
      </c>
      <c r="FQ3">
        <v>36</v>
      </c>
      <c r="FR3" t="s">
        <v>1266</v>
      </c>
      <c r="FU3" t="s">
        <v>1263</v>
      </c>
      <c r="FV3">
        <v>297327.58620689658</v>
      </c>
      <c r="FW3" t="s">
        <v>1264</v>
      </c>
      <c r="FX3" t="s">
        <v>1265</v>
      </c>
      <c r="FY3">
        <v>48</v>
      </c>
      <c r="FZ3" t="s">
        <v>1266</v>
      </c>
      <c r="GC3" t="s">
        <v>1263</v>
      </c>
      <c r="GD3">
        <v>479224.13793103449</v>
      </c>
      <c r="GE3" t="s">
        <v>1264</v>
      </c>
      <c r="GF3" t="s">
        <v>1265</v>
      </c>
      <c r="GG3">
        <v>48</v>
      </c>
      <c r="GH3" t="s">
        <v>1266</v>
      </c>
      <c r="GK3" t="s">
        <v>1263</v>
      </c>
      <c r="GL3">
        <v>479224.13793103449</v>
      </c>
      <c r="GM3" t="s">
        <v>1264</v>
      </c>
      <c r="GN3" t="s">
        <v>1265</v>
      </c>
      <c r="GO3">
        <v>48</v>
      </c>
      <c r="GP3" t="s">
        <v>1266</v>
      </c>
      <c r="GS3" t="s">
        <v>1263</v>
      </c>
      <c r="GT3">
        <v>570862.06896551733</v>
      </c>
      <c r="GU3" t="s">
        <v>1264</v>
      </c>
      <c r="GV3" t="s">
        <v>1265</v>
      </c>
      <c r="GW3">
        <v>48</v>
      </c>
      <c r="GX3" t="s">
        <v>1266</v>
      </c>
      <c r="HA3" t="s">
        <v>1263</v>
      </c>
      <c r="HB3">
        <v>498189.65517241386</v>
      </c>
      <c r="HC3" t="s">
        <v>1264</v>
      </c>
      <c r="HD3" t="s">
        <v>1265</v>
      </c>
      <c r="HE3">
        <v>48</v>
      </c>
      <c r="HF3" t="s">
        <v>1266</v>
      </c>
      <c r="HI3" t="s">
        <v>1263</v>
      </c>
      <c r="HJ3">
        <v>396465.51724137936</v>
      </c>
      <c r="HK3" t="s">
        <v>1264</v>
      </c>
      <c r="HL3" t="s">
        <v>1265</v>
      </c>
      <c r="HM3">
        <v>36</v>
      </c>
      <c r="HN3" t="s">
        <v>1266</v>
      </c>
      <c r="HQ3" t="s">
        <v>1263</v>
      </c>
      <c r="HR3">
        <v>332757.31034482759</v>
      </c>
      <c r="HS3" t="s">
        <v>1264</v>
      </c>
      <c r="HT3" t="s">
        <v>1265</v>
      </c>
      <c r="HU3">
        <v>47</v>
      </c>
      <c r="HV3" t="s">
        <v>1266</v>
      </c>
      <c r="HY3" t="s">
        <v>1263</v>
      </c>
      <c r="HZ3">
        <v>409854.18103448278</v>
      </c>
      <c r="IA3" t="s">
        <v>1264</v>
      </c>
      <c r="IB3" t="s">
        <v>1265</v>
      </c>
      <c r="IC3">
        <v>47</v>
      </c>
      <c r="ID3" t="s">
        <v>1266</v>
      </c>
      <c r="IG3" t="s">
        <v>1263</v>
      </c>
      <c r="IH3">
        <v>615417.16517241381</v>
      </c>
      <c r="II3" t="s">
        <v>1264</v>
      </c>
      <c r="IJ3" t="s">
        <v>1265</v>
      </c>
      <c r="IK3">
        <v>36</v>
      </c>
      <c r="IL3" t="s">
        <v>1266</v>
      </c>
      <c r="IO3" t="s">
        <v>1263</v>
      </c>
      <c r="IP3">
        <v>160436.6131034483</v>
      </c>
      <c r="IQ3" t="s">
        <v>1264</v>
      </c>
      <c r="IR3" t="s">
        <v>1265</v>
      </c>
      <c r="IS3">
        <v>36</v>
      </c>
      <c r="IT3" t="s">
        <v>1266</v>
      </c>
      <c r="IW3" t="s">
        <v>1263</v>
      </c>
      <c r="IX3">
        <v>350864.47827586206</v>
      </c>
      <c r="IY3" t="s">
        <v>1264</v>
      </c>
      <c r="IZ3" t="s">
        <v>1265</v>
      </c>
      <c r="JA3">
        <v>36</v>
      </c>
      <c r="JB3" t="s">
        <v>1266</v>
      </c>
      <c r="JE3" t="s">
        <v>1263</v>
      </c>
      <c r="JF3">
        <v>148562.1</v>
      </c>
      <c r="JG3" t="s">
        <v>1264</v>
      </c>
      <c r="JH3" t="s">
        <v>1265</v>
      </c>
      <c r="JI3">
        <v>36</v>
      </c>
      <c r="JJ3" t="s">
        <v>1266</v>
      </c>
      <c r="JM3" t="s">
        <v>1263</v>
      </c>
      <c r="JN3">
        <v>139486.94655172416</v>
      </c>
      <c r="JO3" t="s">
        <v>1264</v>
      </c>
      <c r="JP3" t="s">
        <v>1265</v>
      </c>
      <c r="JQ3">
        <v>36</v>
      </c>
      <c r="JR3" t="s">
        <v>1266</v>
      </c>
      <c r="JU3" t="s">
        <v>1263</v>
      </c>
      <c r="JV3">
        <v>122619.89</v>
      </c>
      <c r="JW3" t="s">
        <v>1264</v>
      </c>
      <c r="JX3" t="s">
        <v>1265</v>
      </c>
      <c r="JY3">
        <v>36</v>
      </c>
      <c r="JZ3" t="s">
        <v>1266</v>
      </c>
      <c r="KC3" t="s">
        <v>1263</v>
      </c>
      <c r="KD3">
        <v>21855773.032729447</v>
      </c>
      <c r="KF3" t="s">
        <v>1265</v>
      </c>
      <c r="KI3" t="s">
        <v>1266</v>
      </c>
      <c r="KL3" t="s">
        <v>1263</v>
      </c>
      <c r="KM3">
        <v>345705.77586206899</v>
      </c>
      <c r="KN3" t="s">
        <v>1264</v>
      </c>
      <c r="KO3" t="s">
        <v>1265</v>
      </c>
      <c r="KP3">
        <v>60</v>
      </c>
      <c r="KQ3" t="s">
        <v>1266</v>
      </c>
    </row>
    <row r="4" spans="1:306" x14ac:dyDescent="0.3">
      <c r="A4" t="s">
        <v>1267</v>
      </c>
      <c r="B4">
        <v>0</v>
      </c>
      <c r="C4" t="s">
        <v>1264</v>
      </c>
      <c r="D4" t="s">
        <v>1268</v>
      </c>
      <c r="F4">
        <v>14119.04</v>
      </c>
      <c r="G4" t="s">
        <v>1269</v>
      </c>
      <c r="J4" t="s">
        <v>1267</v>
      </c>
      <c r="K4">
        <v>0</v>
      </c>
      <c r="L4" t="s">
        <v>1264</v>
      </c>
      <c r="M4" t="s">
        <v>1268</v>
      </c>
      <c r="O4">
        <v>19160.5</v>
      </c>
      <c r="P4" t="s">
        <v>1269</v>
      </c>
      <c r="S4" t="s">
        <v>1267</v>
      </c>
      <c r="T4">
        <v>0</v>
      </c>
      <c r="U4" t="s">
        <v>1264</v>
      </c>
      <c r="V4" t="s">
        <v>1268</v>
      </c>
      <c r="X4">
        <v>9077.43</v>
      </c>
      <c r="Y4" t="s">
        <v>1269</v>
      </c>
      <c r="AB4" t="s">
        <v>1267</v>
      </c>
      <c r="AC4">
        <v>0</v>
      </c>
      <c r="AD4" t="s">
        <v>1264</v>
      </c>
      <c r="AE4" t="s">
        <v>1268</v>
      </c>
      <c r="AG4">
        <v>106985.85</v>
      </c>
      <c r="AH4" t="s">
        <v>1269</v>
      </c>
      <c r="AK4" t="s">
        <v>1267</v>
      </c>
      <c r="AL4">
        <v>0</v>
      </c>
      <c r="AM4" t="s">
        <v>1264</v>
      </c>
      <c r="AN4" t="s">
        <v>1268</v>
      </c>
      <c r="AP4">
        <v>56244.76</v>
      </c>
      <c r="AQ4" t="s">
        <v>1269</v>
      </c>
      <c r="AT4" t="s">
        <v>1267</v>
      </c>
      <c r="AU4">
        <v>0</v>
      </c>
      <c r="AV4" t="s">
        <v>1264</v>
      </c>
      <c r="AW4" t="s">
        <v>1268</v>
      </c>
      <c r="AY4">
        <v>54386.63</v>
      </c>
      <c r="AZ4" t="s">
        <v>1269</v>
      </c>
      <c r="BC4" t="s">
        <v>1267</v>
      </c>
      <c r="BD4">
        <v>0</v>
      </c>
      <c r="BE4" t="s">
        <v>1264</v>
      </c>
      <c r="BF4" t="s">
        <v>1268</v>
      </c>
      <c r="BH4">
        <v>24705.89</v>
      </c>
      <c r="BI4" t="s">
        <v>1269</v>
      </c>
      <c r="BL4" t="s">
        <v>1267</v>
      </c>
      <c r="BM4">
        <v>0</v>
      </c>
      <c r="BN4" t="s">
        <v>1264</v>
      </c>
      <c r="BO4" t="s">
        <v>1268</v>
      </c>
      <c r="BQ4">
        <v>48618.48</v>
      </c>
      <c r="BR4" t="s">
        <v>1269</v>
      </c>
      <c r="BU4" t="s">
        <v>1267</v>
      </c>
      <c r="BV4">
        <v>0</v>
      </c>
      <c r="BW4" t="s">
        <v>1264</v>
      </c>
      <c r="BX4" t="s">
        <v>1268</v>
      </c>
      <c r="BZ4">
        <v>102083.52</v>
      </c>
      <c r="CA4" t="s">
        <v>1269</v>
      </c>
      <c r="CD4" t="s">
        <v>1267</v>
      </c>
      <c r="CE4">
        <v>0</v>
      </c>
      <c r="CF4" t="s">
        <v>1264</v>
      </c>
      <c r="CG4" t="s">
        <v>1268</v>
      </c>
      <c r="CI4">
        <v>6021.15</v>
      </c>
      <c r="CJ4" t="s">
        <v>1269</v>
      </c>
      <c r="CM4" t="s">
        <v>1267</v>
      </c>
      <c r="CN4">
        <v>0</v>
      </c>
      <c r="CO4" t="s">
        <v>1264</v>
      </c>
      <c r="CP4" t="s">
        <v>1268</v>
      </c>
      <c r="CR4">
        <v>11269.33</v>
      </c>
      <c r="CS4" t="s">
        <v>1269</v>
      </c>
      <c r="CV4" t="s">
        <v>1267</v>
      </c>
      <c r="CW4">
        <v>0</v>
      </c>
      <c r="CX4" t="s">
        <v>1264</v>
      </c>
      <c r="CY4" t="s">
        <v>1268</v>
      </c>
      <c r="DA4">
        <v>6791.27</v>
      </c>
      <c r="DB4" t="s">
        <v>1269</v>
      </c>
      <c r="DE4" t="s">
        <v>1267</v>
      </c>
      <c r="DF4">
        <v>0</v>
      </c>
      <c r="DG4" t="s">
        <v>1264</v>
      </c>
      <c r="DH4" t="s">
        <v>1268</v>
      </c>
      <c r="DJ4">
        <v>5827.1</v>
      </c>
      <c r="DK4" t="s">
        <v>1269</v>
      </c>
      <c r="DN4" t="s">
        <v>1267</v>
      </c>
      <c r="DO4">
        <v>0</v>
      </c>
      <c r="DP4" t="s">
        <v>1264</v>
      </c>
      <c r="DQ4" t="s">
        <v>1268</v>
      </c>
      <c r="DS4">
        <v>5372.49</v>
      </c>
      <c r="DT4" t="s">
        <v>1269</v>
      </c>
      <c r="DW4" t="s">
        <v>1267</v>
      </c>
      <c r="DX4">
        <v>0</v>
      </c>
      <c r="DY4" t="s">
        <v>1264</v>
      </c>
      <c r="DZ4" t="s">
        <v>1268</v>
      </c>
      <c r="EB4">
        <v>27753.98</v>
      </c>
      <c r="EC4" t="s">
        <v>1269</v>
      </c>
      <c r="EF4" t="s">
        <v>1267</v>
      </c>
      <c r="EG4">
        <v>0</v>
      </c>
      <c r="EH4" t="s">
        <v>1264</v>
      </c>
      <c r="EI4" t="s">
        <v>1268</v>
      </c>
      <c r="EK4">
        <v>45952.6</v>
      </c>
      <c r="EL4" t="s">
        <v>1269</v>
      </c>
      <c r="EO4" t="s">
        <v>1267</v>
      </c>
      <c r="EP4">
        <v>0</v>
      </c>
      <c r="EQ4" t="s">
        <v>1264</v>
      </c>
      <c r="ER4" t="s">
        <v>1268</v>
      </c>
      <c r="ES4">
        <v>29629.95</v>
      </c>
      <c r="ET4" t="s">
        <v>1269</v>
      </c>
      <c r="EW4" t="s">
        <v>1267</v>
      </c>
      <c r="EX4">
        <v>0</v>
      </c>
      <c r="EY4" t="s">
        <v>1264</v>
      </c>
      <c r="EZ4" t="s">
        <v>1268</v>
      </c>
      <c r="FA4">
        <v>6197.64</v>
      </c>
      <c r="FB4" t="s">
        <v>1269</v>
      </c>
      <c r="FE4" t="s">
        <v>1267</v>
      </c>
      <c r="FF4">
        <v>0</v>
      </c>
      <c r="FG4" t="s">
        <v>1264</v>
      </c>
      <c r="FH4" t="s">
        <v>1268</v>
      </c>
      <c r="FI4">
        <v>6197.64</v>
      </c>
      <c r="FJ4" t="s">
        <v>1269</v>
      </c>
      <c r="FM4" t="s">
        <v>1267</v>
      </c>
      <c r="FN4">
        <v>0</v>
      </c>
      <c r="FO4" t="s">
        <v>1264</v>
      </c>
      <c r="FP4" t="s">
        <v>1268</v>
      </c>
      <c r="FQ4">
        <v>25545.53</v>
      </c>
      <c r="FR4" t="s">
        <v>1269</v>
      </c>
      <c r="FU4" t="s">
        <v>1267</v>
      </c>
      <c r="FV4">
        <v>0</v>
      </c>
      <c r="FW4" t="s">
        <v>1264</v>
      </c>
      <c r="FX4" t="s">
        <v>1268</v>
      </c>
      <c r="FY4">
        <v>10702.35</v>
      </c>
      <c r="FZ4" t="s">
        <v>1269</v>
      </c>
      <c r="GC4" t="s">
        <v>1267</v>
      </c>
      <c r="GD4">
        <v>0</v>
      </c>
      <c r="GE4" t="s">
        <v>1264</v>
      </c>
      <c r="GF4" t="s">
        <v>1268</v>
      </c>
      <c r="GG4">
        <v>17099.169999999998</v>
      </c>
      <c r="GH4" t="s">
        <v>1269</v>
      </c>
      <c r="GK4" t="s">
        <v>1267</v>
      </c>
      <c r="GL4">
        <v>0</v>
      </c>
      <c r="GM4" t="s">
        <v>1264</v>
      </c>
      <c r="GN4" t="s">
        <v>1268</v>
      </c>
      <c r="GO4">
        <v>17099.169999999998</v>
      </c>
      <c r="GP4" t="s">
        <v>1269</v>
      </c>
      <c r="GS4" t="s">
        <v>1267</v>
      </c>
      <c r="GT4">
        <v>0</v>
      </c>
      <c r="GU4" t="s">
        <v>1264</v>
      </c>
      <c r="GV4" t="s">
        <v>1268</v>
      </c>
      <c r="GW4">
        <v>21234.02</v>
      </c>
      <c r="GX4" t="s">
        <v>1269</v>
      </c>
      <c r="HA4" t="s">
        <v>1267</v>
      </c>
      <c r="HB4">
        <v>0</v>
      </c>
      <c r="HC4" t="s">
        <v>1264</v>
      </c>
      <c r="HD4" t="s">
        <v>1268</v>
      </c>
      <c r="HE4">
        <v>18719.810000000001</v>
      </c>
      <c r="HF4" t="s">
        <v>1269</v>
      </c>
      <c r="HI4" t="s">
        <v>1267</v>
      </c>
      <c r="HJ4">
        <v>0</v>
      </c>
      <c r="HK4" t="s">
        <v>1264</v>
      </c>
      <c r="HL4" t="s">
        <v>1268</v>
      </c>
      <c r="HM4">
        <v>16684.7</v>
      </c>
      <c r="HN4" t="s">
        <v>1269</v>
      </c>
      <c r="HQ4" t="s">
        <v>1267</v>
      </c>
      <c r="HR4">
        <v>0</v>
      </c>
      <c r="HS4" t="s">
        <v>1264</v>
      </c>
      <c r="HT4" t="s">
        <v>1268</v>
      </c>
      <c r="HU4">
        <v>12437.73</v>
      </c>
      <c r="HV4" t="s">
        <v>1269</v>
      </c>
      <c r="HY4" t="s">
        <v>1267</v>
      </c>
      <c r="HZ4">
        <v>8720.3017241379312</v>
      </c>
      <c r="IA4" t="s">
        <v>1264</v>
      </c>
      <c r="IB4" t="s">
        <v>1268</v>
      </c>
      <c r="IC4">
        <v>10115.549999999999</v>
      </c>
      <c r="ID4" t="s">
        <v>1269</v>
      </c>
      <c r="IG4" t="s">
        <v>1267</v>
      </c>
      <c r="IH4">
        <v>0</v>
      </c>
      <c r="II4" t="s">
        <v>1264</v>
      </c>
      <c r="IJ4" t="s">
        <v>1268</v>
      </c>
      <c r="IK4">
        <v>21285.489600000001</v>
      </c>
      <c r="IL4" t="s">
        <v>1269</v>
      </c>
      <c r="IO4" t="s">
        <v>1267</v>
      </c>
      <c r="IP4">
        <v>0</v>
      </c>
      <c r="IQ4" t="s">
        <v>1264</v>
      </c>
      <c r="IR4" t="s">
        <v>1268</v>
      </c>
      <c r="IS4">
        <v>5764.0283999999992</v>
      </c>
      <c r="IT4" t="s">
        <v>1269</v>
      </c>
      <c r="IW4" t="s">
        <v>1267</v>
      </c>
      <c r="IX4">
        <v>0</v>
      </c>
      <c r="IY4" t="s">
        <v>1264</v>
      </c>
      <c r="IZ4" t="s">
        <v>1268</v>
      </c>
      <c r="JA4">
        <v>12482.040800000001</v>
      </c>
      <c r="JB4" t="s">
        <v>1269</v>
      </c>
      <c r="JE4" t="s">
        <v>1267</v>
      </c>
      <c r="JF4">
        <v>0</v>
      </c>
      <c r="JG4" t="s">
        <v>1264</v>
      </c>
      <c r="JH4" t="s">
        <v>1268</v>
      </c>
      <c r="JI4">
        <v>5400.0783999999994</v>
      </c>
      <c r="JJ4" t="s">
        <v>1269</v>
      </c>
      <c r="JM4" t="s">
        <v>1267</v>
      </c>
      <c r="JN4">
        <v>0</v>
      </c>
      <c r="JO4" t="s">
        <v>1264</v>
      </c>
      <c r="JP4" t="s">
        <v>1268</v>
      </c>
      <c r="JQ4">
        <v>5344.2244000000001</v>
      </c>
      <c r="JR4" t="s">
        <v>1269</v>
      </c>
      <c r="JU4" t="s">
        <v>1267</v>
      </c>
      <c r="JV4">
        <v>0</v>
      </c>
      <c r="JW4" t="s">
        <v>1264</v>
      </c>
      <c r="JX4" t="s">
        <v>1268</v>
      </c>
      <c r="JY4">
        <v>4674.9623999999994</v>
      </c>
      <c r="JZ4" t="s">
        <v>1269</v>
      </c>
      <c r="KC4" t="s">
        <v>1267</v>
      </c>
      <c r="KD4">
        <v>8720.3017241379312</v>
      </c>
      <c r="KF4" t="s">
        <v>1268</v>
      </c>
      <c r="KI4" t="s">
        <v>1269</v>
      </c>
      <c r="KL4" t="s">
        <v>1267</v>
      </c>
      <c r="KM4">
        <v>0</v>
      </c>
      <c r="KN4" t="s">
        <v>1264</v>
      </c>
      <c r="KO4" t="s">
        <v>1268</v>
      </c>
      <c r="KP4">
        <v>14119.04</v>
      </c>
      <c r="KQ4" t="s">
        <v>1269</v>
      </c>
    </row>
    <row r="5" spans="1:306" x14ac:dyDescent="0.3">
      <c r="A5" t="s">
        <v>1270</v>
      </c>
      <c r="B5">
        <v>0.26</v>
      </c>
      <c r="C5">
        <v>2.1666666666666667E-2</v>
      </c>
      <c r="D5" t="s">
        <v>1271</v>
      </c>
      <c r="F5">
        <v>6914.0172413793107</v>
      </c>
      <c r="G5" t="s">
        <v>1264</v>
      </c>
      <c r="H5">
        <v>-1.2228216646690273E-3</v>
      </c>
      <c r="J5" t="s">
        <v>1270</v>
      </c>
      <c r="K5">
        <v>0.26</v>
      </c>
      <c r="L5">
        <v>2.1666666666666667E-2</v>
      </c>
      <c r="M5" t="s">
        <v>1271</v>
      </c>
      <c r="O5">
        <v>76275.767241379319</v>
      </c>
      <c r="P5" t="s">
        <v>1264</v>
      </c>
      <c r="Q5">
        <v>4.5559857520856895E-2</v>
      </c>
      <c r="S5" t="s">
        <v>1270</v>
      </c>
      <c r="T5">
        <v>0.26</v>
      </c>
      <c r="U5">
        <v>2.1666666666666667E-2</v>
      </c>
      <c r="V5" t="s">
        <v>1271</v>
      </c>
      <c r="X5">
        <v>29460.163793103449</v>
      </c>
      <c r="Y5" t="s">
        <v>1264</v>
      </c>
      <c r="Z5">
        <v>-0.44648940097249579</v>
      </c>
      <c r="AB5" t="s">
        <v>1270</v>
      </c>
      <c r="AC5">
        <v>0.26</v>
      </c>
      <c r="AD5">
        <v>2.1666666666666667E-2</v>
      </c>
      <c r="AE5" t="s">
        <v>1271</v>
      </c>
      <c r="AG5">
        <v>58795.965517241391</v>
      </c>
      <c r="AH5" t="s">
        <v>1264</v>
      </c>
      <c r="AI5">
        <v>-2.8724850853905082E-3</v>
      </c>
      <c r="AK5" t="s">
        <v>1270</v>
      </c>
      <c r="AL5">
        <v>0.26</v>
      </c>
      <c r="AM5">
        <v>2.1666666666666667E-2</v>
      </c>
      <c r="AN5" t="s">
        <v>1271</v>
      </c>
      <c r="AP5">
        <v>32412.97413793104</v>
      </c>
      <c r="AQ5" t="s">
        <v>1264</v>
      </c>
      <c r="AR5">
        <v>0.10481513992635882</v>
      </c>
      <c r="AT5" t="s">
        <v>1270</v>
      </c>
      <c r="AU5">
        <v>0.26</v>
      </c>
      <c r="AV5">
        <v>2.1666666666666667E-2</v>
      </c>
      <c r="AW5" t="s">
        <v>1271</v>
      </c>
      <c r="AY5">
        <v>29531.017241379315</v>
      </c>
      <c r="AZ5" t="s">
        <v>1264</v>
      </c>
      <c r="BA5">
        <v>1.6231816156505374E-2</v>
      </c>
      <c r="BC5" t="s">
        <v>1270</v>
      </c>
      <c r="BD5">
        <v>0.26</v>
      </c>
      <c r="BE5">
        <v>2.1666666666666667E-2</v>
      </c>
      <c r="BF5" t="s">
        <v>1271</v>
      </c>
      <c r="BH5">
        <v>13358.094827586208</v>
      </c>
      <c r="BI5" t="s">
        <v>1264</v>
      </c>
      <c r="BJ5">
        <v>-1.4171268225254607E-2</v>
      </c>
      <c r="BL5" t="s">
        <v>1270</v>
      </c>
      <c r="BM5">
        <v>0.26</v>
      </c>
      <c r="BN5">
        <v>2.1666666666666667E-2</v>
      </c>
      <c r="BO5" t="s">
        <v>1271</v>
      </c>
      <c r="BQ5">
        <v>26488.025862068967</v>
      </c>
      <c r="BR5" t="s">
        <v>1264</v>
      </c>
      <c r="BS5">
        <v>-7.3489287096890621E-3</v>
      </c>
      <c r="BU5" t="s">
        <v>1270</v>
      </c>
      <c r="BV5">
        <v>0.26</v>
      </c>
      <c r="BW5">
        <v>2.1666666666666667E-2</v>
      </c>
      <c r="BX5" t="s">
        <v>1271</v>
      </c>
      <c r="BZ5">
        <v>55654.43965517242</v>
      </c>
      <c r="CA5" t="s">
        <v>1264</v>
      </c>
      <c r="CB5">
        <v>-8.3178183035925031</v>
      </c>
      <c r="CD5" t="s">
        <v>1270</v>
      </c>
      <c r="CE5">
        <v>0.26</v>
      </c>
      <c r="CF5">
        <v>2.1666666666666667E-2</v>
      </c>
      <c r="CG5" t="s">
        <v>1271</v>
      </c>
      <c r="CI5">
        <v>30864.258620689659</v>
      </c>
      <c r="CJ5" t="s">
        <v>1264</v>
      </c>
      <c r="CK5">
        <v>-0.45508170946777682</v>
      </c>
      <c r="CM5" t="s">
        <v>1270</v>
      </c>
      <c r="CN5">
        <v>0.26</v>
      </c>
      <c r="CO5">
        <v>2.1666666666666667E-2</v>
      </c>
      <c r="CP5" t="s">
        <v>1271</v>
      </c>
      <c r="CR5">
        <v>59487.112068965522</v>
      </c>
      <c r="CS5" t="s">
        <v>1264</v>
      </c>
      <c r="CT5">
        <v>-0.4657893049006816</v>
      </c>
      <c r="CV5" t="s">
        <v>1270</v>
      </c>
      <c r="CW5">
        <v>0.26</v>
      </c>
      <c r="CX5">
        <v>2.1666666666666667E-2</v>
      </c>
      <c r="CY5" t="s">
        <v>1271</v>
      </c>
      <c r="DA5">
        <v>26443.060344827587</v>
      </c>
      <c r="DB5" t="s">
        <v>1264</v>
      </c>
      <c r="DC5">
        <v>1034.4017559125205</v>
      </c>
      <c r="DE5" t="s">
        <v>1270</v>
      </c>
      <c r="DF5">
        <v>0.26</v>
      </c>
      <c r="DG5">
        <v>2.1666666666666667E-2</v>
      </c>
      <c r="DH5" t="s">
        <v>1271</v>
      </c>
      <c r="DJ5">
        <v>29805.887931034489</v>
      </c>
      <c r="DK5" t="s">
        <v>1264</v>
      </c>
      <c r="DL5">
        <v>-0.55463057822271367</v>
      </c>
      <c r="DN5" t="s">
        <v>1270</v>
      </c>
      <c r="DO5">
        <v>0.26</v>
      </c>
      <c r="DP5">
        <v>2.1666666666666667E-2</v>
      </c>
      <c r="DQ5" t="s">
        <v>1271</v>
      </c>
      <c r="DS5">
        <v>27326.594827586207</v>
      </c>
      <c r="DT5" t="s">
        <v>1264</v>
      </c>
      <c r="DU5">
        <v>-0.46163705312210368</v>
      </c>
      <c r="DW5" t="s">
        <v>1270</v>
      </c>
      <c r="DX5">
        <v>0.26</v>
      </c>
      <c r="DY5">
        <v>2.1666666666666667E-2</v>
      </c>
      <c r="DZ5" t="s">
        <v>1271</v>
      </c>
      <c r="EB5">
        <v>15502.844827586208</v>
      </c>
      <c r="EC5" t="s">
        <v>1264</v>
      </c>
      <c r="ED5">
        <v>6.5847416408359994E-10</v>
      </c>
      <c r="EF5" t="s">
        <v>1270</v>
      </c>
      <c r="EG5">
        <v>0.26</v>
      </c>
      <c r="EH5">
        <v>2.1666666666666667E-2</v>
      </c>
      <c r="EI5" t="s">
        <v>1271</v>
      </c>
      <c r="EK5">
        <v>25032.439655172417</v>
      </c>
      <c r="EL5" t="s">
        <v>1264</v>
      </c>
      <c r="EM5">
        <v>-8.4393960059969686E-3</v>
      </c>
      <c r="EO5" t="s">
        <v>1270</v>
      </c>
      <c r="EP5">
        <v>0.24439793758564549</v>
      </c>
      <c r="EQ5">
        <v>2.0366494798803789E-2</v>
      </c>
      <c r="ER5" t="s">
        <v>1271</v>
      </c>
      <c r="ES5">
        <v>197860.6</v>
      </c>
      <c r="ET5" t="s">
        <v>1264</v>
      </c>
      <c r="EU5">
        <v>-8.6467480286955847E-8</v>
      </c>
      <c r="EW5" t="s">
        <v>1270</v>
      </c>
      <c r="EX5">
        <v>0.24450866894133505</v>
      </c>
      <c r="EY5">
        <v>2.037572241177792E-2</v>
      </c>
      <c r="EZ5" t="s">
        <v>1271</v>
      </c>
      <c r="FA5">
        <v>68390</v>
      </c>
      <c r="FB5" t="s">
        <v>1264</v>
      </c>
      <c r="FC5">
        <v>-6.184563972055912E-9</v>
      </c>
      <c r="FE5" t="s">
        <v>1270</v>
      </c>
      <c r="FF5">
        <v>0.24450866894141213</v>
      </c>
      <c r="FG5">
        <v>2.0375722411784345E-2</v>
      </c>
      <c r="FH5" t="s">
        <v>1271</v>
      </c>
      <c r="FI5">
        <v>68390</v>
      </c>
      <c r="FJ5" t="s">
        <v>1264</v>
      </c>
      <c r="FK5">
        <v>-5.0407834351062775E-8</v>
      </c>
      <c r="FM5" t="s">
        <v>1270</v>
      </c>
      <c r="FN5">
        <v>0.14620060453437467</v>
      </c>
      <c r="FO5">
        <v>1.218338371119789E-2</v>
      </c>
      <c r="FP5" t="s">
        <v>1271</v>
      </c>
      <c r="FQ5">
        <v>238297.5</v>
      </c>
      <c r="FR5" t="s">
        <v>1264</v>
      </c>
      <c r="FS5">
        <v>-3.1244708225131035E-6</v>
      </c>
      <c r="FU5" t="s">
        <v>1270</v>
      </c>
      <c r="FV5">
        <v>0.26173779089652827</v>
      </c>
      <c r="FW5">
        <v>2.1811482574710689E-2</v>
      </c>
      <c r="FX5" t="s">
        <v>1271</v>
      </c>
      <c r="FY5">
        <v>68980</v>
      </c>
      <c r="FZ5" t="s">
        <v>1264</v>
      </c>
      <c r="GA5">
        <v>68980</v>
      </c>
      <c r="GC5" t="s">
        <v>1270</v>
      </c>
      <c r="GD5">
        <v>0.25740575016954209</v>
      </c>
      <c r="GE5">
        <v>2.1450479180795175E-2</v>
      </c>
      <c r="GF5" t="s">
        <v>1271</v>
      </c>
      <c r="GG5">
        <v>111180</v>
      </c>
      <c r="GH5" t="s">
        <v>1264</v>
      </c>
      <c r="GI5">
        <v>111180</v>
      </c>
      <c r="GK5" t="s">
        <v>1270</v>
      </c>
      <c r="GL5">
        <v>0.25740575016954309</v>
      </c>
      <c r="GM5">
        <v>2.1450479180795259E-2</v>
      </c>
      <c r="GN5" t="s">
        <v>1271</v>
      </c>
      <c r="GO5">
        <v>111180</v>
      </c>
      <c r="GP5" t="s">
        <v>1264</v>
      </c>
      <c r="GQ5">
        <v>111180</v>
      </c>
      <c r="GS5" t="s">
        <v>1270</v>
      </c>
      <c r="GT5">
        <v>0.27812839218348162</v>
      </c>
      <c r="GU5">
        <v>2.3177366015290135E-2</v>
      </c>
      <c r="GV5" t="s">
        <v>1271</v>
      </c>
      <c r="GW5">
        <v>132220</v>
      </c>
      <c r="GX5" t="s">
        <v>1264</v>
      </c>
      <c r="GY5">
        <v>-1.47384125739336E-5</v>
      </c>
      <c r="HA5" t="s">
        <v>1270</v>
      </c>
      <c r="HB5">
        <v>0.2833633989019842</v>
      </c>
      <c r="HC5">
        <v>2.361361657516535E-2</v>
      </c>
      <c r="HD5" t="s">
        <v>1271</v>
      </c>
      <c r="HE5">
        <v>115580</v>
      </c>
      <c r="HF5" t="s">
        <v>1264</v>
      </c>
      <c r="HG5">
        <v>-1.4201912563294172E-5</v>
      </c>
      <c r="HI5" t="s">
        <v>1270</v>
      </c>
      <c r="HJ5">
        <v>0.3281822324387863</v>
      </c>
      <c r="HK5">
        <v>2.734851936989886E-2</v>
      </c>
      <c r="HL5" t="s">
        <v>1271</v>
      </c>
      <c r="HM5">
        <v>183960</v>
      </c>
      <c r="HN5" t="s">
        <v>1264</v>
      </c>
      <c r="HO5">
        <v>-1.4426768757402897E-6</v>
      </c>
      <c r="HQ5" t="s">
        <v>1270</v>
      </c>
      <c r="HR5">
        <v>0.33048135988154509</v>
      </c>
      <c r="HS5">
        <v>2.7540113323462092E-2</v>
      </c>
      <c r="HT5" t="s">
        <v>1271</v>
      </c>
      <c r="HU5">
        <v>0</v>
      </c>
      <c r="HV5" t="s">
        <v>1264</v>
      </c>
      <c r="HW5">
        <v>4.013696634501685E-4</v>
      </c>
      <c r="HY5" t="s">
        <v>1270</v>
      </c>
      <c r="HZ5">
        <v>0.12182601124997056</v>
      </c>
      <c r="IA5">
        <v>1.0152167604164214E-2</v>
      </c>
      <c r="IB5" t="s">
        <v>1271</v>
      </c>
      <c r="IC5">
        <v>122956.25431034484</v>
      </c>
      <c r="ID5" t="s">
        <v>1264</v>
      </c>
      <c r="IE5">
        <v>1.6530975699424744E-8</v>
      </c>
      <c r="IG5" t="s">
        <v>1270</v>
      </c>
      <c r="IH5">
        <v>0.16784205488921991</v>
      </c>
      <c r="II5">
        <v>1.3986837907434992E-2</v>
      </c>
      <c r="IJ5" t="s">
        <v>1271</v>
      </c>
      <c r="IK5">
        <v>163540.56896551725</v>
      </c>
      <c r="IL5" t="s">
        <v>1264</v>
      </c>
      <c r="IM5">
        <v>-8.4721250459551811E-8</v>
      </c>
      <c r="IO5" t="s">
        <v>1270</v>
      </c>
      <c r="IP5">
        <v>0.18745170217531529</v>
      </c>
      <c r="IQ5">
        <v>1.5620975181276272E-2</v>
      </c>
      <c r="IR5" t="s">
        <v>1271</v>
      </c>
      <c r="IS5">
        <v>42634.327586206899</v>
      </c>
      <c r="IT5" t="s">
        <v>1264</v>
      </c>
      <c r="IU5">
        <v>-1.5141267795115709E-8</v>
      </c>
      <c r="IW5" t="s">
        <v>1270</v>
      </c>
      <c r="IX5">
        <v>0.18231853751832452</v>
      </c>
      <c r="IY5">
        <v>1.5193211459860375E-2</v>
      </c>
      <c r="IZ5" t="s">
        <v>1271</v>
      </c>
      <c r="JA5">
        <v>93238.508620689667</v>
      </c>
      <c r="JB5" t="s">
        <v>1264</v>
      </c>
      <c r="JC5">
        <v>-3.6598066799342632E-8</v>
      </c>
      <c r="JE5" t="s">
        <v>1270</v>
      </c>
      <c r="JF5">
        <v>0.19358561939689692</v>
      </c>
      <c r="JG5">
        <v>1.613213494974141E-2</v>
      </c>
      <c r="JH5" t="s">
        <v>1271</v>
      </c>
      <c r="JI5">
        <v>39478.801724137935</v>
      </c>
      <c r="JJ5" t="s">
        <v>1264</v>
      </c>
      <c r="JK5">
        <v>-1.2449163477867842E-8</v>
      </c>
      <c r="JM5" t="s">
        <v>1270</v>
      </c>
      <c r="JN5">
        <v>0.22191480642375039</v>
      </c>
      <c r="JO5">
        <v>1.8492900535312533E-2</v>
      </c>
      <c r="JP5" t="s">
        <v>1271</v>
      </c>
      <c r="JQ5">
        <v>37067.172413793101</v>
      </c>
      <c r="JR5" t="s">
        <v>1264</v>
      </c>
      <c r="JS5">
        <v>8.086051166174002E-4</v>
      </c>
      <c r="JU5" t="s">
        <v>1270</v>
      </c>
      <c r="JV5">
        <v>0.21922321895698116</v>
      </c>
      <c r="JW5">
        <v>1.8268601579748429E-2</v>
      </c>
      <c r="JX5" t="s">
        <v>1271</v>
      </c>
      <c r="JY5">
        <v>32584.931034482757</v>
      </c>
      <c r="JZ5" t="s">
        <v>1264</v>
      </c>
      <c r="KA5">
        <v>7.3437578612356447E-4</v>
      </c>
      <c r="KC5" t="s">
        <v>1270</v>
      </c>
      <c r="KF5" t="s">
        <v>1271</v>
      </c>
      <c r="KI5" t="s">
        <v>1269</v>
      </c>
      <c r="KL5" t="s">
        <v>1270</v>
      </c>
      <c r="KM5">
        <v>0.26</v>
      </c>
      <c r="KN5">
        <v>2.1666666666666667E-2</v>
      </c>
      <c r="KO5" t="s">
        <v>1271</v>
      </c>
      <c r="KP5">
        <v>6914.0172413793107</v>
      </c>
      <c r="KQ5" t="s">
        <v>1264</v>
      </c>
    </row>
    <row r="6" spans="1:306" x14ac:dyDescent="0.3">
      <c r="D6" t="s">
        <v>1272</v>
      </c>
      <c r="F6">
        <v>1878.1982758620693</v>
      </c>
      <c r="G6" t="s">
        <v>1264</v>
      </c>
      <c r="M6" t="s">
        <v>1272</v>
      </c>
      <c r="O6">
        <v>4149.3017241379312</v>
      </c>
      <c r="P6" t="s">
        <v>1264</v>
      </c>
      <c r="V6" t="s">
        <v>1272</v>
      </c>
      <c r="X6">
        <v>2856.7844827586209</v>
      </c>
      <c r="Y6" t="s">
        <v>1264</v>
      </c>
      <c r="AE6" t="s">
        <v>1272</v>
      </c>
      <c r="AG6">
        <v>4696.508620689664</v>
      </c>
      <c r="AH6" t="s">
        <v>1264</v>
      </c>
      <c r="AN6" t="s">
        <v>1272</v>
      </c>
      <c r="AP6">
        <v>0</v>
      </c>
      <c r="AQ6" t="s">
        <v>1264</v>
      </c>
      <c r="AW6" t="s">
        <v>1272</v>
      </c>
      <c r="AY6">
        <v>2921.0172413793107</v>
      </c>
      <c r="AZ6" t="s">
        <v>1264</v>
      </c>
      <c r="BF6" t="s">
        <v>1272</v>
      </c>
      <c r="BH6">
        <v>1411.0775862068965</v>
      </c>
      <c r="BI6" t="s">
        <v>1264</v>
      </c>
      <c r="BO6" t="s">
        <v>1272</v>
      </c>
      <c r="BQ6">
        <v>2479.0258620689742</v>
      </c>
      <c r="BR6" t="s">
        <v>1264</v>
      </c>
      <c r="BX6" t="s">
        <v>1272</v>
      </c>
      <c r="BZ6">
        <v>5146.8793103448279</v>
      </c>
      <c r="CA6" t="s">
        <v>1264</v>
      </c>
      <c r="CG6" t="s">
        <v>1272</v>
      </c>
      <c r="CI6">
        <v>0</v>
      </c>
      <c r="CJ6" t="s">
        <v>1264</v>
      </c>
      <c r="CP6" t="s">
        <v>1272</v>
      </c>
      <c r="CR6">
        <v>0</v>
      </c>
      <c r="CS6" t="s">
        <v>1264</v>
      </c>
      <c r="CY6" t="s">
        <v>1272</v>
      </c>
      <c r="DA6">
        <v>0</v>
      </c>
      <c r="DB6" t="s">
        <v>1264</v>
      </c>
      <c r="DH6" t="s">
        <v>1272</v>
      </c>
      <c r="DJ6">
        <v>0</v>
      </c>
      <c r="DK6" t="s">
        <v>1264</v>
      </c>
      <c r="DQ6" t="s">
        <v>1272</v>
      </c>
      <c r="DS6">
        <v>0</v>
      </c>
      <c r="DT6" t="s">
        <v>1264</v>
      </c>
      <c r="DZ6" t="s">
        <v>1272</v>
      </c>
      <c r="EB6">
        <v>613.81034482758366</v>
      </c>
      <c r="EC6" t="s">
        <v>1264</v>
      </c>
      <c r="EI6" t="s">
        <v>1272</v>
      </c>
      <c r="EK6">
        <v>2346.0086206896553</v>
      </c>
      <c r="EL6" t="s">
        <v>1264</v>
      </c>
      <c r="EO6" t="s">
        <v>1273</v>
      </c>
      <c r="EP6">
        <v>0.93600000000000005</v>
      </c>
      <c r="ES6">
        <v>0.23200000000000001</v>
      </c>
      <c r="EW6" t="s">
        <v>1273</v>
      </c>
      <c r="EX6">
        <v>0.93600000000000005</v>
      </c>
      <c r="FA6">
        <v>0.40600000000000003</v>
      </c>
      <c r="FE6" t="s">
        <v>1273</v>
      </c>
      <c r="FF6">
        <v>0.93600000000000005</v>
      </c>
      <c r="FI6">
        <v>0.40600000000000003</v>
      </c>
      <c r="FM6" t="s">
        <v>1273</v>
      </c>
      <c r="FN6">
        <v>1.0080000000000002</v>
      </c>
      <c r="FQ6">
        <v>0.30057996444126983</v>
      </c>
      <c r="FU6" t="s">
        <v>1273</v>
      </c>
      <c r="FV6">
        <v>1.0080000000000002</v>
      </c>
      <c r="FY6">
        <v>0.23200000000000001</v>
      </c>
      <c r="GC6" t="s">
        <v>1273</v>
      </c>
      <c r="GD6">
        <v>0.97199999999999998</v>
      </c>
      <c r="GG6">
        <v>0.23200000000000001</v>
      </c>
      <c r="GK6" t="s">
        <v>1273</v>
      </c>
      <c r="GL6">
        <v>0.97199999999999998</v>
      </c>
      <c r="GO6">
        <v>0.23200000000000001</v>
      </c>
      <c r="GS6" t="s">
        <v>1273</v>
      </c>
      <c r="GT6">
        <v>1.044</v>
      </c>
      <c r="GW6">
        <v>0.2316146179401993</v>
      </c>
      <c r="HA6" t="s">
        <v>1273</v>
      </c>
      <c r="HB6">
        <v>1.08</v>
      </c>
      <c r="HE6">
        <v>0.23200000000000001</v>
      </c>
      <c r="HI6" t="s">
        <v>1273</v>
      </c>
      <c r="HJ6">
        <v>1.2240000000000002</v>
      </c>
      <c r="HM6">
        <v>0.46399999999999991</v>
      </c>
      <c r="HY6" t="s">
        <v>1274</v>
      </c>
      <c r="IG6" t="s">
        <v>1275</v>
      </c>
      <c r="IH6">
        <v>0.42501695339436918</v>
      </c>
      <c r="II6">
        <v>3.5418079449530772E-2</v>
      </c>
      <c r="KO6" t="s">
        <v>1272</v>
      </c>
    </row>
    <row r="7" spans="1:306" x14ac:dyDescent="0.3">
      <c r="A7" t="s">
        <v>1276</v>
      </c>
      <c r="B7" t="s">
        <v>1277</v>
      </c>
      <c r="C7" t="s">
        <v>1278</v>
      </c>
      <c r="D7" t="s">
        <v>1279</v>
      </c>
      <c r="E7" t="s">
        <v>1280</v>
      </c>
      <c r="F7" t="s">
        <v>1281</v>
      </c>
      <c r="G7" t="s">
        <v>1282</v>
      </c>
      <c r="H7" t="s">
        <v>1283</v>
      </c>
      <c r="J7" t="s">
        <v>1276</v>
      </c>
      <c r="K7" t="s">
        <v>1277</v>
      </c>
      <c r="L7" t="s">
        <v>1278</v>
      </c>
      <c r="M7" t="s">
        <v>1279</v>
      </c>
      <c r="N7" t="s">
        <v>1280</v>
      </c>
      <c r="O7" t="s">
        <v>1281</v>
      </c>
      <c r="P7" t="s">
        <v>1282</v>
      </c>
      <c r="Q7" t="s">
        <v>1283</v>
      </c>
      <c r="S7" t="s">
        <v>1276</v>
      </c>
      <c r="T7" t="s">
        <v>1277</v>
      </c>
      <c r="U7" t="s">
        <v>1278</v>
      </c>
      <c r="V7" t="s">
        <v>1279</v>
      </c>
      <c r="W7" t="s">
        <v>1280</v>
      </c>
      <c r="X7" t="s">
        <v>1281</v>
      </c>
      <c r="Y7" t="s">
        <v>1282</v>
      </c>
      <c r="Z7" t="s">
        <v>1283</v>
      </c>
      <c r="AB7" t="s">
        <v>1276</v>
      </c>
      <c r="AC7" t="s">
        <v>1277</v>
      </c>
      <c r="AD7" t="s">
        <v>1278</v>
      </c>
      <c r="AE7" t="s">
        <v>1279</v>
      </c>
      <c r="AF7" t="s">
        <v>1280</v>
      </c>
      <c r="AG7" t="s">
        <v>1281</v>
      </c>
      <c r="AH7" t="s">
        <v>1282</v>
      </c>
      <c r="AI7" t="s">
        <v>1283</v>
      </c>
      <c r="AK7" t="s">
        <v>1276</v>
      </c>
      <c r="AL7" t="s">
        <v>1277</v>
      </c>
      <c r="AM7" t="s">
        <v>1278</v>
      </c>
      <c r="AN7" t="s">
        <v>1279</v>
      </c>
      <c r="AO7" t="s">
        <v>1280</v>
      </c>
      <c r="AP7" t="s">
        <v>1281</v>
      </c>
      <c r="AQ7" t="s">
        <v>1282</v>
      </c>
      <c r="AR7" t="s">
        <v>1283</v>
      </c>
      <c r="AT7" t="s">
        <v>1276</v>
      </c>
      <c r="AU7" t="s">
        <v>1277</v>
      </c>
      <c r="AV7" t="s">
        <v>1278</v>
      </c>
      <c r="AW7" t="s">
        <v>1279</v>
      </c>
      <c r="AX7" t="s">
        <v>1280</v>
      </c>
      <c r="AY7" t="s">
        <v>1281</v>
      </c>
      <c r="AZ7" t="s">
        <v>1282</v>
      </c>
      <c r="BA7" t="s">
        <v>1283</v>
      </c>
      <c r="BC7" t="s">
        <v>1276</v>
      </c>
      <c r="BD7" t="s">
        <v>1277</v>
      </c>
      <c r="BE7" t="s">
        <v>1278</v>
      </c>
      <c r="BF7" t="s">
        <v>1279</v>
      </c>
      <c r="BG7" t="s">
        <v>1280</v>
      </c>
      <c r="BH7" t="s">
        <v>1281</v>
      </c>
      <c r="BI7" t="s">
        <v>1282</v>
      </c>
      <c r="BJ7" t="s">
        <v>1283</v>
      </c>
      <c r="BL7" t="s">
        <v>1276</v>
      </c>
      <c r="BM7" t="s">
        <v>1277</v>
      </c>
      <c r="BN7" t="s">
        <v>1278</v>
      </c>
      <c r="BO7" t="s">
        <v>1279</v>
      </c>
      <c r="BP7" t="s">
        <v>1280</v>
      </c>
      <c r="BQ7" t="s">
        <v>1281</v>
      </c>
      <c r="BR7" t="s">
        <v>1282</v>
      </c>
      <c r="BS7" t="s">
        <v>1283</v>
      </c>
      <c r="BU7" t="s">
        <v>1276</v>
      </c>
      <c r="BV7" t="s">
        <v>1277</v>
      </c>
      <c r="BW7" t="s">
        <v>1278</v>
      </c>
      <c r="BX7" t="s">
        <v>1279</v>
      </c>
      <c r="BY7" t="s">
        <v>1280</v>
      </c>
      <c r="BZ7" t="s">
        <v>1281</v>
      </c>
      <c r="CA7" t="s">
        <v>1282</v>
      </c>
      <c r="CB7" t="s">
        <v>1283</v>
      </c>
      <c r="CD7" t="s">
        <v>1276</v>
      </c>
      <c r="CE7" t="s">
        <v>1277</v>
      </c>
      <c r="CF7" t="s">
        <v>1278</v>
      </c>
      <c r="CG7" t="s">
        <v>1279</v>
      </c>
      <c r="CH7" t="s">
        <v>1280</v>
      </c>
      <c r="CI7" t="s">
        <v>1281</v>
      </c>
      <c r="CJ7" t="s">
        <v>1282</v>
      </c>
      <c r="CK7" t="s">
        <v>1283</v>
      </c>
      <c r="CM7" t="s">
        <v>1276</v>
      </c>
      <c r="CN7" t="s">
        <v>1277</v>
      </c>
      <c r="CO7" t="s">
        <v>1278</v>
      </c>
      <c r="CP7" t="s">
        <v>1279</v>
      </c>
      <c r="CQ7" t="s">
        <v>1280</v>
      </c>
      <c r="CR7" t="s">
        <v>1281</v>
      </c>
      <c r="CS7" t="s">
        <v>1282</v>
      </c>
      <c r="CT7" t="s">
        <v>1283</v>
      </c>
      <c r="CV7" t="s">
        <v>1276</v>
      </c>
      <c r="CW7" t="s">
        <v>1277</v>
      </c>
      <c r="CX7" t="s">
        <v>1278</v>
      </c>
      <c r="CY7" t="s">
        <v>1279</v>
      </c>
      <c r="CZ7" t="s">
        <v>1280</v>
      </c>
      <c r="DA7" t="s">
        <v>1281</v>
      </c>
      <c r="DB7" t="s">
        <v>1282</v>
      </c>
      <c r="DC7" t="s">
        <v>1283</v>
      </c>
      <c r="DE7" t="s">
        <v>1276</v>
      </c>
      <c r="DF7" t="s">
        <v>1277</v>
      </c>
      <c r="DG7" t="s">
        <v>1278</v>
      </c>
      <c r="DH7" t="s">
        <v>1279</v>
      </c>
      <c r="DI7" t="s">
        <v>1280</v>
      </c>
      <c r="DJ7" t="s">
        <v>1281</v>
      </c>
      <c r="DK7" t="s">
        <v>1282</v>
      </c>
      <c r="DL7" t="s">
        <v>1283</v>
      </c>
      <c r="DN7" t="s">
        <v>1276</v>
      </c>
      <c r="DO7" t="s">
        <v>1277</v>
      </c>
      <c r="DP7" t="s">
        <v>1278</v>
      </c>
      <c r="DQ7" t="s">
        <v>1279</v>
      </c>
      <c r="DR7" t="s">
        <v>1280</v>
      </c>
      <c r="DS7" t="s">
        <v>1281</v>
      </c>
      <c r="DT7" t="s">
        <v>1282</v>
      </c>
      <c r="DU7" t="s">
        <v>1283</v>
      </c>
      <c r="DW7" t="s">
        <v>1276</v>
      </c>
      <c r="DX7" t="s">
        <v>1277</v>
      </c>
      <c r="DY7" t="s">
        <v>1278</v>
      </c>
      <c r="DZ7" t="s">
        <v>1279</v>
      </c>
      <c r="EA7" t="s">
        <v>1280</v>
      </c>
      <c r="EB7" t="s">
        <v>1281</v>
      </c>
      <c r="EC7" t="s">
        <v>1282</v>
      </c>
      <c r="ED7" t="s">
        <v>1283</v>
      </c>
      <c r="EF7" t="s">
        <v>1276</v>
      </c>
      <c r="EG7" t="s">
        <v>1277</v>
      </c>
      <c r="EH7" t="s">
        <v>1278</v>
      </c>
      <c r="EI7" t="s">
        <v>1279</v>
      </c>
      <c r="EJ7" t="s">
        <v>1280</v>
      </c>
      <c r="EK7" t="s">
        <v>1281</v>
      </c>
      <c r="EL7" t="s">
        <v>1282</v>
      </c>
      <c r="EM7" t="s">
        <v>1283</v>
      </c>
      <c r="EO7" t="s">
        <v>1276</v>
      </c>
      <c r="EP7" t="s">
        <v>1277</v>
      </c>
      <c r="EQ7" t="s">
        <v>1278</v>
      </c>
      <c r="ER7" t="s">
        <v>1279</v>
      </c>
      <c r="ES7" t="s">
        <v>1281</v>
      </c>
      <c r="ET7" t="s">
        <v>1282</v>
      </c>
      <c r="EU7" t="s">
        <v>1283</v>
      </c>
      <c r="EW7" t="s">
        <v>1276</v>
      </c>
      <c r="EX7" t="s">
        <v>1277</v>
      </c>
      <c r="EY7" t="s">
        <v>1278</v>
      </c>
      <c r="EZ7" t="s">
        <v>1279</v>
      </c>
      <c r="FA7" t="s">
        <v>1281</v>
      </c>
      <c r="FB7" t="s">
        <v>1282</v>
      </c>
      <c r="FC7" t="s">
        <v>1283</v>
      </c>
      <c r="FE7" t="s">
        <v>1276</v>
      </c>
      <c r="FF7" t="s">
        <v>1277</v>
      </c>
      <c r="FG7" t="s">
        <v>1278</v>
      </c>
      <c r="FH7" t="s">
        <v>1279</v>
      </c>
      <c r="FI7" t="s">
        <v>1281</v>
      </c>
      <c r="FJ7" t="s">
        <v>1282</v>
      </c>
      <c r="FK7" t="s">
        <v>1283</v>
      </c>
      <c r="FM7" t="s">
        <v>1276</v>
      </c>
      <c r="FN7" t="s">
        <v>1277</v>
      </c>
      <c r="FO7" t="s">
        <v>1278</v>
      </c>
      <c r="FP7" t="s">
        <v>1279</v>
      </c>
      <c r="FQ7" t="s">
        <v>1281</v>
      </c>
      <c r="FR7" t="s">
        <v>1282</v>
      </c>
      <c r="FS7" t="s">
        <v>1283</v>
      </c>
      <c r="FU7" t="s">
        <v>1276</v>
      </c>
      <c r="FV7" t="s">
        <v>1277</v>
      </c>
      <c r="FW7" t="s">
        <v>1278</v>
      </c>
      <c r="FX7" t="s">
        <v>1279</v>
      </c>
      <c r="FY7" t="s">
        <v>1281</v>
      </c>
      <c r="FZ7" t="s">
        <v>1282</v>
      </c>
      <c r="GA7" t="s">
        <v>1283</v>
      </c>
      <c r="GC7" t="s">
        <v>1276</v>
      </c>
      <c r="GD7" t="s">
        <v>1277</v>
      </c>
      <c r="GE7" t="s">
        <v>1278</v>
      </c>
      <c r="GF7" t="s">
        <v>1279</v>
      </c>
      <c r="GG7" t="s">
        <v>1281</v>
      </c>
      <c r="GH7" t="s">
        <v>1282</v>
      </c>
      <c r="GI7" t="s">
        <v>1283</v>
      </c>
      <c r="GK7" t="s">
        <v>1276</v>
      </c>
      <c r="GL7" t="s">
        <v>1277</v>
      </c>
      <c r="GM7" t="s">
        <v>1278</v>
      </c>
      <c r="GN7" t="s">
        <v>1279</v>
      </c>
      <c r="GO7" t="s">
        <v>1281</v>
      </c>
      <c r="GP7" t="s">
        <v>1282</v>
      </c>
      <c r="GQ7" t="s">
        <v>1283</v>
      </c>
      <c r="GS7" t="s">
        <v>1276</v>
      </c>
      <c r="GT7" t="s">
        <v>1277</v>
      </c>
      <c r="GU7" t="s">
        <v>1278</v>
      </c>
      <c r="GV7" t="s">
        <v>1279</v>
      </c>
      <c r="GW7" t="s">
        <v>1281</v>
      </c>
      <c r="GX7" t="s">
        <v>1282</v>
      </c>
      <c r="GY7" t="s">
        <v>1283</v>
      </c>
      <c r="HA7" t="s">
        <v>1276</v>
      </c>
      <c r="HB7" t="s">
        <v>1277</v>
      </c>
      <c r="HC7" t="s">
        <v>1278</v>
      </c>
      <c r="HD7" t="s">
        <v>1279</v>
      </c>
      <c r="HE7" t="s">
        <v>1281</v>
      </c>
      <c r="HF7" t="s">
        <v>1282</v>
      </c>
      <c r="HG7" t="s">
        <v>1283</v>
      </c>
      <c r="HI7" t="s">
        <v>1276</v>
      </c>
      <c r="HJ7" t="s">
        <v>1277</v>
      </c>
      <c r="HK7" t="s">
        <v>1278</v>
      </c>
      <c r="HL7" t="s">
        <v>1279</v>
      </c>
      <c r="HM7" t="s">
        <v>1281</v>
      </c>
      <c r="HN7" t="s">
        <v>1282</v>
      </c>
      <c r="HO7" t="s">
        <v>1283</v>
      </c>
      <c r="HQ7" t="s">
        <v>1276</v>
      </c>
      <c r="HR7" t="s">
        <v>1277</v>
      </c>
      <c r="HS7" t="s">
        <v>1278</v>
      </c>
      <c r="HT7" t="s">
        <v>1279</v>
      </c>
      <c r="HU7" t="s">
        <v>1281</v>
      </c>
      <c r="HV7" t="s">
        <v>1282</v>
      </c>
      <c r="HW7" t="s">
        <v>1283</v>
      </c>
      <c r="HY7" t="s">
        <v>1276</v>
      </c>
      <c r="HZ7" t="s">
        <v>1277</v>
      </c>
      <c r="IA7" t="s">
        <v>1278</v>
      </c>
      <c r="IB7" t="s">
        <v>1279</v>
      </c>
      <c r="IC7" t="s">
        <v>1281</v>
      </c>
      <c r="ID7" t="s">
        <v>1282</v>
      </c>
      <c r="IE7" t="s">
        <v>1283</v>
      </c>
      <c r="IG7" t="s">
        <v>1276</v>
      </c>
      <c r="IH7" t="s">
        <v>1277</v>
      </c>
      <c r="II7" t="s">
        <v>1278</v>
      </c>
      <c r="IJ7" t="s">
        <v>1279</v>
      </c>
      <c r="IK7" t="s">
        <v>1281</v>
      </c>
      <c r="IL7" t="s">
        <v>1282</v>
      </c>
      <c r="IM7" t="s">
        <v>1283</v>
      </c>
      <c r="IO7" t="s">
        <v>1276</v>
      </c>
      <c r="IP7" t="s">
        <v>1277</v>
      </c>
      <c r="IQ7" t="s">
        <v>1278</v>
      </c>
      <c r="IR7" t="s">
        <v>1279</v>
      </c>
      <c r="IS7" t="s">
        <v>1281</v>
      </c>
      <c r="IT7" t="s">
        <v>1282</v>
      </c>
      <c r="IU7" t="s">
        <v>1283</v>
      </c>
      <c r="IW7" t="s">
        <v>1276</v>
      </c>
      <c r="IX7" t="s">
        <v>1277</v>
      </c>
      <c r="IY7" t="s">
        <v>1278</v>
      </c>
      <c r="IZ7" t="s">
        <v>1279</v>
      </c>
      <c r="JA7" t="s">
        <v>1281</v>
      </c>
      <c r="JB7" t="s">
        <v>1282</v>
      </c>
      <c r="JC7" t="s">
        <v>1283</v>
      </c>
      <c r="JE7" t="s">
        <v>1276</v>
      </c>
      <c r="JF7" t="s">
        <v>1277</v>
      </c>
      <c r="JG7" t="s">
        <v>1278</v>
      </c>
      <c r="JH7" t="s">
        <v>1279</v>
      </c>
      <c r="JI7" t="s">
        <v>1281</v>
      </c>
      <c r="JJ7" t="s">
        <v>1282</v>
      </c>
      <c r="JK7" t="s">
        <v>1283</v>
      </c>
      <c r="JM7" t="s">
        <v>1276</v>
      </c>
      <c r="JN7" t="s">
        <v>1277</v>
      </c>
      <c r="JO7" t="s">
        <v>1278</v>
      </c>
      <c r="JP7" t="s">
        <v>1279</v>
      </c>
      <c r="JQ7" t="s">
        <v>1281</v>
      </c>
      <c r="JR7" t="s">
        <v>1282</v>
      </c>
      <c r="JS7" t="s">
        <v>1283</v>
      </c>
      <c r="JU7" t="s">
        <v>1276</v>
      </c>
      <c r="JV7" t="s">
        <v>1277</v>
      </c>
      <c r="JW7" t="s">
        <v>1278</v>
      </c>
      <c r="JX7" t="s">
        <v>1279</v>
      </c>
      <c r="JY7" t="s">
        <v>1281</v>
      </c>
      <c r="JZ7" t="s">
        <v>1282</v>
      </c>
      <c r="KA7" t="s">
        <v>1283</v>
      </c>
      <c r="KC7" t="s">
        <v>1276</v>
      </c>
      <c r="KD7" t="s">
        <v>1277</v>
      </c>
      <c r="KE7" t="s">
        <v>1278</v>
      </c>
      <c r="KF7" t="s">
        <v>1279</v>
      </c>
      <c r="KG7" t="s">
        <v>1280</v>
      </c>
      <c r="KH7" t="s">
        <v>1281</v>
      </c>
      <c r="KI7" t="s">
        <v>1282</v>
      </c>
      <c r="KJ7" t="s">
        <v>1283</v>
      </c>
      <c r="KL7" t="s">
        <v>1168</v>
      </c>
      <c r="KN7">
        <v>72430</v>
      </c>
      <c r="KO7" t="s">
        <v>1169</v>
      </c>
    </row>
    <row r="8" spans="1:306" x14ac:dyDescent="0.3">
      <c r="A8">
        <v>44180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J8">
        <v>44180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S8">
        <v>44180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B8">
        <v>44180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K8">
        <v>44180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T8">
        <v>44180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C8">
        <v>44180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L8">
        <v>44180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U8">
        <v>44180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D8">
        <v>44180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M8">
        <v>44180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V8">
        <v>44180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E8">
        <v>44180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N8">
        <v>44180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W8">
        <v>44180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F8">
        <v>44180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O8">
        <v>44167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W8">
        <v>44167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E8">
        <v>44167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M8">
        <v>44167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U8">
        <v>44167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C8">
        <v>44167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K8">
        <v>44167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S8">
        <v>44167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HA8">
        <v>44167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I8">
        <v>44167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Q8">
        <v>44167</v>
      </c>
      <c r="HR8">
        <v>332757.31034482759</v>
      </c>
      <c r="HS8">
        <v>9164.1740361069969</v>
      </c>
      <c r="HT8">
        <v>1558.0069983757603</v>
      </c>
      <c r="HU8">
        <v>1715.5489655172414</v>
      </c>
      <c r="HV8">
        <v>12437.73</v>
      </c>
      <c r="HW8">
        <v>331199.30334645184</v>
      </c>
      <c r="HY8">
        <v>44167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G8">
        <v>44167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O8">
        <v>44167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W8">
        <v>44167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E8">
        <v>44167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M8">
        <v>44167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U8">
        <v>44167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C8" s="3">
        <v>44167</v>
      </c>
      <c r="KD8">
        <v>332757.31034482759</v>
      </c>
      <c r="KE8">
        <v>9164.1740361069969</v>
      </c>
      <c r="KF8">
        <v>1558.0069983757603</v>
      </c>
      <c r="KG8">
        <v>0</v>
      </c>
      <c r="KH8">
        <v>1715.5489655172414</v>
      </c>
      <c r="KI8">
        <v>12437.73</v>
      </c>
      <c r="KJ8">
        <v>331199.30334645184</v>
      </c>
      <c r="KL8" t="s">
        <v>1231</v>
      </c>
      <c r="KM8" t="s">
        <v>1235</v>
      </c>
      <c r="KO8" t="s">
        <v>1233</v>
      </c>
      <c r="KP8" t="s">
        <v>1236</v>
      </c>
      <c r="KR8" t="s">
        <v>1284</v>
      </c>
      <c r="KT8" t="s">
        <v>1285</v>
      </c>
    </row>
    <row r="9" spans="1:306" x14ac:dyDescent="0.3">
      <c r="A9">
        <v>44211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J9">
        <v>44211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S9">
        <v>44211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B9">
        <v>44211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K9">
        <v>44211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T9">
        <v>44211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C9">
        <v>44211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L9">
        <v>44211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U9">
        <v>44211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D9">
        <v>44211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M9">
        <v>44211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V9">
        <v>44211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E9">
        <v>44211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N9">
        <v>44211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W9">
        <v>44211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F9">
        <v>44211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O9">
        <v>44198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W9">
        <v>44198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E9">
        <v>44198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M9">
        <v>44198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U9">
        <v>44198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C9">
        <v>44198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K9">
        <v>44198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S9">
        <v>44198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HA9">
        <v>44198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I9">
        <v>44198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Q9">
        <v>44198</v>
      </c>
      <c r="HR9">
        <v>331199.30334645184</v>
      </c>
      <c r="HS9">
        <v>9121.2663468129813</v>
      </c>
      <c r="HT9">
        <v>1600.914687669776</v>
      </c>
      <c r="HU9">
        <v>1715.5489655172414</v>
      </c>
      <c r="HV9">
        <v>12437.73</v>
      </c>
      <c r="HW9">
        <v>329598.38865878206</v>
      </c>
      <c r="HY9">
        <v>44198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G9">
        <v>44217</v>
      </c>
      <c r="IH9">
        <v>615417.16517241381</v>
      </c>
      <c r="II9">
        <v>8607.7401347196992</v>
      </c>
      <c r="IJ9">
        <v>9741.8198652803021</v>
      </c>
      <c r="IK9">
        <v>2935.9296000000004</v>
      </c>
      <c r="IL9">
        <v>21285.489600000001</v>
      </c>
      <c r="IM9">
        <v>605675.34530713351</v>
      </c>
      <c r="IO9">
        <v>44198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W9">
        <v>44198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E9">
        <v>44198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M9">
        <v>44198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U9">
        <v>44198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C9" s="3">
        <v>44198</v>
      </c>
      <c r="KD9" s="9">
        <v>946616.46851886564</v>
      </c>
      <c r="KE9" s="9">
        <v>17729.00648153268</v>
      </c>
      <c r="KF9" s="9">
        <v>11342.734552950078</v>
      </c>
      <c r="KG9" s="9">
        <v>0</v>
      </c>
      <c r="KH9" s="9">
        <v>4651.4785655172418</v>
      </c>
      <c r="KI9" s="9">
        <v>33723.219599999997</v>
      </c>
      <c r="KJ9" s="9">
        <v>935273.73396591563</v>
      </c>
      <c r="KL9" t="s">
        <v>1263</v>
      </c>
      <c r="KM9">
        <v>434176.92758620693</v>
      </c>
      <c r="KN9" t="s">
        <v>1264</v>
      </c>
      <c r="KO9" t="s">
        <v>1265</v>
      </c>
      <c r="KP9">
        <v>60</v>
      </c>
      <c r="KQ9" t="s">
        <v>1266</v>
      </c>
      <c r="KT9" t="s">
        <v>1286</v>
      </c>
    </row>
    <row r="10" spans="1:306" x14ac:dyDescent="0.3">
      <c r="A10">
        <v>44242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J10">
        <v>44242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S10">
        <v>44242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B10">
        <v>44242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K10">
        <v>44242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T10">
        <v>44242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C10">
        <v>44242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L10">
        <v>44242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U10">
        <v>44242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D10">
        <v>44242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M10">
        <v>44242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V10">
        <v>44242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E10">
        <v>44242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N10">
        <v>44242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W10">
        <v>44242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F10">
        <v>44242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O10">
        <v>44229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W10">
        <v>44229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44229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M10">
        <v>44229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U10">
        <v>44229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C10">
        <v>44229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K10">
        <v>44229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S10">
        <v>44229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HA10">
        <v>44229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I10">
        <v>44229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Q10">
        <v>44229</v>
      </c>
      <c r="HR10">
        <v>329598.38865878206</v>
      </c>
      <c r="HS10">
        <v>9077.1769748933602</v>
      </c>
      <c r="HT10">
        <v>1645.004059589397</v>
      </c>
      <c r="HU10">
        <v>1715.5489655172414</v>
      </c>
      <c r="HV10">
        <v>12437.73</v>
      </c>
      <c r="HW10">
        <v>327953.38459919265</v>
      </c>
      <c r="HY10">
        <v>44229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G10">
        <v>44248</v>
      </c>
      <c r="IH10">
        <v>605675.34530713351</v>
      </c>
      <c r="II10">
        <v>8471.4828793405941</v>
      </c>
      <c r="IJ10">
        <v>9878.0771206594072</v>
      </c>
      <c r="IK10">
        <v>2935.9296000000004</v>
      </c>
      <c r="IL10">
        <v>21285.489600000001</v>
      </c>
      <c r="IM10">
        <v>595797.2681864741</v>
      </c>
      <c r="IO10">
        <v>44229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W10">
        <v>44229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E10">
        <v>44229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M10">
        <v>44229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U10">
        <v>44229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C10" s="3">
        <v>44229</v>
      </c>
      <c r="KD10" s="9">
        <v>935273.73396591563</v>
      </c>
      <c r="KE10" s="9">
        <v>17548.659854233956</v>
      </c>
      <c r="KF10" s="9">
        <v>11523.081180248804</v>
      </c>
      <c r="KG10" s="9">
        <v>0</v>
      </c>
      <c r="KH10" s="9">
        <v>4651.4785655172418</v>
      </c>
      <c r="KI10" s="9">
        <v>33723.219599999997</v>
      </c>
      <c r="KJ10" s="9">
        <v>923750.65278566675</v>
      </c>
      <c r="KL10" t="s">
        <v>1267</v>
      </c>
      <c r="KM10">
        <v>0</v>
      </c>
      <c r="KN10" t="s">
        <v>1264</v>
      </c>
      <c r="KO10" t="s">
        <v>1268</v>
      </c>
      <c r="KP10">
        <v>19160.5</v>
      </c>
      <c r="KQ10" t="s">
        <v>1269</v>
      </c>
      <c r="KT10" t="s">
        <v>1287</v>
      </c>
    </row>
    <row r="11" spans="1:306" x14ac:dyDescent="0.3">
      <c r="A11">
        <v>44270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J11">
        <v>44270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S11">
        <v>44270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B11">
        <v>44270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K11">
        <v>44270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T11">
        <v>44270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C11">
        <v>44270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L11">
        <v>44270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U11">
        <v>44270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D11">
        <v>44270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M11">
        <v>44270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V11">
        <v>44270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E11">
        <v>44270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N11">
        <v>44270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W11">
        <v>44270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F11">
        <v>44270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O11">
        <v>44270</v>
      </c>
      <c r="EP11">
        <v>852847.41379310354</v>
      </c>
      <c r="EQ11">
        <v>17369.512417190504</v>
      </c>
      <c r="ER11">
        <v>8173.5479276370834</v>
      </c>
      <c r="ES11">
        <v>4086.8896551724142</v>
      </c>
      <c r="ET11">
        <v>29629.95</v>
      </c>
      <c r="EU11">
        <v>844673.86586546642</v>
      </c>
      <c r="EW11">
        <v>44270</v>
      </c>
      <c r="EX11">
        <v>168448.27586206899</v>
      </c>
      <c r="EY11">
        <v>3432.2553097081086</v>
      </c>
      <c r="EZ11">
        <v>1910.5377937401677</v>
      </c>
      <c r="FA11">
        <v>854.84689655172417</v>
      </c>
      <c r="FB11">
        <v>6197.64</v>
      </c>
      <c r="FC11">
        <v>166537.73806832882</v>
      </c>
      <c r="FE11">
        <v>44270</v>
      </c>
      <c r="FF11">
        <v>168448.27586206899</v>
      </c>
      <c r="FG11">
        <v>3432.2553097091909</v>
      </c>
      <c r="FH11">
        <v>1910.5377937390856</v>
      </c>
      <c r="FI11">
        <v>854.84689655172417</v>
      </c>
      <c r="FJ11">
        <v>6197.64</v>
      </c>
      <c r="FK11">
        <v>166537.7380683299</v>
      </c>
      <c r="FM11">
        <v>44257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U11">
        <v>44257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C11">
        <v>44257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K11">
        <v>44257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S11">
        <v>44257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HA11">
        <v>44257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I11">
        <v>44257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Q11">
        <v>44257</v>
      </c>
      <c r="HR11">
        <v>327953.38459919265</v>
      </c>
      <c r="HS11">
        <v>9031.8733766747137</v>
      </c>
      <c r="HT11">
        <v>1690.3076578080436</v>
      </c>
      <c r="HU11">
        <v>1715.5489655172414</v>
      </c>
      <c r="HV11">
        <v>12437.73</v>
      </c>
      <c r="HW11">
        <v>326263.07694138458</v>
      </c>
      <c r="HY11">
        <v>44257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G11">
        <v>44276</v>
      </c>
      <c r="IH11">
        <v>595797.2681864741</v>
      </c>
      <c r="II11">
        <v>8333.3198158167888</v>
      </c>
      <c r="IJ11">
        <v>10016.240184183212</v>
      </c>
      <c r="IK11">
        <v>2935.9296000000004</v>
      </c>
      <c r="IL11">
        <v>21285.489600000001</v>
      </c>
      <c r="IM11">
        <v>585781.02800229087</v>
      </c>
      <c r="IO11">
        <v>44257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W11">
        <v>44257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E11">
        <v>44257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M11">
        <v>44257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U11">
        <v>44257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C11" s="3">
        <v>44257</v>
      </c>
      <c r="KD11" s="9">
        <v>2113494.6183029083</v>
      </c>
      <c r="KE11" s="9">
        <v>41599.216229099307</v>
      </c>
      <c r="KF11" s="9">
        <v>23701.171357107592</v>
      </c>
      <c r="KG11" s="9">
        <v>0</v>
      </c>
      <c r="KH11" s="9">
        <v>10448.062013793104</v>
      </c>
      <c r="KI11" s="9">
        <v>75748.449600000007</v>
      </c>
      <c r="KJ11" s="9">
        <v>2089793.4469458009</v>
      </c>
      <c r="KL11" t="s">
        <v>1270</v>
      </c>
      <c r="KM11">
        <v>0.26</v>
      </c>
      <c r="KN11">
        <v>2.1666666666666667E-2</v>
      </c>
      <c r="KO11" t="s">
        <v>1271</v>
      </c>
      <c r="KP11">
        <v>76275.767241379319</v>
      </c>
      <c r="KQ11" t="s">
        <v>1264</v>
      </c>
      <c r="KT11" t="s">
        <v>1288</v>
      </c>
    </row>
    <row r="12" spans="1:306" x14ac:dyDescent="0.3">
      <c r="A12">
        <v>44301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J12">
        <v>44301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S12">
        <v>44301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B12">
        <v>44301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K12">
        <v>44301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T12">
        <v>44301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C12">
        <v>44301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L12">
        <v>44301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U12">
        <v>44301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D12">
        <v>44301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M12">
        <v>44301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V12">
        <v>44301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E12">
        <v>44301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N12">
        <v>44301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W12">
        <v>44301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F12">
        <v>44301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O12">
        <v>44301</v>
      </c>
      <c r="EP12">
        <v>844673.86586546642</v>
      </c>
      <c r="EQ12">
        <v>17203.045895834512</v>
      </c>
      <c r="ER12">
        <v>8340.0144489930753</v>
      </c>
      <c r="ES12">
        <v>4086.8896551724142</v>
      </c>
      <c r="ET12">
        <v>29629.95</v>
      </c>
      <c r="EU12">
        <v>836333.85141647339</v>
      </c>
      <c r="EW12">
        <v>44301</v>
      </c>
      <c r="EX12">
        <v>166537.73806832882</v>
      </c>
      <c r="EY12">
        <v>3393.3267219656482</v>
      </c>
      <c r="EZ12">
        <v>1949.4663814826281</v>
      </c>
      <c r="FA12">
        <v>854.84689655172417</v>
      </c>
      <c r="FB12">
        <v>6197.64</v>
      </c>
      <c r="FC12">
        <v>164588.27168684619</v>
      </c>
      <c r="FE12">
        <v>44301</v>
      </c>
      <c r="FF12">
        <v>166537.7380683299</v>
      </c>
      <c r="FG12">
        <v>3393.3267219667405</v>
      </c>
      <c r="FH12">
        <v>1949.466381481536</v>
      </c>
      <c r="FI12">
        <v>854.84689655172417</v>
      </c>
      <c r="FJ12">
        <v>6197.64</v>
      </c>
      <c r="FK12">
        <v>164588.27168684837</v>
      </c>
      <c r="FM12">
        <v>44288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U12">
        <v>44288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C12">
        <v>44288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K12">
        <v>44288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S12">
        <v>44288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HA12">
        <v>44288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I12">
        <v>44288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Q12">
        <v>44288</v>
      </c>
      <c r="HR12">
        <v>326263.07694138458</v>
      </c>
      <c r="HS12">
        <v>8985.3221122271625</v>
      </c>
      <c r="HT12">
        <v>1736.8589222555947</v>
      </c>
      <c r="HU12">
        <v>1715.5489655172414</v>
      </c>
      <c r="HV12">
        <v>12437.73</v>
      </c>
      <c r="HW12">
        <v>324526.21801912901</v>
      </c>
      <c r="HY12">
        <v>44288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G12">
        <v>44307</v>
      </c>
      <c r="IH12">
        <v>585781.02800229087</v>
      </c>
      <c r="II12">
        <v>8193.2242879186797</v>
      </c>
      <c r="IJ12">
        <v>10156.335712081322</v>
      </c>
      <c r="IK12">
        <v>2935.9296000000004</v>
      </c>
      <c r="IL12">
        <v>21285.489600000001</v>
      </c>
      <c r="IM12">
        <v>575624.69229020958</v>
      </c>
      <c r="IO12">
        <v>44288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W12">
        <v>44288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E12">
        <v>44288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M12">
        <v>44288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U12">
        <v>44288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C12" s="3">
        <v>44288</v>
      </c>
      <c r="KD12" s="9">
        <v>2089793.4469458009</v>
      </c>
      <c r="KE12" s="9">
        <v>41168.245739912745</v>
      </c>
      <c r="KF12" s="9">
        <v>24132.141846294155</v>
      </c>
      <c r="KG12" s="9">
        <v>0</v>
      </c>
      <c r="KH12" s="9">
        <v>10448.062013793104</v>
      </c>
      <c r="KI12" s="9">
        <v>75748.449600000007</v>
      </c>
      <c r="KJ12" s="9">
        <v>2065661.3050995064</v>
      </c>
    </row>
    <row r="13" spans="1:306" x14ac:dyDescent="0.3">
      <c r="A13">
        <v>44331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J13">
        <v>44331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>
        <v>44331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B13">
        <v>44331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K13">
        <v>44331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T13">
        <v>44331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C13">
        <v>44331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L13">
        <v>44331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U13">
        <v>44331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D13">
        <v>44331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M13">
        <v>44331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V13">
        <v>44331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E13">
        <v>44331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N13">
        <v>44331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W13">
        <v>44331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F13">
        <v>44331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O13">
        <v>44331</v>
      </c>
      <c r="EP13">
        <v>836333.85141647339</v>
      </c>
      <c r="EQ13">
        <v>17033.189034937146</v>
      </c>
      <c r="ER13">
        <v>8509.8713098904409</v>
      </c>
      <c r="ES13">
        <v>4086.8896551724142</v>
      </c>
      <c r="ET13">
        <v>29629.95</v>
      </c>
      <c r="EU13">
        <v>827823.9801065831</v>
      </c>
      <c r="EW13">
        <v>44331</v>
      </c>
      <c r="EX13">
        <v>164588.27168684619</v>
      </c>
      <c r="EY13">
        <v>3353.604936125465</v>
      </c>
      <c r="EZ13">
        <v>1989.1881673228113</v>
      </c>
      <c r="FA13">
        <v>854.84689655172417</v>
      </c>
      <c r="FB13">
        <v>6197.64</v>
      </c>
      <c r="FC13">
        <v>162599.08351952338</v>
      </c>
      <c r="FE13">
        <v>44331</v>
      </c>
      <c r="FF13">
        <v>164588.27168684837</v>
      </c>
      <c r="FG13">
        <v>3353.6049361265673</v>
      </c>
      <c r="FH13">
        <v>1989.188167321709</v>
      </c>
      <c r="FI13">
        <v>854.84689655172417</v>
      </c>
      <c r="FJ13">
        <v>6197.64</v>
      </c>
      <c r="FK13">
        <v>162599.08351952667</v>
      </c>
      <c r="FM13">
        <v>44318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U13">
        <v>44318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C13">
        <v>44318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K13">
        <v>44318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S13">
        <v>44318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HA13">
        <v>44318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I13">
        <v>44318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Q13">
        <v>44318</v>
      </c>
      <c r="HR13">
        <v>324526.21801912901</v>
      </c>
      <c r="HS13">
        <v>8937.4888206813794</v>
      </c>
      <c r="HT13">
        <v>1784.6922138013781</v>
      </c>
      <c r="HU13">
        <v>1715.5489655172414</v>
      </c>
      <c r="HV13">
        <v>12437.73</v>
      </c>
      <c r="HW13">
        <v>322741.52580532763</v>
      </c>
      <c r="HY13">
        <v>44318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G13">
        <v>44337</v>
      </c>
      <c r="IH13">
        <v>575624.69229020958</v>
      </c>
      <c r="II13">
        <v>8051.1692665803057</v>
      </c>
      <c r="IJ13">
        <v>10298.390733419696</v>
      </c>
      <c r="IK13">
        <v>2935.9296000000004</v>
      </c>
      <c r="IL13">
        <v>21285.489600000001</v>
      </c>
      <c r="IM13">
        <v>565326.3015567899</v>
      </c>
      <c r="IO13">
        <v>44318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W13">
        <v>44318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E13">
        <v>44318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M13">
        <v>44318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U13">
        <v>44318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C13" s="3">
        <v>44318</v>
      </c>
      <c r="KD13" s="9">
        <v>2065661.3050995064</v>
      </c>
      <c r="KE13" s="9">
        <v>40729.056994450861</v>
      </c>
      <c r="KF13" s="9">
        <v>24571.330591756036</v>
      </c>
      <c r="KG13" s="9">
        <v>0</v>
      </c>
      <c r="KH13" s="9">
        <v>10448.062013793104</v>
      </c>
      <c r="KI13" s="9">
        <v>75748.449600000007</v>
      </c>
      <c r="KJ13" s="9">
        <v>2041089.9745077505</v>
      </c>
      <c r="KL13" t="s">
        <v>1171</v>
      </c>
      <c r="KN13">
        <v>72424</v>
      </c>
      <c r="KO13" t="s">
        <v>1172</v>
      </c>
    </row>
    <row r="14" spans="1:306" x14ac:dyDescent="0.3">
      <c r="A14">
        <v>44362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J14">
        <v>44362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S14">
        <v>44362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B14">
        <v>44362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K14">
        <v>44362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T14">
        <v>44362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C14">
        <v>44362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L14">
        <v>44362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U14">
        <v>44362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D14">
        <v>44362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M14">
        <v>44362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V14">
        <v>44362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E14">
        <v>44362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N14">
        <v>44362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W14">
        <v>44362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F14">
        <v>44362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O14">
        <v>44362</v>
      </c>
      <c r="EP14">
        <v>827823.9801065831</v>
      </c>
      <c r="EQ14">
        <v>16859.872785165775</v>
      </c>
      <c r="ER14">
        <v>8683.187559661812</v>
      </c>
      <c r="ES14">
        <v>4086.8896551724142</v>
      </c>
      <c r="ET14">
        <v>29629.95</v>
      </c>
      <c r="EU14">
        <v>819140.79254692118</v>
      </c>
      <c r="EW14">
        <v>44362</v>
      </c>
      <c r="EX14">
        <v>162599.08351952338</v>
      </c>
      <c r="EY14">
        <v>3313.0737902033025</v>
      </c>
      <c r="EZ14">
        <v>2029.7193132449736</v>
      </c>
      <c r="FA14">
        <v>854.84689655172417</v>
      </c>
      <c r="FB14">
        <v>6197.64</v>
      </c>
      <c r="FC14">
        <v>160569.36420627841</v>
      </c>
      <c r="FE14">
        <v>44362</v>
      </c>
      <c r="FF14">
        <v>162599.08351952667</v>
      </c>
      <c r="FG14">
        <v>3313.0737902044143</v>
      </c>
      <c r="FH14">
        <v>2029.719313243862</v>
      </c>
      <c r="FI14">
        <v>854.84689655172417</v>
      </c>
      <c r="FJ14">
        <v>6197.64</v>
      </c>
      <c r="FK14">
        <v>160569.3642062828</v>
      </c>
      <c r="FM14">
        <v>44349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U14">
        <v>44349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C14">
        <v>44349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K14">
        <v>44349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S14">
        <v>44349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HA14">
        <v>44349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I14">
        <v>44349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Q14">
        <v>44349</v>
      </c>
      <c r="HR14">
        <v>322741.52580532763</v>
      </c>
      <c r="HS14">
        <v>8888.338194865788</v>
      </c>
      <c r="HT14">
        <v>1833.8428396169693</v>
      </c>
      <c r="HU14">
        <v>1715.5489655172414</v>
      </c>
      <c r="HV14">
        <v>12437.73</v>
      </c>
      <c r="HW14">
        <v>320907.68296571064</v>
      </c>
      <c r="HY14">
        <v>44349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G14">
        <v>44368</v>
      </c>
      <c r="IH14">
        <v>565326.3015567899</v>
      </c>
      <c r="II14">
        <v>7907.1273446845344</v>
      </c>
      <c r="IJ14">
        <v>10442.432655315468</v>
      </c>
      <c r="IK14">
        <v>2935.9296000000004</v>
      </c>
      <c r="IL14">
        <v>21285.489600000001</v>
      </c>
      <c r="IM14">
        <v>554883.8689014744</v>
      </c>
      <c r="IO14">
        <v>44349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W14">
        <v>44349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E14">
        <v>44349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M14">
        <v>44349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U14">
        <v>44349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C14" s="3">
        <v>44349</v>
      </c>
      <c r="KD14" s="9">
        <v>2041089.9745077505</v>
      </c>
      <c r="KE14" s="9">
        <v>40281.485905123816</v>
      </c>
      <c r="KF14" s="9">
        <v>25018.901681083087</v>
      </c>
      <c r="KG14" s="9">
        <v>0</v>
      </c>
      <c r="KH14" s="9">
        <v>10448.062013793104</v>
      </c>
      <c r="KI14" s="9">
        <v>75748.449600000007</v>
      </c>
      <c r="KJ14" s="9">
        <v>2016071.0728266677</v>
      </c>
      <c r="KL14" t="s">
        <v>1231</v>
      </c>
      <c r="KM14" t="s">
        <v>1235</v>
      </c>
      <c r="KO14" t="s">
        <v>1233</v>
      </c>
      <c r="KP14" t="s">
        <v>1237</v>
      </c>
      <c r="KR14" t="s">
        <v>1289</v>
      </c>
      <c r="KT14" t="s">
        <v>1290</v>
      </c>
    </row>
    <row r="15" spans="1:306" x14ac:dyDescent="0.3">
      <c r="A15">
        <v>44392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J15">
        <v>44392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S15">
        <v>44392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B15">
        <v>44392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K15">
        <v>44392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T15">
        <v>44392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C15">
        <v>44392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L15">
        <v>44392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U15">
        <v>44392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D15">
        <v>44392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M15">
        <v>44392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V15">
        <v>44392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E15">
        <v>44392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N15">
        <v>44392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W15">
        <v>44392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F15">
        <v>44392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O15">
        <v>44392</v>
      </c>
      <c r="EP15">
        <v>819140.79254692118</v>
      </c>
      <c r="EQ15">
        <v>16683.026690894883</v>
      </c>
      <c r="ER15">
        <v>8860.0336539327036</v>
      </c>
      <c r="ES15">
        <v>4086.8896551724142</v>
      </c>
      <c r="ET15">
        <v>29629.95</v>
      </c>
      <c r="EU15">
        <v>810280.75889298844</v>
      </c>
      <c r="EW15">
        <v>44392</v>
      </c>
      <c r="EX15">
        <v>160569.36420627841</v>
      </c>
      <c r="EY15">
        <v>3271.7167929027983</v>
      </c>
      <c r="EZ15">
        <v>2071.076310545478</v>
      </c>
      <c r="FA15">
        <v>854.84689655172417</v>
      </c>
      <c r="FB15">
        <v>6197.64</v>
      </c>
      <c r="FC15">
        <v>158498.28789573294</v>
      </c>
      <c r="FE15">
        <v>44392</v>
      </c>
      <c r="FF15">
        <v>160569.3642062828</v>
      </c>
      <c r="FG15">
        <v>3271.7167929039197</v>
      </c>
      <c r="FH15">
        <v>2071.0763105443566</v>
      </c>
      <c r="FI15">
        <v>854.84689655172417</v>
      </c>
      <c r="FJ15">
        <v>6197.64</v>
      </c>
      <c r="FK15">
        <v>158498.28789573844</v>
      </c>
      <c r="FM15">
        <v>44379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U15">
        <v>44379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C15">
        <v>44379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K15">
        <v>44379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S15">
        <v>44379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HA15">
        <v>44379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I15">
        <v>44379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Q15">
        <v>44379</v>
      </c>
      <c r="HR15">
        <v>320907.68296571064</v>
      </c>
      <c r="HS15">
        <v>8837.8339552453162</v>
      </c>
      <c r="HT15">
        <v>1884.347079237441</v>
      </c>
      <c r="HU15">
        <v>1715.5489655172414</v>
      </c>
      <c r="HV15">
        <v>12437.73</v>
      </c>
      <c r="HW15">
        <v>319023.33588647319</v>
      </c>
      <c r="HY15">
        <v>44379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G15">
        <v>44398</v>
      </c>
      <c r="IH15">
        <v>554883.8689014744</v>
      </c>
      <c r="II15">
        <v>7761.0707317753313</v>
      </c>
      <c r="IJ15">
        <v>10588.489268224672</v>
      </c>
      <c r="IK15">
        <v>2935.9296000000004</v>
      </c>
      <c r="IL15">
        <v>21285.489600000001</v>
      </c>
      <c r="IM15">
        <v>544295.37963324971</v>
      </c>
      <c r="IO15">
        <v>44397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W15">
        <v>44379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E15">
        <v>44379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M15">
        <v>44379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U15">
        <v>44379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C15" s="3">
        <v>44379</v>
      </c>
      <c r="KD15" s="9">
        <v>2016071.0728266677</v>
      </c>
      <c r="KE15" s="9">
        <v>39825.364963722255</v>
      </c>
      <c r="KF15" s="9">
        <v>25475.022622484652</v>
      </c>
      <c r="KG15" s="9">
        <v>0</v>
      </c>
      <c r="KH15" s="9">
        <v>10448.062013793104</v>
      </c>
      <c r="KI15" s="9">
        <v>75748.449600000007</v>
      </c>
      <c r="KJ15" s="9">
        <v>1990596.0502041825</v>
      </c>
      <c r="KL15" t="s">
        <v>1263</v>
      </c>
      <c r="KM15">
        <v>174090.03965517241</v>
      </c>
      <c r="KN15" t="s">
        <v>1264</v>
      </c>
      <c r="KO15" t="s">
        <v>1265</v>
      </c>
      <c r="KP15">
        <v>60</v>
      </c>
      <c r="KQ15" t="s">
        <v>1266</v>
      </c>
    </row>
    <row r="16" spans="1:306" x14ac:dyDescent="0.3">
      <c r="A16">
        <v>44423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J16">
        <v>44423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S16">
        <v>44423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B16">
        <v>44423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K16">
        <v>44423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T16">
        <v>44423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C16">
        <v>44423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L16">
        <v>44423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U16">
        <v>44423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D16">
        <v>44423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M16">
        <v>44423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V16">
        <v>44423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E16">
        <v>44423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N16">
        <v>44423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W16">
        <v>44423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F16">
        <v>44423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O16">
        <v>44423</v>
      </c>
      <c r="EP16">
        <v>810280.75889298844</v>
      </c>
      <c r="EQ16">
        <v>16502.578861564838</v>
      </c>
      <c r="ER16">
        <v>9040.4814832627471</v>
      </c>
      <c r="ES16">
        <v>4086.8896551724142</v>
      </c>
      <c r="ET16">
        <v>29629.95</v>
      </c>
      <c r="EU16">
        <v>801240.27740972571</v>
      </c>
      <c r="EW16">
        <v>44423</v>
      </c>
      <c r="EX16">
        <v>158498.28789573294</v>
      </c>
      <c r="EY16">
        <v>3229.5171169055147</v>
      </c>
      <c r="EZ16">
        <v>2113.2759865427615</v>
      </c>
      <c r="FA16">
        <v>854.84689655172417</v>
      </c>
      <c r="FB16">
        <v>6197.64</v>
      </c>
      <c r="FC16">
        <v>156385.01190919019</v>
      </c>
      <c r="FE16">
        <v>44423</v>
      </c>
      <c r="FF16">
        <v>158498.28789573844</v>
      </c>
      <c r="FG16">
        <v>3229.5171169066452</v>
      </c>
      <c r="FH16">
        <v>2113.275986541631</v>
      </c>
      <c r="FI16">
        <v>854.84689655172417</v>
      </c>
      <c r="FJ16">
        <v>6197.64</v>
      </c>
      <c r="FK16">
        <v>156385.01190919679</v>
      </c>
      <c r="FM16">
        <v>44409</v>
      </c>
      <c r="FN16">
        <v>792792.36206896557</v>
      </c>
      <c r="FO16">
        <v>9658.8935503931352</v>
      </c>
      <c r="FP16">
        <v>12363.115070296515</v>
      </c>
      <c r="FQ16">
        <v>3523.5213793103449</v>
      </c>
      <c r="FR16">
        <v>25545.53</v>
      </c>
      <c r="FS16">
        <v>780429.246998669</v>
      </c>
      <c r="FU16">
        <v>44420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C16">
        <v>44420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K16">
        <v>44420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S16">
        <v>44420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HA16">
        <v>44420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I16">
        <v>44420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Q16">
        <v>44410</v>
      </c>
      <c r="HR16">
        <v>319023.33588647319</v>
      </c>
      <c r="HS16">
        <v>8785.9388231423818</v>
      </c>
      <c r="HT16">
        <v>1936.2422113403752</v>
      </c>
      <c r="HU16">
        <v>1715.5489655172414</v>
      </c>
      <c r="HV16">
        <v>12437.73</v>
      </c>
      <c r="HW16">
        <v>317087.09367513278</v>
      </c>
      <c r="HY16">
        <v>44410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G16">
        <v>44429</v>
      </c>
      <c r="IH16">
        <v>544295.37963324971</v>
      </c>
      <c r="II16">
        <v>7612.971248696057</v>
      </c>
      <c r="IJ16">
        <v>10736.588751303943</v>
      </c>
      <c r="IK16">
        <v>2935.9296000000004</v>
      </c>
      <c r="IL16">
        <v>21285.489600000001</v>
      </c>
      <c r="IM16">
        <v>533558.79088194575</v>
      </c>
      <c r="IO16">
        <v>44428</v>
      </c>
      <c r="IP16">
        <v>160436.6131034483</v>
      </c>
      <c r="IQ16">
        <v>2506.1763514569893</v>
      </c>
      <c r="IR16">
        <v>2462.8136485430095</v>
      </c>
      <c r="IS16">
        <v>795.03840000000002</v>
      </c>
      <c r="IT16">
        <v>5764.0283999999992</v>
      </c>
      <c r="IU16">
        <v>157973.7994549053</v>
      </c>
      <c r="IW16">
        <v>44410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E16">
        <v>44410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M16">
        <v>44410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U16">
        <v>44410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C16" s="3">
        <v>44410</v>
      </c>
      <c r="KD16" s="9">
        <v>2943825.0253765965</v>
      </c>
      <c r="KE16" s="9">
        <v>51525.593069065559</v>
      </c>
      <c r="KF16" s="9">
        <v>40765.79313783098</v>
      </c>
      <c r="KG16" s="9">
        <v>0</v>
      </c>
      <c r="KH16" s="9">
        <v>14766.62179310345</v>
      </c>
      <c r="KI16" s="9">
        <v>107058.008</v>
      </c>
      <c r="KJ16" s="9">
        <v>2903059.2322387653</v>
      </c>
      <c r="KL16" t="s">
        <v>1267</v>
      </c>
      <c r="KM16">
        <v>0</v>
      </c>
      <c r="KN16" t="s">
        <v>1264</v>
      </c>
      <c r="KO16" t="s">
        <v>1268</v>
      </c>
      <c r="KP16">
        <v>9077.43</v>
      </c>
      <c r="KQ16" t="s">
        <v>1269</v>
      </c>
    </row>
    <row r="17" spans="1:303" x14ac:dyDescent="0.3">
      <c r="A17">
        <v>44454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J17">
        <v>44454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S17">
        <v>44454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B17">
        <v>44454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K17">
        <v>44454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T17">
        <v>44454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C17">
        <v>44454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L17">
        <v>44454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U17">
        <v>44454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D17">
        <v>44454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M17">
        <v>44454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V17">
        <v>44454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E17">
        <v>44454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N17">
        <v>44454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W17">
        <v>44454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F17">
        <v>44454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O17">
        <v>44454</v>
      </c>
      <c r="EP17">
        <v>801240.27740972571</v>
      </c>
      <c r="EQ17">
        <v>16318.455942457284</v>
      </c>
      <c r="ER17">
        <v>9224.6044023703034</v>
      </c>
      <c r="ES17">
        <v>4086.8896551724142</v>
      </c>
      <c r="ET17">
        <v>29629.95</v>
      </c>
      <c r="EU17">
        <v>792015.6730073553</v>
      </c>
      <c r="EW17">
        <v>44454</v>
      </c>
      <c r="EX17">
        <v>156385.01190919019</v>
      </c>
      <c r="EY17">
        <v>3186.4575920242432</v>
      </c>
      <c r="EZ17">
        <v>2156.335511424033</v>
      </c>
      <c r="FA17">
        <v>854.84689655172417</v>
      </c>
      <c r="FB17">
        <v>6197.64</v>
      </c>
      <c r="FC17">
        <v>154228.67639776616</v>
      </c>
      <c r="FE17">
        <v>44454</v>
      </c>
      <c r="FF17">
        <v>156385.01190919679</v>
      </c>
      <c r="FG17">
        <v>3186.4575920253828</v>
      </c>
      <c r="FH17">
        <v>2156.3355114228934</v>
      </c>
      <c r="FI17">
        <v>854.84689655172417</v>
      </c>
      <c r="FJ17">
        <v>6197.64</v>
      </c>
      <c r="FK17">
        <v>154228.6763977739</v>
      </c>
      <c r="FM17">
        <v>44440</v>
      </c>
      <c r="FN17">
        <v>780429.246998669</v>
      </c>
      <c r="FO17">
        <v>9508.2689756260188</v>
      </c>
      <c r="FP17">
        <v>12513.739645063632</v>
      </c>
      <c r="FQ17">
        <v>3523.5213793103449</v>
      </c>
      <c r="FR17">
        <v>25545.53</v>
      </c>
      <c r="FS17">
        <v>767915.50735360524</v>
      </c>
      <c r="FU17">
        <v>44454</v>
      </c>
      <c r="FV17">
        <v>297327.58620689658</v>
      </c>
      <c r="FW17">
        <v>6485.1554655325153</v>
      </c>
      <c r="FX17">
        <v>2741.0083275709339</v>
      </c>
      <c r="FY17">
        <v>1476.186206896552</v>
      </c>
      <c r="FZ17">
        <v>10702.35</v>
      </c>
      <c r="GA17">
        <v>294586.57787932566</v>
      </c>
      <c r="GC17">
        <v>44451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K17">
        <v>44451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S17">
        <v>44451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HA17">
        <v>44451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I17">
        <v>44451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Q17">
        <v>44441</v>
      </c>
      <c r="HR17">
        <v>317087.09367513278</v>
      </c>
      <c r="HS17">
        <v>8732.614493220397</v>
      </c>
      <c r="HT17">
        <v>1989.5665412623605</v>
      </c>
      <c r="HU17">
        <v>1715.5489655172414</v>
      </c>
      <c r="HV17">
        <v>12437.73</v>
      </c>
      <c r="HW17">
        <v>315097.5271338704</v>
      </c>
      <c r="HY17">
        <v>44441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G17">
        <v>44460</v>
      </c>
      <c r="IH17">
        <v>533558.79088194575</v>
      </c>
      <c r="II17">
        <v>7462.8003221527788</v>
      </c>
      <c r="IJ17">
        <v>10886.759677847222</v>
      </c>
      <c r="IK17">
        <v>2935.9296000000004</v>
      </c>
      <c r="IL17">
        <v>21285.489600000001</v>
      </c>
      <c r="IM17">
        <v>522672.03120409854</v>
      </c>
      <c r="IO17">
        <v>44459</v>
      </c>
      <c r="IP17">
        <v>157973.7994549053</v>
      </c>
      <c r="IQ17">
        <v>2467.7048005769907</v>
      </c>
      <c r="IR17">
        <v>2501.2851994230082</v>
      </c>
      <c r="IS17">
        <v>795.03840000000002</v>
      </c>
      <c r="IT17">
        <v>5764.0283999999992</v>
      </c>
      <c r="IU17">
        <v>155472.5142554823</v>
      </c>
      <c r="IW17">
        <v>44441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E17">
        <v>44441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M17">
        <v>44441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U17">
        <v>44441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C17" s="3">
        <v>44441</v>
      </c>
      <c r="KD17" s="9">
        <v>3200386.818445662</v>
      </c>
      <c r="KE17" s="9">
        <v>57347.915183615602</v>
      </c>
      <c r="KF17" s="9">
        <v>44169.634816384387</v>
      </c>
      <c r="KG17" s="9">
        <v>0</v>
      </c>
      <c r="KH17" s="9">
        <v>16242.808000000005</v>
      </c>
      <c r="KI17" s="9">
        <v>117760.35799999999</v>
      </c>
      <c r="KJ17" s="9">
        <v>3156217.1836292772</v>
      </c>
      <c r="KL17" t="s">
        <v>1270</v>
      </c>
      <c r="KM17">
        <v>0.26</v>
      </c>
      <c r="KN17">
        <v>2.1666666666666667E-2</v>
      </c>
      <c r="KO17" t="s">
        <v>1271</v>
      </c>
      <c r="KP17">
        <v>29460.163793103449</v>
      </c>
      <c r="KQ17" t="s">
        <v>1264</v>
      </c>
    </row>
    <row r="18" spans="1:303" x14ac:dyDescent="0.3">
      <c r="A18">
        <v>44484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J18">
        <v>44484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S18">
        <v>44484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B18">
        <v>44484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K18">
        <v>44484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T18">
        <v>44484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C18">
        <v>44484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L18">
        <v>44484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U18">
        <v>44484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D18">
        <v>44484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M18">
        <v>44484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V18">
        <v>44484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E18">
        <v>44484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N18">
        <v>44484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W18">
        <v>44484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F18">
        <v>44484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O18">
        <v>44484</v>
      </c>
      <c r="EP18">
        <v>792015.6730073553</v>
      </c>
      <c r="EQ18">
        <v>16130.583084875389</v>
      </c>
      <c r="ER18">
        <v>9412.4772599522003</v>
      </c>
      <c r="ES18">
        <v>4086.8896551724142</v>
      </c>
      <c r="ET18">
        <v>29629.95</v>
      </c>
      <c r="EU18">
        <v>782603.1957474032</v>
      </c>
      <c r="EW18">
        <v>44484</v>
      </c>
      <c r="EX18">
        <v>154228.67639776616</v>
      </c>
      <c r="EY18">
        <v>3142.5206982168083</v>
      </c>
      <c r="EZ18">
        <v>2200.2724052314679</v>
      </c>
      <c r="FA18">
        <v>854.84689655172417</v>
      </c>
      <c r="FB18">
        <v>6197.64</v>
      </c>
      <c r="FC18">
        <v>152028.4039925347</v>
      </c>
      <c r="FE18">
        <v>44484</v>
      </c>
      <c r="FF18">
        <v>154228.6763977739</v>
      </c>
      <c r="FG18">
        <v>3142.520698217957</v>
      </c>
      <c r="FH18">
        <v>2200.2724052303192</v>
      </c>
      <c r="FI18">
        <v>854.84689655172417</v>
      </c>
      <c r="FJ18">
        <v>6197.64</v>
      </c>
      <c r="FK18">
        <v>152028.40399254358</v>
      </c>
      <c r="FM18">
        <v>44470</v>
      </c>
      <c r="FN18">
        <v>767915.50735360524</v>
      </c>
      <c r="FO18">
        <v>9355.8092838681787</v>
      </c>
      <c r="FP18">
        <v>12666.199336821472</v>
      </c>
      <c r="FQ18">
        <v>3523.5213793103449</v>
      </c>
      <c r="FR18">
        <v>25545.53</v>
      </c>
      <c r="FS18">
        <v>755249.30801678379</v>
      </c>
      <c r="FU18">
        <v>44484</v>
      </c>
      <c r="FV18">
        <v>294586.57787932566</v>
      </c>
      <c r="FW18">
        <v>6425.3700101585646</v>
      </c>
      <c r="FX18">
        <v>2800.7937829448847</v>
      </c>
      <c r="FY18">
        <v>1476.186206896552</v>
      </c>
      <c r="FZ18">
        <v>10702.35</v>
      </c>
      <c r="GA18">
        <v>291785.78409638075</v>
      </c>
      <c r="GC18">
        <v>44476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K18">
        <v>44476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S18">
        <v>44476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HA18">
        <v>44476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I18">
        <v>44476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Q18">
        <v>44471</v>
      </c>
      <c r="HR18">
        <v>315097.5271338704</v>
      </c>
      <c r="HS18">
        <v>8677.8216052094631</v>
      </c>
      <c r="HT18">
        <v>2044.3594292732944</v>
      </c>
      <c r="HU18">
        <v>1715.5489655172414</v>
      </c>
      <c r="HV18">
        <v>12437.73</v>
      </c>
      <c r="HW18">
        <v>313053.16770459712</v>
      </c>
      <c r="HY18">
        <v>44471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G18">
        <v>44490</v>
      </c>
      <c r="IH18">
        <v>522672.03120409854</v>
      </c>
      <c r="II18">
        <v>7310.5289792015292</v>
      </c>
      <c r="IJ18">
        <v>11039.031020798471</v>
      </c>
      <c r="IK18">
        <v>2935.9296000000004</v>
      </c>
      <c r="IL18">
        <v>21285.489600000001</v>
      </c>
      <c r="IM18">
        <v>511633.00018330006</v>
      </c>
      <c r="IO18">
        <v>44489</v>
      </c>
      <c r="IP18">
        <v>155472.5142554823</v>
      </c>
      <c r="IQ18">
        <v>2428.6322865555103</v>
      </c>
      <c r="IR18">
        <v>2540.3577134444886</v>
      </c>
      <c r="IS18">
        <v>795.03840000000002</v>
      </c>
      <c r="IT18">
        <v>5764.0283999999992</v>
      </c>
      <c r="IU18">
        <v>152932.15654203782</v>
      </c>
      <c r="IW18">
        <v>44471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E18">
        <v>44471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M18">
        <v>44471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U18">
        <v>44471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C18" s="3">
        <v>44471</v>
      </c>
      <c r="KD18" s="9">
        <v>3156217.1836292772</v>
      </c>
      <c r="KE18" s="9">
        <v>56613.786646303401</v>
      </c>
      <c r="KF18" s="9">
        <v>44903.763353696602</v>
      </c>
      <c r="KG18" s="9">
        <v>0</v>
      </c>
      <c r="KH18" s="9">
        <v>16242.808000000005</v>
      </c>
      <c r="KI18" s="9">
        <v>117760.35799999999</v>
      </c>
      <c r="KJ18" s="9">
        <v>3111313.4202755811</v>
      </c>
    </row>
    <row r="19" spans="1:303" x14ac:dyDescent="0.3">
      <c r="A19">
        <v>44515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J19">
        <v>44515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S19">
        <v>44515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B19">
        <v>44515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K19">
        <v>44515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T19">
        <v>44515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C19">
        <v>44515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L19">
        <v>44515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U19">
        <v>44515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D19">
        <v>44515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M19">
        <v>44515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V19">
        <v>44515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E19">
        <v>44515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N19">
        <v>44515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W19">
        <v>44515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F19">
        <v>44515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O19">
        <v>44515</v>
      </c>
      <c r="EP19">
        <v>782603.1957474032</v>
      </c>
      <c r="EQ19">
        <v>15938.883915716711</v>
      </c>
      <c r="ER19">
        <v>9604.1764291108757</v>
      </c>
      <c r="ES19">
        <v>4086.8896551724142</v>
      </c>
      <c r="ET19">
        <v>29629.95</v>
      </c>
      <c r="EU19">
        <v>772999.01931829227</v>
      </c>
      <c r="EW19">
        <v>44515</v>
      </c>
      <c r="EX19">
        <v>152028.4039925347</v>
      </c>
      <c r="EY19">
        <v>3097.688558457517</v>
      </c>
      <c r="EZ19">
        <v>2245.1045449907592</v>
      </c>
      <c r="FA19">
        <v>854.84689655172417</v>
      </c>
      <c r="FB19">
        <v>6197.64</v>
      </c>
      <c r="FC19">
        <v>149783.29944754395</v>
      </c>
      <c r="FE19">
        <v>44515</v>
      </c>
      <c r="FF19">
        <v>152028.40399254358</v>
      </c>
      <c r="FG19">
        <v>3097.6885584586748</v>
      </c>
      <c r="FH19">
        <v>2245.1045449896014</v>
      </c>
      <c r="FI19">
        <v>854.84689655172417</v>
      </c>
      <c r="FJ19">
        <v>6197.64</v>
      </c>
      <c r="FK19">
        <v>149783.29944755399</v>
      </c>
      <c r="FM19">
        <v>44501</v>
      </c>
      <c r="FN19">
        <v>755249.30801678379</v>
      </c>
      <c r="FO19">
        <v>9201.492117185162</v>
      </c>
      <c r="FP19">
        <v>12820.51650350449</v>
      </c>
      <c r="FQ19">
        <v>3523.5213793103449</v>
      </c>
      <c r="FR19">
        <v>25545.53</v>
      </c>
      <c r="FS19">
        <v>742428.79151327931</v>
      </c>
      <c r="FU19">
        <v>44515</v>
      </c>
      <c r="FV19">
        <v>291785.78409638075</v>
      </c>
      <c r="FW19">
        <v>6364.2805453665042</v>
      </c>
      <c r="FX19">
        <v>2861.8832477369451</v>
      </c>
      <c r="FY19">
        <v>1476.186206896552</v>
      </c>
      <c r="FZ19">
        <v>10702.35</v>
      </c>
      <c r="GA19">
        <v>288923.9008486438</v>
      </c>
      <c r="GC19">
        <v>44507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K19">
        <v>44507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S19">
        <v>44507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HA19">
        <v>44507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I19">
        <v>44507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Q19">
        <v>44502</v>
      </c>
      <c r="HR19">
        <v>313053.16770459712</v>
      </c>
      <c r="HS19">
        <v>8621.519714853388</v>
      </c>
      <c r="HT19">
        <v>2100.6613196293692</v>
      </c>
      <c r="HU19">
        <v>1715.5489655172414</v>
      </c>
      <c r="HV19">
        <v>12437.73</v>
      </c>
      <c r="HW19">
        <v>310952.50638496777</v>
      </c>
      <c r="HY19">
        <v>44502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G19">
        <v>44521</v>
      </c>
      <c r="IH19">
        <v>511633.00018330006</v>
      </c>
      <c r="II19">
        <v>7156.1278416584755</v>
      </c>
      <c r="IJ19">
        <v>11193.432158341526</v>
      </c>
      <c r="IK19">
        <v>2935.9296000000004</v>
      </c>
      <c r="IL19">
        <v>21285.489600000001</v>
      </c>
      <c r="IM19">
        <v>500439.56802495854</v>
      </c>
      <c r="IO19">
        <v>44520</v>
      </c>
      <c r="IP19">
        <v>152932.15654203782</v>
      </c>
      <c r="IQ19">
        <v>2388.9494217622305</v>
      </c>
      <c r="IR19">
        <v>2580.0405782377684</v>
      </c>
      <c r="IS19">
        <v>795.03840000000002</v>
      </c>
      <c r="IT19">
        <v>5764.0283999999992</v>
      </c>
      <c r="IU19">
        <v>150352.11596380005</v>
      </c>
      <c r="IW19">
        <v>44503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E19">
        <v>44502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M19">
        <v>44502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U19">
        <v>44502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C19" s="3">
        <v>44502</v>
      </c>
      <c r="KD19" s="9">
        <v>3111313.4202755811</v>
      </c>
      <c r="KE19" s="9">
        <v>55866.630673458669</v>
      </c>
      <c r="KF19" s="9">
        <v>45650.919326541341</v>
      </c>
      <c r="KG19" s="9">
        <v>0</v>
      </c>
      <c r="KH19" s="9">
        <v>16242.808000000005</v>
      </c>
      <c r="KI19" s="9">
        <v>117760.35799999999</v>
      </c>
      <c r="KJ19" s="9">
        <v>3065662.5009490396</v>
      </c>
      <c r="KL19" t="s">
        <v>1173</v>
      </c>
      <c r="KN19">
        <v>88501</v>
      </c>
      <c r="KO19" t="s">
        <v>1174</v>
      </c>
    </row>
    <row r="20" spans="1:303" x14ac:dyDescent="0.3">
      <c r="A20">
        <v>44545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J20">
        <v>44545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>
        <v>44545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B20">
        <v>44545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K20">
        <v>44545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T20">
        <v>44545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C20">
        <v>44545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L20">
        <v>44545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U20">
        <v>44545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D20">
        <v>44545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M20">
        <v>44545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V20">
        <v>44545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E20">
        <v>44545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N20">
        <v>44545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W20">
        <v>44545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F20">
        <v>44545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O20">
        <v>44545</v>
      </c>
      <c r="EP20">
        <v>772999.01931829227</v>
      </c>
      <c r="EQ20">
        <v>15743.280506426428</v>
      </c>
      <c r="ER20">
        <v>9799.7798384011585</v>
      </c>
      <c r="ES20">
        <v>4086.8896551724142</v>
      </c>
      <c r="ET20">
        <v>29629.95</v>
      </c>
      <c r="EU20">
        <v>763199.23947989126</v>
      </c>
      <c r="EW20">
        <v>44545</v>
      </c>
      <c r="EX20">
        <v>149783.29944754395</v>
      </c>
      <c r="EY20">
        <v>3051.9429314633644</v>
      </c>
      <c r="EZ20">
        <v>2290.8501719849119</v>
      </c>
      <c r="FA20">
        <v>854.84689655172417</v>
      </c>
      <c r="FB20">
        <v>6197.64</v>
      </c>
      <c r="FC20">
        <v>147492.44927555905</v>
      </c>
      <c r="FE20">
        <v>44545</v>
      </c>
      <c r="FF20">
        <v>149783.29944755399</v>
      </c>
      <c r="FG20">
        <v>3051.9429314645317</v>
      </c>
      <c r="FH20">
        <v>2290.8501719837445</v>
      </c>
      <c r="FI20">
        <v>854.84689655172417</v>
      </c>
      <c r="FJ20">
        <v>6197.64</v>
      </c>
      <c r="FK20">
        <v>147492.44927557025</v>
      </c>
      <c r="FM20">
        <v>44531</v>
      </c>
      <c r="FN20">
        <v>742428.79151327931</v>
      </c>
      <c r="FO20">
        <v>9045.2948452472228</v>
      </c>
      <c r="FP20">
        <v>12976.713775442428</v>
      </c>
      <c r="FQ20">
        <v>3523.5213793103449</v>
      </c>
      <c r="FR20">
        <v>25545.53</v>
      </c>
      <c r="FS20">
        <v>729452.07773783698</v>
      </c>
      <c r="FU20">
        <v>44545</v>
      </c>
      <c r="FV20">
        <v>288923.9008486438</v>
      </c>
      <c r="FW20">
        <v>6301.8586287776334</v>
      </c>
      <c r="FX20">
        <v>2924.3051643258159</v>
      </c>
      <c r="FY20">
        <v>1476.186206896552</v>
      </c>
      <c r="FZ20">
        <v>10702.35</v>
      </c>
      <c r="GA20">
        <v>285999.59568431799</v>
      </c>
      <c r="GC20">
        <v>44537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K20">
        <v>44537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S20">
        <v>44537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HA20">
        <v>44537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I20">
        <v>44537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Q20">
        <v>44532</v>
      </c>
      <c r="HR20">
        <v>310952.50638496777</v>
      </c>
      <c r="HS20">
        <v>8563.6672640565812</v>
      </c>
      <c r="HT20">
        <v>2158.5137704261761</v>
      </c>
      <c r="HU20">
        <v>1715.5489655172414</v>
      </c>
      <c r="HV20">
        <v>12437.73</v>
      </c>
      <c r="HW20">
        <v>308793.99261454161</v>
      </c>
      <c r="HY20">
        <v>44532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G20">
        <v>44551</v>
      </c>
      <c r="IH20">
        <v>500439.56802495854</v>
      </c>
      <c r="II20">
        <v>6999.5671204318824</v>
      </c>
      <c r="IJ20">
        <v>11349.992879568121</v>
      </c>
      <c r="IK20">
        <v>2935.9296000000004</v>
      </c>
      <c r="IL20">
        <v>21285.489600000001</v>
      </c>
      <c r="IM20">
        <v>489089.57514539041</v>
      </c>
      <c r="IO20">
        <v>44550</v>
      </c>
      <c r="IP20">
        <v>150352.11596380005</v>
      </c>
      <c r="IQ20">
        <v>2348.6466719228924</v>
      </c>
      <c r="IR20">
        <v>2620.3433280771064</v>
      </c>
      <c r="IS20">
        <v>795.03840000000002</v>
      </c>
      <c r="IT20">
        <v>5764.0283999999992</v>
      </c>
      <c r="IU20">
        <v>147731.77263572294</v>
      </c>
      <c r="IW20">
        <v>44533</v>
      </c>
      <c r="IX20">
        <v>350864.47827586206</v>
      </c>
      <c r="IY20">
        <v>5330.7582121987598</v>
      </c>
      <c r="IZ20">
        <v>5429.6217878012394</v>
      </c>
      <c r="JA20">
        <v>1721.6608000000001</v>
      </c>
      <c r="JB20">
        <v>12482.040800000001</v>
      </c>
      <c r="JC20">
        <v>345434.85648806079</v>
      </c>
      <c r="JE20">
        <v>44532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M20">
        <v>44532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U20">
        <v>44532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C20" s="3">
        <v>44532</v>
      </c>
      <c r="KD20" s="9">
        <v>3416526.9792249016</v>
      </c>
      <c r="KE20" s="9">
        <v>60436.959111989294</v>
      </c>
      <c r="KF20" s="9">
        <v>51840.970888010699</v>
      </c>
      <c r="KG20" s="9">
        <v>0</v>
      </c>
      <c r="KH20" s="9">
        <v>17964.468800000002</v>
      </c>
      <c r="KI20" s="9">
        <v>130242.3988</v>
      </c>
      <c r="KJ20" s="9">
        <v>3364686.008336891</v>
      </c>
      <c r="KL20" t="s">
        <v>1231</v>
      </c>
      <c r="KM20" t="s">
        <v>1232</v>
      </c>
      <c r="KO20" t="s">
        <v>1233</v>
      </c>
      <c r="KP20" t="s">
        <v>1238</v>
      </c>
    </row>
    <row r="21" spans="1:303" x14ac:dyDescent="0.3">
      <c r="A21">
        <v>44576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J21">
        <v>44576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>
        <v>44576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B21">
        <v>44576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K21">
        <v>44576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T21">
        <v>44576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C21">
        <v>44576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L21">
        <v>44576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U21">
        <v>44576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D21">
        <v>44576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M21">
        <v>44576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V21">
        <v>44576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E21">
        <v>44576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N21">
        <v>44576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W21">
        <v>44576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F21">
        <v>44576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O21">
        <v>44576</v>
      </c>
      <c r="EP21">
        <v>763199.23947989126</v>
      </c>
      <c r="EQ21">
        <v>15543.693341318212</v>
      </c>
      <c r="ER21">
        <v>9999.3670035093764</v>
      </c>
      <c r="ES21">
        <v>4086.8896551724142</v>
      </c>
      <c r="ET21">
        <v>29629.95</v>
      </c>
      <c r="EU21">
        <v>753199.87247638172</v>
      </c>
      <c r="EW21">
        <v>44576</v>
      </c>
      <c r="EX21">
        <v>147492.44927555905</v>
      </c>
      <c r="EY21">
        <v>3005.2652042720265</v>
      </c>
      <c r="EZ21">
        <v>2337.5278991762498</v>
      </c>
      <c r="FA21">
        <v>854.84689655172417</v>
      </c>
      <c r="FB21">
        <v>6197.64</v>
      </c>
      <c r="FC21">
        <v>145154.92137638279</v>
      </c>
      <c r="FE21">
        <v>44576</v>
      </c>
      <c r="FF21">
        <v>147492.44927557025</v>
      </c>
      <c r="FG21">
        <v>3005.2652042732025</v>
      </c>
      <c r="FH21">
        <v>2337.5278991750738</v>
      </c>
      <c r="FI21">
        <v>854.84689655172417</v>
      </c>
      <c r="FJ21">
        <v>6197.64</v>
      </c>
      <c r="FK21">
        <v>145154.92137639518</v>
      </c>
      <c r="FM21">
        <v>44562</v>
      </c>
      <c r="FN21">
        <v>729452.07773783698</v>
      </c>
      <c r="FO21">
        <v>8887.1945620106198</v>
      </c>
      <c r="FP21">
        <v>13134.814058679032</v>
      </c>
      <c r="FQ21">
        <v>3523.5213793103449</v>
      </c>
      <c r="FR21">
        <v>25545.53</v>
      </c>
      <c r="FS21">
        <v>716317.26367915794</v>
      </c>
      <c r="FU21">
        <v>44576</v>
      </c>
      <c r="FV21">
        <v>285999.59568431799</v>
      </c>
      <c r="FW21">
        <v>6238.0751976428037</v>
      </c>
      <c r="FX21">
        <v>2988.0885954606456</v>
      </c>
      <c r="FY21">
        <v>1476.186206896552</v>
      </c>
      <c r="FZ21">
        <v>10702.35</v>
      </c>
      <c r="GA21">
        <v>283011.50708885735</v>
      </c>
      <c r="GC21">
        <v>44562</v>
      </c>
      <c r="GD21">
        <v>479224.13793103449</v>
      </c>
      <c r="GE21">
        <v>10279.587393624171</v>
      </c>
      <c r="GF21">
        <v>4461.0763994792742</v>
      </c>
      <c r="GG21">
        <v>2358.5062068965517</v>
      </c>
      <c r="GH21">
        <v>17099.169999999998</v>
      </c>
      <c r="GI21">
        <v>474763.0615315552</v>
      </c>
      <c r="GK21">
        <v>44562</v>
      </c>
      <c r="GL21">
        <v>479224.13793103449</v>
      </c>
      <c r="GM21">
        <v>10279.587393624211</v>
      </c>
      <c r="GN21">
        <v>4461.0763994792342</v>
      </c>
      <c r="GO21">
        <v>2358.5062068965517</v>
      </c>
      <c r="GP21">
        <v>17099.169999999998</v>
      </c>
      <c r="GQ21">
        <v>474763.06153155526</v>
      </c>
      <c r="GS21">
        <v>44564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HA21">
        <v>44564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I21">
        <v>44564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Q21">
        <v>44563</v>
      </c>
      <c r="HR21">
        <v>308793.99261454161</v>
      </c>
      <c r="HS21">
        <v>8504.2215502087929</v>
      </c>
      <c r="HT21">
        <v>2217.9594842739643</v>
      </c>
      <c r="HU21">
        <v>1715.5489655172414</v>
      </c>
      <c r="HV21">
        <v>12437.73</v>
      </c>
      <c r="HW21">
        <v>306576.03313026763</v>
      </c>
      <c r="HY21">
        <v>44563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G21">
        <v>44582</v>
      </c>
      <c r="IH21">
        <v>489089.57514539041</v>
      </c>
      <c r="II21">
        <v>6840.8166097748217</v>
      </c>
      <c r="IJ21">
        <v>11508.74339022518</v>
      </c>
      <c r="IK21">
        <v>2935.9296000000004</v>
      </c>
      <c r="IL21">
        <v>21285.489600000001</v>
      </c>
      <c r="IM21">
        <v>477580.8317551653</v>
      </c>
      <c r="IO21">
        <v>44581</v>
      </c>
      <c r="IP21">
        <v>147731.77263572294</v>
      </c>
      <c r="IQ21">
        <v>2307.7143538285773</v>
      </c>
      <c r="IR21">
        <v>2661.2756461714216</v>
      </c>
      <c r="IS21">
        <v>795.03840000000002</v>
      </c>
      <c r="IT21">
        <v>5764.0283999999992</v>
      </c>
      <c r="IU21">
        <v>145070.49698955152</v>
      </c>
      <c r="IW21">
        <v>44564</v>
      </c>
      <c r="IX21">
        <v>345434.85648806079</v>
      </c>
      <c r="IY21">
        <v>5248.2648202296295</v>
      </c>
      <c r="IZ21">
        <v>5512.1151797703697</v>
      </c>
      <c r="JA21">
        <v>1721.6608000000001</v>
      </c>
      <c r="JB21">
        <v>12482.040800000001</v>
      </c>
      <c r="JC21">
        <v>339922.74130829039</v>
      </c>
      <c r="JE21">
        <v>44579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M21">
        <v>44563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U21">
        <v>44563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C21" s="3">
        <v>44563</v>
      </c>
      <c r="KD21" s="9">
        <v>4323134.2841989603</v>
      </c>
      <c r="KE21" s="9">
        <v>80139.685630807056</v>
      </c>
      <c r="KF21" s="9">
        <v>61619.571955399821</v>
      </c>
      <c r="KG21" s="9">
        <v>0</v>
      </c>
      <c r="KH21" s="9">
        <v>22681.481213793111</v>
      </c>
      <c r="KI21" s="9">
        <v>164440.73880000002</v>
      </c>
      <c r="KJ21" s="9">
        <v>4261514.7122435598</v>
      </c>
      <c r="KL21" t="s">
        <v>1263</v>
      </c>
      <c r="KM21">
        <v>2939804.9137931038</v>
      </c>
      <c r="KN21" t="s">
        <v>1264</v>
      </c>
      <c r="KO21" t="s">
        <v>1265</v>
      </c>
      <c r="KP21">
        <v>60</v>
      </c>
      <c r="KQ21" t="s">
        <v>1266</v>
      </c>
    </row>
    <row r="22" spans="1:303" x14ac:dyDescent="0.3">
      <c r="A22">
        <v>44607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J22">
        <v>44607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>
        <v>44607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B22">
        <v>44607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K22">
        <v>44607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T22">
        <v>44607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C22">
        <v>44607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L22">
        <v>44607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U22">
        <v>44607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D22">
        <v>44607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M22">
        <v>44607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V22">
        <v>44607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E22">
        <v>44607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N22">
        <v>44607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W22">
        <v>44607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F22">
        <v>44607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O22">
        <v>44607</v>
      </c>
      <c r="EP22">
        <v>753199.87247638172</v>
      </c>
      <c r="EQ22">
        <v>15340.041285249905</v>
      </c>
      <c r="ER22">
        <v>10203.019059577682</v>
      </c>
      <c r="ES22">
        <v>4086.8896551724142</v>
      </c>
      <c r="ET22">
        <v>29629.95</v>
      </c>
      <c r="EU22">
        <v>742996.85341680399</v>
      </c>
      <c r="EW22">
        <v>44607</v>
      </c>
      <c r="EX22">
        <v>145154.92137638279</v>
      </c>
      <c r="EY22">
        <v>2957.6363846686245</v>
      </c>
      <c r="EZ22">
        <v>2385.1567187796518</v>
      </c>
      <c r="FA22">
        <v>854.84689655172417</v>
      </c>
      <c r="FB22">
        <v>6197.64</v>
      </c>
      <c r="FC22">
        <v>142769.76465760314</v>
      </c>
      <c r="FE22">
        <v>44607</v>
      </c>
      <c r="FF22">
        <v>145154.92137639518</v>
      </c>
      <c r="FG22">
        <v>2957.63638466981</v>
      </c>
      <c r="FH22">
        <v>2385.1567187784663</v>
      </c>
      <c r="FI22">
        <v>854.84689655172417</v>
      </c>
      <c r="FJ22">
        <v>6197.64</v>
      </c>
      <c r="FK22">
        <v>142769.76465761673</v>
      </c>
      <c r="FM22">
        <v>44593</v>
      </c>
      <c r="FN22">
        <v>716317.26367915794</v>
      </c>
      <c r="FO22">
        <v>8727.1680823584957</v>
      </c>
      <c r="FP22">
        <v>13294.840538331156</v>
      </c>
      <c r="FQ22">
        <v>3523.5213793103449</v>
      </c>
      <c r="FR22">
        <v>25545.53</v>
      </c>
      <c r="FS22">
        <v>703022.42314082675</v>
      </c>
      <c r="FU22">
        <v>44607</v>
      </c>
      <c r="FV22">
        <v>283011.50708885735</v>
      </c>
      <c r="FW22">
        <v>6172.9005553112229</v>
      </c>
      <c r="FX22">
        <v>3053.2632377922264</v>
      </c>
      <c r="FY22">
        <v>1476.186206896552</v>
      </c>
      <c r="FZ22">
        <v>10702.35</v>
      </c>
      <c r="GA22">
        <v>279958.24385106511</v>
      </c>
      <c r="GC22">
        <v>44593</v>
      </c>
      <c r="GD22">
        <v>474763.0615315552</v>
      </c>
      <c r="GE22">
        <v>10183.895167193205</v>
      </c>
      <c r="GF22">
        <v>4556.7686259102429</v>
      </c>
      <c r="GG22">
        <v>2358.5062068965517</v>
      </c>
      <c r="GH22">
        <v>17099.169999999998</v>
      </c>
      <c r="GI22">
        <v>470206.29290564498</v>
      </c>
      <c r="GK22">
        <v>44593</v>
      </c>
      <c r="GL22">
        <v>474763.06153155526</v>
      </c>
      <c r="GM22">
        <v>10183.895167193245</v>
      </c>
      <c r="GN22">
        <v>4556.7686259102011</v>
      </c>
      <c r="GO22">
        <v>2358.5062068965517</v>
      </c>
      <c r="GP22">
        <v>17099.169999999998</v>
      </c>
      <c r="GQ22">
        <v>470206.29290564504</v>
      </c>
      <c r="GS22">
        <v>44595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HA22">
        <v>44595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I22">
        <v>44595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Q22">
        <v>44594</v>
      </c>
      <c r="HR22">
        <v>306576.03313026763</v>
      </c>
      <c r="HS22">
        <v>8443.13869466504</v>
      </c>
      <c r="HT22">
        <v>2279.0423398177172</v>
      </c>
      <c r="HU22">
        <v>1715.5489655172414</v>
      </c>
      <c r="HV22">
        <v>12437.73</v>
      </c>
      <c r="HW22">
        <v>304296.9907904499</v>
      </c>
      <c r="HY22">
        <v>44594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G22">
        <v>44613</v>
      </c>
      <c r="IH22">
        <v>477580.8317551653</v>
      </c>
      <c r="II22">
        <v>6679.8456814574783</v>
      </c>
      <c r="IJ22">
        <v>11669.714318542525</v>
      </c>
      <c r="IK22">
        <v>2935.9296000000004</v>
      </c>
      <c r="IL22">
        <v>21285.489600000001</v>
      </c>
      <c r="IM22">
        <v>465911.11743662274</v>
      </c>
      <c r="IO22">
        <v>44612</v>
      </c>
      <c r="IP22">
        <v>145070.49698955152</v>
      </c>
      <c r="IQ22">
        <v>2266.1426330091986</v>
      </c>
      <c r="IR22">
        <v>2702.8473669908003</v>
      </c>
      <c r="IS22">
        <v>795.03840000000002</v>
      </c>
      <c r="IT22">
        <v>5764.0283999999992</v>
      </c>
      <c r="IU22">
        <v>142367.64962256071</v>
      </c>
      <c r="IW22">
        <v>44595</v>
      </c>
      <c r="IX22">
        <v>339922.74130829039</v>
      </c>
      <c r="IY22">
        <v>5164.5180887122724</v>
      </c>
      <c r="IZ22">
        <v>5595.8619112877268</v>
      </c>
      <c r="JA22">
        <v>1721.6608000000001</v>
      </c>
      <c r="JB22">
        <v>12482.040800000001</v>
      </c>
      <c r="JC22">
        <v>334326.87939700269</v>
      </c>
      <c r="JE22">
        <v>44610</v>
      </c>
      <c r="JF22">
        <v>148562.1</v>
      </c>
      <c r="JG22">
        <v>2396.6238456169785</v>
      </c>
      <c r="JH22">
        <v>2258.6161543830212</v>
      </c>
      <c r="JI22">
        <v>744.83839999999998</v>
      </c>
      <c r="JJ22">
        <v>5400.0783999999994</v>
      </c>
      <c r="JK22">
        <v>146303.48384561698</v>
      </c>
      <c r="JM22">
        <v>44594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U22">
        <v>44594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C22" s="3">
        <v>44594</v>
      </c>
      <c r="KD22" s="9">
        <v>4410076.8122435594</v>
      </c>
      <c r="KE22" s="9">
        <v>81473.441970105458</v>
      </c>
      <c r="KF22" s="9">
        <v>64941.05561610141</v>
      </c>
      <c r="KG22" s="9">
        <v>0</v>
      </c>
      <c r="KH22" s="9">
        <v>23426.319613793112</v>
      </c>
      <c r="KI22" s="9">
        <v>169840.81720000002</v>
      </c>
      <c r="KJ22" s="9">
        <v>4345135.7566274591</v>
      </c>
      <c r="KL22" t="s">
        <v>1267</v>
      </c>
      <c r="KM22">
        <v>0</v>
      </c>
      <c r="KN22" t="s">
        <v>1264</v>
      </c>
      <c r="KO22" t="s">
        <v>1268</v>
      </c>
      <c r="KP22">
        <v>106985.85</v>
      </c>
      <c r="KQ22" t="s">
        <v>1269</v>
      </c>
    </row>
    <row r="23" spans="1:303" x14ac:dyDescent="0.3">
      <c r="A23">
        <v>44635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J23">
        <v>44635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>
        <v>44635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B23">
        <v>44635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K23">
        <v>44635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T23">
        <v>44635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C23">
        <v>44635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L23">
        <v>44635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U23">
        <v>44635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D23">
        <v>44635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M23">
        <v>44635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V23">
        <v>44635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E23">
        <v>44635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N23">
        <v>44635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W23">
        <v>44635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F23">
        <v>44635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O23">
        <v>44635</v>
      </c>
      <c r="EP23">
        <v>742996.85341680399</v>
      </c>
      <c r="EQ23">
        <v>15132.24155064092</v>
      </c>
      <c r="ER23">
        <v>10410.818794186667</v>
      </c>
      <c r="ES23">
        <v>4086.8896551724142</v>
      </c>
      <c r="ET23">
        <v>29629.95</v>
      </c>
      <c r="EU23">
        <v>732586.0346226173</v>
      </c>
      <c r="EW23">
        <v>44635</v>
      </c>
      <c r="EX23">
        <v>142769.76465760314</v>
      </c>
      <c r="EY23">
        <v>2909.0370934581833</v>
      </c>
      <c r="EZ23">
        <v>2433.7560099900929</v>
      </c>
      <c r="FA23">
        <v>854.84689655172417</v>
      </c>
      <c r="FB23">
        <v>6197.64</v>
      </c>
      <c r="FC23">
        <v>140336.00864761305</v>
      </c>
      <c r="FE23">
        <v>44635</v>
      </c>
      <c r="FF23">
        <v>142769.76465761673</v>
      </c>
      <c r="FG23">
        <v>2909.037093459378</v>
      </c>
      <c r="FH23">
        <v>2433.7560099888983</v>
      </c>
      <c r="FI23">
        <v>854.84689655172417</v>
      </c>
      <c r="FJ23">
        <v>6197.64</v>
      </c>
      <c r="FK23">
        <v>140336.00864762784</v>
      </c>
      <c r="FM23">
        <v>44621</v>
      </c>
      <c r="FN23">
        <v>703022.42314082675</v>
      </c>
      <c r="FO23">
        <v>8565.1919387008184</v>
      </c>
      <c r="FP23">
        <v>13456.816681988834</v>
      </c>
      <c r="FQ23">
        <v>3523.5213793103449</v>
      </c>
      <c r="FR23">
        <v>25545.53</v>
      </c>
      <c r="FS23">
        <v>689565.60645883786</v>
      </c>
      <c r="FU23">
        <v>44635</v>
      </c>
      <c r="FV23">
        <v>279958.24385106511</v>
      </c>
      <c r="FW23">
        <v>6106.3043574041121</v>
      </c>
      <c r="FX23">
        <v>3119.8594356993372</v>
      </c>
      <c r="FY23">
        <v>1476.186206896552</v>
      </c>
      <c r="FZ23">
        <v>10702.35</v>
      </c>
      <c r="GA23">
        <v>276838.38441536576</v>
      </c>
      <c r="GC23">
        <v>44621</v>
      </c>
      <c r="GD23">
        <v>470206.29290564498</v>
      </c>
      <c r="GE23">
        <v>10086.150296651416</v>
      </c>
      <c r="GF23">
        <v>4654.5134964520294</v>
      </c>
      <c r="GG23">
        <v>2358.5062068965517</v>
      </c>
      <c r="GH23">
        <v>17099.169999999998</v>
      </c>
      <c r="GI23">
        <v>465551.77940919297</v>
      </c>
      <c r="GK23">
        <v>44621</v>
      </c>
      <c r="GL23">
        <v>470206.29290564504</v>
      </c>
      <c r="GM23">
        <v>10086.150296651456</v>
      </c>
      <c r="GN23">
        <v>4654.5134964519893</v>
      </c>
      <c r="GO23">
        <v>2358.5062068965517</v>
      </c>
      <c r="GP23">
        <v>17099.169999999998</v>
      </c>
      <c r="GQ23">
        <v>465551.77940919303</v>
      </c>
      <c r="GS23">
        <v>44623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HA23">
        <v>44623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I23">
        <v>44623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Q23">
        <v>44622</v>
      </c>
      <c r="HR23">
        <v>304296.9907904499</v>
      </c>
      <c r="HS23">
        <v>8380.3736103574902</v>
      </c>
      <c r="HT23">
        <v>2341.8074241252671</v>
      </c>
      <c r="HU23">
        <v>1715.5489655172414</v>
      </c>
      <c r="HV23">
        <v>12437.73</v>
      </c>
      <c r="HW23">
        <v>301955.18336632464</v>
      </c>
      <c r="HY23">
        <v>44622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G23">
        <v>44641</v>
      </c>
      <c r="IH23">
        <v>465911.11743662274</v>
      </c>
      <c r="II23">
        <v>6516.6232788579509</v>
      </c>
      <c r="IJ23">
        <v>11832.93672114205</v>
      </c>
      <c r="IK23">
        <v>2935.9296000000004</v>
      </c>
      <c r="IL23">
        <v>21285.489600000001</v>
      </c>
      <c r="IM23">
        <v>454078.1807154807</v>
      </c>
      <c r="IO23">
        <v>44640</v>
      </c>
      <c r="IP23">
        <v>142367.64962256071</v>
      </c>
      <c r="IQ23">
        <v>2223.921521370657</v>
      </c>
      <c r="IR23">
        <v>2745.0684786293418</v>
      </c>
      <c r="IS23">
        <v>795.03840000000002</v>
      </c>
      <c r="IT23">
        <v>5764.0283999999992</v>
      </c>
      <c r="IU23">
        <v>139622.58114393137</v>
      </c>
      <c r="IW23">
        <v>44623</v>
      </c>
      <c r="IX23">
        <v>334326.87939700269</v>
      </c>
      <c r="IY23">
        <v>5079.4989753938999</v>
      </c>
      <c r="IZ23">
        <v>5680.8810246060993</v>
      </c>
      <c r="JA23">
        <v>1721.6608000000001</v>
      </c>
      <c r="JB23">
        <v>12482.040800000001</v>
      </c>
      <c r="JC23">
        <v>328645.99837239657</v>
      </c>
      <c r="JE23">
        <v>44638</v>
      </c>
      <c r="JF23">
        <v>146303.48384561698</v>
      </c>
      <c r="JG23">
        <v>2360.1875450148054</v>
      </c>
      <c r="JH23">
        <v>2295.0524549851943</v>
      </c>
      <c r="JI23">
        <v>744.83839999999998</v>
      </c>
      <c r="JJ23">
        <v>5400.0783999999994</v>
      </c>
      <c r="JK23">
        <v>144008.4313906318</v>
      </c>
      <c r="JM23">
        <v>44622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U23">
        <v>44622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C23" s="3">
        <v>44622</v>
      </c>
      <c r="KD23" s="9">
        <v>4345135.7566274591</v>
      </c>
      <c r="KE23" s="9">
        <v>80354.717557961107</v>
      </c>
      <c r="KF23" s="9">
        <v>66059.78002824579</v>
      </c>
      <c r="KG23" s="9">
        <v>0</v>
      </c>
      <c r="KH23" s="9">
        <v>23426.319613793112</v>
      </c>
      <c r="KI23" s="9">
        <v>169840.81720000002</v>
      </c>
      <c r="KJ23" s="9">
        <v>4279075.9765992127</v>
      </c>
      <c r="KL23" t="s">
        <v>1270</v>
      </c>
      <c r="KM23">
        <v>0.26</v>
      </c>
      <c r="KN23">
        <v>2.1666666666666667E-2</v>
      </c>
      <c r="KO23" t="s">
        <v>1271</v>
      </c>
      <c r="KP23">
        <v>58795.965517241391</v>
      </c>
      <c r="KQ23" t="s">
        <v>1264</v>
      </c>
    </row>
    <row r="24" spans="1:303" x14ac:dyDescent="0.3">
      <c r="A24">
        <v>44666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J24">
        <v>44666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>
        <v>44666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B24">
        <v>44666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K24">
        <v>44666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T24">
        <v>44666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C24">
        <v>44666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L24">
        <v>44666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U24">
        <v>44666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D24">
        <v>44666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M24">
        <v>44666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V24">
        <v>44666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E24">
        <v>44666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N24">
        <v>44666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W24">
        <v>44666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F24">
        <v>44666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O24">
        <v>44666</v>
      </c>
      <c r="EP24">
        <v>732586.0346226173</v>
      </c>
      <c r="EQ24">
        <v>14920.209663817828</v>
      </c>
      <c r="ER24">
        <v>10622.850681009761</v>
      </c>
      <c r="ES24">
        <v>4086.8896551724142</v>
      </c>
      <c r="ET24">
        <v>29629.95</v>
      </c>
      <c r="EU24">
        <v>721963.1839416076</v>
      </c>
      <c r="EW24">
        <v>44666</v>
      </c>
      <c r="EX24">
        <v>140336.00864761305</v>
      </c>
      <c r="EY24">
        <v>2859.4475565806292</v>
      </c>
      <c r="EZ24">
        <v>2483.345546867647</v>
      </c>
      <c r="FA24">
        <v>854.84689655172417</v>
      </c>
      <c r="FB24">
        <v>6197.64</v>
      </c>
      <c r="FC24">
        <v>137852.66310074541</v>
      </c>
      <c r="FE24">
        <v>44666</v>
      </c>
      <c r="FF24">
        <v>140336.00864762784</v>
      </c>
      <c r="FG24">
        <v>2859.447556581832</v>
      </c>
      <c r="FH24">
        <v>2483.3455468664438</v>
      </c>
      <c r="FI24">
        <v>854.84689655172417</v>
      </c>
      <c r="FJ24">
        <v>6197.64</v>
      </c>
      <c r="FK24">
        <v>137852.66310076139</v>
      </c>
      <c r="FM24">
        <v>44652</v>
      </c>
      <c r="FN24">
        <v>689565.60645883786</v>
      </c>
      <c r="FO24">
        <v>8401.2423775328989</v>
      </c>
      <c r="FP24">
        <v>13620.766243156751</v>
      </c>
      <c r="FQ24">
        <v>3523.5213793103449</v>
      </c>
      <c r="FR24">
        <v>25545.53</v>
      </c>
      <c r="FS24">
        <v>675944.84021568112</v>
      </c>
      <c r="FU24">
        <v>44666</v>
      </c>
      <c r="FV24">
        <v>276838.38441536576</v>
      </c>
      <c r="FW24">
        <v>6038.2555976868089</v>
      </c>
      <c r="FX24">
        <v>3187.9081954166404</v>
      </c>
      <c r="FY24">
        <v>1476.186206896552</v>
      </c>
      <c r="FZ24">
        <v>10702.35</v>
      </c>
      <c r="GA24">
        <v>273650.47621994914</v>
      </c>
      <c r="GC24">
        <v>44652</v>
      </c>
      <c r="GD24">
        <v>465551.77940919297</v>
      </c>
      <c r="GE24">
        <v>9986.3087517990425</v>
      </c>
      <c r="GF24">
        <v>4754.3550413044031</v>
      </c>
      <c r="GG24">
        <v>2358.5062068965517</v>
      </c>
      <c r="GH24">
        <v>17099.169999999998</v>
      </c>
      <c r="GI24">
        <v>460797.42436788854</v>
      </c>
      <c r="GK24">
        <v>44652</v>
      </c>
      <c r="GL24">
        <v>465551.77940919303</v>
      </c>
      <c r="GM24">
        <v>9986.3087517990825</v>
      </c>
      <c r="GN24">
        <v>4754.3550413043631</v>
      </c>
      <c r="GO24">
        <v>2358.5062068965517</v>
      </c>
      <c r="GP24">
        <v>17099.169999999998</v>
      </c>
      <c r="GQ24">
        <v>460797.42436788866</v>
      </c>
      <c r="GS24">
        <v>44674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HA24">
        <v>44674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I24">
        <v>44674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Q24">
        <v>44653</v>
      </c>
      <c r="HR24">
        <v>301955.18336632464</v>
      </c>
      <c r="HS24">
        <v>8315.8799685153554</v>
      </c>
      <c r="HT24">
        <v>2406.3010659674019</v>
      </c>
      <c r="HU24">
        <v>1715.5489655172414</v>
      </c>
      <c r="HV24">
        <v>12437.73</v>
      </c>
      <c r="HW24">
        <v>299548.88230035722</v>
      </c>
      <c r="HY24">
        <v>44653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G24">
        <v>44672</v>
      </c>
      <c r="IH24">
        <v>454078.1807154807</v>
      </c>
      <c r="II24">
        <v>6351.1179109704026</v>
      </c>
      <c r="IJ24">
        <v>11998.442089029601</v>
      </c>
      <c r="IK24">
        <v>2935.9296000000004</v>
      </c>
      <c r="IL24">
        <v>21285.489600000001</v>
      </c>
      <c r="IM24">
        <v>442079.73862645112</v>
      </c>
      <c r="IO24">
        <v>44671</v>
      </c>
      <c r="IP24">
        <v>139622.58114393137</v>
      </c>
      <c r="IQ24">
        <v>2181.0408747950842</v>
      </c>
      <c r="IR24">
        <v>2787.9491252049147</v>
      </c>
      <c r="IS24">
        <v>795.03840000000002</v>
      </c>
      <c r="IT24">
        <v>5764.0283999999992</v>
      </c>
      <c r="IU24">
        <v>136834.63201872646</v>
      </c>
      <c r="IW24">
        <v>44654</v>
      </c>
      <c r="IX24">
        <v>328645.99837239657</v>
      </c>
      <c r="IY24">
        <v>4993.1881487087503</v>
      </c>
      <c r="IZ24">
        <v>5767.1918512912489</v>
      </c>
      <c r="JA24">
        <v>1721.6608000000001</v>
      </c>
      <c r="JB24">
        <v>12482.040800000001</v>
      </c>
      <c r="JC24">
        <v>322878.80652110535</v>
      </c>
      <c r="JE24">
        <v>44669</v>
      </c>
      <c r="JF24">
        <v>144008.4313906318</v>
      </c>
      <c r="JG24">
        <v>2323.1634490942492</v>
      </c>
      <c r="JH24">
        <v>2332.0765509057505</v>
      </c>
      <c r="JI24">
        <v>744.83839999999998</v>
      </c>
      <c r="JJ24">
        <v>5400.0783999999994</v>
      </c>
      <c r="JK24">
        <v>141676.35483972606</v>
      </c>
      <c r="JM24">
        <v>44653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U24">
        <v>44653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C24" s="3">
        <v>44653</v>
      </c>
      <c r="KD24" s="9">
        <v>4279075.9765992127</v>
      </c>
      <c r="KE24" s="9">
        <v>79215.610607881972</v>
      </c>
      <c r="KF24" s="9">
        <v>67198.886978324925</v>
      </c>
      <c r="KG24" s="9">
        <v>0</v>
      </c>
      <c r="KH24" s="9">
        <v>23426.319613793112</v>
      </c>
      <c r="KI24" s="9">
        <v>169840.81720000002</v>
      </c>
      <c r="KJ24" s="9">
        <v>4211877.0896208882</v>
      </c>
    </row>
    <row r="25" spans="1:303" x14ac:dyDescent="0.3">
      <c r="A25">
        <v>44696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J25">
        <v>44696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S25">
        <v>44696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B25">
        <v>44696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K25">
        <v>44696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T25">
        <v>44696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C25">
        <v>44696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L25">
        <v>44696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U25">
        <v>44696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D25">
        <v>44696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M25">
        <v>44696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V25">
        <v>44696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E25">
        <v>44696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N25">
        <v>44696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W25">
        <v>44696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F25">
        <v>44696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O25">
        <v>44696</v>
      </c>
      <c r="EP25">
        <v>721963.1839416076</v>
      </c>
      <c r="EQ25">
        <v>14703.859430674574</v>
      </c>
      <c r="ER25">
        <v>10839.200914153012</v>
      </c>
      <c r="ES25">
        <v>4086.8896551724142</v>
      </c>
      <c r="ET25">
        <v>29629.95</v>
      </c>
      <c r="EU25">
        <v>711123.98302745458</v>
      </c>
      <c r="EW25">
        <v>44696</v>
      </c>
      <c r="EX25">
        <v>137852.66310074541</v>
      </c>
      <c r="EY25">
        <v>2808.8475970651293</v>
      </c>
      <c r="EZ25">
        <v>2533.9455063831469</v>
      </c>
      <c r="FA25">
        <v>854.84689655172417</v>
      </c>
      <c r="FB25">
        <v>6197.64</v>
      </c>
      <c r="FC25">
        <v>135318.71759436227</v>
      </c>
      <c r="FE25">
        <v>44696</v>
      </c>
      <c r="FF25">
        <v>137852.66310076139</v>
      </c>
      <c r="FG25">
        <v>2808.8475970663408</v>
      </c>
      <c r="FH25">
        <v>2533.9455063819355</v>
      </c>
      <c r="FI25">
        <v>854.84689655172417</v>
      </c>
      <c r="FJ25">
        <v>6197.64</v>
      </c>
      <c r="FK25">
        <v>135318.71759437944</v>
      </c>
      <c r="FM25">
        <v>44682</v>
      </c>
      <c r="FN25">
        <v>675944.84021568112</v>
      </c>
      <c r="FO25">
        <v>8235.2953559519901</v>
      </c>
      <c r="FP25">
        <v>13786.713264737662</v>
      </c>
      <c r="FQ25">
        <v>3523.5213793103449</v>
      </c>
      <c r="FR25">
        <v>25545.53</v>
      </c>
      <c r="FS25">
        <v>662158.12695094349</v>
      </c>
      <c r="FU25">
        <v>44696</v>
      </c>
      <c r="FV25">
        <v>273650.47621994914</v>
      </c>
      <c r="FW25">
        <v>5968.7225936327022</v>
      </c>
      <c r="FX25">
        <v>3257.4411994707471</v>
      </c>
      <c r="FY25">
        <v>1476.186206896552</v>
      </c>
      <c r="FZ25">
        <v>10702.35</v>
      </c>
      <c r="GA25">
        <v>270393.03502047842</v>
      </c>
      <c r="GC25">
        <v>44682</v>
      </c>
      <c r="GD25">
        <v>460797.42436788854</v>
      </c>
      <c r="GE25">
        <v>9884.3255579674333</v>
      </c>
      <c r="GF25">
        <v>4856.3382351360124</v>
      </c>
      <c r="GG25">
        <v>2358.5062068965517</v>
      </c>
      <c r="GH25">
        <v>17099.169999999998</v>
      </c>
      <c r="GI25">
        <v>455941.08613275253</v>
      </c>
      <c r="GK25">
        <v>44682</v>
      </c>
      <c r="GL25">
        <v>460797.42436788866</v>
      </c>
      <c r="GM25">
        <v>9884.3255579674733</v>
      </c>
      <c r="GN25">
        <v>4856.3382351359724</v>
      </c>
      <c r="GO25">
        <v>2358.5062068965517</v>
      </c>
      <c r="GP25">
        <v>17099.169999999998</v>
      </c>
      <c r="GQ25">
        <v>455941.08613275271</v>
      </c>
      <c r="GS25">
        <v>44704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HA25">
        <v>44704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I25">
        <v>44704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Q25">
        <v>44683</v>
      </c>
      <c r="HR25">
        <v>299548.88230035722</v>
      </c>
      <c r="HS25">
        <v>8249.6101644682458</v>
      </c>
      <c r="HT25">
        <v>2472.5708700145115</v>
      </c>
      <c r="HU25">
        <v>1715.5489655172414</v>
      </c>
      <c r="HV25">
        <v>12437.73</v>
      </c>
      <c r="HW25">
        <v>297076.31143034273</v>
      </c>
      <c r="HY25">
        <v>44683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G25">
        <v>44702</v>
      </c>
      <c r="IH25">
        <v>442079.73862645112</v>
      </c>
      <c r="II25">
        <v>6183.2976463293999</v>
      </c>
      <c r="IJ25">
        <v>12166.2623536706</v>
      </c>
      <c r="IK25">
        <v>2935.9296000000004</v>
      </c>
      <c r="IL25">
        <v>21285.489600000001</v>
      </c>
      <c r="IM25">
        <v>429913.47627278051</v>
      </c>
      <c r="IO25">
        <v>44701</v>
      </c>
      <c r="IP25">
        <v>136834.63201872646</v>
      </c>
      <c r="IQ25">
        <v>2137.4903907035978</v>
      </c>
      <c r="IR25">
        <v>2831.4996092964011</v>
      </c>
      <c r="IS25">
        <v>795.03840000000002</v>
      </c>
      <c r="IT25">
        <v>5764.0283999999992</v>
      </c>
      <c r="IU25">
        <v>134003.13240943005</v>
      </c>
      <c r="IW25">
        <v>44684</v>
      </c>
      <c r="IX25">
        <v>322878.80652110535</v>
      </c>
      <c r="IY25">
        <v>4905.5659833824993</v>
      </c>
      <c r="IZ25">
        <v>5854.8140166174999</v>
      </c>
      <c r="JA25">
        <v>1721.6608000000001</v>
      </c>
      <c r="JB25">
        <v>12482.040800000001</v>
      </c>
      <c r="JC25">
        <v>317023.99250448786</v>
      </c>
      <c r="JE25">
        <v>44699</v>
      </c>
      <c r="JF25">
        <v>141676.35483972606</v>
      </c>
      <c r="JG25">
        <v>2285.5420754619104</v>
      </c>
      <c r="JH25">
        <v>2369.6979245380894</v>
      </c>
      <c r="JI25">
        <v>744.83839999999998</v>
      </c>
      <c r="JJ25">
        <v>5400.0783999999994</v>
      </c>
      <c r="JK25">
        <v>139306.65691518798</v>
      </c>
      <c r="JM25">
        <v>44683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U25">
        <v>44683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C25" s="3">
        <v>44683</v>
      </c>
      <c r="KD25" s="9">
        <v>4211877.0896208882</v>
      </c>
      <c r="KE25" s="9">
        <v>78055.729950671303</v>
      </c>
      <c r="KF25" s="9">
        <v>68358.767635535594</v>
      </c>
      <c r="KG25" s="9">
        <v>0</v>
      </c>
      <c r="KH25" s="9">
        <v>23426.319613793112</v>
      </c>
      <c r="KI25" s="9">
        <v>169840.81720000002</v>
      </c>
      <c r="KJ25" s="9">
        <v>4143518.3219853528</v>
      </c>
      <c r="KL25" t="s">
        <v>1175</v>
      </c>
      <c r="KN25">
        <v>76185</v>
      </c>
      <c r="KO25" t="s">
        <v>1176</v>
      </c>
    </row>
    <row r="26" spans="1:303" x14ac:dyDescent="0.3">
      <c r="A26">
        <v>44727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J26">
        <v>44727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S26">
        <v>44727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B26">
        <v>44727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K26">
        <v>44727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T26">
        <v>44727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C26">
        <v>44727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L26">
        <v>44727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U26">
        <v>44727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D26">
        <v>44727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M26">
        <v>44727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V26">
        <v>44727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E26">
        <v>44727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N26">
        <v>44727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W26">
        <v>44727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F26">
        <v>44727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O26">
        <v>44727</v>
      </c>
      <c r="EP26">
        <v>711123.98302745458</v>
      </c>
      <c r="EQ26">
        <v>14483.102901633289</v>
      </c>
      <c r="ER26">
        <v>11059.957443194298</v>
      </c>
      <c r="ES26">
        <v>4086.8896551724142</v>
      </c>
      <c r="ET26">
        <v>29629.95</v>
      </c>
      <c r="EU26">
        <v>700064.02558426023</v>
      </c>
      <c r="EW26">
        <v>44727</v>
      </c>
      <c r="EX26">
        <v>135318.71759436227</v>
      </c>
      <c r="EY26">
        <v>2757.2166268204942</v>
      </c>
      <c r="EZ26">
        <v>2585.5764766277816</v>
      </c>
      <c r="FA26">
        <v>854.84689655172417</v>
      </c>
      <c r="FB26">
        <v>6197.64</v>
      </c>
      <c r="FC26">
        <v>132733.14111773449</v>
      </c>
      <c r="FE26">
        <v>44727</v>
      </c>
      <c r="FF26">
        <v>135318.71759437944</v>
      </c>
      <c r="FG26">
        <v>2757.2166268217138</v>
      </c>
      <c r="FH26">
        <v>2585.5764766265625</v>
      </c>
      <c r="FI26">
        <v>854.84689655172417</v>
      </c>
      <c r="FJ26">
        <v>6197.64</v>
      </c>
      <c r="FK26">
        <v>132733.14111775288</v>
      </c>
      <c r="FM26">
        <v>44713</v>
      </c>
      <c r="FN26">
        <v>662158.12695094349</v>
      </c>
      <c r="FO26">
        <v>8067.3265381314286</v>
      </c>
      <c r="FP26">
        <v>13954.682082558222</v>
      </c>
      <c r="FQ26">
        <v>3523.5213793103449</v>
      </c>
      <c r="FR26">
        <v>25545.53</v>
      </c>
      <c r="FS26">
        <v>648203.44486838533</v>
      </c>
      <c r="FU26">
        <v>44727</v>
      </c>
      <c r="FV26">
        <v>270393.03502047842</v>
      </c>
      <c r="FW26">
        <v>5897.6729716723021</v>
      </c>
      <c r="FX26">
        <v>3328.4908214311472</v>
      </c>
      <c r="FY26">
        <v>1476.186206896552</v>
      </c>
      <c r="FZ26">
        <v>10702.35</v>
      </c>
      <c r="GA26">
        <v>267064.54419904726</v>
      </c>
      <c r="GC26">
        <v>44713</v>
      </c>
      <c r="GD26">
        <v>455941.08613275253</v>
      </c>
      <c r="GE26">
        <v>9780.1547757597473</v>
      </c>
      <c r="GF26">
        <v>4960.5090173436984</v>
      </c>
      <c r="GG26">
        <v>2358.5062068965517</v>
      </c>
      <c r="GH26">
        <v>17099.169999999998</v>
      </c>
      <c r="GI26">
        <v>450980.57711540879</v>
      </c>
      <c r="GK26">
        <v>44713</v>
      </c>
      <c r="GL26">
        <v>455941.08613275271</v>
      </c>
      <c r="GM26">
        <v>9780.1547757597891</v>
      </c>
      <c r="GN26">
        <v>4960.5090173436565</v>
      </c>
      <c r="GO26">
        <v>2358.5062068965517</v>
      </c>
      <c r="GP26">
        <v>17099.169999999998</v>
      </c>
      <c r="GQ26">
        <v>450980.57711540913</v>
      </c>
      <c r="GS26">
        <v>44713</v>
      </c>
      <c r="GT26">
        <v>570862.06896551733</v>
      </c>
      <c r="GU26">
        <v>13231.079116659595</v>
      </c>
      <c r="GV26">
        <v>5074.1105385128176</v>
      </c>
      <c r="GW26">
        <v>2928.8303448275869</v>
      </c>
      <c r="GX26">
        <v>21234.02</v>
      </c>
      <c r="GY26">
        <v>565787.95842700452</v>
      </c>
      <c r="HA26">
        <v>44735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I26">
        <v>44735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Q26">
        <v>44714</v>
      </c>
      <c r="HR26">
        <v>297076.31143034273</v>
      </c>
      <c r="HS26">
        <v>8181.5152825077548</v>
      </c>
      <c r="HT26">
        <v>2540.6657519750015</v>
      </c>
      <c r="HU26">
        <v>1715.5489655172414</v>
      </c>
      <c r="HV26">
        <v>12437.73</v>
      </c>
      <c r="HW26">
        <v>294535.6456783677</v>
      </c>
      <c r="HY26">
        <v>44714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G26">
        <v>44733</v>
      </c>
      <c r="IH26">
        <v>429913.47627278051</v>
      </c>
      <c r="II26">
        <v>6013.1301068492803</v>
      </c>
      <c r="IJ26">
        <v>12336.429893150722</v>
      </c>
      <c r="IK26">
        <v>2935.9296000000004</v>
      </c>
      <c r="IL26">
        <v>21285.489600000001</v>
      </c>
      <c r="IM26">
        <v>417577.04637962976</v>
      </c>
      <c r="IO26">
        <v>44732</v>
      </c>
      <c r="IP26">
        <v>134003.13240943005</v>
      </c>
      <c r="IQ26">
        <v>2093.259605580985</v>
      </c>
      <c r="IR26">
        <v>2875.7303944190139</v>
      </c>
      <c r="IS26">
        <v>795.03840000000002</v>
      </c>
      <c r="IT26">
        <v>5764.0283999999992</v>
      </c>
      <c r="IU26">
        <v>131127.40201501103</v>
      </c>
      <c r="IW26">
        <v>44715</v>
      </c>
      <c r="IX26">
        <v>317023.99250448786</v>
      </c>
      <c r="IY26">
        <v>4816.6125559698748</v>
      </c>
      <c r="IZ26">
        <v>5943.7674440301244</v>
      </c>
      <c r="JA26">
        <v>1721.6608000000001</v>
      </c>
      <c r="JB26">
        <v>12482.040800000001</v>
      </c>
      <c r="JC26">
        <v>311080.22506045771</v>
      </c>
      <c r="JE26">
        <v>44730</v>
      </c>
      <c r="JF26">
        <v>139306.65691518798</v>
      </c>
      <c r="JG26">
        <v>2247.3137887531402</v>
      </c>
      <c r="JH26">
        <v>2407.92621124686</v>
      </c>
      <c r="JI26">
        <v>744.83839999999998</v>
      </c>
      <c r="JJ26">
        <v>5400.0783999999994</v>
      </c>
      <c r="JK26">
        <v>136898.73070394111</v>
      </c>
      <c r="JM26">
        <v>44719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U26">
        <v>44714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C26" s="3">
        <v>44714</v>
      </c>
      <c r="KD26" s="9">
        <v>4714380.3909508698</v>
      </c>
      <c r="KE26" s="9">
        <v>90105.755672919375</v>
      </c>
      <c r="KF26" s="9">
        <v>74613.931568459899</v>
      </c>
      <c r="KG26" s="9">
        <v>0</v>
      </c>
      <c r="KH26" s="9">
        <v>26355.149958620699</v>
      </c>
      <c r="KI26" s="9">
        <v>191074.83720000001</v>
      </c>
      <c r="KJ26" s="9">
        <v>4639766.4593824092</v>
      </c>
      <c r="KL26" t="s">
        <v>1231</v>
      </c>
      <c r="KM26" t="s">
        <v>1232</v>
      </c>
      <c r="KO26" t="s">
        <v>1233</v>
      </c>
      <c r="KP26" t="s">
        <v>1239</v>
      </c>
    </row>
    <row r="27" spans="1:303" x14ac:dyDescent="0.3">
      <c r="A27">
        <v>44757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J27">
        <v>44757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S27">
        <v>44757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B27">
        <v>44757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K27">
        <v>44757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T27">
        <v>44757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C27">
        <v>44757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L27">
        <v>44757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U27">
        <v>44757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D27">
        <v>44757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M27">
        <v>44757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V27">
        <v>44757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E27">
        <v>44757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N27">
        <v>44757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W27">
        <v>44757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F27">
        <v>44757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O27">
        <v>44757</v>
      </c>
      <c r="EP27">
        <v>700064.02558426023</v>
      </c>
      <c r="EQ27">
        <v>14257.85033589148</v>
      </c>
      <c r="ER27">
        <v>11285.210008936108</v>
      </c>
      <c r="ES27">
        <v>4086.8896551724142</v>
      </c>
      <c r="ET27">
        <v>29629.95</v>
      </c>
      <c r="EU27">
        <v>688778.81557532412</v>
      </c>
      <c r="EW27">
        <v>44757</v>
      </c>
      <c r="EX27">
        <v>132733.14111773449</v>
      </c>
      <c r="EY27">
        <v>2704.5336382583037</v>
      </c>
      <c r="EZ27">
        <v>2638.2594651899726</v>
      </c>
      <c r="FA27">
        <v>854.84689655172417</v>
      </c>
      <c r="FB27">
        <v>6197.64</v>
      </c>
      <c r="FC27">
        <v>130094.88165254451</v>
      </c>
      <c r="FE27">
        <v>44757</v>
      </c>
      <c r="FF27">
        <v>132733.14111775288</v>
      </c>
      <c r="FG27">
        <v>2704.5336382595315</v>
      </c>
      <c r="FH27">
        <v>2638.2594651887448</v>
      </c>
      <c r="FI27">
        <v>854.84689655172417</v>
      </c>
      <c r="FJ27">
        <v>6197.64</v>
      </c>
      <c r="FK27">
        <v>130094.88165256412</v>
      </c>
      <c r="FM27">
        <v>44743</v>
      </c>
      <c r="FN27">
        <v>648203.44486838533</v>
      </c>
      <c r="FO27">
        <v>7897.3112917518447</v>
      </c>
      <c r="FP27">
        <v>14124.697328937807</v>
      </c>
      <c r="FQ27">
        <v>3523.5213793103449</v>
      </c>
      <c r="FR27">
        <v>25545.53</v>
      </c>
      <c r="FS27">
        <v>634078.7475394475</v>
      </c>
      <c r="FU27">
        <v>44757</v>
      </c>
      <c r="FV27">
        <v>267064.54419904726</v>
      </c>
      <c r="FW27">
        <v>5825.0736521205718</v>
      </c>
      <c r="FX27">
        <v>3401.0901409828775</v>
      </c>
      <c r="FY27">
        <v>1476.186206896552</v>
      </c>
      <c r="FZ27">
        <v>10702.35</v>
      </c>
      <c r="GA27">
        <v>263663.45405806438</v>
      </c>
      <c r="GC27">
        <v>44743</v>
      </c>
      <c r="GD27">
        <v>450980.57711540879</v>
      </c>
      <c r="GE27">
        <v>9673.7494803570698</v>
      </c>
      <c r="GF27">
        <v>5066.9143127463758</v>
      </c>
      <c r="GG27">
        <v>2358.5062068965517</v>
      </c>
      <c r="GH27">
        <v>17099.169999999998</v>
      </c>
      <c r="GI27">
        <v>445913.66280266247</v>
      </c>
      <c r="GK27">
        <v>44743</v>
      </c>
      <c r="GL27">
        <v>450980.57711540913</v>
      </c>
      <c r="GM27">
        <v>9673.7494803571135</v>
      </c>
      <c r="GN27">
        <v>5066.9143127463321</v>
      </c>
      <c r="GO27">
        <v>2358.5062068965517</v>
      </c>
      <c r="GP27">
        <v>17099.169999999998</v>
      </c>
      <c r="GQ27">
        <v>445913.6628026627</v>
      </c>
      <c r="GS27">
        <v>44743</v>
      </c>
      <c r="GT27">
        <v>565787.95842700452</v>
      </c>
      <c r="GU27">
        <v>13113.474599506442</v>
      </c>
      <c r="GV27">
        <v>5191.7150556659708</v>
      </c>
      <c r="GW27">
        <v>2928.8303448275869</v>
      </c>
      <c r="GX27">
        <v>21234.02</v>
      </c>
      <c r="GY27">
        <v>560596.24337133858</v>
      </c>
      <c r="HA27">
        <v>44765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I27">
        <v>44765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Q27">
        <v>44744</v>
      </c>
      <c r="HR27">
        <v>294535.6456783677</v>
      </c>
      <c r="HS27">
        <v>8111.5450597813251</v>
      </c>
      <c r="HT27">
        <v>2610.635974701433</v>
      </c>
      <c r="HU27">
        <v>1715.5489655172414</v>
      </c>
      <c r="HV27">
        <v>12437.73</v>
      </c>
      <c r="HW27">
        <v>291925.00970366626</v>
      </c>
      <c r="HY27">
        <v>44744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G27">
        <v>44763</v>
      </c>
      <c r="IH27">
        <v>417577.04637962976</v>
      </c>
      <c r="II27">
        <v>5840.5824615773454</v>
      </c>
      <c r="IJ27">
        <v>12508.977538422656</v>
      </c>
      <c r="IK27">
        <v>2935.9296000000004</v>
      </c>
      <c r="IL27">
        <v>21285.489600000001</v>
      </c>
      <c r="IM27">
        <v>405068.06884120702</v>
      </c>
      <c r="IO27">
        <v>44762</v>
      </c>
      <c r="IP27">
        <v>131127.40201501103</v>
      </c>
      <c r="IQ27">
        <v>2048.3378924617236</v>
      </c>
      <c r="IR27">
        <v>2920.6521075382752</v>
      </c>
      <c r="IS27">
        <v>795.03840000000002</v>
      </c>
      <c r="IT27">
        <v>5764.0283999999992</v>
      </c>
      <c r="IU27">
        <v>128206.74990747275</v>
      </c>
      <c r="IW27">
        <v>44745</v>
      </c>
      <c r="IX27">
        <v>311080.22506045771</v>
      </c>
      <c r="IY27">
        <v>4726.3076403244913</v>
      </c>
      <c r="IZ27">
        <v>6034.0723596755079</v>
      </c>
      <c r="JA27">
        <v>1721.6608000000001</v>
      </c>
      <c r="JB27">
        <v>12482.040800000001</v>
      </c>
      <c r="JC27">
        <v>305046.15270078223</v>
      </c>
      <c r="JE27">
        <v>44760</v>
      </c>
      <c r="JF27">
        <v>136898.73070394111</v>
      </c>
      <c r="JG27">
        <v>2208.468798164286</v>
      </c>
      <c r="JH27">
        <v>2446.7712018357138</v>
      </c>
      <c r="JI27">
        <v>744.83839999999998</v>
      </c>
      <c r="JJ27">
        <v>5400.0783999999994</v>
      </c>
      <c r="JK27">
        <v>134451.9595021054</v>
      </c>
      <c r="JM27">
        <v>44749</v>
      </c>
      <c r="JN27">
        <v>139486.94655172416</v>
      </c>
      <c r="JO27">
        <v>2579.5182285554906</v>
      </c>
      <c r="JP27">
        <v>2027.5717714445095</v>
      </c>
      <c r="JQ27">
        <v>737.13440000000003</v>
      </c>
      <c r="JR27">
        <v>5344.2244000000001</v>
      </c>
      <c r="JS27">
        <v>137459.37478027964</v>
      </c>
      <c r="JU27">
        <v>44744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C27" s="3">
        <v>44744</v>
      </c>
      <c r="KD27" s="9">
        <v>4779253.4059341336</v>
      </c>
      <c r="KE27" s="9">
        <v>91365.036197367022</v>
      </c>
      <c r="KF27" s="9">
        <v>77961.741044012291</v>
      </c>
      <c r="KG27" s="9">
        <v>0</v>
      </c>
      <c r="KH27" s="9">
        <v>27092.284358620695</v>
      </c>
      <c r="KI27" s="9">
        <v>196419.06159999999</v>
      </c>
      <c r="KJ27" s="9">
        <v>4701291.6648901217</v>
      </c>
      <c r="KL27" t="s">
        <v>1263</v>
      </c>
      <c r="KM27">
        <v>1628399.3189655172</v>
      </c>
      <c r="KN27" t="s">
        <v>1264</v>
      </c>
      <c r="KO27" t="s">
        <v>1265</v>
      </c>
      <c r="KP27">
        <v>60</v>
      </c>
      <c r="KQ27" t="s">
        <v>1266</v>
      </c>
    </row>
    <row r="28" spans="1:303" x14ac:dyDescent="0.3">
      <c r="A28">
        <v>44788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J28">
        <v>44788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S28">
        <v>44788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B28">
        <v>44788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K28">
        <v>44788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T28">
        <v>44788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C28">
        <v>44788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L28">
        <v>44788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U28">
        <v>44788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D28">
        <v>44788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M28">
        <v>44788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V28">
        <v>44788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E28">
        <v>44788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N28">
        <v>44788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44788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F28">
        <v>44788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O28">
        <v>44788</v>
      </c>
      <c r="EP28">
        <v>688778.81557532412</v>
      </c>
      <c r="EQ28">
        <v>14028.010164941074</v>
      </c>
      <c r="ER28">
        <v>11515.050179886512</v>
      </c>
      <c r="ES28">
        <v>4086.8896551724142</v>
      </c>
      <c r="ET28">
        <v>29629.95</v>
      </c>
      <c r="EU28">
        <v>677263.7653954376</v>
      </c>
      <c r="EW28">
        <v>44788</v>
      </c>
      <c r="EX28">
        <v>130094.88165254451</v>
      </c>
      <c r="EY28">
        <v>2650.7771957453474</v>
      </c>
      <c r="EZ28">
        <v>2692.0159077029289</v>
      </c>
      <c r="FA28">
        <v>854.84689655172417</v>
      </c>
      <c r="FB28">
        <v>6197.64</v>
      </c>
      <c r="FC28">
        <v>127402.86574484161</v>
      </c>
      <c r="FE28">
        <v>44788</v>
      </c>
      <c r="FF28">
        <v>130094.88165256412</v>
      </c>
      <c r="FG28">
        <v>2650.7771957465829</v>
      </c>
      <c r="FH28">
        <v>2692.0159077016933</v>
      </c>
      <c r="FI28">
        <v>854.84689655172417</v>
      </c>
      <c r="FJ28">
        <v>6197.64</v>
      </c>
      <c r="FK28">
        <v>127402.86574486244</v>
      </c>
      <c r="FM28">
        <v>44774</v>
      </c>
      <c r="FN28">
        <v>634078.7475394475</v>
      </c>
      <c r="FO28">
        <v>7725.2246843888643</v>
      </c>
      <c r="FP28">
        <v>14296.783936300788</v>
      </c>
      <c r="FQ28">
        <v>3523.5213793103449</v>
      </c>
      <c r="FR28">
        <v>25545.53</v>
      </c>
      <c r="FS28">
        <v>619781.96360314672</v>
      </c>
      <c r="FU28">
        <v>44788</v>
      </c>
      <c r="FV28">
        <v>263663.45405806438</v>
      </c>
      <c r="FW28">
        <v>5750.8908337755038</v>
      </c>
      <c r="FX28">
        <v>3475.2729593279455</v>
      </c>
      <c r="FY28">
        <v>1476.186206896552</v>
      </c>
      <c r="FZ28">
        <v>10702.35</v>
      </c>
      <c r="GA28">
        <v>260188.18109873644</v>
      </c>
      <c r="GC28">
        <v>44774</v>
      </c>
      <c r="GD28">
        <v>445913.66280266247</v>
      </c>
      <c r="GE28">
        <v>9565.0617403806318</v>
      </c>
      <c r="GF28">
        <v>5175.6020527228138</v>
      </c>
      <c r="GG28">
        <v>2358.5062068965517</v>
      </c>
      <c r="GH28">
        <v>17099.169999999998</v>
      </c>
      <c r="GI28">
        <v>440738.0607499397</v>
      </c>
      <c r="GK28">
        <v>44774</v>
      </c>
      <c r="GL28">
        <v>445913.6628026627</v>
      </c>
      <c r="GM28">
        <v>9565.0617403806755</v>
      </c>
      <c r="GN28">
        <v>5175.6020527227702</v>
      </c>
      <c r="GO28">
        <v>2358.5062068965517</v>
      </c>
      <c r="GP28">
        <v>17099.169999999998</v>
      </c>
      <c r="GQ28">
        <v>440738.06074993999</v>
      </c>
      <c r="GS28">
        <v>44774</v>
      </c>
      <c r="GT28">
        <v>560596.24337133858</v>
      </c>
      <c r="GU28">
        <v>12993.144319414179</v>
      </c>
      <c r="GV28">
        <v>5312.0453357582319</v>
      </c>
      <c r="GW28">
        <v>2928.8303448275869</v>
      </c>
      <c r="GX28">
        <v>21234.02</v>
      </c>
      <c r="GY28">
        <v>555284.19803558034</v>
      </c>
      <c r="HA28">
        <v>44774</v>
      </c>
      <c r="HB28">
        <v>498189.65517241386</v>
      </c>
      <c r="HC28">
        <v>11764.059498955219</v>
      </c>
      <c r="HD28">
        <v>4373.7077424240906</v>
      </c>
      <c r="HE28">
        <v>2582.0427586206906</v>
      </c>
      <c r="HF28">
        <v>18719.810000000001</v>
      </c>
      <c r="HG28">
        <v>493815.94742998976</v>
      </c>
      <c r="HI28">
        <v>44787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Q28">
        <v>44775</v>
      </c>
      <c r="HR28">
        <v>291925.00970366626</v>
      </c>
      <c r="HS28">
        <v>8039.6478491917396</v>
      </c>
      <c r="HT28">
        <v>2682.5331852910176</v>
      </c>
      <c r="HU28">
        <v>1715.5489655172414</v>
      </c>
      <c r="HV28">
        <v>12437.73</v>
      </c>
      <c r="HW28">
        <v>289242.47651837522</v>
      </c>
      <c r="HY28">
        <v>44775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G28">
        <v>44794</v>
      </c>
      <c r="IH28">
        <v>405068.06884120702</v>
      </c>
      <c r="II28">
        <v>5665.6214203596819</v>
      </c>
      <c r="IJ28">
        <v>12683.938579640318</v>
      </c>
      <c r="IK28">
        <v>2935.9296000000004</v>
      </c>
      <c r="IL28">
        <v>21285.489600000001</v>
      </c>
      <c r="IM28">
        <v>392384.13026156678</v>
      </c>
      <c r="IO28">
        <v>44793</v>
      </c>
      <c r="IP28">
        <v>128206.74990747275</v>
      </c>
      <c r="IQ28">
        <v>2002.7144583767256</v>
      </c>
      <c r="IR28">
        <v>2966.2755416232731</v>
      </c>
      <c r="IS28">
        <v>795.03840000000002</v>
      </c>
      <c r="IT28">
        <v>5764.0283999999992</v>
      </c>
      <c r="IU28">
        <v>125240.47436584948</v>
      </c>
      <c r="IW28">
        <v>44776</v>
      </c>
      <c r="IX28">
        <v>305046.15270078223</v>
      </c>
      <c r="IY28">
        <v>4634.6307029998434</v>
      </c>
      <c r="IZ28">
        <v>6125.7492970001558</v>
      </c>
      <c r="JA28">
        <v>1721.6608000000001</v>
      </c>
      <c r="JB28">
        <v>12482.040800000001</v>
      </c>
      <c r="JC28">
        <v>298920.40340378205</v>
      </c>
      <c r="JE28">
        <v>44791</v>
      </c>
      <c r="JF28">
        <v>134451.9595021054</v>
      </c>
      <c r="JG28">
        <v>2168.9971549451311</v>
      </c>
      <c r="JH28">
        <v>2486.2428450548687</v>
      </c>
      <c r="JI28">
        <v>744.83839999999998</v>
      </c>
      <c r="JJ28">
        <v>5400.0783999999994</v>
      </c>
      <c r="JK28">
        <v>131965.71665705054</v>
      </c>
      <c r="JM28">
        <v>44780</v>
      </c>
      <c r="JN28">
        <v>137459.37478027964</v>
      </c>
      <c r="JO28">
        <v>2542.0225454579595</v>
      </c>
      <c r="JP28">
        <v>2065.0674545420407</v>
      </c>
      <c r="JQ28">
        <v>737.13440000000003</v>
      </c>
      <c r="JR28">
        <v>5344.2244000000001</v>
      </c>
      <c r="JS28">
        <v>135394.30732573761</v>
      </c>
      <c r="JU28">
        <v>44775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C28" s="3">
        <v>44775</v>
      </c>
      <c r="KD28" s="9">
        <v>5199481.3200625358</v>
      </c>
      <c r="KE28" s="9">
        <v>101746.64150505916</v>
      </c>
      <c r="KF28" s="9">
        <v>83717.902977699443</v>
      </c>
      <c r="KG28" s="9">
        <v>0</v>
      </c>
      <c r="KH28" s="9">
        <v>29674.327117241388</v>
      </c>
      <c r="KI28" s="9">
        <v>215138.87160000001</v>
      </c>
      <c r="KJ28" s="9">
        <v>5115763.4170848364</v>
      </c>
      <c r="KL28" t="s">
        <v>1267</v>
      </c>
      <c r="KM28">
        <v>0</v>
      </c>
      <c r="KN28" t="s">
        <v>1264</v>
      </c>
      <c r="KO28" t="s">
        <v>1268</v>
      </c>
      <c r="KP28">
        <v>56244.76</v>
      </c>
      <c r="KQ28" t="s">
        <v>1269</v>
      </c>
    </row>
    <row r="29" spans="1:303" x14ac:dyDescent="0.3">
      <c r="A29">
        <v>44819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J29">
        <v>44819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S29">
        <v>44819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B29">
        <v>44819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K29">
        <v>44819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T29">
        <v>44819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C29">
        <v>44819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L29">
        <v>44819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U29">
        <v>44819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D29">
        <v>44819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M29">
        <v>44819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V29">
        <v>44819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E29">
        <v>44819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N29">
        <v>44819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44819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F29">
        <v>44819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O29">
        <v>44819</v>
      </c>
      <c r="EP29">
        <v>677263.7653954376</v>
      </c>
      <c r="EQ29">
        <v>13793.48895534445</v>
      </c>
      <c r="ER29">
        <v>11749.571389483135</v>
      </c>
      <c r="ES29">
        <v>4086.8896551724142</v>
      </c>
      <c r="ET29">
        <v>29629.95</v>
      </c>
      <c r="EU29">
        <v>665514.19400595443</v>
      </c>
      <c r="EW29">
        <v>44819</v>
      </c>
      <c r="EX29">
        <v>127402.86574484161</v>
      </c>
      <c r="EY29">
        <v>2595.9254268819022</v>
      </c>
      <c r="EZ29">
        <v>2746.867676566374</v>
      </c>
      <c r="FA29">
        <v>854.84689655172417</v>
      </c>
      <c r="FB29">
        <v>6197.64</v>
      </c>
      <c r="FC29">
        <v>124655.99806827522</v>
      </c>
      <c r="FE29">
        <v>44819</v>
      </c>
      <c r="FF29">
        <v>127402.86574486244</v>
      </c>
      <c r="FG29">
        <v>2595.9254268831455</v>
      </c>
      <c r="FH29">
        <v>2746.8676765651308</v>
      </c>
      <c r="FI29">
        <v>854.84689655172417</v>
      </c>
      <c r="FJ29">
        <v>6197.64</v>
      </c>
      <c r="FK29">
        <v>124655.99806829733</v>
      </c>
      <c r="FM29">
        <v>44805</v>
      </c>
      <c r="FN29">
        <v>619781.96360314672</v>
      </c>
      <c r="FO29">
        <v>7551.0414798568208</v>
      </c>
      <c r="FP29">
        <v>14470.967140832832</v>
      </c>
      <c r="FQ29">
        <v>3523.5213793103449</v>
      </c>
      <c r="FR29">
        <v>25545.53</v>
      </c>
      <c r="FS29">
        <v>605310.99646231392</v>
      </c>
      <c r="FU29">
        <v>44819</v>
      </c>
      <c r="FV29">
        <v>260188.18109873644</v>
      </c>
      <c r="FW29">
        <v>5675.0899781807593</v>
      </c>
      <c r="FX29">
        <v>3551.07381492269</v>
      </c>
      <c r="FY29">
        <v>1476.186206896552</v>
      </c>
      <c r="FZ29">
        <v>10702.35</v>
      </c>
      <c r="GA29">
        <v>256637.10728381376</v>
      </c>
      <c r="GC29">
        <v>44805</v>
      </c>
      <c r="GD29">
        <v>440738.0607499397</v>
      </c>
      <c r="GE29">
        <v>9454.0425963006201</v>
      </c>
      <c r="GF29">
        <v>5286.6211968028256</v>
      </c>
      <c r="GG29">
        <v>2358.5062068965517</v>
      </c>
      <c r="GH29">
        <v>17099.169999999998</v>
      </c>
      <c r="GI29">
        <v>435451.43955313682</v>
      </c>
      <c r="GK29">
        <v>44805</v>
      </c>
      <c r="GL29">
        <v>440738.06074993999</v>
      </c>
      <c r="GM29">
        <v>9454.0425963006637</v>
      </c>
      <c r="GN29">
        <v>5286.6211968027819</v>
      </c>
      <c r="GO29">
        <v>2358.5062068965517</v>
      </c>
      <c r="GP29">
        <v>17099.169999999998</v>
      </c>
      <c r="GQ29">
        <v>435451.43955313723</v>
      </c>
      <c r="GS29">
        <v>44805</v>
      </c>
      <c r="GT29">
        <v>555284.19803558034</v>
      </c>
      <c r="GU29">
        <v>12870.025100377496</v>
      </c>
      <c r="GV29">
        <v>5435.1645547949156</v>
      </c>
      <c r="GW29">
        <v>2928.8303448275869</v>
      </c>
      <c r="GX29">
        <v>21234.02</v>
      </c>
      <c r="GY29">
        <v>549849.03348078544</v>
      </c>
      <c r="HA29">
        <v>44805</v>
      </c>
      <c r="HB29">
        <v>493815.94742998976</v>
      </c>
      <c r="HC29">
        <v>11660.780441313787</v>
      </c>
      <c r="HD29">
        <v>4476.9868000655242</v>
      </c>
      <c r="HE29">
        <v>2582.0427586206906</v>
      </c>
      <c r="HF29">
        <v>18719.810000000001</v>
      </c>
      <c r="HG29">
        <v>489338.96062992426</v>
      </c>
      <c r="HI29">
        <v>44818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Q29">
        <v>44806</v>
      </c>
      <c r="HR29">
        <v>289242.47651837522</v>
      </c>
      <c r="HS29">
        <v>7965.7705812748763</v>
      </c>
      <c r="HT29">
        <v>2756.4104532078809</v>
      </c>
      <c r="HU29">
        <v>1715.5489655172414</v>
      </c>
      <c r="HV29">
        <v>12437.73</v>
      </c>
      <c r="HW29">
        <v>286486.06606516731</v>
      </c>
      <c r="HY29">
        <v>44806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G29">
        <v>44825</v>
      </c>
      <c r="IH29">
        <v>392384.13026156678</v>
      </c>
      <c r="II29">
        <v>5488.2132274183923</v>
      </c>
      <c r="IJ29">
        <v>12861.346772581608</v>
      </c>
      <c r="IK29">
        <v>2935.9296000000004</v>
      </c>
      <c r="IL29">
        <v>21285.489600000001</v>
      </c>
      <c r="IM29">
        <v>379522.78348898509</v>
      </c>
      <c r="IO29">
        <v>44824</v>
      </c>
      <c r="IP29">
        <v>125240.47436584948</v>
      </c>
      <c r="IQ29">
        <v>1956.3783417602019</v>
      </c>
      <c r="IR29">
        <v>3012.6116582397972</v>
      </c>
      <c r="IS29">
        <v>795.03840000000002</v>
      </c>
      <c r="IT29">
        <v>5764.0283999999992</v>
      </c>
      <c r="IU29">
        <v>122227.86270760967</v>
      </c>
      <c r="IW29">
        <v>44807</v>
      </c>
      <c r="IX29">
        <v>298920.40340378205</v>
      </c>
      <c r="IY29">
        <v>4541.5608985804283</v>
      </c>
      <c r="IZ29">
        <v>6218.8191014195709</v>
      </c>
      <c r="JA29">
        <v>1721.6608000000001</v>
      </c>
      <c r="JB29">
        <v>12482.040800000001</v>
      </c>
      <c r="JC29">
        <v>292701.58430236246</v>
      </c>
      <c r="JE29">
        <v>44822</v>
      </c>
      <c r="JF29">
        <v>131965.71665705054</v>
      </c>
      <c r="JG29">
        <v>2128.888749850877</v>
      </c>
      <c r="JH29">
        <v>2526.3512501491227</v>
      </c>
      <c r="JI29">
        <v>744.83839999999998</v>
      </c>
      <c r="JJ29">
        <v>5400.0783999999994</v>
      </c>
      <c r="JK29">
        <v>129439.36540690142</v>
      </c>
      <c r="JM29">
        <v>44811</v>
      </c>
      <c r="JN29">
        <v>135394.30732573761</v>
      </c>
      <c r="JO29">
        <v>2503.8334584224026</v>
      </c>
      <c r="JP29">
        <v>2103.2565415775975</v>
      </c>
      <c r="JQ29">
        <v>737.13440000000003</v>
      </c>
      <c r="JR29">
        <v>5344.2244000000001</v>
      </c>
      <c r="JS29">
        <v>133291.05078416</v>
      </c>
      <c r="JU29">
        <v>44812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C29" s="3">
        <v>44806</v>
      </c>
      <c r="KD29" s="9">
        <v>5115763.4170848364</v>
      </c>
      <c r="KE29" s="9">
        <v>100235.00725874682</v>
      </c>
      <c r="KF29" s="9">
        <v>85229.537224011787</v>
      </c>
      <c r="KG29" s="9">
        <v>0</v>
      </c>
      <c r="KH29" s="9">
        <v>29674.327117241388</v>
      </c>
      <c r="KI29" s="9">
        <v>215138.87160000001</v>
      </c>
      <c r="KJ29" s="9">
        <v>5030533.879860824</v>
      </c>
      <c r="KL29" t="s">
        <v>1270</v>
      </c>
      <c r="KM29">
        <v>0.26</v>
      </c>
      <c r="KN29">
        <v>2.1666666666666667E-2</v>
      </c>
      <c r="KO29" t="s">
        <v>1271</v>
      </c>
      <c r="KP29">
        <v>32412.97413793104</v>
      </c>
      <c r="KQ29" t="s">
        <v>1264</v>
      </c>
    </row>
    <row r="30" spans="1:303" x14ac:dyDescent="0.3">
      <c r="A30">
        <v>44849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J30">
        <v>44849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>
        <v>44849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B30">
        <v>44849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K30">
        <v>44849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T30">
        <v>44849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C30">
        <v>44849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L30">
        <v>44849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U30">
        <v>44849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D30">
        <v>44849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M30">
        <v>44849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V30">
        <v>44849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E30">
        <v>44849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N30">
        <v>44849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44849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F30">
        <v>44849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O30">
        <v>44849</v>
      </c>
      <c r="EP30">
        <v>665514.19400595443</v>
      </c>
      <c r="EQ30">
        <v>13554.191370752367</v>
      </c>
      <c r="ER30">
        <v>11988.86897407522</v>
      </c>
      <c r="ES30">
        <v>4086.8896551724142</v>
      </c>
      <c r="ET30">
        <v>29629.95</v>
      </c>
      <c r="EU30">
        <v>653525.32503187924</v>
      </c>
      <c r="EW30">
        <v>44849</v>
      </c>
      <c r="EX30">
        <v>124655.99806827522</v>
      </c>
      <c r="EY30">
        <v>2539.956013602301</v>
      </c>
      <c r="EZ30">
        <v>2802.8370898459757</v>
      </c>
      <c r="FA30">
        <v>854.84689655172417</v>
      </c>
      <c r="FB30">
        <v>6197.64</v>
      </c>
      <c r="FC30">
        <v>121853.16097842924</v>
      </c>
      <c r="FE30">
        <v>44849</v>
      </c>
      <c r="FF30">
        <v>124655.99806829733</v>
      </c>
      <c r="FG30">
        <v>2539.9560136035516</v>
      </c>
      <c r="FH30">
        <v>2802.8370898447247</v>
      </c>
      <c r="FI30">
        <v>854.84689655172417</v>
      </c>
      <c r="FJ30">
        <v>6197.64</v>
      </c>
      <c r="FK30">
        <v>121853.16097845259</v>
      </c>
      <c r="FM30">
        <v>44835</v>
      </c>
      <c r="FN30">
        <v>605310.99646231392</v>
      </c>
      <c r="FO30">
        <v>7374.736134507918</v>
      </c>
      <c r="FP30">
        <v>14647.272486181731</v>
      </c>
      <c r="FQ30">
        <v>3523.5213793103449</v>
      </c>
      <c r="FR30">
        <v>25545.53</v>
      </c>
      <c r="FS30">
        <v>590663.72397613223</v>
      </c>
      <c r="FU30">
        <v>44849</v>
      </c>
      <c r="FV30">
        <v>256637.10728381376</v>
      </c>
      <c r="FW30">
        <v>5597.6357935450615</v>
      </c>
      <c r="FX30">
        <v>3628.5279995583878</v>
      </c>
      <c r="FY30">
        <v>1476.186206896552</v>
      </c>
      <c r="FZ30">
        <v>10702.35</v>
      </c>
      <c r="GA30">
        <v>253008.57928425536</v>
      </c>
      <c r="GC30">
        <v>44835</v>
      </c>
      <c r="GD30">
        <v>435451.43955313682</v>
      </c>
      <c r="GE30">
        <v>9340.6420383818495</v>
      </c>
      <c r="GF30">
        <v>5400.0217547215962</v>
      </c>
      <c r="GG30">
        <v>2358.5062068965517</v>
      </c>
      <c r="GH30">
        <v>17099.169999999998</v>
      </c>
      <c r="GI30">
        <v>430051.41779841518</v>
      </c>
      <c r="GK30">
        <v>44835</v>
      </c>
      <c r="GL30">
        <v>435451.43955313723</v>
      </c>
      <c r="GM30">
        <v>9340.6420383818968</v>
      </c>
      <c r="GN30">
        <v>5400.0217547215507</v>
      </c>
      <c r="GO30">
        <v>2358.5062068965517</v>
      </c>
      <c r="GP30">
        <v>17099.169999999998</v>
      </c>
      <c r="GQ30">
        <v>430051.4177984157</v>
      </c>
      <c r="GS30">
        <v>44835</v>
      </c>
      <c r="GT30">
        <v>549849.03348078544</v>
      </c>
      <c r="GU30">
        <v>12744.052302137685</v>
      </c>
      <c r="GV30">
        <v>5561.1373530347282</v>
      </c>
      <c r="GW30">
        <v>2928.8303448275869</v>
      </c>
      <c r="GX30">
        <v>21234.02</v>
      </c>
      <c r="GY30">
        <v>544287.89612775075</v>
      </c>
      <c r="HA30">
        <v>44835</v>
      </c>
      <c r="HB30">
        <v>489338.96062992426</v>
      </c>
      <c r="HC30">
        <v>11555.062591604965</v>
      </c>
      <c r="HD30">
        <v>4582.7046497743468</v>
      </c>
      <c r="HE30">
        <v>2582.0427586206906</v>
      </c>
      <c r="HF30">
        <v>18719.810000000001</v>
      </c>
      <c r="HG30">
        <v>484756.2559801499</v>
      </c>
      <c r="HI30">
        <v>44848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Q30">
        <v>44836</v>
      </c>
      <c r="HR30">
        <v>286486.06606516731</v>
      </c>
      <c r="HS30">
        <v>7889.858725027555</v>
      </c>
      <c r="HT30">
        <v>2832.3223094552022</v>
      </c>
      <c r="HU30">
        <v>1715.5489655172414</v>
      </c>
      <c r="HV30">
        <v>12437.73</v>
      </c>
      <c r="HW30">
        <v>283653.74375571212</v>
      </c>
      <c r="HY30">
        <v>44839</v>
      </c>
      <c r="HZ30">
        <v>401133.87931034487</v>
      </c>
      <c r="IA30">
        <v>4072.378374467201</v>
      </c>
      <c r="IB30">
        <v>4647.9233496707311</v>
      </c>
      <c r="IC30">
        <v>1395.248275862069</v>
      </c>
      <c r="ID30">
        <v>10115.549999999999</v>
      </c>
      <c r="IE30">
        <v>396485.95596067415</v>
      </c>
      <c r="IG30">
        <v>44855</v>
      </c>
      <c r="IH30">
        <v>379522.78348898509</v>
      </c>
      <c r="II30">
        <v>5308.3236548389805</v>
      </c>
      <c r="IJ30">
        <v>13041.236345161022</v>
      </c>
      <c r="IK30">
        <v>2935.9296000000004</v>
      </c>
      <c r="IL30">
        <v>21285.489600000001</v>
      </c>
      <c r="IM30">
        <v>366481.54714382411</v>
      </c>
      <c r="IO30">
        <v>44854</v>
      </c>
      <c r="IP30">
        <v>122227.86270760967</v>
      </c>
      <c r="IQ30">
        <v>1909.3184098160143</v>
      </c>
      <c r="IR30">
        <v>3059.6715901839843</v>
      </c>
      <c r="IS30">
        <v>795.03840000000002</v>
      </c>
      <c r="IT30">
        <v>5764.0283999999992</v>
      </c>
      <c r="IU30">
        <v>119168.19111742573</v>
      </c>
      <c r="IW30">
        <v>44837</v>
      </c>
      <c r="IX30">
        <v>292701.58430236246</v>
      </c>
      <c r="IY30">
        <v>4447.0770649419419</v>
      </c>
      <c r="IZ30">
        <v>6313.3029350580573</v>
      </c>
      <c r="JA30">
        <v>1721.6608000000001</v>
      </c>
      <c r="JB30">
        <v>12482.040800000001</v>
      </c>
      <c r="JC30">
        <v>286388.28136730439</v>
      </c>
      <c r="JE30">
        <v>44852</v>
      </c>
      <c r="JF30">
        <v>129439.36540690142</v>
      </c>
      <c r="JG30">
        <v>2088.1333105530234</v>
      </c>
      <c r="JH30">
        <v>2567.1066894469764</v>
      </c>
      <c r="JI30">
        <v>744.83839999999998</v>
      </c>
      <c r="JJ30">
        <v>5400.0783999999994</v>
      </c>
      <c r="JK30">
        <v>126872.25871745445</v>
      </c>
      <c r="JM30">
        <v>44841</v>
      </c>
      <c r="JN30">
        <v>133291.05078416</v>
      </c>
      <c r="JO30">
        <v>2464.9381443987627</v>
      </c>
      <c r="JP30">
        <v>2142.1518556012375</v>
      </c>
      <c r="JQ30">
        <v>737.13440000000003</v>
      </c>
      <c r="JR30">
        <v>5344.2244000000001</v>
      </c>
      <c r="JS30">
        <v>131148.89892855877</v>
      </c>
      <c r="JU30">
        <v>44842</v>
      </c>
      <c r="JV30">
        <v>122619.89</v>
      </c>
      <c r="JW30">
        <v>2240.0939161625788</v>
      </c>
      <c r="JX30">
        <v>1790.0460838374206</v>
      </c>
      <c r="JY30">
        <v>644.82240000000002</v>
      </c>
      <c r="JZ30">
        <v>4674.9623999999994</v>
      </c>
      <c r="KA30">
        <v>120829.8439161626</v>
      </c>
      <c r="KC30" s="3">
        <v>44836</v>
      </c>
      <c r="KD30" s="9">
        <v>5554287.6491711689</v>
      </c>
      <c r="KE30" s="9">
        <v>105006.99589672365</v>
      </c>
      <c r="KF30" s="9">
        <v>93207.990310172885</v>
      </c>
      <c r="KG30" s="9">
        <v>0</v>
      </c>
      <c r="KH30" s="9">
        <v>31714.397793103457</v>
      </c>
      <c r="KI30" s="9">
        <v>229929.38399999999</v>
      </c>
      <c r="KJ30" s="9">
        <v>5461079.6588609964</v>
      </c>
    </row>
    <row r="31" spans="1:303" x14ac:dyDescent="0.3">
      <c r="A31">
        <v>44880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J31">
        <v>44880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>
        <v>44880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B31">
        <v>44880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K31">
        <v>44880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T31">
        <v>44880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C31">
        <v>44880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L31">
        <v>44880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U31">
        <v>44880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D31">
        <v>44880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M31">
        <v>44880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V31">
        <v>44880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E31">
        <v>44880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N31">
        <v>44880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44880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F31">
        <v>44880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O31">
        <v>44880</v>
      </c>
      <c r="EP31">
        <v>653525.32503187924</v>
      </c>
      <c r="EQ31">
        <v>13310.020133148324</v>
      </c>
      <c r="ER31">
        <v>12233.040211679265</v>
      </c>
      <c r="ES31">
        <v>4086.8896551724142</v>
      </c>
      <c r="ET31">
        <v>29629.95</v>
      </c>
      <c r="EU31">
        <v>641292.28482019994</v>
      </c>
      <c r="EW31">
        <v>44880</v>
      </c>
      <c r="EX31">
        <v>121853.16097842924</v>
      </c>
      <c r="EY31">
        <v>2482.8461830941637</v>
      </c>
      <c r="EZ31">
        <v>2859.9469203541125</v>
      </c>
      <c r="FA31">
        <v>854.84689655172417</v>
      </c>
      <c r="FB31">
        <v>6197.64</v>
      </c>
      <c r="FC31">
        <v>118993.21405807514</v>
      </c>
      <c r="FE31">
        <v>44880</v>
      </c>
      <c r="FF31">
        <v>121853.16097845259</v>
      </c>
      <c r="FG31">
        <v>2482.846183095422</v>
      </c>
      <c r="FH31">
        <v>2859.9469203528542</v>
      </c>
      <c r="FI31">
        <v>854.84689655172417</v>
      </c>
      <c r="FJ31">
        <v>6197.64</v>
      </c>
      <c r="FK31">
        <v>118993.21405809974</v>
      </c>
      <c r="FM31">
        <v>44866</v>
      </c>
      <c r="FN31">
        <v>590663.72397613223</v>
      </c>
      <c r="FO31">
        <v>7196.2827934862953</v>
      </c>
      <c r="FP31">
        <v>14825.725827203358</v>
      </c>
      <c r="FQ31">
        <v>3523.5213793103449</v>
      </c>
      <c r="FR31">
        <v>25545.53</v>
      </c>
      <c r="FS31">
        <v>575837.99814892886</v>
      </c>
      <c r="FU31">
        <v>44880</v>
      </c>
      <c r="FV31">
        <v>253008.57928425536</v>
      </c>
      <c r="FW31">
        <v>5518.4922183108438</v>
      </c>
      <c r="FX31">
        <v>3707.6715747926055</v>
      </c>
      <c r="FY31">
        <v>1476.186206896552</v>
      </c>
      <c r="FZ31">
        <v>10702.35</v>
      </c>
      <c r="GA31">
        <v>249300.90770946277</v>
      </c>
      <c r="GC31">
        <v>44866</v>
      </c>
      <c r="GD31">
        <v>430051.41779841518</v>
      </c>
      <c r="GE31">
        <v>9224.8089841563542</v>
      </c>
      <c r="GF31">
        <v>5515.8548089470914</v>
      </c>
      <c r="GG31">
        <v>2358.5062068965517</v>
      </c>
      <c r="GH31">
        <v>17099.169999999998</v>
      </c>
      <c r="GI31">
        <v>424535.56298946816</v>
      </c>
      <c r="GK31">
        <v>44866</v>
      </c>
      <c r="GL31">
        <v>430051.4177984157</v>
      </c>
      <c r="GM31">
        <v>9224.8089841563997</v>
      </c>
      <c r="GN31">
        <v>5515.854808947046</v>
      </c>
      <c r="GO31">
        <v>2358.5062068965517</v>
      </c>
      <c r="GP31">
        <v>17099.169999999998</v>
      </c>
      <c r="GQ31">
        <v>424535.56298946863</v>
      </c>
      <c r="GS31">
        <v>44866</v>
      </c>
      <c r="GT31">
        <v>544287.89612775075</v>
      </c>
      <c r="GU31">
        <v>12615.159786245098</v>
      </c>
      <c r="GV31">
        <v>5690.029868927315</v>
      </c>
      <c r="GW31">
        <v>2928.8303448275869</v>
      </c>
      <c r="GX31">
        <v>21234.02</v>
      </c>
      <c r="GY31">
        <v>538597.86625882343</v>
      </c>
      <c r="HA31">
        <v>44866</v>
      </c>
      <c r="HB31">
        <v>484756.2559801499</v>
      </c>
      <c r="HC31">
        <v>11446.848361127964</v>
      </c>
      <c r="HD31">
        <v>4690.9188802513472</v>
      </c>
      <c r="HE31">
        <v>2582.0427586206906</v>
      </c>
      <c r="HF31">
        <v>18719.810000000001</v>
      </c>
      <c r="HG31">
        <v>480065.33709989855</v>
      </c>
      <c r="HI31">
        <v>44879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Q31">
        <v>44867</v>
      </c>
      <c r="HR31">
        <v>283653.74375571212</v>
      </c>
      <c r="HS31">
        <v>7811.8562476565885</v>
      </c>
      <c r="HT31">
        <v>2910.3247868261678</v>
      </c>
      <c r="HU31">
        <v>1715.5489655172414</v>
      </c>
      <c r="HV31">
        <v>12437.73</v>
      </c>
      <c r="HW31">
        <v>280743.41896888596</v>
      </c>
      <c r="HY31">
        <v>44870</v>
      </c>
      <c r="HZ31">
        <v>396485.95596067415</v>
      </c>
      <c r="IA31">
        <v>4025.1918776100351</v>
      </c>
      <c r="IB31">
        <v>4695.1098465278956</v>
      </c>
      <c r="IC31">
        <v>1395.248275862069</v>
      </c>
      <c r="ID31">
        <v>10115.549999999999</v>
      </c>
      <c r="IE31">
        <v>391790.84611414623</v>
      </c>
      <c r="IG31">
        <v>44886</v>
      </c>
      <c r="IH31">
        <v>366481.54714382411</v>
      </c>
      <c r="II31">
        <v>5125.9179959666635</v>
      </c>
      <c r="IJ31">
        <v>13223.642004033338</v>
      </c>
      <c r="IK31">
        <v>2935.9296000000004</v>
      </c>
      <c r="IL31">
        <v>21285.489600000001</v>
      </c>
      <c r="IM31">
        <v>353257.90513979079</v>
      </c>
      <c r="IO31">
        <v>44885</v>
      </c>
      <c r="IP31">
        <v>119168.19111742573</v>
      </c>
      <c r="IQ31">
        <v>1861.5233558428945</v>
      </c>
      <c r="IR31">
        <v>3107.4666441571044</v>
      </c>
      <c r="IS31">
        <v>795.03840000000002</v>
      </c>
      <c r="IT31">
        <v>5764.0283999999992</v>
      </c>
      <c r="IU31">
        <v>116060.72447326859</v>
      </c>
      <c r="IW31">
        <v>44868</v>
      </c>
      <c r="IX31">
        <v>286388.28136730439</v>
      </c>
      <c r="IY31">
        <v>4351.1577184394473</v>
      </c>
      <c r="IZ31">
        <v>6409.2222815605519</v>
      </c>
      <c r="JA31">
        <v>1721.6608000000001</v>
      </c>
      <c r="JB31">
        <v>12482.040800000001</v>
      </c>
      <c r="JC31">
        <v>279979.05908574385</v>
      </c>
      <c r="JE31">
        <v>44883</v>
      </c>
      <c r="JF31">
        <v>126872.25871745445</v>
      </c>
      <c r="JG31">
        <v>2046.7203990084813</v>
      </c>
      <c r="JH31">
        <v>2608.5196009915189</v>
      </c>
      <c r="JI31">
        <v>744.83839999999998</v>
      </c>
      <c r="JJ31">
        <v>5400.0783999999994</v>
      </c>
      <c r="JK31">
        <v>124263.73911646292</v>
      </c>
      <c r="JM31">
        <v>44872</v>
      </c>
      <c r="JN31">
        <v>131148.89892855877</v>
      </c>
      <c r="JO31">
        <v>2425.323543201594</v>
      </c>
      <c r="JP31">
        <v>2181.7664567984061</v>
      </c>
      <c r="JQ31">
        <v>737.13440000000003</v>
      </c>
      <c r="JR31">
        <v>5344.2244000000001</v>
      </c>
      <c r="JS31">
        <v>128967.13247176036</v>
      </c>
      <c r="JU31">
        <v>44873</v>
      </c>
      <c r="JV31">
        <v>120829.8439161626</v>
      </c>
      <c r="JW31">
        <v>2207.3922774475641</v>
      </c>
      <c r="JX31">
        <v>1822.7477225524351</v>
      </c>
      <c r="JY31">
        <v>644.82240000000002</v>
      </c>
      <c r="JZ31">
        <v>4674.9623999999994</v>
      </c>
      <c r="KA31">
        <v>119007.09619361017</v>
      </c>
      <c r="KC31" s="3">
        <v>44867</v>
      </c>
      <c r="KD31" s="9">
        <v>5461079.6588609964</v>
      </c>
      <c r="KE31" s="9">
        <v>103357.19704199412</v>
      </c>
      <c r="KF31" s="9">
        <v>94857.789164902395</v>
      </c>
      <c r="KG31" s="9">
        <v>0</v>
      </c>
      <c r="KH31" s="9">
        <v>31714.397793103457</v>
      </c>
      <c r="KI31" s="9">
        <v>229929.38399999999</v>
      </c>
      <c r="KJ31" s="9">
        <v>5366221.8696960937</v>
      </c>
      <c r="KL31" t="s">
        <v>1177</v>
      </c>
      <c r="KN31">
        <v>79436</v>
      </c>
      <c r="KO31" t="s">
        <v>1178</v>
      </c>
    </row>
    <row r="32" spans="1:303" x14ac:dyDescent="0.3">
      <c r="A32">
        <v>44910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J32">
        <v>44910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>
        <v>44910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B32">
        <v>44910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K32">
        <v>44910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T32">
        <v>44910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C32">
        <v>44910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L32">
        <v>44910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U32">
        <v>44910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D32">
        <v>44910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M32">
        <v>44910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V32">
        <v>44910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E32">
        <v>44910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N32">
        <v>44910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W32">
        <v>44910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F32">
        <v>44910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O32">
        <v>44910</v>
      </c>
      <c r="EP32">
        <v>641292.28482019994</v>
      </c>
      <c r="EQ32">
        <v>13060.8759833036</v>
      </c>
      <c r="ER32">
        <v>12482.184361523989</v>
      </c>
      <c r="ES32">
        <v>4086.8896551724142</v>
      </c>
      <c r="ET32">
        <v>29629.95</v>
      </c>
      <c r="EU32">
        <v>628810.100458676</v>
      </c>
      <c r="EW32">
        <v>44910</v>
      </c>
      <c r="EX32">
        <v>118993.21405807514</v>
      </c>
      <c r="EY32">
        <v>2424.5726985326091</v>
      </c>
      <c r="EZ32">
        <v>2918.2204049156671</v>
      </c>
      <c r="FA32">
        <v>854.84689655172417</v>
      </c>
      <c r="FB32">
        <v>6197.64</v>
      </c>
      <c r="FC32">
        <v>116074.99365315949</v>
      </c>
      <c r="FE32">
        <v>44910</v>
      </c>
      <c r="FF32">
        <v>118993.21405809974</v>
      </c>
      <c r="FG32">
        <v>2424.5726985338747</v>
      </c>
      <c r="FH32">
        <v>2918.2204049144016</v>
      </c>
      <c r="FI32">
        <v>854.84689655172417</v>
      </c>
      <c r="FJ32">
        <v>6197.64</v>
      </c>
      <c r="FK32">
        <v>116074.99365318532</v>
      </c>
      <c r="FM32">
        <v>44896</v>
      </c>
      <c r="FN32">
        <v>575837.99814892886</v>
      </c>
      <c r="FO32">
        <v>7015.6552869364605</v>
      </c>
      <c r="FP32">
        <v>15006.353333753192</v>
      </c>
      <c r="FQ32">
        <v>3523.5213793103449</v>
      </c>
      <c r="FR32">
        <v>25545.53</v>
      </c>
      <c r="FS32">
        <v>560831.64481517568</v>
      </c>
      <c r="FU32">
        <v>44910</v>
      </c>
      <c r="FV32">
        <v>249300.90770946277</v>
      </c>
      <c r="FW32">
        <v>5437.6224043645052</v>
      </c>
      <c r="FX32">
        <v>3788.5413887389441</v>
      </c>
      <c r="FY32">
        <v>1476.186206896552</v>
      </c>
      <c r="FZ32">
        <v>10702.35</v>
      </c>
      <c r="GA32">
        <v>245512.36632072384</v>
      </c>
      <c r="GC32">
        <v>44896</v>
      </c>
      <c r="GD32">
        <v>424535.56298946816</v>
      </c>
      <c r="GE32">
        <v>9106.4912554127459</v>
      </c>
      <c r="GF32">
        <v>5634.1725376906998</v>
      </c>
      <c r="GG32">
        <v>2358.5062068965517</v>
      </c>
      <c r="GH32">
        <v>17099.169999999998</v>
      </c>
      <c r="GI32">
        <v>418901.39045177744</v>
      </c>
      <c r="GK32">
        <v>44896</v>
      </c>
      <c r="GL32">
        <v>424535.56298946863</v>
      </c>
      <c r="GM32">
        <v>9106.4912554127914</v>
      </c>
      <c r="GN32">
        <v>5634.1725376906543</v>
      </c>
      <c r="GO32">
        <v>2358.5062068965517</v>
      </c>
      <c r="GP32">
        <v>17099.169999999998</v>
      </c>
      <c r="GQ32">
        <v>418901.3904517779</v>
      </c>
      <c r="GS32">
        <v>44896</v>
      </c>
      <c r="GT32">
        <v>538597.86625882343</v>
      </c>
      <c r="GU32">
        <v>12483.279881335036</v>
      </c>
      <c r="GV32">
        <v>5821.9097738373785</v>
      </c>
      <c r="GW32">
        <v>2928.8303448275869</v>
      </c>
      <c r="GX32">
        <v>21234.02</v>
      </c>
      <c r="GY32">
        <v>532775.956484986</v>
      </c>
      <c r="HA32">
        <v>44896</v>
      </c>
      <c r="HB32">
        <v>480065.33709989855</v>
      </c>
      <c r="HC32">
        <v>11336.078801304506</v>
      </c>
      <c r="HD32">
        <v>4801.6884400748058</v>
      </c>
      <c r="HE32">
        <v>2582.0427586206906</v>
      </c>
      <c r="HF32">
        <v>18719.810000000001</v>
      </c>
      <c r="HG32">
        <v>475263.64865982375</v>
      </c>
      <c r="HI32">
        <v>44909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Q32">
        <v>44897</v>
      </c>
      <c r="HR32">
        <v>280743.41896888596</v>
      </c>
      <c r="HS32">
        <v>7731.7055732193166</v>
      </c>
      <c r="HT32">
        <v>2990.4754612634406</v>
      </c>
      <c r="HU32">
        <v>1715.5489655172414</v>
      </c>
      <c r="HV32">
        <v>12437.73</v>
      </c>
      <c r="HW32">
        <v>277752.94350762252</v>
      </c>
      <c r="HY32">
        <v>44900</v>
      </c>
      <c r="HZ32">
        <v>391790.84611414623</v>
      </c>
      <c r="IA32">
        <v>3977.5263355281222</v>
      </c>
      <c r="IB32">
        <v>4742.7753886098089</v>
      </c>
      <c r="IC32">
        <v>1395.248275862069</v>
      </c>
      <c r="ID32">
        <v>10115.549999999999</v>
      </c>
      <c r="IE32">
        <v>387048.0707255365</v>
      </c>
      <c r="IG32">
        <v>44916</v>
      </c>
      <c r="IH32">
        <v>353257.90513979079</v>
      </c>
      <c r="II32">
        <v>4940.9610587103007</v>
      </c>
      <c r="IJ32">
        <v>13408.5989412897</v>
      </c>
      <c r="IK32">
        <v>2935.9296000000004</v>
      </c>
      <c r="IL32">
        <v>21285.489600000001</v>
      </c>
      <c r="IM32">
        <v>339849.30619850109</v>
      </c>
      <c r="IO32">
        <v>44915</v>
      </c>
      <c r="IP32">
        <v>116060.72447326859</v>
      </c>
      <c r="IQ32">
        <v>1812.9816965178725</v>
      </c>
      <c r="IR32">
        <v>3156.0083034821264</v>
      </c>
      <c r="IS32">
        <v>795.03840000000002</v>
      </c>
      <c r="IT32">
        <v>5764.0283999999992</v>
      </c>
      <c r="IU32">
        <v>112904.71616978648</v>
      </c>
      <c r="IW32">
        <v>44898</v>
      </c>
      <c r="IX32">
        <v>279979.05908574385</v>
      </c>
      <c r="IY32">
        <v>4253.7810490224492</v>
      </c>
      <c r="IZ32">
        <v>6506.59895097755</v>
      </c>
      <c r="JA32">
        <v>1721.6608000000001</v>
      </c>
      <c r="JB32">
        <v>12482.040800000001</v>
      </c>
      <c r="JC32">
        <v>273472.4601347663</v>
      </c>
      <c r="JE32">
        <v>44913</v>
      </c>
      <c r="JF32">
        <v>124263.73911646292</v>
      </c>
      <c r="JG32">
        <v>2004.63940878624</v>
      </c>
      <c r="JH32">
        <v>2650.6005912137598</v>
      </c>
      <c r="JI32">
        <v>744.83839999999998</v>
      </c>
      <c r="JJ32">
        <v>5400.0783999999994</v>
      </c>
      <c r="JK32">
        <v>121613.13852524916</v>
      </c>
      <c r="JM32">
        <v>44902</v>
      </c>
      <c r="JN32">
        <v>128967.13247176036</v>
      </c>
      <c r="JO32">
        <v>2384.9763531247399</v>
      </c>
      <c r="JP32">
        <v>2222.1136468752602</v>
      </c>
      <c r="JQ32">
        <v>737.13440000000003</v>
      </c>
      <c r="JR32">
        <v>5344.2244000000001</v>
      </c>
      <c r="JS32">
        <v>126745.0188248851</v>
      </c>
      <c r="JU32">
        <v>44903</v>
      </c>
      <c r="JV32">
        <v>119007.09619361017</v>
      </c>
      <c r="JW32">
        <v>2174.0932255238595</v>
      </c>
      <c r="JX32">
        <v>1856.0467744761399</v>
      </c>
      <c r="JY32">
        <v>644.82240000000002</v>
      </c>
      <c r="JZ32">
        <v>4674.9623999999994</v>
      </c>
      <c r="KA32">
        <v>117151.049419134</v>
      </c>
      <c r="KC32" s="3">
        <v>44897</v>
      </c>
      <c r="KD32" s="9">
        <v>5366221.8696960937</v>
      </c>
      <c r="KE32" s="9">
        <v>101676.30496556904</v>
      </c>
      <c r="KF32" s="9">
        <v>96538.681241327533</v>
      </c>
      <c r="KG32" s="9">
        <v>0</v>
      </c>
      <c r="KH32" s="9">
        <v>31714.397793103457</v>
      </c>
      <c r="KI32" s="9">
        <v>229929.38399999999</v>
      </c>
      <c r="KJ32" s="9">
        <v>5269683.1884547668</v>
      </c>
      <c r="KL32" t="s">
        <v>1231</v>
      </c>
      <c r="KM32" t="s">
        <v>1232</v>
      </c>
      <c r="KO32" t="s">
        <v>1233</v>
      </c>
      <c r="KP32" t="s">
        <v>1240</v>
      </c>
    </row>
    <row r="33" spans="1:303" x14ac:dyDescent="0.3">
      <c r="A33">
        <v>44941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J33">
        <v>44941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S33">
        <v>44941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B33">
        <v>44941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K33">
        <v>44941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T33">
        <v>44941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C33">
        <v>44941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L33">
        <v>44941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U33">
        <v>44941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D33">
        <v>44941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M33">
        <v>44941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V33">
        <v>44941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E33">
        <v>44941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N33">
        <v>44941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W33">
        <v>44941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F33">
        <v>44941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O33">
        <v>44941</v>
      </c>
      <c r="EP33">
        <v>628810.100458676</v>
      </c>
      <c r="EQ33">
        <v>12806.657640426913</v>
      </c>
      <c r="ER33">
        <v>12736.402704400674</v>
      </c>
      <c r="ES33">
        <v>4086.8896551724142</v>
      </c>
      <c r="ET33">
        <v>29629.95</v>
      </c>
      <c r="EU33">
        <v>616073.69775427529</v>
      </c>
      <c r="EW33">
        <v>44941</v>
      </c>
      <c r="EX33">
        <v>116074.99365315949</v>
      </c>
      <c r="EY33">
        <v>2365.1118496256613</v>
      </c>
      <c r="EZ33">
        <v>2977.681253822615</v>
      </c>
      <c r="FA33">
        <v>854.84689655172417</v>
      </c>
      <c r="FB33">
        <v>6197.64</v>
      </c>
      <c r="FC33">
        <v>113097.31239933686</v>
      </c>
      <c r="FE33">
        <v>44941</v>
      </c>
      <c r="FF33">
        <v>116074.99365318532</v>
      </c>
      <c r="FG33">
        <v>2365.1118496269341</v>
      </c>
      <c r="FH33">
        <v>2977.6812538213421</v>
      </c>
      <c r="FI33">
        <v>854.84689655172417</v>
      </c>
      <c r="FJ33">
        <v>6197.64</v>
      </c>
      <c r="FK33">
        <v>113097.312399364</v>
      </c>
      <c r="FM33">
        <v>44927</v>
      </c>
      <c r="FN33">
        <v>560831.64481517568</v>
      </c>
      <c r="FO33">
        <v>6832.8271261655318</v>
      </c>
      <c r="FP33">
        <v>15189.18149452412</v>
      </c>
      <c r="FQ33">
        <v>3523.5213793103449</v>
      </c>
      <c r="FR33">
        <v>25545.53</v>
      </c>
      <c r="FS33">
        <v>545642.46332065156</v>
      </c>
      <c r="FU33">
        <v>44941</v>
      </c>
      <c r="FV33">
        <v>245512.36632072384</v>
      </c>
      <c r="FW33">
        <v>5354.9886998804559</v>
      </c>
      <c r="FX33">
        <v>3871.1750932229934</v>
      </c>
      <c r="FY33">
        <v>1476.186206896552</v>
      </c>
      <c r="FZ33">
        <v>10702.35</v>
      </c>
      <c r="GA33">
        <v>241641.19122750085</v>
      </c>
      <c r="GC33">
        <v>44927</v>
      </c>
      <c r="GD33">
        <v>418901.39045177744</v>
      </c>
      <c r="GE33">
        <v>8985.6355546920022</v>
      </c>
      <c r="GF33">
        <v>5755.0282384114435</v>
      </c>
      <c r="GG33">
        <v>2358.5062068965517</v>
      </c>
      <c r="GH33">
        <v>17099.169999999998</v>
      </c>
      <c r="GI33">
        <v>413146.36221336602</v>
      </c>
      <c r="GK33">
        <v>44927</v>
      </c>
      <c r="GL33">
        <v>418901.3904517779</v>
      </c>
      <c r="GM33">
        <v>8985.6355546920495</v>
      </c>
      <c r="GN33">
        <v>5755.0282384113962</v>
      </c>
      <c r="GO33">
        <v>2358.5062068965517</v>
      </c>
      <c r="GP33">
        <v>17099.169999999998</v>
      </c>
      <c r="GQ33">
        <v>413146.36221336655</v>
      </c>
      <c r="GS33">
        <v>44927</v>
      </c>
      <c r="GT33">
        <v>532775.956484986</v>
      </c>
      <c r="GU33">
        <v>12348.343347598811</v>
      </c>
      <c r="GV33">
        <v>5956.8463075736017</v>
      </c>
      <c r="GW33">
        <v>2928.8303448275869</v>
      </c>
      <c r="GX33">
        <v>21234.02</v>
      </c>
      <c r="GY33">
        <v>526819.1101774124</v>
      </c>
      <c r="HA33">
        <v>44927</v>
      </c>
      <c r="HB33">
        <v>475263.64865982375</v>
      </c>
      <c r="HC33">
        <v>11222.693571567175</v>
      </c>
      <c r="HD33">
        <v>4915.0736698121364</v>
      </c>
      <c r="HE33">
        <v>2582.0427586206906</v>
      </c>
      <c r="HF33">
        <v>18719.810000000001</v>
      </c>
      <c r="HG33">
        <v>470348.57499001169</v>
      </c>
      <c r="HI33">
        <v>44940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Q33">
        <v>44928</v>
      </c>
      <c r="HR33">
        <v>277752.94350762252</v>
      </c>
      <c r="HS33">
        <v>7649.3475401250898</v>
      </c>
      <c r="HT33">
        <v>3072.8334943576683</v>
      </c>
      <c r="HU33">
        <v>1715.5489655172414</v>
      </c>
      <c r="HV33">
        <v>12437.73</v>
      </c>
      <c r="HW33">
        <v>274680.11001326487</v>
      </c>
      <c r="HY33">
        <v>44931</v>
      </c>
      <c r="HZ33">
        <v>387048.0707255365</v>
      </c>
      <c r="IA33">
        <v>3929.3768848740506</v>
      </c>
      <c r="IB33">
        <v>4790.9248392638801</v>
      </c>
      <c r="IC33">
        <v>1395.248275862069</v>
      </c>
      <c r="ID33">
        <v>10115.549999999999</v>
      </c>
      <c r="IE33">
        <v>382257.14588627254</v>
      </c>
      <c r="IG33">
        <v>44947</v>
      </c>
      <c r="IH33">
        <v>339849.30619850109</v>
      </c>
      <c r="II33">
        <v>4753.4171587526771</v>
      </c>
      <c r="IJ33">
        <v>13596.142841247323</v>
      </c>
      <c r="IK33">
        <v>2935.9296000000004</v>
      </c>
      <c r="IL33">
        <v>21285.489600000001</v>
      </c>
      <c r="IM33">
        <v>326253.16335725377</v>
      </c>
      <c r="IO33">
        <v>44946</v>
      </c>
      <c r="IP33">
        <v>112904.71616978648</v>
      </c>
      <c r="IQ33">
        <v>1763.6817691372764</v>
      </c>
      <c r="IR33">
        <v>3205.3082308627227</v>
      </c>
      <c r="IS33">
        <v>795.03840000000002</v>
      </c>
      <c r="IT33">
        <v>5764.0283999999992</v>
      </c>
      <c r="IU33">
        <v>109699.40793892376</v>
      </c>
      <c r="IW33">
        <v>44929</v>
      </c>
      <c r="IX33">
        <v>273472.4601347663</v>
      </c>
      <c r="IY33">
        <v>4154.9249152757411</v>
      </c>
      <c r="IZ33">
        <v>6605.4550847242581</v>
      </c>
      <c r="JA33">
        <v>1721.6608000000001</v>
      </c>
      <c r="JB33">
        <v>12482.040800000001</v>
      </c>
      <c r="JC33">
        <v>266867.00505004206</v>
      </c>
      <c r="JE33">
        <v>44944</v>
      </c>
      <c r="JF33">
        <v>121613.13852524916</v>
      </c>
      <c r="JG33">
        <v>1961.8795623509152</v>
      </c>
      <c r="JH33">
        <v>2693.3604376490844</v>
      </c>
      <c r="JI33">
        <v>744.83839999999998</v>
      </c>
      <c r="JJ33">
        <v>5400.0783999999994</v>
      </c>
      <c r="JK33">
        <v>118919.77808760008</v>
      </c>
      <c r="JM33">
        <v>44933</v>
      </c>
      <c r="JN33">
        <v>126745.0188248851</v>
      </c>
      <c r="JO33">
        <v>2343.8830264749149</v>
      </c>
      <c r="JP33">
        <v>2263.2069735250852</v>
      </c>
      <c r="JQ33">
        <v>737.13440000000003</v>
      </c>
      <c r="JR33">
        <v>5344.2244000000001</v>
      </c>
      <c r="JS33">
        <v>124481.81185136002</v>
      </c>
      <c r="JU33">
        <v>44934</v>
      </c>
      <c r="JV33">
        <v>117151.049419134</v>
      </c>
      <c r="JW33">
        <v>2140.1858464875777</v>
      </c>
      <c r="JX33">
        <v>1889.9541535124215</v>
      </c>
      <c r="JY33">
        <v>644.82240000000002</v>
      </c>
      <c r="JZ33">
        <v>4674.9623999999994</v>
      </c>
      <c r="KA33">
        <v>115261.0952656216</v>
      </c>
      <c r="KC33" s="3">
        <v>44928</v>
      </c>
      <c r="KD33" s="9">
        <v>5269683.1884547668</v>
      </c>
      <c r="KE33" s="9">
        <v>99963.701897753781</v>
      </c>
      <c r="KF33" s="9">
        <v>98251.284309142764</v>
      </c>
      <c r="KG33" s="9">
        <v>0</v>
      </c>
      <c r="KH33" s="9">
        <v>31714.397793103457</v>
      </c>
      <c r="KI33" s="9">
        <v>229929.38399999999</v>
      </c>
      <c r="KJ33" s="9">
        <v>5171431.9041456236</v>
      </c>
      <c r="KL33" t="s">
        <v>1263</v>
      </c>
      <c r="KM33">
        <v>1476541.3965517243</v>
      </c>
      <c r="KN33" t="s">
        <v>1264</v>
      </c>
      <c r="KO33" t="s">
        <v>1265</v>
      </c>
      <c r="KP33">
        <v>60</v>
      </c>
      <c r="KQ33" t="s">
        <v>1266</v>
      </c>
    </row>
    <row r="34" spans="1:303" x14ac:dyDescent="0.3">
      <c r="A34">
        <v>44972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J34">
        <v>44972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S34">
        <v>44972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B34">
        <v>44972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K34">
        <v>44972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T34">
        <v>44972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C34">
        <v>44972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L34">
        <v>44972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U34">
        <v>44972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D34">
        <v>44972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M34">
        <v>44972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V34">
        <v>44972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E34">
        <v>44972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N34">
        <v>44972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W34">
        <v>44972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F34">
        <v>44972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O34">
        <v>44972</v>
      </c>
      <c r="EP34">
        <v>616073.69775427529</v>
      </c>
      <c r="EQ34">
        <v>12547.261760992264</v>
      </c>
      <c r="ER34">
        <v>12995.798583835322</v>
      </c>
      <c r="ES34">
        <v>4086.8896551724142</v>
      </c>
      <c r="ET34">
        <v>29629.95</v>
      </c>
      <c r="EU34">
        <v>603077.89917043992</v>
      </c>
      <c r="EW34">
        <v>44972</v>
      </c>
      <c r="EX34">
        <v>113097.31239933686</v>
      </c>
      <c r="EY34">
        <v>2304.4394429670169</v>
      </c>
      <c r="EZ34">
        <v>3038.3536604812593</v>
      </c>
      <c r="FA34">
        <v>854.84689655172417</v>
      </c>
      <c r="FB34">
        <v>6197.64</v>
      </c>
      <c r="FC34">
        <v>110058.9587388556</v>
      </c>
      <c r="FE34">
        <v>44972</v>
      </c>
      <c r="FF34">
        <v>113097.312399364</v>
      </c>
      <c r="FG34">
        <v>2304.4394429682961</v>
      </c>
      <c r="FH34">
        <v>3038.3536604799801</v>
      </c>
      <c r="FI34">
        <v>854.84689655172417</v>
      </c>
      <c r="FJ34">
        <v>6197.64</v>
      </c>
      <c r="FK34">
        <v>110058.95873888402</v>
      </c>
      <c r="FM34">
        <v>44958</v>
      </c>
      <c r="FN34">
        <v>545642.46332065156</v>
      </c>
      <c r="FO34">
        <v>6647.7714997587182</v>
      </c>
      <c r="FP34">
        <v>15374.237120930937</v>
      </c>
      <c r="FQ34">
        <v>3523.5213793103449</v>
      </c>
      <c r="FR34">
        <v>25545.53</v>
      </c>
      <c r="FS34">
        <v>530268.22619972064</v>
      </c>
      <c r="FU34">
        <v>44972</v>
      </c>
      <c r="FV34">
        <v>241641.19122750085</v>
      </c>
      <c r="FW34">
        <v>5270.552631790968</v>
      </c>
      <c r="FX34">
        <v>3955.6111613124817</v>
      </c>
      <c r="FY34">
        <v>1476.186206896552</v>
      </c>
      <c r="FZ34">
        <v>10702.35</v>
      </c>
      <c r="GA34">
        <v>237685.58006618835</v>
      </c>
      <c r="GC34">
        <v>44958</v>
      </c>
      <c r="GD34">
        <v>413146.36221336602</v>
      </c>
      <c r="GE34">
        <v>8862.1874412790694</v>
      </c>
      <c r="GF34">
        <v>5878.4763518243763</v>
      </c>
      <c r="GG34">
        <v>2358.5062068965517</v>
      </c>
      <c r="GH34">
        <v>17099.169999999998</v>
      </c>
      <c r="GI34">
        <v>407267.88586154161</v>
      </c>
      <c r="GK34">
        <v>44958</v>
      </c>
      <c r="GL34">
        <v>413146.36221336655</v>
      </c>
      <c r="GM34">
        <v>8862.1874412791167</v>
      </c>
      <c r="GN34">
        <v>5878.476351824329</v>
      </c>
      <c r="GO34">
        <v>2358.5062068965517</v>
      </c>
      <c r="GP34">
        <v>17099.169999999998</v>
      </c>
      <c r="GQ34">
        <v>407267.88586154213</v>
      </c>
      <c r="GS34">
        <v>44958</v>
      </c>
      <c r="GT34">
        <v>526819.1101774124</v>
      </c>
      <c r="GU34">
        <v>12210.279340431349</v>
      </c>
      <c r="GV34">
        <v>6094.910314741066</v>
      </c>
      <c r="GW34">
        <v>2928.8303448275869</v>
      </c>
      <c r="GX34">
        <v>21234.02</v>
      </c>
      <c r="GY34">
        <v>520724.19986267138</v>
      </c>
      <c r="HA34">
        <v>44958</v>
      </c>
      <c r="HB34">
        <v>470348.57499001169</v>
      </c>
      <c r="HC34">
        <v>11106.630906489539</v>
      </c>
      <c r="HD34">
        <v>5031.1363348897703</v>
      </c>
      <c r="HE34">
        <v>2582.0427586206906</v>
      </c>
      <c r="HF34">
        <v>18719.810000000001</v>
      </c>
      <c r="HG34">
        <v>465317.43865512189</v>
      </c>
      <c r="HI34">
        <v>44971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Q34">
        <v>44959</v>
      </c>
      <c r="HR34">
        <v>274680.11001326487</v>
      </c>
      <c r="HS34">
        <v>7564.7213574663492</v>
      </c>
      <c r="HT34">
        <v>3157.459677016408</v>
      </c>
      <c r="HU34">
        <v>1715.5489655172414</v>
      </c>
      <c r="HV34">
        <v>12437.73</v>
      </c>
      <c r="HW34">
        <v>271522.65033624845</v>
      </c>
      <c r="HY34">
        <v>44962</v>
      </c>
      <c r="HZ34">
        <v>382257.14588627254</v>
      </c>
      <c r="IA34">
        <v>3880.7386129268898</v>
      </c>
      <c r="IB34">
        <v>4839.5631112110414</v>
      </c>
      <c r="IC34">
        <v>1395.248275862069</v>
      </c>
      <c r="ID34">
        <v>10115.549999999999</v>
      </c>
      <c r="IE34">
        <v>377417.58277506143</v>
      </c>
      <c r="IG34">
        <v>44978</v>
      </c>
      <c r="IH34">
        <v>326253.16335725377</v>
      </c>
      <c r="II34">
        <v>4563.2501126658181</v>
      </c>
      <c r="IJ34">
        <v>13786.309887334184</v>
      </c>
      <c r="IK34">
        <v>2935.9296000000004</v>
      </c>
      <c r="IL34">
        <v>21285.489600000001</v>
      </c>
      <c r="IM34">
        <v>312466.85346991959</v>
      </c>
      <c r="IO34">
        <v>44977</v>
      </c>
      <c r="IP34">
        <v>109699.40793892376</v>
      </c>
      <c r="IQ34">
        <v>1713.6117288146293</v>
      </c>
      <c r="IR34">
        <v>3255.3782711853696</v>
      </c>
      <c r="IS34">
        <v>795.03840000000002</v>
      </c>
      <c r="IT34">
        <v>5764.0283999999992</v>
      </c>
      <c r="IU34">
        <v>106444.0296677384</v>
      </c>
      <c r="IW34">
        <v>44960</v>
      </c>
      <c r="IX34">
        <v>266867.00505004206</v>
      </c>
      <c r="IY34">
        <v>4054.566839384916</v>
      </c>
      <c r="IZ34">
        <v>6705.8131606150837</v>
      </c>
      <c r="JA34">
        <v>1721.6608000000001</v>
      </c>
      <c r="JB34">
        <v>12482.040800000001</v>
      </c>
      <c r="JC34">
        <v>260161.19188942699</v>
      </c>
      <c r="JE34">
        <v>44975</v>
      </c>
      <c r="JF34">
        <v>118919.77808760008</v>
      </c>
      <c r="JG34">
        <v>1918.4299083024659</v>
      </c>
      <c r="JH34">
        <v>2736.8100916975336</v>
      </c>
      <c r="JI34">
        <v>744.83839999999998</v>
      </c>
      <c r="JJ34">
        <v>5400.0783999999994</v>
      </c>
      <c r="JK34">
        <v>116182.96799590254</v>
      </c>
      <c r="JM34">
        <v>44964</v>
      </c>
      <c r="JN34">
        <v>124481.81185136002</v>
      </c>
      <c r="JO34">
        <v>2302.0297650226894</v>
      </c>
      <c r="JP34">
        <v>2305.0602349773103</v>
      </c>
      <c r="JQ34">
        <v>737.13440000000003</v>
      </c>
      <c r="JR34">
        <v>5344.2244000000001</v>
      </c>
      <c r="JS34">
        <v>122176.75161638272</v>
      </c>
      <c r="JU34">
        <v>44965</v>
      </c>
      <c r="JV34">
        <v>115261.0952656216</v>
      </c>
      <c r="JW34">
        <v>2105.6590270530687</v>
      </c>
      <c r="JX34">
        <v>1924.4809729469307</v>
      </c>
      <c r="JY34">
        <v>644.82240000000002</v>
      </c>
      <c r="JZ34">
        <v>4674.9623999999994</v>
      </c>
      <c r="KA34">
        <v>113336.61429267468</v>
      </c>
      <c r="KC34" s="3">
        <v>44959</v>
      </c>
      <c r="KD34" s="9">
        <v>5171431.9041456236</v>
      </c>
      <c r="KE34" s="9">
        <v>98218.757259593171</v>
      </c>
      <c r="KF34" s="9">
        <v>99996.228947303374</v>
      </c>
      <c r="KG34" s="9">
        <v>0</v>
      </c>
      <c r="KH34" s="9">
        <v>31714.397793103457</v>
      </c>
      <c r="KI34" s="9">
        <v>229929.38399999999</v>
      </c>
      <c r="KJ34" s="9">
        <v>5071435.6751983203</v>
      </c>
      <c r="KL34" t="s">
        <v>1267</v>
      </c>
      <c r="KM34">
        <v>0</v>
      </c>
      <c r="KN34" t="s">
        <v>1264</v>
      </c>
      <c r="KO34" t="s">
        <v>1268</v>
      </c>
      <c r="KP34">
        <v>54386.63</v>
      </c>
      <c r="KQ34" t="s">
        <v>1269</v>
      </c>
    </row>
    <row r="35" spans="1:303" x14ac:dyDescent="0.3">
      <c r="A35">
        <v>45000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J35">
        <v>45000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S35">
        <v>45000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B35">
        <v>45000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K35">
        <v>45000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T35">
        <v>45000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C35">
        <v>45000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L35">
        <v>45000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U35">
        <v>45000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D35">
        <v>45000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M35">
        <v>45000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V35">
        <v>45000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E35">
        <v>45000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N35">
        <v>45000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W35">
        <v>45000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F35">
        <v>45000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O35">
        <v>45000</v>
      </c>
      <c r="EP35">
        <v>603077.89917043992</v>
      </c>
      <c r="EQ35">
        <v>12282.58289672828</v>
      </c>
      <c r="ER35">
        <v>13260.477448099306</v>
      </c>
      <c r="ES35">
        <v>4086.8896551724142</v>
      </c>
      <c r="ET35">
        <v>29629.95</v>
      </c>
      <c r="EU35">
        <v>589817.42172234063</v>
      </c>
      <c r="EW35">
        <v>45000</v>
      </c>
      <c r="EX35">
        <v>110058.9587388556</v>
      </c>
      <c r="EY35">
        <v>2242.5307921922417</v>
      </c>
      <c r="EZ35">
        <v>3100.2623112560345</v>
      </c>
      <c r="FA35">
        <v>854.84689655172417</v>
      </c>
      <c r="FB35">
        <v>6197.64</v>
      </c>
      <c r="FC35">
        <v>106958.69642759956</v>
      </c>
      <c r="FE35">
        <v>45000</v>
      </c>
      <c r="FF35">
        <v>110058.95873888402</v>
      </c>
      <c r="FG35">
        <v>2242.5307921935282</v>
      </c>
      <c r="FH35">
        <v>3100.2623112547485</v>
      </c>
      <c r="FI35">
        <v>854.84689655172417</v>
      </c>
      <c r="FJ35">
        <v>6197.64</v>
      </c>
      <c r="FK35">
        <v>106958.69642762929</v>
      </c>
      <c r="FM35">
        <v>44986</v>
      </c>
      <c r="FN35">
        <v>530268.22619972064</v>
      </c>
      <c r="FO35">
        <v>6460.4612696474742</v>
      </c>
      <c r="FP35">
        <v>15561.547351042178</v>
      </c>
      <c r="FQ35">
        <v>3523.5213793103449</v>
      </c>
      <c r="FR35">
        <v>25545.53</v>
      </c>
      <c r="FS35">
        <v>514706.67884867848</v>
      </c>
      <c r="FU35">
        <v>45000</v>
      </c>
      <c r="FV35">
        <v>237685.58006618835</v>
      </c>
      <c r="FW35">
        <v>5184.2748878736693</v>
      </c>
      <c r="FX35">
        <v>4041.88890522978</v>
      </c>
      <c r="FY35">
        <v>1476.186206896552</v>
      </c>
      <c r="FZ35">
        <v>10702.35</v>
      </c>
      <c r="GA35">
        <v>233643.69116095855</v>
      </c>
      <c r="GC35">
        <v>44986</v>
      </c>
      <c r="GD35">
        <v>407267.88586154161</v>
      </c>
      <c r="GE35">
        <v>8736.0913066794637</v>
      </c>
      <c r="GF35">
        <v>6004.5724864239819</v>
      </c>
      <c r="GG35">
        <v>2358.5062068965517</v>
      </c>
      <c r="GH35">
        <v>17099.169999999998</v>
      </c>
      <c r="GI35">
        <v>401263.31337511761</v>
      </c>
      <c r="GK35">
        <v>44986</v>
      </c>
      <c r="GL35">
        <v>407267.88586154213</v>
      </c>
      <c r="GM35">
        <v>8736.091306679511</v>
      </c>
      <c r="GN35">
        <v>6004.5724864239346</v>
      </c>
      <c r="GO35">
        <v>2358.5062068965517</v>
      </c>
      <c r="GP35">
        <v>17099.169999999998</v>
      </c>
      <c r="GQ35">
        <v>401263.31337511825</v>
      </c>
      <c r="GS35">
        <v>44986</v>
      </c>
      <c r="GT35">
        <v>520724.19986267138</v>
      </c>
      <c r="GU35">
        <v>12069.015373236229</v>
      </c>
      <c r="GV35">
        <v>6236.1742819361862</v>
      </c>
      <c r="GW35">
        <v>2928.8303448275869</v>
      </c>
      <c r="GX35">
        <v>21234.02</v>
      </c>
      <c r="GY35">
        <v>514488.02558073512</v>
      </c>
      <c r="HA35">
        <v>44986</v>
      </c>
      <c r="HB35">
        <v>465317.43865512189</v>
      </c>
      <c r="HC35">
        <v>10987.827582140071</v>
      </c>
      <c r="HD35">
        <v>5149.9396592392386</v>
      </c>
      <c r="HE35">
        <v>2582.0427586206906</v>
      </c>
      <c r="HF35">
        <v>18719.810000000001</v>
      </c>
      <c r="HG35">
        <v>460167.49899588263</v>
      </c>
      <c r="HI35">
        <v>44999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Q35">
        <v>44987</v>
      </c>
      <c r="HR35">
        <v>271522.65033624845</v>
      </c>
      <c r="HS35">
        <v>7477.764560147054</v>
      </c>
      <c r="HT35">
        <v>3244.4164743357023</v>
      </c>
      <c r="HU35">
        <v>1715.5489655172414</v>
      </c>
      <c r="HV35">
        <v>12437.73</v>
      </c>
      <c r="HW35">
        <v>268278.23386191274</v>
      </c>
      <c r="HY35">
        <v>44990</v>
      </c>
      <c r="HZ35">
        <v>377417.58277506143</v>
      </c>
      <c r="IA35">
        <v>3831.606557090945</v>
      </c>
      <c r="IB35">
        <v>4888.6951670469862</v>
      </c>
      <c r="IC35">
        <v>1395.248275862069</v>
      </c>
      <c r="ID35">
        <v>10115.549999999999</v>
      </c>
      <c r="IE35">
        <v>372528.88760801445</v>
      </c>
      <c r="IG35">
        <v>45006</v>
      </c>
      <c r="IH35">
        <v>312466.85346991959</v>
      </c>
      <c r="II35">
        <v>4370.423230930006</v>
      </c>
      <c r="IJ35">
        <v>13979.136769069995</v>
      </c>
      <c r="IK35">
        <v>2935.9296000000004</v>
      </c>
      <c r="IL35">
        <v>21285.489600000001</v>
      </c>
      <c r="IM35">
        <v>298487.71670084959</v>
      </c>
      <c r="IO35">
        <v>45005</v>
      </c>
      <c r="IP35">
        <v>106444.0296677384</v>
      </c>
      <c r="IQ35">
        <v>1662.7595456347765</v>
      </c>
      <c r="IR35">
        <v>3306.2304543652226</v>
      </c>
      <c r="IS35">
        <v>795.03840000000002</v>
      </c>
      <c r="IT35">
        <v>5764.0283999999992</v>
      </c>
      <c r="IU35">
        <v>103137.79921337316</v>
      </c>
      <c r="IW35">
        <v>44988</v>
      </c>
      <c r="IX35">
        <v>260161.19188942699</v>
      </c>
      <c r="IY35">
        <v>3952.6840020253767</v>
      </c>
      <c r="IZ35">
        <v>6807.6959979746225</v>
      </c>
      <c r="JA35">
        <v>1721.6608000000001</v>
      </c>
      <c r="JB35">
        <v>12482.040800000001</v>
      </c>
      <c r="JC35">
        <v>253353.49589145236</v>
      </c>
      <c r="JE35">
        <v>45003</v>
      </c>
      <c r="JF35">
        <v>116182.96799590254</v>
      </c>
      <c r="JG35">
        <v>1874.279318571387</v>
      </c>
      <c r="JH35">
        <v>2780.9606814286126</v>
      </c>
      <c r="JI35">
        <v>744.83839999999998</v>
      </c>
      <c r="JJ35">
        <v>5400.0783999999994</v>
      </c>
      <c r="JK35">
        <v>113402.00731447391</v>
      </c>
      <c r="JM35">
        <v>44992</v>
      </c>
      <c r="JN35">
        <v>122176.75161638272</v>
      </c>
      <c r="JO35">
        <v>2259.4025153693501</v>
      </c>
      <c r="JP35">
        <v>2347.68748463065</v>
      </c>
      <c r="JQ35">
        <v>737.13440000000003</v>
      </c>
      <c r="JR35">
        <v>5344.2244000000001</v>
      </c>
      <c r="JS35">
        <v>119829.06413175206</v>
      </c>
      <c r="JU35">
        <v>44993</v>
      </c>
      <c r="JV35">
        <v>113336.61429267468</v>
      </c>
      <c r="JW35">
        <v>2070.5014509104949</v>
      </c>
      <c r="JX35">
        <v>1959.6385490895043</v>
      </c>
      <c r="JY35">
        <v>644.82240000000002</v>
      </c>
      <c r="JZ35">
        <v>4674.9623999999994</v>
      </c>
      <c r="KA35">
        <v>111376.97574358516</v>
      </c>
      <c r="KC35" s="3">
        <v>44987</v>
      </c>
      <c r="KD35" s="9">
        <v>5071435.6751983203</v>
      </c>
      <c r="KE35" s="9">
        <v>96440.827388049845</v>
      </c>
      <c r="KF35" s="9">
        <v>101774.15881884668</v>
      </c>
      <c r="KG35" s="9">
        <v>0</v>
      </c>
      <c r="KH35" s="9">
        <v>31714.397793103457</v>
      </c>
      <c r="KI35" s="9">
        <v>229929.38399999999</v>
      </c>
      <c r="KJ35" s="9">
        <v>4969661.5163794737</v>
      </c>
      <c r="KL35" t="s">
        <v>1270</v>
      </c>
      <c r="KM35">
        <v>0.26</v>
      </c>
      <c r="KN35">
        <v>2.1666666666666667E-2</v>
      </c>
      <c r="KO35" t="s">
        <v>1271</v>
      </c>
      <c r="KP35">
        <v>29531.017241379315</v>
      </c>
      <c r="KQ35" t="s">
        <v>1264</v>
      </c>
    </row>
    <row r="36" spans="1:303" x14ac:dyDescent="0.3">
      <c r="A36">
        <v>45031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J36">
        <v>45031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S36">
        <v>45031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B36">
        <v>45031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K36">
        <v>45031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T36">
        <v>45031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C36">
        <v>45031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L36">
        <v>45031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U36">
        <v>45031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D36">
        <v>45031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M36">
        <v>45031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V36">
        <v>45031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E36">
        <v>45031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N36">
        <v>45031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W36">
        <v>45031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F36">
        <v>45031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O36">
        <v>45031</v>
      </c>
      <c r="EP36">
        <v>589817.42172234063</v>
      </c>
      <c r="EQ36">
        <v>12012.513451751913</v>
      </c>
      <c r="ER36">
        <v>13530.546893075676</v>
      </c>
      <c r="ES36">
        <v>4086.8896551724142</v>
      </c>
      <c r="ET36">
        <v>29629.95</v>
      </c>
      <c r="EU36">
        <v>576286.87482926494</v>
      </c>
      <c r="EW36">
        <v>45031</v>
      </c>
      <c r="EX36">
        <v>106958.69642759956</v>
      </c>
      <c r="EY36">
        <v>2179.3607079343915</v>
      </c>
      <c r="EZ36">
        <v>3163.4323955138848</v>
      </c>
      <c r="FA36">
        <v>854.84689655172417</v>
      </c>
      <c r="FB36">
        <v>6197.64</v>
      </c>
      <c r="FC36">
        <v>103795.26403208567</v>
      </c>
      <c r="FE36">
        <v>45031</v>
      </c>
      <c r="FF36">
        <v>106958.69642762929</v>
      </c>
      <c r="FG36">
        <v>2179.3607079356839</v>
      </c>
      <c r="FH36">
        <v>3163.4323955125924</v>
      </c>
      <c r="FI36">
        <v>854.84689655172417</v>
      </c>
      <c r="FJ36">
        <v>6197.64</v>
      </c>
      <c r="FK36">
        <v>103795.26403211668</v>
      </c>
      <c r="FM36">
        <v>45017</v>
      </c>
      <c r="FN36">
        <v>514706.67884867848</v>
      </c>
      <c r="FO36">
        <v>6270.8689671297525</v>
      </c>
      <c r="FP36">
        <v>15751.1396535599</v>
      </c>
      <c r="FQ36">
        <v>3523.5213793103449</v>
      </c>
      <c r="FR36">
        <v>25545.53</v>
      </c>
      <c r="FS36">
        <v>498955.53919511859</v>
      </c>
      <c r="FU36">
        <v>45031</v>
      </c>
      <c r="FV36">
        <v>233643.69116095855</v>
      </c>
      <c r="FW36">
        <v>5096.1152984483342</v>
      </c>
      <c r="FX36">
        <v>4130.0484946551151</v>
      </c>
      <c r="FY36">
        <v>1476.186206896552</v>
      </c>
      <c r="FZ36">
        <v>10702.35</v>
      </c>
      <c r="GA36">
        <v>229513.64266630349</v>
      </c>
      <c r="GC36">
        <v>45017</v>
      </c>
      <c r="GD36">
        <v>401263.31337511761</v>
      </c>
      <c r="GE36">
        <v>8607.2903495698502</v>
      </c>
      <c r="GF36">
        <v>6133.3734435335955</v>
      </c>
      <c r="GG36">
        <v>2358.5062068965517</v>
      </c>
      <c r="GH36">
        <v>17099.169999999998</v>
      </c>
      <c r="GI36">
        <v>395129.939931584</v>
      </c>
      <c r="GK36">
        <v>45017</v>
      </c>
      <c r="GL36">
        <v>401263.31337511825</v>
      </c>
      <c r="GM36">
        <v>8607.2903495698974</v>
      </c>
      <c r="GN36">
        <v>6133.3734435335482</v>
      </c>
      <c r="GO36">
        <v>2358.5062068965517</v>
      </c>
      <c r="GP36">
        <v>17099.169999999998</v>
      </c>
      <c r="GQ36">
        <v>395129.9399315847</v>
      </c>
      <c r="GS36">
        <v>45017</v>
      </c>
      <c r="GT36">
        <v>514488.02558073512</v>
      </c>
      <c r="GU36">
        <v>11924.477279368652</v>
      </c>
      <c r="GV36">
        <v>6380.7123758037615</v>
      </c>
      <c r="GW36">
        <v>2928.8303448275869</v>
      </c>
      <c r="GX36">
        <v>21234.02</v>
      </c>
      <c r="GY36">
        <v>508107.31320493139</v>
      </c>
      <c r="HA36">
        <v>45017</v>
      </c>
      <c r="HB36">
        <v>460167.49899588263</v>
      </c>
      <c r="HC36">
        <v>10866.218881641558</v>
      </c>
      <c r="HD36">
        <v>5271.5483597377533</v>
      </c>
      <c r="HE36">
        <v>2582.0427586206906</v>
      </c>
      <c r="HF36">
        <v>18719.810000000001</v>
      </c>
      <c r="HG36">
        <v>454895.9506361449</v>
      </c>
      <c r="HI36">
        <v>45032</v>
      </c>
      <c r="HJ36">
        <v>396465.51724137936</v>
      </c>
      <c r="HK36">
        <v>10842.744877772831</v>
      </c>
      <c r="HL36">
        <v>3540.6171911926849</v>
      </c>
      <c r="HM36">
        <v>2301.3379310344831</v>
      </c>
      <c r="HN36">
        <v>16684.7</v>
      </c>
      <c r="HO36">
        <v>392924.90005018667</v>
      </c>
      <c r="HQ36">
        <v>45018</v>
      </c>
      <c r="HR36">
        <v>268278.23386191274</v>
      </c>
      <c r="HS36">
        <v>7388.4129627753427</v>
      </c>
      <c r="HT36">
        <v>3333.7680717074154</v>
      </c>
      <c r="HU36">
        <v>1715.5489655172414</v>
      </c>
      <c r="HV36">
        <v>12437.73</v>
      </c>
      <c r="HW36">
        <v>264944.46579020534</v>
      </c>
      <c r="HY36">
        <v>45021</v>
      </c>
      <c r="HZ36">
        <v>372528.88760801445</v>
      </c>
      <c r="IA36">
        <v>3781.9757043894169</v>
      </c>
      <c r="IB36">
        <v>4938.3260197485142</v>
      </c>
      <c r="IC36">
        <v>1395.248275862069</v>
      </c>
      <c r="ID36">
        <v>10115.549999999999</v>
      </c>
      <c r="IE36">
        <v>367590.56158826599</v>
      </c>
      <c r="IG36">
        <v>45037</v>
      </c>
      <c r="IH36">
        <v>298487.71670084959</v>
      </c>
      <c r="II36">
        <v>4174.8993108551595</v>
      </c>
      <c r="IJ36">
        <v>14174.660689144845</v>
      </c>
      <c r="IK36">
        <v>2935.9296000000004</v>
      </c>
      <c r="IL36">
        <v>21285.489600000001</v>
      </c>
      <c r="IM36">
        <v>284313.05601170473</v>
      </c>
      <c r="IO36">
        <v>45036</v>
      </c>
      <c r="IP36">
        <v>103137.79921337316</v>
      </c>
      <c r="IQ36">
        <v>1611.1130017635576</v>
      </c>
      <c r="IR36">
        <v>3357.8769982364411</v>
      </c>
      <c r="IS36">
        <v>795.03840000000002</v>
      </c>
      <c r="IT36">
        <v>5764.0283999999992</v>
      </c>
      <c r="IU36">
        <v>99779.922215136714</v>
      </c>
      <c r="IW36">
        <v>45019</v>
      </c>
      <c r="IX36">
        <v>253353.49589145236</v>
      </c>
      <c r="IY36">
        <v>3849.2532371737034</v>
      </c>
      <c r="IZ36">
        <v>6911.1267628262958</v>
      </c>
      <c r="JA36">
        <v>1721.6608000000001</v>
      </c>
      <c r="JB36">
        <v>12482.040800000001</v>
      </c>
      <c r="JC36">
        <v>246442.36912862607</v>
      </c>
      <c r="JE36">
        <v>45034</v>
      </c>
      <c r="JF36">
        <v>113402.00731447391</v>
      </c>
      <c r="JG36">
        <v>1829.4164855686561</v>
      </c>
      <c r="JH36">
        <v>2825.8235144313439</v>
      </c>
      <c r="JI36">
        <v>744.83839999999998</v>
      </c>
      <c r="JJ36">
        <v>5400.0783999999994</v>
      </c>
      <c r="JK36">
        <v>110576.18380004258</v>
      </c>
      <c r="JM36">
        <v>45023</v>
      </c>
      <c r="JN36">
        <v>119829.06413175206</v>
      </c>
      <c r="JO36">
        <v>2215.9869642280778</v>
      </c>
      <c r="JP36">
        <v>2391.1030357719224</v>
      </c>
      <c r="JQ36">
        <v>737.13440000000003</v>
      </c>
      <c r="JR36">
        <v>5344.2244000000001</v>
      </c>
      <c r="JS36">
        <v>117437.96109598014</v>
      </c>
      <c r="JU36">
        <v>45024</v>
      </c>
      <c r="JV36">
        <v>111376.97574358516</v>
      </c>
      <c r="JW36">
        <v>2034.7015950168625</v>
      </c>
      <c r="JX36">
        <v>1995.4384049831372</v>
      </c>
      <c r="JY36">
        <v>644.82240000000002</v>
      </c>
      <c r="JZ36">
        <v>4674.9623999999994</v>
      </c>
      <c r="KA36">
        <v>109381.53733860202</v>
      </c>
      <c r="KC36" s="3">
        <v>45018</v>
      </c>
      <c r="KD36" s="9">
        <v>5366127.033620853</v>
      </c>
      <c r="KE36" s="9">
        <v>105472.00013289363</v>
      </c>
      <c r="KF36" s="9">
        <v>107126.34814296846</v>
      </c>
      <c r="KG36" s="9">
        <v>0</v>
      </c>
      <c r="KH36" s="9">
        <v>34015.735724137936</v>
      </c>
      <c r="KI36" s="9">
        <v>246614.084</v>
      </c>
      <c r="KJ36" s="9">
        <v>5259000.6854778845</v>
      </c>
    </row>
    <row r="37" spans="1:303" x14ac:dyDescent="0.3">
      <c r="A37">
        <v>45061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J37">
        <v>45061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S37">
        <v>45061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B37">
        <v>45061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K37">
        <v>45061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T37">
        <v>45061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C37">
        <v>45061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L37">
        <v>45061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U37">
        <v>45061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D37">
        <v>45061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M37">
        <v>45061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V37">
        <v>45061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E37">
        <v>45061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N37">
        <v>45061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W37">
        <v>45061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F37">
        <v>45061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O37">
        <v>45061</v>
      </c>
      <c r="EP37">
        <v>576286.87482926494</v>
      </c>
      <c r="EQ37">
        <v>11736.943638829114</v>
      </c>
      <c r="ER37">
        <v>13806.116705998473</v>
      </c>
      <c r="ES37">
        <v>4086.8896551724142</v>
      </c>
      <c r="ET37">
        <v>29629.95</v>
      </c>
      <c r="EU37">
        <v>562480.75812326651</v>
      </c>
      <c r="EW37">
        <v>45061</v>
      </c>
      <c r="EX37">
        <v>103795.26403208567</v>
      </c>
      <c r="EY37">
        <v>2114.9034875749749</v>
      </c>
      <c r="EZ37">
        <v>3227.8896158733014</v>
      </c>
      <c r="FA37">
        <v>854.84689655172417</v>
      </c>
      <c r="FB37">
        <v>6197.64</v>
      </c>
      <c r="FC37">
        <v>100567.37441621241</v>
      </c>
      <c r="FE37">
        <v>45061</v>
      </c>
      <c r="FF37">
        <v>103795.26403211668</v>
      </c>
      <c r="FG37">
        <v>2114.9034875762736</v>
      </c>
      <c r="FH37">
        <v>3227.8896158720027</v>
      </c>
      <c r="FI37">
        <v>854.84689655172417</v>
      </c>
      <c r="FJ37">
        <v>6197.64</v>
      </c>
      <c r="FK37">
        <v>100567.37441624468</v>
      </c>
      <c r="FM37">
        <v>45047</v>
      </c>
      <c r="FN37">
        <v>498955.53919511859</v>
      </c>
      <c r="FO37">
        <v>6078.966788841768</v>
      </c>
      <c r="FP37">
        <v>15943.041831847884</v>
      </c>
      <c r="FQ37">
        <v>3523.5213793103449</v>
      </c>
      <c r="FR37">
        <v>25545.53</v>
      </c>
      <c r="FS37">
        <v>483012.49736327073</v>
      </c>
      <c r="FU37">
        <v>45061</v>
      </c>
      <c r="FV37">
        <v>229513.64266630349</v>
      </c>
      <c r="FW37">
        <v>5006.0328176744533</v>
      </c>
      <c r="FX37">
        <v>4220.130975428996</v>
      </c>
      <c r="FY37">
        <v>1476.186206896552</v>
      </c>
      <c r="FZ37">
        <v>10702.35</v>
      </c>
      <c r="GA37">
        <v>225293.51169087447</v>
      </c>
      <c r="GC37">
        <v>45047</v>
      </c>
      <c r="GD37">
        <v>395129.939931584</v>
      </c>
      <c r="GE37">
        <v>8475.7265502112914</v>
      </c>
      <c r="GF37">
        <v>6264.9372428921542</v>
      </c>
      <c r="GG37">
        <v>2358.5062068965517</v>
      </c>
      <c r="GH37">
        <v>17099.169999999998</v>
      </c>
      <c r="GI37">
        <v>388865.00268869183</v>
      </c>
      <c r="GK37">
        <v>45047</v>
      </c>
      <c r="GL37">
        <v>395129.9399315847</v>
      </c>
      <c r="GM37">
        <v>8475.7265502113387</v>
      </c>
      <c r="GN37">
        <v>6264.937242892107</v>
      </c>
      <c r="GO37">
        <v>2358.5062068965517</v>
      </c>
      <c r="GP37">
        <v>17099.169999999998</v>
      </c>
      <c r="GQ37">
        <v>388865.00268869253</v>
      </c>
      <c r="GS37">
        <v>45047</v>
      </c>
      <c r="GT37">
        <v>508107.31320493139</v>
      </c>
      <c r="GU37">
        <v>11776.589173196357</v>
      </c>
      <c r="GV37">
        <v>6528.6004819760565</v>
      </c>
      <c r="GW37">
        <v>2928.8303448275869</v>
      </c>
      <c r="GX37">
        <v>21234.02</v>
      </c>
      <c r="GY37">
        <v>501578.71272295539</v>
      </c>
      <c r="HA37">
        <v>45047</v>
      </c>
      <c r="HB37">
        <v>454895.9506361449</v>
      </c>
      <c r="HC37">
        <v>10741.73855991727</v>
      </c>
      <c r="HD37">
        <v>5396.0286814620413</v>
      </c>
      <c r="HE37">
        <v>2582.0427586206906</v>
      </c>
      <c r="HF37">
        <v>18719.810000000001</v>
      </c>
      <c r="HG37">
        <v>449499.92195468285</v>
      </c>
      <c r="HI37">
        <v>45062</v>
      </c>
      <c r="HJ37">
        <v>392924.90005018667</v>
      </c>
      <c r="HK37">
        <v>10745.914239938103</v>
      </c>
      <c r="HL37">
        <v>3637.4478290274142</v>
      </c>
      <c r="HM37">
        <v>2301.3379310344831</v>
      </c>
      <c r="HN37">
        <v>16684.7</v>
      </c>
      <c r="HO37">
        <v>389287.45222115918</v>
      </c>
      <c r="HQ37">
        <v>45048</v>
      </c>
      <c r="HR37">
        <v>264944.46579020534</v>
      </c>
      <c r="HS37">
        <v>7296.600612286381</v>
      </c>
      <c r="HT37">
        <v>3425.5804221963763</v>
      </c>
      <c r="HU37">
        <v>1715.5489655172414</v>
      </c>
      <c r="HV37">
        <v>12437.73</v>
      </c>
      <c r="HW37">
        <v>261518.88536800895</v>
      </c>
      <c r="HY37">
        <v>45051</v>
      </c>
      <c r="HZ37">
        <v>367590.56158826599</v>
      </c>
      <c r="IA37">
        <v>3731.8409909529241</v>
      </c>
      <c r="IB37">
        <v>4988.4607331850075</v>
      </c>
      <c r="IC37">
        <v>1395.248275862069</v>
      </c>
      <c r="ID37">
        <v>10115.549999999999</v>
      </c>
      <c r="IE37">
        <v>362602.10085508093</v>
      </c>
      <c r="IG37">
        <v>45067</v>
      </c>
      <c r="IH37">
        <v>284313.05601170473</v>
      </c>
      <c r="II37">
        <v>3976.6406294031999</v>
      </c>
      <c r="IJ37">
        <v>14372.919370596799</v>
      </c>
      <c r="IK37">
        <v>2935.9296000000004</v>
      </c>
      <c r="IL37">
        <v>21285.489600000001</v>
      </c>
      <c r="IM37">
        <v>269940.13664110791</v>
      </c>
      <c r="IO37">
        <v>45066</v>
      </c>
      <c r="IP37">
        <v>99779.922215136714</v>
      </c>
      <c r="IQ37">
        <v>1558.6596885123276</v>
      </c>
      <c r="IR37">
        <v>3410.3303114876712</v>
      </c>
      <c r="IS37">
        <v>795.03840000000002</v>
      </c>
      <c r="IT37">
        <v>5764.0283999999992</v>
      </c>
      <c r="IU37">
        <v>96369.591903649038</v>
      </c>
      <c r="IW37">
        <v>45049</v>
      </c>
      <c r="IX37">
        <v>246442.36912862607</v>
      </c>
      <c r="IY37">
        <v>3744.2510268401834</v>
      </c>
      <c r="IZ37">
        <v>7016.1289731598163</v>
      </c>
      <c r="JA37">
        <v>1721.6608000000001</v>
      </c>
      <c r="JB37">
        <v>12482.040800000001</v>
      </c>
      <c r="JC37">
        <v>239426.24015546625</v>
      </c>
      <c r="JE37">
        <v>45064</v>
      </c>
      <c r="JF37">
        <v>110576.18380004258</v>
      </c>
      <c r="JG37">
        <v>1783.8299192896968</v>
      </c>
      <c r="JH37">
        <v>2871.4100807103032</v>
      </c>
      <c r="JI37">
        <v>744.83839999999998</v>
      </c>
      <c r="JJ37">
        <v>5400.0783999999994</v>
      </c>
      <c r="JK37">
        <v>107704.77371933228</v>
      </c>
      <c r="JM37">
        <v>45053</v>
      </c>
      <c r="JN37">
        <v>117437.96109598014</v>
      </c>
      <c r="JO37">
        <v>2171.7685336178633</v>
      </c>
      <c r="JP37">
        <v>2435.3214663821368</v>
      </c>
      <c r="JQ37">
        <v>737.13440000000003</v>
      </c>
      <c r="JR37">
        <v>5344.2244000000001</v>
      </c>
      <c r="JS37">
        <v>115002.63962959799</v>
      </c>
      <c r="JU37">
        <v>45054</v>
      </c>
      <c r="JV37">
        <v>109381.53733860202</v>
      </c>
      <c r="JW37">
        <v>1998.2477258192969</v>
      </c>
      <c r="JX37">
        <v>2031.8922741807028</v>
      </c>
      <c r="JY37">
        <v>644.82240000000002</v>
      </c>
      <c r="JZ37">
        <v>4674.9623999999994</v>
      </c>
      <c r="KA37">
        <v>107349.64506442132</v>
      </c>
      <c r="KC37" s="3">
        <v>45048</v>
      </c>
      <c r="KD37" s="9">
        <v>5259000.6854778845</v>
      </c>
      <c r="KE37" s="9">
        <v>103529.28442069284</v>
      </c>
      <c r="KF37" s="9">
        <v>109069.06385516928</v>
      </c>
      <c r="KG37" s="9">
        <v>0</v>
      </c>
      <c r="KH37" s="9">
        <v>34015.735724137936</v>
      </c>
      <c r="KI37" s="9">
        <v>246614.084</v>
      </c>
      <c r="KJ37" s="9">
        <v>5149931.6216227151</v>
      </c>
      <c r="KL37" t="s">
        <v>1179</v>
      </c>
      <c r="KN37">
        <v>79741</v>
      </c>
      <c r="KO37" t="s">
        <v>1180</v>
      </c>
    </row>
    <row r="38" spans="1:303" x14ac:dyDescent="0.3">
      <c r="A38">
        <v>45092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J38">
        <v>45092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S38">
        <v>45092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B38">
        <v>45092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K38">
        <v>45092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T38">
        <v>45092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C38">
        <v>45092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L38">
        <v>45092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U38">
        <v>45092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D38">
        <v>45092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M38">
        <v>45092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V38">
        <v>45092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E38">
        <v>45092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N38">
        <v>45092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W38">
        <v>45092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F38">
        <v>45092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O38">
        <v>45092</v>
      </c>
      <c r="EP38">
        <v>562480.75812326651</v>
      </c>
      <c r="EQ38">
        <v>11455.76143474472</v>
      </c>
      <c r="ER38">
        <v>14087.298910082867</v>
      </c>
      <c r="ES38">
        <v>4086.8896551724142</v>
      </c>
      <c r="ET38">
        <v>29629.95</v>
      </c>
      <c r="EU38">
        <v>548393.45921318361</v>
      </c>
      <c r="EW38">
        <v>45092</v>
      </c>
      <c r="EX38">
        <v>100567.37441621241</v>
      </c>
      <c r="EY38">
        <v>2049.1329047860804</v>
      </c>
      <c r="EZ38">
        <v>3293.6601986621959</v>
      </c>
      <c r="FA38">
        <v>854.84689655172417</v>
      </c>
      <c r="FB38">
        <v>6197.64</v>
      </c>
      <c r="FC38">
        <v>97273.714217550194</v>
      </c>
      <c r="FE38">
        <v>45092</v>
      </c>
      <c r="FF38">
        <v>100567.37441624468</v>
      </c>
      <c r="FG38">
        <v>2049.1329047873842</v>
      </c>
      <c r="FH38">
        <v>3293.6601986608921</v>
      </c>
      <c r="FI38">
        <v>854.84689655172417</v>
      </c>
      <c r="FJ38">
        <v>6197.64</v>
      </c>
      <c r="FK38">
        <v>97273.714217583794</v>
      </c>
      <c r="FM38">
        <v>45078</v>
      </c>
      <c r="FN38">
        <v>483012.49736327073</v>
      </c>
      <c r="FO38">
        <v>5884.7265926806858</v>
      </c>
      <c r="FP38">
        <v>16137.282028008964</v>
      </c>
      <c r="FQ38">
        <v>3523.5213793103449</v>
      </c>
      <c r="FR38">
        <v>25545.53</v>
      </c>
      <c r="FS38">
        <v>466875.21533526178</v>
      </c>
      <c r="FU38">
        <v>45092</v>
      </c>
      <c r="FV38">
        <v>225293.51169087447</v>
      </c>
      <c r="FW38">
        <v>4913.9855044408869</v>
      </c>
      <c r="FX38">
        <v>4312.1782886625624</v>
      </c>
      <c r="FY38">
        <v>1476.186206896552</v>
      </c>
      <c r="FZ38">
        <v>10702.35</v>
      </c>
      <c r="GA38">
        <v>220981.33340221189</v>
      </c>
      <c r="GC38">
        <v>45078</v>
      </c>
      <c r="GD38">
        <v>388865.00268869183</v>
      </c>
      <c r="GE38">
        <v>8341.3406443136446</v>
      </c>
      <c r="GF38">
        <v>6399.3231487898011</v>
      </c>
      <c r="GG38">
        <v>2358.5062068965517</v>
      </c>
      <c r="GH38">
        <v>17099.169999999998</v>
      </c>
      <c r="GI38">
        <v>382465.67953990202</v>
      </c>
      <c r="GK38">
        <v>45078</v>
      </c>
      <c r="GL38">
        <v>388865.00268869253</v>
      </c>
      <c r="GM38">
        <v>8341.3406443136919</v>
      </c>
      <c r="GN38">
        <v>6399.3231487897538</v>
      </c>
      <c r="GO38">
        <v>2358.5062068965517</v>
      </c>
      <c r="GP38">
        <v>17099.169999999998</v>
      </c>
      <c r="GQ38">
        <v>382465.67953990278</v>
      </c>
      <c r="GS38">
        <v>45078</v>
      </c>
      <c r="GT38">
        <v>501578.71272295539</v>
      </c>
      <c r="GU38">
        <v>11625.273410257998</v>
      </c>
      <c r="GV38">
        <v>6679.9162449144151</v>
      </c>
      <c r="GW38">
        <v>2928.8303448275869</v>
      </c>
      <c r="GX38">
        <v>21234.02</v>
      </c>
      <c r="GY38">
        <v>494898.79647804098</v>
      </c>
      <c r="HA38">
        <v>45078</v>
      </c>
      <c r="HB38">
        <v>449499.92195468285</v>
      </c>
      <c r="HC38">
        <v>10614.31880760463</v>
      </c>
      <c r="HD38">
        <v>5523.4484337746817</v>
      </c>
      <c r="HE38">
        <v>2582.0427586206906</v>
      </c>
      <c r="HF38">
        <v>18719.810000000001</v>
      </c>
      <c r="HG38">
        <v>443976.47352090816</v>
      </c>
      <c r="HI38">
        <v>45093</v>
      </c>
      <c r="HJ38">
        <v>389287.45222115918</v>
      </c>
      <c r="HK38">
        <v>10646.43542752895</v>
      </c>
      <c r="HL38">
        <v>3736.9266414365679</v>
      </c>
      <c r="HM38">
        <v>2301.3379310344831</v>
      </c>
      <c r="HN38">
        <v>16684.7</v>
      </c>
      <c r="HO38">
        <v>385550.52557972266</v>
      </c>
      <c r="HQ38">
        <v>45079</v>
      </c>
      <c r="HR38">
        <v>261518.88536800895</v>
      </c>
      <c r="HS38">
        <v>7202.2597392604594</v>
      </c>
      <c r="HT38">
        <v>3519.9212952222979</v>
      </c>
      <c r="HU38">
        <v>1715.5489655172414</v>
      </c>
      <c r="HV38">
        <v>12437.73</v>
      </c>
      <c r="HW38">
        <v>257998.96407278668</v>
      </c>
      <c r="HY38">
        <v>45082</v>
      </c>
      <c r="HZ38">
        <v>362602.10085508093</v>
      </c>
      <c r="IA38">
        <v>3681.1973015028375</v>
      </c>
      <c r="IB38">
        <v>5039.1044226350932</v>
      </c>
      <c r="IC38">
        <v>1395.248275862069</v>
      </c>
      <c r="ID38">
        <v>10115.549999999999</v>
      </c>
      <c r="IE38">
        <v>357562.99643244589</v>
      </c>
      <c r="IG38">
        <v>45098</v>
      </c>
      <c r="IH38">
        <v>269940.13664110791</v>
      </c>
      <c r="II38">
        <v>3775.6089359100297</v>
      </c>
      <c r="IJ38">
        <v>14573.951064089972</v>
      </c>
      <c r="IK38">
        <v>2935.9296000000004</v>
      </c>
      <c r="IL38">
        <v>21285.489600000001</v>
      </c>
      <c r="IM38">
        <v>255366.18557701792</v>
      </c>
      <c r="IO38">
        <v>45097</v>
      </c>
      <c r="IP38">
        <v>96369.591903649038</v>
      </c>
      <c r="IQ38">
        <v>1505.3870033566243</v>
      </c>
      <c r="IR38">
        <v>3463.6029966433744</v>
      </c>
      <c r="IS38">
        <v>795.03840000000002</v>
      </c>
      <c r="IT38">
        <v>5764.0283999999992</v>
      </c>
      <c r="IU38">
        <v>92905.988907005667</v>
      </c>
      <c r="IW38">
        <v>45080</v>
      </c>
      <c r="IX38">
        <v>239426.24015546625</v>
      </c>
      <c r="IY38">
        <v>3637.653495721313</v>
      </c>
      <c r="IZ38">
        <v>7122.7265042786867</v>
      </c>
      <c r="JA38">
        <v>1721.6608000000001</v>
      </c>
      <c r="JB38">
        <v>12482.040800000001</v>
      </c>
      <c r="JC38">
        <v>232303.51365118756</v>
      </c>
      <c r="JE38">
        <v>45095</v>
      </c>
      <c r="JF38">
        <v>107704.77371933228</v>
      </c>
      <c r="JG38">
        <v>1737.5079443716302</v>
      </c>
      <c r="JH38">
        <v>2917.7320556283694</v>
      </c>
      <c r="JI38">
        <v>744.83839999999998</v>
      </c>
      <c r="JJ38">
        <v>5400.0783999999994</v>
      </c>
      <c r="JK38">
        <v>104787.0416637039</v>
      </c>
      <c r="JM38">
        <v>45084</v>
      </c>
      <c r="JN38">
        <v>115002.63962959799</v>
      </c>
      <c r="JO38">
        <v>2126.7323759685473</v>
      </c>
      <c r="JP38">
        <v>2480.3576240314528</v>
      </c>
      <c r="JQ38">
        <v>737.13440000000003</v>
      </c>
      <c r="JR38">
        <v>5344.2244000000001</v>
      </c>
      <c r="JS38">
        <v>112522.28200556654</v>
      </c>
      <c r="JU38">
        <v>45085</v>
      </c>
      <c r="JV38">
        <v>107349.64506442132</v>
      </c>
      <c r="JW38">
        <v>1961.1278954093204</v>
      </c>
      <c r="JX38">
        <v>2069.012104590679</v>
      </c>
      <c r="JY38">
        <v>644.82240000000002</v>
      </c>
      <c r="JZ38">
        <v>4674.9623999999994</v>
      </c>
      <c r="KA38">
        <v>105280.63295983063</v>
      </c>
      <c r="KC38" s="3">
        <v>45079</v>
      </c>
      <c r="KD38" s="9">
        <v>5149931.6216227151</v>
      </c>
      <c r="KE38" s="9">
        <v>101548.92296695942</v>
      </c>
      <c r="KF38" s="9">
        <v>111049.42530890265</v>
      </c>
      <c r="KG38" s="9">
        <v>0</v>
      </c>
      <c r="KH38" s="9">
        <v>34015.735724137936</v>
      </c>
      <c r="KI38" s="9">
        <v>246614.084</v>
      </c>
      <c r="KJ38" s="9">
        <v>5038882.1963138115</v>
      </c>
      <c r="KL38" t="s">
        <v>1231</v>
      </c>
      <c r="KM38" t="s">
        <v>1232</v>
      </c>
      <c r="KO38" t="s">
        <v>1233</v>
      </c>
      <c r="KP38" t="s">
        <v>1241</v>
      </c>
    </row>
    <row r="39" spans="1:303" x14ac:dyDescent="0.3">
      <c r="A39">
        <v>45122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J39">
        <v>45122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>
        <v>45122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B39">
        <v>45122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K39">
        <v>45122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T39">
        <v>45122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C39">
        <v>45122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L39">
        <v>45122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U39">
        <v>45122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D39">
        <v>45122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M39">
        <v>45122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V39">
        <v>45122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E39">
        <v>45122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N39">
        <v>45122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W39">
        <v>45122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F39">
        <v>45122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O39">
        <v>45122</v>
      </c>
      <c r="EP39">
        <v>548393.45921318361</v>
      </c>
      <c r="EQ39">
        <v>11168.852534763322</v>
      </c>
      <c r="ER39">
        <v>14374.207810064265</v>
      </c>
      <c r="ES39">
        <v>4086.8896551724142</v>
      </c>
      <c r="ET39">
        <v>29629.95</v>
      </c>
      <c r="EU39">
        <v>534019.2514031193</v>
      </c>
      <c r="EW39">
        <v>45122</v>
      </c>
      <c r="EX39">
        <v>97273.714217550194</v>
      </c>
      <c r="EY39">
        <v>1982.022198859418</v>
      </c>
      <c r="EZ39">
        <v>3360.7709045888582</v>
      </c>
      <c r="FA39">
        <v>854.84689655172417</v>
      </c>
      <c r="FB39">
        <v>6197.64</v>
      </c>
      <c r="FC39">
        <v>93912.943312961332</v>
      </c>
      <c r="FE39">
        <v>45122</v>
      </c>
      <c r="FF39">
        <v>97273.714217583794</v>
      </c>
      <c r="FG39">
        <v>1982.0221988607277</v>
      </c>
      <c r="FH39">
        <v>3360.770904587549</v>
      </c>
      <c r="FI39">
        <v>854.84689655172417</v>
      </c>
      <c r="FJ39">
        <v>6197.64</v>
      </c>
      <c r="FK39">
        <v>93912.943312996242</v>
      </c>
      <c r="FM39">
        <v>45108</v>
      </c>
      <c r="FN39">
        <v>466875.21533526178</v>
      </c>
      <c r="FO39">
        <v>5688.1198936776354</v>
      </c>
      <c r="FP39">
        <v>16333.888727012018</v>
      </c>
      <c r="FQ39">
        <v>3523.5213793103449</v>
      </c>
      <c r="FR39">
        <v>25545.53</v>
      </c>
      <c r="FS39">
        <v>450541.32660824974</v>
      </c>
      <c r="FU39">
        <v>45122</v>
      </c>
      <c r="FV39">
        <v>220981.33340221189</v>
      </c>
      <c r="FW39">
        <v>4819.930502838678</v>
      </c>
      <c r="FX39">
        <v>4406.2332902647713</v>
      </c>
      <c r="FY39">
        <v>1476.186206896552</v>
      </c>
      <c r="FZ39">
        <v>10702.35</v>
      </c>
      <c r="GA39">
        <v>216575.10011194713</v>
      </c>
      <c r="GC39">
        <v>45108</v>
      </c>
      <c r="GD39">
        <v>382465.67953990202</v>
      </c>
      <c r="GE39">
        <v>8204.0720963393469</v>
      </c>
      <c r="GF39">
        <v>6536.5916967640987</v>
      </c>
      <c r="GG39">
        <v>2358.5062068965517</v>
      </c>
      <c r="GH39">
        <v>17099.169999999998</v>
      </c>
      <c r="GI39">
        <v>375929.08784313791</v>
      </c>
      <c r="GK39">
        <v>45108</v>
      </c>
      <c r="GL39">
        <v>382465.67953990278</v>
      </c>
      <c r="GM39">
        <v>8204.072096339396</v>
      </c>
      <c r="GN39">
        <v>6536.5916967640496</v>
      </c>
      <c r="GO39">
        <v>2358.5062068965517</v>
      </c>
      <c r="GP39">
        <v>17099.169999999998</v>
      </c>
      <c r="GQ39">
        <v>375929.08784313878</v>
      </c>
      <c r="GS39">
        <v>45108</v>
      </c>
      <c r="GT39">
        <v>494898.79647804098</v>
      </c>
      <c r="GU39">
        <v>11470.450546498136</v>
      </c>
      <c r="GV39">
        <v>6834.7391086742773</v>
      </c>
      <c r="GW39">
        <v>2928.8303448275869</v>
      </c>
      <c r="GX39">
        <v>21234.02</v>
      </c>
      <c r="GY39">
        <v>488064.05736936664</v>
      </c>
      <c r="HA39">
        <v>45108</v>
      </c>
      <c r="HB39">
        <v>443976.47352090816</v>
      </c>
      <c r="HC39">
        <v>10483.890214116776</v>
      </c>
      <c r="HD39">
        <v>5653.8770272625352</v>
      </c>
      <c r="HE39">
        <v>2582.0427586206906</v>
      </c>
      <c r="HF39">
        <v>18719.810000000001</v>
      </c>
      <c r="HG39">
        <v>438322.59649364557</v>
      </c>
      <c r="HI39">
        <v>45123</v>
      </c>
      <c r="HJ39">
        <v>385550.52557972266</v>
      </c>
      <c r="HK39">
        <v>10544.236016891731</v>
      </c>
      <c r="HL39">
        <v>3839.1260520737874</v>
      </c>
      <c r="HM39">
        <v>2301.3379310344831</v>
      </c>
      <c r="HN39">
        <v>16684.7</v>
      </c>
      <c r="HO39">
        <v>381711.39952764887</v>
      </c>
      <c r="HQ39">
        <v>45109</v>
      </c>
      <c r="HR39">
        <v>257998.96407278668</v>
      </c>
      <c r="HS39">
        <v>7105.3207079003696</v>
      </c>
      <c r="HT39">
        <v>3616.8603265823872</v>
      </c>
      <c r="HU39">
        <v>1715.5489655172414</v>
      </c>
      <c r="HV39">
        <v>12437.73</v>
      </c>
      <c r="HW39">
        <v>254382.10374620429</v>
      </c>
      <c r="HY39">
        <v>45112</v>
      </c>
      <c r="HZ39">
        <v>357562.99643244589</v>
      </c>
      <c r="IA39">
        <v>3630.0394688293618</v>
      </c>
      <c r="IB39">
        <v>5090.2622553085694</v>
      </c>
      <c r="IC39">
        <v>1395.248275862069</v>
      </c>
      <c r="ID39">
        <v>10115.549999999999</v>
      </c>
      <c r="IE39">
        <v>352472.73417713732</v>
      </c>
      <c r="IG39">
        <v>45128</v>
      </c>
      <c r="IH39">
        <v>255366.18557701792</v>
      </c>
      <c r="II39">
        <v>3571.7654447057134</v>
      </c>
      <c r="IJ39">
        <v>14777.794555294287</v>
      </c>
      <c r="IK39">
        <v>2935.9296000000004</v>
      </c>
      <c r="IL39">
        <v>21285.489600000001</v>
      </c>
      <c r="IM39">
        <v>240588.39102172363</v>
      </c>
      <c r="IO39">
        <v>45127</v>
      </c>
      <c r="IP39">
        <v>92905.988907005667</v>
      </c>
      <c r="IQ39">
        <v>1451.2821469082642</v>
      </c>
      <c r="IR39">
        <v>3517.7078530917347</v>
      </c>
      <c r="IS39">
        <v>795.03840000000002</v>
      </c>
      <c r="IT39">
        <v>5764.0283999999992</v>
      </c>
      <c r="IU39">
        <v>89388.281053913932</v>
      </c>
      <c r="IW39">
        <v>45110</v>
      </c>
      <c r="IX39">
        <v>232303.51365118756</v>
      </c>
      <c r="IY39">
        <v>3529.4364057710545</v>
      </c>
      <c r="IZ39">
        <v>7230.9435942289438</v>
      </c>
      <c r="JA39">
        <v>1721.6608000000001</v>
      </c>
      <c r="JB39">
        <v>12482.040800000001</v>
      </c>
      <c r="JC39">
        <v>225072.57005695865</v>
      </c>
      <c r="JE39">
        <v>45125</v>
      </c>
      <c r="JF39">
        <v>104787.0416637039</v>
      </c>
      <c r="JG39">
        <v>1690.4386971030467</v>
      </c>
      <c r="JH39">
        <v>2964.8013028969526</v>
      </c>
      <c r="JI39">
        <v>744.83839999999998</v>
      </c>
      <c r="JJ39">
        <v>5400.0783999999994</v>
      </c>
      <c r="JK39">
        <v>101822.24036080694</v>
      </c>
      <c r="JM39">
        <v>45114</v>
      </c>
      <c r="JN39">
        <v>112522.28200556654</v>
      </c>
      <c r="JO39">
        <v>2080.8633691353293</v>
      </c>
      <c r="JP39">
        <v>2526.2266308646708</v>
      </c>
      <c r="JQ39">
        <v>737.13440000000003</v>
      </c>
      <c r="JR39">
        <v>5344.2244000000001</v>
      </c>
      <c r="JS39">
        <v>109996.05537470189</v>
      </c>
      <c r="JU39">
        <v>45115</v>
      </c>
      <c r="JV39">
        <v>105280.63295983063</v>
      </c>
      <c r="JW39">
        <v>1923.3299376068765</v>
      </c>
      <c r="JX39">
        <v>2106.8100623931232</v>
      </c>
      <c r="JY39">
        <v>644.82240000000002</v>
      </c>
      <c r="JZ39">
        <v>4674.9623999999994</v>
      </c>
      <c r="KA39">
        <v>103173.82289743752</v>
      </c>
      <c r="KC39" s="3">
        <v>45109</v>
      </c>
      <c r="KD39" s="9">
        <v>5038882.1963138115</v>
      </c>
      <c r="KE39" s="9">
        <v>99530.144477145179</v>
      </c>
      <c r="KF39" s="9">
        <v>113068.20379871687</v>
      </c>
      <c r="KG39" s="9">
        <v>0</v>
      </c>
      <c r="KH39" s="9">
        <v>34015.735724137936</v>
      </c>
      <c r="KI39" s="9">
        <v>246614.084</v>
      </c>
      <c r="KJ39" s="9">
        <v>4925813.9925150955</v>
      </c>
      <c r="KL39" t="s">
        <v>1263</v>
      </c>
      <c r="KM39">
        <v>667912.9051724138</v>
      </c>
      <c r="KN39" t="s">
        <v>1264</v>
      </c>
      <c r="KO39" t="s">
        <v>1265</v>
      </c>
      <c r="KP39">
        <v>60</v>
      </c>
      <c r="KQ39" t="s">
        <v>1266</v>
      </c>
    </row>
    <row r="40" spans="1:303" x14ac:dyDescent="0.3">
      <c r="A40">
        <v>45153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J40">
        <v>45153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S40">
        <v>45153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B40">
        <v>45153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K40">
        <v>45153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T40">
        <v>45153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C40">
        <v>45153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L40">
        <v>45153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U40">
        <v>45153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D40">
        <v>45153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M40">
        <v>45153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V40">
        <v>45153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E40">
        <v>45153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N40">
        <v>45153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W40">
        <v>45153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F40">
        <v>45153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O40">
        <v>45153</v>
      </c>
      <c r="EP40">
        <v>534019.2514031193</v>
      </c>
      <c r="EQ40">
        <v>10876.100306162722</v>
      </c>
      <c r="ER40">
        <v>14666.960038664864</v>
      </c>
      <c r="ES40">
        <v>4086.8896551724142</v>
      </c>
      <c r="ET40">
        <v>29629.95</v>
      </c>
      <c r="EU40">
        <v>519352.29136445437</v>
      </c>
      <c r="EW40">
        <v>45153</v>
      </c>
      <c r="EX40">
        <v>93912.943312961332</v>
      </c>
      <c r="EY40">
        <v>1913.5440638179357</v>
      </c>
      <c r="EZ40">
        <v>3429.249039630341</v>
      </c>
      <c r="FA40">
        <v>854.84689655172417</v>
      </c>
      <c r="FB40">
        <v>6197.64</v>
      </c>
      <c r="FC40">
        <v>90483.69427333097</v>
      </c>
      <c r="FE40">
        <v>45153</v>
      </c>
      <c r="FF40">
        <v>93912.943312996242</v>
      </c>
      <c r="FG40">
        <v>1913.5440638192504</v>
      </c>
      <c r="FH40">
        <v>3429.2490396290259</v>
      </c>
      <c r="FI40">
        <v>854.84689655172417</v>
      </c>
      <c r="FJ40">
        <v>6197.64</v>
      </c>
      <c r="FK40">
        <v>90483.694273367219</v>
      </c>
      <c r="FM40">
        <v>45139</v>
      </c>
      <c r="FN40">
        <v>450541.32660824974</v>
      </c>
      <c r="FO40">
        <v>5489.1178598204378</v>
      </c>
      <c r="FP40">
        <v>16532.890760869213</v>
      </c>
      <c r="FQ40">
        <v>3523.5213793103449</v>
      </c>
      <c r="FR40">
        <v>25545.53</v>
      </c>
      <c r="FS40">
        <v>434008.43584738055</v>
      </c>
      <c r="FU40">
        <v>45153</v>
      </c>
      <c r="FV40">
        <v>216575.10011194713</v>
      </c>
      <c r="FW40">
        <v>4723.8240222079576</v>
      </c>
      <c r="FX40">
        <v>4502.3397708954917</v>
      </c>
      <c r="FY40">
        <v>1476.186206896552</v>
      </c>
      <c r="FZ40">
        <v>10702.35</v>
      </c>
      <c r="GA40">
        <v>212072.76034105165</v>
      </c>
      <c r="GC40">
        <v>45139</v>
      </c>
      <c r="GD40">
        <v>375929.08784313791</v>
      </c>
      <c r="GE40">
        <v>8063.8590722345507</v>
      </c>
      <c r="GF40">
        <v>6676.8047208688949</v>
      </c>
      <c r="GG40">
        <v>2358.5062068965517</v>
      </c>
      <c r="GH40">
        <v>17099.169999999998</v>
      </c>
      <c r="GI40">
        <v>369252.28312226903</v>
      </c>
      <c r="GK40">
        <v>45139</v>
      </c>
      <c r="GL40">
        <v>375929.08784313878</v>
      </c>
      <c r="GM40">
        <v>8063.8590722345998</v>
      </c>
      <c r="GN40">
        <v>6676.8047208688449</v>
      </c>
      <c r="GO40">
        <v>2358.5062068965517</v>
      </c>
      <c r="GP40">
        <v>17099.169999999998</v>
      </c>
      <c r="GQ40">
        <v>369252.2831222699</v>
      </c>
      <c r="GS40">
        <v>45139</v>
      </c>
      <c r="GT40">
        <v>488064.05736936664</v>
      </c>
      <c r="GU40">
        <v>11312.039296557374</v>
      </c>
      <c r="GV40">
        <v>6993.1503586150393</v>
      </c>
      <c r="GW40">
        <v>2928.8303448275869</v>
      </c>
      <c r="GX40">
        <v>21234.02</v>
      </c>
      <c r="GY40">
        <v>481070.9070107516</v>
      </c>
      <c r="HA40">
        <v>45139</v>
      </c>
      <c r="HB40">
        <v>438322.59649364557</v>
      </c>
      <c r="HC40">
        <v>10350.381729831865</v>
      </c>
      <c r="HD40">
        <v>5787.3855115474471</v>
      </c>
      <c r="HE40">
        <v>2582.0427586206906</v>
      </c>
      <c r="HF40">
        <v>18719.810000000001</v>
      </c>
      <c r="HG40">
        <v>432535.21098209819</v>
      </c>
      <c r="HI40">
        <v>45154</v>
      </c>
      <c r="HJ40">
        <v>381711.39952764887</v>
      </c>
      <c r="HK40">
        <v>10439.241603693108</v>
      </c>
      <c r="HL40">
        <v>3944.12046527241</v>
      </c>
      <c r="HM40">
        <v>2301.3379310344831</v>
      </c>
      <c r="HN40">
        <v>16684.7</v>
      </c>
      <c r="HO40">
        <v>377767.27906237647</v>
      </c>
      <c r="HQ40">
        <v>45140</v>
      </c>
      <c r="HR40">
        <v>254382.10374620429</v>
      </c>
      <c r="HS40">
        <v>7005.7119646311567</v>
      </c>
      <c r="HT40">
        <v>3716.4690698516006</v>
      </c>
      <c r="HU40">
        <v>1715.5489655172414</v>
      </c>
      <c r="HV40">
        <v>12437.73</v>
      </c>
      <c r="HW40">
        <v>250665.6346763527</v>
      </c>
      <c r="HY40">
        <v>45143</v>
      </c>
      <c r="HZ40">
        <v>352472.73417713732</v>
      </c>
      <c r="IA40">
        <v>3578.362273264318</v>
      </c>
      <c r="IB40">
        <v>5141.9394508736132</v>
      </c>
      <c r="IC40">
        <v>1395.248275862069</v>
      </c>
      <c r="ID40">
        <v>10115.549999999999</v>
      </c>
      <c r="IE40">
        <v>347330.79472626373</v>
      </c>
      <c r="IG40">
        <v>45159</v>
      </c>
      <c r="IH40">
        <v>240588.39102172363</v>
      </c>
      <c r="II40">
        <v>3365.0708276314367</v>
      </c>
      <c r="IJ40">
        <v>14984.489172368563</v>
      </c>
      <c r="IK40">
        <v>2935.9296000000004</v>
      </c>
      <c r="IL40">
        <v>21285.489600000001</v>
      </c>
      <c r="IM40">
        <v>225603.90184935505</v>
      </c>
      <c r="IO40">
        <v>45158</v>
      </c>
      <c r="IP40">
        <v>89388.281053913932</v>
      </c>
      <c r="IQ40">
        <v>1396.3321198401377</v>
      </c>
      <c r="IR40">
        <v>3572.6578801598616</v>
      </c>
      <c r="IS40">
        <v>795.03840000000002</v>
      </c>
      <c r="IT40">
        <v>5764.0283999999992</v>
      </c>
      <c r="IU40">
        <v>85815.623173754066</v>
      </c>
      <c r="IW40">
        <v>45141</v>
      </c>
      <c r="IX40">
        <v>225072.57005695865</v>
      </c>
      <c r="IY40">
        <v>3419.5751506896113</v>
      </c>
      <c r="IZ40">
        <v>7340.804849310387</v>
      </c>
      <c r="JA40">
        <v>1721.6608000000001</v>
      </c>
      <c r="JB40">
        <v>12482.040800000001</v>
      </c>
      <c r="JC40">
        <v>217731.76520764825</v>
      </c>
      <c r="JE40">
        <v>45156</v>
      </c>
      <c r="JF40">
        <v>101822.24036080694</v>
      </c>
      <c r="JG40">
        <v>1642.6101223855442</v>
      </c>
      <c r="JH40">
        <v>3012.6298776144558</v>
      </c>
      <c r="JI40">
        <v>744.83839999999998</v>
      </c>
      <c r="JJ40">
        <v>5400.0783999999994</v>
      </c>
      <c r="JK40">
        <v>98809.610483192489</v>
      </c>
      <c r="JM40">
        <v>45145</v>
      </c>
      <c r="JN40">
        <v>109996.05537470189</v>
      </c>
      <c r="JO40">
        <v>2034.1461113210912</v>
      </c>
      <c r="JP40">
        <v>2572.9438886789089</v>
      </c>
      <c r="JQ40">
        <v>737.13440000000003</v>
      </c>
      <c r="JR40">
        <v>5344.2244000000001</v>
      </c>
      <c r="JS40">
        <v>107423.11148602296</v>
      </c>
      <c r="JU40">
        <v>45146</v>
      </c>
      <c r="JV40">
        <v>103173.82289743752</v>
      </c>
      <c r="JW40">
        <v>1884.8414639728112</v>
      </c>
      <c r="JX40">
        <v>2145.2985360271882</v>
      </c>
      <c r="JY40">
        <v>644.82240000000002</v>
      </c>
      <c r="JZ40">
        <v>4674.9623999999994</v>
      </c>
      <c r="KA40">
        <v>101028.52436141032</v>
      </c>
      <c r="KC40" s="3">
        <v>45140</v>
      </c>
      <c r="KD40" s="9">
        <v>4925813.9925150955</v>
      </c>
      <c r="KE40" s="9">
        <v>97472.161124115897</v>
      </c>
      <c r="KF40" s="9">
        <v>115126.18715174615</v>
      </c>
      <c r="KG40" s="9">
        <v>0</v>
      </c>
      <c r="KH40" s="9">
        <v>34015.735724137936</v>
      </c>
      <c r="KI40" s="9">
        <v>246614.084</v>
      </c>
      <c r="KJ40" s="9">
        <v>4810687.8053633496</v>
      </c>
      <c r="KL40" t="s">
        <v>1267</v>
      </c>
      <c r="KM40">
        <v>0</v>
      </c>
      <c r="KN40" t="s">
        <v>1264</v>
      </c>
      <c r="KO40" t="s">
        <v>1268</v>
      </c>
      <c r="KP40">
        <v>24705.89</v>
      </c>
      <c r="KQ40" t="s">
        <v>1269</v>
      </c>
    </row>
    <row r="41" spans="1:303" x14ac:dyDescent="0.3">
      <c r="A41">
        <v>45184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J41">
        <v>45184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>
        <v>45184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B41">
        <v>45184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K41">
        <v>45184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T41">
        <v>45184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C41">
        <v>45184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L41">
        <v>45184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U41">
        <v>45184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D41">
        <v>45184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M41">
        <v>45184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V41">
        <v>45184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E41">
        <v>45184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N41">
        <v>45184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W41">
        <v>45184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F41">
        <v>45184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O41">
        <v>45184</v>
      </c>
      <c r="EP41">
        <v>519352.29136445437</v>
      </c>
      <c r="EQ41">
        <v>10577.385740820991</v>
      </c>
      <c r="ER41">
        <v>14965.674604006595</v>
      </c>
      <c r="ES41">
        <v>4086.8896551724142</v>
      </c>
      <c r="ET41">
        <v>29629.95</v>
      </c>
      <c r="EU41">
        <v>504386.61676044785</v>
      </c>
      <c r="EW41">
        <v>45184</v>
      </c>
      <c r="EX41">
        <v>90483.69427333097</v>
      </c>
      <c r="EY41">
        <v>1843.6706373055715</v>
      </c>
      <c r="EZ41">
        <v>3499.122466142705</v>
      </c>
      <c r="FA41">
        <v>854.84689655172417</v>
      </c>
      <c r="FB41">
        <v>6197.64</v>
      </c>
      <c r="FC41">
        <v>86984.571807188273</v>
      </c>
      <c r="FE41">
        <v>45184</v>
      </c>
      <c r="FF41">
        <v>90483.694273367219</v>
      </c>
      <c r="FG41">
        <v>1843.6706373068912</v>
      </c>
      <c r="FH41">
        <v>3499.1224661413853</v>
      </c>
      <c r="FI41">
        <v>854.84689655172417</v>
      </c>
      <c r="FJ41">
        <v>6197.64</v>
      </c>
      <c r="FK41">
        <v>86984.571807225817</v>
      </c>
      <c r="FL41">
        <v>118281.62074346568</v>
      </c>
      <c r="FM41">
        <v>45170</v>
      </c>
      <c r="FN41">
        <v>434008.43584738055</v>
      </c>
      <c r="FO41">
        <v>5287.6913078254502</v>
      </c>
      <c r="FP41">
        <v>16734.317312864201</v>
      </c>
      <c r="FQ41">
        <v>3523.5213793103449</v>
      </c>
      <c r="FR41">
        <v>25545.53</v>
      </c>
      <c r="FS41">
        <v>417274.11853451643</v>
      </c>
      <c r="FT41">
        <v>627413.36462849902</v>
      </c>
      <c r="FU41">
        <v>45184</v>
      </c>
      <c r="FV41">
        <v>212072.76034105165</v>
      </c>
      <c r="FW41">
        <v>4625.6213167496444</v>
      </c>
      <c r="FX41">
        <v>4600.5424763538049</v>
      </c>
      <c r="FY41">
        <v>1476.186206896552</v>
      </c>
      <c r="FZ41">
        <v>10702.35</v>
      </c>
      <c r="GA41">
        <v>207472.21786469783</v>
      </c>
      <c r="GB41">
        <v>303822.31584106357</v>
      </c>
      <c r="GC41">
        <v>45170</v>
      </c>
      <c r="GD41">
        <v>369252.28312226903</v>
      </c>
      <c r="GE41">
        <v>7920.6384115753171</v>
      </c>
      <c r="GF41">
        <v>6820.0253815281285</v>
      </c>
      <c r="GG41">
        <v>2358.5062068965517</v>
      </c>
      <c r="GH41">
        <v>17099.169999999998</v>
      </c>
      <c r="GI41">
        <v>362432.2577407409</v>
      </c>
      <c r="GJ41">
        <v>525490.53049830021</v>
      </c>
      <c r="GK41">
        <v>45170</v>
      </c>
      <c r="GL41">
        <v>369252.2831222699</v>
      </c>
      <c r="GM41">
        <v>7920.6384115753681</v>
      </c>
      <c r="GN41">
        <v>6820.0253815280776</v>
      </c>
      <c r="GO41">
        <v>2358.5062068965517</v>
      </c>
      <c r="GP41">
        <v>17099.169999999998</v>
      </c>
      <c r="GQ41">
        <v>362432.25774074194</v>
      </c>
      <c r="GS41">
        <v>45170</v>
      </c>
      <c r="GT41">
        <v>481070.9070107516</v>
      </c>
      <c r="GU41">
        <v>11149.956491095794</v>
      </c>
      <c r="GV41">
        <v>7155.2331640766188</v>
      </c>
      <c r="GW41">
        <v>2928.8303448275869</v>
      </c>
      <c r="GX41">
        <v>21234.02</v>
      </c>
      <c r="GY41">
        <v>473915.67384667497</v>
      </c>
      <c r="HA41">
        <v>45170</v>
      </c>
      <c r="HB41">
        <v>432535.21098209819</v>
      </c>
      <c r="HC41">
        <v>10213.720627389515</v>
      </c>
      <c r="HD41">
        <v>5924.0466139897962</v>
      </c>
      <c r="HE41">
        <v>2582.0427586206906</v>
      </c>
      <c r="HF41">
        <v>18719.810000000001</v>
      </c>
      <c r="HG41">
        <v>426611.16436810838</v>
      </c>
      <c r="HI41">
        <v>45185</v>
      </c>
      <c r="HJ41">
        <v>377767.27906237647</v>
      </c>
      <c r="HK41">
        <v>10331.37574875139</v>
      </c>
      <c r="HL41">
        <v>4051.9863202141282</v>
      </c>
      <c r="HM41">
        <v>2301.3379310344831</v>
      </c>
      <c r="HN41">
        <v>16684.7</v>
      </c>
      <c r="HO41">
        <v>373715.29274216242</v>
      </c>
      <c r="HQ41">
        <v>45171</v>
      </c>
      <c r="HR41">
        <v>250665.6346763527</v>
      </c>
      <c r="HS41">
        <v>6903.3599852843026</v>
      </c>
      <c r="HT41">
        <v>3818.8210491984546</v>
      </c>
      <c r="HU41">
        <v>1715.5489655172414</v>
      </c>
      <c r="HV41">
        <v>12437.73</v>
      </c>
      <c r="HW41">
        <v>246846.81362715425</v>
      </c>
      <c r="HY41">
        <v>45174</v>
      </c>
      <c r="HZ41">
        <v>347330.79472626373</v>
      </c>
      <c r="IA41">
        <v>3526.1604421485849</v>
      </c>
      <c r="IB41">
        <v>5194.1412819893467</v>
      </c>
      <c r="IC41">
        <v>1395.248275862069</v>
      </c>
      <c r="ID41">
        <v>10115.549999999999</v>
      </c>
      <c r="IE41">
        <v>342136.65344427439</v>
      </c>
      <c r="IG41">
        <v>45190</v>
      </c>
      <c r="IH41">
        <v>225603.90184935505</v>
      </c>
      <c r="II41">
        <v>3155.4852064518027</v>
      </c>
      <c r="IJ41">
        <v>15194.0747935482</v>
      </c>
      <c r="IK41">
        <v>2935.9296000000004</v>
      </c>
      <c r="IL41">
        <v>21285.489600000001</v>
      </c>
      <c r="IM41">
        <v>210409.82705580685</v>
      </c>
      <c r="IO41">
        <v>45189</v>
      </c>
      <c r="IP41">
        <v>85815.623173754066</v>
      </c>
      <c r="IQ41">
        <v>1340.5237197629692</v>
      </c>
      <c r="IR41">
        <v>3628.4662802370294</v>
      </c>
      <c r="IS41">
        <v>795.03840000000002</v>
      </c>
      <c r="IT41">
        <v>5764.0283999999992</v>
      </c>
      <c r="IU41">
        <v>82187.156893517036</v>
      </c>
      <c r="IW41">
        <v>45172</v>
      </c>
      <c r="IX41">
        <v>217731.76520764825</v>
      </c>
      <c r="IY41">
        <v>3308.0447503284699</v>
      </c>
      <c r="IZ41">
        <v>7452.3352496715297</v>
      </c>
      <c r="JA41">
        <v>1721.6608000000001</v>
      </c>
      <c r="JB41">
        <v>12482.040800000001</v>
      </c>
      <c r="JC41">
        <v>210279.42995797668</v>
      </c>
      <c r="JE41">
        <v>45187</v>
      </c>
      <c r="JF41">
        <v>98809.610483192489</v>
      </c>
      <c r="JG41">
        <v>1594.0099706462447</v>
      </c>
      <c r="JH41">
        <v>3061.2300293537551</v>
      </c>
      <c r="JI41">
        <v>744.83839999999998</v>
      </c>
      <c r="JJ41">
        <v>5400.0783999999994</v>
      </c>
      <c r="JK41">
        <v>95748.380453838734</v>
      </c>
      <c r="JM41">
        <v>45176</v>
      </c>
      <c r="JN41">
        <v>107423.11148602296</v>
      </c>
      <c r="JO41">
        <v>1986.5649159048121</v>
      </c>
      <c r="JP41">
        <v>2620.5250840951885</v>
      </c>
      <c r="JQ41">
        <v>737.13440000000003</v>
      </c>
      <c r="JR41">
        <v>5344.2244000000001</v>
      </c>
      <c r="JS41">
        <v>104802.58640192777</v>
      </c>
      <c r="JU41">
        <v>45177</v>
      </c>
      <c r="JV41">
        <v>101028.52436141032</v>
      </c>
      <c r="JW41">
        <v>1845.6498597485131</v>
      </c>
      <c r="JX41">
        <v>2184.4901402514861</v>
      </c>
      <c r="JY41">
        <v>644.82240000000002</v>
      </c>
      <c r="JZ41">
        <v>4674.9623999999994</v>
      </c>
      <c r="KA41">
        <v>98844.034221158843</v>
      </c>
      <c r="KC41" s="3">
        <v>45171</v>
      </c>
      <c r="KD41" s="9">
        <v>4810687.8053633496</v>
      </c>
      <c r="KE41" s="9">
        <v>95374.168180671651</v>
      </c>
      <c r="KF41" s="9">
        <v>117224.1800951904</v>
      </c>
      <c r="KG41" s="9">
        <v>0</v>
      </c>
      <c r="KH41" s="9">
        <v>34015.735724137936</v>
      </c>
      <c r="KI41" s="9">
        <v>246614.084</v>
      </c>
      <c r="KJ41" s="9">
        <v>4693463.6252681604</v>
      </c>
      <c r="KL41" t="s">
        <v>1270</v>
      </c>
      <c r="KM41">
        <v>0.26</v>
      </c>
      <c r="KN41">
        <v>2.1666666666666667E-2</v>
      </c>
      <c r="KO41" t="s">
        <v>1271</v>
      </c>
      <c r="KP41">
        <v>13358.094827586208</v>
      </c>
      <c r="KQ41" t="s">
        <v>1264</v>
      </c>
    </row>
    <row r="42" spans="1:303" x14ac:dyDescent="0.3">
      <c r="A42">
        <v>45214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J42">
        <v>45214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S42">
        <v>45214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B42">
        <v>45214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K42">
        <v>45214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T42">
        <v>45214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C42">
        <v>45214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L42">
        <v>45214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U42">
        <v>45214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D42">
        <v>45214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M42">
        <v>45214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V42">
        <v>45214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E42">
        <v>45214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N42">
        <v>45214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W42">
        <v>45214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F42">
        <v>45214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O42">
        <v>45214</v>
      </c>
      <c r="EP42">
        <v>504386.61676044785</v>
      </c>
      <c r="EQ42">
        <v>10272.587406837902</v>
      </c>
      <c r="ER42">
        <v>15270.472937989683</v>
      </c>
      <c r="ES42">
        <v>4086.8896551724142</v>
      </c>
      <c r="ET42">
        <v>29629.95</v>
      </c>
      <c r="EU42">
        <v>489116.14382245817</v>
      </c>
      <c r="EW42">
        <v>45214</v>
      </c>
      <c r="EX42">
        <v>86984.571807188273</v>
      </c>
      <c r="EY42">
        <v>1772.3734892506318</v>
      </c>
      <c r="EZ42">
        <v>3570.4196141976445</v>
      </c>
      <c r="FA42">
        <v>854.84689655172417</v>
      </c>
      <c r="FB42">
        <v>6197.64</v>
      </c>
      <c r="FC42">
        <v>83414.15219299063</v>
      </c>
      <c r="FE42">
        <v>45214</v>
      </c>
      <c r="FF42">
        <v>86984.571807225817</v>
      </c>
      <c r="FG42">
        <v>1772.373489251956</v>
      </c>
      <c r="FH42">
        <v>3570.4196141963203</v>
      </c>
      <c r="FI42">
        <v>854.84689655172417</v>
      </c>
      <c r="FJ42">
        <v>6197.64</v>
      </c>
      <c r="FK42">
        <v>83414.152193029513</v>
      </c>
      <c r="FM42">
        <v>45200</v>
      </c>
      <c r="FN42">
        <v>417274.11853451643</v>
      </c>
      <c r="FO42">
        <v>5083.8106988578838</v>
      </c>
      <c r="FP42">
        <v>16938.197921831768</v>
      </c>
      <c r="FQ42">
        <v>3523.5213793103449</v>
      </c>
      <c r="FR42">
        <v>25545.53</v>
      </c>
      <c r="FS42">
        <v>400335.92061268463</v>
      </c>
      <c r="FU42">
        <v>45214</v>
      </c>
      <c r="FV42">
        <v>207472.21786469783</v>
      </c>
      <c r="FW42">
        <v>4525.2766646924365</v>
      </c>
      <c r="FX42">
        <v>4700.8871284110128</v>
      </c>
      <c r="FY42">
        <v>1476.186206896552</v>
      </c>
      <c r="FZ42">
        <v>10702.35</v>
      </c>
      <c r="GA42">
        <v>202771.33073628679</v>
      </c>
      <c r="GC42">
        <v>45200</v>
      </c>
      <c r="GD42">
        <v>362432.2577407409</v>
      </c>
      <c r="GE42">
        <v>7774.3455991163537</v>
      </c>
      <c r="GF42">
        <v>6966.3181939870919</v>
      </c>
      <c r="GG42">
        <v>2358.5062068965517</v>
      </c>
      <c r="GH42">
        <v>17099.169999999998</v>
      </c>
      <c r="GI42">
        <v>355465.93954675383</v>
      </c>
      <c r="GK42">
        <v>45200</v>
      </c>
      <c r="GL42">
        <v>362432.25774074194</v>
      </c>
      <c r="GM42">
        <v>7774.3455991164046</v>
      </c>
      <c r="GN42">
        <v>6966.3181939870401</v>
      </c>
      <c r="GO42">
        <v>2358.5062068965517</v>
      </c>
      <c r="GP42">
        <v>17099.169999999998</v>
      </c>
      <c r="GQ42">
        <v>355465.93954675487</v>
      </c>
      <c r="GS42">
        <v>45200</v>
      </c>
      <c r="GT42">
        <v>473915.67384667497</v>
      </c>
      <c r="GU42">
        <v>10984.117033127248</v>
      </c>
      <c r="GV42">
        <v>7321.0726220451652</v>
      </c>
      <c r="GW42">
        <v>2928.8303448275869</v>
      </c>
      <c r="GX42">
        <v>21234.02</v>
      </c>
      <c r="GY42">
        <v>466594.60122462973</v>
      </c>
      <c r="HA42">
        <v>45200</v>
      </c>
      <c r="HB42">
        <v>426611.16436810838</v>
      </c>
      <c r="HC42">
        <v>10073.832462073353</v>
      </c>
      <c r="HD42">
        <v>6063.9347793059587</v>
      </c>
      <c r="HE42">
        <v>2582.0427586206906</v>
      </c>
      <c r="HF42">
        <v>18719.810000000001</v>
      </c>
      <c r="HG42">
        <v>420547.22958880238</v>
      </c>
      <c r="HI42">
        <v>45215</v>
      </c>
      <c r="HJ42">
        <v>373715.29274216242</v>
      </c>
      <c r="HK42">
        <v>10220.55992238645</v>
      </c>
      <c r="HL42">
        <v>4162.802146579068</v>
      </c>
      <c r="HM42">
        <v>2301.3379310344831</v>
      </c>
      <c r="HN42">
        <v>16684.7</v>
      </c>
      <c r="HO42">
        <v>369552.49059558328</v>
      </c>
      <c r="HQ42">
        <v>45201</v>
      </c>
      <c r="HR42">
        <v>246846.81362715425</v>
      </c>
      <c r="HS42">
        <v>6798.1892208273548</v>
      </c>
      <c r="HT42">
        <v>3923.9918136554024</v>
      </c>
      <c r="HU42">
        <v>1715.5489655172414</v>
      </c>
      <c r="HV42">
        <v>12437.73</v>
      </c>
      <c r="HW42">
        <v>242922.82181349889</v>
      </c>
      <c r="HY42">
        <v>45204</v>
      </c>
      <c r="HZ42">
        <v>342136.65344427439</v>
      </c>
      <c r="IA42">
        <v>3473.428649294121</v>
      </c>
      <c r="IB42">
        <v>5246.8730748438102</v>
      </c>
      <c r="IC42">
        <v>1395.248275862069</v>
      </c>
      <c r="ID42">
        <v>10115.549999999999</v>
      </c>
      <c r="IE42">
        <v>336889.78036943055</v>
      </c>
      <c r="IG42">
        <v>45220</v>
      </c>
      <c r="IH42">
        <v>210409.82705580685</v>
      </c>
      <c r="II42">
        <v>2942.9681451609999</v>
      </c>
      <c r="IJ42">
        <v>15406.591854839002</v>
      </c>
      <c r="IK42">
        <v>2935.9296000000004</v>
      </c>
      <c r="IL42">
        <v>21285.489600000001</v>
      </c>
      <c r="IM42">
        <v>195003.23520096784</v>
      </c>
      <c r="IO42">
        <v>45219</v>
      </c>
      <c r="IP42">
        <v>82187.156893517036</v>
      </c>
      <c r="IQ42">
        <v>1283.8435380532887</v>
      </c>
      <c r="IR42">
        <v>3685.1464619467106</v>
      </c>
      <c r="IS42">
        <v>795.03840000000002</v>
      </c>
      <c r="IT42">
        <v>5764.0283999999992</v>
      </c>
      <c r="IU42">
        <v>78502.010431570321</v>
      </c>
      <c r="IW42">
        <v>45202</v>
      </c>
      <c r="IX42">
        <v>210279.42995797668</v>
      </c>
      <c r="IY42">
        <v>3194.8198450104387</v>
      </c>
      <c r="IZ42">
        <v>7565.56015498956</v>
      </c>
      <c r="JA42">
        <v>1721.6608000000001</v>
      </c>
      <c r="JB42">
        <v>12482.040800000001</v>
      </c>
      <c r="JC42">
        <v>202713.86980298712</v>
      </c>
      <c r="JE42">
        <v>45217</v>
      </c>
      <c r="JF42">
        <v>95748.380453838734</v>
      </c>
      <c r="JG42">
        <v>1544.625794700509</v>
      </c>
      <c r="JH42">
        <v>3110.614205299491</v>
      </c>
      <c r="JI42">
        <v>744.83839999999998</v>
      </c>
      <c r="JJ42">
        <v>5400.0783999999994</v>
      </c>
      <c r="JK42">
        <v>92637.766248539236</v>
      </c>
      <c r="JM42">
        <v>45206</v>
      </c>
      <c r="JN42">
        <v>104802.58640192777</v>
      </c>
      <c r="JO42">
        <v>1938.1038061743479</v>
      </c>
      <c r="JP42">
        <v>2668.9861938256522</v>
      </c>
      <c r="JQ42">
        <v>737.13440000000003</v>
      </c>
      <c r="JR42">
        <v>5344.2244000000001</v>
      </c>
      <c r="JS42">
        <v>102133.60020810211</v>
      </c>
      <c r="JU42">
        <v>45207</v>
      </c>
      <c r="JV42">
        <v>98844.034221158843</v>
      </c>
      <c r="JW42">
        <v>1805.7422797213701</v>
      </c>
      <c r="JX42">
        <v>2224.3977202786291</v>
      </c>
      <c r="JY42">
        <v>644.82240000000002</v>
      </c>
      <c r="JZ42">
        <v>4674.9623999999994</v>
      </c>
      <c r="KA42">
        <v>96619.636500880209</v>
      </c>
      <c r="KC42" s="3">
        <v>45201</v>
      </c>
      <c r="KD42" s="9">
        <v>4693463.6252681604</v>
      </c>
      <c r="KE42" s="9">
        <v>93235.343643653017</v>
      </c>
      <c r="KF42" s="9">
        <v>119363.00463220902</v>
      </c>
      <c r="KG42" s="9">
        <v>0</v>
      </c>
      <c r="KH42" s="9">
        <v>34015.735724137936</v>
      </c>
      <c r="KI42" s="9">
        <v>246614.084</v>
      </c>
      <c r="KJ42" s="9">
        <v>4574100.6206359491</v>
      </c>
    </row>
    <row r="43" spans="1:303" x14ac:dyDescent="0.3">
      <c r="A43">
        <v>45245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J43">
        <v>45245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S43">
        <v>45245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B43">
        <v>45245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K43">
        <v>45245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T43">
        <v>45245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C43">
        <v>45245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L43">
        <v>45245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U43">
        <v>45245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D43">
        <v>45245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M43">
        <v>45245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V43">
        <v>45245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E43">
        <v>45245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N43">
        <v>45245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W43">
        <v>45245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F43">
        <v>45245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O43">
        <v>45245</v>
      </c>
      <c r="EP43">
        <v>489116.14382245817</v>
      </c>
      <c r="EQ43">
        <v>9961.5813991710602</v>
      </c>
      <c r="ER43">
        <v>15581.478945656529</v>
      </c>
      <c r="ES43">
        <v>4086.8896551724142</v>
      </c>
      <c r="ET43">
        <v>29629.95</v>
      </c>
      <c r="EU43">
        <v>473534.66487680166</v>
      </c>
      <c r="EW43">
        <v>45245</v>
      </c>
      <c r="EX43">
        <v>83414.15219299063</v>
      </c>
      <c r="EY43">
        <v>1699.6236102981734</v>
      </c>
      <c r="EZ43">
        <v>3643.1694931501033</v>
      </c>
      <c r="FA43">
        <v>854.84689655172417</v>
      </c>
      <c r="FB43">
        <v>6197.64</v>
      </c>
      <c r="FC43">
        <v>79770.982699840533</v>
      </c>
      <c r="FE43">
        <v>45245</v>
      </c>
      <c r="FF43">
        <v>83414.152193029513</v>
      </c>
      <c r="FG43">
        <v>1699.6236102995017</v>
      </c>
      <c r="FH43">
        <v>3643.1694931487746</v>
      </c>
      <c r="FI43">
        <v>854.84689655172417</v>
      </c>
      <c r="FJ43">
        <v>6197.64</v>
      </c>
      <c r="FK43">
        <v>79770.98269988074</v>
      </c>
      <c r="FM43">
        <v>45231</v>
      </c>
      <c r="FN43">
        <v>400335.92061268463</v>
      </c>
      <c r="FO43">
        <v>4877.4461341999931</v>
      </c>
      <c r="FP43">
        <v>17144.56248648966</v>
      </c>
      <c r="FQ43">
        <v>3523.5213793103449</v>
      </c>
      <c r="FR43">
        <v>25545.53</v>
      </c>
      <c r="FS43">
        <v>383191.35812619497</v>
      </c>
      <c r="FU43">
        <v>45245</v>
      </c>
      <c r="FV43">
        <v>202771.33073628679</v>
      </c>
      <c r="FW43">
        <v>4422.7433470054175</v>
      </c>
      <c r="FX43">
        <v>4803.4204460980318</v>
      </c>
      <c r="FY43">
        <v>1476.186206896552</v>
      </c>
      <c r="FZ43">
        <v>10702.35</v>
      </c>
      <c r="GA43">
        <v>197967.9102901888</v>
      </c>
      <c r="GC43">
        <v>45231</v>
      </c>
      <c r="GD43">
        <v>355465.93954675383</v>
      </c>
      <c r="GE43">
        <v>7624.9147357294396</v>
      </c>
      <c r="GF43">
        <v>7115.749057374006</v>
      </c>
      <c r="GG43">
        <v>2358.5062068965517</v>
      </c>
      <c r="GH43">
        <v>17099.169999999998</v>
      </c>
      <c r="GI43">
        <v>348350.19048937981</v>
      </c>
      <c r="GK43">
        <v>45231</v>
      </c>
      <c r="GL43">
        <v>355465.93954675487</v>
      </c>
      <c r="GM43">
        <v>7624.9147357294914</v>
      </c>
      <c r="GN43">
        <v>7115.7490573739542</v>
      </c>
      <c r="GO43">
        <v>2358.5062068965517</v>
      </c>
      <c r="GP43">
        <v>17099.169999999998</v>
      </c>
      <c r="GQ43">
        <v>348350.19048938091</v>
      </c>
      <c r="GS43">
        <v>45231</v>
      </c>
      <c r="GT43">
        <v>466594.60122462973</v>
      </c>
      <c r="GU43">
        <v>10814.433853341588</v>
      </c>
      <c r="GV43">
        <v>7490.7558018308255</v>
      </c>
      <c r="GW43">
        <v>2928.8303448275869</v>
      </c>
      <c r="GX43">
        <v>21234.02</v>
      </c>
      <c r="GY43">
        <v>459103.84542279894</v>
      </c>
      <c r="HA43">
        <v>45231</v>
      </c>
      <c r="HB43">
        <v>420547.22958880238</v>
      </c>
      <c r="HC43">
        <v>9930.6410312580138</v>
      </c>
      <c r="HD43">
        <v>6207.1262101212978</v>
      </c>
      <c r="HE43">
        <v>2582.0427586206906</v>
      </c>
      <c r="HF43">
        <v>18719.810000000001</v>
      </c>
      <c r="HG43">
        <v>414340.10337868112</v>
      </c>
      <c r="HI43">
        <v>45246</v>
      </c>
      <c r="HJ43">
        <v>369552.49059558328</v>
      </c>
      <c r="HK43">
        <v>10106.713447247676</v>
      </c>
      <c r="HL43">
        <v>4276.6486217178426</v>
      </c>
      <c r="HM43">
        <v>2301.3379310344831</v>
      </c>
      <c r="HN43">
        <v>16684.7</v>
      </c>
      <c r="HO43">
        <v>365275.84197386546</v>
      </c>
      <c r="HQ43">
        <v>45232</v>
      </c>
      <c r="HR43">
        <v>242922.82181349889</v>
      </c>
      <c r="HS43">
        <v>6690.1220415989474</v>
      </c>
      <c r="HT43">
        <v>4032.0589928838094</v>
      </c>
      <c r="HU43">
        <v>1715.5489655172414</v>
      </c>
      <c r="HV43">
        <v>12437.73</v>
      </c>
      <c r="HW43">
        <v>238890.76282061503</v>
      </c>
      <c r="HY43">
        <v>45235</v>
      </c>
      <c r="HZ43">
        <v>336889.78036943055</v>
      </c>
      <c r="IA43">
        <v>3420.16151444053</v>
      </c>
      <c r="IB43">
        <v>5300.1402096974016</v>
      </c>
      <c r="IC43">
        <v>1395.248275862069</v>
      </c>
      <c r="ID43">
        <v>10115.549999999999</v>
      </c>
      <c r="IE43">
        <v>331589.64015973313</v>
      </c>
      <c r="IG43">
        <v>45251</v>
      </c>
      <c r="IH43">
        <v>195003.23520096784</v>
      </c>
      <c r="II43">
        <v>2727.4786421813587</v>
      </c>
      <c r="IJ43">
        <v>15622.081357818644</v>
      </c>
      <c r="IK43">
        <v>2935.9296000000004</v>
      </c>
      <c r="IL43">
        <v>21285.489600000001</v>
      </c>
      <c r="IM43">
        <v>179381.15384314919</v>
      </c>
      <c r="IO43">
        <v>45250</v>
      </c>
      <c r="IP43">
        <v>78502.010431570321</v>
      </c>
      <c r="IQ43">
        <v>1226.2779566318511</v>
      </c>
      <c r="IR43">
        <v>3742.7120433681471</v>
      </c>
      <c r="IS43">
        <v>795.03840000000002</v>
      </c>
      <c r="IT43">
        <v>5764.0283999999992</v>
      </c>
      <c r="IU43">
        <v>74759.29838820218</v>
      </c>
      <c r="IW43">
        <v>45233</v>
      </c>
      <c r="IX43">
        <v>202713.86980298712</v>
      </c>
      <c r="IY43">
        <v>3079.8746897633878</v>
      </c>
      <c r="IZ43">
        <v>7680.505310236611</v>
      </c>
      <c r="JA43">
        <v>1721.6608000000001</v>
      </c>
      <c r="JB43">
        <v>12482.040800000001</v>
      </c>
      <c r="JC43">
        <v>195033.36449275049</v>
      </c>
      <c r="JE43">
        <v>45248</v>
      </c>
      <c r="JF43">
        <v>92637.766248539236</v>
      </c>
      <c r="JG43">
        <v>1494.444946564035</v>
      </c>
      <c r="JH43">
        <v>3160.7950534359647</v>
      </c>
      <c r="JI43">
        <v>744.83839999999998</v>
      </c>
      <c r="JJ43">
        <v>5400.0783999999994</v>
      </c>
      <c r="JK43">
        <v>89476.971195103266</v>
      </c>
      <c r="JM43">
        <v>45237</v>
      </c>
      <c r="JN43">
        <v>102133.60020810211</v>
      </c>
      <c r="JO43">
        <v>1888.746509961808</v>
      </c>
      <c r="JP43">
        <v>2718.3434900381926</v>
      </c>
      <c r="JQ43">
        <v>737.13440000000003</v>
      </c>
      <c r="JR43">
        <v>5344.2244000000001</v>
      </c>
      <c r="JS43">
        <v>99415.256718063916</v>
      </c>
      <c r="JU43">
        <v>45238</v>
      </c>
      <c r="JV43">
        <v>96619.636500880209</v>
      </c>
      <c r="JW43">
        <v>1765.1056440146992</v>
      </c>
      <c r="JX43">
        <v>2265.0343559853</v>
      </c>
      <c r="JY43">
        <v>644.82240000000002</v>
      </c>
      <c r="JZ43">
        <v>4674.9623999999994</v>
      </c>
      <c r="KA43">
        <v>94354.602144894903</v>
      </c>
      <c r="KC43" s="3">
        <v>45232</v>
      </c>
      <c r="KD43" s="9">
        <v>4574100.6206359491</v>
      </c>
      <c r="KE43" s="9">
        <v>91054.847849436977</v>
      </c>
      <c r="KF43" s="9">
        <v>121543.5004264251</v>
      </c>
      <c r="KG43" s="9">
        <v>0</v>
      </c>
      <c r="KH43" s="9">
        <v>34015.735724137936</v>
      </c>
      <c r="KI43" s="9">
        <v>246614.084</v>
      </c>
      <c r="KJ43" s="9">
        <v>4452557.1202095253</v>
      </c>
      <c r="KL43" t="s">
        <v>1181</v>
      </c>
      <c r="KN43">
        <v>83689</v>
      </c>
      <c r="KO43" t="s">
        <v>1182</v>
      </c>
    </row>
    <row r="44" spans="1:303" x14ac:dyDescent="0.3">
      <c r="A44">
        <v>45275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J44">
        <v>45275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1291</v>
      </c>
      <c r="S44">
        <v>45275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B44">
        <v>45275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K44">
        <v>45275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 t="s">
        <v>1291</v>
      </c>
      <c r="AT44">
        <v>45275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 t="s">
        <v>1291</v>
      </c>
      <c r="BC44">
        <v>45275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 t="s">
        <v>1291</v>
      </c>
      <c r="BL44">
        <v>45275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 t="s">
        <v>1291</v>
      </c>
      <c r="BU44">
        <v>45275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D44">
        <v>45275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M44">
        <v>45275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V44">
        <v>45275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E44">
        <v>45275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N44">
        <v>45275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W44">
        <v>45275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 t="s">
        <v>1291</v>
      </c>
      <c r="EF44">
        <v>45275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 t="s">
        <v>1291</v>
      </c>
      <c r="EO44">
        <v>45275</v>
      </c>
      <c r="EP44">
        <v>473534.66487680166</v>
      </c>
      <c r="EQ44">
        <v>9644.2412892666762</v>
      </c>
      <c r="ER44">
        <v>15898.819055560913</v>
      </c>
      <c r="ES44">
        <v>4086.8896551724142</v>
      </c>
      <c r="ET44">
        <v>29629.95</v>
      </c>
      <c r="EU44">
        <v>457635.84582124074</v>
      </c>
      <c r="EW44">
        <v>45275</v>
      </c>
      <c r="EX44">
        <v>79770.982699840533</v>
      </c>
      <c r="EY44">
        <v>1625.3914000066895</v>
      </c>
      <c r="EZ44">
        <v>3717.4017034415865</v>
      </c>
      <c r="FA44">
        <v>854.84689655172417</v>
      </c>
      <c r="FB44">
        <v>6197.64</v>
      </c>
      <c r="FC44">
        <v>76053.580996398945</v>
      </c>
      <c r="FE44">
        <v>45275</v>
      </c>
      <c r="FF44">
        <v>79770.98269988074</v>
      </c>
      <c r="FG44">
        <v>1625.3914000080213</v>
      </c>
      <c r="FH44">
        <v>3717.401703440255</v>
      </c>
      <c r="FI44">
        <v>854.84689655172417</v>
      </c>
      <c r="FJ44">
        <v>6197.64</v>
      </c>
      <c r="FK44">
        <v>76053.580996440491</v>
      </c>
      <c r="FM44">
        <v>45261</v>
      </c>
      <c r="FN44">
        <v>383191.35812619497</v>
      </c>
      <c r="FO44">
        <v>4668.5673508664813</v>
      </c>
      <c r="FP44">
        <v>17353.441269823172</v>
      </c>
      <c r="FQ44">
        <v>3523.5213793103449</v>
      </c>
      <c r="FR44">
        <v>25545.53</v>
      </c>
      <c r="FS44">
        <v>365837.9168563718</v>
      </c>
      <c r="FU44">
        <v>45275</v>
      </c>
      <c r="FV44">
        <v>197967.9102901888</v>
      </c>
      <c r="FW44">
        <v>4317.973625646342</v>
      </c>
      <c r="FX44">
        <v>4908.1901674571072</v>
      </c>
      <c r="FY44">
        <v>1476.186206896552</v>
      </c>
      <c r="FZ44">
        <v>10702.35</v>
      </c>
      <c r="GA44">
        <v>193059.7201227317</v>
      </c>
      <c r="GC44">
        <v>45261</v>
      </c>
      <c r="GD44">
        <v>348350.19048937981</v>
      </c>
      <c r="GE44">
        <v>7472.2785087184748</v>
      </c>
      <c r="GF44">
        <v>7268.3852843849709</v>
      </c>
      <c r="GG44">
        <v>2358.5062068965517</v>
      </c>
      <c r="GH44">
        <v>17099.169999999998</v>
      </c>
      <c r="GI44">
        <v>341081.80520499486</v>
      </c>
      <c r="GK44">
        <v>45261</v>
      </c>
      <c r="GL44">
        <v>348350.19048938091</v>
      </c>
      <c r="GM44">
        <v>7472.2785087185284</v>
      </c>
      <c r="GN44">
        <v>7268.3852843849181</v>
      </c>
      <c r="GO44">
        <v>2358.5062068965517</v>
      </c>
      <c r="GP44">
        <v>17099.169999999998</v>
      </c>
      <c r="GQ44">
        <v>341081.80520499597</v>
      </c>
      <c r="GS44">
        <v>45261</v>
      </c>
      <c r="GT44">
        <v>459103.84542279894</v>
      </c>
      <c r="GU44">
        <v>10640.817864391396</v>
      </c>
      <c r="GV44">
        <v>7664.3717907810178</v>
      </c>
      <c r="GW44">
        <v>2928.8303448275869</v>
      </c>
      <c r="GX44">
        <v>21234.02</v>
      </c>
      <c r="GY44">
        <v>451439.47363201791</v>
      </c>
      <c r="HA44">
        <v>45261</v>
      </c>
      <c r="HB44">
        <v>414340.10337868112</v>
      </c>
      <c r="HC44">
        <v>9784.0683328985488</v>
      </c>
      <c r="HD44">
        <v>6353.6989084807628</v>
      </c>
      <c r="HE44">
        <v>2582.0427586206906</v>
      </c>
      <c r="HF44">
        <v>18719.810000000001</v>
      </c>
      <c r="HG44">
        <v>407986.4044702003</v>
      </c>
      <c r="HI44">
        <v>45276</v>
      </c>
      <c r="HJ44">
        <v>365275.84197386546</v>
      </c>
      <c r="HK44">
        <v>9989.7534395783769</v>
      </c>
      <c r="HL44">
        <v>4393.6086293871431</v>
      </c>
      <c r="HM44">
        <v>2301.3379310344831</v>
      </c>
      <c r="HN44">
        <v>16684.7</v>
      </c>
      <c r="HO44">
        <v>360882.2333444783</v>
      </c>
      <c r="HQ44">
        <v>45262</v>
      </c>
      <c r="HR44">
        <v>238890.76282061503</v>
      </c>
      <c r="HS44">
        <v>6579.0786800080432</v>
      </c>
      <c r="HT44">
        <v>4143.102354474714</v>
      </c>
      <c r="HU44">
        <v>1715.5489655172414</v>
      </c>
      <c r="HV44">
        <v>12437.73</v>
      </c>
      <c r="HW44">
        <v>234747.66046614031</v>
      </c>
      <c r="HY44">
        <v>45265</v>
      </c>
      <c r="HZ44">
        <v>331589.64015973313</v>
      </c>
      <c r="IA44">
        <v>3366.3536027061114</v>
      </c>
      <c r="IB44">
        <v>5353.9481214318203</v>
      </c>
      <c r="IC44">
        <v>1395.248275862069</v>
      </c>
      <c r="ID44">
        <v>10115.549999999999</v>
      </c>
      <c r="IE44">
        <v>326235.69203830132</v>
      </c>
      <c r="IG44">
        <v>45281</v>
      </c>
      <c r="IH44">
        <v>179381.15384314919</v>
      </c>
      <c r="II44">
        <v>2508.9751224527872</v>
      </c>
      <c r="IJ44">
        <v>15840.584877547217</v>
      </c>
      <c r="IK44">
        <v>2935.9296000000004</v>
      </c>
      <c r="IL44">
        <v>21285.489600000001</v>
      </c>
      <c r="IM44">
        <v>163540.56896560197</v>
      </c>
      <c r="IO44">
        <v>45280</v>
      </c>
      <c r="IP44">
        <v>74759.29838820218</v>
      </c>
      <c r="IQ44">
        <v>1167.8131446917334</v>
      </c>
      <c r="IR44">
        <v>3801.1768553082657</v>
      </c>
      <c r="IS44">
        <v>795.03840000000002</v>
      </c>
      <c r="IT44">
        <v>5764.0283999999992</v>
      </c>
      <c r="IU44">
        <v>70958.121532893914</v>
      </c>
      <c r="IW44">
        <v>45263</v>
      </c>
      <c r="IX44">
        <v>195033.36449275049</v>
      </c>
      <c r="IY44">
        <v>2963.1831484663826</v>
      </c>
      <c r="IZ44">
        <v>7797.1968515336157</v>
      </c>
      <c r="JA44">
        <v>1721.6608000000001</v>
      </c>
      <c r="JB44">
        <v>12482.040800000001</v>
      </c>
      <c r="JC44">
        <v>187236.16764121689</v>
      </c>
      <c r="JE44">
        <v>45278</v>
      </c>
      <c r="JF44">
        <v>89476.971195103266</v>
      </c>
      <c r="JG44">
        <v>1443.4545742135308</v>
      </c>
      <c r="JH44">
        <v>3211.7854257864692</v>
      </c>
      <c r="JI44">
        <v>744.83839999999998</v>
      </c>
      <c r="JJ44">
        <v>5400.0783999999994</v>
      </c>
      <c r="JK44">
        <v>86265.185769316799</v>
      </c>
      <c r="JM44">
        <v>45267</v>
      </c>
      <c r="JN44">
        <v>99415.256718063916</v>
      </c>
      <c r="JO44">
        <v>1838.4764541797172</v>
      </c>
      <c r="JP44">
        <v>2768.613545820283</v>
      </c>
      <c r="JQ44">
        <v>737.13440000000003</v>
      </c>
      <c r="JR44">
        <v>5344.2244000000001</v>
      </c>
      <c r="JS44">
        <v>96646.643172243639</v>
      </c>
      <c r="JU44">
        <v>45268</v>
      </c>
      <c r="JV44">
        <v>94354.602144894903</v>
      </c>
      <c r="JW44">
        <v>1723.7266338007614</v>
      </c>
      <c r="JX44">
        <v>2306.4133661992382</v>
      </c>
      <c r="JY44">
        <v>644.82240000000002</v>
      </c>
      <c r="JZ44">
        <v>4674.9623999999994</v>
      </c>
      <c r="KA44">
        <v>92048.188778695665</v>
      </c>
      <c r="KC44" s="3">
        <v>45262</v>
      </c>
      <c r="KD44" s="9">
        <v>4452557.1202095253</v>
      </c>
      <c r="KE44" s="9">
        <v>88831.823080618604</v>
      </c>
      <c r="KF44" s="9">
        <v>123766.52519524346</v>
      </c>
      <c r="KG44" s="9">
        <v>0</v>
      </c>
      <c r="KH44" s="9">
        <v>34015.735724137936</v>
      </c>
      <c r="KI44" s="9">
        <v>246614.084</v>
      </c>
      <c r="KJ44" s="9">
        <v>4328790.5950142806</v>
      </c>
      <c r="KL44" t="s">
        <v>1231</v>
      </c>
      <c r="KM44" t="s">
        <v>1232</v>
      </c>
      <c r="KO44" t="s">
        <v>1233</v>
      </c>
      <c r="KP44" t="s">
        <v>1242</v>
      </c>
    </row>
    <row r="45" spans="1:303" x14ac:dyDescent="0.3">
      <c r="A45">
        <v>45306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J45">
        <v>45306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1292</v>
      </c>
      <c r="S45">
        <v>45306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B45">
        <v>45306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K45">
        <v>45306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 t="s">
        <v>1291</v>
      </c>
      <c r="AT45">
        <v>45306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 t="s">
        <v>1291</v>
      </c>
      <c r="BC45">
        <v>45306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 t="s">
        <v>1291</v>
      </c>
      <c r="BL45">
        <v>45306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 t="s">
        <v>1291</v>
      </c>
      <c r="BU45">
        <v>45306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D45">
        <v>45306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M45">
        <v>45306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V45">
        <v>45306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E45">
        <v>45306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N45">
        <v>45306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W45">
        <v>45306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 t="s">
        <v>1291</v>
      </c>
      <c r="EF45">
        <v>45306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 t="s">
        <v>1291</v>
      </c>
      <c r="EO45">
        <v>45306</v>
      </c>
      <c r="EP45">
        <v>457635.84582124074</v>
      </c>
      <c r="EQ45">
        <v>9320.4380736644725</v>
      </c>
      <c r="ER45">
        <v>16222.622271163114</v>
      </c>
      <c r="ES45">
        <v>4086.8896551724142</v>
      </c>
      <c r="ET45">
        <v>29629.95</v>
      </c>
      <c r="EU45">
        <v>441413.22355007759</v>
      </c>
      <c r="EW45">
        <v>45306</v>
      </c>
      <c r="EX45">
        <v>76053.580996398945</v>
      </c>
      <c r="EY45">
        <v>1549.6466548042931</v>
      </c>
      <c r="EZ45">
        <v>3793.1464486439822</v>
      </c>
      <c r="FA45">
        <v>854.84689655172417</v>
      </c>
      <c r="FB45">
        <v>6197.64</v>
      </c>
      <c r="FC45">
        <v>72260.434547754965</v>
      </c>
      <c r="FE45">
        <v>45306</v>
      </c>
      <c r="FF45">
        <v>76053.580996440491</v>
      </c>
      <c r="FG45">
        <v>1549.6466548056285</v>
      </c>
      <c r="FH45">
        <v>3793.146448642648</v>
      </c>
      <c r="FI45">
        <v>854.84689655172417</v>
      </c>
      <c r="FJ45">
        <v>6197.64</v>
      </c>
      <c r="FK45">
        <v>72260.43454779785</v>
      </c>
      <c r="FM45">
        <v>45292</v>
      </c>
      <c r="FN45">
        <v>365837.9168563718</v>
      </c>
      <c r="FO45">
        <v>4457.1437171664884</v>
      </c>
      <c r="FP45">
        <v>17564.864903523165</v>
      </c>
      <c r="FQ45">
        <v>3523.5213793103449</v>
      </c>
      <c r="FR45">
        <v>25545.53</v>
      </c>
      <c r="FS45">
        <v>348273.05195284862</v>
      </c>
      <c r="FU45">
        <v>45306</v>
      </c>
      <c r="FV45">
        <v>193059.7201227317</v>
      </c>
      <c r="FW45">
        <v>4210.9187213354853</v>
      </c>
      <c r="FX45">
        <v>5015.245071767964</v>
      </c>
      <c r="FY45">
        <v>1476.186206896552</v>
      </c>
      <c r="FZ45">
        <v>10702.35</v>
      </c>
      <c r="GA45">
        <v>188044.47505096372</v>
      </c>
      <c r="GC45">
        <v>45292</v>
      </c>
      <c r="GD45">
        <v>341081.80520499486</v>
      </c>
      <c r="GE45">
        <v>7316.3681614977777</v>
      </c>
      <c r="GF45">
        <v>7424.295631605667</v>
      </c>
      <c r="GG45">
        <v>2358.5062068965517</v>
      </c>
      <c r="GH45">
        <v>17099.169999999998</v>
      </c>
      <c r="GI45">
        <v>333657.50957338919</v>
      </c>
      <c r="GK45">
        <v>45292</v>
      </c>
      <c r="GL45">
        <v>341081.80520499597</v>
      </c>
      <c r="GM45">
        <v>7316.3681614978286</v>
      </c>
      <c r="GN45">
        <v>7424.2956316056161</v>
      </c>
      <c r="GO45">
        <v>2358.5062068965517</v>
      </c>
      <c r="GP45">
        <v>17099.169999999998</v>
      </c>
      <c r="GQ45">
        <v>333657.50957339036</v>
      </c>
      <c r="GS45">
        <v>45292</v>
      </c>
      <c r="GT45">
        <v>451439.47363201791</v>
      </c>
      <c r="GU45">
        <v>10463.177914119198</v>
      </c>
      <c r="GV45">
        <v>7842.0117410532148</v>
      </c>
      <c r="GW45">
        <v>2928.8303448275869</v>
      </c>
      <c r="GX45">
        <v>21234.02</v>
      </c>
      <c r="GY45">
        <v>443597.46189096471</v>
      </c>
      <c r="HA45">
        <v>45292</v>
      </c>
      <c r="HB45">
        <v>407986.4044702003</v>
      </c>
      <c r="HC45">
        <v>9634.0345230396379</v>
      </c>
      <c r="HD45">
        <v>6503.7327183396737</v>
      </c>
      <c r="HE45">
        <v>2582.0427586206906</v>
      </c>
      <c r="HF45">
        <v>18719.810000000001</v>
      </c>
      <c r="HG45">
        <v>401482.6717518607</v>
      </c>
      <c r="HI45">
        <v>45307</v>
      </c>
      <c r="HJ45">
        <v>360882.2333444783</v>
      </c>
      <c r="HK45">
        <v>9869.5947488738257</v>
      </c>
      <c r="HL45">
        <v>4513.7673200916925</v>
      </c>
      <c r="HM45">
        <v>2301.3379310344831</v>
      </c>
      <c r="HN45">
        <v>16684.7</v>
      </c>
      <c r="HO45">
        <v>356368.46602438658</v>
      </c>
      <c r="HQ45">
        <v>45293</v>
      </c>
      <c r="HR45">
        <v>234747.66046614031</v>
      </c>
      <c r="HS45">
        <v>6464.9771716551068</v>
      </c>
      <c r="HT45">
        <v>4257.2038628276505</v>
      </c>
      <c r="HU45">
        <v>1715.5489655172414</v>
      </c>
      <c r="HV45">
        <v>12437.73</v>
      </c>
      <c r="HW45">
        <v>230490.45660331269</v>
      </c>
      <c r="HY45">
        <v>45296</v>
      </c>
      <c r="HZ45">
        <v>326235.69203830132</v>
      </c>
      <c r="IA45">
        <v>3311.9994240333358</v>
      </c>
      <c r="IB45">
        <v>5408.3023001045949</v>
      </c>
      <c r="IC45">
        <v>1395.248275862069</v>
      </c>
      <c r="ID45">
        <v>10115.549999999999</v>
      </c>
      <c r="IE45">
        <v>320827.38973819674</v>
      </c>
      <c r="IG45">
        <v>45312</v>
      </c>
      <c r="IH45">
        <v>163540.56896560197</v>
      </c>
      <c r="II45">
        <v>5792.2928648451571</v>
      </c>
      <c r="IJ45">
        <v>11173.198514465188</v>
      </c>
      <c r="IK45">
        <v>2714.4786206896556</v>
      </c>
      <c r="IL45">
        <v>19679.97</v>
      </c>
      <c r="IM45">
        <v>152367.37045113678</v>
      </c>
      <c r="IO45">
        <v>45311</v>
      </c>
      <c r="IP45">
        <v>70958.121532893914</v>
      </c>
      <c r="IQ45">
        <v>1108.4350553753211</v>
      </c>
      <c r="IR45">
        <v>3860.5549446246778</v>
      </c>
      <c r="IS45">
        <v>795.03840000000002</v>
      </c>
      <c r="IT45">
        <v>5764.0283999999992</v>
      </c>
      <c r="IU45">
        <v>67097.566588269241</v>
      </c>
      <c r="IW45">
        <v>45294</v>
      </c>
      <c r="IX45">
        <v>187236.16764121689</v>
      </c>
      <c r="IY45">
        <v>2844.7186879068749</v>
      </c>
      <c r="IZ45">
        <v>7915.6613120931252</v>
      </c>
      <c r="JA45">
        <v>1721.6608000000001</v>
      </c>
      <c r="JB45">
        <v>12482.040800000001</v>
      </c>
      <c r="JC45">
        <v>179320.50632912375</v>
      </c>
      <c r="JE45">
        <v>45309</v>
      </c>
      <c r="JF45">
        <v>86265.185769316799</v>
      </c>
      <c r="JG45">
        <v>1391.6416182951309</v>
      </c>
      <c r="JH45">
        <v>3263.5983817048691</v>
      </c>
      <c r="JI45">
        <v>744.83839999999998</v>
      </c>
      <c r="JJ45">
        <v>5400.0783999999994</v>
      </c>
      <c r="JK45">
        <v>83001.587387611929</v>
      </c>
      <c r="JM45">
        <v>45298</v>
      </c>
      <c r="JN45">
        <v>96646.643172243639</v>
      </c>
      <c r="JO45">
        <v>1787.2767592561438</v>
      </c>
      <c r="JP45">
        <v>2819.8132407438561</v>
      </c>
      <c r="JQ45">
        <v>737.13440000000003</v>
      </c>
      <c r="JR45">
        <v>5344.2244000000001</v>
      </c>
      <c r="JS45">
        <v>93826.829931499786</v>
      </c>
      <c r="JU45">
        <v>45299</v>
      </c>
      <c r="JV45">
        <v>92048.188778695665</v>
      </c>
      <c r="JW45">
        <v>1681.5916869354612</v>
      </c>
      <c r="JX45">
        <v>2348.548313064538</v>
      </c>
      <c r="JY45">
        <v>644.82240000000002</v>
      </c>
      <c r="JZ45">
        <v>4674.9623999999994</v>
      </c>
      <c r="KA45">
        <v>89699.640465631121</v>
      </c>
      <c r="KC45" s="3">
        <v>45293</v>
      </c>
      <c r="KD45" s="9">
        <v>4328790.5950142806</v>
      </c>
      <c r="KE45" s="9">
        <v>90070.270599107171</v>
      </c>
      <c r="KF45" s="9">
        <v>121144.00905606525</v>
      </c>
      <c r="KG45" s="9">
        <v>0</v>
      </c>
      <c r="KH45" s="9">
        <v>33794.284744827593</v>
      </c>
      <c r="KI45" s="9">
        <v>245008.5644</v>
      </c>
      <c r="KJ45" s="9">
        <v>4207646.5859582163</v>
      </c>
      <c r="KL45" t="s">
        <v>1263</v>
      </c>
      <c r="KM45">
        <v>1324381.8362068967</v>
      </c>
      <c r="KN45" t="s">
        <v>1264</v>
      </c>
      <c r="KO45" t="s">
        <v>1265</v>
      </c>
      <c r="KP45">
        <v>60</v>
      </c>
      <c r="KQ45" t="s">
        <v>1266</v>
      </c>
    </row>
    <row r="46" spans="1:303" x14ac:dyDescent="0.3">
      <c r="A46">
        <v>45337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J46">
        <v>45337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>
        <v>45337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B46">
        <v>45337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K46">
        <v>45337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T46">
        <v>45337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C46">
        <v>45337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L46">
        <v>45337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U46">
        <v>45337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D46">
        <v>45337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M46">
        <v>45337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V46">
        <v>45337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E46">
        <v>45337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N46">
        <v>45337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W46">
        <v>45337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F46">
        <v>45337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O46">
        <v>45337</v>
      </c>
      <c r="EP46">
        <v>441413.22355007759</v>
      </c>
      <c r="EQ46">
        <v>8990.0401215558704</v>
      </c>
      <c r="ER46">
        <v>16553.020223271717</v>
      </c>
      <c r="ES46">
        <v>4086.8896551724142</v>
      </c>
      <c r="ET46">
        <v>29629.95</v>
      </c>
      <c r="EU46">
        <v>424860.2033268059</v>
      </c>
      <c r="EW46">
        <v>45337</v>
      </c>
      <c r="EX46">
        <v>72260.434547754965</v>
      </c>
      <c r="EY46">
        <v>1472.3585556995024</v>
      </c>
      <c r="EZ46">
        <v>3870.4345477487745</v>
      </c>
      <c r="FA46">
        <v>854.84689655172417</v>
      </c>
      <c r="FB46">
        <v>6197.64</v>
      </c>
      <c r="FC46">
        <v>68390.000000006185</v>
      </c>
      <c r="FE46">
        <v>45337</v>
      </c>
      <c r="FF46">
        <v>72260.43454779785</v>
      </c>
      <c r="FG46">
        <v>1472.3585557008405</v>
      </c>
      <c r="FH46">
        <v>3870.4345477474362</v>
      </c>
      <c r="FI46">
        <v>854.84689655172417</v>
      </c>
      <c r="FJ46">
        <v>6197.64</v>
      </c>
      <c r="FK46">
        <v>68390.000000050408</v>
      </c>
      <c r="FM46">
        <v>45323</v>
      </c>
      <c r="FN46">
        <v>348273.05195284862</v>
      </c>
      <c r="FO46">
        <v>4243.1442282115122</v>
      </c>
      <c r="FP46">
        <v>17778.864392478139</v>
      </c>
      <c r="FQ46">
        <v>3523.5213793103449</v>
      </c>
      <c r="FR46">
        <v>25545.53</v>
      </c>
      <c r="FS46">
        <v>330494.18756037048</v>
      </c>
      <c r="FU46">
        <v>45337</v>
      </c>
      <c r="FV46">
        <v>188044.47505096372</v>
      </c>
      <c r="FW46">
        <v>4101.5287908447144</v>
      </c>
      <c r="FX46">
        <v>5124.6350022587349</v>
      </c>
      <c r="FY46">
        <v>1476.186206896552</v>
      </c>
      <c r="FZ46">
        <v>10702.35</v>
      </c>
      <c r="GA46">
        <v>182919.84004870499</v>
      </c>
      <c r="GC46">
        <v>45323</v>
      </c>
      <c r="GD46">
        <v>333657.50957338919</v>
      </c>
      <c r="GE46">
        <v>7157.1134626199519</v>
      </c>
      <c r="GF46">
        <v>7583.5503304834947</v>
      </c>
      <c r="GG46">
        <v>2358.5062068965517</v>
      </c>
      <c r="GH46">
        <v>17099.169999999998</v>
      </c>
      <c r="GI46">
        <v>326073.95924290572</v>
      </c>
      <c r="GK46">
        <v>45323</v>
      </c>
      <c r="GL46">
        <v>333657.50957339036</v>
      </c>
      <c r="GM46">
        <v>7157.1134626200046</v>
      </c>
      <c r="GN46">
        <v>7583.550330483441</v>
      </c>
      <c r="GO46">
        <v>2358.5062068965517</v>
      </c>
      <c r="GP46">
        <v>17099.169999999998</v>
      </c>
      <c r="GQ46">
        <v>326073.95924290695</v>
      </c>
      <c r="GS46">
        <v>45323</v>
      </c>
      <c r="GT46">
        <v>443597.46189096471</v>
      </c>
      <c r="GU46">
        <v>10281.420737700606</v>
      </c>
      <c r="GV46">
        <v>8023.7689174718062</v>
      </c>
      <c r="GW46">
        <v>2928.8303448275869</v>
      </c>
      <c r="GX46">
        <v>21234.02</v>
      </c>
      <c r="GY46">
        <v>435573.6929734929</v>
      </c>
      <c r="HA46">
        <v>45323</v>
      </c>
      <c r="HB46">
        <v>401482.6717518607</v>
      </c>
      <c r="HC46">
        <v>9480.4578723214072</v>
      </c>
      <c r="HD46">
        <v>6657.3093690579044</v>
      </c>
      <c r="HE46">
        <v>2582.0427586206906</v>
      </c>
      <c r="HF46">
        <v>18719.810000000001</v>
      </c>
      <c r="HG46">
        <v>394825.36238280282</v>
      </c>
      <c r="HI46">
        <v>45338</v>
      </c>
      <c r="HJ46">
        <v>356368.46602438658</v>
      </c>
      <c r="HK46">
        <v>9746.1498958890807</v>
      </c>
      <c r="HL46">
        <v>4637.2121730764375</v>
      </c>
      <c r="HM46">
        <v>2301.3379310344831</v>
      </c>
      <c r="HN46">
        <v>16684.7</v>
      </c>
      <c r="HO46">
        <v>351731.25385131012</v>
      </c>
      <c r="HQ46">
        <v>45324</v>
      </c>
      <c r="HR46">
        <v>230490.45660331269</v>
      </c>
      <c r="HS46">
        <v>6347.7332948317526</v>
      </c>
      <c r="HT46">
        <v>4374.4477396510047</v>
      </c>
      <c r="HU46">
        <v>1715.5489655172414</v>
      </c>
      <c r="HV46">
        <v>12437.73</v>
      </c>
      <c r="HW46">
        <v>226116.00886366167</v>
      </c>
      <c r="HY46">
        <v>45327</v>
      </c>
      <c r="HZ46">
        <v>320827.38973819674</v>
      </c>
      <c r="IA46">
        <v>3257.0934326286874</v>
      </c>
      <c r="IB46">
        <v>5463.2082915092433</v>
      </c>
      <c r="IC46">
        <v>1395.248275862069</v>
      </c>
      <c r="ID46">
        <v>10115.549999999999</v>
      </c>
      <c r="IE46">
        <v>315364.18144668749</v>
      </c>
      <c r="IG46">
        <v>45343</v>
      </c>
      <c r="IH46">
        <v>152367.37045113678</v>
      </c>
      <c r="II46">
        <v>5396.5596321544499</v>
      </c>
      <c r="IJ46">
        <v>11568.931747155892</v>
      </c>
      <c r="IK46">
        <v>2714.4786206896556</v>
      </c>
      <c r="IL46">
        <v>19679.97</v>
      </c>
      <c r="IM46">
        <v>140798.43870398088</v>
      </c>
      <c r="IO46">
        <v>45342</v>
      </c>
      <c r="IP46">
        <v>67097.566588269241</v>
      </c>
      <c r="IQ46">
        <v>1048.1294223993859</v>
      </c>
      <c r="IR46">
        <v>3920.8605776006129</v>
      </c>
      <c r="IS46">
        <v>795.03840000000002</v>
      </c>
      <c r="IT46">
        <v>5764.0283999999992</v>
      </c>
      <c r="IU46">
        <v>63176.706010668626</v>
      </c>
      <c r="IW46">
        <v>45325</v>
      </c>
      <c r="IX46">
        <v>179320.50632912375</v>
      </c>
      <c r="IY46">
        <v>2724.4543717476085</v>
      </c>
      <c r="IZ46">
        <v>8035.9256282523902</v>
      </c>
      <c r="JA46">
        <v>1721.6608000000001</v>
      </c>
      <c r="JB46">
        <v>12482.040800000001</v>
      </c>
      <c r="JC46">
        <v>171284.58070087139</v>
      </c>
      <c r="JE46">
        <v>45340</v>
      </c>
      <c r="JF46">
        <v>83001.587387611929</v>
      </c>
      <c r="JG46">
        <v>1338.9928087797102</v>
      </c>
      <c r="JH46">
        <v>3316.2471912202896</v>
      </c>
      <c r="JI46">
        <v>744.83839999999998</v>
      </c>
      <c r="JJ46">
        <v>5400.0783999999994</v>
      </c>
      <c r="JK46">
        <v>79685.34019639164</v>
      </c>
      <c r="JM46">
        <v>45329</v>
      </c>
      <c r="JN46">
        <v>93826.829931499786</v>
      </c>
      <c r="JO46">
        <v>1735.1302334669103</v>
      </c>
      <c r="JP46">
        <v>2871.9597665330898</v>
      </c>
      <c r="JQ46">
        <v>737.13440000000003</v>
      </c>
      <c r="JR46">
        <v>5344.2244000000001</v>
      </c>
      <c r="JS46">
        <v>90954.870164966691</v>
      </c>
      <c r="JU46">
        <v>45330</v>
      </c>
      <c r="JV46">
        <v>89699.640465631121</v>
      </c>
      <c r="JW46">
        <v>1638.6869935132947</v>
      </c>
      <c r="JX46">
        <v>2391.4530064867049</v>
      </c>
      <c r="JY46">
        <v>644.82240000000002</v>
      </c>
      <c r="JZ46">
        <v>4674.9623999999994</v>
      </c>
      <c r="KA46">
        <v>87308.187459144421</v>
      </c>
      <c r="KC46" s="3">
        <v>45324</v>
      </c>
      <c r="KD46" s="9">
        <v>4207646.5859582163</v>
      </c>
      <c r="KE46" s="9">
        <v>87588.465872685294</v>
      </c>
      <c r="KF46" s="9">
        <v>123625.81378248708</v>
      </c>
      <c r="KG46" s="9">
        <v>0</v>
      </c>
      <c r="KH46" s="9">
        <v>33794.284744827593</v>
      </c>
      <c r="KI46" s="9">
        <v>245008.5644</v>
      </c>
      <c r="KJ46" s="9">
        <v>4084020.7721757279</v>
      </c>
      <c r="KL46" t="s">
        <v>1267</v>
      </c>
      <c r="KM46">
        <v>0</v>
      </c>
      <c r="KN46" t="s">
        <v>1264</v>
      </c>
      <c r="KO46" t="s">
        <v>1268</v>
      </c>
      <c r="KP46">
        <v>48618.48</v>
      </c>
      <c r="KQ46" t="s">
        <v>1269</v>
      </c>
    </row>
    <row r="47" spans="1:303" x14ac:dyDescent="0.3">
      <c r="A47">
        <v>45366</v>
      </c>
      <c r="B47">
        <v>345705.77586206899</v>
      </c>
      <c r="C47">
        <v>0</v>
      </c>
      <c r="D47">
        <v>0</v>
      </c>
      <c r="E47">
        <v>0</v>
      </c>
      <c r="F47">
        <v>0</v>
      </c>
      <c r="G47">
        <v>0</v>
      </c>
      <c r="H47">
        <v>345705.77586206899</v>
      </c>
      <c r="J47">
        <v>45366</v>
      </c>
      <c r="K47">
        <v>434176.92758620693</v>
      </c>
      <c r="L47">
        <v>0</v>
      </c>
      <c r="M47">
        <v>0</v>
      </c>
      <c r="N47">
        <v>0</v>
      </c>
      <c r="O47">
        <v>0</v>
      </c>
      <c r="P47">
        <v>0</v>
      </c>
      <c r="Q47">
        <v>434176.92758620693</v>
      </c>
      <c r="S47">
        <v>45366</v>
      </c>
      <c r="T47">
        <v>174090.03965517241</v>
      </c>
      <c r="U47">
        <v>0</v>
      </c>
      <c r="V47">
        <v>0</v>
      </c>
      <c r="W47">
        <v>0</v>
      </c>
      <c r="X47">
        <v>0</v>
      </c>
      <c r="Y47">
        <v>0</v>
      </c>
      <c r="Z47">
        <v>174090.03965517241</v>
      </c>
      <c r="AB47">
        <v>45366</v>
      </c>
      <c r="AC47">
        <v>2939804.9137931038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2939804.9137931038</v>
      </c>
      <c r="AK47">
        <v>45366</v>
      </c>
      <c r="AL47">
        <v>1628399.3189655172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1628399.3189655172</v>
      </c>
      <c r="AT47">
        <v>45366</v>
      </c>
      <c r="AU47">
        <v>1476541.3965517243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1476541.3965517243</v>
      </c>
      <c r="BC47">
        <v>45366</v>
      </c>
      <c r="BD47">
        <v>667912.9051724138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667912.9051724138</v>
      </c>
      <c r="BL47">
        <v>45366</v>
      </c>
      <c r="BM47">
        <v>1324381.8362068967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1324381.8362068967</v>
      </c>
      <c r="BU47">
        <v>45366</v>
      </c>
      <c r="BV47">
        <v>2782745.2241379311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2782745.2241379311</v>
      </c>
      <c r="CD47">
        <v>45366</v>
      </c>
      <c r="CE47">
        <v>181894.78103448276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181894.78103448276</v>
      </c>
      <c r="CM47">
        <v>45366</v>
      </c>
      <c r="CN47">
        <v>340914.10000000003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340914.10000000003</v>
      </c>
      <c r="CV47">
        <v>45366</v>
      </c>
      <c r="CW47">
        <v>202560.93103448275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202560.93103448275</v>
      </c>
      <c r="DE47">
        <v>45366</v>
      </c>
      <c r="DF47">
        <v>176015.1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176015.1</v>
      </c>
      <c r="DN47">
        <v>45366</v>
      </c>
      <c r="DO47">
        <v>162240.46206896554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162240.46206896554</v>
      </c>
      <c r="DW47">
        <v>45366</v>
      </c>
      <c r="DX47">
        <v>782896.94652253983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782896.94652253983</v>
      </c>
      <c r="EF47">
        <v>45366</v>
      </c>
      <c r="EG47">
        <v>1251664.2586206901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1251664.2586206901</v>
      </c>
      <c r="EO47">
        <v>45366</v>
      </c>
      <c r="EP47">
        <v>424860.2033268059</v>
      </c>
      <c r="EQ47">
        <v>8652.9131212741122</v>
      </c>
      <c r="ER47">
        <v>16890.147223553475</v>
      </c>
      <c r="ES47">
        <v>4086.8896551724142</v>
      </c>
      <c r="ET47">
        <v>29629.95</v>
      </c>
      <c r="EU47">
        <v>407970.05610325246</v>
      </c>
      <c r="EX47">
        <v>68390.000000006185</v>
      </c>
      <c r="EY47">
        <v>0</v>
      </c>
      <c r="EZ47">
        <v>68390.000000006185</v>
      </c>
      <c r="FA47">
        <v>0</v>
      </c>
      <c r="FB47">
        <v>79332.400000007168</v>
      </c>
      <c r="FC47">
        <v>0</v>
      </c>
      <c r="FF47">
        <v>68390.000000050408</v>
      </c>
      <c r="FG47">
        <v>0</v>
      </c>
      <c r="FH47">
        <v>68390.000000050408</v>
      </c>
      <c r="FI47">
        <v>0</v>
      </c>
      <c r="FJ47">
        <v>79332.400000058464</v>
      </c>
      <c r="FK47">
        <v>0</v>
      </c>
      <c r="FM47">
        <v>45352</v>
      </c>
      <c r="FN47">
        <v>330494.18756037048</v>
      </c>
      <c r="FO47">
        <v>4026.537501368598</v>
      </c>
      <c r="FP47">
        <v>17995.471119321053</v>
      </c>
      <c r="FQ47">
        <v>3523.5213793103449</v>
      </c>
      <c r="FR47">
        <v>25545.53</v>
      </c>
      <c r="FS47">
        <v>312498.71644104942</v>
      </c>
      <c r="FU47">
        <v>45366</v>
      </c>
      <c r="FV47">
        <v>182919.84004870499</v>
      </c>
      <c r="FW47">
        <v>3989.7529037911954</v>
      </c>
      <c r="FX47">
        <v>5236.4108893122539</v>
      </c>
      <c r="FY47">
        <v>1476.186206896552</v>
      </c>
      <c r="FZ47">
        <v>10702.35</v>
      </c>
      <c r="GA47">
        <v>177683.42915939275</v>
      </c>
      <c r="GC47">
        <v>45352</v>
      </c>
      <c r="GD47">
        <v>326073.95924290572</v>
      </c>
      <c r="GE47">
        <v>6994.4426741394036</v>
      </c>
      <c r="GF47">
        <v>7746.221118964042</v>
      </c>
      <c r="GG47">
        <v>2358.5062068965517</v>
      </c>
      <c r="GH47">
        <v>17099.169999999998</v>
      </c>
      <c r="GI47">
        <v>318327.7381239417</v>
      </c>
      <c r="GK47">
        <v>45352</v>
      </c>
      <c r="GL47">
        <v>326073.95924290695</v>
      </c>
      <c r="GM47">
        <v>6994.4426741394573</v>
      </c>
      <c r="GN47">
        <v>7746.2211189639884</v>
      </c>
      <c r="GO47">
        <v>2358.5062068965517</v>
      </c>
      <c r="GP47">
        <v>17099.169999999998</v>
      </c>
      <c r="GQ47">
        <v>318327.73812394298</v>
      </c>
      <c r="GS47">
        <v>45352</v>
      </c>
      <c r="GT47">
        <v>435573.6929734929</v>
      </c>
      <c r="GU47">
        <v>10095.450908678256</v>
      </c>
      <c r="GV47">
        <v>8209.7387464941585</v>
      </c>
      <c r="GW47">
        <v>2928.8303448275869</v>
      </c>
      <c r="GX47">
        <v>21234.02</v>
      </c>
      <c r="GY47">
        <v>427363.95422699873</v>
      </c>
      <c r="HA47">
        <v>45352</v>
      </c>
      <c r="HB47">
        <v>394825.36238280282</v>
      </c>
      <c r="HC47">
        <v>9323.2547214582191</v>
      </c>
      <c r="HD47">
        <v>6814.5125199210925</v>
      </c>
      <c r="HE47">
        <v>2582.0427586206906</v>
      </c>
      <c r="HF47">
        <v>18719.810000000001</v>
      </c>
      <c r="HG47">
        <v>388010.8498628817</v>
      </c>
      <c r="HI47">
        <v>45367</v>
      </c>
      <c r="HJ47">
        <v>351731.25385131012</v>
      </c>
      <c r="HK47">
        <v>9619.3290089513685</v>
      </c>
      <c r="HL47">
        <v>4764.0330600141497</v>
      </c>
      <c r="HM47">
        <v>2301.3379310344831</v>
      </c>
      <c r="HN47">
        <v>16684.7</v>
      </c>
      <c r="HO47">
        <v>346967.22079129599</v>
      </c>
      <c r="HQ47">
        <v>45353</v>
      </c>
      <c r="HR47">
        <v>226116.00886366167</v>
      </c>
      <c r="HS47">
        <v>6227.2605083542012</v>
      </c>
      <c r="HT47">
        <v>4494.920526128556</v>
      </c>
      <c r="HU47">
        <v>1715.5489655172414</v>
      </c>
      <c r="HV47">
        <v>12437.73</v>
      </c>
      <c r="HW47">
        <v>221621.08833753312</v>
      </c>
      <c r="HY47">
        <v>45356</v>
      </c>
      <c r="HZ47">
        <v>315364.18144668749</v>
      </c>
      <c r="IA47">
        <v>3201.6300263968255</v>
      </c>
      <c r="IB47">
        <v>5518.6716977411052</v>
      </c>
      <c r="IC47">
        <v>1395.248275862069</v>
      </c>
      <c r="ID47">
        <v>10115.549999999999</v>
      </c>
      <c r="IE47">
        <v>309845.50974894641</v>
      </c>
      <c r="IG47">
        <v>45372</v>
      </c>
      <c r="IH47">
        <v>140798.43870398088</v>
      </c>
      <c r="II47">
        <v>4986.8102883874835</v>
      </c>
      <c r="IJ47">
        <v>11978.681090922861</v>
      </c>
      <c r="IK47">
        <v>2714.4786206896556</v>
      </c>
      <c r="IL47">
        <v>19679.97</v>
      </c>
      <c r="IM47">
        <v>128819.757613058</v>
      </c>
      <c r="IO47">
        <v>45371</v>
      </c>
      <c r="IP47">
        <v>63176.706010668626</v>
      </c>
      <c r="IQ47">
        <v>986.88175662744209</v>
      </c>
      <c r="IR47">
        <v>3982.1082433725569</v>
      </c>
      <c r="IS47">
        <v>795.03840000000002</v>
      </c>
      <c r="IT47">
        <v>5764.0283999999992</v>
      </c>
      <c r="IU47">
        <v>59194.597767296073</v>
      </c>
      <c r="IW47">
        <v>45354</v>
      </c>
      <c r="IX47">
        <v>171284.58070087139</v>
      </c>
      <c r="IY47">
        <v>2602.3628544018588</v>
      </c>
      <c r="IZ47">
        <v>8158.017145598139</v>
      </c>
      <c r="JA47">
        <v>1721.6608000000001</v>
      </c>
      <c r="JB47">
        <v>12482.040800000001</v>
      </c>
      <c r="JC47">
        <v>163126.56355527326</v>
      </c>
      <c r="JE47">
        <v>45369</v>
      </c>
      <c r="JF47">
        <v>79685.34019639164</v>
      </c>
      <c r="JG47">
        <v>1285.4946615642436</v>
      </c>
      <c r="JH47">
        <v>3369.7453384357559</v>
      </c>
      <c r="JI47">
        <v>744.83839999999998</v>
      </c>
      <c r="JJ47">
        <v>5400.0783999999994</v>
      </c>
      <c r="JK47">
        <v>76315.59485795589</v>
      </c>
      <c r="JM47">
        <v>45358</v>
      </c>
      <c r="JN47">
        <v>90954.870164966691</v>
      </c>
      <c r="JO47">
        <v>1682.0193671629945</v>
      </c>
      <c r="JP47">
        <v>2925.0706328370056</v>
      </c>
      <c r="JQ47">
        <v>737.13440000000003</v>
      </c>
      <c r="JR47">
        <v>5344.2244000000001</v>
      </c>
      <c r="JS47">
        <v>88029.799532129691</v>
      </c>
      <c r="JU47">
        <v>45359</v>
      </c>
      <c r="JV47">
        <v>87308.187459144421</v>
      </c>
      <c r="JW47">
        <v>1594.9984913410976</v>
      </c>
      <c r="JX47">
        <v>2435.1415086589018</v>
      </c>
      <c r="JY47">
        <v>644.82240000000002</v>
      </c>
      <c r="JZ47">
        <v>4674.9623999999994</v>
      </c>
      <c r="KA47">
        <v>84873.045950485524</v>
      </c>
      <c r="KC47" s="3">
        <v>45353</v>
      </c>
      <c r="KD47" s="9">
        <v>18955965.689387929</v>
      </c>
      <c r="KE47" s="9">
        <v>82263.581468036762</v>
      </c>
      <c r="KF47" s="9">
        <v>255045.11198029577</v>
      </c>
      <c r="KG47" s="9">
        <v>0</v>
      </c>
      <c r="KH47" s="9">
        <v>32084.590951724145</v>
      </c>
      <c r="KI47" s="9">
        <v>391278.08440006571</v>
      </c>
      <c r="KJ47" s="9">
        <v>18700920.577407639</v>
      </c>
      <c r="KL47" t="s">
        <v>1270</v>
      </c>
      <c r="KM47">
        <v>0.26</v>
      </c>
      <c r="KN47">
        <v>2.1666666666666667E-2</v>
      </c>
      <c r="KO47" t="s">
        <v>1271</v>
      </c>
      <c r="KP47">
        <v>26488.025862068967</v>
      </c>
      <c r="KQ47" t="s">
        <v>1264</v>
      </c>
    </row>
    <row r="48" spans="1:303" x14ac:dyDescent="0.3">
      <c r="A48">
        <v>45397</v>
      </c>
      <c r="B48">
        <v>345705.77586206899</v>
      </c>
      <c r="C48">
        <v>0</v>
      </c>
      <c r="D48">
        <v>0</v>
      </c>
      <c r="E48">
        <v>0</v>
      </c>
      <c r="F48">
        <v>0</v>
      </c>
      <c r="G48">
        <v>0</v>
      </c>
      <c r="H48">
        <v>345705.77586206899</v>
      </c>
      <c r="J48">
        <v>45397</v>
      </c>
      <c r="K48">
        <v>434176.92758620693</v>
      </c>
      <c r="L48">
        <v>0</v>
      </c>
      <c r="M48">
        <v>0</v>
      </c>
      <c r="N48">
        <v>0</v>
      </c>
      <c r="O48">
        <v>0</v>
      </c>
      <c r="P48">
        <v>0</v>
      </c>
      <c r="Q48">
        <v>434176.92758620693</v>
      </c>
      <c r="S48">
        <v>45397</v>
      </c>
      <c r="T48">
        <v>174090.03965517241</v>
      </c>
      <c r="U48">
        <v>0</v>
      </c>
      <c r="V48">
        <v>0</v>
      </c>
      <c r="W48">
        <v>0</v>
      </c>
      <c r="X48">
        <v>0</v>
      </c>
      <c r="Y48">
        <v>0</v>
      </c>
      <c r="Z48">
        <v>174090.03965517241</v>
      </c>
      <c r="AB48">
        <v>45397</v>
      </c>
      <c r="AC48">
        <v>2939804.9137931038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2939804.9137931038</v>
      </c>
      <c r="AK48">
        <v>45397</v>
      </c>
      <c r="AL48">
        <v>1628399.3189655172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1628399.3189655172</v>
      </c>
      <c r="AT48">
        <v>45397</v>
      </c>
      <c r="AU48">
        <v>1476541.3965517243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1476541.3965517243</v>
      </c>
      <c r="BC48">
        <v>45397</v>
      </c>
      <c r="BD48">
        <v>667912.9051724138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667912.9051724138</v>
      </c>
      <c r="BL48">
        <v>45397</v>
      </c>
      <c r="BM48">
        <v>1324381.8362068967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1324381.8362068967</v>
      </c>
      <c r="BU48">
        <v>45397</v>
      </c>
      <c r="BV48">
        <v>2782745.2241379311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2782745.2241379311</v>
      </c>
      <c r="CD48">
        <v>45397</v>
      </c>
      <c r="CE48">
        <v>181894.78103448276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181894.78103448276</v>
      </c>
      <c r="CM48">
        <v>45397</v>
      </c>
      <c r="CN48">
        <v>340914.10000000003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340914.10000000003</v>
      </c>
      <c r="CV48">
        <v>45397</v>
      </c>
      <c r="CW48">
        <v>202560.93103448275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202560.93103448275</v>
      </c>
      <c r="DE48">
        <v>45397</v>
      </c>
      <c r="DF48">
        <v>176015.1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176015.1</v>
      </c>
      <c r="DN48">
        <v>45397</v>
      </c>
      <c r="DO48">
        <v>162240.46206896554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162240.46206896554</v>
      </c>
      <c r="DW48">
        <v>45397</v>
      </c>
      <c r="DX48">
        <v>782896.94652253983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782896.94652253983</v>
      </c>
      <c r="EF48">
        <v>45397</v>
      </c>
      <c r="EG48">
        <v>1251664.2586206901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1251664.2586206901</v>
      </c>
      <c r="EO48">
        <v>45397</v>
      </c>
      <c r="EP48">
        <v>407970.05610325246</v>
      </c>
      <c r="EQ48">
        <v>8308.9200256945805</v>
      </c>
      <c r="ER48">
        <v>17234.140319133006</v>
      </c>
      <c r="ES48">
        <v>4086.8896551724142</v>
      </c>
      <c r="ET48">
        <v>29629.95</v>
      </c>
      <c r="EU48">
        <v>390735.91578411945</v>
      </c>
      <c r="FM48">
        <v>45383</v>
      </c>
      <c r="FN48">
        <v>312498.71644104942</v>
      </c>
      <c r="FO48">
        <v>3807.2917716581296</v>
      </c>
      <c r="FP48">
        <v>18214.716849031523</v>
      </c>
      <c r="FQ48">
        <v>3523.5213793103449</v>
      </c>
      <c r="FR48">
        <v>25545.53</v>
      </c>
      <c r="FS48">
        <v>294283.99959201791</v>
      </c>
      <c r="FU48">
        <v>45397</v>
      </c>
      <c r="FV48">
        <v>177683.42915939275</v>
      </c>
      <c r="FW48">
        <v>3875.539018924936</v>
      </c>
      <c r="FX48">
        <v>5350.6247741785137</v>
      </c>
      <c r="FY48">
        <v>1476.186206896552</v>
      </c>
      <c r="FZ48">
        <v>10702.35</v>
      </c>
      <c r="GA48">
        <v>172332.80438521423</v>
      </c>
      <c r="GC48">
        <v>45383</v>
      </c>
      <c r="GD48">
        <v>318327.7381239417</v>
      </c>
      <c r="GE48">
        <v>6828.2825192972305</v>
      </c>
      <c r="GF48">
        <v>7912.3812738062143</v>
      </c>
      <c r="GG48">
        <v>2358.5062068965517</v>
      </c>
      <c r="GH48">
        <v>17099.169999999998</v>
      </c>
      <c r="GI48">
        <v>310415.35685013549</v>
      </c>
      <c r="GK48">
        <v>45383</v>
      </c>
      <c r="GL48">
        <v>318327.73812394298</v>
      </c>
      <c r="GM48">
        <v>6828.2825192972841</v>
      </c>
      <c r="GN48">
        <v>7912.3812738061615</v>
      </c>
      <c r="GO48">
        <v>2358.5062068965517</v>
      </c>
      <c r="GP48">
        <v>17099.169999999998</v>
      </c>
      <c r="GQ48">
        <v>310415.35685013683</v>
      </c>
      <c r="GS48">
        <v>45383</v>
      </c>
      <c r="GT48">
        <v>427363.95422699873</v>
      </c>
      <c r="GU48">
        <v>9905.1707888608489</v>
      </c>
      <c r="GV48">
        <v>8400.0188663115641</v>
      </c>
      <c r="GW48">
        <v>2928.8303448275869</v>
      </c>
      <c r="GX48">
        <v>21234.02</v>
      </c>
      <c r="GY48">
        <v>418963.93536068714</v>
      </c>
      <c r="HA48">
        <v>45383</v>
      </c>
      <c r="HB48">
        <v>388010.8498628817</v>
      </c>
      <c r="HC48">
        <v>9162.3394356661374</v>
      </c>
      <c r="HD48">
        <v>6975.4278057131742</v>
      </c>
      <c r="HE48">
        <v>2582.0427586206906</v>
      </c>
      <c r="HF48">
        <v>18719.810000000001</v>
      </c>
      <c r="HG48">
        <v>381035.42205716856</v>
      </c>
      <c r="HI48">
        <v>45398</v>
      </c>
      <c r="HJ48">
        <v>346967.22079129599</v>
      </c>
      <c r="HK48">
        <v>9489.0397585307328</v>
      </c>
      <c r="HL48">
        <v>4894.3223104347853</v>
      </c>
      <c r="HM48">
        <v>2301.3379310344831</v>
      </c>
      <c r="HN48">
        <v>16684.7</v>
      </c>
      <c r="HO48">
        <v>342072.89848086121</v>
      </c>
      <c r="HQ48">
        <v>45384</v>
      </c>
      <c r="HR48">
        <v>221621.08833753312</v>
      </c>
      <c r="HS48">
        <v>6103.4698876846651</v>
      </c>
      <c r="HT48">
        <v>4618.7111467980922</v>
      </c>
      <c r="HU48">
        <v>1715.5489655172414</v>
      </c>
      <c r="HV48">
        <v>12437.73</v>
      </c>
      <c r="HW48">
        <v>217002.37719073505</v>
      </c>
      <c r="HY48">
        <v>45387</v>
      </c>
      <c r="HZ48">
        <v>309845.50974894641</v>
      </c>
      <c r="IA48">
        <v>3145.6035463690009</v>
      </c>
      <c r="IB48">
        <v>5574.6981777689307</v>
      </c>
      <c r="IC48">
        <v>1395.248275862069</v>
      </c>
      <c r="ID48">
        <v>10115.549999999999</v>
      </c>
      <c r="IE48">
        <v>304270.8115711775</v>
      </c>
      <c r="IG48">
        <v>45403</v>
      </c>
      <c r="IH48">
        <v>128819.757613058</v>
      </c>
      <c r="II48">
        <v>4562.5484098085853</v>
      </c>
      <c r="IJ48">
        <v>12402.942969501761</v>
      </c>
      <c r="IK48">
        <v>2714.4786206896556</v>
      </c>
      <c r="IL48">
        <v>19679.97</v>
      </c>
      <c r="IM48">
        <v>116416.81464355624</v>
      </c>
      <c r="IO48">
        <v>45402</v>
      </c>
      <c r="IP48">
        <v>59194.597767296073</v>
      </c>
      <c r="IQ48">
        <v>924.67734258856387</v>
      </c>
      <c r="IR48">
        <v>4044.3126574114353</v>
      </c>
      <c r="IS48">
        <v>795.03840000000002</v>
      </c>
      <c r="IT48">
        <v>5764.0283999999992</v>
      </c>
      <c r="IU48">
        <v>55150.285109884637</v>
      </c>
      <c r="IW48">
        <v>45385</v>
      </c>
      <c r="IX48">
        <v>163126.56355527326</v>
      </c>
      <c r="IY48">
        <v>2478.4163748156197</v>
      </c>
      <c r="IZ48">
        <v>8281.9636251843804</v>
      </c>
      <c r="JA48">
        <v>1721.6608000000001</v>
      </c>
      <c r="JB48">
        <v>12482.040800000001</v>
      </c>
      <c r="JC48">
        <v>154844.59993008888</v>
      </c>
      <c r="JE48">
        <v>45400</v>
      </c>
      <c r="JF48">
        <v>76315.59485795589</v>
      </c>
      <c r="JG48">
        <v>1231.133475018336</v>
      </c>
      <c r="JH48">
        <v>3424.1065249816638</v>
      </c>
      <c r="JI48">
        <v>744.83839999999998</v>
      </c>
      <c r="JJ48">
        <v>5400.0783999999994</v>
      </c>
      <c r="JK48">
        <v>72891.48833297423</v>
      </c>
      <c r="JM48">
        <v>45389</v>
      </c>
      <c r="JN48">
        <v>88029.799532129691</v>
      </c>
      <c r="JO48">
        <v>1627.9263268911759</v>
      </c>
      <c r="JP48">
        <v>2979.1636731088238</v>
      </c>
      <c r="JQ48">
        <v>737.13440000000003</v>
      </c>
      <c r="JR48">
        <v>5344.2244000000001</v>
      </c>
      <c r="JS48">
        <v>85050.635859020869</v>
      </c>
      <c r="JU48">
        <v>45390</v>
      </c>
      <c r="JV48">
        <v>84873.045950485524</v>
      </c>
      <c r="JW48">
        <v>1550.5118613291008</v>
      </c>
      <c r="JX48">
        <v>2479.6281386708988</v>
      </c>
      <c r="JY48">
        <v>644.82240000000002</v>
      </c>
      <c r="JZ48">
        <v>4674.9623999999994</v>
      </c>
      <c r="KA48">
        <v>82393.417811814623</v>
      </c>
      <c r="KC48" s="3">
        <v>45384</v>
      </c>
      <c r="KD48" s="9">
        <v>18700920.577407639</v>
      </c>
      <c r="KE48" s="9">
        <v>79829.153062434911</v>
      </c>
      <c r="KF48" s="9">
        <v>120699.54038584093</v>
      </c>
      <c r="KG48" s="9">
        <v>0</v>
      </c>
      <c r="KH48" s="9">
        <v>32084.590951724145</v>
      </c>
      <c r="KI48" s="9">
        <v>232613.2844</v>
      </c>
      <c r="KJ48" s="9">
        <v>18580221.03702179</v>
      </c>
    </row>
    <row r="49" spans="1:304" x14ac:dyDescent="0.3">
      <c r="A49">
        <v>45427</v>
      </c>
      <c r="B49">
        <v>345705.77586206899</v>
      </c>
      <c r="C49">
        <v>7490.2918103448292</v>
      </c>
      <c r="D49">
        <v>4681.2943965517243</v>
      </c>
      <c r="E49">
        <v>1878.1982758620693</v>
      </c>
      <c r="F49">
        <v>1947.4537931034488</v>
      </c>
      <c r="G49">
        <v>14119.04</v>
      </c>
      <c r="H49">
        <v>342902.67974137934</v>
      </c>
      <c r="J49">
        <v>45427</v>
      </c>
      <c r="K49">
        <v>434176.92758620693</v>
      </c>
      <c r="L49">
        <v>9407.1667643678174</v>
      </c>
      <c r="M49">
        <v>7110.505649425284</v>
      </c>
      <c r="N49">
        <v>4149.3017241379312</v>
      </c>
      <c r="O49">
        <v>2642.8275862068972</v>
      </c>
      <c r="P49">
        <v>19160.5</v>
      </c>
      <c r="Q49">
        <v>431215.72366091958</v>
      </c>
      <c r="S49">
        <v>45427</v>
      </c>
      <c r="T49">
        <v>174090.03965517241</v>
      </c>
      <c r="U49">
        <v>3771.9508591954022</v>
      </c>
      <c r="V49">
        <v>4053.4198304597694</v>
      </c>
      <c r="W49">
        <v>2856.7844827586209</v>
      </c>
      <c r="X49">
        <v>1252.0593103448275</v>
      </c>
      <c r="Y49">
        <v>9077.43</v>
      </c>
      <c r="Z49">
        <v>172893.40430747124</v>
      </c>
      <c r="AB49">
        <v>45427</v>
      </c>
      <c r="AC49">
        <v>2939804.9137931038</v>
      </c>
      <c r="AD49">
        <v>63695.773132183916</v>
      </c>
      <c r="AE49">
        <v>28533.407902298852</v>
      </c>
      <c r="AF49">
        <v>4696.508620689664</v>
      </c>
      <c r="AG49">
        <v>14756.668965517243</v>
      </c>
      <c r="AH49">
        <v>106985.85</v>
      </c>
      <c r="AI49">
        <v>2915968.0145114944</v>
      </c>
      <c r="AK49">
        <v>45427</v>
      </c>
      <c r="AL49">
        <v>1628399.3189655172</v>
      </c>
      <c r="AM49">
        <v>35281.985244252872</v>
      </c>
      <c r="AN49">
        <v>13204.876824712645</v>
      </c>
      <c r="AO49">
        <v>0</v>
      </c>
      <c r="AP49">
        <v>7757.8979310344848</v>
      </c>
      <c r="AQ49">
        <v>56244.76</v>
      </c>
      <c r="AR49">
        <v>1615194.4421408046</v>
      </c>
      <c r="AT49">
        <v>45427</v>
      </c>
      <c r="AU49">
        <v>1476541.3965517243</v>
      </c>
      <c r="AV49">
        <v>31991.730258620693</v>
      </c>
      <c r="AW49">
        <v>14893.29560344827</v>
      </c>
      <c r="AX49">
        <v>2921.0172413793107</v>
      </c>
      <c r="AY49">
        <v>7501.6041379310354</v>
      </c>
      <c r="AZ49">
        <v>54386.63</v>
      </c>
      <c r="BA49">
        <v>1464569.1181896552</v>
      </c>
      <c r="BC49">
        <v>45427</v>
      </c>
      <c r="BD49">
        <v>667912.9051724138</v>
      </c>
      <c r="BE49">
        <v>14471.446278735631</v>
      </c>
      <c r="BF49">
        <v>6826.7347557471239</v>
      </c>
      <c r="BG49">
        <v>1411.0775862068965</v>
      </c>
      <c r="BH49">
        <v>3407.7089655172417</v>
      </c>
      <c r="BI49">
        <v>24705.89</v>
      </c>
      <c r="BJ49">
        <v>662497.2480028735</v>
      </c>
      <c r="BL49">
        <v>45427</v>
      </c>
      <c r="BM49">
        <v>1324381.8362068967</v>
      </c>
      <c r="BN49">
        <v>28694.939784482762</v>
      </c>
      <c r="BO49">
        <v>13217.542974137934</v>
      </c>
      <c r="BP49">
        <v>2479.0258620689742</v>
      </c>
      <c r="BQ49">
        <v>6705.9972413793112</v>
      </c>
      <c r="BR49">
        <v>48618.48</v>
      </c>
      <c r="BS49">
        <v>1313643.3190948276</v>
      </c>
      <c r="BU49">
        <v>45427</v>
      </c>
      <c r="BV49">
        <v>2782745.2241379311</v>
      </c>
      <c r="BW49">
        <v>60292.813189655179</v>
      </c>
      <c r="BX49">
        <v>27710.221293103445</v>
      </c>
      <c r="BY49">
        <v>5146.8793103448279</v>
      </c>
      <c r="BZ49">
        <v>14080.485517241381</v>
      </c>
      <c r="CA49">
        <v>102083.52</v>
      </c>
      <c r="CB49">
        <v>2760181.8821551725</v>
      </c>
      <c r="CD49">
        <v>45427</v>
      </c>
      <c r="CE49">
        <v>181894.78103448276</v>
      </c>
      <c r="CF49">
        <v>3941.0535890804599</v>
      </c>
      <c r="CG49">
        <v>1249.5929626436778</v>
      </c>
      <c r="CH49">
        <v>0</v>
      </c>
      <c r="CI49">
        <v>830.50344827586218</v>
      </c>
      <c r="CJ49">
        <v>6021.15</v>
      </c>
      <c r="CK49">
        <v>180645.18807183907</v>
      </c>
      <c r="CM49">
        <v>45427</v>
      </c>
      <c r="CN49">
        <v>340914.10000000003</v>
      </c>
      <c r="CO49">
        <v>7386.4721666666674</v>
      </c>
      <c r="CP49">
        <v>2328.4674885057457</v>
      </c>
      <c r="CQ49">
        <v>0</v>
      </c>
      <c r="CR49">
        <v>1554.3903448275864</v>
      </c>
      <c r="CS49">
        <v>11269.33</v>
      </c>
      <c r="CT49">
        <v>338585.63251149427</v>
      </c>
      <c r="CV49">
        <v>45427</v>
      </c>
      <c r="CW49">
        <v>202560.93103448275</v>
      </c>
      <c r="CX49">
        <v>4388.8201724137934</v>
      </c>
      <c r="CY49">
        <v>1465.7229310344828</v>
      </c>
      <c r="CZ49">
        <v>0</v>
      </c>
      <c r="DA49">
        <v>936.72689655172417</v>
      </c>
      <c r="DB49">
        <v>6791.27</v>
      </c>
      <c r="DC49">
        <v>201095.20810344827</v>
      </c>
      <c r="DE49">
        <v>45427</v>
      </c>
      <c r="DF49">
        <v>176015.1</v>
      </c>
      <c r="DG49">
        <v>3813.6605</v>
      </c>
      <c r="DH49">
        <v>1209.7015689655168</v>
      </c>
      <c r="DI49">
        <v>0</v>
      </c>
      <c r="DJ49">
        <v>803.73793103448293</v>
      </c>
      <c r="DK49">
        <v>5827.1</v>
      </c>
      <c r="DL49">
        <v>174805.3984310345</v>
      </c>
      <c r="DN49">
        <v>45427</v>
      </c>
      <c r="DO49">
        <v>162240.46206896554</v>
      </c>
      <c r="DP49">
        <v>3515.2100114942536</v>
      </c>
      <c r="DQ49">
        <v>1116.2468850574701</v>
      </c>
      <c r="DR49">
        <v>0</v>
      </c>
      <c r="DS49">
        <v>741.03310344827605</v>
      </c>
      <c r="DT49">
        <v>5372.49</v>
      </c>
      <c r="DU49">
        <v>161124.21518390806</v>
      </c>
      <c r="DW49">
        <v>45427</v>
      </c>
      <c r="DX49">
        <v>782896.94652253983</v>
      </c>
      <c r="DY49">
        <v>16962.76717465503</v>
      </c>
      <c r="DZ49">
        <v>6963.077652931177</v>
      </c>
      <c r="EA49">
        <v>613.81034482758366</v>
      </c>
      <c r="EB49">
        <v>3828.1351724137935</v>
      </c>
      <c r="EC49">
        <v>27753.98</v>
      </c>
      <c r="ED49">
        <v>776547.67921443621</v>
      </c>
      <c r="EF49">
        <v>45427</v>
      </c>
      <c r="EG49">
        <v>1251664.2586206901</v>
      </c>
      <c r="EH49">
        <v>27119.392270114949</v>
      </c>
      <c r="EI49">
        <v>12494.918074712636</v>
      </c>
      <c r="EJ49">
        <v>2346.0086206896553</v>
      </c>
      <c r="EK49">
        <v>6338.2896551724143</v>
      </c>
      <c r="EL49">
        <v>45952.6</v>
      </c>
      <c r="EM49">
        <v>1241515.3491666669</v>
      </c>
      <c r="EN49">
        <v>1231146.5466744734</v>
      </c>
      <c r="EO49">
        <v>45427</v>
      </c>
      <c r="EP49">
        <v>390735.91578411945</v>
      </c>
      <c r="EQ49">
        <v>7957.9209965231039</v>
      </c>
      <c r="ER49">
        <v>17585.139348304481</v>
      </c>
      <c r="ES49">
        <v>4086.8896551724142</v>
      </c>
      <c r="ET49">
        <v>29629.95</v>
      </c>
      <c r="EU49">
        <v>373150.77643581497</v>
      </c>
      <c r="FM49">
        <v>45413</v>
      </c>
      <c r="FN49">
        <v>294283.99959201791</v>
      </c>
      <c r="FO49">
        <v>3585.3748870955578</v>
      </c>
      <c r="FP49">
        <v>18436.633733594095</v>
      </c>
      <c r="FQ49">
        <v>3523.5213793103449</v>
      </c>
      <c r="FR49">
        <v>25545.53</v>
      </c>
      <c r="FS49">
        <v>275847.36585842381</v>
      </c>
      <c r="FU49">
        <v>45427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C49">
        <v>45413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K49">
        <v>45413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S49">
        <v>45413</v>
      </c>
      <c r="GT49">
        <v>418963.93536068714</v>
      </c>
      <c r="GU49">
        <v>9710.4804770610026</v>
      </c>
      <c r="GV49">
        <v>8594.7091781114104</v>
      </c>
      <c r="GW49">
        <v>2928.8303448275869</v>
      </c>
      <c r="GX49">
        <v>21234.02</v>
      </c>
      <c r="GY49">
        <v>410369.22618257575</v>
      </c>
      <c r="HA49">
        <v>45413</v>
      </c>
      <c r="HB49">
        <v>381035.42205716856</v>
      </c>
      <c r="HC49">
        <v>8997.62435801428</v>
      </c>
      <c r="HD49">
        <v>7140.1428833650316</v>
      </c>
      <c r="HE49">
        <v>2582.0427586206906</v>
      </c>
      <c r="HF49">
        <v>18719.810000000001</v>
      </c>
      <c r="HG49">
        <v>373895.27917380352</v>
      </c>
      <c r="HI49">
        <v>45428</v>
      </c>
      <c r="HJ49">
        <v>342072.89848086121</v>
      </c>
      <c r="HK49">
        <v>9355.1872900212784</v>
      </c>
      <c r="HL49">
        <v>5028.1747789442397</v>
      </c>
      <c r="HM49">
        <v>2301.3379310344831</v>
      </c>
      <c r="HN49">
        <v>16684.7</v>
      </c>
      <c r="HO49">
        <v>337044.72370191698</v>
      </c>
      <c r="HQ49">
        <v>45414</v>
      </c>
      <c r="HR49">
        <v>217002.37719073505</v>
      </c>
      <c r="HS49">
        <v>5976.270059293508</v>
      </c>
      <c r="HT49">
        <v>4745.9109751892493</v>
      </c>
      <c r="HU49">
        <v>1715.5489655172414</v>
      </c>
      <c r="HV49">
        <v>12437.73</v>
      </c>
      <c r="HW49">
        <v>212256.46621554575</v>
      </c>
      <c r="HY49">
        <v>45417</v>
      </c>
      <c r="HZ49">
        <v>304270.8115711775</v>
      </c>
      <c r="IA49">
        <v>3089.0082761256622</v>
      </c>
      <c r="IB49">
        <v>5631.2934480122694</v>
      </c>
      <c r="IC49">
        <v>1395.248275862069</v>
      </c>
      <c r="ID49">
        <v>10115.549999999999</v>
      </c>
      <c r="IE49">
        <v>298639.51812316524</v>
      </c>
      <c r="IG49">
        <v>45433</v>
      </c>
      <c r="IH49">
        <v>116416.81464355624</v>
      </c>
      <c r="II49">
        <v>4123.259990306773</v>
      </c>
      <c r="IJ49">
        <v>12842.231389003571</v>
      </c>
      <c r="IK49">
        <v>2714.4786206896556</v>
      </c>
      <c r="IL49">
        <v>19679.97</v>
      </c>
      <c r="IM49">
        <v>103574.58325455268</v>
      </c>
      <c r="IO49">
        <v>45432</v>
      </c>
      <c r="IP49">
        <v>55150.285109884637</v>
      </c>
      <c r="IQ49">
        <v>861.50123494181821</v>
      </c>
      <c r="IR49">
        <v>4107.4887650581804</v>
      </c>
      <c r="IS49">
        <v>795.03840000000002</v>
      </c>
      <c r="IT49">
        <v>5764.0283999999992</v>
      </c>
      <c r="IU49">
        <v>51042.796344826456</v>
      </c>
      <c r="IW49">
        <v>45415</v>
      </c>
      <c r="IX49">
        <v>154844.59993008888</v>
      </c>
      <c r="IY49">
        <v>2352.5867501553216</v>
      </c>
      <c r="IZ49">
        <v>8407.7932498446771</v>
      </c>
      <c r="JA49">
        <v>1721.6608000000001</v>
      </c>
      <c r="JB49">
        <v>12482.040800000001</v>
      </c>
      <c r="JC49">
        <v>146436.80668024419</v>
      </c>
      <c r="JE49">
        <v>45430</v>
      </c>
      <c r="JF49">
        <v>72891.48833297423</v>
      </c>
      <c r="JG49">
        <v>1175.8953264750421</v>
      </c>
      <c r="JH49">
        <v>3479.3446735249581</v>
      </c>
      <c r="JI49">
        <v>744.83839999999998</v>
      </c>
      <c r="JJ49">
        <v>5400.0783999999994</v>
      </c>
      <c r="JK49">
        <v>69412.14365944927</v>
      </c>
      <c r="JM49">
        <v>45419</v>
      </c>
      <c r="JN49">
        <v>85050.635859020869</v>
      </c>
      <c r="JO49">
        <v>1572.8329494059583</v>
      </c>
      <c r="JP49">
        <v>3034.2570505940421</v>
      </c>
      <c r="JQ49">
        <v>737.13440000000003</v>
      </c>
      <c r="JR49">
        <v>5344.2244000000001</v>
      </c>
      <c r="JS49">
        <v>82016.378808426831</v>
      </c>
      <c r="JU49">
        <v>45420</v>
      </c>
      <c r="JV49">
        <v>82393.417811814623</v>
      </c>
      <c r="JW49">
        <v>1505.212522797789</v>
      </c>
      <c r="JX49">
        <v>2524.9274772022104</v>
      </c>
      <c r="JY49">
        <v>644.82240000000002</v>
      </c>
      <c r="JZ49">
        <v>4674.9623999999994</v>
      </c>
      <c r="KA49">
        <v>79868.490334612419</v>
      </c>
      <c r="KC49" s="3">
        <v>45414</v>
      </c>
      <c r="KD49" s="9">
        <v>17787057.518936303</v>
      </c>
      <c r="KE49" s="9">
        <v>382488.62832448125</v>
      </c>
      <c r="KF49" s="9">
        <v>248617.07374448417</v>
      </c>
      <c r="KG49" s="9">
        <v>28498.612068965536</v>
      </c>
      <c r="KH49" s="9">
        <v>100976.9123310345</v>
      </c>
      <c r="KI49" s="9">
        <v>732082.61439999985</v>
      </c>
      <c r="KJ49" s="9">
        <v>17566939.057260789</v>
      </c>
      <c r="KK49">
        <v>220118.4616755186</v>
      </c>
      <c r="KL49" t="s">
        <v>1183</v>
      </c>
      <c r="KN49">
        <v>83690</v>
      </c>
      <c r="KO49" t="s">
        <v>1184</v>
      </c>
    </row>
    <row r="50" spans="1:304" x14ac:dyDescent="0.3">
      <c r="A50">
        <v>45458</v>
      </c>
      <c r="B50">
        <v>342902.67974137934</v>
      </c>
      <c r="C50">
        <v>7429.5580610632196</v>
      </c>
      <c r="D50">
        <v>4742.0281458333329</v>
      </c>
      <c r="E50">
        <v>1878.1982758620693</v>
      </c>
      <c r="F50">
        <v>1947.4537931034488</v>
      </c>
      <c r="G50">
        <v>14119.04</v>
      </c>
      <c r="H50">
        <v>340038.84987140808</v>
      </c>
      <c r="J50">
        <v>45458</v>
      </c>
      <c r="K50">
        <v>431215.72366091958</v>
      </c>
      <c r="L50">
        <v>9343.0073459865907</v>
      </c>
      <c r="M50">
        <v>7174.6650678065107</v>
      </c>
      <c r="N50">
        <v>4149.3017241379312</v>
      </c>
      <c r="O50">
        <v>2642.8275862068972</v>
      </c>
      <c r="P50">
        <v>19160.5</v>
      </c>
      <c r="Q50">
        <v>428190.360317251</v>
      </c>
      <c r="S50">
        <v>45458</v>
      </c>
      <c r="T50">
        <v>172893.40430747124</v>
      </c>
      <c r="U50">
        <v>3746.0237599952102</v>
      </c>
      <c r="V50">
        <v>4079.3469296599615</v>
      </c>
      <c r="W50">
        <v>2856.7844827586209</v>
      </c>
      <c r="X50">
        <v>1252.0593103448275</v>
      </c>
      <c r="Y50">
        <v>9077.43</v>
      </c>
      <c r="Z50">
        <v>171670.8418605699</v>
      </c>
      <c r="AB50">
        <v>45458</v>
      </c>
      <c r="AC50">
        <v>2915968.0145114944</v>
      </c>
      <c r="AD50">
        <v>63179.30698108238</v>
      </c>
      <c r="AE50">
        <v>29049.874053400388</v>
      </c>
      <c r="AF50">
        <v>4696.508620689664</v>
      </c>
      <c r="AG50">
        <v>14756.668965517243</v>
      </c>
      <c r="AH50">
        <v>106985.85</v>
      </c>
      <c r="AI50">
        <v>2891614.6490787836</v>
      </c>
      <c r="AK50">
        <v>45458</v>
      </c>
      <c r="AL50">
        <v>1615194.4421408046</v>
      </c>
      <c r="AM50">
        <v>34995.879579717432</v>
      </c>
      <c r="AN50">
        <v>13490.982489248085</v>
      </c>
      <c r="AO50">
        <v>0</v>
      </c>
      <c r="AP50">
        <v>7757.8979310344848</v>
      </c>
      <c r="AQ50">
        <v>56244.76</v>
      </c>
      <c r="AR50">
        <v>1601703.4596515566</v>
      </c>
      <c r="AT50">
        <v>45458</v>
      </c>
      <c r="AU50">
        <v>1464569.1181896552</v>
      </c>
      <c r="AV50">
        <v>31732.330894109196</v>
      </c>
      <c r="AW50">
        <v>15152.694967959767</v>
      </c>
      <c r="AX50">
        <v>2921.0172413793107</v>
      </c>
      <c r="AY50">
        <v>7501.6041379310354</v>
      </c>
      <c r="AZ50">
        <v>54386.63</v>
      </c>
      <c r="BA50">
        <v>1452337.4404630747</v>
      </c>
      <c r="BC50">
        <v>45458</v>
      </c>
      <c r="BD50">
        <v>662497.2480028735</v>
      </c>
      <c r="BE50">
        <v>14354.107040062259</v>
      </c>
      <c r="BF50">
        <v>6944.0739944204979</v>
      </c>
      <c r="BG50">
        <v>1411.0775862068965</v>
      </c>
      <c r="BH50">
        <v>3407.7089655172417</v>
      </c>
      <c r="BI50">
        <v>24705.89</v>
      </c>
      <c r="BJ50">
        <v>656964.25159465987</v>
      </c>
      <c r="BL50">
        <v>45458</v>
      </c>
      <c r="BM50">
        <v>1313643.3190948276</v>
      </c>
      <c r="BN50">
        <v>28462.271913721263</v>
      </c>
      <c r="BO50">
        <v>13450.21084489943</v>
      </c>
      <c r="BP50">
        <v>2479.0258620689742</v>
      </c>
      <c r="BQ50">
        <v>6705.9972413793112</v>
      </c>
      <c r="BR50">
        <v>48618.48</v>
      </c>
      <c r="BS50">
        <v>1302672.134111997</v>
      </c>
      <c r="BU50">
        <v>45458</v>
      </c>
      <c r="BV50">
        <v>2760181.8821551725</v>
      </c>
      <c r="BW50">
        <v>59803.940780028737</v>
      </c>
      <c r="BX50">
        <v>28199.09370272989</v>
      </c>
      <c r="BY50">
        <v>5146.8793103448279</v>
      </c>
      <c r="BZ50">
        <v>14080.485517241381</v>
      </c>
      <c r="CA50">
        <v>102083.52</v>
      </c>
      <c r="CB50">
        <v>2737129.6677627875</v>
      </c>
      <c r="CD50">
        <v>45458</v>
      </c>
      <c r="CE50">
        <v>180645.18807183907</v>
      </c>
      <c r="CF50">
        <v>3913.9790748898463</v>
      </c>
      <c r="CG50">
        <v>1276.6674768342907</v>
      </c>
      <c r="CH50">
        <v>0</v>
      </c>
      <c r="CI50">
        <v>830.50344827586218</v>
      </c>
      <c r="CJ50">
        <v>6021.15</v>
      </c>
      <c r="CK50">
        <v>179368.52059500478</v>
      </c>
      <c r="CM50">
        <v>45458</v>
      </c>
      <c r="CN50">
        <v>338585.63251149427</v>
      </c>
      <c r="CO50">
        <v>7336.0220377490432</v>
      </c>
      <c r="CP50">
        <v>2378.9176174233694</v>
      </c>
      <c r="CQ50">
        <v>0</v>
      </c>
      <c r="CR50">
        <v>1554.3903448275864</v>
      </c>
      <c r="CS50">
        <v>11269.33</v>
      </c>
      <c r="CT50">
        <v>336206.71489407093</v>
      </c>
      <c r="CV50">
        <v>45458</v>
      </c>
      <c r="CW50">
        <v>201095.20810344827</v>
      </c>
      <c r="CX50">
        <v>4357.0628422413793</v>
      </c>
      <c r="CY50">
        <v>1497.480261206897</v>
      </c>
      <c r="CZ50">
        <v>0</v>
      </c>
      <c r="DA50">
        <v>936.72689655172417</v>
      </c>
      <c r="DB50">
        <v>6791.27</v>
      </c>
      <c r="DC50">
        <v>199597.72784224135</v>
      </c>
      <c r="DE50">
        <v>45458</v>
      </c>
      <c r="DF50">
        <v>174805.3984310345</v>
      </c>
      <c r="DG50">
        <v>3787.4502993390806</v>
      </c>
      <c r="DH50">
        <v>1235.9117696264359</v>
      </c>
      <c r="DI50">
        <v>0</v>
      </c>
      <c r="DJ50">
        <v>803.73793103448293</v>
      </c>
      <c r="DK50">
        <v>5827.1</v>
      </c>
      <c r="DL50">
        <v>173569.48666140807</v>
      </c>
      <c r="DN50">
        <v>45458</v>
      </c>
      <c r="DO50">
        <v>161124.21518390806</v>
      </c>
      <c r="DP50">
        <v>3491.0246623180083</v>
      </c>
      <c r="DQ50">
        <v>1140.4322342337157</v>
      </c>
      <c r="DR50">
        <v>0</v>
      </c>
      <c r="DS50">
        <v>741.03310344827605</v>
      </c>
      <c r="DT50">
        <v>5372.49</v>
      </c>
      <c r="DU50">
        <v>159983.78294967435</v>
      </c>
      <c r="DW50">
        <v>45458</v>
      </c>
      <c r="DX50">
        <v>776547.67921443621</v>
      </c>
      <c r="DY50">
        <v>16825.199716312785</v>
      </c>
      <c r="DZ50">
        <v>7100.6451112734212</v>
      </c>
      <c r="EA50">
        <v>613.81034482758366</v>
      </c>
      <c r="EB50">
        <v>3828.1351724137935</v>
      </c>
      <c r="EC50">
        <v>27753.98</v>
      </c>
      <c r="ED50">
        <v>770060.84444799041</v>
      </c>
      <c r="EF50">
        <v>45458</v>
      </c>
      <c r="EG50">
        <v>1241515.3491666669</v>
      </c>
      <c r="EH50">
        <v>26899.49923194445</v>
      </c>
      <c r="EI50">
        <v>12714.811112883135</v>
      </c>
      <c r="EJ50">
        <v>2346.0086206896553</v>
      </c>
      <c r="EK50">
        <v>6338.2896551724143</v>
      </c>
      <c r="EL50">
        <v>45952.6</v>
      </c>
      <c r="EM50">
        <v>1231146.5466744734</v>
      </c>
      <c r="EO50">
        <v>45458</v>
      </c>
      <c r="EP50">
        <v>373150.77643581497</v>
      </c>
      <c r="EQ50">
        <v>7599.7733474496208</v>
      </c>
      <c r="ER50">
        <v>17943.286997377967</v>
      </c>
      <c r="ES50">
        <v>4086.8896551724142</v>
      </c>
      <c r="ET50">
        <v>29629.95</v>
      </c>
      <c r="EU50">
        <v>355207.48943843698</v>
      </c>
      <c r="FM50">
        <v>45444</v>
      </c>
      <c r="FN50">
        <v>275847.36585842381</v>
      </c>
      <c r="FO50">
        <v>3360.7543039763655</v>
      </c>
      <c r="FP50">
        <v>18661.254316713286</v>
      </c>
      <c r="FQ50">
        <v>3523.5213793103449</v>
      </c>
      <c r="FR50">
        <v>25545.53</v>
      </c>
      <c r="FS50">
        <v>257186.11154171053</v>
      </c>
      <c r="FU50">
        <v>45458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C50">
        <v>45444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K50">
        <v>45444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S50">
        <v>45444</v>
      </c>
      <c r="GT50">
        <v>410369.22618257575</v>
      </c>
      <c r="GU50">
        <v>9511.2777566449422</v>
      </c>
      <c r="GV50">
        <v>8793.9118985274708</v>
      </c>
      <c r="GW50">
        <v>2928.8303448275869</v>
      </c>
      <c r="GX50">
        <v>21234.02</v>
      </c>
      <c r="GY50">
        <v>401575.31428404833</v>
      </c>
      <c r="HA50">
        <v>45444</v>
      </c>
      <c r="HB50">
        <v>373895.27917380352</v>
      </c>
      <c r="HC50">
        <v>8829.0197616746027</v>
      </c>
      <c r="HD50">
        <v>7308.7474797047089</v>
      </c>
      <c r="HE50">
        <v>2582.0427586206906</v>
      </c>
      <c r="HF50">
        <v>18719.810000000001</v>
      </c>
      <c r="HG50">
        <v>366586.53169409878</v>
      </c>
      <c r="HI50">
        <v>45459</v>
      </c>
      <c r="HJ50">
        <v>337044.72370191698</v>
      </c>
      <c r="HK50">
        <v>9217.6741546840858</v>
      </c>
      <c r="HL50">
        <v>5165.6879142814323</v>
      </c>
      <c r="HM50">
        <v>2301.3379310344831</v>
      </c>
      <c r="HN50">
        <v>16684.7</v>
      </c>
      <c r="HO50">
        <v>331879.03578763554</v>
      </c>
      <c r="HQ50">
        <v>45445</v>
      </c>
      <c r="HR50">
        <v>212256.46621554575</v>
      </c>
      <c r="HS50">
        <v>5845.5671332137335</v>
      </c>
      <c r="HT50">
        <v>4876.6139012690237</v>
      </c>
      <c r="HU50">
        <v>1715.5489655172414</v>
      </c>
      <c r="HV50">
        <v>12437.73</v>
      </c>
      <c r="HW50">
        <v>207379.85231427677</v>
      </c>
      <c r="HY50">
        <v>45448</v>
      </c>
      <c r="HZ50">
        <v>298639.51812316524</v>
      </c>
      <c r="IA50">
        <v>3031.8384412132095</v>
      </c>
      <c r="IB50">
        <v>5688.4632829247221</v>
      </c>
      <c r="IC50">
        <v>1395.248275862069</v>
      </c>
      <c r="ID50">
        <v>10115.549999999999</v>
      </c>
      <c r="IE50">
        <v>292951.05484024051</v>
      </c>
      <c r="IG50">
        <v>45464</v>
      </c>
      <c r="IH50">
        <v>103574.58325455268</v>
      </c>
      <c r="II50">
        <v>3668.4128186617863</v>
      </c>
      <c r="IJ50">
        <v>13297.078560648561</v>
      </c>
      <c r="IK50">
        <v>2714.4786206896556</v>
      </c>
      <c r="IL50">
        <v>19679.97</v>
      </c>
      <c r="IM50">
        <v>90277.50469390412</v>
      </c>
      <c r="IO50">
        <v>45463</v>
      </c>
      <c r="IP50">
        <v>51042.796344826456</v>
      </c>
      <c r="IQ50">
        <v>797.33825488547325</v>
      </c>
      <c r="IR50">
        <v>4171.6517451145255</v>
      </c>
      <c r="IS50">
        <v>795.03840000000002</v>
      </c>
      <c r="IT50">
        <v>5764.0283999999992</v>
      </c>
      <c r="IU50">
        <v>46871.14459971193</v>
      </c>
      <c r="IW50">
        <v>45446</v>
      </c>
      <c r="IX50">
        <v>146436.80668024419</v>
      </c>
      <c r="IY50">
        <v>2224.8453693996448</v>
      </c>
      <c r="IZ50">
        <v>8535.5346306003539</v>
      </c>
      <c r="JA50">
        <v>1721.6608000000001</v>
      </c>
      <c r="JB50">
        <v>12482.040800000001</v>
      </c>
      <c r="JC50">
        <v>137901.27204964383</v>
      </c>
      <c r="JE50">
        <v>45461</v>
      </c>
      <c r="JF50">
        <v>69412.14365944927</v>
      </c>
      <c r="JG50">
        <v>1119.7660686650731</v>
      </c>
      <c r="JH50">
        <v>3535.4739313349264</v>
      </c>
      <c r="JI50">
        <v>744.83839999999998</v>
      </c>
      <c r="JJ50">
        <v>5400.0783999999994</v>
      </c>
      <c r="JK50">
        <v>65876.669728114342</v>
      </c>
      <c r="JM50">
        <v>45450</v>
      </c>
      <c r="JN50">
        <v>82016.378808426831</v>
      </c>
      <c r="JO50">
        <v>1516.7207355707519</v>
      </c>
      <c r="JP50">
        <v>3090.3692644292478</v>
      </c>
      <c r="JQ50">
        <v>737.13440000000003</v>
      </c>
      <c r="JR50">
        <v>5344.2244000000001</v>
      </c>
      <c r="JS50">
        <v>78926.009543997585</v>
      </c>
      <c r="JU50">
        <v>45451</v>
      </c>
      <c r="JV50">
        <v>79868.490334612419</v>
      </c>
      <c r="JW50">
        <v>1459.0856286990229</v>
      </c>
      <c r="JX50">
        <v>2571.0543713009765</v>
      </c>
      <c r="JY50">
        <v>644.82240000000002</v>
      </c>
      <c r="JZ50">
        <v>4674.9623999999994</v>
      </c>
      <c r="KA50">
        <v>77297.435963311436</v>
      </c>
      <c r="KB50">
        <v>53345.304399999994</v>
      </c>
      <c r="KC50" s="3">
        <v>45445</v>
      </c>
      <c r="KD50" s="9">
        <v>17566939.057260789</v>
      </c>
      <c r="KE50" s="9">
        <v>377838.73799529922</v>
      </c>
      <c r="KF50" s="9">
        <v>253266.96407366631</v>
      </c>
      <c r="KG50" s="9">
        <v>28498.612068965536</v>
      </c>
      <c r="KH50" s="9">
        <v>100976.9123310345</v>
      </c>
      <c r="KI50" s="9">
        <v>732082.61439999985</v>
      </c>
      <c r="KJ50" s="9">
        <v>17342170.705256082</v>
      </c>
      <c r="KK50">
        <v>224768.35200470078</v>
      </c>
      <c r="KL50" t="s">
        <v>1231</v>
      </c>
      <c r="KM50" t="s">
        <v>1232</v>
      </c>
      <c r="KO50" t="s">
        <v>1233</v>
      </c>
      <c r="KP50" t="s">
        <v>1243</v>
      </c>
    </row>
    <row r="51" spans="1:304" x14ac:dyDescent="0.3">
      <c r="A51">
        <v>45488</v>
      </c>
      <c r="B51">
        <v>340038.84987140808</v>
      </c>
      <c r="C51">
        <v>7367.5084138805087</v>
      </c>
      <c r="D51">
        <v>4804.0777930160439</v>
      </c>
      <c r="E51">
        <v>1878.1982758620693</v>
      </c>
      <c r="F51">
        <v>1947.4537931034488</v>
      </c>
      <c r="G51">
        <v>14119.04</v>
      </c>
      <c r="H51">
        <v>337112.97035425412</v>
      </c>
      <c r="J51">
        <v>45488</v>
      </c>
      <c r="K51">
        <v>428190.360317251</v>
      </c>
      <c r="L51">
        <v>9277.4578068737719</v>
      </c>
      <c r="M51">
        <v>7240.2146069193295</v>
      </c>
      <c r="N51">
        <v>4149.3017241379312</v>
      </c>
      <c r="O51">
        <v>2642.8275862068972</v>
      </c>
      <c r="P51">
        <v>19160.5</v>
      </c>
      <c r="Q51">
        <v>425099.44743446959</v>
      </c>
      <c r="S51">
        <v>45488</v>
      </c>
      <c r="T51">
        <v>171670.8418605699</v>
      </c>
      <c r="U51">
        <v>3719.5349069790145</v>
      </c>
      <c r="V51">
        <v>4105.8357826761576</v>
      </c>
      <c r="W51">
        <v>2856.7844827586209</v>
      </c>
      <c r="X51">
        <v>1252.0593103448275</v>
      </c>
      <c r="Y51">
        <v>9077.43</v>
      </c>
      <c r="Z51">
        <v>170421.79056065236</v>
      </c>
      <c r="AB51">
        <v>45488</v>
      </c>
      <c r="AC51">
        <v>2891614.6490787836</v>
      </c>
      <c r="AD51">
        <v>62651.65073004031</v>
      </c>
      <c r="AE51">
        <v>29577.530304442455</v>
      </c>
      <c r="AF51">
        <v>4696.508620689664</v>
      </c>
      <c r="AG51">
        <v>14756.668965517243</v>
      </c>
      <c r="AH51">
        <v>106985.85</v>
      </c>
      <c r="AI51">
        <v>2866733.6273950306</v>
      </c>
      <c r="AK51">
        <v>45488</v>
      </c>
      <c r="AL51">
        <v>1601703.4596515566</v>
      </c>
      <c r="AM51">
        <v>34703.574959117061</v>
      </c>
      <c r="AN51">
        <v>13783.287109848454</v>
      </c>
      <c r="AO51">
        <v>0</v>
      </c>
      <c r="AP51">
        <v>7757.8979310344848</v>
      </c>
      <c r="AQ51">
        <v>56244.76</v>
      </c>
      <c r="AR51">
        <v>1587920.1725417082</v>
      </c>
      <c r="AT51">
        <v>45488</v>
      </c>
      <c r="AU51">
        <v>1452337.4404630747</v>
      </c>
      <c r="AV51">
        <v>31467.311210033287</v>
      </c>
      <c r="AW51">
        <v>15417.714652035676</v>
      </c>
      <c r="AX51">
        <v>2921.0172413793107</v>
      </c>
      <c r="AY51">
        <v>7501.6041379310354</v>
      </c>
      <c r="AZ51">
        <v>54386.63</v>
      </c>
      <c r="BA51">
        <v>1439840.7430524183</v>
      </c>
      <c r="BC51">
        <v>45488</v>
      </c>
      <c r="BD51">
        <v>656964.25159465987</v>
      </c>
      <c r="BE51">
        <v>14234.225451217631</v>
      </c>
      <c r="BF51">
        <v>7063.9555832651258</v>
      </c>
      <c r="BG51">
        <v>1411.0775862068965</v>
      </c>
      <c r="BH51">
        <v>3407.7089655172417</v>
      </c>
      <c r="BI51">
        <v>24705.89</v>
      </c>
      <c r="BJ51">
        <v>651311.37359760155</v>
      </c>
      <c r="BL51">
        <v>45488</v>
      </c>
      <c r="BM51">
        <v>1302672.134111997</v>
      </c>
      <c r="BN51">
        <v>28224.562905759936</v>
      </c>
      <c r="BO51">
        <v>13687.919852860759</v>
      </c>
      <c r="BP51">
        <v>2479.0258620689742</v>
      </c>
      <c r="BQ51">
        <v>6705.9972413793112</v>
      </c>
      <c r="BR51">
        <v>48618.48</v>
      </c>
      <c r="BS51">
        <v>1291463.2401212051</v>
      </c>
      <c r="BU51">
        <v>45488</v>
      </c>
      <c r="BV51">
        <v>2737129.6677627875</v>
      </c>
      <c r="BW51">
        <v>59304.476134860401</v>
      </c>
      <c r="BX51">
        <v>28698.558347898223</v>
      </c>
      <c r="BY51">
        <v>5146.8793103448279</v>
      </c>
      <c r="BZ51">
        <v>14080.485517241381</v>
      </c>
      <c r="CA51">
        <v>102083.52</v>
      </c>
      <c r="CB51">
        <v>2713577.9887252343</v>
      </c>
      <c r="CD51">
        <v>45488</v>
      </c>
      <c r="CE51">
        <v>179368.52059500478</v>
      </c>
      <c r="CF51">
        <v>3886.3179462251042</v>
      </c>
      <c r="CG51">
        <v>1304.328605499034</v>
      </c>
      <c r="CH51">
        <v>0</v>
      </c>
      <c r="CI51">
        <v>830.50344827586218</v>
      </c>
      <c r="CJ51">
        <v>6021.15</v>
      </c>
      <c r="CK51">
        <v>178064.19198950575</v>
      </c>
      <c r="CM51">
        <v>45488</v>
      </c>
      <c r="CN51">
        <v>336206.71489407093</v>
      </c>
      <c r="CO51">
        <v>7284.4788227048703</v>
      </c>
      <c r="CP51">
        <v>2430.4608324675428</v>
      </c>
      <c r="CQ51">
        <v>0</v>
      </c>
      <c r="CR51">
        <v>1554.3903448275864</v>
      </c>
      <c r="CS51">
        <v>11269.33</v>
      </c>
      <c r="CT51">
        <v>333776.25406160339</v>
      </c>
      <c r="CV51">
        <v>45488</v>
      </c>
      <c r="CW51">
        <v>199597.72784224135</v>
      </c>
      <c r="CX51">
        <v>4324.617436581897</v>
      </c>
      <c r="CY51">
        <v>1529.9256668663793</v>
      </c>
      <c r="CZ51">
        <v>0</v>
      </c>
      <c r="DA51">
        <v>936.72689655172417</v>
      </c>
      <c r="DB51">
        <v>6791.27</v>
      </c>
      <c r="DC51">
        <v>198067.80217537499</v>
      </c>
      <c r="DE51">
        <v>45488</v>
      </c>
      <c r="DF51">
        <v>173569.48666140807</v>
      </c>
      <c r="DG51">
        <v>3760.6722109971743</v>
      </c>
      <c r="DH51">
        <v>1262.6898579683425</v>
      </c>
      <c r="DI51">
        <v>0</v>
      </c>
      <c r="DJ51">
        <v>803.73793103448293</v>
      </c>
      <c r="DK51">
        <v>5827.1</v>
      </c>
      <c r="DL51">
        <v>172306.79680343973</v>
      </c>
      <c r="DN51">
        <v>45488</v>
      </c>
      <c r="DO51">
        <v>159983.78294967435</v>
      </c>
      <c r="DP51">
        <v>3466.3152972429443</v>
      </c>
      <c r="DQ51">
        <v>1165.1415993087794</v>
      </c>
      <c r="DR51">
        <v>0</v>
      </c>
      <c r="DS51">
        <v>741.03310344827605</v>
      </c>
      <c r="DT51">
        <v>5372.49</v>
      </c>
      <c r="DU51">
        <v>158818.64135036556</v>
      </c>
      <c r="DW51">
        <v>45488</v>
      </c>
      <c r="DX51">
        <v>770060.84444799041</v>
      </c>
      <c r="DY51">
        <v>16684.651629706459</v>
      </c>
      <c r="DZ51">
        <v>7241.1931978797475</v>
      </c>
      <c r="EA51">
        <v>613.81034482758366</v>
      </c>
      <c r="EB51">
        <v>3828.1351724137935</v>
      </c>
      <c r="EC51">
        <v>27753.98</v>
      </c>
      <c r="ED51">
        <v>763433.4615949383</v>
      </c>
      <c r="EF51">
        <v>45488</v>
      </c>
      <c r="EG51">
        <v>1231146.5466744734</v>
      </c>
      <c r="EH51">
        <v>26674.841844613591</v>
      </c>
      <c r="EI51">
        <v>12939.468500213996</v>
      </c>
      <c r="EJ51">
        <v>2346.0086206896553</v>
      </c>
      <c r="EK51">
        <v>6338.2896551724143</v>
      </c>
      <c r="EL51">
        <v>45952.6</v>
      </c>
      <c r="EM51">
        <v>1220553.0867949491</v>
      </c>
      <c r="EO51">
        <v>45488</v>
      </c>
      <c r="EP51">
        <v>355207.48943843698</v>
      </c>
      <c r="EQ51">
        <v>7234.3314861440786</v>
      </c>
      <c r="ER51">
        <v>18308.728858683509</v>
      </c>
      <c r="ES51">
        <v>4086.8896551724142</v>
      </c>
      <c r="ET51">
        <v>29629.95</v>
      </c>
      <c r="EU51">
        <v>336898.76057975349</v>
      </c>
      <c r="FM51">
        <v>45474</v>
      </c>
      <c r="FN51">
        <v>257186.11154171053</v>
      </c>
      <c r="FO51">
        <v>3133.3970821035996</v>
      </c>
      <c r="FP51">
        <v>18888.611538586058</v>
      </c>
      <c r="FQ51">
        <v>3523.5213793103449</v>
      </c>
      <c r="FR51">
        <v>25545.53</v>
      </c>
      <c r="FS51">
        <v>238297.50000312447</v>
      </c>
      <c r="FU51">
        <v>45488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C51">
        <v>45474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K51">
        <v>45474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S51">
        <v>45474</v>
      </c>
      <c r="GT51">
        <v>401575.31428404833</v>
      </c>
      <c r="GU51">
        <v>9307.4580418665555</v>
      </c>
      <c r="GV51">
        <v>8997.7316133058575</v>
      </c>
      <c r="GW51">
        <v>2928.8303448275869</v>
      </c>
      <c r="GX51">
        <v>21234.02</v>
      </c>
      <c r="GY51">
        <v>392577.58267074241</v>
      </c>
      <c r="HA51">
        <v>45474</v>
      </c>
      <c r="HB51">
        <v>366586.53169409878</v>
      </c>
      <c r="HC51">
        <v>8656.4338010441497</v>
      </c>
      <c r="HD51">
        <v>7481.3334403351619</v>
      </c>
      <c r="HE51">
        <v>2582.0427586206906</v>
      </c>
      <c r="HF51">
        <v>18719.810000000001</v>
      </c>
      <c r="HG51">
        <v>359105.19825376361</v>
      </c>
      <c r="HI51">
        <v>45489</v>
      </c>
      <c r="HJ51">
        <v>331879.03578763554</v>
      </c>
      <c r="HK51">
        <v>9076.400238701508</v>
      </c>
      <c r="HL51">
        <v>5306.9618302640101</v>
      </c>
      <c r="HM51">
        <v>2301.3379310344831</v>
      </c>
      <c r="HN51">
        <v>16684.7</v>
      </c>
      <c r="HO51">
        <v>326572.07395737153</v>
      </c>
      <c r="HQ51">
        <v>45475</v>
      </c>
      <c r="HR51">
        <v>207379.85231427677</v>
      </c>
      <c r="HS51">
        <v>5711.2646337380147</v>
      </c>
      <c r="HT51">
        <v>5010.9164007447425</v>
      </c>
      <c r="HU51">
        <v>1715.5489655172414</v>
      </c>
      <c r="HV51">
        <v>12437.73</v>
      </c>
      <c r="HW51">
        <v>202368.93591353201</v>
      </c>
      <c r="HY51">
        <v>45478</v>
      </c>
      <c r="HZ51">
        <v>292951.05484024051</v>
      </c>
      <c r="IA51">
        <v>2974.0882085548237</v>
      </c>
      <c r="IB51">
        <v>5746.2135155831074</v>
      </c>
      <c r="IC51">
        <v>1395.248275862069</v>
      </c>
      <c r="ID51">
        <v>10115.549999999999</v>
      </c>
      <c r="IE51">
        <v>287204.84132465738</v>
      </c>
      <c r="IG51">
        <v>45464</v>
      </c>
      <c r="IH51">
        <v>90277.50469390412</v>
      </c>
      <c r="II51">
        <v>3197.4558337540834</v>
      </c>
      <c r="IJ51">
        <v>13768.03554555626</v>
      </c>
      <c r="IK51">
        <v>2714.4786206896556</v>
      </c>
      <c r="IL51">
        <v>19679.97</v>
      </c>
      <c r="IM51">
        <v>76509.469148347853</v>
      </c>
      <c r="IO51">
        <v>45493</v>
      </c>
      <c r="IP51">
        <v>46871.14459971193</v>
      </c>
      <c r="IQ51">
        <v>732.1729865101114</v>
      </c>
      <c r="IR51">
        <v>4236.8170134898874</v>
      </c>
      <c r="IS51">
        <v>795.03840000000002</v>
      </c>
      <c r="IT51">
        <v>5764.0283999999992</v>
      </c>
      <c r="IU51">
        <v>42634.32758622204</v>
      </c>
      <c r="IW51">
        <v>45476</v>
      </c>
      <c r="IX51">
        <v>137901.27204964383</v>
      </c>
      <c r="IY51">
        <v>2095.1631868339723</v>
      </c>
      <c r="IZ51">
        <v>8665.2168131660274</v>
      </c>
      <c r="JA51">
        <v>1721.6608000000001</v>
      </c>
      <c r="JB51">
        <v>12482.040800000001</v>
      </c>
      <c r="JC51">
        <v>129236.0552364778</v>
      </c>
      <c r="JE51">
        <v>45491</v>
      </c>
      <c r="JF51">
        <v>65876.669728114342</v>
      </c>
      <c r="JG51">
        <v>1062.7313260934852</v>
      </c>
      <c r="JH51">
        <v>3592.5086739065146</v>
      </c>
      <c r="JI51">
        <v>744.83839999999998</v>
      </c>
      <c r="JJ51">
        <v>5400.0783999999994</v>
      </c>
      <c r="JK51">
        <v>62284.161054207827</v>
      </c>
      <c r="JM51">
        <v>45480</v>
      </c>
      <c r="JN51">
        <v>78926.009543997585</v>
      </c>
      <c r="JO51">
        <v>1459.570844146275</v>
      </c>
      <c r="JP51">
        <v>3147.5191558537258</v>
      </c>
      <c r="JQ51">
        <v>737.13440000000003</v>
      </c>
      <c r="JR51">
        <v>5344.2244000000001</v>
      </c>
      <c r="JS51">
        <v>75778.490388143866</v>
      </c>
      <c r="JU51">
        <v>45481</v>
      </c>
      <c r="JV51">
        <v>77297.435963311436</v>
      </c>
      <c r="JW51">
        <v>1412.1160607498543</v>
      </c>
      <c r="JX51">
        <v>2618.0239392501453</v>
      </c>
      <c r="JY51">
        <v>644.82240000000002</v>
      </c>
      <c r="JZ51">
        <v>4674.9623999999994</v>
      </c>
      <c r="KA51">
        <v>74679.412024061297</v>
      </c>
      <c r="KB51">
        <v>33665.335258221196</v>
      </c>
      <c r="KC51" s="3">
        <v>45475</v>
      </c>
      <c r="KD51" s="9">
        <v>17342170.705256082</v>
      </c>
      <c r="KE51" s="9">
        <v>373084.78143707447</v>
      </c>
      <c r="KF51" s="9">
        <v>258020.92063189103</v>
      </c>
      <c r="KG51" s="9">
        <v>28498.612068965536</v>
      </c>
      <c r="KH51" s="9">
        <v>100976.9123310345</v>
      </c>
      <c r="KI51" s="9">
        <v>732082.61439999985</v>
      </c>
      <c r="KJ51" s="9">
        <v>17112648.396693155</v>
      </c>
      <c r="KK51">
        <v>229522.30856292549</v>
      </c>
      <c r="KL51" t="s">
        <v>1263</v>
      </c>
      <c r="KM51">
        <v>2782745.2241379311</v>
      </c>
      <c r="KN51" t="s">
        <v>1264</v>
      </c>
      <c r="KO51" t="s">
        <v>1265</v>
      </c>
      <c r="KP51">
        <v>60</v>
      </c>
      <c r="KQ51" t="s">
        <v>1266</v>
      </c>
    </row>
    <row r="52" spans="1:304" x14ac:dyDescent="0.3">
      <c r="A52">
        <v>45519</v>
      </c>
      <c r="B52">
        <v>337112.97035425412</v>
      </c>
      <c r="C52">
        <v>7304.1143576755076</v>
      </c>
      <c r="D52">
        <v>4867.4718492210459</v>
      </c>
      <c r="E52">
        <v>1878.1982758620693</v>
      </c>
      <c r="F52">
        <v>1947.4537931034488</v>
      </c>
      <c r="G52">
        <v>14119.04</v>
      </c>
      <c r="H52">
        <v>334123.69678089517</v>
      </c>
      <c r="I52">
        <v>2989.273573358977</v>
      </c>
      <c r="J52">
        <v>45519</v>
      </c>
      <c r="K52">
        <v>425099.44743446959</v>
      </c>
      <c r="L52">
        <v>9210.4880277468419</v>
      </c>
      <c r="M52">
        <v>7307.1843860462595</v>
      </c>
      <c r="N52">
        <v>4149.3017241379312</v>
      </c>
      <c r="O52">
        <v>2642.8275862068972</v>
      </c>
      <c r="P52">
        <v>19160.5</v>
      </c>
      <c r="Q52">
        <v>421941.56477256131</v>
      </c>
      <c r="R52">
        <v>3157.8826619083284</v>
      </c>
      <c r="S52">
        <v>45519</v>
      </c>
      <c r="T52">
        <v>170421.79056065236</v>
      </c>
      <c r="U52">
        <v>3692.4721288141345</v>
      </c>
      <c r="V52">
        <v>4132.8985608410376</v>
      </c>
      <c r="W52">
        <v>2856.7844827586209</v>
      </c>
      <c r="X52">
        <v>1252.0593103448275</v>
      </c>
      <c r="Y52">
        <v>9077.43</v>
      </c>
      <c r="Z52">
        <v>169145.67648256992</v>
      </c>
      <c r="AA52">
        <v>1276.1140780824167</v>
      </c>
      <c r="AB52">
        <v>45519</v>
      </c>
      <c r="AC52">
        <v>2866733.6273950306</v>
      </c>
      <c r="AD52">
        <v>62112.561926892333</v>
      </c>
      <c r="AE52">
        <v>30116.619107590435</v>
      </c>
      <c r="AF52">
        <v>4696.508620689664</v>
      </c>
      <c r="AG52">
        <v>14756.668965517243</v>
      </c>
      <c r="AH52">
        <v>106985.85</v>
      </c>
      <c r="AI52">
        <v>2841313.5169081297</v>
      </c>
      <c r="AJ52">
        <v>25420.110486900772</v>
      </c>
      <c r="AK52">
        <v>45519</v>
      </c>
      <c r="AL52">
        <v>1587920.1725417082</v>
      </c>
      <c r="AM52">
        <v>34404.937071737011</v>
      </c>
      <c r="AN52">
        <v>14081.924997228503</v>
      </c>
      <c r="AO52">
        <v>0</v>
      </c>
      <c r="AP52">
        <v>7757.8979310344848</v>
      </c>
      <c r="AQ52">
        <v>56244.76</v>
      </c>
      <c r="AR52">
        <v>1573838.2475444798</v>
      </c>
      <c r="AS52">
        <v>14081.924997228503</v>
      </c>
      <c r="AT52">
        <v>45519</v>
      </c>
      <c r="AU52">
        <v>1439840.7430524183</v>
      </c>
      <c r="AV52">
        <v>31196.5494328024</v>
      </c>
      <c r="AW52">
        <v>15688.476429266564</v>
      </c>
      <c r="AX52">
        <v>2921.0172413793107</v>
      </c>
      <c r="AY52">
        <v>7501.6041379310354</v>
      </c>
      <c r="AZ52">
        <v>54386.63</v>
      </c>
      <c r="BA52">
        <v>1427073.283864531</v>
      </c>
      <c r="BB52">
        <v>12767.459187887252</v>
      </c>
      <c r="BC52">
        <v>45519</v>
      </c>
      <c r="BD52">
        <v>651311.37359760155</v>
      </c>
      <c r="BE52">
        <v>14111.746427948034</v>
      </c>
      <c r="BF52">
        <v>7186.4346065347236</v>
      </c>
      <c r="BG52">
        <v>1411.0775862068965</v>
      </c>
      <c r="BH52">
        <v>3407.7089655172417</v>
      </c>
      <c r="BI52">
        <v>24705.89</v>
      </c>
      <c r="BJ52">
        <v>645536.01657727361</v>
      </c>
      <c r="BK52">
        <v>5775.3570203278268</v>
      </c>
      <c r="BL52">
        <v>45519</v>
      </c>
      <c r="BM52">
        <v>1291463.2401212051</v>
      </c>
      <c r="BN52">
        <v>27981.703535959445</v>
      </c>
      <c r="BO52">
        <v>13930.779222661253</v>
      </c>
      <c r="BP52">
        <v>2479.0258620689742</v>
      </c>
      <c r="BQ52">
        <v>6705.9972413793112</v>
      </c>
      <c r="BR52">
        <v>48618.48</v>
      </c>
      <c r="BS52">
        <v>1280011.4867606128</v>
      </c>
      <c r="BT52">
        <v>11451.753360592276</v>
      </c>
      <c r="BU52">
        <v>45519</v>
      </c>
      <c r="BV52">
        <v>2713577.9887252343</v>
      </c>
      <c r="BW52">
        <v>58794.189755713414</v>
      </c>
      <c r="BX52">
        <v>29208.844727045209</v>
      </c>
      <c r="BY52">
        <v>5146.8793103448279</v>
      </c>
      <c r="BZ52">
        <v>14080.485517241381</v>
      </c>
      <c r="CA52">
        <v>102083.52</v>
      </c>
      <c r="CB52">
        <v>2689516.0233085337</v>
      </c>
      <c r="CC52">
        <v>24061.965416700383</v>
      </c>
      <c r="CD52">
        <v>45519</v>
      </c>
      <c r="CE52">
        <v>178064.19198950575</v>
      </c>
      <c r="CF52">
        <v>3858.0574931059582</v>
      </c>
      <c r="CG52">
        <v>1332.5890586181797</v>
      </c>
      <c r="CH52">
        <v>0</v>
      </c>
      <c r="CI52">
        <v>830.50344827586218</v>
      </c>
      <c r="CJ52">
        <v>6021.15</v>
      </c>
      <c r="CK52">
        <v>176731.60293088757</v>
      </c>
      <c r="CL52">
        <v>1332.5890586181795</v>
      </c>
      <c r="CM52">
        <v>45519</v>
      </c>
      <c r="CN52">
        <v>333776.25406160339</v>
      </c>
      <c r="CO52">
        <v>7231.8188380014062</v>
      </c>
      <c r="CP52">
        <v>2483.1208171710059</v>
      </c>
      <c r="CQ52">
        <v>0</v>
      </c>
      <c r="CR52">
        <v>1554.3903448275864</v>
      </c>
      <c r="CS52">
        <v>11269.33</v>
      </c>
      <c r="CT52">
        <v>331293.13324443239</v>
      </c>
      <c r="CU52">
        <v>2483.1208171710059</v>
      </c>
      <c r="CV52">
        <v>45519</v>
      </c>
      <c r="CW52">
        <v>198067.80217537499</v>
      </c>
      <c r="CX52">
        <v>4291.4690471331251</v>
      </c>
      <c r="CY52">
        <v>1563.0740563151512</v>
      </c>
      <c r="CZ52">
        <v>0</v>
      </c>
      <c r="DA52">
        <v>936.72689655172417</v>
      </c>
      <c r="DB52">
        <v>6791.27</v>
      </c>
      <c r="DC52">
        <v>196504.72811905984</v>
      </c>
      <c r="DD52">
        <v>1563.0740563151512</v>
      </c>
      <c r="DE52">
        <v>45519</v>
      </c>
      <c r="DF52">
        <v>172306.79680343973</v>
      </c>
      <c r="DG52">
        <v>3733.3139307411943</v>
      </c>
      <c r="DH52">
        <v>1290.0481382243229</v>
      </c>
      <c r="DI52">
        <v>0</v>
      </c>
      <c r="DJ52">
        <v>803.73793103448293</v>
      </c>
      <c r="DK52">
        <v>5827.1</v>
      </c>
      <c r="DL52">
        <v>171016.74866521542</v>
      </c>
      <c r="DM52">
        <v>1290.0481382243229</v>
      </c>
      <c r="DN52">
        <v>45519</v>
      </c>
      <c r="DO52">
        <v>158818.64135036556</v>
      </c>
      <c r="DP52">
        <v>3441.0705625912542</v>
      </c>
      <c r="DQ52">
        <v>1190.3863339604695</v>
      </c>
      <c r="DR52">
        <v>0</v>
      </c>
      <c r="DS52">
        <v>741.03310344827605</v>
      </c>
      <c r="DT52">
        <v>5372.49</v>
      </c>
      <c r="DU52">
        <v>157628.25501640511</v>
      </c>
      <c r="DV52">
        <v>1190.3863339604695</v>
      </c>
      <c r="DW52">
        <v>45519</v>
      </c>
      <c r="DX52">
        <v>763433.4615949383</v>
      </c>
      <c r="DY52">
        <v>16541.058334556998</v>
      </c>
      <c r="DZ52">
        <v>7384.7864930292099</v>
      </c>
      <c r="EA52">
        <v>613.81034482758366</v>
      </c>
      <c r="EB52">
        <v>3828.1351724137935</v>
      </c>
      <c r="EC52">
        <v>27753.98</v>
      </c>
      <c r="ED52">
        <v>756662.48544673668</v>
      </c>
      <c r="EE52">
        <v>6770.9761482016256</v>
      </c>
      <c r="EF52">
        <v>45519</v>
      </c>
      <c r="EG52">
        <v>1220553.0867949491</v>
      </c>
      <c r="EH52">
        <v>26445.316880557231</v>
      </c>
      <c r="EI52">
        <v>13168.993464270356</v>
      </c>
      <c r="EJ52">
        <v>2346.0086206896553</v>
      </c>
      <c r="EK52">
        <v>6338.2896551724143</v>
      </c>
      <c r="EL52">
        <v>45952.6</v>
      </c>
      <c r="EM52">
        <v>1209730.1019513684</v>
      </c>
      <c r="EN52">
        <v>10822.9848435807</v>
      </c>
      <c r="EO52">
        <v>45519</v>
      </c>
      <c r="EP52">
        <v>336898.76057975349</v>
      </c>
      <c r="EQ52">
        <v>6861.4468550709926</v>
      </c>
      <c r="ER52">
        <v>18681.613489756593</v>
      </c>
      <c r="ES52">
        <v>4086.8896551724142</v>
      </c>
      <c r="ET52">
        <v>29629.95</v>
      </c>
      <c r="EU52">
        <v>318217.1470899969</v>
      </c>
      <c r="FN52">
        <v>238297.50000312447</v>
      </c>
      <c r="FO52">
        <v>0</v>
      </c>
      <c r="FP52">
        <v>79432.500001041495</v>
      </c>
      <c r="FQ52">
        <v>0</v>
      </c>
      <c r="FR52">
        <v>92141.700001208126</v>
      </c>
      <c r="FS52">
        <v>158865.00000208296</v>
      </c>
      <c r="FU52">
        <v>45519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C52">
        <v>45505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K52">
        <v>45505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S52">
        <v>45505</v>
      </c>
      <c r="GT52">
        <v>392577.58267074241</v>
      </c>
      <c r="GU52">
        <v>9098.9143229576184</v>
      </c>
      <c r="GV52">
        <v>9206.2753322147946</v>
      </c>
      <c r="GW52">
        <v>2928.8303448275869</v>
      </c>
      <c r="GX52">
        <v>21234.02</v>
      </c>
      <c r="GY52">
        <v>383371.30733852769</v>
      </c>
      <c r="HA52">
        <v>45505</v>
      </c>
      <c r="HB52">
        <v>359105.19825376361</v>
      </c>
      <c r="HC52">
        <v>8479.7724617131116</v>
      </c>
      <c r="HD52">
        <v>7657.9947796662</v>
      </c>
      <c r="HE52">
        <v>2582.0427586206906</v>
      </c>
      <c r="HF52">
        <v>18719.810000000001</v>
      </c>
      <c r="HG52">
        <v>351447.20347409742</v>
      </c>
      <c r="HI52">
        <v>45520</v>
      </c>
      <c r="HJ52">
        <v>326572.07395737153</v>
      </c>
      <c r="HK52">
        <v>8931.262690291218</v>
      </c>
      <c r="HL52">
        <v>5452.0993786743002</v>
      </c>
      <c r="HM52">
        <v>2301.3379310344831</v>
      </c>
      <c r="HN52">
        <v>16684.7</v>
      </c>
      <c r="HO52">
        <v>321119.97457869723</v>
      </c>
      <c r="HQ52">
        <v>45506</v>
      </c>
      <c r="HR52">
        <v>202368.93591353201</v>
      </c>
      <c r="HS52">
        <v>5573.2634282071094</v>
      </c>
      <c r="HT52">
        <v>5148.9176062756478</v>
      </c>
      <c r="HU52">
        <v>1715.5489655172414</v>
      </c>
      <c r="HV52">
        <v>12437.73</v>
      </c>
      <c r="HW52">
        <v>197220.01830725637</v>
      </c>
      <c r="HY52">
        <v>45509</v>
      </c>
      <c r="HZ52">
        <v>287204.84132465738</v>
      </c>
      <c r="IA52">
        <v>2915.7516858553099</v>
      </c>
      <c r="IB52">
        <v>5804.5500382826212</v>
      </c>
      <c r="IC52">
        <v>1395.248275862069</v>
      </c>
      <c r="ID52">
        <v>10115.549999999999</v>
      </c>
      <c r="IE52">
        <v>281400.29128637473</v>
      </c>
      <c r="IG52">
        <v>45464</v>
      </c>
      <c r="IH52">
        <v>76509.469148347853</v>
      </c>
      <c r="II52">
        <v>2709.8184569376076</v>
      </c>
      <c r="IJ52">
        <v>14255.672922372736</v>
      </c>
      <c r="IK52">
        <v>2714.4786206896556</v>
      </c>
      <c r="IL52">
        <v>19679.97</v>
      </c>
      <c r="IM52">
        <v>62253.796225975115</v>
      </c>
      <c r="IP52">
        <v>42634.32758622204</v>
      </c>
      <c r="IQ52">
        <v>0</v>
      </c>
      <c r="IR52">
        <v>42634.32758622204</v>
      </c>
      <c r="IS52">
        <v>0</v>
      </c>
      <c r="IT52">
        <v>49455.820000017571</v>
      </c>
      <c r="IU52">
        <v>0</v>
      </c>
      <c r="IW52">
        <v>45507</v>
      </c>
      <c r="IX52">
        <v>129236.0552364778</v>
      </c>
      <c r="IY52">
        <v>1963.5107154460031</v>
      </c>
      <c r="IZ52">
        <v>8796.8692845539954</v>
      </c>
      <c r="JA52">
        <v>1721.6608000000001</v>
      </c>
      <c r="JB52">
        <v>12482.040800000001</v>
      </c>
      <c r="JC52">
        <v>120439.18595192381</v>
      </c>
      <c r="JE52">
        <v>45522</v>
      </c>
      <c r="JF52">
        <v>62284.161054207827</v>
      </c>
      <c r="JG52">
        <v>1004.7764913579088</v>
      </c>
      <c r="JH52">
        <v>3650.4635086420913</v>
      </c>
      <c r="JI52">
        <v>744.83839999999998</v>
      </c>
      <c r="JJ52">
        <v>5400.0783999999994</v>
      </c>
      <c r="JK52">
        <v>58633.697545565738</v>
      </c>
      <c r="JM52">
        <v>45511</v>
      </c>
      <c r="JN52">
        <v>75778.490388143866</v>
      </c>
      <c r="JO52">
        <v>1401.3640854640814</v>
      </c>
      <c r="JP52">
        <v>3205.7259145359185</v>
      </c>
      <c r="JQ52">
        <v>737.13440000000003</v>
      </c>
      <c r="JR52">
        <v>5344.2244000000001</v>
      </c>
      <c r="JS52">
        <v>72572.764473607953</v>
      </c>
      <c r="JU52">
        <v>45512</v>
      </c>
      <c r="JV52">
        <v>74679.412024061297</v>
      </c>
      <c r="JW52">
        <v>1364.28842447745</v>
      </c>
      <c r="JX52">
        <v>2665.8515755225494</v>
      </c>
      <c r="JY52">
        <v>644.82240000000002</v>
      </c>
      <c r="JZ52">
        <v>4674.9623999999994</v>
      </c>
      <c r="KA52">
        <v>72013.560448538745</v>
      </c>
      <c r="KB52">
        <v>97037.096000017569</v>
      </c>
      <c r="KC52" s="3">
        <v>45506</v>
      </c>
      <c r="KD52" s="9">
        <v>17112648.396693155</v>
      </c>
      <c r="KE52" s="9">
        <v>364655.03736975481</v>
      </c>
      <c r="KF52" s="9">
        <v>361526.49366578471</v>
      </c>
      <c r="KG52" s="9">
        <v>28498.612068965536</v>
      </c>
      <c r="KH52" s="9">
        <v>96658.352551724151</v>
      </c>
      <c r="KI52" s="9">
        <v>842370.57600122539</v>
      </c>
      <c r="KJ52" s="9">
        <v>16779620.515096337</v>
      </c>
      <c r="KK52">
        <v>333027.88159681915</v>
      </c>
      <c r="KL52" t="s">
        <v>1267</v>
      </c>
      <c r="KM52">
        <v>0</v>
      </c>
      <c r="KN52" t="s">
        <v>1264</v>
      </c>
      <c r="KO52" t="s">
        <v>1268</v>
      </c>
      <c r="KP52">
        <v>102083.52</v>
      </c>
      <c r="KQ52" t="s">
        <v>1269</v>
      </c>
    </row>
    <row r="53" spans="1:304" x14ac:dyDescent="0.3">
      <c r="A53">
        <v>45550</v>
      </c>
      <c r="B53">
        <v>334123.69678089517</v>
      </c>
      <c r="C53">
        <v>7239.3467635860625</v>
      </c>
      <c r="D53">
        <v>4932.2394433104901</v>
      </c>
      <c r="E53">
        <v>1878.1982758620693</v>
      </c>
      <c r="F53">
        <v>1947.4537931034488</v>
      </c>
      <c r="G53">
        <v>14119.04</v>
      </c>
      <c r="H53">
        <v>331069.65561344678</v>
      </c>
      <c r="J53">
        <v>45550</v>
      </c>
      <c r="K53">
        <v>421941.56477256131</v>
      </c>
      <c r="L53">
        <v>9142.0672367388288</v>
      </c>
      <c r="M53">
        <v>7375.6051770542754</v>
      </c>
      <c r="N53">
        <v>4149.3017241379312</v>
      </c>
      <c r="O53">
        <v>2642.8275862068972</v>
      </c>
      <c r="P53">
        <v>19160.5</v>
      </c>
      <c r="Q53">
        <v>418715.26131964487</v>
      </c>
      <c r="S53">
        <v>45550</v>
      </c>
      <c r="T53">
        <v>169145.67648256992</v>
      </c>
      <c r="U53">
        <v>3664.822990455682</v>
      </c>
      <c r="V53">
        <v>4160.5476991994901</v>
      </c>
      <c r="W53">
        <v>2856.7844827586209</v>
      </c>
      <c r="X53">
        <v>1252.0593103448275</v>
      </c>
      <c r="Y53">
        <v>9077.43</v>
      </c>
      <c r="Z53">
        <v>167841.91326612904</v>
      </c>
      <c r="AB53">
        <v>45550</v>
      </c>
      <c r="AC53">
        <v>2841313.5169081297</v>
      </c>
      <c r="AD53">
        <v>61561.79286634281</v>
      </c>
      <c r="AE53">
        <v>30667.388168139962</v>
      </c>
      <c r="AF53">
        <v>4696.508620689664</v>
      </c>
      <c r="AG53">
        <v>14756.668965517243</v>
      </c>
      <c r="AH53">
        <v>106985.85</v>
      </c>
      <c r="AI53">
        <v>2815342.6373606795</v>
      </c>
      <c r="AK53">
        <v>45550</v>
      </c>
      <c r="AL53">
        <v>1573838.2475444798</v>
      </c>
      <c r="AM53">
        <v>34099.828696797063</v>
      </c>
      <c r="AN53">
        <v>14387.033372168453</v>
      </c>
      <c r="AO53">
        <v>0</v>
      </c>
      <c r="AP53">
        <v>7757.8979310344848</v>
      </c>
      <c r="AQ53">
        <v>56244.76</v>
      </c>
      <c r="AR53">
        <v>1559451.2141723114</v>
      </c>
      <c r="AT53">
        <v>45550</v>
      </c>
      <c r="AU53">
        <v>1427073.283864531</v>
      </c>
      <c r="AV53">
        <v>30919.921150398171</v>
      </c>
      <c r="AW53">
        <v>15965.104711670792</v>
      </c>
      <c r="AX53">
        <v>2921.0172413793107</v>
      </c>
      <c r="AY53">
        <v>7501.6041379310354</v>
      </c>
      <c r="AZ53">
        <v>54386.63</v>
      </c>
      <c r="BA53">
        <v>1414029.1963942391</v>
      </c>
      <c r="BC53">
        <v>45550</v>
      </c>
      <c r="BD53">
        <v>645536.01657727361</v>
      </c>
      <c r="BE53">
        <v>13986.613692507595</v>
      </c>
      <c r="BF53">
        <v>7311.567341975162</v>
      </c>
      <c r="BG53">
        <v>1411.0775862068965</v>
      </c>
      <c r="BH53">
        <v>3407.7089655172417</v>
      </c>
      <c r="BI53">
        <v>24705.89</v>
      </c>
      <c r="BJ53">
        <v>639635.52682150528</v>
      </c>
      <c r="BL53">
        <v>45550</v>
      </c>
      <c r="BM53">
        <v>1280011.4867606128</v>
      </c>
      <c r="BN53">
        <v>27733.582213146612</v>
      </c>
      <c r="BO53">
        <v>14178.900545474084</v>
      </c>
      <c r="BP53">
        <v>2479.0258620689742</v>
      </c>
      <c r="BQ53">
        <v>6705.9972413793112</v>
      </c>
      <c r="BR53">
        <v>48618.48</v>
      </c>
      <c r="BS53">
        <v>1268311.6120772075</v>
      </c>
      <c r="BU53">
        <v>45550</v>
      </c>
      <c r="BV53">
        <v>2689516.0233085337</v>
      </c>
      <c r="BW53">
        <v>58272.847171684902</v>
      </c>
      <c r="BX53">
        <v>29730.187311073722</v>
      </c>
      <c r="BY53">
        <v>5146.8793103448279</v>
      </c>
      <c r="BZ53">
        <v>14080.485517241381</v>
      </c>
      <c r="CA53">
        <v>102083.52</v>
      </c>
      <c r="CB53">
        <v>2664932.7153078048</v>
      </c>
      <c r="CD53">
        <v>45550</v>
      </c>
      <c r="CE53">
        <v>176731.60293088757</v>
      </c>
      <c r="CF53">
        <v>3829.184730169231</v>
      </c>
      <c r="CG53">
        <v>1361.4618215549067</v>
      </c>
      <c r="CH53">
        <v>0</v>
      </c>
      <c r="CI53">
        <v>830.50344827586218</v>
      </c>
      <c r="CJ53">
        <v>6021.15</v>
      </c>
      <c r="CK53">
        <v>175370.14110933268</v>
      </c>
      <c r="CM53">
        <v>45550</v>
      </c>
      <c r="CN53">
        <v>331293.13324443239</v>
      </c>
      <c r="CO53">
        <v>7178.0178869627025</v>
      </c>
      <c r="CP53">
        <v>2536.9217682097105</v>
      </c>
      <c r="CQ53">
        <v>0</v>
      </c>
      <c r="CR53">
        <v>1554.3903448275864</v>
      </c>
      <c r="CS53">
        <v>11269.33</v>
      </c>
      <c r="CT53">
        <v>328756.21147622267</v>
      </c>
      <c r="CV53">
        <v>45550</v>
      </c>
      <c r="CW53">
        <v>196504.72811905984</v>
      </c>
      <c r="CX53">
        <v>4257.6024425796304</v>
      </c>
      <c r="CY53">
        <v>1596.9406608686461</v>
      </c>
      <c r="CZ53">
        <v>0</v>
      </c>
      <c r="DA53">
        <v>936.72689655172417</v>
      </c>
      <c r="DB53">
        <v>6791.27</v>
      </c>
      <c r="DC53">
        <v>194907.78745819119</v>
      </c>
      <c r="DE53">
        <v>45550</v>
      </c>
      <c r="DF53">
        <v>171016.74866521542</v>
      </c>
      <c r="DG53">
        <v>3705.3628877463343</v>
      </c>
      <c r="DH53">
        <v>1317.9991812191829</v>
      </c>
      <c r="DI53">
        <v>0</v>
      </c>
      <c r="DJ53">
        <v>803.73793103448293</v>
      </c>
      <c r="DK53">
        <v>5827.1</v>
      </c>
      <c r="DL53">
        <v>169698.74948399625</v>
      </c>
      <c r="DN53">
        <v>45550</v>
      </c>
      <c r="DO53">
        <v>157628.25501640511</v>
      </c>
      <c r="DP53">
        <v>3415.2788586887773</v>
      </c>
      <c r="DQ53">
        <v>1216.1780378629464</v>
      </c>
      <c r="DR53">
        <v>0</v>
      </c>
      <c r="DS53">
        <v>741.03310344827605</v>
      </c>
      <c r="DT53">
        <v>5372.49</v>
      </c>
      <c r="DU53">
        <v>156412.07697854217</v>
      </c>
      <c r="DW53">
        <v>45550</v>
      </c>
      <c r="DX53">
        <v>756662.48544673668</v>
      </c>
      <c r="DY53">
        <v>16394.353851345961</v>
      </c>
      <c r="DZ53">
        <v>7531.4909762402467</v>
      </c>
      <c r="EA53">
        <v>613.81034482758366</v>
      </c>
      <c r="EB53">
        <v>3828.1351724137935</v>
      </c>
      <c r="EC53">
        <v>27753.98</v>
      </c>
      <c r="ED53">
        <v>749744.80481532402</v>
      </c>
      <c r="EF53">
        <v>45550</v>
      </c>
      <c r="EG53">
        <v>1209730.1019513684</v>
      </c>
      <c r="EH53">
        <v>26210.818875612986</v>
      </c>
      <c r="EI53">
        <v>13403.491469214605</v>
      </c>
      <c r="EJ53">
        <v>2346.0086206896553</v>
      </c>
      <c r="EK53">
        <v>6338.2896551724143</v>
      </c>
      <c r="EL53">
        <v>45952.6</v>
      </c>
      <c r="EM53">
        <v>1198672.6191028431</v>
      </c>
      <c r="EO53">
        <v>45550</v>
      </c>
      <c r="EP53">
        <v>318217.1470899969</v>
      </c>
      <c r="EQ53">
        <v>6480.9678710986018</v>
      </c>
      <c r="ER53">
        <v>19062.092473728982</v>
      </c>
      <c r="ES53">
        <v>4086.8896551724142</v>
      </c>
      <c r="ET53">
        <v>29629.95</v>
      </c>
      <c r="EU53">
        <v>299155.05461626791</v>
      </c>
      <c r="FN53">
        <v>158865.00000208296</v>
      </c>
      <c r="FP53">
        <v>79432.500001041495</v>
      </c>
      <c r="FR53">
        <v>92141.700001208126</v>
      </c>
      <c r="FS53">
        <v>79432.500001041466</v>
      </c>
      <c r="FU53">
        <v>45550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C53">
        <v>45536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K53">
        <v>45536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S53">
        <v>45536</v>
      </c>
      <c r="GT53">
        <v>383371.30733852769</v>
      </c>
      <c r="GU53">
        <v>8885.5371099453405</v>
      </c>
      <c r="GV53">
        <v>9419.6525452270726</v>
      </c>
      <c r="GW53">
        <v>2928.8303448275869</v>
      </c>
      <c r="GX53">
        <v>21234.02</v>
      </c>
      <c r="GY53">
        <v>373951.65479330055</v>
      </c>
      <c r="HA53">
        <v>45536</v>
      </c>
      <c r="HB53">
        <v>351447.20347409742</v>
      </c>
      <c r="HC53">
        <v>8298.9395092514569</v>
      </c>
      <c r="HD53">
        <v>7838.8277321278547</v>
      </c>
      <c r="HE53">
        <v>2582.0427586206906</v>
      </c>
      <c r="HF53">
        <v>18719.810000000001</v>
      </c>
      <c r="HG53">
        <v>343608.37574196956</v>
      </c>
      <c r="HI53">
        <v>45551</v>
      </c>
      <c r="HJ53">
        <v>321119.97457869723</v>
      </c>
      <c r="HK53">
        <v>8782.1558448269316</v>
      </c>
      <c r="HL53">
        <v>5601.2062241385865</v>
      </c>
      <c r="HM53">
        <v>2301.3379310344831</v>
      </c>
      <c r="HN53">
        <v>16684.7</v>
      </c>
      <c r="HO53">
        <v>315518.76835455862</v>
      </c>
      <c r="HQ53">
        <v>45537</v>
      </c>
      <c r="HR53">
        <v>197220.01830725637</v>
      </c>
      <c r="HS53">
        <v>5431.4616538371083</v>
      </c>
      <c r="HT53">
        <v>5290.7193806456489</v>
      </c>
      <c r="HU53">
        <v>1715.5489655172414</v>
      </c>
      <c r="HV53">
        <v>12437.73</v>
      </c>
      <c r="HW53">
        <v>191929.29892661073</v>
      </c>
      <c r="HY53">
        <v>45540</v>
      </c>
      <c r="HZ53">
        <v>281400.29128637473</v>
      </c>
      <c r="IA53">
        <v>2856.8229209999067</v>
      </c>
      <c r="IB53">
        <v>5863.4788031380249</v>
      </c>
      <c r="IC53">
        <v>1395.248275862069</v>
      </c>
      <c r="ID53">
        <v>10115.549999999999</v>
      </c>
      <c r="IE53">
        <v>275536.81248323672</v>
      </c>
      <c r="IG53">
        <v>45464</v>
      </c>
      <c r="IH53">
        <v>62253.796225975115</v>
      </c>
      <c r="II53">
        <v>2204.9099007664854</v>
      </c>
      <c r="IJ53">
        <v>14760.58147854386</v>
      </c>
      <c r="IK53">
        <v>2714.4786206896556</v>
      </c>
      <c r="IL53">
        <v>19679.97</v>
      </c>
      <c r="IM53">
        <v>47493.214747431251</v>
      </c>
      <c r="IW53">
        <v>45538</v>
      </c>
      <c r="IX53">
        <v>120439.18595192381</v>
      </c>
      <c r="IY53">
        <v>1829.8580202210237</v>
      </c>
      <c r="IZ53">
        <v>8930.5219797789759</v>
      </c>
      <c r="JA53">
        <v>1721.6608000000001</v>
      </c>
      <c r="JB53">
        <v>12482.040800000001</v>
      </c>
      <c r="JC53">
        <v>111508.66397214484</v>
      </c>
      <c r="JE53">
        <v>45553</v>
      </c>
      <c r="JF53">
        <v>58633.697545565738</v>
      </c>
      <c r="JG53">
        <v>945.88672140738811</v>
      </c>
      <c r="JH53">
        <v>3709.3532785926118</v>
      </c>
      <c r="JI53">
        <v>744.83839999999998</v>
      </c>
      <c r="JJ53">
        <v>5400.0783999999994</v>
      </c>
      <c r="JK53">
        <v>54924.344266973123</v>
      </c>
      <c r="JM53">
        <v>45542</v>
      </c>
      <c r="JN53">
        <v>72572.764473607953</v>
      </c>
      <c r="JO53">
        <v>1342.080914983095</v>
      </c>
      <c r="JP53">
        <v>3265.0090850169054</v>
      </c>
      <c r="JQ53">
        <v>737.13440000000003</v>
      </c>
      <c r="JR53">
        <v>5344.2244000000001</v>
      </c>
      <c r="JS53">
        <v>69307.755388591046</v>
      </c>
      <c r="JU53">
        <v>45543</v>
      </c>
      <c r="JV53">
        <v>72013.560448538745</v>
      </c>
      <c r="JW53">
        <v>1315.5870441734839</v>
      </c>
      <c r="JX53">
        <v>2714.5529558265152</v>
      </c>
      <c r="JY53">
        <v>644.82240000000002</v>
      </c>
      <c r="JZ53">
        <v>4674.9623999999994</v>
      </c>
      <c r="KA53">
        <v>69299.007492712233</v>
      </c>
      <c r="KB53">
        <v>47581.275999999998</v>
      </c>
      <c r="KC53" s="3">
        <v>45537</v>
      </c>
      <c r="KD53" s="9">
        <v>16779620.515096337</v>
      </c>
      <c r="KE53" s="9">
        <v>359985.6498262742</v>
      </c>
      <c r="KF53" s="9">
        <v>323561.55362304329</v>
      </c>
      <c r="KG53" s="9">
        <v>28498.612068965536</v>
      </c>
      <c r="KH53" s="9">
        <v>96658.352551724151</v>
      </c>
      <c r="KI53" s="9">
        <v>792914.75600120798</v>
      </c>
      <c r="KJ53" s="9">
        <v>16484557.573542258</v>
      </c>
      <c r="KK53">
        <v>295062.94155407778</v>
      </c>
      <c r="KL53" t="s">
        <v>1270</v>
      </c>
      <c r="KM53">
        <v>0.26</v>
      </c>
      <c r="KN53">
        <v>2.1666666666666667E-2</v>
      </c>
      <c r="KO53" t="s">
        <v>1271</v>
      </c>
      <c r="KP53">
        <v>55654.43965517242</v>
      </c>
      <c r="KQ53" t="s">
        <v>1264</v>
      </c>
    </row>
    <row r="54" spans="1:304" x14ac:dyDescent="0.3">
      <c r="A54">
        <v>45580</v>
      </c>
      <c r="B54">
        <v>331069.65561344678</v>
      </c>
      <c r="C54">
        <v>7173.1758716246804</v>
      </c>
      <c r="D54">
        <v>4998.4103352718721</v>
      </c>
      <c r="E54">
        <v>1878.1982758620693</v>
      </c>
      <c r="F54">
        <v>1947.4537931034488</v>
      </c>
      <c r="G54">
        <v>14119.04</v>
      </c>
      <c r="H54">
        <v>327949.44355403702</v>
      </c>
      <c r="J54">
        <v>45580</v>
      </c>
      <c r="K54">
        <v>418715.26131964487</v>
      </c>
      <c r="L54">
        <v>9072.1639952589721</v>
      </c>
      <c r="M54">
        <v>7445.5084185341293</v>
      </c>
      <c r="N54">
        <v>4149.3017241379312</v>
      </c>
      <c r="O54">
        <v>2642.8275862068972</v>
      </c>
      <c r="P54">
        <v>19160.5</v>
      </c>
      <c r="Q54">
        <v>415419.05462524865</v>
      </c>
      <c r="S54">
        <v>45580</v>
      </c>
      <c r="T54">
        <v>167841.91326612904</v>
      </c>
      <c r="U54">
        <v>3636.5747874327958</v>
      </c>
      <c r="V54">
        <v>4188.7959022223768</v>
      </c>
      <c r="W54">
        <v>2856.7844827586209</v>
      </c>
      <c r="X54">
        <v>1252.0593103448275</v>
      </c>
      <c r="Y54">
        <v>9077.43</v>
      </c>
      <c r="Z54">
        <v>166509.90184666528</v>
      </c>
      <c r="AB54">
        <v>45580</v>
      </c>
      <c r="AC54">
        <v>2815342.6373606795</v>
      </c>
      <c r="AD54">
        <v>60999.090476148056</v>
      </c>
      <c r="AE54">
        <v>31230.090558334712</v>
      </c>
      <c r="AF54">
        <v>4696.508620689664</v>
      </c>
      <c r="AG54">
        <v>14756.668965517243</v>
      </c>
      <c r="AH54">
        <v>106985.85</v>
      </c>
      <c r="AI54">
        <v>2788809.0554230344</v>
      </c>
      <c r="AK54">
        <v>45580</v>
      </c>
      <c r="AL54">
        <v>1559451.2141723114</v>
      </c>
      <c r="AM54">
        <v>33788.109640400078</v>
      </c>
      <c r="AN54">
        <v>14698.752428565436</v>
      </c>
      <c r="AO54">
        <v>0</v>
      </c>
      <c r="AP54">
        <v>7757.8979310344848</v>
      </c>
      <c r="AQ54">
        <v>56244.76</v>
      </c>
      <c r="AR54">
        <v>1544752.461743746</v>
      </c>
      <c r="AT54">
        <v>45580</v>
      </c>
      <c r="AU54">
        <v>1414029.1963942391</v>
      </c>
      <c r="AV54">
        <v>30637.29925520852</v>
      </c>
      <c r="AW54">
        <v>16247.726606860444</v>
      </c>
      <c r="AX54">
        <v>2921.0172413793107</v>
      </c>
      <c r="AY54">
        <v>7501.6041379310354</v>
      </c>
      <c r="AZ54">
        <v>54386.63</v>
      </c>
      <c r="BA54">
        <v>1400702.487028758</v>
      </c>
      <c r="BC54">
        <v>45580</v>
      </c>
      <c r="BD54">
        <v>639635.52682150528</v>
      </c>
      <c r="BE54">
        <v>13858.769747799282</v>
      </c>
      <c r="BF54">
        <v>7439.4112866834748</v>
      </c>
      <c r="BG54">
        <v>1411.0775862068965</v>
      </c>
      <c r="BH54">
        <v>3407.7089655172417</v>
      </c>
      <c r="BI54">
        <v>24705.89</v>
      </c>
      <c r="BJ54">
        <v>633607.1931210286</v>
      </c>
      <c r="BL54">
        <v>45580</v>
      </c>
      <c r="BM54">
        <v>1268311.6120772075</v>
      </c>
      <c r="BN54">
        <v>27480.084928339496</v>
      </c>
      <c r="BO54">
        <v>14432.397830281199</v>
      </c>
      <c r="BP54">
        <v>2479.0258620689742</v>
      </c>
      <c r="BQ54">
        <v>6705.9972413793112</v>
      </c>
      <c r="BR54">
        <v>48618.48</v>
      </c>
      <c r="BS54">
        <v>1256358.2401089952</v>
      </c>
      <c r="BU54">
        <v>45580</v>
      </c>
      <c r="BV54">
        <v>2664932.7153078048</v>
      </c>
      <c r="BW54">
        <v>57740.208831669101</v>
      </c>
      <c r="BX54">
        <v>30262.825651089515</v>
      </c>
      <c r="BY54">
        <v>5146.8793103448279</v>
      </c>
      <c r="BZ54">
        <v>14080.485517241381</v>
      </c>
      <c r="CA54">
        <v>102083.52</v>
      </c>
      <c r="CB54">
        <v>2639816.7689670599</v>
      </c>
      <c r="CD54">
        <v>45580</v>
      </c>
      <c r="CE54">
        <v>175370.14110933268</v>
      </c>
      <c r="CF54">
        <v>3799.686390702208</v>
      </c>
      <c r="CG54">
        <v>1390.9601610219297</v>
      </c>
      <c r="CH54">
        <v>0</v>
      </c>
      <c r="CI54">
        <v>830.50344827586218</v>
      </c>
      <c r="CJ54">
        <v>6021.15</v>
      </c>
      <c r="CK54">
        <v>173979.18094831074</v>
      </c>
      <c r="CM54">
        <v>45580</v>
      </c>
      <c r="CN54">
        <v>328756.21147622267</v>
      </c>
      <c r="CO54">
        <v>7123.0512486514917</v>
      </c>
      <c r="CP54">
        <v>2591.8884065209213</v>
      </c>
      <c r="CQ54">
        <v>0</v>
      </c>
      <c r="CR54">
        <v>1554.3903448275864</v>
      </c>
      <c r="CS54">
        <v>11269.33</v>
      </c>
      <c r="CT54">
        <v>326164.32306970173</v>
      </c>
      <c r="CV54">
        <v>45580</v>
      </c>
      <c r="CW54">
        <v>194907.78745819119</v>
      </c>
      <c r="CX54">
        <v>4223.002061594143</v>
      </c>
      <c r="CY54">
        <v>1631.5410418541333</v>
      </c>
      <c r="CZ54">
        <v>0</v>
      </c>
      <c r="DA54">
        <v>936.72689655172417</v>
      </c>
      <c r="DB54">
        <v>6791.27</v>
      </c>
      <c r="DC54">
        <v>193276.24641633703</v>
      </c>
      <c r="DE54">
        <v>45580</v>
      </c>
      <c r="DF54">
        <v>169698.74948399625</v>
      </c>
      <c r="DG54">
        <v>3676.8062388199182</v>
      </c>
      <c r="DH54">
        <v>1346.5558301455983</v>
      </c>
      <c r="DI54">
        <v>0</v>
      </c>
      <c r="DJ54">
        <v>803.73793103448293</v>
      </c>
      <c r="DK54">
        <v>5827.1</v>
      </c>
      <c r="DL54">
        <v>168352.19365385064</v>
      </c>
      <c r="DN54">
        <v>45580</v>
      </c>
      <c r="DO54">
        <v>156412.07697854217</v>
      </c>
      <c r="DP54">
        <v>3388.9283345350805</v>
      </c>
      <c r="DQ54">
        <v>1242.5285620166433</v>
      </c>
      <c r="DR54">
        <v>0</v>
      </c>
      <c r="DS54">
        <v>741.03310344827605</v>
      </c>
      <c r="DT54">
        <v>5372.49</v>
      </c>
      <c r="DU54">
        <v>155169.54841652553</v>
      </c>
      <c r="DW54">
        <v>45580</v>
      </c>
      <c r="DX54">
        <v>749744.80481532402</v>
      </c>
      <c r="DY54">
        <v>16244.470770998689</v>
      </c>
      <c r="DZ54">
        <v>7681.3740565875196</v>
      </c>
      <c r="EA54">
        <v>613.81034482758366</v>
      </c>
      <c r="EB54">
        <v>3828.1351724137935</v>
      </c>
      <c r="EC54">
        <v>27753.98</v>
      </c>
      <c r="ED54">
        <v>742677.24110356416</v>
      </c>
      <c r="EF54">
        <v>45580</v>
      </c>
      <c r="EG54">
        <v>1198672.6191028431</v>
      </c>
      <c r="EH54">
        <v>25971.240080561605</v>
      </c>
      <c r="EI54">
        <v>13643.070264265982</v>
      </c>
      <c r="EJ54">
        <v>2346.0086206896553</v>
      </c>
      <c r="EK54">
        <v>6338.2896551724143</v>
      </c>
      <c r="EL54">
        <v>45952.6</v>
      </c>
      <c r="EM54">
        <v>1187375.5574592671</v>
      </c>
      <c r="EO54">
        <v>45580</v>
      </c>
      <c r="EP54">
        <v>299155.05461626791</v>
      </c>
      <c r="EQ54">
        <v>6092.7398638780842</v>
      </c>
      <c r="ER54">
        <v>19450.320480949504</v>
      </c>
      <c r="ES54">
        <v>4086.8896551724142</v>
      </c>
      <c r="ET54">
        <v>29629.95</v>
      </c>
      <c r="EU54">
        <v>279704.73413531843</v>
      </c>
      <c r="FN54">
        <v>79432.500001041466</v>
      </c>
      <c r="FP54">
        <v>79432.500001041495</v>
      </c>
      <c r="FR54">
        <v>92141.700001208126</v>
      </c>
      <c r="FS54">
        <v>0</v>
      </c>
      <c r="FU54">
        <v>45580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C54">
        <v>45566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K54">
        <v>45566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S54">
        <v>45566</v>
      </c>
      <c r="GT54">
        <v>373951.65479330055</v>
      </c>
      <c r="GU54">
        <v>8667.2143751677522</v>
      </c>
      <c r="GV54">
        <v>9637.9752800046608</v>
      </c>
      <c r="GW54">
        <v>2928.8303448275869</v>
      </c>
      <c r="GX54">
        <v>21234.02</v>
      </c>
      <c r="GY54">
        <v>364313.67951329582</v>
      </c>
      <c r="HA54">
        <v>45566</v>
      </c>
      <c r="HB54">
        <v>343608.37574196956</v>
      </c>
      <c r="HC54">
        <v>8113.8364367862159</v>
      </c>
      <c r="HD54">
        <v>8023.9308045930957</v>
      </c>
      <c r="HE54">
        <v>2582.0427586206906</v>
      </c>
      <c r="HF54">
        <v>18719.810000000001</v>
      </c>
      <c r="HG54">
        <v>335584.44493737648</v>
      </c>
      <c r="HI54">
        <v>45581</v>
      </c>
      <c r="HJ54">
        <v>315518.76835455862</v>
      </c>
      <c r="HK54">
        <v>8628.9711479112775</v>
      </c>
      <c r="HL54">
        <v>5754.3909210542406</v>
      </c>
      <c r="HM54">
        <v>2301.3379310344831</v>
      </c>
      <c r="HN54">
        <v>16684.7</v>
      </c>
      <c r="HO54">
        <v>309764.37743350439</v>
      </c>
      <c r="HQ54">
        <v>45567</v>
      </c>
      <c r="HR54">
        <v>191929.29892661073</v>
      </c>
      <c r="HS54">
        <v>5285.7546425314904</v>
      </c>
      <c r="HT54">
        <v>5436.4263919512669</v>
      </c>
      <c r="HU54">
        <v>1715.5489655172414</v>
      </c>
      <c r="HV54">
        <v>12437.73</v>
      </c>
      <c r="HW54">
        <v>186492.87253465943</v>
      </c>
      <c r="HY54">
        <v>45570</v>
      </c>
      <c r="HZ54">
        <v>275536.81248323672</v>
      </c>
      <c r="IA54">
        <v>2797.2959014469857</v>
      </c>
      <c r="IB54">
        <v>5923.0058226909459</v>
      </c>
      <c r="IC54">
        <v>1395.248275862069</v>
      </c>
      <c r="ID54">
        <v>10115.549999999999</v>
      </c>
      <c r="IE54">
        <v>269613.80666054576</v>
      </c>
      <c r="IG54">
        <v>45464</v>
      </c>
      <c r="IH54">
        <v>47493.214747431251</v>
      </c>
      <c r="II54">
        <v>1682.1184532381469</v>
      </c>
      <c r="IJ54">
        <v>15283.372926072198</v>
      </c>
      <c r="IK54">
        <v>2714.4786206896556</v>
      </c>
      <c r="IL54">
        <v>19679.97</v>
      </c>
      <c r="IM54">
        <v>32209.841821359056</v>
      </c>
      <c r="IW54">
        <v>45568</v>
      </c>
      <c r="IX54">
        <v>111508.66397214484</v>
      </c>
      <c r="IY54">
        <v>1694.1747113353108</v>
      </c>
      <c r="IZ54">
        <v>9066.2052886646889</v>
      </c>
      <c r="JA54">
        <v>1721.6608000000001</v>
      </c>
      <c r="JB54">
        <v>12482.040800000001</v>
      </c>
      <c r="JC54">
        <v>102442.45868348014</v>
      </c>
      <c r="JE54">
        <v>45583</v>
      </c>
      <c r="JF54">
        <v>54924.344266973123</v>
      </c>
      <c r="JG54">
        <v>886.04693374086639</v>
      </c>
      <c r="JH54">
        <v>3769.1930662591335</v>
      </c>
      <c r="JI54">
        <v>744.83839999999998</v>
      </c>
      <c r="JJ54">
        <v>5400.0783999999994</v>
      </c>
      <c r="JK54">
        <v>51155.15120071399</v>
      </c>
      <c r="JM54">
        <v>45572</v>
      </c>
      <c r="JN54">
        <v>69307.755388591046</v>
      </c>
      <c r="JO54">
        <v>1281.7014267269856</v>
      </c>
      <c r="JP54">
        <v>3325.3885732730146</v>
      </c>
      <c r="JQ54">
        <v>737.13440000000003</v>
      </c>
      <c r="JR54">
        <v>5344.2244000000001</v>
      </c>
      <c r="JS54">
        <v>65982.366815318033</v>
      </c>
      <c r="JU54">
        <v>45573</v>
      </c>
      <c r="JV54">
        <v>69299.007492712233</v>
      </c>
      <c r="JW54">
        <v>1265.9959577563609</v>
      </c>
      <c r="JX54">
        <v>2764.1440422436385</v>
      </c>
      <c r="JY54">
        <v>644.82240000000002</v>
      </c>
      <c r="JZ54">
        <v>4674.9623999999994</v>
      </c>
      <c r="KA54">
        <v>66534.863450468591</v>
      </c>
      <c r="KB54">
        <v>47581.275999999998</v>
      </c>
      <c r="KC54" s="3">
        <v>45567</v>
      </c>
      <c r="KD54" s="9">
        <v>16484557.573542258</v>
      </c>
      <c r="KE54" s="9">
        <v>355208.51251026359</v>
      </c>
      <c r="KF54" s="9">
        <v>328338.69093905383</v>
      </c>
      <c r="KG54" s="9">
        <v>28498.612068965536</v>
      </c>
      <c r="KH54" s="9">
        <v>96658.352551724151</v>
      </c>
      <c r="KI54" s="9">
        <v>792914.75600120798</v>
      </c>
      <c r="KJ54" s="9">
        <v>16184717.494672168</v>
      </c>
    </row>
    <row r="55" spans="1:304" x14ac:dyDescent="0.3">
      <c r="A55">
        <v>45611</v>
      </c>
      <c r="B55">
        <v>327949.44355403702</v>
      </c>
      <c r="C55">
        <v>7105.5712770041355</v>
      </c>
      <c r="D55">
        <v>5066.0149298924171</v>
      </c>
      <c r="E55">
        <v>1878.1982758620693</v>
      </c>
      <c r="F55">
        <v>1947.4537931034488</v>
      </c>
      <c r="G55">
        <v>14119.04</v>
      </c>
      <c r="H55">
        <v>324761.62690000667</v>
      </c>
      <c r="J55">
        <v>45611</v>
      </c>
      <c r="K55">
        <v>415419.05462524865</v>
      </c>
      <c r="L55">
        <v>9000.7461835470549</v>
      </c>
      <c r="M55">
        <v>7516.9262302460465</v>
      </c>
      <c r="N55">
        <v>4149.3017241379312</v>
      </c>
      <c r="O55">
        <v>2642.8275862068972</v>
      </c>
      <c r="P55">
        <v>19160.5</v>
      </c>
      <c r="Q55">
        <v>412051.43011914054</v>
      </c>
      <c r="S55">
        <v>45611</v>
      </c>
      <c r="T55">
        <v>166509.90184666528</v>
      </c>
      <c r="U55">
        <v>3607.7145400110817</v>
      </c>
      <c r="V55">
        <v>4217.6561496440909</v>
      </c>
      <c r="W55">
        <v>2856.7844827586209</v>
      </c>
      <c r="X55">
        <v>1252.0593103448275</v>
      </c>
      <c r="Y55">
        <v>9077.43</v>
      </c>
      <c r="Z55">
        <v>165149.0301797798</v>
      </c>
      <c r="AB55">
        <v>45611</v>
      </c>
      <c r="AC55">
        <v>2788809.0554230344</v>
      </c>
      <c r="AD55">
        <v>60424.196200832419</v>
      </c>
      <c r="AE55">
        <v>31804.984833650356</v>
      </c>
      <c r="AF55">
        <v>4696.508620689664</v>
      </c>
      <c r="AG55">
        <v>14756.668965517243</v>
      </c>
      <c r="AH55">
        <v>106985.85</v>
      </c>
      <c r="AI55">
        <v>2761700.5792100737</v>
      </c>
      <c r="AK55">
        <v>45611</v>
      </c>
      <c r="AL55">
        <v>1544752.461743746</v>
      </c>
      <c r="AM55">
        <v>33469.636671114495</v>
      </c>
      <c r="AN55">
        <v>15017.22539785102</v>
      </c>
      <c r="AO55">
        <v>0</v>
      </c>
      <c r="AP55">
        <v>7757.8979310344848</v>
      </c>
      <c r="AQ55">
        <v>56244.76</v>
      </c>
      <c r="AR55">
        <v>1529735.2363458949</v>
      </c>
      <c r="AT55">
        <v>45611</v>
      </c>
      <c r="AU55">
        <v>1400702.487028758</v>
      </c>
      <c r="AV55">
        <v>30348.553885623092</v>
      </c>
      <c r="AW55">
        <v>16536.471976445871</v>
      </c>
      <c r="AX55">
        <v>2921.0172413793107</v>
      </c>
      <c r="AY55">
        <v>7501.6041379310354</v>
      </c>
      <c r="AZ55">
        <v>54386.63</v>
      </c>
      <c r="BA55">
        <v>1387087.0322936913</v>
      </c>
      <c r="BC55">
        <v>45611</v>
      </c>
      <c r="BD55">
        <v>633607.1931210286</v>
      </c>
      <c r="BE55">
        <v>13728.15585095562</v>
      </c>
      <c r="BF55">
        <v>7570.0251835271374</v>
      </c>
      <c r="BG55">
        <v>1411.0775862068965</v>
      </c>
      <c r="BH55">
        <v>3407.7089655172417</v>
      </c>
      <c r="BI55">
        <v>24705.89</v>
      </c>
      <c r="BJ55">
        <v>627448.24552370829</v>
      </c>
      <c r="BL55">
        <v>45611</v>
      </c>
      <c r="BM55">
        <v>1256358.2401089952</v>
      </c>
      <c r="BN55">
        <v>27221.095202361565</v>
      </c>
      <c r="BO55">
        <v>14691.387556259133</v>
      </c>
      <c r="BP55">
        <v>2479.0258620689742</v>
      </c>
      <c r="BQ55">
        <v>6705.9972413793112</v>
      </c>
      <c r="BR55">
        <v>48618.48</v>
      </c>
      <c r="BS55">
        <v>1244145.878414805</v>
      </c>
      <c r="BU55">
        <v>45611</v>
      </c>
      <c r="BV55">
        <v>2639816.7689670599</v>
      </c>
      <c r="BW55">
        <v>57196.029994286298</v>
      </c>
      <c r="BX55">
        <v>30807.004488472325</v>
      </c>
      <c r="BY55">
        <v>5146.8793103448279</v>
      </c>
      <c r="BZ55">
        <v>14080.485517241381</v>
      </c>
      <c r="CA55">
        <v>102083.52</v>
      </c>
      <c r="CB55">
        <v>2614156.6437889324</v>
      </c>
      <c r="CD55">
        <v>45611</v>
      </c>
      <c r="CE55">
        <v>173979.18094831074</v>
      </c>
      <c r="CF55">
        <v>3769.5489205467329</v>
      </c>
      <c r="CG55">
        <v>1421.0976311774048</v>
      </c>
      <c r="CH55">
        <v>0</v>
      </c>
      <c r="CI55">
        <v>830.50344827586218</v>
      </c>
      <c r="CJ55">
        <v>6021.15</v>
      </c>
      <c r="CK55">
        <v>172558.08331713334</v>
      </c>
      <c r="CM55">
        <v>45611</v>
      </c>
      <c r="CN55">
        <v>326164.32306970173</v>
      </c>
      <c r="CO55">
        <v>7066.8936665102046</v>
      </c>
      <c r="CP55">
        <v>2648.0459886622084</v>
      </c>
      <c r="CQ55">
        <v>0</v>
      </c>
      <c r="CR55">
        <v>1554.3903448275864</v>
      </c>
      <c r="CS55">
        <v>11269.33</v>
      </c>
      <c r="CT55">
        <v>323516.2770810395</v>
      </c>
      <c r="CV55">
        <v>45611</v>
      </c>
      <c r="CW55">
        <v>193276.24641633703</v>
      </c>
      <c r="CX55">
        <v>4187.6520056873032</v>
      </c>
      <c r="CY55">
        <v>1666.891097760973</v>
      </c>
      <c r="CZ55">
        <v>0</v>
      </c>
      <c r="DA55">
        <v>936.72689655172417</v>
      </c>
      <c r="DB55">
        <v>6791.27</v>
      </c>
      <c r="DC55">
        <v>191609.3553185761</v>
      </c>
      <c r="DE55">
        <v>45611</v>
      </c>
      <c r="DF55">
        <v>168352.19365385064</v>
      </c>
      <c r="DG55">
        <v>3647.6308625000975</v>
      </c>
      <c r="DH55">
        <v>1375.7312064654195</v>
      </c>
      <c r="DI55">
        <v>0</v>
      </c>
      <c r="DJ55">
        <v>803.73793103448293</v>
      </c>
      <c r="DK55">
        <v>5827.1</v>
      </c>
      <c r="DL55">
        <v>166976.46244738522</v>
      </c>
      <c r="DN55">
        <v>45611</v>
      </c>
      <c r="DO55">
        <v>155169.54841652553</v>
      </c>
      <c r="DP55">
        <v>3362.0068823580532</v>
      </c>
      <c r="DQ55">
        <v>1269.4500141936703</v>
      </c>
      <c r="DR55">
        <v>0</v>
      </c>
      <c r="DS55">
        <v>741.03310344827605</v>
      </c>
      <c r="DT55">
        <v>5372.49</v>
      </c>
      <c r="DU55">
        <v>153900.09840233187</v>
      </c>
      <c r="DW55">
        <v>45611</v>
      </c>
      <c r="DX55">
        <v>742677.24110356416</v>
      </c>
      <c r="DY55">
        <v>16091.340223910558</v>
      </c>
      <c r="DZ55">
        <v>7834.5046036756476</v>
      </c>
      <c r="EA55">
        <v>613.81034482758366</v>
      </c>
      <c r="EB55">
        <v>3828.1351724137935</v>
      </c>
      <c r="EC55">
        <v>27753.98</v>
      </c>
      <c r="ED55">
        <v>735456.54684471595</v>
      </c>
      <c r="EF55">
        <v>45611</v>
      </c>
      <c r="EG55">
        <v>1187375.5574592671</v>
      </c>
      <c r="EH55">
        <v>25726.470411617454</v>
      </c>
      <c r="EI55">
        <v>13887.839933210133</v>
      </c>
      <c r="EJ55">
        <v>2346.0086206896553</v>
      </c>
      <c r="EK55">
        <v>6338.2896551724143</v>
      </c>
      <c r="EL55">
        <v>45952.6</v>
      </c>
      <c r="EM55">
        <v>1175833.7261467469</v>
      </c>
      <c r="EO55">
        <v>45611</v>
      </c>
      <c r="EP55">
        <v>279704.73413531843</v>
      </c>
      <c r="EQ55">
        <v>5696.6050129677596</v>
      </c>
      <c r="ER55">
        <v>19846.455331859823</v>
      </c>
      <c r="ES55">
        <v>4086.8896551724142</v>
      </c>
      <c r="ET55">
        <v>29629.95</v>
      </c>
      <c r="EU55">
        <v>259858.27880345861</v>
      </c>
      <c r="FU55">
        <v>45611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C55">
        <v>45597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K55">
        <v>45597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S55">
        <v>45597</v>
      </c>
      <c r="GT55">
        <v>364313.67951329582</v>
      </c>
      <c r="GU55">
        <v>8443.8314944567664</v>
      </c>
      <c r="GV55">
        <v>9861.3581607156466</v>
      </c>
      <c r="GW55">
        <v>2928.8303448275869</v>
      </c>
      <c r="GX55">
        <v>21234.02</v>
      </c>
      <c r="GY55">
        <v>354452.32135258021</v>
      </c>
      <c r="HA55">
        <v>45597</v>
      </c>
      <c r="HB55">
        <v>335584.44493737648</v>
      </c>
      <c r="HC55">
        <v>7924.3624113408978</v>
      </c>
      <c r="HD55">
        <v>8213.4048300384147</v>
      </c>
      <c r="HE55">
        <v>2582.0427586206906</v>
      </c>
      <c r="HF55">
        <v>18719.810000000001</v>
      </c>
      <c r="HG55">
        <v>327371.04010733805</v>
      </c>
      <c r="HI55">
        <v>45612</v>
      </c>
      <c r="HJ55">
        <v>309764.37743350439</v>
      </c>
      <c r="HK55">
        <v>8471.5970763448568</v>
      </c>
      <c r="HL55">
        <v>5911.7649926206614</v>
      </c>
      <c r="HM55">
        <v>2301.3379310344831</v>
      </c>
      <c r="HN55">
        <v>16684.7</v>
      </c>
      <c r="HO55">
        <v>303852.61244088371</v>
      </c>
      <c r="HQ55">
        <v>45598</v>
      </c>
      <c r="HR55">
        <v>186492.87253465943</v>
      </c>
      <c r="HS55">
        <v>5136.0348436224922</v>
      </c>
      <c r="HT55">
        <v>5586.1461908602651</v>
      </c>
      <c r="HU55">
        <v>1715.5489655172414</v>
      </c>
      <c r="HV55">
        <v>12437.73</v>
      </c>
      <c r="HW55">
        <v>180906.72634379921</v>
      </c>
      <c r="HY55">
        <v>45601</v>
      </c>
      <c r="HZ55">
        <v>269613.80666054576</v>
      </c>
      <c r="IA55">
        <v>2737.1645536145861</v>
      </c>
      <c r="IB55">
        <v>5983.137170523345</v>
      </c>
      <c r="IC55">
        <v>1395.248275862069</v>
      </c>
      <c r="ID55">
        <v>10115.549999999999</v>
      </c>
      <c r="IE55">
        <v>263630.66949002241</v>
      </c>
      <c r="IG55">
        <v>45464</v>
      </c>
      <c r="IH55">
        <v>32209.841821359056</v>
      </c>
      <c r="II55">
        <v>1140.8107366857139</v>
      </c>
      <c r="IJ55">
        <v>15824.680642624628</v>
      </c>
      <c r="IK55">
        <v>2714.4786206896556</v>
      </c>
      <c r="IL55">
        <v>19679.97</v>
      </c>
      <c r="IM55">
        <v>16385.161178734426</v>
      </c>
      <c r="IW55">
        <v>45599</v>
      </c>
      <c r="IX55">
        <v>102442.45868348014</v>
      </c>
      <c r="IY55">
        <v>1556.4299372461237</v>
      </c>
      <c r="IZ55">
        <v>9203.9500627538764</v>
      </c>
      <c r="JA55">
        <v>1721.6608000000001</v>
      </c>
      <c r="JB55">
        <v>12482.040800000001</v>
      </c>
      <c r="JC55">
        <v>93238.508620726265</v>
      </c>
      <c r="JE55">
        <v>45614</v>
      </c>
      <c r="JF55">
        <v>51155.15120071399</v>
      </c>
      <c r="JG55">
        <v>825.24180254434452</v>
      </c>
      <c r="JH55">
        <v>3829.9981974556554</v>
      </c>
      <c r="JI55">
        <v>744.83839999999998</v>
      </c>
      <c r="JJ55">
        <v>5400.0783999999994</v>
      </c>
      <c r="JK55">
        <v>47325.15300325834</v>
      </c>
      <c r="JM55">
        <v>45603</v>
      </c>
      <c r="JN55">
        <v>65982.366815318033</v>
      </c>
      <c r="JO55">
        <v>1220.2053466001828</v>
      </c>
      <c r="JP55">
        <v>3386.8846533998176</v>
      </c>
      <c r="JQ55">
        <v>737.13440000000003</v>
      </c>
      <c r="JR55">
        <v>5344.2244000000001</v>
      </c>
      <c r="JS55">
        <v>62595.482161918218</v>
      </c>
      <c r="JU55">
        <v>45604</v>
      </c>
      <c r="JV55">
        <v>66534.863450468591</v>
      </c>
      <c r="JW55">
        <v>1215.4989115395765</v>
      </c>
      <c r="JX55">
        <v>2814.6410884604229</v>
      </c>
      <c r="JY55">
        <v>644.82240000000002</v>
      </c>
      <c r="JZ55">
        <v>4674.9623999999994</v>
      </c>
      <c r="KA55">
        <v>63720.222362008157</v>
      </c>
      <c r="KB55">
        <v>47581.275999999998</v>
      </c>
      <c r="KC55" s="3">
        <v>45598</v>
      </c>
      <c r="KD55" s="9">
        <v>16184717.494672168</v>
      </c>
      <c r="KE55" s="9">
        <v>350321.02490582946</v>
      </c>
      <c r="KF55" s="9">
        <v>253793.67854244632</v>
      </c>
      <c r="KG55" s="9">
        <v>28498.612068965536</v>
      </c>
      <c r="KH55" s="9">
        <v>96658.352551724151</v>
      </c>
      <c r="KI55" s="9">
        <v>700773.05599999987</v>
      </c>
      <c r="KJ55" s="9">
        <v>15959422.428198686</v>
      </c>
      <c r="KL55" t="s">
        <v>1185</v>
      </c>
      <c r="KN55">
        <v>88492</v>
      </c>
      <c r="KO55" t="s">
        <v>1186</v>
      </c>
    </row>
    <row r="56" spans="1:304" x14ac:dyDescent="0.3">
      <c r="A56">
        <v>45641</v>
      </c>
      <c r="B56">
        <v>324761.62690000667</v>
      </c>
      <c r="C56">
        <v>7036.5019161668115</v>
      </c>
      <c r="D56">
        <v>5135.084290729741</v>
      </c>
      <c r="E56">
        <v>1878.1982758620693</v>
      </c>
      <c r="F56">
        <v>1947.4537931034488</v>
      </c>
      <c r="G56">
        <v>14119.04</v>
      </c>
      <c r="H56">
        <v>321504.74088513904</v>
      </c>
      <c r="J56">
        <v>45641</v>
      </c>
      <c r="K56">
        <v>412051.43011914054</v>
      </c>
      <c r="L56">
        <v>8927.7809859147128</v>
      </c>
      <c r="M56">
        <v>7589.8914278783886</v>
      </c>
      <c r="N56">
        <v>4149.3017241379312</v>
      </c>
      <c r="O56">
        <v>2642.8275862068972</v>
      </c>
      <c r="P56">
        <v>19160.5</v>
      </c>
      <c r="Q56">
        <v>408610.8404154001</v>
      </c>
      <c r="S56">
        <v>45641</v>
      </c>
      <c r="T56">
        <v>165149.0301797798</v>
      </c>
      <c r="U56">
        <v>3578.2289872285623</v>
      </c>
      <c r="V56">
        <v>4247.1417024266102</v>
      </c>
      <c r="W56">
        <v>2856.7844827586209</v>
      </c>
      <c r="X56">
        <v>1252.0593103448275</v>
      </c>
      <c r="Y56">
        <v>9077.43</v>
      </c>
      <c r="Z56">
        <v>163758.67296011181</v>
      </c>
      <c r="AB56">
        <v>45641</v>
      </c>
      <c r="AC56">
        <v>2761700.5792100737</v>
      </c>
      <c r="AD56">
        <v>59836.845882884933</v>
      </c>
      <c r="AE56">
        <v>32392.335151597836</v>
      </c>
      <c r="AF56">
        <v>4696.508620689664</v>
      </c>
      <c r="AG56">
        <v>14756.668965517243</v>
      </c>
      <c r="AH56">
        <v>106985.85</v>
      </c>
      <c r="AI56">
        <v>2734004.7526791655</v>
      </c>
      <c r="AK56">
        <v>45641</v>
      </c>
      <c r="AL56">
        <v>1529735.2363458949</v>
      </c>
      <c r="AM56">
        <v>33144.263454161053</v>
      </c>
      <c r="AN56">
        <v>15342.598614804459</v>
      </c>
      <c r="AO56">
        <v>0</v>
      </c>
      <c r="AP56">
        <v>7757.8979310344848</v>
      </c>
      <c r="AQ56">
        <v>56244.76</v>
      </c>
      <c r="AR56">
        <v>1514392.6377310904</v>
      </c>
      <c r="AT56">
        <v>45641</v>
      </c>
      <c r="AU56">
        <v>1387087.0322936913</v>
      </c>
      <c r="AV56">
        <v>30053.55236636331</v>
      </c>
      <c r="AW56">
        <v>16831.47349570565</v>
      </c>
      <c r="AX56">
        <v>2921.0172413793107</v>
      </c>
      <c r="AY56">
        <v>7501.6041379310354</v>
      </c>
      <c r="AZ56">
        <v>54386.63</v>
      </c>
      <c r="BA56">
        <v>1373176.5760393648</v>
      </c>
      <c r="BC56">
        <v>45641</v>
      </c>
      <c r="BD56">
        <v>627448.24552370829</v>
      </c>
      <c r="BE56">
        <v>13594.711986347014</v>
      </c>
      <c r="BF56">
        <v>7703.469048135742</v>
      </c>
      <c r="BG56">
        <v>1411.0775862068965</v>
      </c>
      <c r="BH56">
        <v>3407.7089655172417</v>
      </c>
      <c r="BI56">
        <v>24705.89</v>
      </c>
      <c r="BJ56">
        <v>621155.85406177933</v>
      </c>
      <c r="BL56">
        <v>45641</v>
      </c>
      <c r="BM56">
        <v>1244145.878414805</v>
      </c>
      <c r="BN56">
        <v>26956.494032320777</v>
      </c>
      <c r="BO56">
        <v>14955.988726299918</v>
      </c>
      <c r="BP56">
        <v>2479.0258620689742</v>
      </c>
      <c r="BQ56">
        <v>6705.9972413793112</v>
      </c>
      <c r="BR56">
        <v>48618.48</v>
      </c>
      <c r="BS56">
        <v>1231668.915550574</v>
      </c>
      <c r="BU56">
        <v>45641</v>
      </c>
      <c r="BV56">
        <v>2614156.6437889324</v>
      </c>
      <c r="BW56">
        <v>56640.060615426861</v>
      </c>
      <c r="BX56">
        <v>31362.973867331755</v>
      </c>
      <c r="BY56">
        <v>5146.8793103448279</v>
      </c>
      <c r="BZ56">
        <v>14080.485517241381</v>
      </c>
      <c r="CA56">
        <v>102083.52</v>
      </c>
      <c r="CB56">
        <v>2587940.5492319455</v>
      </c>
      <c r="CD56">
        <v>45641</v>
      </c>
      <c r="CE56">
        <v>172558.08331713334</v>
      </c>
      <c r="CF56">
        <v>3738.7584718712224</v>
      </c>
      <c r="CG56">
        <v>1451.8880798529151</v>
      </c>
      <c r="CH56">
        <v>0</v>
      </c>
      <c r="CI56">
        <v>830.50344827586218</v>
      </c>
      <c r="CJ56">
        <v>6021.15</v>
      </c>
      <c r="CK56">
        <v>171106.19523728042</v>
      </c>
      <c r="CM56">
        <v>45641</v>
      </c>
      <c r="CN56">
        <v>323516.2770810395</v>
      </c>
      <c r="CO56">
        <v>7009.5193367558559</v>
      </c>
      <c r="CP56">
        <v>2705.4203184165572</v>
      </c>
      <c r="CQ56">
        <v>0</v>
      </c>
      <c r="CR56">
        <v>1554.3903448275864</v>
      </c>
      <c r="CS56">
        <v>11269.33</v>
      </c>
      <c r="CT56">
        <v>320810.85676262295</v>
      </c>
      <c r="CV56">
        <v>45641</v>
      </c>
      <c r="CW56">
        <v>191609.3553185761</v>
      </c>
      <c r="CX56">
        <v>4151.5360319024821</v>
      </c>
      <c r="CY56">
        <v>1703.0070715457939</v>
      </c>
      <c r="CZ56">
        <v>0</v>
      </c>
      <c r="DA56">
        <v>936.72689655172417</v>
      </c>
      <c r="DB56">
        <v>6791.27</v>
      </c>
      <c r="DC56">
        <v>189906.34824703031</v>
      </c>
      <c r="DE56">
        <v>45641</v>
      </c>
      <c r="DF56">
        <v>166976.46244738522</v>
      </c>
      <c r="DG56">
        <v>3617.8233530266798</v>
      </c>
      <c r="DH56">
        <v>1405.5387159388374</v>
      </c>
      <c r="DI56">
        <v>0</v>
      </c>
      <c r="DJ56">
        <v>803.73793103448293</v>
      </c>
      <c r="DK56">
        <v>5827.1</v>
      </c>
      <c r="DL56">
        <v>165570.92373144638</v>
      </c>
      <c r="DN56">
        <v>45641</v>
      </c>
      <c r="DO56">
        <v>153900.09840233187</v>
      </c>
      <c r="DP56">
        <v>3334.5021320505239</v>
      </c>
      <c r="DQ56">
        <v>1296.9547645012001</v>
      </c>
      <c r="DR56">
        <v>0</v>
      </c>
      <c r="DS56">
        <v>741.03310344827605</v>
      </c>
      <c r="DT56">
        <v>5372.49</v>
      </c>
      <c r="DU56">
        <v>152603.14363783068</v>
      </c>
      <c r="DW56">
        <v>45641</v>
      </c>
      <c r="DX56">
        <v>735456.54684471595</v>
      </c>
      <c r="DY56">
        <v>15934.891848302184</v>
      </c>
      <c r="DZ56">
        <v>7990.952979284024</v>
      </c>
      <c r="EA56">
        <v>613.81034482758366</v>
      </c>
      <c r="EB56">
        <v>3828.1351724137935</v>
      </c>
      <c r="EC56">
        <v>27753.98</v>
      </c>
      <c r="ED56">
        <v>728079.40421025967</v>
      </c>
      <c r="EF56">
        <v>45641</v>
      </c>
      <c r="EG56">
        <v>1175833.7261467469</v>
      </c>
      <c r="EH56">
        <v>25476.397399846177</v>
      </c>
      <c r="EI56">
        <v>14137.91294498141</v>
      </c>
      <c r="EJ56">
        <v>2346.0086206896553</v>
      </c>
      <c r="EK56">
        <v>6338.2896551724143</v>
      </c>
      <c r="EL56">
        <v>45952.6</v>
      </c>
      <c r="EM56">
        <v>1164041.8218224547</v>
      </c>
      <c r="EO56">
        <v>45641</v>
      </c>
      <c r="EP56">
        <v>259858.27880345861</v>
      </c>
      <c r="EQ56">
        <v>5292.4022836767444</v>
      </c>
      <c r="ER56">
        <v>20250.658061150843</v>
      </c>
      <c r="ES56">
        <v>4086.8896551724142</v>
      </c>
      <c r="ET56">
        <v>29629.95</v>
      </c>
      <c r="EU56">
        <v>239607.62074230777</v>
      </c>
      <c r="FU56">
        <v>45641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C56">
        <v>45627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K56">
        <v>45627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S56">
        <v>45627</v>
      </c>
      <c r="GT56">
        <v>354452.32135258021</v>
      </c>
      <c r="GU56">
        <v>8215.2711869579907</v>
      </c>
      <c r="GV56">
        <v>10089.918468214422</v>
      </c>
      <c r="GW56">
        <v>2928.8303448275869</v>
      </c>
      <c r="GX56">
        <v>21234.02</v>
      </c>
      <c r="GY56">
        <v>344362.40288436582</v>
      </c>
      <c r="HA56">
        <v>45627</v>
      </c>
      <c r="HB56">
        <v>327371.04010733805</v>
      </c>
      <c r="HC56">
        <v>7730.4142189077584</v>
      </c>
      <c r="HD56">
        <v>8407.3530224715541</v>
      </c>
      <c r="HE56">
        <v>2582.0427586206906</v>
      </c>
      <c r="HF56">
        <v>18719.810000000001</v>
      </c>
      <c r="HG56">
        <v>318963.68708486651</v>
      </c>
      <c r="HI56">
        <v>45642</v>
      </c>
      <c r="HJ56">
        <v>303852.61244088371</v>
      </c>
      <c r="HK56">
        <v>8309.9190569338789</v>
      </c>
      <c r="HL56">
        <v>6073.4430120316392</v>
      </c>
      <c r="HM56">
        <v>2301.3379310344831</v>
      </c>
      <c r="HN56">
        <v>16684.7</v>
      </c>
      <c r="HO56">
        <v>297779.16942885204</v>
      </c>
      <c r="HQ56">
        <v>45628</v>
      </c>
      <c r="HR56">
        <v>180906.72634379921</v>
      </c>
      <c r="HS56">
        <v>4982.191744484775</v>
      </c>
      <c r="HT56">
        <v>5739.9892899979823</v>
      </c>
      <c r="HU56">
        <v>1715.5489655172414</v>
      </c>
      <c r="HV56">
        <v>12437.73</v>
      </c>
      <c r="HW56">
        <v>175166.73705380122</v>
      </c>
      <c r="HY56">
        <v>45631</v>
      </c>
      <c r="HZ56">
        <v>263630.66949002241</v>
      </c>
      <c r="IA56">
        <v>2676.4227422607278</v>
      </c>
      <c r="IB56">
        <v>6043.8789818772029</v>
      </c>
      <c r="IC56">
        <v>1395.248275862069</v>
      </c>
      <c r="ID56">
        <v>10115.549999999999</v>
      </c>
      <c r="IE56">
        <v>257586.7905081452</v>
      </c>
      <c r="IG56">
        <v>45464</v>
      </c>
      <c r="IH56">
        <v>16385.161178734426</v>
      </c>
      <c r="II56">
        <v>580.33094042178323</v>
      </c>
      <c r="IJ56">
        <v>16385.160438888561</v>
      </c>
      <c r="IK56">
        <v>2714.4786206896556</v>
      </c>
      <c r="IL56">
        <v>19679.97</v>
      </c>
      <c r="IM56">
        <v>7.3984586560982269E-4</v>
      </c>
      <c r="IX56">
        <v>93238.508620726265</v>
      </c>
      <c r="IY56">
        <v>0</v>
      </c>
      <c r="IZ56">
        <v>93238.508620726265</v>
      </c>
      <c r="JA56">
        <v>0</v>
      </c>
      <c r="JB56">
        <v>108156.67000004246</v>
      </c>
      <c r="JC56">
        <v>0</v>
      </c>
      <c r="JE56">
        <v>45644</v>
      </c>
      <c r="JF56">
        <v>47325.15300325834</v>
      </c>
      <c r="JG56">
        <v>763.45575476572355</v>
      </c>
      <c r="JH56">
        <v>3891.784245234277</v>
      </c>
      <c r="JI56">
        <v>744.83839999999998</v>
      </c>
      <c r="JJ56">
        <v>5400.0783999999994</v>
      </c>
      <c r="JK56">
        <v>43433.368758024058</v>
      </c>
      <c r="JM56">
        <v>45633</v>
      </c>
      <c r="JN56">
        <v>62595.482161918218</v>
      </c>
      <c r="JO56">
        <v>1157.5720255802837</v>
      </c>
      <c r="JP56">
        <v>3449.5179744197167</v>
      </c>
      <c r="JQ56">
        <v>737.13440000000003</v>
      </c>
      <c r="JR56">
        <v>5344.2244000000001</v>
      </c>
      <c r="JS56">
        <v>59145.964187498503</v>
      </c>
      <c r="JU56">
        <v>45634</v>
      </c>
      <c r="JV56">
        <v>63720.222362008157</v>
      </c>
      <c r="JW56">
        <v>1164.0793549045036</v>
      </c>
      <c r="JX56">
        <v>2866.0606450954956</v>
      </c>
      <c r="JY56">
        <v>644.82240000000002</v>
      </c>
      <c r="JZ56">
        <v>4674.9623999999994</v>
      </c>
      <c r="KA56">
        <v>60854.161716912669</v>
      </c>
      <c r="KB56">
        <v>143255.90520004247</v>
      </c>
      <c r="KC56" s="3">
        <v>45628</v>
      </c>
      <c r="KD56" s="9">
        <v>15959422.428198686</v>
      </c>
      <c r="KE56" s="9">
        <v>343903.9281094633</v>
      </c>
      <c r="KF56" s="9">
        <v>342688.90395953873</v>
      </c>
      <c r="KG56" s="9">
        <v>28498.612068965536</v>
      </c>
      <c r="KH56" s="9">
        <v>94936.691751724167</v>
      </c>
      <c r="KI56" s="9">
        <v>796447.68520004221</v>
      </c>
      <c r="KJ56" s="9">
        <v>15645232.136308117</v>
      </c>
      <c r="KL56" t="s">
        <v>1231</v>
      </c>
      <c r="KM56" t="s">
        <v>1235</v>
      </c>
      <c r="KO56" t="s">
        <v>1233</v>
      </c>
      <c r="KP56" t="s">
        <v>1244</v>
      </c>
      <c r="KR56" t="s">
        <v>1293</v>
      </c>
    </row>
    <row r="57" spans="1:304" x14ac:dyDescent="0.3">
      <c r="A57">
        <v>45672</v>
      </c>
      <c r="B57">
        <v>321504.74088513904</v>
      </c>
      <c r="C57">
        <v>6965.9360525113461</v>
      </c>
      <c r="D57">
        <v>5205.6501543852064</v>
      </c>
      <c r="E57">
        <v>1878.1982758620693</v>
      </c>
      <c r="F57">
        <v>1947.4537931034488</v>
      </c>
      <c r="G57">
        <v>14119.04</v>
      </c>
      <c r="H57">
        <v>318177.28900661593</v>
      </c>
      <c r="J57">
        <v>45672</v>
      </c>
      <c r="K57">
        <v>408610.8404154001</v>
      </c>
      <c r="L57">
        <v>8853.2348756670017</v>
      </c>
      <c r="M57">
        <v>7664.4375381260988</v>
      </c>
      <c r="N57">
        <v>4149.3017241379312</v>
      </c>
      <c r="O57">
        <v>2642.8275862068972</v>
      </c>
      <c r="P57">
        <v>19160.5</v>
      </c>
      <c r="Q57">
        <v>405095.70460141182</v>
      </c>
      <c r="S57">
        <v>45672</v>
      </c>
      <c r="T57">
        <v>163758.67296011181</v>
      </c>
      <c r="U57">
        <v>3548.1045808024228</v>
      </c>
      <c r="V57">
        <v>4277.2661088527493</v>
      </c>
      <c r="W57">
        <v>2856.7844827586209</v>
      </c>
      <c r="X57">
        <v>1252.0593103448275</v>
      </c>
      <c r="Y57">
        <v>9077.43</v>
      </c>
      <c r="Z57">
        <v>162338.19133401767</v>
      </c>
      <c r="AB57">
        <v>45672</v>
      </c>
      <c r="AC57">
        <v>2734004.7526791655</v>
      </c>
      <c r="AD57">
        <v>59236.769641381921</v>
      </c>
      <c r="AE57">
        <v>32992.411393100847</v>
      </c>
      <c r="AF57">
        <v>4696.508620689664</v>
      </c>
      <c r="AG57">
        <v>14756.668965517243</v>
      </c>
      <c r="AH57">
        <v>106985.85</v>
      </c>
      <c r="AI57">
        <v>2705708.8499067542</v>
      </c>
      <c r="AK57">
        <v>45672</v>
      </c>
      <c r="AL57">
        <v>1514392.6377310904</v>
      </c>
      <c r="AM57">
        <v>32811.840484173626</v>
      </c>
      <c r="AN57">
        <v>15675.021584791888</v>
      </c>
      <c r="AO57">
        <v>0</v>
      </c>
      <c r="AP57">
        <v>7757.8979310344848</v>
      </c>
      <c r="AQ57">
        <v>56244.76</v>
      </c>
      <c r="AR57">
        <v>1498717.6161462986</v>
      </c>
      <c r="AT57">
        <v>45672</v>
      </c>
      <c r="AU57">
        <v>1373176.5760393648</v>
      </c>
      <c r="AV57">
        <v>29752.159147519571</v>
      </c>
      <c r="AW57">
        <v>17132.866714549393</v>
      </c>
      <c r="AX57">
        <v>2921.0172413793107</v>
      </c>
      <c r="AY57">
        <v>7501.6041379310354</v>
      </c>
      <c r="AZ57">
        <v>54386.63</v>
      </c>
      <c r="BA57">
        <v>1358964.7265661946</v>
      </c>
      <c r="BC57">
        <v>45672</v>
      </c>
      <c r="BD57">
        <v>621155.85406177933</v>
      </c>
      <c r="BE57">
        <v>13458.376838005221</v>
      </c>
      <c r="BF57">
        <v>7839.8041964775393</v>
      </c>
      <c r="BG57">
        <v>1411.0775862068965</v>
      </c>
      <c r="BH57">
        <v>3407.7089655172417</v>
      </c>
      <c r="BI57">
        <v>24705.89</v>
      </c>
      <c r="BJ57">
        <v>614727.12745150866</v>
      </c>
      <c r="BL57">
        <v>45672</v>
      </c>
      <c r="BM57">
        <v>1231668.915550574</v>
      </c>
      <c r="BN57">
        <v>26686.159836929102</v>
      </c>
      <c r="BO57">
        <v>15226.322921691592</v>
      </c>
      <c r="BP57">
        <v>2479.0258620689742</v>
      </c>
      <c r="BQ57">
        <v>6705.9972413793112</v>
      </c>
      <c r="BR57">
        <v>48618.48</v>
      </c>
      <c r="BS57">
        <v>1218921.6184909511</v>
      </c>
      <c r="BU57">
        <v>45672</v>
      </c>
      <c r="BV57">
        <v>2587940.5492319455</v>
      </c>
      <c r="BW57">
        <v>56072.045233358825</v>
      </c>
      <c r="BX57">
        <v>31930.989249399801</v>
      </c>
      <c r="BY57">
        <v>5146.8793103448279</v>
      </c>
      <c r="BZ57">
        <v>14080.485517241381</v>
      </c>
      <c r="CA57">
        <v>102083.52</v>
      </c>
      <c r="CB57">
        <v>2561156.4392928905</v>
      </c>
      <c r="CD57">
        <v>45672</v>
      </c>
      <c r="CE57">
        <v>171106.19523728042</v>
      </c>
      <c r="CF57">
        <v>3707.3008968077424</v>
      </c>
      <c r="CG57">
        <v>1483.3456549163952</v>
      </c>
      <c r="CH57">
        <v>0</v>
      </c>
      <c r="CI57">
        <v>830.50344827586218</v>
      </c>
      <c r="CJ57">
        <v>6021.15</v>
      </c>
      <c r="CK57">
        <v>169622.84958236403</v>
      </c>
      <c r="CM57">
        <v>45672</v>
      </c>
      <c r="CN57">
        <v>320810.85676262295</v>
      </c>
      <c r="CO57">
        <v>6950.9018965234973</v>
      </c>
      <c r="CP57">
        <v>2764.0377586489162</v>
      </c>
      <c r="CQ57">
        <v>0</v>
      </c>
      <c r="CR57">
        <v>1554.3903448275864</v>
      </c>
      <c r="CS57">
        <v>11269.33</v>
      </c>
      <c r="CT57">
        <v>318046.81900397403</v>
      </c>
      <c r="CV57">
        <v>45672</v>
      </c>
      <c r="CW57">
        <v>189906.34824703031</v>
      </c>
      <c r="CX57">
        <v>4114.6375453523233</v>
      </c>
      <c r="CY57">
        <v>1739.905558095953</v>
      </c>
      <c r="CZ57">
        <v>0</v>
      </c>
      <c r="DA57">
        <v>936.72689655172417</v>
      </c>
      <c r="DB57">
        <v>6791.27</v>
      </c>
      <c r="DC57">
        <v>188166.44268893436</v>
      </c>
      <c r="DE57">
        <v>45672</v>
      </c>
      <c r="DF57">
        <v>165570.92373144638</v>
      </c>
      <c r="DG57">
        <v>3587.3700141813383</v>
      </c>
      <c r="DH57">
        <v>1435.9920547841789</v>
      </c>
      <c r="DI57">
        <v>0</v>
      </c>
      <c r="DJ57">
        <v>803.73793103448293</v>
      </c>
      <c r="DK57">
        <v>5827.1</v>
      </c>
      <c r="DL57">
        <v>164134.93167666221</v>
      </c>
      <c r="DN57">
        <v>45672</v>
      </c>
      <c r="DO57">
        <v>152603.14363783068</v>
      </c>
      <c r="DP57">
        <v>3306.4014454863318</v>
      </c>
      <c r="DQ57">
        <v>1325.0554510653919</v>
      </c>
      <c r="DR57">
        <v>0</v>
      </c>
      <c r="DS57">
        <v>741.03310344827605</v>
      </c>
      <c r="DT57">
        <v>5372.49</v>
      </c>
      <c r="DU57">
        <v>151278.08818676529</v>
      </c>
      <c r="DW57">
        <v>45672</v>
      </c>
      <c r="DX57">
        <v>728079.40421025967</v>
      </c>
      <c r="DY57">
        <v>15775.05375788896</v>
      </c>
      <c r="DZ57">
        <v>8150.7910696972467</v>
      </c>
      <c r="EA57">
        <v>613.81034482758366</v>
      </c>
      <c r="EB57">
        <v>3828.1351724137935</v>
      </c>
      <c r="EC57">
        <v>27753.98</v>
      </c>
      <c r="ED57">
        <v>720542.42348539003</v>
      </c>
      <c r="EF57">
        <v>45672</v>
      </c>
      <c r="EG57">
        <v>1164041.8218224547</v>
      </c>
      <c r="EH57">
        <v>25220.906139486524</v>
      </c>
      <c r="EI57">
        <v>14393.404205341065</v>
      </c>
      <c r="EJ57">
        <v>2346.0086206896553</v>
      </c>
      <c r="EK57">
        <v>6338.2896551724143</v>
      </c>
      <c r="EL57">
        <v>45952.6</v>
      </c>
      <c r="EM57">
        <v>1151994.4262378034</v>
      </c>
      <c r="EO57">
        <v>45672</v>
      </c>
      <c r="EP57">
        <v>239607.62074230777</v>
      </c>
      <c r="EQ57">
        <v>4879.9673616019618</v>
      </c>
      <c r="ER57">
        <v>20663.092983225622</v>
      </c>
      <c r="ES57">
        <v>4086.8896551724142</v>
      </c>
      <c r="ET57">
        <v>29629.95</v>
      </c>
      <c r="EU57">
        <v>218944.52775908215</v>
      </c>
      <c r="FU57">
        <v>45672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C57">
        <v>45658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K57">
        <v>45658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S57">
        <v>45658</v>
      </c>
      <c r="GT57">
        <v>344362.40288436582</v>
      </c>
      <c r="GU57">
        <v>7981.4134535557505</v>
      </c>
      <c r="GV57">
        <v>10323.776201616663</v>
      </c>
      <c r="GW57">
        <v>2928.8303448275869</v>
      </c>
      <c r="GX57">
        <v>21234.02</v>
      </c>
      <c r="GY57">
        <v>334038.62668274913</v>
      </c>
      <c r="HA57">
        <v>45658</v>
      </c>
      <c r="HB57">
        <v>318963.68708486651</v>
      </c>
      <c r="HC57">
        <v>7531.886208223058</v>
      </c>
      <c r="HD57">
        <v>8605.8810331562527</v>
      </c>
      <c r="HE57">
        <v>2582.0427586206906</v>
      </c>
      <c r="HF57">
        <v>18719.810000000001</v>
      </c>
      <c r="HG57">
        <v>310357.80605171027</v>
      </c>
      <c r="HI57">
        <v>45673</v>
      </c>
      <c r="HJ57">
        <v>297779.16942885204</v>
      </c>
      <c r="HK57">
        <v>8143.8193830773535</v>
      </c>
      <c r="HL57">
        <v>6239.5426858881638</v>
      </c>
      <c r="HM57">
        <v>2301.3379310344831</v>
      </c>
      <c r="HN57">
        <v>16684.7</v>
      </c>
      <c r="HO57">
        <v>291539.62674296385</v>
      </c>
      <c r="HQ57">
        <v>45659</v>
      </c>
      <c r="HR57">
        <v>175166.73705380122</v>
      </c>
      <c r="HS57">
        <v>4824.1117889627722</v>
      </c>
      <c r="HT57">
        <v>5898.0692455199851</v>
      </c>
      <c r="HU57">
        <v>1715.5489655172414</v>
      </c>
      <c r="HV57">
        <v>12437.73</v>
      </c>
      <c r="HW57">
        <v>169268.66780828123</v>
      </c>
      <c r="HY57">
        <v>45662</v>
      </c>
      <c r="HZ57">
        <v>257586.7905081452</v>
      </c>
      <c r="IA57">
        <v>2615.0642698574256</v>
      </c>
      <c r="IB57">
        <v>6105.2374542805055</v>
      </c>
      <c r="IC57">
        <v>1395.248275862069</v>
      </c>
      <c r="ID57">
        <v>10115.549999999999</v>
      </c>
      <c r="IE57">
        <v>251481.55305386469</v>
      </c>
      <c r="IH57">
        <v>7.3984586560982269E-4</v>
      </c>
      <c r="II57">
        <v>0</v>
      </c>
      <c r="IJ57">
        <v>7.3984586560982269E-4</v>
      </c>
      <c r="IK57">
        <v>1.1837533849757164E-4</v>
      </c>
      <c r="IL57">
        <v>8.5822120410739445E-4</v>
      </c>
      <c r="IM57">
        <v>0</v>
      </c>
      <c r="JE57">
        <v>45675</v>
      </c>
      <c r="JF57">
        <v>43433.368758024058</v>
      </c>
      <c r="JG57">
        <v>700.67296612632651</v>
      </c>
      <c r="JH57">
        <v>3954.5670338736736</v>
      </c>
      <c r="JI57">
        <v>744.83839999999998</v>
      </c>
      <c r="JJ57">
        <v>5400.0783999999994</v>
      </c>
      <c r="JK57">
        <v>39478.801724150384</v>
      </c>
      <c r="JM57">
        <v>45664</v>
      </c>
      <c r="JN57">
        <v>59145.964187498503</v>
      </c>
      <c r="JO57">
        <v>1093.780432784567</v>
      </c>
      <c r="JP57">
        <v>3513.3095672154332</v>
      </c>
      <c r="JQ57">
        <v>737.13440000000003</v>
      </c>
      <c r="JR57">
        <v>5344.2244000000001</v>
      </c>
      <c r="JS57">
        <v>55632.654620283072</v>
      </c>
      <c r="JU57">
        <v>45665</v>
      </c>
      <c r="JV57">
        <v>60854.161716912669</v>
      </c>
      <c r="JW57">
        <v>1111.7204348758571</v>
      </c>
      <c r="JX57">
        <v>2918.4195651241425</v>
      </c>
      <c r="JY57">
        <v>644.82240000000002</v>
      </c>
      <c r="JZ57">
        <v>4674.9623999999994</v>
      </c>
      <c r="KA57">
        <v>57935.742151788523</v>
      </c>
      <c r="KC57" s="3">
        <v>45659</v>
      </c>
      <c r="KD57" s="9">
        <v>15645232.136308117</v>
      </c>
      <c r="KE57" s="9">
        <v>338929.6346851408</v>
      </c>
      <c r="KF57" s="9">
        <v>237459.19812367056</v>
      </c>
      <c r="KG57" s="9">
        <v>28498.612068965536</v>
      </c>
      <c r="KH57" s="9">
        <v>92222.213249409833</v>
      </c>
      <c r="KI57" s="9">
        <v>668611.04605822114</v>
      </c>
      <c r="KJ57" s="9">
        <v>15436271.550253412</v>
      </c>
      <c r="KL57" t="s">
        <v>1263</v>
      </c>
      <c r="KM57">
        <v>181894.78103448276</v>
      </c>
      <c r="KN57" t="s">
        <v>1264</v>
      </c>
      <c r="KO57" t="s">
        <v>1265</v>
      </c>
      <c r="KP57">
        <v>60</v>
      </c>
      <c r="KQ57" t="s">
        <v>1266</v>
      </c>
    </row>
    <row r="58" spans="1:304" x14ac:dyDescent="0.3">
      <c r="A58">
        <v>45703</v>
      </c>
      <c r="B58">
        <v>318177.28900661593</v>
      </c>
      <c r="C58">
        <v>6893.8412618100119</v>
      </c>
      <c r="D58">
        <v>5277.7449450865406</v>
      </c>
      <c r="E58">
        <v>1878.1982758620693</v>
      </c>
      <c r="F58">
        <v>1947.4537931034488</v>
      </c>
      <c r="G58">
        <v>14119.04</v>
      </c>
      <c r="H58">
        <v>314777.74233739148</v>
      </c>
      <c r="J58">
        <v>45703</v>
      </c>
      <c r="K58">
        <v>405095.70460141182</v>
      </c>
      <c r="L58">
        <v>8777.073599697258</v>
      </c>
      <c r="M58">
        <v>7740.5988140958434</v>
      </c>
      <c r="N58">
        <v>4149.3017241379312</v>
      </c>
      <c r="O58">
        <v>2642.8275862068972</v>
      </c>
      <c r="P58">
        <v>19160.5</v>
      </c>
      <c r="Q58">
        <v>401504.4075114539</v>
      </c>
      <c r="S58">
        <v>45703</v>
      </c>
      <c r="T58">
        <v>162338.19133401767</v>
      </c>
      <c r="U58">
        <v>3517.3274789037164</v>
      </c>
      <c r="V58">
        <v>4308.0432107514553</v>
      </c>
      <c r="W58">
        <v>2856.7844827586209</v>
      </c>
      <c r="X58">
        <v>1252.0593103448275</v>
      </c>
      <c r="Y58">
        <v>9077.43</v>
      </c>
      <c r="Z58">
        <v>160886.93260602481</v>
      </c>
      <c r="AB58">
        <v>45703</v>
      </c>
      <c r="AC58">
        <v>2705708.8499067542</v>
      </c>
      <c r="AD58">
        <v>58623.691747979683</v>
      </c>
      <c r="AE58">
        <v>33605.489286503092</v>
      </c>
      <c r="AF58">
        <v>4696.508620689664</v>
      </c>
      <c r="AG58">
        <v>14756.668965517243</v>
      </c>
      <c r="AH58">
        <v>106985.85</v>
      </c>
      <c r="AI58">
        <v>2676799.8692409405</v>
      </c>
      <c r="AK58">
        <v>45703</v>
      </c>
      <c r="AL58">
        <v>1498717.6161462986</v>
      </c>
      <c r="AM58">
        <v>32472.215016503134</v>
      </c>
      <c r="AN58">
        <v>16014.647052462376</v>
      </c>
      <c r="AO58">
        <v>0</v>
      </c>
      <c r="AP58">
        <v>7757.8979310344848</v>
      </c>
      <c r="AQ58">
        <v>56244.76</v>
      </c>
      <c r="AR58">
        <v>1482702.9690938359</v>
      </c>
      <c r="AT58">
        <v>45703</v>
      </c>
      <c r="AU58">
        <v>1358964.7265661946</v>
      </c>
      <c r="AV58">
        <v>29444.235742267549</v>
      </c>
      <c r="AW58">
        <v>17440.790119801415</v>
      </c>
      <c r="AX58">
        <v>2921.0172413793107</v>
      </c>
      <c r="AY58">
        <v>7501.6041379310354</v>
      </c>
      <c r="AZ58">
        <v>54386.63</v>
      </c>
      <c r="BA58">
        <v>1344444.9536877724</v>
      </c>
      <c r="BC58">
        <v>45703</v>
      </c>
      <c r="BD58">
        <v>614727.12745150866</v>
      </c>
      <c r="BE58">
        <v>13319.087761449357</v>
      </c>
      <c r="BF58">
        <v>7979.0932730334034</v>
      </c>
      <c r="BG58">
        <v>1411.0775862068965</v>
      </c>
      <c r="BH58">
        <v>3407.7089655172417</v>
      </c>
      <c r="BI58">
        <v>24705.89</v>
      </c>
      <c r="BJ58">
        <v>608159.11176468211</v>
      </c>
      <c r="BL58">
        <v>45703</v>
      </c>
      <c r="BM58">
        <v>1218921.6184909511</v>
      </c>
      <c r="BN58">
        <v>26409.968400637277</v>
      </c>
      <c r="BO58">
        <v>15502.514357983418</v>
      </c>
      <c r="BP58">
        <v>2479.0258620689742</v>
      </c>
      <c r="BQ58">
        <v>6705.9972413793112</v>
      </c>
      <c r="BR58">
        <v>48618.48</v>
      </c>
      <c r="BS58">
        <v>1205898.1299950366</v>
      </c>
      <c r="BU58">
        <v>45703</v>
      </c>
      <c r="BV58">
        <v>2561156.4392928905</v>
      </c>
      <c r="BW58">
        <v>55491.722851345963</v>
      </c>
      <c r="BX58">
        <v>32511.31163141266</v>
      </c>
      <c r="BY58">
        <v>5146.8793103448279</v>
      </c>
      <c r="BZ58">
        <v>14080.485517241381</v>
      </c>
      <c r="CA58">
        <v>102083.52</v>
      </c>
      <c r="CB58">
        <v>2533792.0069718226</v>
      </c>
      <c r="CD58">
        <v>45703</v>
      </c>
      <c r="CE58">
        <v>169622.84958236403</v>
      </c>
      <c r="CF58">
        <v>3675.161740951221</v>
      </c>
      <c r="CG58">
        <v>1515.4848107729172</v>
      </c>
      <c r="CH58">
        <v>0</v>
      </c>
      <c r="CI58">
        <v>830.50344827586218</v>
      </c>
      <c r="CJ58">
        <v>6021.15</v>
      </c>
      <c r="CK58">
        <v>168107.36477159112</v>
      </c>
      <c r="CM58">
        <v>45703</v>
      </c>
      <c r="CN58">
        <v>318046.81900397403</v>
      </c>
      <c r="CO58">
        <v>6891.0144117527707</v>
      </c>
      <c r="CP58">
        <v>2823.9252434196424</v>
      </c>
      <c r="CQ58">
        <v>0</v>
      </c>
      <c r="CR58">
        <v>1554.3903448275864</v>
      </c>
      <c r="CS58">
        <v>11269.33</v>
      </c>
      <c r="CT58">
        <v>315222.89376055438</v>
      </c>
      <c r="CV58">
        <v>45703</v>
      </c>
      <c r="CW58">
        <v>188166.44268893436</v>
      </c>
      <c r="CX58">
        <v>4076.9395915935775</v>
      </c>
      <c r="CY58">
        <v>1777.6035118546984</v>
      </c>
      <c r="CZ58">
        <v>0</v>
      </c>
      <c r="DA58">
        <v>936.72689655172417</v>
      </c>
      <c r="DB58">
        <v>6791.27</v>
      </c>
      <c r="DC58">
        <v>186388.83917707967</v>
      </c>
      <c r="DE58">
        <v>45703</v>
      </c>
      <c r="DF58">
        <v>164134.93167666221</v>
      </c>
      <c r="DG58">
        <v>3556.2568529943478</v>
      </c>
      <c r="DH58">
        <v>1467.1052159711694</v>
      </c>
      <c r="DI58">
        <v>0</v>
      </c>
      <c r="DJ58">
        <v>803.73793103448293</v>
      </c>
      <c r="DK58">
        <v>5827.1</v>
      </c>
      <c r="DL58">
        <v>162667.82646069102</v>
      </c>
      <c r="DN58">
        <v>45703</v>
      </c>
      <c r="DO58">
        <v>151278.08818676529</v>
      </c>
      <c r="DP58">
        <v>3277.691910713248</v>
      </c>
      <c r="DQ58">
        <v>1353.7649858384757</v>
      </c>
      <c r="DR58">
        <v>0</v>
      </c>
      <c r="DS58">
        <v>741.03310344827605</v>
      </c>
      <c r="DT58">
        <v>5372.49</v>
      </c>
      <c r="DU58">
        <v>149924.32320092682</v>
      </c>
      <c r="DW58">
        <v>45703</v>
      </c>
      <c r="DX58">
        <v>720542.42348539003</v>
      </c>
      <c r="DY58">
        <v>15611.752508850115</v>
      </c>
      <c r="DZ58">
        <v>8314.0923187360895</v>
      </c>
      <c r="EA58">
        <v>613.81034482758366</v>
      </c>
      <c r="EB58">
        <v>3828.1351724137935</v>
      </c>
      <c r="EC58">
        <v>27753.98</v>
      </c>
      <c r="ED58">
        <v>712842.14151148149</v>
      </c>
      <c r="EF58">
        <v>45703</v>
      </c>
      <c r="EG58">
        <v>1151994.4262378034</v>
      </c>
      <c r="EH58">
        <v>24959.87923515241</v>
      </c>
      <c r="EI58">
        <v>14654.431109675175</v>
      </c>
      <c r="EJ58">
        <v>2346.0086206896553</v>
      </c>
      <c r="EK58">
        <v>6338.2896551724143</v>
      </c>
      <c r="EL58">
        <v>45952.6</v>
      </c>
      <c r="EM58">
        <v>1139686.0037488178</v>
      </c>
      <c r="EO58">
        <v>45703</v>
      </c>
      <c r="EP58">
        <v>218944.52775908215</v>
      </c>
      <c r="EQ58">
        <v>4459.1325858318987</v>
      </c>
      <c r="ER58">
        <v>21083.927758995687</v>
      </c>
      <c r="ES58">
        <v>4086.8896551724142</v>
      </c>
      <c r="ET58">
        <v>29629.95</v>
      </c>
      <c r="EU58">
        <v>197860.60000008647</v>
      </c>
      <c r="FU58">
        <v>45703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C58">
        <v>45689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K58">
        <v>45689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S58">
        <v>45689</v>
      </c>
      <c r="GT58">
        <v>334038.62668274913</v>
      </c>
      <c r="GU58">
        <v>7742.1355138709396</v>
      </c>
      <c r="GV58">
        <v>10563.054141301474</v>
      </c>
      <c r="GW58">
        <v>2928.8303448275869</v>
      </c>
      <c r="GX58">
        <v>21234.02</v>
      </c>
      <c r="GY58">
        <v>323475.57254144765</v>
      </c>
      <c r="HA58">
        <v>45689</v>
      </c>
      <c r="HB58">
        <v>310357.80605171027</v>
      </c>
      <c r="HC58">
        <v>7328.6702332146187</v>
      </c>
      <c r="HD58">
        <v>8809.0970081646919</v>
      </c>
      <c r="HE58">
        <v>2582.0427586206906</v>
      </c>
      <c r="HF58">
        <v>18719.810000000001</v>
      </c>
      <c r="HG58">
        <v>301548.70904354559</v>
      </c>
      <c r="HI58">
        <v>45704</v>
      </c>
      <c r="HJ58">
        <v>291539.62674296385</v>
      </c>
      <c r="HK58">
        <v>7973.1771290730303</v>
      </c>
      <c r="HL58">
        <v>6410.1849398924878</v>
      </c>
      <c r="HM58">
        <v>2301.3379310344831</v>
      </c>
      <c r="HN58">
        <v>16684.7</v>
      </c>
      <c r="HO58">
        <v>285129.44180307136</v>
      </c>
      <c r="HQ58">
        <v>45690</v>
      </c>
      <c r="HR58">
        <v>169268.66780828123</v>
      </c>
      <c r="HS58">
        <v>4661.6782935515248</v>
      </c>
      <c r="HT58">
        <v>6060.5027409312324</v>
      </c>
      <c r="HU58">
        <v>1715.5489655172414</v>
      </c>
      <c r="HV58">
        <v>12437.73</v>
      </c>
      <c r="HW58">
        <v>163208.16506735</v>
      </c>
      <c r="HY58">
        <v>45693</v>
      </c>
      <c r="HZ58">
        <v>251481.55305386469</v>
      </c>
      <c r="IA58">
        <v>2553.0828759583492</v>
      </c>
      <c r="IB58">
        <v>6167.218848179582</v>
      </c>
      <c r="IC58">
        <v>1395.248275862069</v>
      </c>
      <c r="ID58">
        <v>10115.549999999999</v>
      </c>
      <c r="IE58">
        <v>245314.3342056851</v>
      </c>
      <c r="JF58">
        <v>39478.801724150384</v>
      </c>
      <c r="JG58">
        <v>0</v>
      </c>
      <c r="JH58">
        <v>39478.801724150384</v>
      </c>
      <c r="JI58">
        <v>0</v>
      </c>
      <c r="JJ58">
        <v>45795.410000014439</v>
      </c>
      <c r="JK58">
        <v>0</v>
      </c>
      <c r="JM58">
        <v>45695</v>
      </c>
      <c r="JN58">
        <v>55632.654620283072</v>
      </c>
      <c r="JO58">
        <v>1028.8091484082902</v>
      </c>
      <c r="JP58">
        <v>3578.28085159171</v>
      </c>
      <c r="JQ58">
        <v>737.13440000000003</v>
      </c>
      <c r="JR58">
        <v>5344.2244000000001</v>
      </c>
      <c r="JS58">
        <v>52054.373768691359</v>
      </c>
      <c r="JU58">
        <v>45696</v>
      </c>
      <c r="JV58">
        <v>57935.742151788523</v>
      </c>
      <c r="JW58">
        <v>1058.4049905980614</v>
      </c>
      <c r="JX58">
        <v>2971.735009401938</v>
      </c>
      <c r="JY58">
        <v>644.82240000000002</v>
      </c>
      <c r="JZ58">
        <v>4674.9623999999994</v>
      </c>
      <c r="KA58">
        <v>54964.007142386588</v>
      </c>
      <c r="KC58" s="3">
        <v>45690</v>
      </c>
      <c r="KD58" s="9">
        <v>15436271.550253412</v>
      </c>
      <c r="KE58" s="9">
        <v>333802.95088310831</v>
      </c>
      <c r="KF58" s="9">
        <v>277409.44291000755</v>
      </c>
      <c r="KG58" s="9">
        <v>28498.612068965536</v>
      </c>
      <c r="KH58" s="9">
        <v>91477.374731034506</v>
      </c>
      <c r="KI58" s="9">
        <v>709006.3768000144</v>
      </c>
      <c r="KJ58" s="9">
        <v>15187360.719412368</v>
      </c>
      <c r="KL58" t="s">
        <v>1267</v>
      </c>
      <c r="KM58">
        <v>0</v>
      </c>
      <c r="KN58" t="s">
        <v>1264</v>
      </c>
      <c r="KO58" t="s">
        <v>1268</v>
      </c>
      <c r="KP58">
        <v>6021.15</v>
      </c>
      <c r="KQ58" t="s">
        <v>1269</v>
      </c>
    </row>
    <row r="59" spans="1:304" x14ac:dyDescent="0.3">
      <c r="A59">
        <v>45731</v>
      </c>
      <c r="B59">
        <v>314777.74233739148</v>
      </c>
      <c r="C59">
        <v>6820.184417310149</v>
      </c>
      <c r="D59">
        <v>5351.4017895864035</v>
      </c>
      <c r="E59">
        <v>1878.1982758620693</v>
      </c>
      <c r="F59">
        <v>1947.4537931034488</v>
      </c>
      <c r="G59">
        <v>14119.04</v>
      </c>
      <c r="H59">
        <v>311304.53882366716</v>
      </c>
      <c r="J59">
        <v>45731</v>
      </c>
      <c r="K59">
        <v>401504.4075114539</v>
      </c>
      <c r="L59">
        <v>8699.2621627481694</v>
      </c>
      <c r="M59">
        <v>7818.410251044932</v>
      </c>
      <c r="N59">
        <v>4149.3017241379312</v>
      </c>
      <c r="O59">
        <v>2642.8275862068972</v>
      </c>
      <c r="P59">
        <v>19160.5</v>
      </c>
      <c r="Q59">
        <v>397835.29898454685</v>
      </c>
      <c r="S59">
        <v>45731</v>
      </c>
      <c r="T59">
        <v>160886.93260602481</v>
      </c>
      <c r="U59">
        <v>3485.8835397972043</v>
      </c>
      <c r="V59">
        <v>4339.4871498579678</v>
      </c>
      <c r="W59">
        <v>2856.7844827586209</v>
      </c>
      <c r="X59">
        <v>1252.0593103448275</v>
      </c>
      <c r="Y59">
        <v>9077.43</v>
      </c>
      <c r="Z59">
        <v>159404.22993892545</v>
      </c>
      <c r="AB59">
        <v>45731</v>
      </c>
      <c r="AC59">
        <v>2676799.8692409405</v>
      </c>
      <c r="AD59">
        <v>57997.330500220378</v>
      </c>
      <c r="AE59">
        <v>34231.85053426239</v>
      </c>
      <c r="AF59">
        <v>4696.508620689664</v>
      </c>
      <c r="AG59">
        <v>14756.668965517243</v>
      </c>
      <c r="AH59">
        <v>106985.85</v>
      </c>
      <c r="AI59">
        <v>2647264.5273273676</v>
      </c>
      <c r="AK59">
        <v>45731</v>
      </c>
      <c r="AL59">
        <v>1482702.9690938359</v>
      </c>
      <c r="AM59">
        <v>32125.230997033119</v>
      </c>
      <c r="AN59">
        <v>16361.631071932396</v>
      </c>
      <c r="AO59">
        <v>0</v>
      </c>
      <c r="AP59">
        <v>7757.8979310344848</v>
      </c>
      <c r="AQ59">
        <v>56244.76</v>
      </c>
      <c r="AR59">
        <v>1466341.3380219038</v>
      </c>
      <c r="AT59">
        <v>45731</v>
      </c>
      <c r="AU59">
        <v>1344444.9536877724</v>
      </c>
      <c r="AV59">
        <v>29129.64066323507</v>
      </c>
      <c r="AW59">
        <v>17755.385198833894</v>
      </c>
      <c r="AX59">
        <v>2921.0172413793107</v>
      </c>
      <c r="AY59">
        <v>7501.6041379310354</v>
      </c>
      <c r="AZ59">
        <v>54386.63</v>
      </c>
      <c r="BA59">
        <v>1329610.5857303175</v>
      </c>
      <c r="BC59">
        <v>45731</v>
      </c>
      <c r="BD59">
        <v>608159.11176468211</v>
      </c>
      <c r="BE59">
        <v>13176.780754901449</v>
      </c>
      <c r="BF59">
        <v>8121.4002795813103</v>
      </c>
      <c r="BG59">
        <v>1411.0775862068965</v>
      </c>
      <c r="BH59">
        <v>3407.7089655172417</v>
      </c>
      <c r="BI59">
        <v>24705.89</v>
      </c>
      <c r="BJ59">
        <v>601448.78907130763</v>
      </c>
      <c r="BL59">
        <v>45731</v>
      </c>
      <c r="BM59">
        <v>1205898.1299950366</v>
      </c>
      <c r="BN59">
        <v>26127.792816559129</v>
      </c>
      <c r="BO59">
        <v>15784.689942061566</v>
      </c>
      <c r="BP59">
        <v>2479.0258620689742</v>
      </c>
      <c r="BQ59">
        <v>6705.9972413793112</v>
      </c>
      <c r="BR59">
        <v>48618.48</v>
      </c>
      <c r="BS59">
        <v>1192592.4659150438</v>
      </c>
      <c r="BU59">
        <v>45731</v>
      </c>
      <c r="BV59">
        <v>2533792.0069718226</v>
      </c>
      <c r="BW59">
        <v>54898.826817722824</v>
      </c>
      <c r="BX59">
        <v>33104.207665035799</v>
      </c>
      <c r="BY59">
        <v>5146.8793103448279</v>
      </c>
      <c r="BZ59">
        <v>14080.485517241381</v>
      </c>
      <c r="CA59">
        <v>102083.52</v>
      </c>
      <c r="CB59">
        <v>2505834.6786171314</v>
      </c>
      <c r="CD59">
        <v>45731</v>
      </c>
      <c r="CE59">
        <v>168107.36477159112</v>
      </c>
      <c r="CF59">
        <v>3642.3262367178081</v>
      </c>
      <c r="CG59">
        <v>1548.32031500633</v>
      </c>
      <c r="CH59">
        <v>0</v>
      </c>
      <c r="CI59">
        <v>830.50344827586218</v>
      </c>
      <c r="CJ59">
        <v>6021.15</v>
      </c>
      <c r="CK59">
        <v>166559.04445658479</v>
      </c>
      <c r="CM59">
        <v>45731</v>
      </c>
      <c r="CN59">
        <v>315222.89376055438</v>
      </c>
      <c r="CO59">
        <v>6829.8293648120116</v>
      </c>
      <c r="CP59">
        <v>2885.1102903604015</v>
      </c>
      <c r="CQ59">
        <v>0</v>
      </c>
      <c r="CR59">
        <v>1554.3903448275864</v>
      </c>
      <c r="CS59">
        <v>11269.33</v>
      </c>
      <c r="CT59">
        <v>312337.78347019397</v>
      </c>
      <c r="CV59">
        <v>45731</v>
      </c>
      <c r="CW59">
        <v>186388.83917707967</v>
      </c>
      <c r="CX59">
        <v>4038.4248488367266</v>
      </c>
      <c r="CY59">
        <v>1816.1182546115497</v>
      </c>
      <c r="CZ59">
        <v>0</v>
      </c>
      <c r="DA59">
        <v>936.72689655172417</v>
      </c>
      <c r="DB59">
        <v>6791.27</v>
      </c>
      <c r="DC59">
        <v>184572.72092246811</v>
      </c>
      <c r="DE59">
        <v>45731</v>
      </c>
      <c r="DF59">
        <v>162667.82646069102</v>
      </c>
      <c r="DG59">
        <v>3524.4695733149724</v>
      </c>
      <c r="DH59">
        <v>1498.8924956505448</v>
      </c>
      <c r="DI59">
        <v>0</v>
      </c>
      <c r="DJ59">
        <v>803.73793103448293</v>
      </c>
      <c r="DK59">
        <v>5827.1</v>
      </c>
      <c r="DL59">
        <v>161168.93396504049</v>
      </c>
      <c r="DN59">
        <v>45731</v>
      </c>
      <c r="DO59">
        <v>149924.32320092682</v>
      </c>
      <c r="DP59">
        <v>3248.3603360200814</v>
      </c>
      <c r="DQ59">
        <v>1383.0965605316424</v>
      </c>
      <c r="DR59">
        <v>0</v>
      </c>
      <c r="DS59">
        <v>741.03310344827605</v>
      </c>
      <c r="DT59">
        <v>5372.49</v>
      </c>
      <c r="DU59">
        <v>148541.22664039518</v>
      </c>
      <c r="DW59">
        <v>45731</v>
      </c>
      <c r="DX59">
        <v>712842.14151148149</v>
      </c>
      <c r="DY59">
        <v>15444.913066082099</v>
      </c>
      <c r="DZ59">
        <v>8480.9317615041073</v>
      </c>
      <c r="EA59">
        <v>613.81034482758366</v>
      </c>
      <c r="EB59">
        <v>3828.1351724137935</v>
      </c>
      <c r="EC59">
        <v>27753.98</v>
      </c>
      <c r="ED59">
        <v>704975.02009480493</v>
      </c>
      <c r="EF59">
        <v>45731</v>
      </c>
      <c r="EG59">
        <v>1139686.0037488178</v>
      </c>
      <c r="EH59">
        <v>24693.196747891056</v>
      </c>
      <c r="EI59">
        <v>14921.113596936531</v>
      </c>
      <c r="EJ59">
        <v>2346.0086206896553</v>
      </c>
      <c r="EK59">
        <v>6338.2896551724143</v>
      </c>
      <c r="EL59">
        <v>45952.6</v>
      </c>
      <c r="EM59">
        <v>1127110.898772571</v>
      </c>
      <c r="EO59">
        <v>45731</v>
      </c>
      <c r="EP59">
        <v>197860.60000008647</v>
      </c>
      <c r="EQ59">
        <v>0</v>
      </c>
      <c r="ER59">
        <v>197860.60000008647</v>
      </c>
      <c r="ES59">
        <v>0</v>
      </c>
      <c r="ET59">
        <v>229518.29600010029</v>
      </c>
      <c r="EU59">
        <v>0</v>
      </c>
      <c r="FU59">
        <v>45731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C59">
        <v>45717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K59">
        <v>45717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S59">
        <v>45717</v>
      </c>
      <c r="GT59">
        <v>323475.57254144765</v>
      </c>
      <c r="GU59">
        <v>7497.3117417986668</v>
      </c>
      <c r="GV59">
        <v>10807.877913373744</v>
      </c>
      <c r="GW59">
        <v>2928.8303448275869</v>
      </c>
      <c r="GX59">
        <v>21234.02</v>
      </c>
      <c r="GY59">
        <v>312667.69462807389</v>
      </c>
      <c r="HA59">
        <v>45717</v>
      </c>
      <c r="HB59">
        <v>301548.70904354559</v>
      </c>
      <c r="HC59">
        <v>7120.6555940903818</v>
      </c>
      <c r="HD59">
        <v>9017.1116472889298</v>
      </c>
      <c r="HE59">
        <v>2582.0427586206906</v>
      </c>
      <c r="HF59">
        <v>18719.810000000001</v>
      </c>
      <c r="HG59">
        <v>292531.59739625663</v>
      </c>
      <c r="HI59">
        <v>45732</v>
      </c>
      <c r="HJ59">
        <v>285129.44180307136</v>
      </c>
      <c r="HK59">
        <v>7797.8680620797468</v>
      </c>
      <c r="HL59">
        <v>6585.4940068857713</v>
      </c>
      <c r="HM59">
        <v>2301.3379310344831</v>
      </c>
      <c r="HN59">
        <v>16684.7</v>
      </c>
      <c r="HO59">
        <v>278543.94779618556</v>
      </c>
      <c r="HQ59">
        <v>45718</v>
      </c>
      <c r="HR59">
        <v>163208.16506735</v>
      </c>
      <c r="HS59">
        <v>4494.7713612691259</v>
      </c>
      <c r="HT59">
        <v>6227.4096732136313</v>
      </c>
      <c r="HU59">
        <v>1715.5489655172414</v>
      </c>
      <c r="HV59">
        <v>12437.73</v>
      </c>
      <c r="HW59">
        <v>156980.75539413636</v>
      </c>
      <c r="HY59">
        <v>45721</v>
      </c>
      <c r="HZ59">
        <v>245314.3342056851</v>
      </c>
      <c r="IA59">
        <v>2490.4722365600692</v>
      </c>
      <c r="IB59">
        <v>6229.829487577862</v>
      </c>
      <c r="IC59">
        <v>1395.248275862069</v>
      </c>
      <c r="ID59">
        <v>10115.549999999999</v>
      </c>
      <c r="IE59">
        <v>239084.50471810723</v>
      </c>
      <c r="JM59">
        <v>45723</v>
      </c>
      <c r="JN59">
        <v>52054.373768691359</v>
      </c>
      <c r="JO59">
        <v>962.63635653239101</v>
      </c>
      <c r="JP59">
        <v>3644.4536434676097</v>
      </c>
      <c r="JQ59">
        <v>737.13440000000003</v>
      </c>
      <c r="JR59">
        <v>5344.2244000000001</v>
      </c>
      <c r="JS59">
        <v>48409.920125223747</v>
      </c>
      <c r="JU59">
        <v>45724</v>
      </c>
      <c r="JV59">
        <v>54964.007142386588</v>
      </c>
      <c r="JW59">
        <v>1004.1155477107076</v>
      </c>
      <c r="JX59">
        <v>3026.0244522892917</v>
      </c>
      <c r="JY59">
        <v>644.82240000000002</v>
      </c>
      <c r="JZ59">
        <v>4674.9623999999994</v>
      </c>
      <c r="KA59">
        <v>51937.982690097298</v>
      </c>
      <c r="KC59" s="3">
        <v>45718</v>
      </c>
      <c r="KD59" s="9">
        <v>15187360.719412368</v>
      </c>
      <c r="KE59" s="9">
        <v>325250.28374324337</v>
      </c>
      <c r="KF59" s="9">
        <v>418800.84798098123</v>
      </c>
      <c r="KG59" s="9">
        <v>28498.612068965536</v>
      </c>
      <c r="KH59" s="9">
        <v>87390.485075862103</v>
      </c>
      <c r="KI59" s="9">
        <v>863099.31280010031</v>
      </c>
      <c r="KJ59" s="9">
        <v>14797058.483500354</v>
      </c>
      <c r="KL59" t="s">
        <v>1270</v>
      </c>
      <c r="KM59">
        <v>0.26</v>
      </c>
      <c r="KN59">
        <v>2.1666666666666667E-2</v>
      </c>
      <c r="KO59" t="s">
        <v>1271</v>
      </c>
      <c r="KP59">
        <v>30864.258620689659</v>
      </c>
      <c r="KQ59" t="s">
        <v>1264</v>
      </c>
    </row>
    <row r="60" spans="1:304" x14ac:dyDescent="0.3">
      <c r="A60">
        <v>45762</v>
      </c>
      <c r="B60">
        <v>311304.53882366716</v>
      </c>
      <c r="C60">
        <v>6744.931674512789</v>
      </c>
      <c r="D60">
        <v>5426.6545323837636</v>
      </c>
      <c r="E60">
        <v>1878.1982758620693</v>
      </c>
      <c r="F60">
        <v>1947.4537931034488</v>
      </c>
      <c r="G60">
        <v>14119.04</v>
      </c>
      <c r="H60">
        <v>307756.08256714547</v>
      </c>
      <c r="J60">
        <v>45762</v>
      </c>
      <c r="K60">
        <v>397835.29898454685</v>
      </c>
      <c r="L60">
        <v>8619.7648113318501</v>
      </c>
      <c r="M60">
        <v>7897.9076024612514</v>
      </c>
      <c r="N60">
        <v>4149.3017241379312</v>
      </c>
      <c r="O60">
        <v>2642.8275862068972</v>
      </c>
      <c r="P60">
        <v>19160.5</v>
      </c>
      <c r="Q60">
        <v>394086.6931062236</v>
      </c>
      <c r="S60">
        <v>45762</v>
      </c>
      <c r="T60">
        <v>159404.22993892545</v>
      </c>
      <c r="U60">
        <v>3453.7583153433848</v>
      </c>
      <c r="V60">
        <v>4371.6123743117878</v>
      </c>
      <c r="W60">
        <v>2856.7844827586209</v>
      </c>
      <c r="X60">
        <v>1252.0593103448275</v>
      </c>
      <c r="Y60">
        <v>9077.43</v>
      </c>
      <c r="Z60">
        <v>157889.40204737228</v>
      </c>
      <c r="AB60">
        <v>45762</v>
      </c>
      <c r="AC60">
        <v>2647264.5273273676</v>
      </c>
      <c r="AD60">
        <v>57357.398092092968</v>
      </c>
      <c r="AE60">
        <v>34871.7829423898</v>
      </c>
      <c r="AF60">
        <v>4696.508620689664</v>
      </c>
      <c r="AG60">
        <v>14756.668965517243</v>
      </c>
      <c r="AH60">
        <v>106985.85</v>
      </c>
      <c r="AI60">
        <v>2617089.2530056676</v>
      </c>
      <c r="AK60">
        <v>45762</v>
      </c>
      <c r="AL60">
        <v>1466341.3380219038</v>
      </c>
      <c r="AM60">
        <v>31770.728990474581</v>
      </c>
      <c r="AN60">
        <v>16716.133078490933</v>
      </c>
      <c r="AO60">
        <v>0</v>
      </c>
      <c r="AP60">
        <v>7757.8979310344848</v>
      </c>
      <c r="AQ60">
        <v>56244.76</v>
      </c>
      <c r="AR60">
        <v>1449625.2049434129</v>
      </c>
      <c r="AT60">
        <v>45762</v>
      </c>
      <c r="AU60">
        <v>1329610.5857303175</v>
      </c>
      <c r="AV60">
        <v>28808.229357490218</v>
      </c>
      <c r="AW60">
        <v>18076.796504578742</v>
      </c>
      <c r="AX60">
        <v>2921.0172413793107</v>
      </c>
      <c r="AY60">
        <v>7501.6041379310354</v>
      </c>
      <c r="AZ60">
        <v>54386.63</v>
      </c>
      <c r="BA60">
        <v>1314454.8064671182</v>
      </c>
      <c r="BC60">
        <v>45762</v>
      </c>
      <c r="BD60">
        <v>601448.78907130763</v>
      </c>
      <c r="BE60">
        <v>13031.390429878333</v>
      </c>
      <c r="BF60">
        <v>8266.7906046044245</v>
      </c>
      <c r="BG60">
        <v>1411.0775862068965</v>
      </c>
      <c r="BH60">
        <v>3407.7089655172417</v>
      </c>
      <c r="BI60">
        <v>24705.89</v>
      </c>
      <c r="BJ60">
        <v>594593.07605291007</v>
      </c>
      <c r="BL60">
        <v>45762</v>
      </c>
      <c r="BM60">
        <v>1192592.4659150438</v>
      </c>
      <c r="BN60">
        <v>25839.503428159285</v>
      </c>
      <c r="BO60">
        <v>16072.97933046141</v>
      </c>
      <c r="BP60">
        <v>2479.0258620689742</v>
      </c>
      <c r="BQ60">
        <v>6705.9972413793112</v>
      </c>
      <c r="BR60">
        <v>48618.48</v>
      </c>
      <c r="BS60">
        <v>1178998.5124466512</v>
      </c>
      <c r="BU60">
        <v>45762</v>
      </c>
      <c r="BV60">
        <v>2505834.6786171314</v>
      </c>
      <c r="BW60">
        <v>54293.084703371183</v>
      </c>
      <c r="BX60">
        <v>33709.94977938744</v>
      </c>
      <c r="BY60">
        <v>5146.8793103448279</v>
      </c>
      <c r="BZ60">
        <v>14080.485517241381</v>
      </c>
      <c r="CA60">
        <v>102083.52</v>
      </c>
      <c r="CB60">
        <v>2477271.6081480887</v>
      </c>
      <c r="CD60">
        <v>45762</v>
      </c>
      <c r="CE60">
        <v>166559.04445658479</v>
      </c>
      <c r="CF60">
        <v>3608.7792965593367</v>
      </c>
      <c r="CG60">
        <v>1581.8672551648006</v>
      </c>
      <c r="CH60">
        <v>0</v>
      </c>
      <c r="CI60">
        <v>830.50344827586218</v>
      </c>
      <c r="CJ60">
        <v>6021.15</v>
      </c>
      <c r="CK60">
        <v>164977.17720141998</v>
      </c>
      <c r="CM60">
        <v>45762</v>
      </c>
      <c r="CN60">
        <v>312337.78347019397</v>
      </c>
      <c r="CO60">
        <v>6767.3186418542027</v>
      </c>
      <c r="CP60">
        <v>2947.6210133182103</v>
      </c>
      <c r="CQ60">
        <v>0</v>
      </c>
      <c r="CR60">
        <v>1554.3903448275864</v>
      </c>
      <c r="CS60">
        <v>11269.33</v>
      </c>
      <c r="CT60">
        <v>309390.16245687578</v>
      </c>
      <c r="CV60">
        <v>45762</v>
      </c>
      <c r="CW60">
        <v>184572.72092246811</v>
      </c>
      <c r="CX60">
        <v>3999.0756199868097</v>
      </c>
      <c r="CY60">
        <v>1855.4674834614673</v>
      </c>
      <c r="CZ60">
        <v>0</v>
      </c>
      <c r="DA60">
        <v>936.72689655172417</v>
      </c>
      <c r="DB60">
        <v>6791.27</v>
      </c>
      <c r="DC60">
        <v>182717.25343900663</v>
      </c>
      <c r="DE60">
        <v>45762</v>
      </c>
      <c r="DF60">
        <v>161168.93396504049</v>
      </c>
      <c r="DG60">
        <v>3491.9935692425438</v>
      </c>
      <c r="DH60">
        <v>1531.3684997229734</v>
      </c>
      <c r="DI60">
        <v>0</v>
      </c>
      <c r="DJ60">
        <v>803.73793103448293</v>
      </c>
      <c r="DK60">
        <v>5827.1</v>
      </c>
      <c r="DL60">
        <v>159637.56546531752</v>
      </c>
      <c r="DN60">
        <v>45762</v>
      </c>
      <c r="DO60">
        <v>148541.22664039518</v>
      </c>
      <c r="DP60">
        <v>3218.393243875229</v>
      </c>
      <c r="DQ60">
        <v>1413.0636526764947</v>
      </c>
      <c r="DR60">
        <v>0</v>
      </c>
      <c r="DS60">
        <v>741.03310344827605</v>
      </c>
      <c r="DT60">
        <v>5372.49</v>
      </c>
      <c r="DU60">
        <v>147128.16298771868</v>
      </c>
      <c r="DW60">
        <v>45762</v>
      </c>
      <c r="DX60">
        <v>704975.02009480493</v>
      </c>
      <c r="DY60">
        <v>15274.458768720771</v>
      </c>
      <c r="DZ60">
        <v>8651.3860588654334</v>
      </c>
      <c r="EA60">
        <v>613.81034482758366</v>
      </c>
      <c r="EB60">
        <v>3828.1351724137935</v>
      </c>
      <c r="EC60">
        <v>27753.98</v>
      </c>
      <c r="ED60">
        <v>696937.44438076706</v>
      </c>
      <c r="EF60">
        <v>45762</v>
      </c>
      <c r="EG60">
        <v>1127110.898772571</v>
      </c>
      <c r="EH60">
        <v>24420.736140072371</v>
      </c>
      <c r="EI60">
        <v>15193.574204755216</v>
      </c>
      <c r="EJ60">
        <v>2346.0086206896553</v>
      </c>
      <c r="EK60">
        <v>6338.2896551724143</v>
      </c>
      <c r="EL60">
        <v>45952.6</v>
      </c>
      <c r="EM60">
        <v>1114263.3331885054</v>
      </c>
      <c r="FU60">
        <v>45762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C60">
        <v>45748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K60">
        <v>45748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S60">
        <v>45748</v>
      </c>
      <c r="GT60">
        <v>312667.69462807389</v>
      </c>
      <c r="GU60">
        <v>7246.8135995518332</v>
      </c>
      <c r="GV60">
        <v>11058.376055620578</v>
      </c>
      <c r="GW60">
        <v>2928.8303448275869</v>
      </c>
      <c r="GX60">
        <v>21234.02</v>
      </c>
      <c r="GY60">
        <v>301609.31857245334</v>
      </c>
      <c r="HA60">
        <v>45748</v>
      </c>
      <c r="HB60">
        <v>292531.59739625663</v>
      </c>
      <c r="HC60">
        <v>6907.7289770358429</v>
      </c>
      <c r="HD60">
        <v>9230.0382643434677</v>
      </c>
      <c r="HE60">
        <v>2582.0427586206906</v>
      </c>
      <c r="HF60">
        <v>18719.810000000001</v>
      </c>
      <c r="HG60">
        <v>283301.55913191318</v>
      </c>
      <c r="HI60">
        <v>45763</v>
      </c>
      <c r="HJ60">
        <v>278543.94779618556</v>
      </c>
      <c r="HK60">
        <v>7617.7645516720786</v>
      </c>
      <c r="HL60">
        <v>6765.5975172934404</v>
      </c>
      <c r="HM60">
        <v>2301.3379310344831</v>
      </c>
      <c r="HN60">
        <v>16684.7</v>
      </c>
      <c r="HO60">
        <v>271778.35027889215</v>
      </c>
      <c r="HQ60">
        <v>45749</v>
      </c>
      <c r="HR60">
        <v>156980.75539413636</v>
      </c>
      <c r="HS60">
        <v>4323.267793157198</v>
      </c>
      <c r="HT60">
        <v>6398.9132413255593</v>
      </c>
      <c r="HU60">
        <v>1715.5489655172414</v>
      </c>
      <c r="HV60">
        <v>12437.73</v>
      </c>
      <c r="HW60">
        <v>150581.8421528108</v>
      </c>
      <c r="HY60">
        <v>45752</v>
      </c>
      <c r="HZ60">
        <v>239084.50471810723</v>
      </c>
      <c r="IA60">
        <v>2427.2259634568145</v>
      </c>
      <c r="IB60">
        <v>6293.0757606811167</v>
      </c>
      <c r="IC60">
        <v>1395.248275862069</v>
      </c>
      <c r="ID60">
        <v>10115.549999999999</v>
      </c>
      <c r="IE60">
        <v>232791.42895742611</v>
      </c>
      <c r="JM60">
        <v>45754</v>
      </c>
      <c r="JN60">
        <v>48409.920125223747</v>
      </c>
      <c r="JO60">
        <v>895.23983779818718</v>
      </c>
      <c r="JP60">
        <v>3711.850162201813</v>
      </c>
      <c r="JQ60">
        <v>737.13440000000003</v>
      </c>
      <c r="JR60">
        <v>5344.2244000000001</v>
      </c>
      <c r="JS60">
        <v>44698.069963021931</v>
      </c>
      <c r="JU60">
        <v>45755</v>
      </c>
      <c r="JV60">
        <v>51937.982690097298</v>
      </c>
      <c r="JW60">
        <v>948.83431262125805</v>
      </c>
      <c r="JX60">
        <v>3081.3056873787418</v>
      </c>
      <c r="JY60">
        <v>644.82240000000002</v>
      </c>
      <c r="JZ60">
        <v>4674.9623999999994</v>
      </c>
      <c r="KA60">
        <v>48856.677002718563</v>
      </c>
      <c r="KC60" s="3">
        <v>45749</v>
      </c>
      <c r="KD60" s="9">
        <v>14797058.483500354</v>
      </c>
      <c r="KE60" s="9">
        <v>321066.42011825909</v>
      </c>
      <c r="KF60" s="9">
        <v>225124.11160587889</v>
      </c>
      <c r="KG60" s="9">
        <v>28498.612068965536</v>
      </c>
      <c r="KH60" s="9">
        <v>87390.485075862103</v>
      </c>
      <c r="KI60" s="9">
        <v>633581.01679999998</v>
      </c>
      <c r="KJ60" s="9">
        <v>14600432.983963439</v>
      </c>
    </row>
    <row r="61" spans="1:304" x14ac:dyDescent="0.3">
      <c r="A61">
        <v>45792</v>
      </c>
      <c r="B61">
        <v>307756.08256714547</v>
      </c>
      <c r="C61">
        <v>6668.0484556214851</v>
      </c>
      <c r="D61">
        <v>5503.5377512750674</v>
      </c>
      <c r="E61">
        <v>1878.1982758620693</v>
      </c>
      <c r="F61">
        <v>1947.4537931034488</v>
      </c>
      <c r="G61">
        <v>14119.04</v>
      </c>
      <c r="H61">
        <v>304130.7430917325</v>
      </c>
      <c r="J61">
        <v>45792</v>
      </c>
      <c r="K61">
        <v>394086.6931062236</v>
      </c>
      <c r="L61">
        <v>8538.5450173015124</v>
      </c>
      <c r="M61">
        <v>7979.127396491589</v>
      </c>
      <c r="N61">
        <v>4149.3017241379312</v>
      </c>
      <c r="O61">
        <v>2642.8275862068972</v>
      </c>
      <c r="P61">
        <v>19160.5</v>
      </c>
      <c r="Q61">
        <v>390256.86743386992</v>
      </c>
      <c r="S61">
        <v>45792</v>
      </c>
      <c r="T61">
        <v>157889.40204737228</v>
      </c>
      <c r="U61">
        <v>3420.9370443597327</v>
      </c>
      <c r="V61">
        <v>4404.4336452954394</v>
      </c>
      <c r="W61">
        <v>2856.7844827586209</v>
      </c>
      <c r="X61">
        <v>1252.0593103448275</v>
      </c>
      <c r="Y61">
        <v>9077.43</v>
      </c>
      <c r="Z61">
        <v>156341.75288483544</v>
      </c>
      <c r="AB61">
        <v>45792</v>
      </c>
      <c r="AC61">
        <v>2617089.2530056676</v>
      </c>
      <c r="AD61">
        <v>56703.600481789465</v>
      </c>
      <c r="AE61">
        <v>35525.580552693304</v>
      </c>
      <c r="AF61">
        <v>4696.508620689664</v>
      </c>
      <c r="AG61">
        <v>14756.668965517243</v>
      </c>
      <c r="AH61">
        <v>106985.85</v>
      </c>
      <c r="AI61">
        <v>2586260.1810736642</v>
      </c>
      <c r="AK61">
        <v>45792</v>
      </c>
      <c r="AL61">
        <v>1449625.2049434129</v>
      </c>
      <c r="AM61">
        <v>31408.546107107279</v>
      </c>
      <c r="AN61">
        <v>17078.315961858232</v>
      </c>
      <c r="AO61">
        <v>0</v>
      </c>
      <c r="AP61">
        <v>7757.8979310344848</v>
      </c>
      <c r="AQ61">
        <v>56244.76</v>
      </c>
      <c r="AR61">
        <v>1432546.8889815549</v>
      </c>
      <c r="AT61">
        <v>45792</v>
      </c>
      <c r="AU61">
        <v>1314454.8064671182</v>
      </c>
      <c r="AV61">
        <v>28479.854140120897</v>
      </c>
      <c r="AW61">
        <v>18405.171721948067</v>
      </c>
      <c r="AX61">
        <v>2921.0172413793107</v>
      </c>
      <c r="AY61">
        <v>7501.6041379310354</v>
      </c>
      <c r="AZ61">
        <v>54386.63</v>
      </c>
      <c r="BA61">
        <v>1298970.6519865494</v>
      </c>
      <c r="BC61">
        <v>45792</v>
      </c>
      <c r="BD61">
        <v>594593.07605291007</v>
      </c>
      <c r="BE61">
        <v>12882.849981146384</v>
      </c>
      <c r="BF61">
        <v>8415.3310533363729</v>
      </c>
      <c r="BG61">
        <v>1411.0775862068965</v>
      </c>
      <c r="BH61">
        <v>3407.7089655172417</v>
      </c>
      <c r="BI61">
        <v>24705.89</v>
      </c>
      <c r="BJ61">
        <v>587588.82258578052</v>
      </c>
      <c r="BL61">
        <v>45792</v>
      </c>
      <c r="BM61">
        <v>1178998.5124466512</v>
      </c>
      <c r="BN61">
        <v>25544.967769677445</v>
      </c>
      <c r="BO61">
        <v>16367.514988943252</v>
      </c>
      <c r="BP61">
        <v>2479.0258620689742</v>
      </c>
      <c r="BQ61">
        <v>6705.9972413793112</v>
      </c>
      <c r="BR61">
        <v>48618.48</v>
      </c>
      <c r="BS61">
        <v>1165110.0233197769</v>
      </c>
      <c r="BU61">
        <v>45792</v>
      </c>
      <c r="BV61">
        <v>2477271.6081480887</v>
      </c>
      <c r="BW61">
        <v>53674.218176541923</v>
      </c>
      <c r="BX61">
        <v>34328.8163062167</v>
      </c>
      <c r="BY61">
        <v>5146.8793103448279</v>
      </c>
      <c r="BZ61">
        <v>14080.485517241381</v>
      </c>
      <c r="CA61">
        <v>102083.52</v>
      </c>
      <c r="CB61">
        <v>2448089.6711522168</v>
      </c>
      <c r="CD61">
        <v>45792</v>
      </c>
      <c r="CE61">
        <v>164977.17720141998</v>
      </c>
      <c r="CF61">
        <v>3574.5055060307664</v>
      </c>
      <c r="CG61">
        <v>1616.1410456933711</v>
      </c>
      <c r="CH61">
        <v>0</v>
      </c>
      <c r="CI61">
        <v>830.50344827586218</v>
      </c>
      <c r="CJ61">
        <v>6021.15</v>
      </c>
      <c r="CK61">
        <v>163361.03615572662</v>
      </c>
      <c r="CM61">
        <v>45792</v>
      </c>
      <c r="CN61">
        <v>309390.16245687578</v>
      </c>
      <c r="CO61">
        <v>6703.4535198989752</v>
      </c>
      <c r="CP61">
        <v>3011.4861352734379</v>
      </c>
      <c r="CQ61">
        <v>0</v>
      </c>
      <c r="CR61">
        <v>1554.3903448275864</v>
      </c>
      <c r="CS61">
        <v>11269.33</v>
      </c>
      <c r="CT61">
        <v>306378.67632160237</v>
      </c>
      <c r="CV61">
        <v>45792</v>
      </c>
      <c r="CW61">
        <v>182717.25343900663</v>
      </c>
      <c r="CX61">
        <v>3958.8738245118111</v>
      </c>
      <c r="CY61">
        <v>1895.6692789364652</v>
      </c>
      <c r="CZ61">
        <v>0</v>
      </c>
      <c r="DA61">
        <v>936.72689655172417</v>
      </c>
      <c r="DB61">
        <v>6791.27</v>
      </c>
      <c r="DC61">
        <v>180821.5841600702</v>
      </c>
      <c r="DE61">
        <v>45792</v>
      </c>
      <c r="DF61">
        <v>159637.56546531752</v>
      </c>
      <c r="DG61">
        <v>3458.8139184152128</v>
      </c>
      <c r="DH61">
        <v>1564.5481505503044</v>
      </c>
      <c r="DI61">
        <v>0</v>
      </c>
      <c r="DJ61">
        <v>803.73793103448293</v>
      </c>
      <c r="DK61">
        <v>5827.1</v>
      </c>
      <c r="DL61">
        <v>158073.0173147672</v>
      </c>
      <c r="DN61">
        <v>45792</v>
      </c>
      <c r="DO61">
        <v>147128.16298771868</v>
      </c>
      <c r="DP61">
        <v>3187.7768647339049</v>
      </c>
      <c r="DQ61">
        <v>1443.6800318178189</v>
      </c>
      <c r="DR61">
        <v>0</v>
      </c>
      <c r="DS61">
        <v>741.03310344827605</v>
      </c>
      <c r="DT61">
        <v>5372.49</v>
      </c>
      <c r="DU61">
        <v>145684.48295590086</v>
      </c>
      <c r="DW61">
        <v>45792</v>
      </c>
      <c r="DX61">
        <v>696937.44438076706</v>
      </c>
      <c r="DY61">
        <v>15100.311294916621</v>
      </c>
      <c r="DZ61">
        <v>8825.5335326695858</v>
      </c>
      <c r="EA61">
        <v>613.81034482758366</v>
      </c>
      <c r="EB61">
        <v>3828.1351724137935</v>
      </c>
      <c r="EC61">
        <v>27753.98</v>
      </c>
      <c r="ED61">
        <v>688725.72119292512</v>
      </c>
      <c r="EF61">
        <v>45792</v>
      </c>
      <c r="EG61">
        <v>1114263.3331885054</v>
      </c>
      <c r="EH61">
        <v>24142.372219084285</v>
      </c>
      <c r="EI61">
        <v>15471.9381257433</v>
      </c>
      <c r="EJ61">
        <v>2346.0086206896553</v>
      </c>
      <c r="EK61">
        <v>6338.2896551724143</v>
      </c>
      <c r="EL61">
        <v>45952.6</v>
      </c>
      <c r="EM61">
        <v>1101137.4036834517</v>
      </c>
      <c r="FU61">
        <v>45792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C61">
        <v>45778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K61">
        <v>45778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S61">
        <v>45778</v>
      </c>
      <c r="GT61">
        <v>301609.31857245334</v>
      </c>
      <c r="GU61">
        <v>6990.5095701759956</v>
      </c>
      <c r="GV61">
        <v>11314.680084996417</v>
      </c>
      <c r="GW61">
        <v>2928.8303448275869</v>
      </c>
      <c r="GX61">
        <v>21234.02</v>
      </c>
      <c r="GY61">
        <v>290294.63848745695</v>
      </c>
      <c r="HA61">
        <v>45778</v>
      </c>
      <c r="HB61">
        <v>283301.55913191318</v>
      </c>
      <c r="HC61">
        <v>6689.7743924875313</v>
      </c>
      <c r="HD61">
        <v>9447.9928488917794</v>
      </c>
      <c r="HE61">
        <v>2582.0427586206906</v>
      </c>
      <c r="HF61">
        <v>18719.810000000001</v>
      </c>
      <c r="HG61">
        <v>273853.56628302141</v>
      </c>
      <c r="HI61">
        <v>45793</v>
      </c>
      <c r="HJ61">
        <v>271778.35027889215</v>
      </c>
      <c r="HK61">
        <v>7432.735476921438</v>
      </c>
      <c r="HL61">
        <v>6950.6265920440792</v>
      </c>
      <c r="HM61">
        <v>2301.3379310344831</v>
      </c>
      <c r="HN61">
        <v>16684.7</v>
      </c>
      <c r="HO61">
        <v>264827.72368684807</v>
      </c>
      <c r="HQ61">
        <v>45779</v>
      </c>
      <c r="HR61">
        <v>150581.8421528108</v>
      </c>
      <c r="HS61">
        <v>4147.0409973440901</v>
      </c>
      <c r="HT61">
        <v>6575.1400371386671</v>
      </c>
      <c r="HU61">
        <v>1715.5489655172414</v>
      </c>
      <c r="HV61">
        <v>12437.73</v>
      </c>
      <c r="HW61">
        <v>144006.70211567215</v>
      </c>
      <c r="HY61">
        <v>45782</v>
      </c>
      <c r="HZ61">
        <v>232791.42895742611</v>
      </c>
      <c r="IA61">
        <v>2363.3376035886763</v>
      </c>
      <c r="IB61">
        <v>6356.9641205492553</v>
      </c>
      <c r="IC61">
        <v>1395.248275862069</v>
      </c>
      <c r="ID61">
        <v>10115.549999999999</v>
      </c>
      <c r="IE61">
        <v>226434.46483687684</v>
      </c>
      <c r="JM61">
        <v>45784</v>
      </c>
      <c r="JN61">
        <v>44698.069963021931</v>
      </c>
      <c r="JO61">
        <v>826.59696194660523</v>
      </c>
      <c r="JP61">
        <v>3780.4930380533942</v>
      </c>
      <c r="JQ61">
        <v>737.13440000000003</v>
      </c>
      <c r="JR61">
        <v>5344.2244000000001</v>
      </c>
      <c r="JS61">
        <v>40917.57692496854</v>
      </c>
      <c r="JU61">
        <v>45785</v>
      </c>
      <c r="JV61">
        <v>48856.677002718563</v>
      </c>
      <c r="JW61">
        <v>892.5431666731231</v>
      </c>
      <c r="JX61">
        <v>3137.5968333268765</v>
      </c>
      <c r="JY61">
        <v>644.82240000000002</v>
      </c>
      <c r="JZ61">
        <v>4674.9623999999994</v>
      </c>
      <c r="KA61">
        <v>45719.08016939168</v>
      </c>
      <c r="KC61" s="3">
        <v>45779</v>
      </c>
      <c r="KD61" s="9">
        <v>14600432.983963439</v>
      </c>
      <c r="KE61" s="9">
        <v>316790.21249039524</v>
      </c>
      <c r="KF61" s="9">
        <v>229400.3192337428</v>
      </c>
      <c r="KG61" s="9">
        <v>28498.612068965536</v>
      </c>
      <c r="KH61" s="9">
        <v>87390.485075862103</v>
      </c>
      <c r="KI61" s="9">
        <v>633581.01679999998</v>
      </c>
      <c r="KJ61" s="9">
        <v>14399531.276798656</v>
      </c>
      <c r="KL61" t="s">
        <v>1187</v>
      </c>
      <c r="KN61">
        <v>88494</v>
      </c>
      <c r="KO61" t="s">
        <v>1188</v>
      </c>
    </row>
    <row r="62" spans="1:304" x14ac:dyDescent="0.3">
      <c r="A62">
        <v>45823</v>
      </c>
      <c r="B62">
        <v>304130.7430917325</v>
      </c>
      <c r="C62">
        <v>6589.499433654204</v>
      </c>
      <c r="D62">
        <v>5582.0867732423485</v>
      </c>
      <c r="E62">
        <v>1878.1982758620693</v>
      </c>
      <c r="F62">
        <v>1947.4537931034488</v>
      </c>
      <c r="G62">
        <v>14119.04</v>
      </c>
      <c r="H62">
        <v>300426.85459435225</v>
      </c>
      <c r="J62">
        <v>45823</v>
      </c>
      <c r="K62">
        <v>390256.86743386992</v>
      </c>
      <c r="L62">
        <v>8455.5654610671827</v>
      </c>
      <c r="M62">
        <v>8062.1069527259187</v>
      </c>
      <c r="N62">
        <v>4149.3017241379312</v>
      </c>
      <c r="O62">
        <v>2642.8275862068972</v>
      </c>
      <c r="P62">
        <v>19160.5</v>
      </c>
      <c r="Q62">
        <v>386344.06220528192</v>
      </c>
      <c r="S62">
        <v>45823</v>
      </c>
      <c r="T62">
        <v>156341.75288483544</v>
      </c>
      <c r="U62">
        <v>3387.4046458381013</v>
      </c>
      <c r="V62">
        <v>4437.9660438170704</v>
      </c>
      <c r="W62">
        <v>2856.7844827586209</v>
      </c>
      <c r="X62">
        <v>1252.0593103448275</v>
      </c>
      <c r="Y62">
        <v>9077.43</v>
      </c>
      <c r="Z62">
        <v>154760.57132377697</v>
      </c>
      <c r="AB62">
        <v>45823</v>
      </c>
      <c r="AC62">
        <v>2586260.1810736642</v>
      </c>
      <c r="AD62">
        <v>56035.637256596048</v>
      </c>
      <c r="AE62">
        <v>36193.54377788672</v>
      </c>
      <c r="AF62">
        <v>4696.508620689664</v>
      </c>
      <c r="AG62">
        <v>14756.668965517243</v>
      </c>
      <c r="AH62">
        <v>106985.85</v>
      </c>
      <c r="AI62">
        <v>2554763.1459164666</v>
      </c>
      <c r="AK62">
        <v>45823</v>
      </c>
      <c r="AL62">
        <v>1432546.8889815549</v>
      </c>
      <c r="AM62">
        <v>31038.515927933684</v>
      </c>
      <c r="AN62">
        <v>17448.34614103183</v>
      </c>
      <c r="AO62">
        <v>0</v>
      </c>
      <c r="AP62">
        <v>7757.8979310344848</v>
      </c>
      <c r="AQ62">
        <v>56244.76</v>
      </c>
      <c r="AR62">
        <v>1415098.5428405227</v>
      </c>
      <c r="AT62">
        <v>45823</v>
      </c>
      <c r="AU62">
        <v>1298970.6519865494</v>
      </c>
      <c r="AV62">
        <v>28144.364126375236</v>
      </c>
      <c r="AW62">
        <v>18740.661735693728</v>
      </c>
      <c r="AX62">
        <v>2921.0172413793107</v>
      </c>
      <c r="AY62">
        <v>7501.6041379310354</v>
      </c>
      <c r="AZ62">
        <v>54386.63</v>
      </c>
      <c r="BA62">
        <v>1283151.0074922347</v>
      </c>
      <c r="BC62">
        <v>45823</v>
      </c>
      <c r="BD62">
        <v>587588.82258578052</v>
      </c>
      <c r="BE62">
        <v>12731.091156025244</v>
      </c>
      <c r="BF62">
        <v>8567.0898784575129</v>
      </c>
      <c r="BG62">
        <v>1411.0775862068965</v>
      </c>
      <c r="BH62">
        <v>3407.7089655172417</v>
      </c>
      <c r="BI62">
        <v>24705.89</v>
      </c>
      <c r="BJ62">
        <v>580432.81029352988</v>
      </c>
      <c r="BL62">
        <v>45823</v>
      </c>
      <c r="BM62">
        <v>1165110.0233197769</v>
      </c>
      <c r="BN62">
        <v>25244.050505261832</v>
      </c>
      <c r="BO62">
        <v>16668.432253358864</v>
      </c>
      <c r="BP62">
        <v>2479.0258620689742</v>
      </c>
      <c r="BQ62">
        <v>6705.9972413793112</v>
      </c>
      <c r="BR62">
        <v>48618.48</v>
      </c>
      <c r="BS62">
        <v>1150920.6169284869</v>
      </c>
      <c r="BU62">
        <v>45823</v>
      </c>
      <c r="BV62">
        <v>2448089.6711522168</v>
      </c>
      <c r="BW62">
        <v>53041.942874964698</v>
      </c>
      <c r="BX62">
        <v>34961.091607793926</v>
      </c>
      <c r="BY62">
        <v>5146.8793103448279</v>
      </c>
      <c r="BZ62">
        <v>14080.485517241381</v>
      </c>
      <c r="CA62">
        <v>102083.52</v>
      </c>
      <c r="CB62">
        <v>2418275.458854768</v>
      </c>
      <c r="CD62">
        <v>45823</v>
      </c>
      <c r="CE62">
        <v>163361.03615572662</v>
      </c>
      <c r="CF62">
        <v>3539.4891167074102</v>
      </c>
      <c r="CG62">
        <v>1651.1574350167275</v>
      </c>
      <c r="CH62">
        <v>0</v>
      </c>
      <c r="CI62">
        <v>830.50344827586218</v>
      </c>
      <c r="CJ62">
        <v>6021.15</v>
      </c>
      <c r="CK62">
        <v>161709.87872070988</v>
      </c>
      <c r="CM62">
        <v>45823</v>
      </c>
      <c r="CN62">
        <v>306378.67632160237</v>
      </c>
      <c r="CO62">
        <v>6638.2046536347179</v>
      </c>
      <c r="CP62">
        <v>3076.7350015376951</v>
      </c>
      <c r="CQ62">
        <v>0</v>
      </c>
      <c r="CR62">
        <v>1554.3903448275864</v>
      </c>
      <c r="CS62">
        <v>11269.33</v>
      </c>
      <c r="CT62">
        <v>303301.94132006465</v>
      </c>
      <c r="CV62">
        <v>45823</v>
      </c>
      <c r="CW62">
        <v>180821.5841600702</v>
      </c>
      <c r="CX62">
        <v>3917.8009901348546</v>
      </c>
      <c r="CY62">
        <v>1936.7421133134217</v>
      </c>
      <c r="CZ62">
        <v>0</v>
      </c>
      <c r="DA62">
        <v>936.72689655172417</v>
      </c>
      <c r="DB62">
        <v>6791.27</v>
      </c>
      <c r="DC62">
        <v>178884.84204675676</v>
      </c>
      <c r="DE62">
        <v>45823</v>
      </c>
      <c r="DF62">
        <v>158073.0173147672</v>
      </c>
      <c r="DG62">
        <v>3424.9153751532895</v>
      </c>
      <c r="DH62">
        <v>1598.4466938122275</v>
      </c>
      <c r="DI62">
        <v>0</v>
      </c>
      <c r="DJ62">
        <v>803.73793103448293</v>
      </c>
      <c r="DK62">
        <v>5827.1</v>
      </c>
      <c r="DL62">
        <v>156474.57062095497</v>
      </c>
      <c r="DN62">
        <v>45823</v>
      </c>
      <c r="DO62">
        <v>145684.48295590086</v>
      </c>
      <c r="DP62">
        <v>3156.4971307111855</v>
      </c>
      <c r="DQ62">
        <v>1474.9597658405382</v>
      </c>
      <c r="DR62">
        <v>0</v>
      </c>
      <c r="DS62">
        <v>741.03310344827605</v>
      </c>
      <c r="DT62">
        <v>5372.49</v>
      </c>
      <c r="DU62">
        <v>144209.52319006034</v>
      </c>
      <c r="DW62">
        <v>45823</v>
      </c>
      <c r="DX62">
        <v>688725.72119292512</v>
      </c>
      <c r="DY62">
        <v>14922.390625846712</v>
      </c>
      <c r="DZ62">
        <v>9003.4542017394942</v>
      </c>
      <c r="EA62">
        <v>613.81034482758366</v>
      </c>
      <c r="EB62">
        <v>3828.1351724137935</v>
      </c>
      <c r="EC62">
        <v>27753.98</v>
      </c>
      <c r="ED62">
        <v>680336.0773360132</v>
      </c>
      <c r="EF62">
        <v>45823</v>
      </c>
      <c r="EG62">
        <v>1101137.4036834517</v>
      </c>
      <c r="EH62">
        <v>23857.977079808123</v>
      </c>
      <c r="EI62">
        <v>15756.333265019464</v>
      </c>
      <c r="EJ62">
        <v>2346.0086206896553</v>
      </c>
      <c r="EK62">
        <v>6338.2896551724143</v>
      </c>
      <c r="EL62">
        <v>45952.6</v>
      </c>
      <c r="EM62">
        <v>1087727.079039122</v>
      </c>
      <c r="FU62">
        <v>45823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C62">
        <v>45809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K62">
        <v>45809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S62">
        <v>45809</v>
      </c>
      <c r="GT62">
        <v>290294.63848745695</v>
      </c>
      <c r="GU62">
        <v>6728.2650885001203</v>
      </c>
      <c r="GV62">
        <v>11576.924566672293</v>
      </c>
      <c r="GW62">
        <v>2928.8303448275869</v>
      </c>
      <c r="GX62">
        <v>21234.02</v>
      </c>
      <c r="GY62">
        <v>278717.71392078465</v>
      </c>
      <c r="HA62">
        <v>45809</v>
      </c>
      <c r="HB62">
        <v>273853.56628302141</v>
      </c>
      <c r="HC62">
        <v>6466.6731119488968</v>
      </c>
      <c r="HD62">
        <v>9671.0941294304139</v>
      </c>
      <c r="HE62">
        <v>2582.0427586206906</v>
      </c>
      <c r="HF62">
        <v>18719.810000000001</v>
      </c>
      <c r="HG62">
        <v>264182.47215359099</v>
      </c>
      <c r="HI62">
        <v>45824</v>
      </c>
      <c r="HJ62">
        <v>264827.72368684807</v>
      </c>
      <c r="HK62">
        <v>7242.6461309359875</v>
      </c>
      <c r="HL62">
        <v>7140.7159380295307</v>
      </c>
      <c r="HM62">
        <v>2301.3379310344831</v>
      </c>
      <c r="HN62">
        <v>16684.7</v>
      </c>
      <c r="HO62">
        <v>257687.00774881855</v>
      </c>
      <c r="HQ62">
        <v>45810</v>
      </c>
      <c r="HR62">
        <v>144006.70211567215</v>
      </c>
      <c r="HS62">
        <v>3965.9608956036591</v>
      </c>
      <c r="HT62">
        <v>6756.2201388790982</v>
      </c>
      <c r="HU62">
        <v>1715.5489655172414</v>
      </c>
      <c r="HV62">
        <v>12437.73</v>
      </c>
      <c r="HW62">
        <v>137250.48197679306</v>
      </c>
      <c r="HY62">
        <v>45813</v>
      </c>
      <c r="HZ62">
        <v>226434.46483687684</v>
      </c>
      <c r="IA62">
        <v>2298.8006383832017</v>
      </c>
      <c r="IB62">
        <v>6421.5010857547295</v>
      </c>
      <c r="IC62">
        <v>1395.248275862069</v>
      </c>
      <c r="ID62">
        <v>10115.549999999999</v>
      </c>
      <c r="IE62">
        <v>220012.96375112212</v>
      </c>
      <c r="JM62">
        <v>45815</v>
      </c>
      <c r="JN62">
        <v>40917.57692496854</v>
      </c>
      <c r="JO62">
        <v>756.6846802194425</v>
      </c>
      <c r="JP62">
        <v>3850.4053197805574</v>
      </c>
      <c r="JQ62">
        <v>737.13440000000003</v>
      </c>
      <c r="JR62">
        <v>5344.2244000000001</v>
      </c>
      <c r="JS62">
        <v>37067.171605187985</v>
      </c>
      <c r="JU62">
        <v>45816</v>
      </c>
      <c r="JV62">
        <v>45719.08016939168</v>
      </c>
      <c r="JW62">
        <v>835.22366020719392</v>
      </c>
      <c r="JX62">
        <v>3194.9163397928055</v>
      </c>
      <c r="JY62">
        <v>644.82240000000002</v>
      </c>
      <c r="JZ62">
        <v>4674.9623999999994</v>
      </c>
      <c r="KA62">
        <v>42524.163829598874</v>
      </c>
      <c r="KC62" s="3">
        <v>45810</v>
      </c>
      <c r="KD62" s="9">
        <v>14399531.276798656</v>
      </c>
      <c r="KE62" s="9">
        <v>312419.60056551098</v>
      </c>
      <c r="KF62" s="9">
        <v>233770.93115862689</v>
      </c>
      <c r="KG62" s="9">
        <v>28498.612068965536</v>
      </c>
      <c r="KH62" s="9">
        <v>87390.485075862103</v>
      </c>
      <c r="KI62" s="9">
        <v>633581.01679999998</v>
      </c>
      <c r="KJ62" s="9">
        <v>14194258.957708998</v>
      </c>
      <c r="KL62" t="s">
        <v>1231</v>
      </c>
      <c r="KM62" t="s">
        <v>1235</v>
      </c>
      <c r="KO62" t="s">
        <v>1233</v>
      </c>
      <c r="KP62" t="s">
        <v>1245</v>
      </c>
      <c r="KR62" t="s">
        <v>1293</v>
      </c>
    </row>
    <row r="63" spans="1:304" x14ac:dyDescent="0.3">
      <c r="A63">
        <v>45853</v>
      </c>
      <c r="B63">
        <v>300426.85459435225</v>
      </c>
      <c r="C63">
        <v>6509.2485162109651</v>
      </c>
      <c r="D63">
        <v>5662.3376906855874</v>
      </c>
      <c r="E63">
        <v>1878.1982758620693</v>
      </c>
      <c r="F63">
        <v>1947.4537931034488</v>
      </c>
      <c r="G63">
        <v>14119.04</v>
      </c>
      <c r="H63">
        <v>296642.71517952875</v>
      </c>
      <c r="J63">
        <v>45853</v>
      </c>
      <c r="K63">
        <v>386344.06220528192</v>
      </c>
      <c r="L63">
        <v>8370.7880144477749</v>
      </c>
      <c r="M63">
        <v>8146.8843993453265</v>
      </c>
      <c r="N63">
        <v>4149.3017241379312</v>
      </c>
      <c r="O63">
        <v>2642.8275862068972</v>
      </c>
      <c r="P63">
        <v>19160.5</v>
      </c>
      <c r="Q63">
        <v>382346.47953007458</v>
      </c>
      <c r="S63">
        <v>45853</v>
      </c>
      <c r="T63">
        <v>154760.57132377697</v>
      </c>
      <c r="U63">
        <v>3353.1457120151676</v>
      </c>
      <c r="V63">
        <v>4472.224977640004</v>
      </c>
      <c r="W63">
        <v>2856.7844827586209</v>
      </c>
      <c r="X63">
        <v>1252.0593103448275</v>
      </c>
      <c r="Y63">
        <v>9077.43</v>
      </c>
      <c r="Z63">
        <v>153145.13082889558</v>
      </c>
      <c r="AB63">
        <v>45853</v>
      </c>
      <c r="AC63">
        <v>2554763.1459164666</v>
      </c>
      <c r="AD63">
        <v>55353.201494856781</v>
      </c>
      <c r="AE63">
        <v>36875.979539625987</v>
      </c>
      <c r="AF63">
        <v>4696.508620689664</v>
      </c>
      <c r="AG63">
        <v>14756.668965517243</v>
      </c>
      <c r="AH63">
        <v>106985.85</v>
      </c>
      <c r="AI63">
        <v>2522583.6749975304</v>
      </c>
      <c r="AK63">
        <v>45853</v>
      </c>
      <c r="AL63">
        <v>1415098.5428405227</v>
      </c>
      <c r="AM63">
        <v>30660.468428211327</v>
      </c>
      <c r="AN63">
        <v>17826.393640754188</v>
      </c>
      <c r="AO63">
        <v>0</v>
      </c>
      <c r="AP63">
        <v>7757.8979310344848</v>
      </c>
      <c r="AQ63">
        <v>56244.76</v>
      </c>
      <c r="AR63">
        <v>1397272.1491997684</v>
      </c>
      <c r="AT63">
        <v>45853</v>
      </c>
      <c r="AU63">
        <v>1283151.0074922347</v>
      </c>
      <c r="AV63">
        <v>27801.605162331762</v>
      </c>
      <c r="AW63">
        <v>19083.420699737209</v>
      </c>
      <c r="AX63">
        <v>2921.0172413793107</v>
      </c>
      <c r="AY63">
        <v>7501.6041379310354</v>
      </c>
      <c r="AZ63">
        <v>54386.63</v>
      </c>
      <c r="BA63">
        <v>1266988.6040338769</v>
      </c>
      <c r="BC63">
        <v>45853</v>
      </c>
      <c r="BD63">
        <v>580432.81029352988</v>
      </c>
      <c r="BE63">
        <v>12576.044223026482</v>
      </c>
      <c r="BF63">
        <v>8722.1368114562756</v>
      </c>
      <c r="BG63">
        <v>1411.0775862068965</v>
      </c>
      <c r="BH63">
        <v>3407.7089655172417</v>
      </c>
      <c r="BI63">
        <v>24705.89</v>
      </c>
      <c r="BJ63">
        <v>573121.75106828043</v>
      </c>
      <c r="BL63">
        <v>45853</v>
      </c>
      <c r="BM63">
        <v>1150920.6169284869</v>
      </c>
      <c r="BN63">
        <v>24936.613366783884</v>
      </c>
      <c r="BO63">
        <v>16975.869391836812</v>
      </c>
      <c r="BP63">
        <v>2479.0258620689742</v>
      </c>
      <c r="BQ63">
        <v>6705.9972413793112</v>
      </c>
      <c r="BR63">
        <v>48618.48</v>
      </c>
      <c r="BS63">
        <v>1136423.7733987188</v>
      </c>
      <c r="BU63">
        <v>45853</v>
      </c>
      <c r="BV63">
        <v>2418275.458854768</v>
      </c>
      <c r="BW63">
        <v>52395.968275186642</v>
      </c>
      <c r="BX63">
        <v>35607.066207571981</v>
      </c>
      <c r="BY63">
        <v>5146.8793103448279</v>
      </c>
      <c r="BZ63">
        <v>14080.485517241381</v>
      </c>
      <c r="CA63">
        <v>102083.52</v>
      </c>
      <c r="CB63">
        <v>2387815.2719575409</v>
      </c>
      <c r="CD63">
        <v>45853</v>
      </c>
      <c r="CE63">
        <v>161709.87872070988</v>
      </c>
      <c r="CF63">
        <v>3503.714038948714</v>
      </c>
      <c r="CG63">
        <v>1686.9325127754237</v>
      </c>
      <c r="CH63">
        <v>0</v>
      </c>
      <c r="CI63">
        <v>830.50344827586218</v>
      </c>
      <c r="CJ63">
        <v>6021.15</v>
      </c>
      <c r="CK63">
        <v>160022.94620793447</v>
      </c>
      <c r="CM63">
        <v>45853</v>
      </c>
      <c r="CN63">
        <v>303301.94132006465</v>
      </c>
      <c r="CO63">
        <v>6571.5420619347342</v>
      </c>
      <c r="CP63">
        <v>3143.3975932376788</v>
      </c>
      <c r="CQ63">
        <v>0</v>
      </c>
      <c r="CR63">
        <v>1554.3903448275864</v>
      </c>
      <c r="CS63">
        <v>11269.33</v>
      </c>
      <c r="CT63">
        <v>300158.54372682696</v>
      </c>
      <c r="CV63">
        <v>45853</v>
      </c>
      <c r="CW63">
        <v>178884.84204675676</v>
      </c>
      <c r="CX63">
        <v>3875.838244346397</v>
      </c>
      <c r="CY63">
        <v>1978.7048591018795</v>
      </c>
      <c r="CZ63">
        <v>0</v>
      </c>
      <c r="DA63">
        <v>936.72689655172417</v>
      </c>
      <c r="DB63">
        <v>6791.27</v>
      </c>
      <c r="DC63">
        <v>176906.13718765488</v>
      </c>
      <c r="DE63">
        <v>45853</v>
      </c>
      <c r="DF63">
        <v>156474.57062095497</v>
      </c>
      <c r="DG63">
        <v>3390.282363454025</v>
      </c>
      <c r="DH63">
        <v>1633.0797055114926</v>
      </c>
      <c r="DI63">
        <v>0</v>
      </c>
      <c r="DJ63">
        <v>803.73793103448293</v>
      </c>
      <c r="DK63">
        <v>5827.1</v>
      </c>
      <c r="DL63">
        <v>154841.49091544349</v>
      </c>
      <c r="DN63">
        <v>45853</v>
      </c>
      <c r="DO63">
        <v>144209.52319006034</v>
      </c>
      <c r="DP63">
        <v>3124.539669117974</v>
      </c>
      <c r="DQ63">
        <v>1506.9172274337498</v>
      </c>
      <c r="DR63">
        <v>0</v>
      </c>
      <c r="DS63">
        <v>741.03310344827605</v>
      </c>
      <c r="DT63">
        <v>5372.49</v>
      </c>
      <c r="DU63">
        <v>142702.60596262658</v>
      </c>
      <c r="DW63">
        <v>45853</v>
      </c>
      <c r="DX63">
        <v>680336.0773360132</v>
      </c>
      <c r="DY63">
        <v>14740.615008946954</v>
      </c>
      <c r="DZ63">
        <v>9185.2298186392527</v>
      </c>
      <c r="EA63">
        <v>613.81034482758366</v>
      </c>
      <c r="EB63">
        <v>3828.1351724137935</v>
      </c>
      <c r="EC63">
        <v>27753.98</v>
      </c>
      <c r="ED63">
        <v>671764.65786220157</v>
      </c>
      <c r="EF63">
        <v>45853</v>
      </c>
      <c r="EG63">
        <v>1087727.079039122</v>
      </c>
      <c r="EH63">
        <v>23567.420045847644</v>
      </c>
      <c r="EI63">
        <v>16046.890298979944</v>
      </c>
      <c r="EJ63">
        <v>2346.0086206896553</v>
      </c>
      <c r="EK63">
        <v>6338.2896551724143</v>
      </c>
      <c r="EL63">
        <v>45952.6</v>
      </c>
      <c r="EM63">
        <v>1074026.1973608315</v>
      </c>
      <c r="FU63">
        <v>45853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C63">
        <v>45839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K63">
        <v>45839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S63">
        <v>45839</v>
      </c>
      <c r="GT63">
        <v>278717.71392078465</v>
      </c>
      <c r="GU63">
        <v>6459.9424704869525</v>
      </c>
      <c r="GV63">
        <v>11845.247184685461</v>
      </c>
      <c r="GW63">
        <v>2928.8303448275869</v>
      </c>
      <c r="GX63">
        <v>21234.02</v>
      </c>
      <c r="GY63">
        <v>266872.46673609922</v>
      </c>
      <c r="HA63">
        <v>45839</v>
      </c>
      <c r="HB63">
        <v>264182.47215359099</v>
      </c>
      <c r="HC63">
        <v>6238.3036033141943</v>
      </c>
      <c r="HD63">
        <v>9899.4636380651173</v>
      </c>
      <c r="HE63">
        <v>2582.0427586206906</v>
      </c>
      <c r="HF63">
        <v>18719.810000000001</v>
      </c>
      <c r="HG63">
        <v>254283.00851552587</v>
      </c>
      <c r="HI63">
        <v>45854</v>
      </c>
      <c r="HJ63">
        <v>257687.00774881855</v>
      </c>
      <c r="HK63">
        <v>7047.3581227898412</v>
      </c>
      <c r="HL63">
        <v>7336.0039461756769</v>
      </c>
      <c r="HM63">
        <v>2301.3379310344831</v>
      </c>
      <c r="HN63">
        <v>16684.7</v>
      </c>
      <c r="HO63">
        <v>250351.00380264287</v>
      </c>
      <c r="HQ63">
        <v>45840</v>
      </c>
      <c r="HR63">
        <v>137250.48197679306</v>
      </c>
      <c r="HS63">
        <v>3779.8938273406729</v>
      </c>
      <c r="HT63">
        <v>6942.2872071420843</v>
      </c>
      <c r="HU63">
        <v>1715.5489655172414</v>
      </c>
      <c r="HV63">
        <v>12437.73</v>
      </c>
      <c r="HW63">
        <v>130308.19476965096</v>
      </c>
      <c r="HY63">
        <v>45843</v>
      </c>
      <c r="HZ63">
        <v>220012.96375112212</v>
      </c>
      <c r="IA63">
        <v>2233.6084830902973</v>
      </c>
      <c r="IB63">
        <v>6486.6932410476338</v>
      </c>
      <c r="IC63">
        <v>1395.248275862069</v>
      </c>
      <c r="ID63">
        <v>10115.549999999999</v>
      </c>
      <c r="IE63">
        <v>213526.27051007448</v>
      </c>
      <c r="JN63">
        <v>37067.171605187985</v>
      </c>
      <c r="JO63">
        <v>0</v>
      </c>
      <c r="JP63">
        <v>37067.171605187985</v>
      </c>
      <c r="JQ63">
        <v>0</v>
      </c>
      <c r="JR63">
        <v>42997.91906201806</v>
      </c>
      <c r="JS63">
        <v>0</v>
      </c>
      <c r="JU63">
        <v>45846</v>
      </c>
      <c r="JV63">
        <v>42524.163829598874</v>
      </c>
      <c r="JW63">
        <v>776.85700651489083</v>
      </c>
      <c r="JX63">
        <v>3253.2829934851084</v>
      </c>
      <c r="JY63">
        <v>644.82240000000002</v>
      </c>
      <c r="JZ63">
        <v>4674.9623999999994</v>
      </c>
      <c r="KA63">
        <v>39270.880836113764</v>
      </c>
      <c r="KC63" s="3">
        <v>45840</v>
      </c>
      <c r="KD63" s="9">
        <v>14194258.957708998</v>
      </c>
      <c r="KE63" s="9">
        <v>307266.99813920411</v>
      </c>
      <c r="KF63" s="9">
        <v>271383.61519012187</v>
      </c>
      <c r="KG63" s="9">
        <v>28498.612068965536</v>
      </c>
      <c r="KH63" s="9">
        <v>86653.350675862093</v>
      </c>
      <c r="KI63" s="9">
        <v>671234.71146201808</v>
      </c>
      <c r="KJ63" s="9">
        <v>13951373.95458784</v>
      </c>
      <c r="KL63" t="s">
        <v>1263</v>
      </c>
      <c r="KM63">
        <v>340914.10000000003</v>
      </c>
      <c r="KN63" t="s">
        <v>1264</v>
      </c>
      <c r="KO63" t="s">
        <v>1265</v>
      </c>
      <c r="KP63">
        <v>60</v>
      </c>
      <c r="KQ63" t="s">
        <v>1266</v>
      </c>
    </row>
    <row r="64" spans="1:304" x14ac:dyDescent="0.3">
      <c r="A64">
        <v>45884</v>
      </c>
      <c r="B64">
        <v>296642.71517952875</v>
      </c>
      <c r="C64">
        <v>6427.2588288897896</v>
      </c>
      <c r="D64">
        <v>5744.327378006763</v>
      </c>
      <c r="E64">
        <v>1878.1982758620693</v>
      </c>
      <c r="F64">
        <v>1947.4537931034488</v>
      </c>
      <c r="G64">
        <v>14119.04</v>
      </c>
      <c r="H64">
        <v>292776.58607738407</v>
      </c>
      <c r="J64">
        <v>45884</v>
      </c>
      <c r="K64">
        <v>382346.47953007458</v>
      </c>
      <c r="L64">
        <v>8284.1737231516145</v>
      </c>
      <c r="M64">
        <v>8233.498690641487</v>
      </c>
      <c r="N64">
        <v>4149.3017241379312</v>
      </c>
      <c r="O64">
        <v>2642.8275862068972</v>
      </c>
      <c r="P64">
        <v>19160.5</v>
      </c>
      <c r="Q64">
        <v>378262.28256357095</v>
      </c>
      <c r="S64">
        <v>45884</v>
      </c>
      <c r="T64">
        <v>153145.13082889558</v>
      </c>
      <c r="U64">
        <v>3318.1445012927375</v>
      </c>
      <c r="V64">
        <v>4507.2261883624342</v>
      </c>
      <c r="W64">
        <v>2856.7844827586209</v>
      </c>
      <c r="X64">
        <v>1252.0593103448275</v>
      </c>
      <c r="Y64">
        <v>9077.43</v>
      </c>
      <c r="Z64">
        <v>151494.68912329176</v>
      </c>
      <c r="AB64">
        <v>45884</v>
      </c>
      <c r="AC64">
        <v>2522583.6749975304</v>
      </c>
      <c r="AD64">
        <v>54655.979624946493</v>
      </c>
      <c r="AE64">
        <v>37573.201409536276</v>
      </c>
      <c r="AF64">
        <v>4696.508620689664</v>
      </c>
      <c r="AG64">
        <v>14756.668965517243</v>
      </c>
      <c r="AH64">
        <v>106985.85</v>
      </c>
      <c r="AI64">
        <v>2489706.9822086836</v>
      </c>
      <c r="AK64">
        <v>45884</v>
      </c>
      <c r="AL64">
        <v>1397272.1491997684</v>
      </c>
      <c r="AM64">
        <v>30274.229899328318</v>
      </c>
      <c r="AN64">
        <v>18212.632169637196</v>
      </c>
      <c r="AO64">
        <v>0</v>
      </c>
      <c r="AP64">
        <v>7757.8979310344848</v>
      </c>
      <c r="AQ64">
        <v>56244.76</v>
      </c>
      <c r="AR64">
        <v>1379059.5170301313</v>
      </c>
      <c r="AT64">
        <v>45884</v>
      </c>
      <c r="AU64">
        <v>1266988.6040338769</v>
      </c>
      <c r="AV64">
        <v>27451.419754067338</v>
      </c>
      <c r="AW64">
        <v>19433.60610800163</v>
      </c>
      <c r="AX64">
        <v>2921.0172413793107</v>
      </c>
      <c r="AY64">
        <v>7501.6041379310354</v>
      </c>
      <c r="AZ64">
        <v>54386.63</v>
      </c>
      <c r="BA64">
        <v>1250476.0151672545</v>
      </c>
      <c r="BC64">
        <v>45884</v>
      </c>
      <c r="BD64">
        <v>573121.75106828043</v>
      </c>
      <c r="BE64">
        <v>12417.637939812745</v>
      </c>
      <c r="BF64">
        <v>8880.5430946700144</v>
      </c>
      <c r="BG64">
        <v>1411.0775862068965</v>
      </c>
      <c r="BH64">
        <v>3407.7089655172417</v>
      </c>
      <c r="BI64">
        <v>24705.89</v>
      </c>
      <c r="BJ64">
        <v>565652.28555981722</v>
      </c>
      <c r="BL64">
        <v>45884</v>
      </c>
      <c r="BM64">
        <v>1136423.7733987188</v>
      </c>
      <c r="BN64">
        <v>24622.515090305576</v>
      </c>
      <c r="BO64">
        <v>17289.967668315119</v>
      </c>
      <c r="BP64">
        <v>2479.0258620689742</v>
      </c>
      <c r="BQ64">
        <v>6705.9972413793112</v>
      </c>
      <c r="BR64">
        <v>48618.48</v>
      </c>
      <c r="BS64">
        <v>1121612.8315924725</v>
      </c>
      <c r="BU64">
        <v>45884</v>
      </c>
      <c r="BV64">
        <v>2387815.2719575409</v>
      </c>
      <c r="BW64">
        <v>51735.997559080053</v>
      </c>
      <c r="BX64">
        <v>36267.03692367857</v>
      </c>
      <c r="BY64">
        <v>5146.8793103448279</v>
      </c>
      <c r="BZ64">
        <v>14080.485517241381</v>
      </c>
      <c r="CA64">
        <v>102083.52</v>
      </c>
      <c r="CB64">
        <v>2356695.1143442071</v>
      </c>
      <c r="CD64">
        <v>45884</v>
      </c>
      <c r="CE64">
        <v>160022.94620793447</v>
      </c>
      <c r="CF64">
        <v>3467.163834505247</v>
      </c>
      <c r="CG64">
        <v>1723.4827172188909</v>
      </c>
      <c r="CH64">
        <v>0</v>
      </c>
      <c r="CI64">
        <v>830.50344827586218</v>
      </c>
      <c r="CJ64">
        <v>6021.15</v>
      </c>
      <c r="CK64">
        <v>158299.46349071557</v>
      </c>
      <c r="CM64">
        <v>45884</v>
      </c>
      <c r="CN64">
        <v>300158.54372682696</v>
      </c>
      <c r="CO64">
        <v>6503.4351140812514</v>
      </c>
      <c r="CP64">
        <v>3211.5045410911616</v>
      </c>
      <c r="CQ64">
        <v>0</v>
      </c>
      <c r="CR64">
        <v>1554.3903448275864</v>
      </c>
      <c r="CS64">
        <v>11269.33</v>
      </c>
      <c r="CT64">
        <v>296947.0391857358</v>
      </c>
      <c r="CV64">
        <v>45884</v>
      </c>
      <c r="CW64">
        <v>176906.13718765488</v>
      </c>
      <c r="CX64">
        <v>3832.9663057325224</v>
      </c>
      <c r="CY64">
        <v>2021.5767977157541</v>
      </c>
      <c r="CZ64">
        <v>0</v>
      </c>
      <c r="DA64">
        <v>936.72689655172417</v>
      </c>
      <c r="DB64">
        <v>6791.27</v>
      </c>
      <c r="DC64">
        <v>174884.56038993911</v>
      </c>
      <c r="DE64">
        <v>45884</v>
      </c>
      <c r="DF64">
        <v>154841.49091544349</v>
      </c>
      <c r="DG64">
        <v>3354.898969834609</v>
      </c>
      <c r="DH64">
        <v>1668.4630991309082</v>
      </c>
      <c r="DI64">
        <v>0</v>
      </c>
      <c r="DJ64">
        <v>803.73793103448293</v>
      </c>
      <c r="DK64">
        <v>5827.1</v>
      </c>
      <c r="DL64">
        <v>153173.02781631259</v>
      </c>
      <c r="DN64">
        <v>45884</v>
      </c>
      <c r="DO64">
        <v>142702.60596262658</v>
      </c>
      <c r="DP64">
        <v>3091.8897958569091</v>
      </c>
      <c r="DQ64">
        <v>1539.5671006948146</v>
      </c>
      <c r="DR64">
        <v>0</v>
      </c>
      <c r="DS64">
        <v>741.03310344827605</v>
      </c>
      <c r="DT64">
        <v>5372.49</v>
      </c>
      <c r="DU64">
        <v>141163.03886193177</v>
      </c>
      <c r="DW64">
        <v>45884</v>
      </c>
      <c r="DX64">
        <v>671764.65786220157</v>
      </c>
      <c r="DY64">
        <v>14554.900920347702</v>
      </c>
      <c r="DZ64">
        <v>9370.9439072385048</v>
      </c>
      <c r="EA64">
        <v>613.81034482758366</v>
      </c>
      <c r="EB64">
        <v>3828.1351724137935</v>
      </c>
      <c r="EC64">
        <v>27753.98</v>
      </c>
      <c r="ED64">
        <v>663007.52429979062</v>
      </c>
      <c r="EF64">
        <v>45884</v>
      </c>
      <c r="EG64">
        <v>1074026.1973608315</v>
      </c>
      <c r="EH64">
        <v>23270.567609484689</v>
      </c>
      <c r="EI64">
        <v>16343.742735342899</v>
      </c>
      <c r="EJ64">
        <v>2346.0086206896553</v>
      </c>
      <c r="EK64">
        <v>6338.2896551724143</v>
      </c>
      <c r="EL64">
        <v>45952.6</v>
      </c>
      <c r="EM64">
        <v>1060028.4632461783</v>
      </c>
      <c r="FU64">
        <v>45884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C64">
        <v>45870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K64">
        <v>45870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S64">
        <v>45870</v>
      </c>
      <c r="GT64">
        <v>266872.46673609922</v>
      </c>
      <c r="GU64">
        <v>6185.4008409459129</v>
      </c>
      <c r="GV64">
        <v>12119.7888142265</v>
      </c>
      <c r="GW64">
        <v>2928.8303448275869</v>
      </c>
      <c r="GX64">
        <v>21234.02</v>
      </c>
      <c r="GY64">
        <v>254752.6779218727</v>
      </c>
      <c r="HA64">
        <v>45870</v>
      </c>
      <c r="HB64">
        <v>254283.00851552587</v>
      </c>
      <c r="HC64">
        <v>6004.5414646651334</v>
      </c>
      <c r="HD64">
        <v>10133.225776714178</v>
      </c>
      <c r="HE64">
        <v>2582.0427586206906</v>
      </c>
      <c r="HF64">
        <v>18719.810000000001</v>
      </c>
      <c r="HG64">
        <v>244149.78273881169</v>
      </c>
      <c r="HI64">
        <v>45885</v>
      </c>
      <c r="HJ64">
        <v>250351.00380264287</v>
      </c>
      <c r="HK64">
        <v>6846.729276770202</v>
      </c>
      <c r="HL64">
        <v>7536.6327921953171</v>
      </c>
      <c r="HM64">
        <v>2301.3379310344831</v>
      </c>
      <c r="HN64">
        <v>16684.7</v>
      </c>
      <c r="HO64">
        <v>242814.37101044756</v>
      </c>
      <c r="HQ64">
        <v>45871</v>
      </c>
      <c r="HR64">
        <v>130308.19476965096</v>
      </c>
      <c r="HS64">
        <v>3588.7024509319581</v>
      </c>
      <c r="HT64">
        <v>7133.4785835507992</v>
      </c>
      <c r="HU64">
        <v>1715.5489655172414</v>
      </c>
      <c r="HV64">
        <v>12437.73</v>
      </c>
      <c r="HW64">
        <v>123174.71618610018</v>
      </c>
      <c r="HY64">
        <v>45874</v>
      </c>
      <c r="HZ64">
        <v>213526.27051007448</v>
      </c>
      <c r="IA64">
        <v>2167.7544861103825</v>
      </c>
      <c r="IB64">
        <v>6552.5472380275487</v>
      </c>
      <c r="IC64">
        <v>1395.248275862069</v>
      </c>
      <c r="ID64">
        <v>10115.549999999999</v>
      </c>
      <c r="IE64">
        <v>206973.72327204692</v>
      </c>
      <c r="JU64">
        <v>45877</v>
      </c>
      <c r="JV64">
        <v>39270.880836113764</v>
      </c>
      <c r="JW64">
        <v>717.4240756807402</v>
      </c>
      <c r="JX64">
        <v>3312.7159243192591</v>
      </c>
      <c r="JY64">
        <v>644.82240000000002</v>
      </c>
      <c r="JZ64">
        <v>4674.9623999999994</v>
      </c>
      <c r="KA64">
        <v>35958.164911794505</v>
      </c>
      <c r="KC64" s="3">
        <v>45871</v>
      </c>
      <c r="KD64" s="9">
        <v>13951373.95458784</v>
      </c>
      <c r="KE64" s="9">
        <v>302773.73206582188</v>
      </c>
      <c r="KF64" s="9">
        <v>238809.70965831607</v>
      </c>
      <c r="KG64" s="9">
        <v>28498.612068965536</v>
      </c>
      <c r="KH64" s="9">
        <v>86653.350675862093</v>
      </c>
      <c r="KI64" s="9">
        <v>628236.79240000003</v>
      </c>
      <c r="KJ64" s="9">
        <v>13741062.85699849</v>
      </c>
      <c r="KL64" t="s">
        <v>1267</v>
      </c>
      <c r="KM64">
        <v>0</v>
      </c>
      <c r="KN64" t="s">
        <v>1264</v>
      </c>
      <c r="KO64" t="s">
        <v>1268</v>
      </c>
      <c r="KP64">
        <v>11269.33</v>
      </c>
      <c r="KQ64" t="s">
        <v>1269</v>
      </c>
    </row>
    <row r="65" spans="1:304" x14ac:dyDescent="0.3">
      <c r="A65">
        <v>45915</v>
      </c>
      <c r="B65">
        <v>292776.58607738407</v>
      </c>
      <c r="C65">
        <v>6343.4926983433215</v>
      </c>
      <c r="D65">
        <v>5828.093508553231</v>
      </c>
      <c r="E65">
        <v>1878.1982758620693</v>
      </c>
      <c r="F65">
        <v>1947.4537931034488</v>
      </c>
      <c r="G65">
        <v>14119.04</v>
      </c>
      <c r="H65">
        <v>288826.69084469293</v>
      </c>
      <c r="J65">
        <v>45915</v>
      </c>
      <c r="K65">
        <v>378262.28256357095</v>
      </c>
      <c r="L65">
        <v>8195.6827888773714</v>
      </c>
      <c r="M65">
        <v>8321.98962491573</v>
      </c>
      <c r="N65">
        <v>4149.3017241379312</v>
      </c>
      <c r="O65">
        <v>2642.8275862068972</v>
      </c>
      <c r="P65">
        <v>19160.5</v>
      </c>
      <c r="Q65">
        <v>374089.5946627931</v>
      </c>
      <c r="S65">
        <v>45915</v>
      </c>
      <c r="T65">
        <v>151494.68912329176</v>
      </c>
      <c r="U65">
        <v>3282.3849310046548</v>
      </c>
      <c r="V65">
        <v>4542.9857586505168</v>
      </c>
      <c r="W65">
        <v>2856.7844827586209</v>
      </c>
      <c r="X65">
        <v>1252.0593103448275</v>
      </c>
      <c r="Y65">
        <v>9077.43</v>
      </c>
      <c r="Z65">
        <v>149808.48784739984</v>
      </c>
      <c r="AB65">
        <v>45915</v>
      </c>
      <c r="AC65">
        <v>2489706.9822086836</v>
      </c>
      <c r="AD65">
        <v>53943.651281188148</v>
      </c>
      <c r="AE65">
        <v>38285.529753294621</v>
      </c>
      <c r="AF65">
        <v>4696.508620689664</v>
      </c>
      <c r="AG65">
        <v>14756.668965517243</v>
      </c>
      <c r="AH65">
        <v>106985.85</v>
      </c>
      <c r="AI65">
        <v>2456117.9610760785</v>
      </c>
      <c r="AK65">
        <v>45915</v>
      </c>
      <c r="AL65">
        <v>1379059.5170301313</v>
      </c>
      <c r="AM65">
        <v>29879.622868986175</v>
      </c>
      <c r="AN65">
        <v>18607.239199979336</v>
      </c>
      <c r="AO65">
        <v>0</v>
      </c>
      <c r="AP65">
        <v>7757.8979310344848</v>
      </c>
      <c r="AQ65">
        <v>56244.76</v>
      </c>
      <c r="AR65">
        <v>1360452.2778301521</v>
      </c>
      <c r="AT65">
        <v>45915</v>
      </c>
      <c r="AU65">
        <v>1250476.0151672545</v>
      </c>
      <c r="AV65">
        <v>27093.646995290514</v>
      </c>
      <c r="AW65">
        <v>19791.37886677845</v>
      </c>
      <c r="AX65">
        <v>2921.0172413793107</v>
      </c>
      <c r="AY65">
        <v>7501.6041379310354</v>
      </c>
      <c r="AZ65">
        <v>54386.63</v>
      </c>
      <c r="BA65">
        <v>1233605.6535418553</v>
      </c>
      <c r="BC65">
        <v>45915</v>
      </c>
      <c r="BD65">
        <v>565652.28555981722</v>
      </c>
      <c r="BE65">
        <v>12255.799520462706</v>
      </c>
      <c r="BF65">
        <v>9042.3815140200513</v>
      </c>
      <c r="BG65">
        <v>1411.0775862068965</v>
      </c>
      <c r="BH65">
        <v>3407.7089655172417</v>
      </c>
      <c r="BI65">
        <v>24705.89</v>
      </c>
      <c r="BJ65">
        <v>558020.98163200403</v>
      </c>
      <c r="BL65">
        <v>45915</v>
      </c>
      <c r="BM65">
        <v>1121612.8315924725</v>
      </c>
      <c r="BN65">
        <v>24301.611351170239</v>
      </c>
      <c r="BO65">
        <v>17610.871407450457</v>
      </c>
      <c r="BP65">
        <v>2479.0258620689742</v>
      </c>
      <c r="BQ65">
        <v>6705.9972413793112</v>
      </c>
      <c r="BR65">
        <v>48618.48</v>
      </c>
      <c r="BS65">
        <v>1106480.986047091</v>
      </c>
      <c r="BU65">
        <v>45915</v>
      </c>
      <c r="BV65">
        <v>2356695.1143442071</v>
      </c>
      <c r="BW65">
        <v>51061.727477457825</v>
      </c>
      <c r="BX65">
        <v>36941.307005300798</v>
      </c>
      <c r="BY65">
        <v>5146.8793103448279</v>
      </c>
      <c r="BZ65">
        <v>14080.485517241381</v>
      </c>
      <c r="CA65">
        <v>102083.52</v>
      </c>
      <c r="CB65">
        <v>2324900.6866492513</v>
      </c>
      <c r="CD65">
        <v>45915</v>
      </c>
      <c r="CE65">
        <v>158299.46349071557</v>
      </c>
      <c r="CF65">
        <v>3429.8217089655041</v>
      </c>
      <c r="CG65">
        <v>1760.8248427586336</v>
      </c>
      <c r="CH65">
        <v>0</v>
      </c>
      <c r="CI65">
        <v>830.50344827586218</v>
      </c>
      <c r="CJ65">
        <v>6021.15</v>
      </c>
      <c r="CK65">
        <v>156538.63864795695</v>
      </c>
      <c r="CM65">
        <v>45915</v>
      </c>
      <c r="CN65">
        <v>296947.0391857358</v>
      </c>
      <c r="CO65">
        <v>6433.8525156909427</v>
      </c>
      <c r="CP65">
        <v>3281.0871394814703</v>
      </c>
      <c r="CQ65">
        <v>0</v>
      </c>
      <c r="CR65">
        <v>1554.3903448275864</v>
      </c>
      <c r="CS65">
        <v>11269.33</v>
      </c>
      <c r="CT65">
        <v>293665.95204625436</v>
      </c>
      <c r="CV65">
        <v>45915</v>
      </c>
      <c r="CW65">
        <v>174884.56038993911</v>
      </c>
      <c r="CX65">
        <v>3789.1654751153474</v>
      </c>
      <c r="CY65">
        <v>2065.3776283329289</v>
      </c>
      <c r="CZ65">
        <v>0</v>
      </c>
      <c r="DA65">
        <v>936.72689655172417</v>
      </c>
      <c r="DB65">
        <v>6791.27</v>
      </c>
      <c r="DC65">
        <v>172819.18276160618</v>
      </c>
      <c r="DE65">
        <v>45915</v>
      </c>
      <c r="DF65">
        <v>153173.02781631259</v>
      </c>
      <c r="DG65">
        <v>3318.7489360201066</v>
      </c>
      <c r="DH65">
        <v>1704.6131329454113</v>
      </c>
      <c r="DI65">
        <v>0</v>
      </c>
      <c r="DJ65">
        <v>803.73793103448293</v>
      </c>
      <c r="DK65">
        <v>5827.1</v>
      </c>
      <c r="DL65">
        <v>151468.41468336718</v>
      </c>
      <c r="DN65">
        <v>45915</v>
      </c>
      <c r="DO65">
        <v>141163.03886193177</v>
      </c>
      <c r="DP65">
        <v>3058.5325086751882</v>
      </c>
      <c r="DQ65">
        <v>1572.9243878765355</v>
      </c>
      <c r="DR65">
        <v>0</v>
      </c>
      <c r="DS65">
        <v>741.03310344827605</v>
      </c>
      <c r="DT65">
        <v>5372.49</v>
      </c>
      <c r="DU65">
        <v>139590.11447405524</v>
      </c>
      <c r="DW65">
        <v>45915</v>
      </c>
      <c r="DX65">
        <v>663007.52429979062</v>
      </c>
      <c r="DY65">
        <v>14365.163026495464</v>
      </c>
      <c r="DZ65">
        <v>9560.6818010907427</v>
      </c>
      <c r="EA65">
        <v>613.81034482758366</v>
      </c>
      <c r="EB65">
        <v>3828.1351724137935</v>
      </c>
      <c r="EC65">
        <v>27753.98</v>
      </c>
      <c r="ED65">
        <v>654060.6528435275</v>
      </c>
      <c r="EF65">
        <v>45915</v>
      </c>
      <c r="EG65">
        <v>1060028.4632461783</v>
      </c>
      <c r="EH65">
        <v>22967.283370333866</v>
      </c>
      <c r="EI65">
        <v>16647.026974493721</v>
      </c>
      <c r="EJ65">
        <v>2346.0086206896553</v>
      </c>
      <c r="EK65">
        <v>6338.2896551724143</v>
      </c>
      <c r="EL65">
        <v>45952.6</v>
      </c>
      <c r="EM65">
        <v>1045727.4448923742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C65">
        <v>45901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K65">
        <v>45901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S65">
        <v>45901</v>
      </c>
      <c r="GT65">
        <v>254752.6779218727</v>
      </c>
      <c r="GU65">
        <v>5904.4960595705661</v>
      </c>
      <c r="GV65">
        <v>12400.693595601846</v>
      </c>
      <c r="GW65">
        <v>2928.8303448275869</v>
      </c>
      <c r="GX65">
        <v>21234.02</v>
      </c>
      <c r="GY65">
        <v>242351.98432627085</v>
      </c>
      <c r="HA65">
        <v>45901</v>
      </c>
      <c r="HB65">
        <v>244149.78273881169</v>
      </c>
      <c r="HC65">
        <v>5765.2593565042225</v>
      </c>
      <c r="HD65">
        <v>10372.507884875087</v>
      </c>
      <c r="HE65">
        <v>2582.0427586206906</v>
      </c>
      <c r="HF65">
        <v>18719.810000000001</v>
      </c>
      <c r="HG65">
        <v>233777.2748539366</v>
      </c>
      <c r="HI65">
        <v>45916</v>
      </c>
      <c r="HJ65">
        <v>242814.37101044756</v>
      </c>
      <c r="HK65">
        <v>6640.613528869033</v>
      </c>
      <c r="HL65">
        <v>7742.7485400964852</v>
      </c>
      <c r="HM65">
        <v>2301.3379310344831</v>
      </c>
      <c r="HN65">
        <v>16684.7</v>
      </c>
      <c r="HO65">
        <v>235071.62247035108</v>
      </c>
      <c r="HQ65">
        <v>45902</v>
      </c>
      <c r="HR65">
        <v>123174.71618610018</v>
      </c>
      <c r="HS65">
        <v>3392.2456423504796</v>
      </c>
      <c r="HT65">
        <v>7329.9353921322781</v>
      </c>
      <c r="HU65">
        <v>1715.5489655172414</v>
      </c>
      <c r="HV65">
        <v>12437.73</v>
      </c>
      <c r="HW65">
        <v>115844.7807939679</v>
      </c>
      <c r="HY65">
        <v>45905</v>
      </c>
      <c r="HZ65">
        <v>206973.72327204692</v>
      </c>
      <c r="IA65">
        <v>2101.2319283157235</v>
      </c>
      <c r="IB65">
        <v>6619.0697958222081</v>
      </c>
      <c r="IC65">
        <v>1395.248275862069</v>
      </c>
      <c r="ID65">
        <v>10115.549999999999</v>
      </c>
      <c r="IE65">
        <v>200354.65347622472</v>
      </c>
      <c r="JU65">
        <v>45908</v>
      </c>
      <c r="JV65">
        <v>35958.164911794505</v>
      </c>
      <c r="JW65">
        <v>656.90538831246363</v>
      </c>
      <c r="JX65">
        <v>3373.234611687536</v>
      </c>
      <c r="JY65">
        <v>644.82240000000002</v>
      </c>
      <c r="JZ65">
        <v>4674.9623999999994</v>
      </c>
      <c r="KA65">
        <v>32584.930300106971</v>
      </c>
      <c r="KC65" s="3">
        <v>45902</v>
      </c>
      <c r="KD65" s="9">
        <v>13741062.85699849</v>
      </c>
      <c r="KE65" s="9">
        <v>298180.93935799983</v>
      </c>
      <c r="KF65" s="9">
        <v>243402.50236613807</v>
      </c>
      <c r="KG65" s="9">
        <v>28498.612068965536</v>
      </c>
      <c r="KH65" s="9">
        <v>86653.350675862093</v>
      </c>
      <c r="KI65" s="9">
        <v>628236.79240000003</v>
      </c>
      <c r="KJ65" s="9">
        <v>13526158.966701319</v>
      </c>
      <c r="KL65" t="s">
        <v>1270</v>
      </c>
      <c r="KM65">
        <v>0.26</v>
      </c>
      <c r="KN65">
        <v>2.1666666666666667E-2</v>
      </c>
      <c r="KO65" t="s">
        <v>1271</v>
      </c>
      <c r="KP65">
        <v>59487.112068965522</v>
      </c>
      <c r="KQ65" t="s">
        <v>1264</v>
      </c>
    </row>
    <row r="66" spans="1:304" x14ac:dyDescent="0.3">
      <c r="A66">
        <v>45945</v>
      </c>
      <c r="B66">
        <v>288826.69084469293</v>
      </c>
      <c r="C66">
        <v>6257.9116349683472</v>
      </c>
      <c r="D66">
        <v>5913.6745719282053</v>
      </c>
      <c r="E66">
        <v>1878.1982758620693</v>
      </c>
      <c r="F66">
        <v>1947.4537931034488</v>
      </c>
      <c r="G66">
        <v>14119.04</v>
      </c>
      <c r="H66">
        <v>284791.2145486268</v>
      </c>
      <c r="J66">
        <v>45945</v>
      </c>
      <c r="K66">
        <v>374089.5946627931</v>
      </c>
      <c r="L66">
        <v>8105.2745510271852</v>
      </c>
      <c r="M66">
        <v>8412.3978627659162</v>
      </c>
      <c r="N66">
        <v>4149.3017241379312</v>
      </c>
      <c r="O66">
        <v>2642.8275862068972</v>
      </c>
      <c r="P66">
        <v>19160.5</v>
      </c>
      <c r="Q66">
        <v>369826.49852416513</v>
      </c>
      <c r="S66">
        <v>45945</v>
      </c>
      <c r="T66">
        <v>149808.48784739984</v>
      </c>
      <c r="U66">
        <v>3245.8505700269966</v>
      </c>
      <c r="V66">
        <v>4579.520119628176</v>
      </c>
      <c r="W66">
        <v>2856.7844827586209</v>
      </c>
      <c r="X66">
        <v>1252.0593103448275</v>
      </c>
      <c r="Y66">
        <v>9077.43</v>
      </c>
      <c r="Z66">
        <v>148085.75221053028</v>
      </c>
      <c r="AB66">
        <v>45945</v>
      </c>
      <c r="AC66">
        <v>2456117.9610760785</v>
      </c>
      <c r="AD66">
        <v>53215.889156648365</v>
      </c>
      <c r="AE66">
        <v>39013.291877834403</v>
      </c>
      <c r="AF66">
        <v>4696.508620689664</v>
      </c>
      <c r="AG66">
        <v>14756.668965517243</v>
      </c>
      <c r="AH66">
        <v>106985.85</v>
      </c>
      <c r="AI66">
        <v>2421801.1778189335</v>
      </c>
      <c r="AK66">
        <v>45945</v>
      </c>
      <c r="AL66">
        <v>1360452.2778301521</v>
      </c>
      <c r="AM66">
        <v>29476.466019653297</v>
      </c>
      <c r="AN66">
        <v>19010.396049312218</v>
      </c>
      <c r="AO66">
        <v>0</v>
      </c>
      <c r="AP66">
        <v>7757.8979310344848</v>
      </c>
      <c r="AQ66">
        <v>56244.76</v>
      </c>
      <c r="AR66">
        <v>1341441.8817808398</v>
      </c>
      <c r="AT66">
        <v>45945</v>
      </c>
      <c r="AU66">
        <v>1233605.6535418553</v>
      </c>
      <c r="AV66">
        <v>26728.122493406867</v>
      </c>
      <c r="AW66">
        <v>20156.903368662097</v>
      </c>
      <c r="AX66">
        <v>2921.0172413793107</v>
      </c>
      <c r="AY66">
        <v>7501.6041379310354</v>
      </c>
      <c r="AZ66">
        <v>54386.63</v>
      </c>
      <c r="BA66">
        <v>1216369.7674145724</v>
      </c>
      <c r="BC66">
        <v>45945</v>
      </c>
      <c r="BD66">
        <v>558020.98163200403</v>
      </c>
      <c r="BE66">
        <v>12090.454602026752</v>
      </c>
      <c r="BF66">
        <v>9207.7264324560037</v>
      </c>
      <c r="BG66">
        <v>1411.0775862068965</v>
      </c>
      <c r="BH66">
        <v>3407.7089655172417</v>
      </c>
      <c r="BI66">
        <v>24705.89</v>
      </c>
      <c r="BJ66">
        <v>550224.33278575481</v>
      </c>
      <c r="BL66">
        <v>45945</v>
      </c>
      <c r="BM66">
        <v>1106480.986047091</v>
      </c>
      <c r="BN66">
        <v>23973.754697686971</v>
      </c>
      <c r="BO66">
        <v>17938.728060933725</v>
      </c>
      <c r="BP66">
        <v>2479.0258620689742</v>
      </c>
      <c r="BQ66">
        <v>6705.9972413793112</v>
      </c>
      <c r="BR66">
        <v>48618.48</v>
      </c>
      <c r="BS66">
        <v>1091021.2838482261</v>
      </c>
      <c r="BU66">
        <v>45945</v>
      </c>
      <c r="BV66">
        <v>2324900.6866492513</v>
      </c>
      <c r="BW66">
        <v>50372.848210733777</v>
      </c>
      <c r="BX66">
        <v>37630.186272024846</v>
      </c>
      <c r="BY66">
        <v>5146.8793103448279</v>
      </c>
      <c r="BZ66">
        <v>14080.485517241381</v>
      </c>
      <c r="CA66">
        <v>102083.52</v>
      </c>
      <c r="CB66">
        <v>2292417.3796875714</v>
      </c>
      <c r="CD66">
        <v>45945</v>
      </c>
      <c r="CE66">
        <v>156538.63864795695</v>
      </c>
      <c r="CF66">
        <v>3391.6705040390675</v>
      </c>
      <c r="CG66">
        <v>1798.9760476850702</v>
      </c>
      <c r="CH66">
        <v>0</v>
      </c>
      <c r="CI66">
        <v>830.50344827586218</v>
      </c>
      <c r="CJ66">
        <v>6021.15</v>
      </c>
      <c r="CK66">
        <v>154739.66260027187</v>
      </c>
      <c r="CM66">
        <v>45945</v>
      </c>
      <c r="CN66">
        <v>293665.95204625436</v>
      </c>
      <c r="CO66">
        <v>6362.7622943355109</v>
      </c>
      <c r="CP66">
        <v>3352.1773608369026</v>
      </c>
      <c r="CQ66">
        <v>0</v>
      </c>
      <c r="CR66">
        <v>1554.3903448275864</v>
      </c>
      <c r="CS66">
        <v>11269.33</v>
      </c>
      <c r="CT66">
        <v>290313.77468541748</v>
      </c>
      <c r="CV66">
        <v>45945</v>
      </c>
      <c r="CW66">
        <v>172819.18276160618</v>
      </c>
      <c r="CX66">
        <v>3744.4156265014672</v>
      </c>
      <c r="CY66">
        <v>2110.1274769468091</v>
      </c>
      <c r="CZ66">
        <v>0</v>
      </c>
      <c r="DA66">
        <v>936.72689655172417</v>
      </c>
      <c r="DB66">
        <v>6791.27</v>
      </c>
      <c r="DC66">
        <v>170709.05528465938</v>
      </c>
      <c r="DE66">
        <v>45945</v>
      </c>
      <c r="DF66">
        <v>151468.41468336718</v>
      </c>
      <c r="DG66">
        <v>3281.8156514729558</v>
      </c>
      <c r="DH66">
        <v>1741.5464174925614</v>
      </c>
      <c r="DI66">
        <v>0</v>
      </c>
      <c r="DJ66">
        <v>803.73793103448293</v>
      </c>
      <c r="DK66">
        <v>5827.1</v>
      </c>
      <c r="DL66">
        <v>149726.86826587463</v>
      </c>
      <c r="DN66">
        <v>45945</v>
      </c>
      <c r="DO66">
        <v>139590.11447405524</v>
      </c>
      <c r="DP66">
        <v>3024.4524802711971</v>
      </c>
      <c r="DQ66">
        <v>1607.0044162805266</v>
      </c>
      <c r="DR66">
        <v>0</v>
      </c>
      <c r="DS66">
        <v>741.03310344827605</v>
      </c>
      <c r="DT66">
        <v>5372.49</v>
      </c>
      <c r="DU66">
        <v>137983.11005777473</v>
      </c>
      <c r="DW66">
        <v>45945</v>
      </c>
      <c r="DX66">
        <v>654060.6528435275</v>
      </c>
      <c r="DY66">
        <v>14171.314144943097</v>
      </c>
      <c r="DZ66">
        <v>9754.5306826431097</v>
      </c>
      <c r="EA66">
        <v>613.81034482758366</v>
      </c>
      <c r="EB66">
        <v>3828.1351724137935</v>
      </c>
      <c r="EC66">
        <v>27753.98</v>
      </c>
      <c r="ED66">
        <v>644919.93250571203</v>
      </c>
      <c r="EF66">
        <v>45945</v>
      </c>
      <c r="EG66">
        <v>1045727.4448923742</v>
      </c>
      <c r="EH66">
        <v>22657.427972668109</v>
      </c>
      <c r="EI66">
        <v>16956.882372159478</v>
      </c>
      <c r="EJ66">
        <v>2346.0086206896553</v>
      </c>
      <c r="EK66">
        <v>6338.2896551724143</v>
      </c>
      <c r="EL66">
        <v>45952.6</v>
      </c>
      <c r="EM66">
        <v>1031116.5711409044</v>
      </c>
      <c r="GC66">
        <v>45931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K66">
        <v>45931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S66">
        <v>45931</v>
      </c>
      <c r="GT66">
        <v>242351.98432627085</v>
      </c>
      <c r="GU66">
        <v>5617.0806452618372</v>
      </c>
      <c r="GV66">
        <v>12688.109009910577</v>
      </c>
      <c r="GW66">
        <v>2928.8303448275869</v>
      </c>
      <c r="GX66">
        <v>21234.02</v>
      </c>
      <c r="GY66">
        <v>229663.87531636027</v>
      </c>
      <c r="HA66">
        <v>45931</v>
      </c>
      <c r="HB66">
        <v>233777.2748539366</v>
      </c>
      <c r="HC66">
        <v>5520.3269323879031</v>
      </c>
      <c r="HD66">
        <v>10617.440308991409</v>
      </c>
      <c r="HE66">
        <v>2582.0427586206906</v>
      </c>
      <c r="HF66">
        <v>18719.810000000001</v>
      </c>
      <c r="HG66">
        <v>223159.83454494519</v>
      </c>
      <c r="HI66">
        <v>45946</v>
      </c>
      <c r="HJ66">
        <v>235071.62247035108</v>
      </c>
      <c r="HK66">
        <v>6428.8608204439488</v>
      </c>
      <c r="HL66">
        <v>7954.5012485215693</v>
      </c>
      <c r="HM66">
        <v>2301.3379310344831</v>
      </c>
      <c r="HN66">
        <v>16684.7</v>
      </c>
      <c r="HO66">
        <v>227117.12122182953</v>
      </c>
      <c r="HQ66">
        <v>45932</v>
      </c>
      <c r="HR66">
        <v>115844.7807939679</v>
      </c>
      <c r="HS66">
        <v>3190.3783909975009</v>
      </c>
      <c r="HT66">
        <v>7531.8026434852563</v>
      </c>
      <c r="HU66">
        <v>1715.5489655172414</v>
      </c>
      <c r="HV66">
        <v>12437.73</v>
      </c>
      <c r="HW66">
        <v>108312.97815048264</v>
      </c>
      <c r="HY66">
        <v>45935</v>
      </c>
      <c r="HZ66">
        <v>200354.65347622472</v>
      </c>
      <c r="IA66">
        <v>2034.0340223648757</v>
      </c>
      <c r="IB66">
        <v>6686.2677017730557</v>
      </c>
      <c r="IC66">
        <v>1395.248275862069</v>
      </c>
      <c r="ID66">
        <v>10115.549999999999</v>
      </c>
      <c r="IE66">
        <v>193668.38577445169</v>
      </c>
      <c r="JV66">
        <v>32584.930300106971</v>
      </c>
      <c r="JW66">
        <v>0</v>
      </c>
      <c r="JX66">
        <v>32584.930300106971</v>
      </c>
      <c r="JY66">
        <v>0</v>
      </c>
      <c r="JZ66">
        <v>37798.519148124084</v>
      </c>
      <c r="KA66">
        <v>0</v>
      </c>
      <c r="KC66" s="3">
        <v>45932</v>
      </c>
      <c r="KD66" s="9">
        <v>13526158.966701319</v>
      </c>
      <c r="KE66" s="9">
        <v>292891.11142186599</v>
      </c>
      <c r="KF66" s="9">
        <v>277247.12060237891</v>
      </c>
      <c r="KG66" s="9">
        <v>28498.612068965536</v>
      </c>
      <c r="KH66" s="9">
        <v>86008.528275862089</v>
      </c>
      <c r="KI66" s="9">
        <v>661360.34914812411</v>
      </c>
      <c r="KJ66" s="9">
        <v>13277410.458167903</v>
      </c>
    </row>
    <row r="67" spans="1:304" x14ac:dyDescent="0.3">
      <c r="A67">
        <v>45976</v>
      </c>
      <c r="B67">
        <v>284791.2145486268</v>
      </c>
      <c r="C67">
        <v>6170.4763152202477</v>
      </c>
      <c r="D67">
        <v>6001.1098916763049</v>
      </c>
      <c r="E67">
        <v>1878.1982758620693</v>
      </c>
      <c r="F67">
        <v>1947.4537931034488</v>
      </c>
      <c r="G67">
        <v>14119.04</v>
      </c>
      <c r="H67">
        <v>280668.3029328126</v>
      </c>
      <c r="J67">
        <v>45976</v>
      </c>
      <c r="K67">
        <v>369826.49852416513</v>
      </c>
      <c r="L67">
        <v>8012.9074680235772</v>
      </c>
      <c r="M67">
        <v>8504.7649457695225</v>
      </c>
      <c r="N67">
        <v>4149.3017241379312</v>
      </c>
      <c r="O67">
        <v>2642.8275862068972</v>
      </c>
      <c r="P67">
        <v>19160.5</v>
      </c>
      <c r="Q67">
        <v>365471.03530253354</v>
      </c>
      <c r="S67">
        <v>45976</v>
      </c>
      <c r="T67">
        <v>148085.75221053028</v>
      </c>
      <c r="U67">
        <v>3208.5246312281561</v>
      </c>
      <c r="V67">
        <v>4616.846058427016</v>
      </c>
      <c r="W67">
        <v>2856.7844827586209</v>
      </c>
      <c r="X67">
        <v>1252.0593103448275</v>
      </c>
      <c r="Y67">
        <v>9077.43</v>
      </c>
      <c r="Z67">
        <v>146325.69063486188</v>
      </c>
      <c r="AB67">
        <v>45976</v>
      </c>
      <c r="AC67">
        <v>2421801.1778189335</v>
      </c>
      <c r="AD67">
        <v>52472.358852743571</v>
      </c>
      <c r="AE67">
        <v>39756.822181739197</v>
      </c>
      <c r="AF67">
        <v>4696.508620689664</v>
      </c>
      <c r="AG67">
        <v>14756.668965517243</v>
      </c>
      <c r="AH67">
        <v>106985.85</v>
      </c>
      <c r="AI67">
        <v>2386740.8642578837</v>
      </c>
      <c r="AK67">
        <v>45976</v>
      </c>
      <c r="AL67">
        <v>1341441.8817808398</v>
      </c>
      <c r="AM67">
        <v>29064.57410525153</v>
      </c>
      <c r="AN67">
        <v>19422.287963713985</v>
      </c>
      <c r="AO67">
        <v>0</v>
      </c>
      <c r="AP67">
        <v>7757.8979310344848</v>
      </c>
      <c r="AQ67">
        <v>56244.76</v>
      </c>
      <c r="AR67">
        <v>1322019.5938171258</v>
      </c>
      <c r="AT67">
        <v>45976</v>
      </c>
      <c r="AU67">
        <v>1216369.7674145724</v>
      </c>
      <c r="AV67">
        <v>26354.678293982404</v>
      </c>
      <c r="AW67">
        <v>20530.347568086559</v>
      </c>
      <c r="AX67">
        <v>2921.0172413793107</v>
      </c>
      <c r="AY67">
        <v>7501.6041379310354</v>
      </c>
      <c r="AZ67">
        <v>54386.63</v>
      </c>
      <c r="BA67">
        <v>1198760.4370878653</v>
      </c>
      <c r="BC67">
        <v>45976</v>
      </c>
      <c r="BD67">
        <v>550224.33278575481</v>
      </c>
      <c r="BE67">
        <v>11921.527210358019</v>
      </c>
      <c r="BF67">
        <v>9376.6538241247363</v>
      </c>
      <c r="BG67">
        <v>1411.0775862068965</v>
      </c>
      <c r="BH67">
        <v>3407.7089655172417</v>
      </c>
      <c r="BI67">
        <v>24705.89</v>
      </c>
      <c r="BJ67">
        <v>542258.75654783694</v>
      </c>
      <c r="BL67">
        <v>45976</v>
      </c>
      <c r="BM67">
        <v>1091021.2838482261</v>
      </c>
      <c r="BN67">
        <v>23638.794483378231</v>
      </c>
      <c r="BO67">
        <v>18273.688275242464</v>
      </c>
      <c r="BP67">
        <v>2479.0258620689742</v>
      </c>
      <c r="BQ67">
        <v>6705.9972413793112</v>
      </c>
      <c r="BR67">
        <v>48618.48</v>
      </c>
      <c r="BS67">
        <v>1075226.6214350525</v>
      </c>
      <c r="BU67">
        <v>45976</v>
      </c>
      <c r="BV67">
        <v>2292417.3796875714</v>
      </c>
      <c r="BW67">
        <v>49669.043226564048</v>
      </c>
      <c r="BX67">
        <v>38333.991256194575</v>
      </c>
      <c r="BY67">
        <v>5146.8793103448279</v>
      </c>
      <c r="BZ67">
        <v>14080.485517241381</v>
      </c>
      <c r="CA67">
        <v>102083.52</v>
      </c>
      <c r="CB67">
        <v>2259230.2677417216</v>
      </c>
      <c r="CD67">
        <v>45976</v>
      </c>
      <c r="CE67">
        <v>154739.66260027187</v>
      </c>
      <c r="CF67">
        <v>3352.6926896725572</v>
      </c>
      <c r="CG67">
        <v>1837.9538620515805</v>
      </c>
      <c r="CH67">
        <v>0</v>
      </c>
      <c r="CI67">
        <v>830.50344827586218</v>
      </c>
      <c r="CJ67">
        <v>6021.15</v>
      </c>
      <c r="CK67">
        <v>152901.7087382203</v>
      </c>
      <c r="CM67">
        <v>45976</v>
      </c>
      <c r="CN67">
        <v>290313.77468541748</v>
      </c>
      <c r="CO67">
        <v>6290.1317848507124</v>
      </c>
      <c r="CP67">
        <v>3424.8078703217006</v>
      </c>
      <c r="CQ67">
        <v>0</v>
      </c>
      <c r="CR67">
        <v>1554.3903448275864</v>
      </c>
      <c r="CS67">
        <v>11269.33</v>
      </c>
      <c r="CT67">
        <v>286888.9668150958</v>
      </c>
      <c r="CV67">
        <v>45976</v>
      </c>
      <c r="CW67">
        <v>170709.05528465938</v>
      </c>
      <c r="CX67">
        <v>3698.6961978342865</v>
      </c>
      <c r="CY67">
        <v>2155.8469056139897</v>
      </c>
      <c r="CZ67">
        <v>0</v>
      </c>
      <c r="DA67">
        <v>936.72689655172417</v>
      </c>
      <c r="DB67">
        <v>6791.27</v>
      </c>
      <c r="DC67">
        <v>168553.20837904539</v>
      </c>
      <c r="DE67">
        <v>45976</v>
      </c>
      <c r="DF67">
        <v>149726.86826587463</v>
      </c>
      <c r="DG67">
        <v>3244.0821457606171</v>
      </c>
      <c r="DH67">
        <v>1779.2799232048999</v>
      </c>
      <c r="DI67">
        <v>0</v>
      </c>
      <c r="DJ67">
        <v>803.73793103448293</v>
      </c>
      <c r="DK67">
        <v>5827.1</v>
      </c>
      <c r="DL67">
        <v>147947.58834266971</v>
      </c>
      <c r="DN67">
        <v>45976</v>
      </c>
      <c r="DO67">
        <v>137983.11005777473</v>
      </c>
      <c r="DP67">
        <v>2989.6340512517859</v>
      </c>
      <c r="DQ67">
        <v>1641.8228452999381</v>
      </c>
      <c r="DR67">
        <v>0</v>
      </c>
      <c r="DS67">
        <v>741.03310344827605</v>
      </c>
      <c r="DT67">
        <v>5372.49</v>
      </c>
      <c r="DU67">
        <v>136341.2872124748</v>
      </c>
      <c r="DW67">
        <v>45976</v>
      </c>
      <c r="DX67">
        <v>644919.93250571203</v>
      </c>
      <c r="DY67">
        <v>13973.265204290428</v>
      </c>
      <c r="DZ67">
        <v>9952.5796232957782</v>
      </c>
      <c r="EA67">
        <v>613.81034482758366</v>
      </c>
      <c r="EB67">
        <v>3828.1351724137935</v>
      </c>
      <c r="EC67">
        <v>27753.98</v>
      </c>
      <c r="ED67">
        <v>635581.16322724381</v>
      </c>
      <c r="EF67">
        <v>45976</v>
      </c>
      <c r="EG67">
        <v>1031116.5711409044</v>
      </c>
      <c r="EH67">
        <v>22340.859041386266</v>
      </c>
      <c r="EI67">
        <v>17273.451303441325</v>
      </c>
      <c r="EJ67">
        <v>2346.0086206896553</v>
      </c>
      <c r="EK67">
        <v>6338.2896551724143</v>
      </c>
      <c r="EL67">
        <v>45952.6</v>
      </c>
      <c r="EM67">
        <v>1016189.1284581526</v>
      </c>
      <c r="GC67">
        <v>45962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K67">
        <v>45962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S67">
        <v>45962</v>
      </c>
      <c r="GT67">
        <v>229663.87531636027</v>
      </c>
      <c r="GU67">
        <v>5323.0036986972391</v>
      </c>
      <c r="GV67">
        <v>12982.185956475174</v>
      </c>
      <c r="GW67">
        <v>2928.8303448275869</v>
      </c>
      <c r="GX67">
        <v>21234.02</v>
      </c>
      <c r="GY67">
        <v>216681.68935988509</v>
      </c>
      <c r="HA67">
        <v>45962</v>
      </c>
      <c r="HB67">
        <v>223159.83454494519</v>
      </c>
      <c r="HC67">
        <v>5269.6107679216748</v>
      </c>
      <c r="HD67">
        <v>10868.156473457637</v>
      </c>
      <c r="HE67">
        <v>2582.0427586206906</v>
      </c>
      <c r="HF67">
        <v>18719.810000000001</v>
      </c>
      <c r="HG67">
        <v>212291.67807148755</v>
      </c>
      <c r="HI67">
        <v>45977</v>
      </c>
      <c r="HJ67">
        <v>227117.12122182953</v>
      </c>
      <c r="HK67">
        <v>6211.3169889708724</v>
      </c>
      <c r="HL67">
        <v>8172.0450799946466</v>
      </c>
      <c r="HM67">
        <v>2301.3379310344831</v>
      </c>
      <c r="HN67">
        <v>16684.7</v>
      </c>
      <c r="HO67">
        <v>218945.07614183487</v>
      </c>
      <c r="HQ67">
        <v>45963</v>
      </c>
      <c r="HR67">
        <v>108312.97815048264</v>
      </c>
      <c r="HS67">
        <v>2982.9516926659658</v>
      </c>
      <c r="HT67">
        <v>7739.2293418167919</v>
      </c>
      <c r="HU67">
        <v>1715.5489655172414</v>
      </c>
      <c r="HV67">
        <v>12437.73</v>
      </c>
      <c r="HW67">
        <v>100573.74880866586</v>
      </c>
      <c r="HY67">
        <v>45966</v>
      </c>
      <c r="HZ67">
        <v>193668.38577445169</v>
      </c>
      <c r="IA67">
        <v>1966.1539120101656</v>
      </c>
      <c r="IB67">
        <v>6754.1478121277651</v>
      </c>
      <c r="IC67">
        <v>1395.248275862069</v>
      </c>
      <c r="ID67">
        <v>10115.549999999999</v>
      </c>
      <c r="IE67">
        <v>186914.23796232388</v>
      </c>
      <c r="KC67" s="3">
        <v>45963</v>
      </c>
      <c r="KD67" s="9">
        <v>13277410.458167903</v>
      </c>
      <c r="KE67" s="9">
        <v>288155.28276206233</v>
      </c>
      <c r="KF67" s="9">
        <v>249398.01896207561</v>
      </c>
      <c r="KG67" s="9">
        <v>28498.612068965536</v>
      </c>
      <c r="KH67" s="9">
        <v>86008.528275862089</v>
      </c>
      <c r="KI67" s="9">
        <v>623561.83000000007</v>
      </c>
      <c r="KJ67" s="9">
        <v>13056511.051274791</v>
      </c>
      <c r="KL67" t="s">
        <v>1189</v>
      </c>
      <c r="KN67">
        <v>88495</v>
      </c>
      <c r="KO67" t="s">
        <v>1190</v>
      </c>
    </row>
    <row r="68" spans="1:304" x14ac:dyDescent="0.3">
      <c r="A68">
        <v>46006</v>
      </c>
      <c r="B68">
        <v>280668.3029328126</v>
      </c>
      <c r="C68">
        <v>6081.1465635442728</v>
      </c>
      <c r="D68">
        <v>6090.4396433522797</v>
      </c>
      <c r="E68">
        <v>1878.1982758620693</v>
      </c>
      <c r="F68">
        <v>1947.4537931034488</v>
      </c>
      <c r="G68">
        <v>14119.04</v>
      </c>
      <c r="H68">
        <v>276456.06156532239</v>
      </c>
      <c r="J68">
        <v>46006</v>
      </c>
      <c r="K68">
        <v>365471.03530253354</v>
      </c>
      <c r="L68">
        <v>7918.5390982215604</v>
      </c>
      <c r="M68">
        <v>8599.1333155715402</v>
      </c>
      <c r="N68">
        <v>4149.3017241379312</v>
      </c>
      <c r="O68">
        <v>2642.8275862068972</v>
      </c>
      <c r="P68">
        <v>19160.5</v>
      </c>
      <c r="Q68">
        <v>361021.20371109992</v>
      </c>
      <c r="S68">
        <v>46006</v>
      </c>
      <c r="T68">
        <v>146325.69063486188</v>
      </c>
      <c r="U68">
        <v>3170.3899637553409</v>
      </c>
      <c r="V68">
        <v>4654.9807258998317</v>
      </c>
      <c r="W68">
        <v>2856.7844827586209</v>
      </c>
      <c r="X68">
        <v>1252.0593103448275</v>
      </c>
      <c r="Y68">
        <v>9077.43</v>
      </c>
      <c r="Z68">
        <v>144527.49439172063</v>
      </c>
      <c r="AB68">
        <v>46006</v>
      </c>
      <c r="AC68">
        <v>2386740.8642578837</v>
      </c>
      <c r="AD68">
        <v>51712.718725587481</v>
      </c>
      <c r="AE68">
        <v>40516.462308895287</v>
      </c>
      <c r="AF68">
        <v>4696.508620689664</v>
      </c>
      <c r="AG68">
        <v>14756.668965517243</v>
      </c>
      <c r="AH68">
        <v>106985.85</v>
      </c>
      <c r="AI68">
        <v>2350920.9105696781</v>
      </c>
      <c r="AK68">
        <v>46006</v>
      </c>
      <c r="AL68">
        <v>1322019.5938171258</v>
      </c>
      <c r="AM68">
        <v>28643.757866037729</v>
      </c>
      <c r="AN68">
        <v>19843.104202927789</v>
      </c>
      <c r="AO68">
        <v>0</v>
      </c>
      <c r="AP68">
        <v>7757.8979310344848</v>
      </c>
      <c r="AQ68">
        <v>56244.76</v>
      </c>
      <c r="AR68">
        <v>1302176.489614198</v>
      </c>
      <c r="AT68">
        <v>46006</v>
      </c>
      <c r="AU68">
        <v>1198760.4370878653</v>
      </c>
      <c r="AV68">
        <v>25973.142803570412</v>
      </c>
      <c r="AW68">
        <v>20911.883058498552</v>
      </c>
      <c r="AX68">
        <v>2921.0172413793107</v>
      </c>
      <c r="AY68">
        <v>7501.6041379310354</v>
      </c>
      <c r="AZ68">
        <v>54386.63</v>
      </c>
      <c r="BA68">
        <v>1180769.5712707457</v>
      </c>
      <c r="BC68">
        <v>46006</v>
      </c>
      <c r="BD68">
        <v>542258.75654783694</v>
      </c>
      <c r="BE68">
        <v>11748.939725203134</v>
      </c>
      <c r="BF68">
        <v>9549.2413092796232</v>
      </c>
      <c r="BG68">
        <v>1411.0775862068965</v>
      </c>
      <c r="BH68">
        <v>3407.7089655172417</v>
      </c>
      <c r="BI68">
        <v>24705.89</v>
      </c>
      <c r="BJ68">
        <v>534120.5928247642</v>
      </c>
      <c r="BL68">
        <v>46006</v>
      </c>
      <c r="BM68">
        <v>1075226.6214350525</v>
      </c>
      <c r="BN68">
        <v>23296.57679775947</v>
      </c>
      <c r="BO68">
        <v>18615.905960861222</v>
      </c>
      <c r="BP68">
        <v>2479.0258620689742</v>
      </c>
      <c r="BQ68">
        <v>6705.9972413793112</v>
      </c>
      <c r="BR68">
        <v>48618.48</v>
      </c>
      <c r="BS68">
        <v>1059089.7413362602</v>
      </c>
      <c r="BU68">
        <v>46006</v>
      </c>
      <c r="BV68">
        <v>2259230.2677417216</v>
      </c>
      <c r="BW68">
        <v>48949.989134403972</v>
      </c>
      <c r="BX68">
        <v>39053.045348354659</v>
      </c>
      <c r="BY68">
        <v>5146.8793103448279</v>
      </c>
      <c r="BZ68">
        <v>14080.485517241381</v>
      </c>
      <c r="CA68">
        <v>102083.52</v>
      </c>
      <c r="CB68">
        <v>2225324.1017037118</v>
      </c>
      <c r="CD68">
        <v>46006</v>
      </c>
      <c r="CE68">
        <v>152901.7087382203</v>
      </c>
      <c r="CF68">
        <v>3312.8703559947735</v>
      </c>
      <c r="CG68">
        <v>1877.776195729364</v>
      </c>
      <c r="CH68">
        <v>0</v>
      </c>
      <c r="CI68">
        <v>830.50344827586218</v>
      </c>
      <c r="CJ68">
        <v>6021.15</v>
      </c>
      <c r="CK68">
        <v>151023.93254249095</v>
      </c>
      <c r="CM68">
        <v>46006</v>
      </c>
      <c r="CN68">
        <v>286888.9668150958</v>
      </c>
      <c r="CO68">
        <v>6215.9276143270763</v>
      </c>
      <c r="CP68">
        <v>3499.0120408453367</v>
      </c>
      <c r="CQ68">
        <v>0</v>
      </c>
      <c r="CR68">
        <v>1554.3903448275864</v>
      </c>
      <c r="CS68">
        <v>11269.33</v>
      </c>
      <c r="CT68">
        <v>283389.95477425045</v>
      </c>
      <c r="CV68">
        <v>46006</v>
      </c>
      <c r="CW68">
        <v>168553.20837904539</v>
      </c>
      <c r="CX68">
        <v>3651.9861815459831</v>
      </c>
      <c r="CY68">
        <v>2202.5569219022927</v>
      </c>
      <c r="CZ68">
        <v>0</v>
      </c>
      <c r="DA68">
        <v>936.72689655172417</v>
      </c>
      <c r="DB68">
        <v>6791.27</v>
      </c>
      <c r="DC68">
        <v>166350.6514571431</v>
      </c>
      <c r="DE68">
        <v>46006</v>
      </c>
      <c r="DF68">
        <v>147947.58834266971</v>
      </c>
      <c r="DG68">
        <v>3205.5310807578439</v>
      </c>
      <c r="DH68">
        <v>1817.8309882076733</v>
      </c>
      <c r="DI68">
        <v>0</v>
      </c>
      <c r="DJ68">
        <v>803.73793103448293</v>
      </c>
      <c r="DK68">
        <v>5827.1</v>
      </c>
      <c r="DL68">
        <v>146129.75735446202</v>
      </c>
      <c r="DN68">
        <v>46006</v>
      </c>
      <c r="DO68">
        <v>136341.2872124748</v>
      </c>
      <c r="DP68">
        <v>2954.061222936954</v>
      </c>
      <c r="DQ68">
        <v>1677.3956736147695</v>
      </c>
      <c r="DR68">
        <v>0</v>
      </c>
      <c r="DS68">
        <v>741.03310344827605</v>
      </c>
      <c r="DT68">
        <v>5372.49</v>
      </c>
      <c r="DU68">
        <v>134663.89153886001</v>
      </c>
      <c r="DW68">
        <v>46006</v>
      </c>
      <c r="DX68">
        <v>635581.16322724381</v>
      </c>
      <c r="DY68">
        <v>13770.925203256947</v>
      </c>
      <c r="DZ68">
        <v>10154.919624329255</v>
      </c>
      <c r="EA68">
        <v>613.81034482758366</v>
      </c>
      <c r="EB68">
        <v>3828.1351724137935</v>
      </c>
      <c r="EC68">
        <v>27753.98</v>
      </c>
      <c r="ED68">
        <v>626040.0539477421</v>
      </c>
      <c r="EF68">
        <v>46006</v>
      </c>
      <c r="EG68">
        <v>1016189.1284581526</v>
      </c>
      <c r="EH68">
        <v>22017.431116593307</v>
      </c>
      <c r="EI68">
        <v>17596.87922823428</v>
      </c>
      <c r="EJ68">
        <v>2346.0086206896553</v>
      </c>
      <c r="EK68">
        <v>6338.2896551724143</v>
      </c>
      <c r="EL68">
        <v>45952.6</v>
      </c>
      <c r="EM68">
        <v>1000938.257850608</v>
      </c>
      <c r="GC68">
        <v>45992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K68">
        <v>45992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S68">
        <v>45992</v>
      </c>
      <c r="GT68">
        <v>216681.68935988509</v>
      </c>
      <c r="GU68">
        <v>5022.110823105455</v>
      </c>
      <c r="GV68">
        <v>13283.078832066958</v>
      </c>
      <c r="GW68">
        <v>2928.8303448275869</v>
      </c>
      <c r="GX68">
        <v>21234.02</v>
      </c>
      <c r="GY68">
        <v>203398.61052781812</v>
      </c>
      <c r="HA68">
        <v>45992</v>
      </c>
      <c r="HB68">
        <v>212291.67807148755</v>
      </c>
      <c r="HC68">
        <v>5012.9742880785452</v>
      </c>
      <c r="HD68">
        <v>11124.792953300766</v>
      </c>
      <c r="HE68">
        <v>2582.0427586206906</v>
      </c>
      <c r="HF68">
        <v>18719.810000000001</v>
      </c>
      <c r="HG68">
        <v>201166.88511818679</v>
      </c>
      <c r="HI68">
        <v>46007</v>
      </c>
      <c r="HJ68">
        <v>218945.07614183487</v>
      </c>
      <c r="HK68">
        <v>5987.823655808952</v>
      </c>
      <c r="HL68">
        <v>8395.5384131565661</v>
      </c>
      <c r="HM68">
        <v>2301.3379310344831</v>
      </c>
      <c r="HN68">
        <v>16684.7</v>
      </c>
      <c r="HO68">
        <v>210549.53772867832</v>
      </c>
      <c r="HQ68">
        <v>45993</v>
      </c>
      <c r="HR68">
        <v>100573.74880866586</v>
      </c>
      <c r="HS68">
        <v>2769.8124395560681</v>
      </c>
      <c r="HT68">
        <v>7952.3685949266892</v>
      </c>
      <c r="HU68">
        <v>1715.5489655172414</v>
      </c>
      <c r="HV68">
        <v>12437.73</v>
      </c>
      <c r="HW68">
        <v>92621.380213739161</v>
      </c>
      <c r="HY68">
        <v>45996</v>
      </c>
      <c r="HZ68">
        <v>186914.23796232388</v>
      </c>
      <c r="IA68">
        <v>1897.5846713981452</v>
      </c>
      <c r="IB68">
        <v>6822.7170527397857</v>
      </c>
      <c r="IC68">
        <v>1395.248275862069</v>
      </c>
      <c r="ID68">
        <v>10115.549999999999</v>
      </c>
      <c r="IE68">
        <v>180091.5209095841</v>
      </c>
      <c r="KC68" s="3">
        <v>45993</v>
      </c>
      <c r="KD68" s="9">
        <v>13056511.051274791</v>
      </c>
      <c r="KE68" s="9">
        <v>283314.23933144339</v>
      </c>
      <c r="KF68" s="9">
        <v>254239.06239269453</v>
      </c>
      <c r="KG68" s="9">
        <v>28498.612068965536</v>
      </c>
      <c r="KH68" s="9">
        <v>86008.528275862089</v>
      </c>
      <c r="KI68" s="9">
        <v>623561.83000000007</v>
      </c>
      <c r="KJ68" s="9">
        <v>12830770.600951068</v>
      </c>
      <c r="KL68" t="s">
        <v>1231</v>
      </c>
      <c r="KM68" t="s">
        <v>1235</v>
      </c>
      <c r="KO68" t="s">
        <v>1233</v>
      </c>
      <c r="KP68" t="s">
        <v>1246</v>
      </c>
      <c r="KR68" t="s">
        <v>1293</v>
      </c>
    </row>
    <row r="69" spans="1:304" x14ac:dyDescent="0.3">
      <c r="A69">
        <v>46037</v>
      </c>
      <c r="B69">
        <v>276456.06156532239</v>
      </c>
      <c r="C69">
        <v>5989.8813339153185</v>
      </c>
      <c r="D69">
        <v>6181.7048729812341</v>
      </c>
      <c r="E69">
        <v>1878.1982758620693</v>
      </c>
      <c r="F69">
        <v>1947.4537931034488</v>
      </c>
      <c r="G69">
        <v>14119.04</v>
      </c>
      <c r="H69">
        <v>272152.55496820324</v>
      </c>
      <c r="J69">
        <v>46037</v>
      </c>
      <c r="K69">
        <v>361021.20371109992</v>
      </c>
      <c r="L69">
        <v>7822.1260804071644</v>
      </c>
      <c r="M69">
        <v>8695.546333385937</v>
      </c>
      <c r="N69">
        <v>4149.3017241379312</v>
      </c>
      <c r="O69">
        <v>2642.8275862068972</v>
      </c>
      <c r="P69">
        <v>19160.5</v>
      </c>
      <c r="Q69">
        <v>356474.95910185191</v>
      </c>
      <c r="S69">
        <v>46037</v>
      </c>
      <c r="T69">
        <v>144527.49439172063</v>
      </c>
      <c r="U69">
        <v>3131.4290451539482</v>
      </c>
      <c r="V69">
        <v>4693.9416445012248</v>
      </c>
      <c r="W69">
        <v>2856.7844827586209</v>
      </c>
      <c r="X69">
        <v>1252.0593103448275</v>
      </c>
      <c r="Y69">
        <v>9077.43</v>
      </c>
      <c r="Z69">
        <v>142690.33722997803</v>
      </c>
      <c r="AB69">
        <v>46037</v>
      </c>
      <c r="AC69">
        <v>2350920.9105696781</v>
      </c>
      <c r="AD69">
        <v>50936.61972900969</v>
      </c>
      <c r="AE69">
        <v>41292.561305473078</v>
      </c>
      <c r="AF69">
        <v>4696.508620689664</v>
      </c>
      <c r="AG69">
        <v>14756.668965517243</v>
      </c>
      <c r="AH69">
        <v>106985.85</v>
      </c>
      <c r="AI69">
        <v>2314324.8578848946</v>
      </c>
      <c r="AK69">
        <v>46037</v>
      </c>
      <c r="AL69">
        <v>1302176.489614198</v>
      </c>
      <c r="AM69">
        <v>28213.823941640956</v>
      </c>
      <c r="AN69">
        <v>20273.038127324558</v>
      </c>
      <c r="AO69">
        <v>0</v>
      </c>
      <c r="AP69">
        <v>7757.8979310344848</v>
      </c>
      <c r="AQ69">
        <v>56244.76</v>
      </c>
      <c r="AR69">
        <v>1281903.4514868734</v>
      </c>
      <c r="AT69">
        <v>46037</v>
      </c>
      <c r="AU69">
        <v>1180769.5712707457</v>
      </c>
      <c r="AV69">
        <v>25583.340710866159</v>
      </c>
      <c r="AW69">
        <v>21301.685151202804</v>
      </c>
      <c r="AX69">
        <v>2921.0172413793107</v>
      </c>
      <c r="AY69">
        <v>7501.6041379310354</v>
      </c>
      <c r="AZ69">
        <v>54386.63</v>
      </c>
      <c r="BA69">
        <v>1162388.9033609219</v>
      </c>
      <c r="BC69">
        <v>46037</v>
      </c>
      <c r="BD69">
        <v>534120.5928247642</v>
      </c>
      <c r="BE69">
        <v>11572.612844536558</v>
      </c>
      <c r="BF69">
        <v>9725.5681899461997</v>
      </c>
      <c r="BG69">
        <v>1411.0775862068965</v>
      </c>
      <c r="BH69">
        <v>3407.7089655172417</v>
      </c>
      <c r="BI69">
        <v>24705.89</v>
      </c>
      <c r="BJ69">
        <v>525806.1022210248</v>
      </c>
      <c r="BL69">
        <v>46037</v>
      </c>
      <c r="BM69">
        <v>1059089.7413362602</v>
      </c>
      <c r="BN69">
        <v>22946.944395618972</v>
      </c>
      <c r="BO69">
        <v>18965.538363001724</v>
      </c>
      <c r="BP69">
        <v>2479.0258620689742</v>
      </c>
      <c r="BQ69">
        <v>6705.9972413793112</v>
      </c>
      <c r="BR69">
        <v>48618.48</v>
      </c>
      <c r="BS69">
        <v>1042603.2288353274</v>
      </c>
      <c r="BU69">
        <v>46037</v>
      </c>
      <c r="BV69">
        <v>2225324.1017037118</v>
      </c>
      <c r="BW69">
        <v>48215.355536913754</v>
      </c>
      <c r="BX69">
        <v>39787.678945844869</v>
      </c>
      <c r="BY69">
        <v>5146.8793103448279</v>
      </c>
      <c r="BZ69">
        <v>14080.485517241381</v>
      </c>
      <c r="CA69">
        <v>102083.52</v>
      </c>
      <c r="CB69">
        <v>2190683.3020682116</v>
      </c>
      <c r="CD69">
        <v>46037</v>
      </c>
      <c r="CE69">
        <v>151023.93254249095</v>
      </c>
      <c r="CF69">
        <v>3272.185205087304</v>
      </c>
      <c r="CG69">
        <v>1918.4613466368337</v>
      </c>
      <c r="CH69">
        <v>0</v>
      </c>
      <c r="CI69">
        <v>830.50344827586218</v>
      </c>
      <c r="CJ69">
        <v>6021.15</v>
      </c>
      <c r="CK69">
        <v>149105.4711958541</v>
      </c>
      <c r="CM69">
        <v>46037</v>
      </c>
      <c r="CN69">
        <v>283389.95477425045</v>
      </c>
      <c r="CO69">
        <v>6140.1156867754271</v>
      </c>
      <c r="CP69">
        <v>3574.8239683969859</v>
      </c>
      <c r="CQ69">
        <v>0</v>
      </c>
      <c r="CR69">
        <v>1554.3903448275864</v>
      </c>
      <c r="CS69">
        <v>11269.33</v>
      </c>
      <c r="CT69">
        <v>279815.13080585346</v>
      </c>
      <c r="CV69">
        <v>46037</v>
      </c>
      <c r="CW69">
        <v>166350.6514571431</v>
      </c>
      <c r="CX69">
        <v>3604.2641149047672</v>
      </c>
      <c r="CY69">
        <v>2250.2789885435091</v>
      </c>
      <c r="CZ69">
        <v>0</v>
      </c>
      <c r="DA69">
        <v>936.72689655172417</v>
      </c>
      <c r="DB69">
        <v>6791.27</v>
      </c>
      <c r="DC69">
        <v>164100.37246859958</v>
      </c>
      <c r="DE69">
        <v>46037</v>
      </c>
      <c r="DF69">
        <v>146129.75735446202</v>
      </c>
      <c r="DG69">
        <v>3166.1447426800105</v>
      </c>
      <c r="DH69">
        <v>1857.2173262855067</v>
      </c>
      <c r="DI69">
        <v>0</v>
      </c>
      <c r="DJ69">
        <v>803.73793103448293</v>
      </c>
      <c r="DK69">
        <v>5827.1</v>
      </c>
      <c r="DL69">
        <v>144272.5400281765</v>
      </c>
      <c r="DN69">
        <v>46037</v>
      </c>
      <c r="DO69">
        <v>134663.89153886001</v>
      </c>
      <c r="DP69">
        <v>2917.7176500086339</v>
      </c>
      <c r="DQ69">
        <v>1713.7392465430898</v>
      </c>
      <c r="DR69">
        <v>0</v>
      </c>
      <c r="DS69">
        <v>741.03310344827605</v>
      </c>
      <c r="DT69">
        <v>5372.49</v>
      </c>
      <c r="DU69">
        <v>132950.15229231693</v>
      </c>
      <c r="DW69">
        <v>46037</v>
      </c>
      <c r="DX69">
        <v>626040.0539477421</v>
      </c>
      <c r="DY69">
        <v>13564.201168867748</v>
      </c>
      <c r="DZ69">
        <v>10361.64365871846</v>
      </c>
      <c r="EA69">
        <v>613.81034482758366</v>
      </c>
      <c r="EB69">
        <v>3828.1351724137935</v>
      </c>
      <c r="EC69">
        <v>27753.98</v>
      </c>
      <c r="ED69">
        <v>616292.22063385125</v>
      </c>
      <c r="EF69">
        <v>46037</v>
      </c>
      <c r="EG69">
        <v>1000938.257850608</v>
      </c>
      <c r="EH69">
        <v>21686.995586763172</v>
      </c>
      <c r="EI69">
        <v>17927.314758064414</v>
      </c>
      <c r="EJ69">
        <v>2346.0086206896553</v>
      </c>
      <c r="EK69">
        <v>6338.2896551724143</v>
      </c>
      <c r="EL69">
        <v>45952.6</v>
      </c>
      <c r="EM69">
        <v>985356.95171323314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S69">
        <v>46023</v>
      </c>
      <c r="GT69">
        <v>203398.61052781812</v>
      </c>
      <c r="GU69">
        <v>4714.244043204686</v>
      </c>
      <c r="GV69">
        <v>13590.945611967729</v>
      </c>
      <c r="GW69">
        <v>2928.8303448275869</v>
      </c>
      <c r="GX69">
        <v>21234.02</v>
      </c>
      <c r="GY69">
        <v>189807.66491585039</v>
      </c>
      <c r="HA69">
        <v>46023</v>
      </c>
      <c r="HB69">
        <v>201166.88511818679</v>
      </c>
      <c r="HC69">
        <v>4750.277692801199</v>
      </c>
      <c r="HD69">
        <v>11387.489548578113</v>
      </c>
      <c r="HE69">
        <v>2582.0427586206906</v>
      </c>
      <c r="HF69">
        <v>18719.810000000001</v>
      </c>
      <c r="HG69">
        <v>189779.39556960869</v>
      </c>
      <c r="HI69">
        <v>46038</v>
      </c>
      <c r="HJ69">
        <v>210549.53772867832</v>
      </c>
      <c r="HK69">
        <v>5758.2181108960094</v>
      </c>
      <c r="HL69">
        <v>8625.1439580695078</v>
      </c>
      <c r="HM69">
        <v>2301.3379310344831</v>
      </c>
      <c r="HN69">
        <v>16684.7</v>
      </c>
      <c r="HO69">
        <v>201924.39377060879</v>
      </c>
      <c r="HQ69">
        <v>46024</v>
      </c>
      <c r="HR69">
        <v>92621.380213739161</v>
      </c>
      <c r="HS69">
        <v>2550.8033072618459</v>
      </c>
      <c r="HT69">
        <v>8171.3777272209118</v>
      </c>
      <c r="HU69">
        <v>1715.5489655172414</v>
      </c>
      <c r="HV69">
        <v>12437.73</v>
      </c>
      <c r="HW69">
        <v>84450.002486518249</v>
      </c>
      <c r="HY69">
        <v>46027</v>
      </c>
      <c r="HZ69">
        <v>180091.5209095841</v>
      </c>
      <c r="IA69">
        <v>1828.3193043629417</v>
      </c>
      <c r="IB69">
        <v>6891.9824197749895</v>
      </c>
      <c r="IC69">
        <v>1395.248275862069</v>
      </c>
      <c r="ID69">
        <v>10115.549999999999</v>
      </c>
      <c r="IE69">
        <v>173199.53848980911</v>
      </c>
      <c r="KC69" s="3">
        <v>46024</v>
      </c>
      <c r="KD69" s="9">
        <v>12830770.600951068</v>
      </c>
      <c r="KE69" s="9">
        <v>278365.62023167626</v>
      </c>
      <c r="KF69" s="9">
        <v>259187.68149246171</v>
      </c>
      <c r="KG69" s="9">
        <v>28498.612068965536</v>
      </c>
      <c r="KH69" s="9">
        <v>86008.528275862089</v>
      </c>
      <c r="KI69" s="9">
        <v>623561.83000000007</v>
      </c>
      <c r="KJ69" s="9">
        <v>12600081.53152757</v>
      </c>
      <c r="KL69" t="s">
        <v>1263</v>
      </c>
      <c r="KM69">
        <v>202560.93103448275</v>
      </c>
      <c r="KN69" t="s">
        <v>1264</v>
      </c>
      <c r="KO69" t="s">
        <v>1265</v>
      </c>
      <c r="KP69">
        <v>60</v>
      </c>
      <c r="KQ69" t="s">
        <v>1266</v>
      </c>
    </row>
    <row r="70" spans="1:304" x14ac:dyDescent="0.3">
      <c r="A70">
        <v>46068</v>
      </c>
      <c r="B70">
        <v>272152.55496820324</v>
      </c>
      <c r="C70">
        <v>5896.6386909777375</v>
      </c>
      <c r="D70">
        <v>6274.947515918815</v>
      </c>
      <c r="E70">
        <v>1878.1982758620693</v>
      </c>
      <c r="F70">
        <v>1947.4537931034488</v>
      </c>
      <c r="G70">
        <v>14119.04</v>
      </c>
      <c r="H70">
        <v>267755.80572814652</v>
      </c>
      <c r="J70">
        <v>46068</v>
      </c>
      <c r="K70">
        <v>356474.95910185191</v>
      </c>
      <c r="L70">
        <v>7723.6241138734595</v>
      </c>
      <c r="M70">
        <v>8794.0482999196429</v>
      </c>
      <c r="N70">
        <v>4149.3017241379312</v>
      </c>
      <c r="O70">
        <v>2642.8275862068972</v>
      </c>
      <c r="P70">
        <v>19160.5</v>
      </c>
      <c r="Q70">
        <v>351830.21252607019</v>
      </c>
      <c r="S70">
        <v>46068</v>
      </c>
      <c r="T70">
        <v>142690.33722997803</v>
      </c>
      <c r="U70">
        <v>3091.6239733161906</v>
      </c>
      <c r="V70">
        <v>4733.7467163389811</v>
      </c>
      <c r="W70">
        <v>2856.7844827586209</v>
      </c>
      <c r="X70">
        <v>1252.0593103448275</v>
      </c>
      <c r="Y70">
        <v>9077.43</v>
      </c>
      <c r="Z70">
        <v>140813.37499639764</v>
      </c>
      <c r="AB70">
        <v>46068</v>
      </c>
      <c r="AC70">
        <v>2314324.8578848946</v>
      </c>
      <c r="AD70">
        <v>50143.705254172717</v>
      </c>
      <c r="AE70">
        <v>42085.475780310051</v>
      </c>
      <c r="AF70">
        <v>4696.508620689664</v>
      </c>
      <c r="AG70">
        <v>14756.668965517243</v>
      </c>
      <c r="AH70">
        <v>106985.85</v>
      </c>
      <c r="AI70">
        <v>2276935.8907252741</v>
      </c>
      <c r="AK70">
        <v>46068</v>
      </c>
      <c r="AL70">
        <v>1281903.4514868734</v>
      </c>
      <c r="AM70">
        <v>27774.574782215594</v>
      </c>
      <c r="AN70">
        <v>20712.287286749921</v>
      </c>
      <c r="AO70">
        <v>0</v>
      </c>
      <c r="AP70">
        <v>7757.8979310344848</v>
      </c>
      <c r="AQ70">
        <v>56244.76</v>
      </c>
      <c r="AR70">
        <v>1261191.1642001236</v>
      </c>
      <c r="AT70">
        <v>46068</v>
      </c>
      <c r="AU70">
        <v>1162388.9033609219</v>
      </c>
      <c r="AV70">
        <v>25185.092906153313</v>
      </c>
      <c r="AW70">
        <v>21699.93295591565</v>
      </c>
      <c r="AX70">
        <v>2921.0172413793107</v>
      </c>
      <c r="AY70">
        <v>7501.6041379310354</v>
      </c>
      <c r="AZ70">
        <v>54386.63</v>
      </c>
      <c r="BA70">
        <v>1143609.9876463858</v>
      </c>
      <c r="BC70">
        <v>46068</v>
      </c>
      <c r="BD70">
        <v>525806.1022210248</v>
      </c>
      <c r="BE70">
        <v>11392.465548122203</v>
      </c>
      <c r="BF70">
        <v>9905.7154863605519</v>
      </c>
      <c r="BG70">
        <v>1411.0775862068965</v>
      </c>
      <c r="BH70">
        <v>3407.7089655172417</v>
      </c>
      <c r="BI70">
        <v>24705.89</v>
      </c>
      <c r="BJ70">
        <v>517311.46432087122</v>
      </c>
      <c r="BL70">
        <v>46068</v>
      </c>
      <c r="BM70">
        <v>1042603.2288353274</v>
      </c>
      <c r="BN70">
        <v>22589.736624765428</v>
      </c>
      <c r="BO70">
        <v>19322.746133855268</v>
      </c>
      <c r="BP70">
        <v>2479.0258620689742</v>
      </c>
      <c r="BQ70">
        <v>6705.9972413793112</v>
      </c>
      <c r="BR70">
        <v>48618.48</v>
      </c>
      <c r="BS70">
        <v>1025759.5085635412</v>
      </c>
      <c r="BU70">
        <v>46068</v>
      </c>
      <c r="BV70">
        <v>2190683.3020682116</v>
      </c>
      <c r="BW70">
        <v>47464.804878144583</v>
      </c>
      <c r="BX70">
        <v>40538.22960461404</v>
      </c>
      <c r="BY70">
        <v>5146.8793103448279</v>
      </c>
      <c r="BZ70">
        <v>14080.485517241381</v>
      </c>
      <c r="CA70">
        <v>102083.52</v>
      </c>
      <c r="CB70">
        <v>2155291.9517739424</v>
      </c>
      <c r="CD70">
        <v>46068</v>
      </c>
      <c r="CE70">
        <v>149105.4711958541</v>
      </c>
      <c r="CF70">
        <v>3230.618542576839</v>
      </c>
      <c r="CG70">
        <v>1960.0280091472987</v>
      </c>
      <c r="CH70">
        <v>0</v>
      </c>
      <c r="CI70">
        <v>830.50344827586218</v>
      </c>
      <c r="CJ70">
        <v>6021.15</v>
      </c>
      <c r="CK70">
        <v>147145.44318670681</v>
      </c>
      <c r="CM70">
        <v>46068</v>
      </c>
      <c r="CN70">
        <v>279815.13080585346</v>
      </c>
      <c r="CO70">
        <v>6062.6611674601581</v>
      </c>
      <c r="CP70">
        <v>3652.2784877122554</v>
      </c>
      <c r="CQ70">
        <v>0</v>
      </c>
      <c r="CR70">
        <v>1554.3903448275864</v>
      </c>
      <c r="CS70">
        <v>11269.33</v>
      </c>
      <c r="CT70">
        <v>276162.8523181412</v>
      </c>
      <c r="CV70">
        <v>46068</v>
      </c>
      <c r="CW70">
        <v>164100.37246859958</v>
      </c>
      <c r="CX70">
        <v>3555.508070152991</v>
      </c>
      <c r="CY70">
        <v>2299.0350332952853</v>
      </c>
      <c r="CZ70">
        <v>0</v>
      </c>
      <c r="DA70">
        <v>936.72689655172417</v>
      </c>
      <c r="DB70">
        <v>6791.27</v>
      </c>
      <c r="DC70">
        <v>161801.3374353043</v>
      </c>
      <c r="DE70">
        <v>46068</v>
      </c>
      <c r="DF70">
        <v>144272.5400281765</v>
      </c>
      <c r="DG70">
        <v>3125.9050339438245</v>
      </c>
      <c r="DH70">
        <v>1897.4570350216927</v>
      </c>
      <c r="DI70">
        <v>0</v>
      </c>
      <c r="DJ70">
        <v>803.73793103448293</v>
      </c>
      <c r="DK70">
        <v>5827.1</v>
      </c>
      <c r="DL70">
        <v>142375.08299315482</v>
      </c>
      <c r="DN70">
        <v>46068</v>
      </c>
      <c r="DO70">
        <v>132950.15229231693</v>
      </c>
      <c r="DP70">
        <v>2880.5866330002</v>
      </c>
      <c r="DQ70">
        <v>1750.8702635515235</v>
      </c>
      <c r="DR70">
        <v>0</v>
      </c>
      <c r="DS70">
        <v>741.03310344827605</v>
      </c>
      <c r="DT70">
        <v>5372.49</v>
      </c>
      <c r="DU70">
        <v>131199.28202876539</v>
      </c>
      <c r="DW70">
        <v>46068</v>
      </c>
      <c r="DX70">
        <v>616292.22063385125</v>
      </c>
      <c r="DY70">
        <v>13352.998113733443</v>
      </c>
      <c r="DZ70">
        <v>10572.846713852765</v>
      </c>
      <c r="EA70">
        <v>613.81034482758366</v>
      </c>
      <c r="EB70">
        <v>3828.1351724137935</v>
      </c>
      <c r="EC70">
        <v>27753.98</v>
      </c>
      <c r="ED70">
        <v>606333.18426482612</v>
      </c>
      <c r="EF70">
        <v>46068</v>
      </c>
      <c r="EG70">
        <v>985356.95171323314</v>
      </c>
      <c r="EH70">
        <v>21349.400620453387</v>
      </c>
      <c r="EI70">
        <v>18264.9097243742</v>
      </c>
      <c r="EJ70">
        <v>2346.0086206896553</v>
      </c>
      <c r="EK70">
        <v>6338.2896551724143</v>
      </c>
      <c r="EL70">
        <v>45952.6</v>
      </c>
      <c r="EM70">
        <v>969438.05060954869</v>
      </c>
      <c r="GS70">
        <v>46054</v>
      </c>
      <c r="GT70">
        <v>189807.66491585039</v>
      </c>
      <c r="GU70">
        <v>4399.241722262208</v>
      </c>
      <c r="GV70">
        <v>13905.947932910203</v>
      </c>
      <c r="GW70">
        <v>2928.8303448275869</v>
      </c>
      <c r="GX70">
        <v>21234.02</v>
      </c>
      <c r="GY70">
        <v>175901.71698294018</v>
      </c>
      <c r="HA70">
        <v>46054</v>
      </c>
      <c r="HB70">
        <v>189779.39556960869</v>
      </c>
      <c r="HC70">
        <v>4481.3778808473735</v>
      </c>
      <c r="HD70">
        <v>11656.389360531941</v>
      </c>
      <c r="HE70">
        <v>2582.0427586206906</v>
      </c>
      <c r="HF70">
        <v>18719.810000000001</v>
      </c>
      <c r="HG70">
        <v>178123.00620907676</v>
      </c>
      <c r="HI70">
        <v>46069</v>
      </c>
      <c r="HJ70">
        <v>201924.39377060879</v>
      </c>
      <c r="HK70">
        <v>5522.3331942905797</v>
      </c>
      <c r="HL70">
        <v>8861.0288746749393</v>
      </c>
      <c r="HM70">
        <v>2301.3379310344831</v>
      </c>
      <c r="HN70">
        <v>16684.7</v>
      </c>
      <c r="HO70">
        <v>193063.36489593389</v>
      </c>
      <c r="HQ70">
        <v>46055</v>
      </c>
      <c r="HR70">
        <v>84450.002486518249</v>
      </c>
      <c r="HS70">
        <v>2325.762638645368</v>
      </c>
      <c r="HT70">
        <v>8396.4183958373887</v>
      </c>
      <c r="HU70">
        <v>1715.5489655172414</v>
      </c>
      <c r="HV70">
        <v>12437.73</v>
      </c>
      <c r="HW70">
        <v>76053.584090680859</v>
      </c>
      <c r="HY70">
        <v>46058</v>
      </c>
      <c r="HZ70">
        <v>173199.53848980911</v>
      </c>
      <c r="IA70">
        <v>1758.3507437124329</v>
      </c>
      <c r="IB70">
        <v>6961.9509804254985</v>
      </c>
      <c r="IC70">
        <v>1395.248275862069</v>
      </c>
      <c r="ID70">
        <v>10115.549999999999</v>
      </c>
      <c r="IE70">
        <v>166237.58750938362</v>
      </c>
      <c r="KC70" s="3">
        <v>46055</v>
      </c>
      <c r="KD70" s="9">
        <v>12600081.53152757</v>
      </c>
      <c r="KE70" s="9">
        <v>273307.01113282004</v>
      </c>
      <c r="KF70" s="9">
        <v>264246.29059131787</v>
      </c>
      <c r="KG70" s="9">
        <v>28498.612068965536</v>
      </c>
      <c r="KH70" s="9">
        <v>86008.528275862089</v>
      </c>
      <c r="KI70" s="9">
        <v>623561.83000000007</v>
      </c>
      <c r="KJ70" s="9">
        <v>12364333.853005216</v>
      </c>
      <c r="KL70" t="s">
        <v>1267</v>
      </c>
      <c r="KM70">
        <v>0</v>
      </c>
      <c r="KN70" t="s">
        <v>1264</v>
      </c>
      <c r="KO70" t="s">
        <v>1268</v>
      </c>
      <c r="KP70">
        <v>6791.27</v>
      </c>
      <c r="KQ70" t="s">
        <v>1269</v>
      </c>
    </row>
    <row r="71" spans="1:304" x14ac:dyDescent="0.3">
      <c r="A71">
        <v>46096</v>
      </c>
      <c r="B71">
        <v>267755.80572814652</v>
      </c>
      <c r="C71">
        <v>5801.3757907765084</v>
      </c>
      <c r="D71">
        <v>6370.2104161200441</v>
      </c>
      <c r="E71">
        <v>1878.1982758620693</v>
      </c>
      <c r="F71">
        <v>1947.4537931034488</v>
      </c>
      <c r="G71">
        <v>14119.04</v>
      </c>
      <c r="H71">
        <v>263263.79358788853</v>
      </c>
      <c r="J71">
        <v>46096</v>
      </c>
      <c r="K71">
        <v>351830.21252607019</v>
      </c>
      <c r="L71">
        <v>7622.9879380648545</v>
      </c>
      <c r="M71">
        <v>8894.684475728247</v>
      </c>
      <c r="N71">
        <v>4149.3017241379312</v>
      </c>
      <c r="O71">
        <v>2642.8275862068972</v>
      </c>
      <c r="P71">
        <v>19160.5</v>
      </c>
      <c r="Q71">
        <v>347084.82977447985</v>
      </c>
      <c r="S71">
        <v>46096</v>
      </c>
      <c r="T71">
        <v>140813.37499639764</v>
      </c>
      <c r="U71">
        <v>3050.9564582552825</v>
      </c>
      <c r="V71">
        <v>4774.4142313998891</v>
      </c>
      <c r="W71">
        <v>2856.7844827586209</v>
      </c>
      <c r="X71">
        <v>1252.0593103448275</v>
      </c>
      <c r="Y71">
        <v>9077.43</v>
      </c>
      <c r="Z71">
        <v>138895.74524775636</v>
      </c>
      <c r="AB71">
        <v>46096</v>
      </c>
      <c r="AC71">
        <v>2276935.8907252741</v>
      </c>
      <c r="AD71">
        <v>49333.610965714273</v>
      </c>
      <c r="AE71">
        <v>42895.570068768495</v>
      </c>
      <c r="AF71">
        <v>4696.508620689664</v>
      </c>
      <c r="AG71">
        <v>14756.668965517243</v>
      </c>
      <c r="AH71">
        <v>106985.85</v>
      </c>
      <c r="AI71">
        <v>2238736.829277195</v>
      </c>
      <c r="AK71">
        <v>46096</v>
      </c>
      <c r="AL71">
        <v>1261191.1642001236</v>
      </c>
      <c r="AM71">
        <v>27325.808557669345</v>
      </c>
      <c r="AN71">
        <v>21161.05351129617</v>
      </c>
      <c r="AO71">
        <v>0</v>
      </c>
      <c r="AP71">
        <v>7757.8979310344848</v>
      </c>
      <c r="AQ71">
        <v>56244.76</v>
      </c>
      <c r="AR71">
        <v>1240030.1106888277</v>
      </c>
      <c r="AT71">
        <v>46096</v>
      </c>
      <c r="AU71">
        <v>1143609.9876463858</v>
      </c>
      <c r="AV71">
        <v>24778.216399005025</v>
      </c>
      <c r="AW71">
        <v>22106.809463063939</v>
      </c>
      <c r="AX71">
        <v>2921.0172413793107</v>
      </c>
      <c r="AY71">
        <v>7501.6041379310354</v>
      </c>
      <c r="AZ71">
        <v>54386.63</v>
      </c>
      <c r="BA71">
        <v>1124424.1954247011</v>
      </c>
      <c r="BC71">
        <v>46096</v>
      </c>
      <c r="BD71">
        <v>517311.46432087122</v>
      </c>
      <c r="BE71">
        <v>11208.415060285542</v>
      </c>
      <c r="BF71">
        <v>10089.765974197217</v>
      </c>
      <c r="BG71">
        <v>1411.0775862068965</v>
      </c>
      <c r="BH71">
        <v>3407.7089655172417</v>
      </c>
      <c r="BI71">
        <v>24705.89</v>
      </c>
      <c r="BJ71">
        <v>508632.77593288088</v>
      </c>
      <c r="BL71">
        <v>46096</v>
      </c>
      <c r="BM71">
        <v>1025759.5085635412</v>
      </c>
      <c r="BN71">
        <v>22224.789352210057</v>
      </c>
      <c r="BO71">
        <v>19687.693406410639</v>
      </c>
      <c r="BP71">
        <v>2479.0258620689742</v>
      </c>
      <c r="BQ71">
        <v>6705.9972413793112</v>
      </c>
      <c r="BR71">
        <v>48618.48</v>
      </c>
      <c r="BS71">
        <v>1008550.8410191996</v>
      </c>
      <c r="BU71">
        <v>46096</v>
      </c>
      <c r="BV71">
        <v>2155291.9517739424</v>
      </c>
      <c r="BW71">
        <v>46697.992288435424</v>
      </c>
      <c r="BX71">
        <v>41305.0421943232</v>
      </c>
      <c r="BY71">
        <v>5146.8793103448279</v>
      </c>
      <c r="BZ71">
        <v>14080.485517241381</v>
      </c>
      <c r="CA71">
        <v>102083.52</v>
      </c>
      <c r="CB71">
        <v>2119133.7888899641</v>
      </c>
      <c r="CD71">
        <v>46096</v>
      </c>
      <c r="CE71">
        <v>147145.44318670681</v>
      </c>
      <c r="CF71">
        <v>3188.1512690453146</v>
      </c>
      <c r="CG71">
        <v>2002.4952826788235</v>
      </c>
      <c r="CH71">
        <v>0</v>
      </c>
      <c r="CI71">
        <v>830.50344827586218</v>
      </c>
      <c r="CJ71">
        <v>6021.15</v>
      </c>
      <c r="CK71">
        <v>145142.94790402797</v>
      </c>
      <c r="CM71">
        <v>46096</v>
      </c>
      <c r="CN71">
        <v>276162.8523181412</v>
      </c>
      <c r="CO71">
        <v>5983.5284668930599</v>
      </c>
      <c r="CP71">
        <v>3731.4111882793536</v>
      </c>
      <c r="CQ71">
        <v>0</v>
      </c>
      <c r="CR71">
        <v>1554.3903448275864</v>
      </c>
      <c r="CS71">
        <v>11269.33</v>
      </c>
      <c r="CT71">
        <v>272431.44112986187</v>
      </c>
      <c r="CV71">
        <v>46096</v>
      </c>
      <c r="CW71">
        <v>161801.3374353043</v>
      </c>
      <c r="CX71">
        <v>3505.6956444315933</v>
      </c>
      <c r="CY71">
        <v>2348.8474590166829</v>
      </c>
      <c r="CZ71">
        <v>0</v>
      </c>
      <c r="DA71">
        <v>936.72689655172417</v>
      </c>
      <c r="DB71">
        <v>6791.27</v>
      </c>
      <c r="DC71">
        <v>159452.48997628762</v>
      </c>
      <c r="DE71">
        <v>46096</v>
      </c>
      <c r="DF71">
        <v>142375.08299315482</v>
      </c>
      <c r="DG71">
        <v>3084.793464851688</v>
      </c>
      <c r="DH71">
        <v>1938.5686041138292</v>
      </c>
      <c r="DI71">
        <v>0</v>
      </c>
      <c r="DJ71">
        <v>803.73793103448293</v>
      </c>
      <c r="DK71">
        <v>5827.1</v>
      </c>
      <c r="DL71">
        <v>140436.514389041</v>
      </c>
      <c r="DN71">
        <v>46096</v>
      </c>
      <c r="DO71">
        <v>131199.28202876539</v>
      </c>
      <c r="DP71">
        <v>2842.6511106232501</v>
      </c>
      <c r="DQ71">
        <v>1788.8057859284736</v>
      </c>
      <c r="DR71">
        <v>0</v>
      </c>
      <c r="DS71">
        <v>741.03310344827605</v>
      </c>
      <c r="DT71">
        <v>5372.49</v>
      </c>
      <c r="DU71">
        <v>129410.47624283691</v>
      </c>
      <c r="DW71">
        <v>46096</v>
      </c>
      <c r="DX71">
        <v>606333.18426482612</v>
      </c>
      <c r="DY71">
        <v>13137.218992404569</v>
      </c>
      <c r="DZ71">
        <v>10788.62583518164</v>
      </c>
      <c r="EA71">
        <v>613.81034482758366</v>
      </c>
      <c r="EB71">
        <v>3828.1351724137935</v>
      </c>
      <c r="EC71">
        <v>27753.98</v>
      </c>
      <c r="ED71">
        <v>596158.36877447204</v>
      </c>
      <c r="EF71">
        <v>46096</v>
      </c>
      <c r="EG71">
        <v>969438.05060954869</v>
      </c>
      <c r="EH71">
        <v>21004.49109654022</v>
      </c>
      <c r="EI71">
        <v>18609.819248287367</v>
      </c>
      <c r="EJ71">
        <v>2346.0086206896553</v>
      </c>
      <c r="EK71">
        <v>6338.2896551724143</v>
      </c>
      <c r="EL71">
        <v>45952.6</v>
      </c>
      <c r="EM71">
        <v>953174.23998195084</v>
      </c>
      <c r="GS71">
        <v>46082</v>
      </c>
      <c r="GT71">
        <v>175901.71698294018</v>
      </c>
      <c r="GU71">
        <v>4076.9384772315816</v>
      </c>
      <c r="GV71">
        <v>14228.251177940832</v>
      </c>
      <c r="GW71">
        <v>2928.8303448275869</v>
      </c>
      <c r="GX71">
        <v>21234.02</v>
      </c>
      <c r="GY71">
        <v>161673.46580499934</v>
      </c>
      <c r="HA71">
        <v>46082</v>
      </c>
      <c r="HB71">
        <v>178123.00620907676</v>
      </c>
      <c r="HC71">
        <v>4206.1283718369359</v>
      </c>
      <c r="HD71">
        <v>11931.638869542376</v>
      </c>
      <c r="HE71">
        <v>2582.0427586206906</v>
      </c>
      <c r="HF71">
        <v>18719.810000000001</v>
      </c>
      <c r="HG71">
        <v>166191.36733953439</v>
      </c>
      <c r="HI71">
        <v>46097</v>
      </c>
      <c r="HJ71">
        <v>193063.36489593389</v>
      </c>
      <c r="HK71">
        <v>5279.9971744742998</v>
      </c>
      <c r="HL71">
        <v>9103.3648944912184</v>
      </c>
      <c r="HM71">
        <v>2301.3379310344831</v>
      </c>
      <c r="HN71">
        <v>16684.7</v>
      </c>
      <c r="HO71">
        <v>183960.00000144268</v>
      </c>
      <c r="HQ71">
        <v>46083</v>
      </c>
      <c r="HR71">
        <v>76053.584090680859</v>
      </c>
      <c r="HS71">
        <v>2094.5243245128045</v>
      </c>
      <c r="HT71">
        <v>8627.6567099699532</v>
      </c>
      <c r="HU71">
        <v>1715.5489655172414</v>
      </c>
      <c r="HV71">
        <v>12437.73</v>
      </c>
      <c r="HW71">
        <v>67425.927380710898</v>
      </c>
      <c r="HY71">
        <v>46086</v>
      </c>
      <c r="HZ71">
        <v>166237.58750938362</v>
      </c>
      <c r="IA71">
        <v>1687.6718505071781</v>
      </c>
      <c r="IB71">
        <v>7032.6298736307535</v>
      </c>
      <c r="IC71">
        <v>1395.248275862069</v>
      </c>
      <c r="ID71">
        <v>10115.549999999999</v>
      </c>
      <c r="IE71">
        <v>159204.95763575286</v>
      </c>
      <c r="KC71" s="3">
        <v>46083</v>
      </c>
      <c r="KD71" s="9">
        <v>12364333.853005216</v>
      </c>
      <c r="KE71" s="9">
        <v>268135.94305376889</v>
      </c>
      <c r="KF71" s="9">
        <v>269417.3586703692</v>
      </c>
      <c r="KG71" s="9">
        <v>28498.612068965536</v>
      </c>
      <c r="KH71" s="9">
        <v>86008.528275862089</v>
      </c>
      <c r="KI71" s="9">
        <v>623561.83000000007</v>
      </c>
      <c r="KJ71" s="9">
        <v>12123415.106403813</v>
      </c>
      <c r="KL71" t="s">
        <v>1270</v>
      </c>
      <c r="KM71">
        <v>0.26</v>
      </c>
      <c r="KN71">
        <v>2.1666666666666667E-2</v>
      </c>
      <c r="KO71" t="s">
        <v>1271</v>
      </c>
      <c r="KP71">
        <v>26443.060344827587</v>
      </c>
      <c r="KQ71" t="s">
        <v>1264</v>
      </c>
    </row>
    <row r="72" spans="1:304" x14ac:dyDescent="0.3">
      <c r="A72">
        <v>46127</v>
      </c>
      <c r="B72">
        <v>263263.79358788853</v>
      </c>
      <c r="C72">
        <v>5704.0488610709181</v>
      </c>
      <c r="D72">
        <v>6467.5373458256345</v>
      </c>
      <c r="E72">
        <v>1878.1982758620693</v>
      </c>
      <c r="F72">
        <v>1947.4537931034488</v>
      </c>
      <c r="G72">
        <v>14119.04</v>
      </c>
      <c r="H72">
        <v>258674.45451792495</v>
      </c>
      <c r="J72">
        <v>46127</v>
      </c>
      <c r="K72">
        <v>347084.82977447985</v>
      </c>
      <c r="L72">
        <v>7520.1713117803965</v>
      </c>
      <c r="M72">
        <v>8997.5011020127058</v>
      </c>
      <c r="N72">
        <v>4149.3017241379312</v>
      </c>
      <c r="O72">
        <v>2642.8275862068972</v>
      </c>
      <c r="P72">
        <v>19160.5</v>
      </c>
      <c r="Q72">
        <v>342236.63039660506</v>
      </c>
      <c r="S72">
        <v>46127</v>
      </c>
      <c r="T72">
        <v>138895.74524775636</v>
      </c>
      <c r="U72">
        <v>3009.407813701388</v>
      </c>
      <c r="V72">
        <v>4815.9628759537845</v>
      </c>
      <c r="W72">
        <v>2856.7844827586209</v>
      </c>
      <c r="X72">
        <v>1252.0593103448275</v>
      </c>
      <c r="Y72">
        <v>9077.43</v>
      </c>
      <c r="Z72">
        <v>136936.56685456118</v>
      </c>
      <c r="AB72">
        <v>46127</v>
      </c>
      <c r="AC72">
        <v>2238736.829277195</v>
      </c>
      <c r="AD72">
        <v>48505.964634339231</v>
      </c>
      <c r="AE72">
        <v>43723.216400143538</v>
      </c>
      <c r="AF72">
        <v>4696.508620689664</v>
      </c>
      <c r="AG72">
        <v>14756.668965517243</v>
      </c>
      <c r="AH72">
        <v>106985.85</v>
      </c>
      <c r="AI72">
        <v>2199710.121497741</v>
      </c>
      <c r="AK72">
        <v>46127</v>
      </c>
      <c r="AL72">
        <v>1240030.1106888277</v>
      </c>
      <c r="AM72">
        <v>26867.319064924595</v>
      </c>
      <c r="AN72">
        <v>21619.543004040919</v>
      </c>
      <c r="AO72">
        <v>0</v>
      </c>
      <c r="AP72">
        <v>7757.8979310344848</v>
      </c>
      <c r="AQ72">
        <v>56244.76</v>
      </c>
      <c r="AR72">
        <v>1218410.5676847866</v>
      </c>
      <c r="AT72">
        <v>46127</v>
      </c>
      <c r="AU72">
        <v>1124424.1954247011</v>
      </c>
      <c r="AV72">
        <v>24362.524234201857</v>
      </c>
      <c r="AW72">
        <v>22522.501627867103</v>
      </c>
      <c r="AX72">
        <v>2921.0172413793107</v>
      </c>
      <c r="AY72">
        <v>7501.6041379310354</v>
      </c>
      <c r="AZ72">
        <v>54386.63</v>
      </c>
      <c r="BA72">
        <v>1104822.7110382132</v>
      </c>
      <c r="BC72">
        <v>46127</v>
      </c>
      <c r="BD72">
        <v>508632.77593288088</v>
      </c>
      <c r="BE72">
        <v>11020.376811879089</v>
      </c>
      <c r="BF72">
        <v>10277.80422260367</v>
      </c>
      <c r="BG72">
        <v>1411.0775862068965</v>
      </c>
      <c r="BH72">
        <v>3407.7089655172417</v>
      </c>
      <c r="BI72">
        <v>24705.89</v>
      </c>
      <c r="BJ72">
        <v>499766.0492964841</v>
      </c>
      <c r="BL72">
        <v>46127</v>
      </c>
      <c r="BM72">
        <v>1008550.8410191996</v>
      </c>
      <c r="BN72">
        <v>21851.934888749322</v>
      </c>
      <c r="BO72">
        <v>20060.547869871378</v>
      </c>
      <c r="BP72">
        <v>2479.0258620689742</v>
      </c>
      <c r="BQ72">
        <v>6705.9972413793112</v>
      </c>
      <c r="BR72">
        <v>48618.48</v>
      </c>
      <c r="BS72">
        <v>990969.31901139708</v>
      </c>
      <c r="BU72">
        <v>46127</v>
      </c>
      <c r="BV72">
        <v>2119133.7888899641</v>
      </c>
      <c r="BW72">
        <v>45914.565425949222</v>
      </c>
      <c r="BX72">
        <v>42088.469056809401</v>
      </c>
      <c r="BY72">
        <v>5146.8793103448279</v>
      </c>
      <c r="BZ72">
        <v>14080.485517241381</v>
      </c>
      <c r="CA72">
        <v>102083.52</v>
      </c>
      <c r="CB72">
        <v>2082192.1991434996</v>
      </c>
      <c r="CD72">
        <v>46127</v>
      </c>
      <c r="CE72">
        <v>145142.94790402797</v>
      </c>
      <c r="CF72">
        <v>3144.7638712539397</v>
      </c>
      <c r="CG72">
        <v>2045.882680470198</v>
      </c>
      <c r="CH72">
        <v>0</v>
      </c>
      <c r="CI72">
        <v>830.50344827586218</v>
      </c>
      <c r="CJ72">
        <v>6021.15</v>
      </c>
      <c r="CK72">
        <v>143097.06522355776</v>
      </c>
      <c r="CM72">
        <v>46127</v>
      </c>
      <c r="CN72">
        <v>272431.44112986187</v>
      </c>
      <c r="CO72">
        <v>5902.6812244803405</v>
      </c>
      <c r="CP72">
        <v>3812.2584306920726</v>
      </c>
      <c r="CQ72">
        <v>0</v>
      </c>
      <c r="CR72">
        <v>1554.3903448275864</v>
      </c>
      <c r="CS72">
        <v>11269.33</v>
      </c>
      <c r="CT72">
        <v>268619.18269916979</v>
      </c>
      <c r="CV72">
        <v>46127</v>
      </c>
      <c r="CW72">
        <v>159452.48997628762</v>
      </c>
      <c r="CX72">
        <v>3454.8039494862319</v>
      </c>
      <c r="CY72">
        <v>2399.7391539620444</v>
      </c>
      <c r="CZ72">
        <v>0</v>
      </c>
      <c r="DA72">
        <v>936.72689655172417</v>
      </c>
      <c r="DB72">
        <v>6791.27</v>
      </c>
      <c r="DC72">
        <v>157052.75082232556</v>
      </c>
      <c r="DE72">
        <v>46127</v>
      </c>
      <c r="DF72">
        <v>140436.514389041</v>
      </c>
      <c r="DG72">
        <v>3042.7911450958882</v>
      </c>
      <c r="DH72">
        <v>1980.570923869629</v>
      </c>
      <c r="DI72">
        <v>0</v>
      </c>
      <c r="DJ72">
        <v>803.73793103448293</v>
      </c>
      <c r="DK72">
        <v>5827.1</v>
      </c>
      <c r="DL72">
        <v>138455.94346517138</v>
      </c>
      <c r="DN72">
        <v>46127</v>
      </c>
      <c r="DO72">
        <v>129410.47624283691</v>
      </c>
      <c r="DP72">
        <v>2803.8936519281333</v>
      </c>
      <c r="DQ72">
        <v>1827.5632446235904</v>
      </c>
      <c r="DR72">
        <v>0</v>
      </c>
      <c r="DS72">
        <v>741.03310344827605</v>
      </c>
      <c r="DT72">
        <v>5372.49</v>
      </c>
      <c r="DU72">
        <v>127582.91299821332</v>
      </c>
      <c r="DW72">
        <v>46127</v>
      </c>
      <c r="DX72">
        <v>596158.36877447204</v>
      </c>
      <c r="DY72">
        <v>12916.764656780228</v>
      </c>
      <c r="DZ72">
        <v>11009.080170805981</v>
      </c>
      <c r="EA72">
        <v>613.81034482758366</v>
      </c>
      <c r="EB72">
        <v>3828.1351724137935</v>
      </c>
      <c r="EC72">
        <v>27753.98</v>
      </c>
      <c r="ED72">
        <v>585763.0989484936</v>
      </c>
      <c r="EF72">
        <v>46127</v>
      </c>
      <c r="EG72">
        <v>953174.23998195084</v>
      </c>
      <c r="EH72">
        <v>20652.108532942268</v>
      </c>
      <c r="EI72">
        <v>18962.201811885319</v>
      </c>
      <c r="EJ72">
        <v>2346.0086206896553</v>
      </c>
      <c r="EK72">
        <v>6338.2896551724143</v>
      </c>
      <c r="EL72">
        <v>45952.6</v>
      </c>
      <c r="EM72">
        <v>936558.04679075524</v>
      </c>
      <c r="GS72">
        <v>46113</v>
      </c>
      <c r="GT72">
        <v>161673.46580499934</v>
      </c>
      <c r="GU72">
        <v>3747.1650919229642</v>
      </c>
      <c r="GV72">
        <v>14558.02456324945</v>
      </c>
      <c r="GW72">
        <v>2928.8303448275869</v>
      </c>
      <c r="GX72">
        <v>21234.02</v>
      </c>
      <c r="GY72">
        <v>147115.44124174988</v>
      </c>
      <c r="HA72">
        <v>46113</v>
      </c>
      <c r="HB72">
        <v>166191.36733953439</v>
      </c>
      <c r="HC72">
        <v>3924.3792264582225</v>
      </c>
      <c r="HD72">
        <v>12213.388014921087</v>
      </c>
      <c r="HE72">
        <v>2582.0427586206906</v>
      </c>
      <c r="HF72">
        <v>18719.810000000001</v>
      </c>
      <c r="HG72">
        <v>153977.97932461329</v>
      </c>
      <c r="HJ72">
        <v>183960.00000144268</v>
      </c>
      <c r="HK72">
        <v>0</v>
      </c>
      <c r="HL72">
        <v>183960.00000144268</v>
      </c>
      <c r="HM72">
        <v>0</v>
      </c>
      <c r="HN72">
        <v>213393.60000167348</v>
      </c>
      <c r="HO72">
        <v>0</v>
      </c>
      <c r="HQ72">
        <v>46114</v>
      </c>
      <c r="HR72">
        <v>67425.927380710898</v>
      </c>
      <c r="HS72">
        <v>1856.9176810043036</v>
      </c>
      <c r="HT72">
        <v>8865.2633534784545</v>
      </c>
      <c r="HU72">
        <v>1715.5489655172414</v>
      </c>
      <c r="HV72">
        <v>12437.73</v>
      </c>
      <c r="HW72">
        <v>58560.664027232451</v>
      </c>
      <c r="HY72">
        <v>46117</v>
      </c>
      <c r="HZ72">
        <v>159204.95763575286</v>
      </c>
      <c r="IA72">
        <v>1616.2754133320259</v>
      </c>
      <c r="IB72">
        <v>7104.0263108059053</v>
      </c>
      <c r="IC72">
        <v>1395.248275862069</v>
      </c>
      <c r="ID72">
        <v>10115.549999999999</v>
      </c>
      <c r="IE72">
        <v>152100.93132494696</v>
      </c>
      <c r="KC72" s="3">
        <v>46114</v>
      </c>
      <c r="KD72" s="9">
        <v>12123415.106403813</v>
      </c>
      <c r="KE72" s="9">
        <v>257818.85749128059</v>
      </c>
      <c r="KF72" s="9">
        <v>449311.08216533466</v>
      </c>
      <c r="KG72" s="9">
        <v>28498.612068965536</v>
      </c>
      <c r="KH72" s="9">
        <v>83707.190344827599</v>
      </c>
      <c r="KI72" s="9">
        <v>820270.73000167357</v>
      </c>
      <c r="KJ72" s="9">
        <v>11702602.636307444</v>
      </c>
    </row>
    <row r="73" spans="1:304" x14ac:dyDescent="0.3">
      <c r="A73">
        <v>46157</v>
      </c>
      <c r="B73">
        <v>258674.45451792495</v>
      </c>
      <c r="C73">
        <v>5604.6131812217072</v>
      </c>
      <c r="D73">
        <v>6566.9730256748453</v>
      </c>
      <c r="E73">
        <v>1878.1982758620693</v>
      </c>
      <c r="F73">
        <v>1947.4537931034488</v>
      </c>
      <c r="G73">
        <v>14119.04</v>
      </c>
      <c r="H73">
        <v>253985.67976811217</v>
      </c>
      <c r="J73">
        <v>46157</v>
      </c>
      <c r="K73">
        <v>342236.63039660506</v>
      </c>
      <c r="L73">
        <v>7415.1269919264432</v>
      </c>
      <c r="M73">
        <v>9102.5454218666582</v>
      </c>
      <c r="N73">
        <v>4149.3017241379312</v>
      </c>
      <c r="O73">
        <v>2642.8275862068972</v>
      </c>
      <c r="P73">
        <v>19160.5</v>
      </c>
      <c r="Q73">
        <v>337283.38669887633</v>
      </c>
      <c r="S73">
        <v>46157</v>
      </c>
      <c r="T73">
        <v>136936.56685456118</v>
      </c>
      <c r="U73">
        <v>2966.9589485154925</v>
      </c>
      <c r="V73">
        <v>4858.4117411396801</v>
      </c>
      <c r="W73">
        <v>2856.7844827586209</v>
      </c>
      <c r="X73">
        <v>1252.0593103448275</v>
      </c>
      <c r="Y73">
        <v>9077.43</v>
      </c>
      <c r="Z73">
        <v>134934.93959618011</v>
      </c>
      <c r="AB73">
        <v>46157</v>
      </c>
      <c r="AC73">
        <v>2199710.121497741</v>
      </c>
      <c r="AD73">
        <v>47660.385965784386</v>
      </c>
      <c r="AE73">
        <v>44568.795068698382</v>
      </c>
      <c r="AF73">
        <v>4696.508620689664</v>
      </c>
      <c r="AG73">
        <v>14756.668965517243</v>
      </c>
      <c r="AH73">
        <v>106985.85</v>
      </c>
      <c r="AI73">
        <v>2159837.8350497321</v>
      </c>
      <c r="AK73">
        <v>46157</v>
      </c>
      <c r="AL73">
        <v>1218410.5676847866</v>
      </c>
      <c r="AM73">
        <v>26398.895633170378</v>
      </c>
      <c r="AN73">
        <v>22087.966435795137</v>
      </c>
      <c r="AO73">
        <v>0</v>
      </c>
      <c r="AP73">
        <v>7757.8979310344848</v>
      </c>
      <c r="AQ73">
        <v>56244.76</v>
      </c>
      <c r="AR73">
        <v>1196322.6012489914</v>
      </c>
      <c r="AT73">
        <v>46157</v>
      </c>
      <c r="AU73">
        <v>1104822.7110382132</v>
      </c>
      <c r="AV73">
        <v>23937.825405827953</v>
      </c>
      <c r="AW73">
        <v>22947.200456241011</v>
      </c>
      <c r="AX73">
        <v>2921.0172413793107</v>
      </c>
      <c r="AY73">
        <v>7501.6041379310354</v>
      </c>
      <c r="AZ73">
        <v>54386.63</v>
      </c>
      <c r="BA73">
        <v>1084796.5278233516</v>
      </c>
      <c r="BC73">
        <v>46157</v>
      </c>
      <c r="BD73">
        <v>499766.0492964841</v>
      </c>
      <c r="BE73">
        <v>10828.264401423825</v>
      </c>
      <c r="BF73">
        <v>10469.916633058934</v>
      </c>
      <c r="BG73">
        <v>1411.0775862068965</v>
      </c>
      <c r="BH73">
        <v>3407.7089655172417</v>
      </c>
      <c r="BI73">
        <v>24705.89</v>
      </c>
      <c r="BJ73">
        <v>490707.21024963207</v>
      </c>
      <c r="BL73">
        <v>46157</v>
      </c>
      <c r="BM73">
        <v>990969.31901139708</v>
      </c>
      <c r="BN73">
        <v>21471.001911913605</v>
      </c>
      <c r="BO73">
        <v>20441.480846707091</v>
      </c>
      <c r="BP73">
        <v>2479.0258620689742</v>
      </c>
      <c r="BQ73">
        <v>6705.9972413793112</v>
      </c>
      <c r="BR73">
        <v>48618.48</v>
      </c>
      <c r="BS73">
        <v>973006.86402675894</v>
      </c>
      <c r="BU73">
        <v>46157</v>
      </c>
      <c r="BV73">
        <v>2082192.1991434996</v>
      </c>
      <c r="BW73">
        <v>45114.16431477583</v>
      </c>
      <c r="BX73">
        <v>42888.870167982794</v>
      </c>
      <c r="BY73">
        <v>5146.8793103448279</v>
      </c>
      <c r="BZ73">
        <v>14080.485517241381</v>
      </c>
      <c r="CA73">
        <v>102083.52</v>
      </c>
      <c r="CB73">
        <v>2044450.2082858616</v>
      </c>
      <c r="CD73">
        <v>46157</v>
      </c>
      <c r="CE73">
        <v>143097.06522355776</v>
      </c>
      <c r="CF73">
        <v>3100.4364131770849</v>
      </c>
      <c r="CG73">
        <v>2090.2101385470528</v>
      </c>
      <c r="CH73">
        <v>0</v>
      </c>
      <c r="CI73">
        <v>830.50344827586218</v>
      </c>
      <c r="CJ73">
        <v>6021.15</v>
      </c>
      <c r="CK73">
        <v>141006.8550850107</v>
      </c>
      <c r="CM73">
        <v>46157</v>
      </c>
      <c r="CN73">
        <v>268619.18269916979</v>
      </c>
      <c r="CO73">
        <v>5820.0822918153453</v>
      </c>
      <c r="CP73">
        <v>3894.8573633570682</v>
      </c>
      <c r="CQ73">
        <v>0</v>
      </c>
      <c r="CR73">
        <v>1554.3903448275864</v>
      </c>
      <c r="CS73">
        <v>11269.33</v>
      </c>
      <c r="CT73">
        <v>264724.3253358127</v>
      </c>
      <c r="CV73">
        <v>46157</v>
      </c>
      <c r="CW73">
        <v>157052.75082232556</v>
      </c>
      <c r="CX73">
        <v>3402.8096011503872</v>
      </c>
      <c r="CY73">
        <v>2451.7335022978891</v>
      </c>
      <c r="CZ73">
        <v>0</v>
      </c>
      <c r="DA73">
        <v>936.72689655172417</v>
      </c>
      <c r="DB73">
        <v>6791.27</v>
      </c>
      <c r="DC73">
        <v>154601.01732002766</v>
      </c>
      <c r="DE73">
        <v>46157</v>
      </c>
      <c r="DF73">
        <v>138455.94346517138</v>
      </c>
      <c r="DG73">
        <v>2999.8787750787133</v>
      </c>
      <c r="DH73">
        <v>2023.4832938868039</v>
      </c>
      <c r="DI73">
        <v>0</v>
      </c>
      <c r="DJ73">
        <v>803.73793103448293</v>
      </c>
      <c r="DK73">
        <v>5827.1</v>
      </c>
      <c r="DL73">
        <v>136432.46017128459</v>
      </c>
      <c r="DN73">
        <v>46157</v>
      </c>
      <c r="DO73">
        <v>127582.91299821332</v>
      </c>
      <c r="DP73">
        <v>2764.2964482946218</v>
      </c>
      <c r="DQ73">
        <v>1867.160448257102</v>
      </c>
      <c r="DR73">
        <v>0</v>
      </c>
      <c r="DS73">
        <v>741.03310344827605</v>
      </c>
      <c r="DT73">
        <v>5372.49</v>
      </c>
      <c r="DU73">
        <v>125715.75254995622</v>
      </c>
      <c r="DW73">
        <v>46157</v>
      </c>
      <c r="DX73">
        <v>585763.0989484936</v>
      </c>
      <c r="DY73">
        <v>12691.533810550694</v>
      </c>
      <c r="DZ73">
        <v>11234.311017035512</v>
      </c>
      <c r="EA73">
        <v>613.81034482758366</v>
      </c>
      <c r="EB73">
        <v>3828.1351724137935</v>
      </c>
      <c r="EC73">
        <v>27753.98</v>
      </c>
      <c r="ED73">
        <v>575142.59827628569</v>
      </c>
      <c r="EF73">
        <v>46157</v>
      </c>
      <c r="EG73">
        <v>936558.04679075524</v>
      </c>
      <c r="EH73">
        <v>20292.091013799694</v>
      </c>
      <c r="EI73">
        <v>19322.219331027893</v>
      </c>
      <c r="EJ73">
        <v>2346.0086206896553</v>
      </c>
      <c r="EK73">
        <v>6338.2896551724143</v>
      </c>
      <c r="EL73">
        <v>45952.6</v>
      </c>
      <c r="EM73">
        <v>919581.8360804168</v>
      </c>
      <c r="GS73">
        <v>46143</v>
      </c>
      <c r="GT73">
        <v>147115.44124174988</v>
      </c>
      <c r="GU73">
        <v>3409.7484281609463</v>
      </c>
      <c r="GV73">
        <v>14895.441227011466</v>
      </c>
      <c r="GW73">
        <v>2928.8303448275869</v>
      </c>
      <c r="GX73">
        <v>21234.02</v>
      </c>
      <c r="GY73">
        <v>132220.00001473841</v>
      </c>
      <c r="HA73">
        <v>46143</v>
      </c>
      <c r="HB73">
        <v>153977.97932461329</v>
      </c>
      <c r="HC73">
        <v>3635.9769647901562</v>
      </c>
      <c r="HD73">
        <v>12501.790276589156</v>
      </c>
      <c r="HE73">
        <v>2582.0427586206906</v>
      </c>
      <c r="HF73">
        <v>18719.810000000001</v>
      </c>
      <c r="HG73">
        <v>141476.18904802413</v>
      </c>
      <c r="HQ73">
        <v>46144</v>
      </c>
      <c r="HR73">
        <v>58560.664027232451</v>
      </c>
      <c r="HS73">
        <v>1612.7673236071714</v>
      </c>
      <c r="HT73">
        <v>9109.4137108755858</v>
      </c>
      <c r="HU73">
        <v>1715.5489655172414</v>
      </c>
      <c r="HV73">
        <v>12437.73</v>
      </c>
      <c r="HW73">
        <v>49451.250316356862</v>
      </c>
      <c r="HY73">
        <v>46147</v>
      </c>
      <c r="HZ73">
        <v>152100.93132494696</v>
      </c>
      <c r="IA73">
        <v>1544.1541475603324</v>
      </c>
      <c r="IB73">
        <v>7176.1475765775986</v>
      </c>
      <c r="IC73">
        <v>1395.248275862069</v>
      </c>
      <c r="ID73">
        <v>10115.549999999999</v>
      </c>
      <c r="IE73">
        <v>144924.78374836934</v>
      </c>
      <c r="KC73" s="3">
        <v>46144</v>
      </c>
      <c r="KD73" s="9">
        <v>11702602.636307444</v>
      </c>
      <c r="KE73" s="9">
        <v>252671.01197254471</v>
      </c>
      <c r="KF73" s="9">
        <v>270498.92768262769</v>
      </c>
      <c r="KG73" s="9">
        <v>28498.612068965536</v>
      </c>
      <c r="KH73" s="9">
        <v>83707.190344827599</v>
      </c>
      <c r="KI73" s="9">
        <v>606877.13000000012</v>
      </c>
      <c r="KJ73" s="9">
        <v>11460602.320693778</v>
      </c>
      <c r="KL73" t="s">
        <v>1191</v>
      </c>
      <c r="KN73">
        <v>88496</v>
      </c>
      <c r="KO73" t="s">
        <v>1192</v>
      </c>
    </row>
    <row r="74" spans="1:304" x14ac:dyDescent="0.3">
      <c r="A74">
        <v>46188</v>
      </c>
      <c r="B74">
        <v>253985.67976811217</v>
      </c>
      <c r="C74">
        <v>5503.0230616424305</v>
      </c>
      <c r="D74">
        <v>6668.563145254122</v>
      </c>
      <c r="E74">
        <v>1878.1982758620693</v>
      </c>
      <c r="F74">
        <v>1947.4537931034488</v>
      </c>
      <c r="G74">
        <v>14119.04</v>
      </c>
      <c r="H74">
        <v>249195.3148987201</v>
      </c>
      <c r="J74">
        <v>46188</v>
      </c>
      <c r="K74">
        <v>337283.38669887633</v>
      </c>
      <c r="L74">
        <v>7307.8067118089875</v>
      </c>
      <c r="M74">
        <v>9209.8657019841139</v>
      </c>
      <c r="N74">
        <v>4149.3017241379312</v>
      </c>
      <c r="O74">
        <v>2642.8275862068972</v>
      </c>
      <c r="P74">
        <v>19160.5</v>
      </c>
      <c r="Q74">
        <v>332222.82272103016</v>
      </c>
      <c r="S74">
        <v>46188</v>
      </c>
      <c r="T74">
        <v>134934.93959618011</v>
      </c>
      <c r="U74">
        <v>2923.5903579172359</v>
      </c>
      <c r="V74">
        <v>4901.7803317379366</v>
      </c>
      <c r="W74">
        <v>2856.7844827586209</v>
      </c>
      <c r="X74">
        <v>1252.0593103448275</v>
      </c>
      <c r="Y74">
        <v>9077.43</v>
      </c>
      <c r="Z74">
        <v>132889.94374720077</v>
      </c>
      <c r="AB74">
        <v>46188</v>
      </c>
      <c r="AC74">
        <v>2159837.8350497321</v>
      </c>
      <c r="AD74">
        <v>46796.486426077528</v>
      </c>
      <c r="AE74">
        <v>45432.69460840524</v>
      </c>
      <c r="AF74">
        <v>4696.508620689664</v>
      </c>
      <c r="AG74">
        <v>14756.668965517243</v>
      </c>
      <c r="AH74">
        <v>106985.85</v>
      </c>
      <c r="AI74">
        <v>2119101.6490620165</v>
      </c>
      <c r="AK74">
        <v>46188</v>
      </c>
      <c r="AL74">
        <v>1196322.6012489914</v>
      </c>
      <c r="AM74">
        <v>25920.32302706148</v>
      </c>
      <c r="AN74">
        <v>22566.53904190403</v>
      </c>
      <c r="AO74">
        <v>0</v>
      </c>
      <c r="AP74">
        <v>7757.8979310344848</v>
      </c>
      <c r="AQ74">
        <v>56244.76</v>
      </c>
      <c r="AR74">
        <v>1173756.0622070874</v>
      </c>
      <c r="AT74">
        <v>46188</v>
      </c>
      <c r="AU74">
        <v>1084796.5278233516</v>
      </c>
      <c r="AV74">
        <v>23503.924769505953</v>
      </c>
      <c r="AW74">
        <v>23381.101092563011</v>
      </c>
      <c r="AX74">
        <v>2921.0172413793107</v>
      </c>
      <c r="AY74">
        <v>7501.6041379310354</v>
      </c>
      <c r="AZ74">
        <v>54386.63</v>
      </c>
      <c r="BA74">
        <v>1064336.4439721678</v>
      </c>
      <c r="BC74">
        <v>46188</v>
      </c>
      <c r="BD74">
        <v>490707.21024963207</v>
      </c>
      <c r="BE74">
        <v>10631.989555408696</v>
      </c>
      <c r="BF74">
        <v>10666.191479074059</v>
      </c>
      <c r="BG74">
        <v>1411.0775862068965</v>
      </c>
      <c r="BH74">
        <v>3407.7089655172417</v>
      </c>
      <c r="BI74">
        <v>24705.89</v>
      </c>
      <c r="BJ74">
        <v>481452.0963567649</v>
      </c>
      <c r="BL74">
        <v>46188</v>
      </c>
      <c r="BM74">
        <v>973006.86402675894</v>
      </c>
      <c r="BN74">
        <v>21081.815387246443</v>
      </c>
      <c r="BO74">
        <v>20830.667371374253</v>
      </c>
      <c r="BP74">
        <v>2479.0258620689742</v>
      </c>
      <c r="BQ74">
        <v>6705.9972413793112</v>
      </c>
      <c r="BR74">
        <v>48618.48</v>
      </c>
      <c r="BS74">
        <v>954655.22251745372</v>
      </c>
      <c r="BU74">
        <v>46188</v>
      </c>
      <c r="BV74">
        <v>2044450.2082858616</v>
      </c>
      <c r="BW74">
        <v>44296.421179527002</v>
      </c>
      <c r="BX74">
        <v>43706.613303231621</v>
      </c>
      <c r="BY74">
        <v>5146.8793103448279</v>
      </c>
      <c r="BZ74">
        <v>14080.485517241381</v>
      </c>
      <c r="CA74">
        <v>102083.52</v>
      </c>
      <c r="CB74">
        <v>2005890.4742929747</v>
      </c>
      <c r="CD74">
        <v>46188</v>
      </c>
      <c r="CE74">
        <v>141006.8550850107</v>
      </c>
      <c r="CF74">
        <v>3055.1485268418987</v>
      </c>
      <c r="CG74">
        <v>2135.498024882239</v>
      </c>
      <c r="CH74">
        <v>0</v>
      </c>
      <c r="CI74">
        <v>830.50344827586218</v>
      </c>
      <c r="CJ74">
        <v>6021.15</v>
      </c>
      <c r="CK74">
        <v>138871.35706012847</v>
      </c>
      <c r="CM74">
        <v>46188</v>
      </c>
      <c r="CN74">
        <v>264724.3253358127</v>
      </c>
      <c r="CO74">
        <v>5735.6937156092754</v>
      </c>
      <c r="CP74">
        <v>3979.2459395631377</v>
      </c>
      <c r="CQ74">
        <v>0</v>
      </c>
      <c r="CR74">
        <v>1554.3903448275864</v>
      </c>
      <c r="CS74">
        <v>11269.33</v>
      </c>
      <c r="CT74">
        <v>260745.07939624955</v>
      </c>
      <c r="CV74">
        <v>46188</v>
      </c>
      <c r="CW74">
        <v>154601.01732002766</v>
      </c>
      <c r="CX74">
        <v>3349.6887086005995</v>
      </c>
      <c r="CY74">
        <v>2504.8543948476768</v>
      </c>
      <c r="CZ74">
        <v>0</v>
      </c>
      <c r="DA74">
        <v>936.72689655172417</v>
      </c>
      <c r="DB74">
        <v>6791.27</v>
      </c>
      <c r="DC74">
        <v>152096.16292517999</v>
      </c>
      <c r="DE74">
        <v>46188</v>
      </c>
      <c r="DF74">
        <v>136432.46017128459</v>
      </c>
      <c r="DG74">
        <v>2956.0366370444995</v>
      </c>
      <c r="DH74">
        <v>2067.3254319210178</v>
      </c>
      <c r="DI74">
        <v>0</v>
      </c>
      <c r="DJ74">
        <v>803.73793103448293</v>
      </c>
      <c r="DK74">
        <v>5827.1</v>
      </c>
      <c r="DL74">
        <v>134365.13473936357</v>
      </c>
      <c r="DN74">
        <v>46188</v>
      </c>
      <c r="DO74">
        <v>125715.75254995622</v>
      </c>
      <c r="DP74">
        <v>2723.8413052490514</v>
      </c>
      <c r="DQ74">
        <v>1907.6155913026723</v>
      </c>
      <c r="DR74">
        <v>0</v>
      </c>
      <c r="DS74">
        <v>741.03310344827605</v>
      </c>
      <c r="DT74">
        <v>5372.49</v>
      </c>
      <c r="DU74">
        <v>123808.13695865354</v>
      </c>
      <c r="DW74">
        <v>46188</v>
      </c>
      <c r="DX74">
        <v>575142.59827628569</v>
      </c>
      <c r="DY74">
        <v>12461.422962652858</v>
      </c>
      <c r="DZ74">
        <v>11464.421864933349</v>
      </c>
      <c r="EA74">
        <v>613.81034482758366</v>
      </c>
      <c r="EB74">
        <v>3828.1351724137935</v>
      </c>
      <c r="EC74">
        <v>27753.98</v>
      </c>
      <c r="ED74">
        <v>564291.98675617995</v>
      </c>
      <c r="EF74">
        <v>46188</v>
      </c>
      <c r="EG74">
        <v>919581.8360804168</v>
      </c>
      <c r="EH74">
        <v>19924.273115075699</v>
      </c>
      <c r="EI74">
        <v>19690.037229751888</v>
      </c>
      <c r="EJ74">
        <v>2346.0086206896553</v>
      </c>
      <c r="EK74">
        <v>6338.2896551724143</v>
      </c>
      <c r="EL74">
        <v>45952.6</v>
      </c>
      <c r="EM74">
        <v>902237.80747135461</v>
      </c>
      <c r="GT74">
        <v>132220.00001473841</v>
      </c>
      <c r="GU74">
        <v>0</v>
      </c>
      <c r="GV74">
        <v>132220.00001473841</v>
      </c>
      <c r="GW74">
        <v>0</v>
      </c>
      <c r="GX74">
        <v>153375.20001709656</v>
      </c>
      <c r="GY74">
        <v>0</v>
      </c>
      <c r="HA74">
        <v>46174</v>
      </c>
      <c r="HB74">
        <v>141476.18904802413</v>
      </c>
      <c r="HC74">
        <v>3340.7644826956489</v>
      </c>
      <c r="HD74">
        <v>12797.002758683662</v>
      </c>
      <c r="HE74">
        <v>2582.0427586206906</v>
      </c>
      <c r="HF74">
        <v>18719.810000000001</v>
      </c>
      <c r="HG74">
        <v>128679.18628934046</v>
      </c>
      <c r="HQ74">
        <v>46175</v>
      </c>
      <c r="HR74">
        <v>49451.250316356862</v>
      </c>
      <c r="HS74">
        <v>1361.8930376993585</v>
      </c>
      <c r="HT74">
        <v>9360.2879967833978</v>
      </c>
      <c r="HU74">
        <v>1715.5489655172414</v>
      </c>
      <c r="HV74">
        <v>12437.73</v>
      </c>
      <c r="HW74">
        <v>40090.96231957346</v>
      </c>
      <c r="HY74">
        <v>46178</v>
      </c>
      <c r="HZ74">
        <v>144924.78374836934</v>
      </c>
      <c r="IA74">
        <v>1471.3006946106996</v>
      </c>
      <c r="IB74">
        <v>7249.0010295272323</v>
      </c>
      <c r="IC74">
        <v>1395.248275862069</v>
      </c>
      <c r="ID74">
        <v>10115.549999999999</v>
      </c>
      <c r="IE74">
        <v>137675.78271884212</v>
      </c>
      <c r="KC74" s="3">
        <v>46175</v>
      </c>
      <c r="KD74" s="9">
        <v>11460602.320693778</v>
      </c>
      <c r="KE74" s="9">
        <v>244345.44366227533</v>
      </c>
      <c r="KF74" s="9">
        <v>392739.30635246303</v>
      </c>
      <c r="KG74" s="9">
        <v>28498.612068965536</v>
      </c>
      <c r="KH74" s="9">
        <v>80778.360000000015</v>
      </c>
      <c r="KI74" s="9">
        <v>739018.31001709669</v>
      </c>
      <c r="KJ74" s="9">
        <v>11096361.626410283</v>
      </c>
      <c r="KL74" t="s">
        <v>1231</v>
      </c>
      <c r="KM74" t="s">
        <v>1235</v>
      </c>
      <c r="KO74" t="s">
        <v>1233</v>
      </c>
      <c r="KP74" t="s">
        <v>1247</v>
      </c>
      <c r="KR74" t="s">
        <v>1293</v>
      </c>
    </row>
    <row r="75" spans="1:304" x14ac:dyDescent="0.3">
      <c r="A75">
        <v>46218</v>
      </c>
      <c r="B75">
        <v>249195.3148987201</v>
      </c>
      <c r="C75">
        <v>5399.231822805602</v>
      </c>
      <c r="D75">
        <v>6772.3543840909506</v>
      </c>
      <c r="E75">
        <v>1878.1982758620693</v>
      </c>
      <c r="F75">
        <v>1947.4537931034488</v>
      </c>
      <c r="G75">
        <v>14119.04</v>
      </c>
      <c r="H75">
        <v>244301.1587904912</v>
      </c>
      <c r="J75">
        <v>46218</v>
      </c>
      <c r="K75">
        <v>332222.82272103016</v>
      </c>
      <c r="L75">
        <v>7198.1611589556533</v>
      </c>
      <c r="M75">
        <v>9319.5112548374491</v>
      </c>
      <c r="N75">
        <v>4149.3017241379312</v>
      </c>
      <c r="O75">
        <v>2642.8275862068972</v>
      </c>
      <c r="P75">
        <v>19160.5</v>
      </c>
      <c r="Q75">
        <v>327052.61319033062</v>
      </c>
      <c r="S75">
        <v>46218</v>
      </c>
      <c r="T75">
        <v>132889.94374720077</v>
      </c>
      <c r="U75">
        <v>2879.2821145226835</v>
      </c>
      <c r="V75">
        <v>4946.0885751324886</v>
      </c>
      <c r="W75">
        <v>2856.7844827586209</v>
      </c>
      <c r="X75">
        <v>1252.0593103448275</v>
      </c>
      <c r="Y75">
        <v>9077.43</v>
      </c>
      <c r="Z75">
        <v>130800.63965482693</v>
      </c>
      <c r="AB75">
        <v>46218</v>
      </c>
      <c r="AC75">
        <v>2119101.6490620165</v>
      </c>
      <c r="AD75">
        <v>45913.869063010359</v>
      </c>
      <c r="AE75">
        <v>46315.311971472409</v>
      </c>
      <c r="AF75">
        <v>4696.508620689664</v>
      </c>
      <c r="AG75">
        <v>14756.668965517243</v>
      </c>
      <c r="AH75">
        <v>106985.85</v>
      </c>
      <c r="AI75">
        <v>2077482.8457112336</v>
      </c>
      <c r="AK75">
        <v>46218</v>
      </c>
      <c r="AL75">
        <v>1173756.0622070874</v>
      </c>
      <c r="AM75">
        <v>25431.381347820228</v>
      </c>
      <c r="AN75">
        <v>23055.480721145286</v>
      </c>
      <c r="AO75">
        <v>0</v>
      </c>
      <c r="AP75">
        <v>7757.8979310344848</v>
      </c>
      <c r="AQ75">
        <v>56244.76</v>
      </c>
      <c r="AR75">
        <v>1150700.581485942</v>
      </c>
      <c r="AT75">
        <v>46218</v>
      </c>
      <c r="AU75">
        <v>1064336.4439721678</v>
      </c>
      <c r="AV75">
        <v>23060.622952730304</v>
      </c>
      <c r="AW75">
        <v>23824.40290933866</v>
      </c>
      <c r="AX75">
        <v>2921.0172413793107</v>
      </c>
      <c r="AY75">
        <v>7501.6041379310354</v>
      </c>
      <c r="AZ75">
        <v>54386.63</v>
      </c>
      <c r="BA75">
        <v>1043433.0583042084</v>
      </c>
      <c r="BC75">
        <v>46218</v>
      </c>
      <c r="BD75">
        <v>481452.0963567649</v>
      </c>
      <c r="BE75">
        <v>10431.462087729906</v>
      </c>
      <c r="BF75">
        <v>10866.718946752851</v>
      </c>
      <c r="BG75">
        <v>1411.0775862068965</v>
      </c>
      <c r="BH75">
        <v>3407.7089655172417</v>
      </c>
      <c r="BI75">
        <v>24705.89</v>
      </c>
      <c r="BJ75">
        <v>471996.45499621896</v>
      </c>
      <c r="BL75">
        <v>46218</v>
      </c>
      <c r="BM75">
        <v>954655.22251745372</v>
      </c>
      <c r="BN75">
        <v>20684.196487878165</v>
      </c>
      <c r="BO75">
        <v>21228.28627074253</v>
      </c>
      <c r="BP75">
        <v>2479.0258620689742</v>
      </c>
      <c r="BQ75">
        <v>6705.9972413793112</v>
      </c>
      <c r="BR75">
        <v>48618.48</v>
      </c>
      <c r="BS75">
        <v>935905.96210878016</v>
      </c>
      <c r="BU75">
        <v>46218</v>
      </c>
      <c r="BV75">
        <v>2005890.4742929747</v>
      </c>
      <c r="BW75">
        <v>43460.960276347789</v>
      </c>
      <c r="BX75">
        <v>44542.074206410834</v>
      </c>
      <c r="BY75">
        <v>5146.8793103448279</v>
      </c>
      <c r="BZ75">
        <v>14080.485517241381</v>
      </c>
      <c r="CA75">
        <v>102083.52</v>
      </c>
      <c r="CB75">
        <v>1966495.2793969088</v>
      </c>
      <c r="CD75">
        <v>46218</v>
      </c>
      <c r="CE75">
        <v>138871.35706012847</v>
      </c>
      <c r="CF75">
        <v>3008.8794029694504</v>
      </c>
      <c r="CG75">
        <v>2181.7671487546872</v>
      </c>
      <c r="CH75">
        <v>0</v>
      </c>
      <c r="CI75">
        <v>830.50344827586218</v>
      </c>
      <c r="CJ75">
        <v>6021.15</v>
      </c>
      <c r="CK75">
        <v>136689.5899113738</v>
      </c>
      <c r="CM75">
        <v>46218</v>
      </c>
      <c r="CN75">
        <v>260745.07939624955</v>
      </c>
      <c r="CO75">
        <v>5649.4767202520734</v>
      </c>
      <c r="CP75">
        <v>4065.4629349203392</v>
      </c>
      <c r="CQ75">
        <v>0</v>
      </c>
      <c r="CR75">
        <v>1554.3903448275864</v>
      </c>
      <c r="CS75">
        <v>11269.33</v>
      </c>
      <c r="CT75">
        <v>256679.61646132919</v>
      </c>
      <c r="CV75">
        <v>46218</v>
      </c>
      <c r="CW75">
        <v>152096.16292517999</v>
      </c>
      <c r="CX75">
        <v>3295.4168633789</v>
      </c>
      <c r="CY75">
        <v>2559.1262400693763</v>
      </c>
      <c r="CZ75">
        <v>0</v>
      </c>
      <c r="DA75">
        <v>936.72689655172417</v>
      </c>
      <c r="DB75">
        <v>6791.27</v>
      </c>
      <c r="DC75">
        <v>149537.03668511062</v>
      </c>
      <c r="DE75">
        <v>46218</v>
      </c>
      <c r="DF75">
        <v>134365.13473936357</v>
      </c>
      <c r="DG75">
        <v>2911.2445860195439</v>
      </c>
      <c r="DH75">
        <v>2112.1174829459733</v>
      </c>
      <c r="DI75">
        <v>0</v>
      </c>
      <c r="DJ75">
        <v>803.73793103448293</v>
      </c>
      <c r="DK75">
        <v>5827.1</v>
      </c>
      <c r="DL75">
        <v>132253.0172564176</v>
      </c>
      <c r="DN75">
        <v>46218</v>
      </c>
      <c r="DO75">
        <v>123808.13695865354</v>
      </c>
      <c r="DP75">
        <v>2682.5096341041603</v>
      </c>
      <c r="DQ75">
        <v>1948.9472624475632</v>
      </c>
      <c r="DR75">
        <v>0</v>
      </c>
      <c r="DS75">
        <v>741.03310344827605</v>
      </c>
      <c r="DT75">
        <v>5372.49</v>
      </c>
      <c r="DU75">
        <v>121859.18969620598</v>
      </c>
      <c r="DW75">
        <v>46218</v>
      </c>
      <c r="DX75">
        <v>564291.98675617995</v>
      </c>
      <c r="DY75">
        <v>12226.326379717231</v>
      </c>
      <c r="DZ75">
        <v>11699.518447868972</v>
      </c>
      <c r="EA75">
        <v>613.81034482758366</v>
      </c>
      <c r="EB75">
        <v>3828.1351724137935</v>
      </c>
      <c r="EC75">
        <v>27753.98</v>
      </c>
      <c r="ED75">
        <v>553206.27865313855</v>
      </c>
      <c r="EF75">
        <v>46218</v>
      </c>
      <c r="EG75">
        <v>902237.80747135461</v>
      </c>
      <c r="EH75">
        <v>19548.485828546018</v>
      </c>
      <c r="EI75">
        <v>20065.824516281573</v>
      </c>
      <c r="EJ75">
        <v>2346.0086206896553</v>
      </c>
      <c r="EK75">
        <v>6338.2896551724143</v>
      </c>
      <c r="EL75">
        <v>45952.6</v>
      </c>
      <c r="EM75">
        <v>884517.99157576251</v>
      </c>
      <c r="HA75">
        <v>46204</v>
      </c>
      <c r="HB75">
        <v>128679.18628934046</v>
      </c>
      <c r="HC75">
        <v>3038.5809662407596</v>
      </c>
      <c r="HD75">
        <v>13099.186275138552</v>
      </c>
      <c r="HE75">
        <v>2582.0427586206906</v>
      </c>
      <c r="HF75">
        <v>18719.810000000001</v>
      </c>
      <c r="HG75">
        <v>115580.00001420193</v>
      </c>
      <c r="HQ75">
        <v>46205</v>
      </c>
      <c r="HR75">
        <v>40090.96231957346</v>
      </c>
      <c r="HS75">
        <v>1104.1096455277018</v>
      </c>
      <c r="HT75">
        <v>9618.0713889550552</v>
      </c>
      <c r="HU75">
        <v>1715.5489655172414</v>
      </c>
      <c r="HV75">
        <v>12437.73</v>
      </c>
      <c r="HW75">
        <v>30472.890930618407</v>
      </c>
      <c r="HY75">
        <v>46208</v>
      </c>
      <c r="HZ75">
        <v>137675.78271884212</v>
      </c>
      <c r="IA75">
        <v>1397.7076211961803</v>
      </c>
      <c r="IB75">
        <v>7322.59410294175</v>
      </c>
      <c r="IC75">
        <v>1395.248275862069</v>
      </c>
      <c r="ID75">
        <v>10115.549999999999</v>
      </c>
      <c r="IE75">
        <v>130353.18861590038</v>
      </c>
      <c r="KC75" s="3">
        <v>46205</v>
      </c>
      <c r="KD75" s="9">
        <v>11096361.626410283</v>
      </c>
      <c r="KE75" s="9">
        <v>239321.90495975269</v>
      </c>
      <c r="KF75" s="9">
        <v>265542.84504024725</v>
      </c>
      <c r="KG75" s="9">
        <v>28498.612068965536</v>
      </c>
      <c r="KH75" s="9">
        <v>80778.360000000015</v>
      </c>
      <c r="KI75" s="9">
        <v>585643.1100000001</v>
      </c>
      <c r="KJ75" s="9">
        <v>10859317.393439</v>
      </c>
      <c r="KL75" t="s">
        <v>1263</v>
      </c>
      <c r="KM75">
        <v>176015.1</v>
      </c>
      <c r="KN75" t="s">
        <v>1264</v>
      </c>
      <c r="KO75" t="s">
        <v>1265</v>
      </c>
      <c r="KP75">
        <v>60</v>
      </c>
      <c r="KQ75" t="s">
        <v>1266</v>
      </c>
    </row>
    <row r="76" spans="1:304" x14ac:dyDescent="0.3">
      <c r="A76">
        <v>46249</v>
      </c>
      <c r="B76">
        <v>244301.1587904912</v>
      </c>
      <c r="C76">
        <v>5293.1917737939766</v>
      </c>
      <c r="D76">
        <v>6878.3944331025759</v>
      </c>
      <c r="E76">
        <v>1878.1982758620693</v>
      </c>
      <c r="F76">
        <v>1947.4537931034488</v>
      </c>
      <c r="G76">
        <v>14119.04</v>
      </c>
      <c r="H76">
        <v>239300.96263325069</v>
      </c>
      <c r="J76">
        <v>46249</v>
      </c>
      <c r="K76">
        <v>327052.61319033062</v>
      </c>
      <c r="L76">
        <v>7086.1399524571634</v>
      </c>
      <c r="M76">
        <v>9431.5324613359371</v>
      </c>
      <c r="N76">
        <v>4149.3017241379312</v>
      </c>
      <c r="O76">
        <v>2642.8275862068972</v>
      </c>
      <c r="P76">
        <v>19160.5</v>
      </c>
      <c r="Q76">
        <v>321770.3824531326</v>
      </c>
      <c r="S76">
        <v>46249</v>
      </c>
      <c r="T76">
        <v>130800.63965482693</v>
      </c>
      <c r="U76">
        <v>2834.0138591879163</v>
      </c>
      <c r="V76">
        <v>4991.3568304672553</v>
      </c>
      <c r="W76">
        <v>2856.7844827586209</v>
      </c>
      <c r="X76">
        <v>1252.0593103448275</v>
      </c>
      <c r="Y76">
        <v>9077.43</v>
      </c>
      <c r="Z76">
        <v>128666.06730711828</v>
      </c>
      <c r="AB76">
        <v>46249</v>
      </c>
      <c r="AC76">
        <v>2077482.8457112336</v>
      </c>
      <c r="AD76">
        <v>45012.128323743411</v>
      </c>
      <c r="AE76">
        <v>47217.052710739365</v>
      </c>
      <c r="AF76">
        <v>4696.508620689664</v>
      </c>
      <c r="AG76">
        <v>14756.668965517243</v>
      </c>
      <c r="AH76">
        <v>106985.85</v>
      </c>
      <c r="AI76">
        <v>2034962.301621184</v>
      </c>
      <c r="AK76">
        <v>46249</v>
      </c>
      <c r="AL76">
        <v>1150700.581485942</v>
      </c>
      <c r="AM76">
        <v>24931.845932195411</v>
      </c>
      <c r="AN76">
        <v>23555.016136770104</v>
      </c>
      <c r="AO76">
        <v>0</v>
      </c>
      <c r="AP76">
        <v>7757.8979310344848</v>
      </c>
      <c r="AQ76">
        <v>56244.76</v>
      </c>
      <c r="AR76">
        <v>1127145.5653491721</v>
      </c>
      <c r="AT76">
        <v>46249</v>
      </c>
      <c r="AU76">
        <v>1043433.0583042084</v>
      </c>
      <c r="AV76">
        <v>22607.716263257851</v>
      </c>
      <c r="AW76">
        <v>24277.309598811113</v>
      </c>
      <c r="AX76">
        <v>2921.0172413793107</v>
      </c>
      <c r="AY76">
        <v>7501.6041379310354</v>
      </c>
      <c r="AZ76">
        <v>54386.63</v>
      </c>
      <c r="BA76">
        <v>1022076.7659467768</v>
      </c>
      <c r="BC76">
        <v>46249</v>
      </c>
      <c r="BD76">
        <v>471996.45499621896</v>
      </c>
      <c r="BE76">
        <v>10226.589858251413</v>
      </c>
      <c r="BF76">
        <v>11071.591176231346</v>
      </c>
      <c r="BG76">
        <v>1411.0775862068965</v>
      </c>
      <c r="BH76">
        <v>3407.7089655172417</v>
      </c>
      <c r="BI76">
        <v>24705.89</v>
      </c>
      <c r="BJ76">
        <v>462335.94140619459</v>
      </c>
      <c r="BL76">
        <v>46249</v>
      </c>
      <c r="BM76">
        <v>935905.96210878016</v>
      </c>
      <c r="BN76">
        <v>20277.962512356906</v>
      </c>
      <c r="BO76">
        <v>21634.52024626379</v>
      </c>
      <c r="BP76">
        <v>2479.0258620689742</v>
      </c>
      <c r="BQ76">
        <v>6705.9972413793112</v>
      </c>
      <c r="BR76">
        <v>48618.48</v>
      </c>
      <c r="BS76">
        <v>916750.46772458532</v>
      </c>
      <c r="BU76">
        <v>46249</v>
      </c>
      <c r="BV76">
        <v>1966495.2793969088</v>
      </c>
      <c r="BW76">
        <v>42607.397720266359</v>
      </c>
      <c r="BX76">
        <v>45395.636762492264</v>
      </c>
      <c r="BY76">
        <v>5146.8793103448279</v>
      </c>
      <c r="BZ76">
        <v>14080.485517241381</v>
      </c>
      <c r="CA76">
        <v>102083.52</v>
      </c>
      <c r="CB76">
        <v>1926246.5219447613</v>
      </c>
      <c r="CD76">
        <v>46249</v>
      </c>
      <c r="CE76">
        <v>136689.5899113738</v>
      </c>
      <c r="CF76">
        <v>2961.607781413099</v>
      </c>
      <c r="CG76">
        <v>2229.0387703110387</v>
      </c>
      <c r="CH76">
        <v>0</v>
      </c>
      <c r="CI76">
        <v>830.50344827586218</v>
      </c>
      <c r="CJ76">
        <v>6021.15</v>
      </c>
      <c r="CK76">
        <v>134460.55114106275</v>
      </c>
      <c r="CM76">
        <v>46249</v>
      </c>
      <c r="CN76">
        <v>256679.61646132919</v>
      </c>
      <c r="CO76">
        <v>5561.3916899954665</v>
      </c>
      <c r="CP76">
        <v>4153.5479651769465</v>
      </c>
      <c r="CQ76">
        <v>0</v>
      </c>
      <c r="CR76">
        <v>1554.3903448275864</v>
      </c>
      <c r="CS76">
        <v>11269.33</v>
      </c>
      <c r="CT76">
        <v>252526.06849615223</v>
      </c>
      <c r="CV76">
        <v>46249</v>
      </c>
      <c r="CW76">
        <v>149537.03668511062</v>
      </c>
      <c r="CX76">
        <v>3239.9691281773971</v>
      </c>
      <c r="CY76">
        <v>2614.5739752708791</v>
      </c>
      <c r="CZ76">
        <v>0</v>
      </c>
      <c r="DA76">
        <v>936.72689655172417</v>
      </c>
      <c r="DB76">
        <v>6791.27</v>
      </c>
      <c r="DC76">
        <v>146922.46270983975</v>
      </c>
      <c r="DE76">
        <v>46249</v>
      </c>
      <c r="DF76">
        <v>132253.0172564176</v>
      </c>
      <c r="DG76">
        <v>2865.4820405557148</v>
      </c>
      <c r="DH76">
        <v>2157.8800284098024</v>
      </c>
      <c r="DI76">
        <v>0</v>
      </c>
      <c r="DJ76">
        <v>803.73793103448293</v>
      </c>
      <c r="DK76">
        <v>5827.1</v>
      </c>
      <c r="DL76">
        <v>130095.13722800781</v>
      </c>
      <c r="DN76">
        <v>46249</v>
      </c>
      <c r="DO76">
        <v>121859.18969620598</v>
      </c>
      <c r="DP76">
        <v>2640.2824434177965</v>
      </c>
      <c r="DQ76">
        <v>1991.1744531339273</v>
      </c>
      <c r="DR76">
        <v>0</v>
      </c>
      <c r="DS76">
        <v>741.03310344827605</v>
      </c>
      <c r="DT76">
        <v>5372.49</v>
      </c>
      <c r="DU76">
        <v>119868.01524307206</v>
      </c>
      <c r="DW76">
        <v>46249</v>
      </c>
      <c r="DX76">
        <v>553206.27865313855</v>
      </c>
      <c r="DY76">
        <v>11986.136037484668</v>
      </c>
      <c r="DZ76">
        <v>11939.708790101538</v>
      </c>
      <c r="EA76">
        <v>613.81034482758366</v>
      </c>
      <c r="EB76">
        <v>3828.1351724137935</v>
      </c>
      <c r="EC76">
        <v>27753.98</v>
      </c>
      <c r="ED76">
        <v>541880.38020786457</v>
      </c>
      <c r="EF76">
        <v>46249</v>
      </c>
      <c r="EG76">
        <v>884517.99157576251</v>
      </c>
      <c r="EH76">
        <v>19164.556484141522</v>
      </c>
      <c r="EI76">
        <v>20449.753860686065</v>
      </c>
      <c r="EJ76">
        <v>2346.0086206896553</v>
      </c>
      <c r="EK76">
        <v>6338.2896551724143</v>
      </c>
      <c r="EL76">
        <v>45952.6</v>
      </c>
      <c r="EM76">
        <v>866414.24633576605</v>
      </c>
      <c r="HB76">
        <v>115580.00001420193</v>
      </c>
      <c r="HC76">
        <v>0</v>
      </c>
      <c r="HD76">
        <v>115580.00001420193</v>
      </c>
      <c r="HE76">
        <v>0</v>
      </c>
      <c r="HF76">
        <v>134072.80001647421</v>
      </c>
      <c r="HG76">
        <v>0</v>
      </c>
      <c r="HQ76">
        <v>46236</v>
      </c>
      <c r="HR76">
        <v>30472.890930618407</v>
      </c>
      <c r="HS76">
        <v>839.22686952273125</v>
      </c>
      <c r="HT76">
        <v>9882.9541649600269</v>
      </c>
      <c r="HU76">
        <v>1715.5489655172414</v>
      </c>
      <c r="HV76">
        <v>12437.73</v>
      </c>
      <c r="HW76">
        <v>20589.936765658374</v>
      </c>
      <c r="HY76">
        <v>46239</v>
      </c>
      <c r="HZ76">
        <v>130353.18861590038</v>
      </c>
      <c r="IA76">
        <v>1323.3674185658513</v>
      </c>
      <c r="IB76">
        <v>7396.9343055720801</v>
      </c>
      <c r="IC76">
        <v>1395.248275862069</v>
      </c>
      <c r="ID76">
        <v>10115.549999999999</v>
      </c>
      <c r="IE76">
        <v>122956.2543103283</v>
      </c>
      <c r="KC76" s="3">
        <v>46236</v>
      </c>
      <c r="KD76" s="9">
        <v>10859317.393439</v>
      </c>
      <c r="KE76" s="9">
        <v>231459.00608878463</v>
      </c>
      <c r="KF76" s="9">
        <v>372847.976684038</v>
      </c>
      <c r="KG76" s="9">
        <v>28498.612068965536</v>
      </c>
      <c r="KH76" s="9">
        <v>78196.317241379322</v>
      </c>
      <c r="KI76" s="9">
        <v>700996.10001647426</v>
      </c>
      <c r="KJ76" s="9">
        <v>10514968.028823929</v>
      </c>
      <c r="KL76" t="s">
        <v>1267</v>
      </c>
      <c r="KM76">
        <v>0</v>
      </c>
      <c r="KN76" t="s">
        <v>1264</v>
      </c>
      <c r="KO76" t="s">
        <v>1268</v>
      </c>
      <c r="KP76">
        <v>5827.1</v>
      </c>
      <c r="KQ76" t="s">
        <v>1269</v>
      </c>
    </row>
    <row r="77" spans="1:304" x14ac:dyDescent="0.3">
      <c r="A77">
        <v>46280</v>
      </c>
      <c r="B77">
        <v>239300.96263325069</v>
      </c>
      <c r="C77">
        <v>5184.8541903870982</v>
      </c>
      <c r="D77">
        <v>6986.7320165094543</v>
      </c>
      <c r="E77">
        <v>1878.1982758620693</v>
      </c>
      <c r="F77">
        <v>1947.4537931034488</v>
      </c>
      <c r="G77">
        <v>14119.04</v>
      </c>
      <c r="H77">
        <v>234192.42889260329</v>
      </c>
      <c r="J77">
        <v>46280</v>
      </c>
      <c r="K77">
        <v>321770.3824531326</v>
      </c>
      <c r="L77">
        <v>6971.6916198178733</v>
      </c>
      <c r="M77">
        <v>9545.9807939752282</v>
      </c>
      <c r="N77">
        <v>4149.3017241379312</v>
      </c>
      <c r="O77">
        <v>2642.8275862068972</v>
      </c>
      <c r="P77">
        <v>19160.5</v>
      </c>
      <c r="Q77">
        <v>316373.70338329527</v>
      </c>
      <c r="S77">
        <v>46280</v>
      </c>
      <c r="T77">
        <v>128666.06730711828</v>
      </c>
      <c r="U77">
        <v>2787.7647916542296</v>
      </c>
      <c r="V77">
        <v>5037.605898000942</v>
      </c>
      <c r="W77">
        <v>2856.7844827586209</v>
      </c>
      <c r="X77">
        <v>1252.0593103448275</v>
      </c>
      <c r="Y77">
        <v>9077.43</v>
      </c>
      <c r="Z77">
        <v>126485.24589187597</v>
      </c>
      <c r="AB77">
        <v>46280</v>
      </c>
      <c r="AC77">
        <v>2034962.301621184</v>
      </c>
      <c r="AD77">
        <v>44090.849868458987</v>
      </c>
      <c r="AE77">
        <v>48138.331166023781</v>
      </c>
      <c r="AF77">
        <v>4696.508620689664</v>
      </c>
      <c r="AG77">
        <v>14756.668965517243</v>
      </c>
      <c r="AH77">
        <v>106985.85</v>
      </c>
      <c r="AI77">
        <v>1991520.4790758495</v>
      </c>
      <c r="AK77">
        <v>46280</v>
      </c>
      <c r="AL77">
        <v>1127145.5653491721</v>
      </c>
      <c r="AM77">
        <v>24421.487249232057</v>
      </c>
      <c r="AN77">
        <v>24065.374819733457</v>
      </c>
      <c r="AO77">
        <v>0</v>
      </c>
      <c r="AP77">
        <v>7757.8979310344848</v>
      </c>
      <c r="AQ77">
        <v>56244.76</v>
      </c>
      <c r="AR77">
        <v>1103080.1905294384</v>
      </c>
      <c r="AT77">
        <v>46280</v>
      </c>
      <c r="AU77">
        <v>1022076.7659467768</v>
      </c>
      <c r="AV77">
        <v>22144.996595513498</v>
      </c>
      <c r="AW77">
        <v>24740.029266555463</v>
      </c>
      <c r="AX77">
        <v>2921.0172413793107</v>
      </c>
      <c r="AY77">
        <v>7501.6041379310354</v>
      </c>
      <c r="AZ77">
        <v>54386.63</v>
      </c>
      <c r="BA77">
        <v>1000257.7539216006</v>
      </c>
      <c r="BC77">
        <v>46280</v>
      </c>
      <c r="BD77">
        <v>462335.94140619459</v>
      </c>
      <c r="BE77">
        <v>10017.278730467548</v>
      </c>
      <c r="BF77">
        <v>11280.90230401521</v>
      </c>
      <c r="BG77">
        <v>1411.0775862068965</v>
      </c>
      <c r="BH77">
        <v>3407.7089655172417</v>
      </c>
      <c r="BI77">
        <v>24705.89</v>
      </c>
      <c r="BJ77">
        <v>452466.11668838625</v>
      </c>
      <c r="BL77">
        <v>46280</v>
      </c>
      <c r="BM77">
        <v>916750.46772458532</v>
      </c>
      <c r="BN77">
        <v>19862.926800699348</v>
      </c>
      <c r="BO77">
        <v>22049.555957921348</v>
      </c>
      <c r="BP77">
        <v>2479.0258620689742</v>
      </c>
      <c r="BQ77">
        <v>6705.9972413793112</v>
      </c>
      <c r="BR77">
        <v>48618.48</v>
      </c>
      <c r="BS77">
        <v>897179.93762873299</v>
      </c>
      <c r="BU77">
        <v>46280</v>
      </c>
      <c r="BV77">
        <v>1926246.5219447613</v>
      </c>
      <c r="BW77">
        <v>41735.341308803159</v>
      </c>
      <c r="BX77">
        <v>46267.693173955464</v>
      </c>
      <c r="BY77">
        <v>5146.8793103448279</v>
      </c>
      <c r="BZ77">
        <v>14080.485517241381</v>
      </c>
      <c r="CA77">
        <v>102083.52</v>
      </c>
      <c r="CB77">
        <v>1885125.7080811509</v>
      </c>
      <c r="CD77">
        <v>46280</v>
      </c>
      <c r="CE77">
        <v>134460.55114106275</v>
      </c>
      <c r="CF77">
        <v>2913.3119413896929</v>
      </c>
      <c r="CG77">
        <v>2277.3346103344447</v>
      </c>
      <c r="CH77">
        <v>0</v>
      </c>
      <c r="CI77">
        <v>830.50344827586218</v>
      </c>
      <c r="CJ77">
        <v>6021.15</v>
      </c>
      <c r="CK77">
        <v>132183.2165307283</v>
      </c>
      <c r="CM77">
        <v>46280</v>
      </c>
      <c r="CN77">
        <v>252526.06849615223</v>
      </c>
      <c r="CO77">
        <v>5471.3981507499657</v>
      </c>
      <c r="CP77">
        <v>4243.5415044224474</v>
      </c>
      <c r="CQ77">
        <v>0</v>
      </c>
      <c r="CR77">
        <v>1554.3903448275864</v>
      </c>
      <c r="CS77">
        <v>11269.33</v>
      </c>
      <c r="CT77">
        <v>248282.52699172983</v>
      </c>
      <c r="CV77">
        <v>46280</v>
      </c>
      <c r="CW77">
        <v>146922.46270983975</v>
      </c>
      <c r="CX77">
        <v>3183.3200253798618</v>
      </c>
      <c r="CY77">
        <v>2671.2230780684149</v>
      </c>
      <c r="CZ77">
        <v>0</v>
      </c>
      <c r="DA77">
        <v>936.72689655172417</v>
      </c>
      <c r="DB77">
        <v>6791.27</v>
      </c>
      <c r="DC77">
        <v>144251.23963177134</v>
      </c>
      <c r="DE77">
        <v>46280</v>
      </c>
      <c r="DF77">
        <v>130095.13722800781</v>
      </c>
      <c r="DG77">
        <v>2818.7279732735024</v>
      </c>
      <c r="DH77">
        <v>2204.6340956920149</v>
      </c>
      <c r="DI77">
        <v>0</v>
      </c>
      <c r="DJ77">
        <v>803.73793103448293</v>
      </c>
      <c r="DK77">
        <v>5827.1</v>
      </c>
      <c r="DL77">
        <v>127890.5031323158</v>
      </c>
      <c r="DN77">
        <v>46280</v>
      </c>
      <c r="DO77">
        <v>119868.01524307206</v>
      </c>
      <c r="DP77">
        <v>2597.1403302665613</v>
      </c>
      <c r="DQ77">
        <v>2034.3165662851625</v>
      </c>
      <c r="DR77">
        <v>0</v>
      </c>
      <c r="DS77">
        <v>741.03310344827605</v>
      </c>
      <c r="DT77">
        <v>5372.49</v>
      </c>
      <c r="DU77">
        <v>117833.69867678688</v>
      </c>
      <c r="DW77">
        <v>46280</v>
      </c>
      <c r="DX77">
        <v>541880.38020786457</v>
      </c>
      <c r="DY77">
        <v>11740.7415711704</v>
      </c>
      <c r="DZ77">
        <v>12185.103256415809</v>
      </c>
      <c r="EA77">
        <v>613.81034482758366</v>
      </c>
      <c r="EB77">
        <v>3828.1351724137935</v>
      </c>
      <c r="EC77">
        <v>27753.98</v>
      </c>
      <c r="ED77">
        <v>530309.08729627635</v>
      </c>
      <c r="EF77">
        <v>46280</v>
      </c>
      <c r="EG77">
        <v>866414.24633576605</v>
      </c>
      <c r="EH77">
        <v>18772.308670608265</v>
      </c>
      <c r="EI77">
        <v>20842.001674219318</v>
      </c>
      <c r="EJ77">
        <v>2346.0086206896553</v>
      </c>
      <c r="EK77">
        <v>6338.2896551724143</v>
      </c>
      <c r="EL77">
        <v>45952.6</v>
      </c>
      <c r="EM77">
        <v>847918.2532822364</v>
      </c>
      <c r="HQ77">
        <v>46267</v>
      </c>
      <c r="HR77">
        <v>20589.936765658374</v>
      </c>
      <c r="HS77">
        <v>567.04919184915025</v>
      </c>
      <c r="HT77">
        <v>10155.131842633607</v>
      </c>
      <c r="HU77">
        <v>1715.5489655172414</v>
      </c>
      <c r="HV77">
        <v>12437.73</v>
      </c>
      <c r="HW77">
        <v>10434.804923024773</v>
      </c>
      <c r="HZ77">
        <v>122956.2543103283</v>
      </c>
      <c r="IA77">
        <v>0</v>
      </c>
      <c r="IB77">
        <v>122956.2543103283</v>
      </c>
      <c r="IC77">
        <v>0</v>
      </c>
      <c r="ID77">
        <v>0</v>
      </c>
      <c r="IE77">
        <v>0</v>
      </c>
      <c r="KC77" s="3">
        <v>46267</v>
      </c>
      <c r="KD77" s="9">
        <v>10514968.028823929</v>
      </c>
      <c r="KE77" s="9">
        <v>225281.18900972116</v>
      </c>
      <c r="KF77" s="9">
        <v>377681.74633508985</v>
      </c>
      <c r="KG77" s="9">
        <v>28498.612068965536</v>
      </c>
      <c r="KH77" s="9">
        <v>76801.068965517246</v>
      </c>
      <c r="KI77" s="9">
        <v>556807.75</v>
      </c>
      <c r="KJ77" s="9">
        <v>10165784.894557802</v>
      </c>
      <c r="KL77" t="s">
        <v>1270</v>
      </c>
      <c r="KM77">
        <v>0.26</v>
      </c>
      <c r="KN77">
        <v>2.1666666666666667E-2</v>
      </c>
      <c r="KO77" t="s">
        <v>1271</v>
      </c>
      <c r="KP77">
        <v>29805.887931034489</v>
      </c>
      <c r="KQ77" t="s">
        <v>1264</v>
      </c>
    </row>
    <row r="78" spans="1:304" x14ac:dyDescent="0.3">
      <c r="A78">
        <v>46310</v>
      </c>
      <c r="B78">
        <v>234192.42889260329</v>
      </c>
      <c r="C78">
        <v>5074.1692926730711</v>
      </c>
      <c r="D78">
        <v>7097.4169142234814</v>
      </c>
      <c r="E78">
        <v>1878.1982758620693</v>
      </c>
      <c r="F78">
        <v>1947.4537931034488</v>
      </c>
      <c r="G78">
        <v>14119.04</v>
      </c>
      <c r="H78">
        <v>228973.21025424183</v>
      </c>
      <c r="J78">
        <v>46310</v>
      </c>
      <c r="K78">
        <v>316373.70338329527</v>
      </c>
      <c r="L78">
        <v>6854.7635733047309</v>
      </c>
      <c r="M78">
        <v>9662.9088404883696</v>
      </c>
      <c r="N78">
        <v>4149.3017241379312</v>
      </c>
      <c r="O78">
        <v>2642.8275862068972</v>
      </c>
      <c r="P78">
        <v>19160.5</v>
      </c>
      <c r="Q78">
        <v>310860.09626694483</v>
      </c>
      <c r="S78">
        <v>46310</v>
      </c>
      <c r="T78">
        <v>126485.24589187597</v>
      </c>
      <c r="U78">
        <v>2740.5136609906458</v>
      </c>
      <c r="V78">
        <v>5084.8570286645263</v>
      </c>
      <c r="W78">
        <v>2856.7844827586209</v>
      </c>
      <c r="X78">
        <v>1252.0593103448275</v>
      </c>
      <c r="Y78">
        <v>9077.43</v>
      </c>
      <c r="Z78">
        <v>124257.17334597006</v>
      </c>
      <c r="AB78">
        <v>46310</v>
      </c>
      <c r="AC78">
        <v>1991520.4790758495</v>
      </c>
      <c r="AD78">
        <v>43149.610379976744</v>
      </c>
      <c r="AE78">
        <v>49079.570654506024</v>
      </c>
      <c r="AF78">
        <v>4696.508620689664</v>
      </c>
      <c r="AG78">
        <v>14756.668965517243</v>
      </c>
      <c r="AH78">
        <v>106985.85</v>
      </c>
      <c r="AI78">
        <v>1947137.4170420333</v>
      </c>
      <c r="AK78">
        <v>46310</v>
      </c>
      <c r="AL78">
        <v>1103080.1905294384</v>
      </c>
      <c r="AM78">
        <v>23900.070794804506</v>
      </c>
      <c r="AN78">
        <v>24586.791274161013</v>
      </c>
      <c r="AO78">
        <v>0</v>
      </c>
      <c r="AP78">
        <v>7757.8979310344848</v>
      </c>
      <c r="AQ78">
        <v>56244.76</v>
      </c>
      <c r="AR78">
        <v>1078493.3992552774</v>
      </c>
      <c r="AT78">
        <v>46310</v>
      </c>
      <c r="AU78">
        <v>1000257.7539216006</v>
      </c>
      <c r="AV78">
        <v>21672.251334968016</v>
      </c>
      <c r="AW78">
        <v>25212.774527100948</v>
      </c>
      <c r="AX78">
        <v>2921.0172413793107</v>
      </c>
      <c r="AY78">
        <v>7501.6041379310354</v>
      </c>
      <c r="AZ78">
        <v>54386.63</v>
      </c>
      <c r="BA78">
        <v>977965.99663587904</v>
      </c>
      <c r="BC78">
        <v>46310</v>
      </c>
      <c r="BD78">
        <v>452466.11668838625</v>
      </c>
      <c r="BE78">
        <v>9803.4325282483696</v>
      </c>
      <c r="BF78">
        <v>11494.748506234388</v>
      </c>
      <c r="BG78">
        <v>1411.0775862068965</v>
      </c>
      <c r="BH78">
        <v>3407.7089655172417</v>
      </c>
      <c r="BI78">
        <v>24705.89</v>
      </c>
      <c r="BJ78">
        <v>442382.44576835883</v>
      </c>
      <c r="BL78">
        <v>46310</v>
      </c>
      <c r="BM78">
        <v>897179.93762873299</v>
      </c>
      <c r="BN78">
        <v>19438.898648622548</v>
      </c>
      <c r="BO78">
        <v>22473.584109998148</v>
      </c>
      <c r="BP78">
        <v>2479.0258620689742</v>
      </c>
      <c r="BQ78">
        <v>6705.9972413793112</v>
      </c>
      <c r="BR78">
        <v>48618.48</v>
      </c>
      <c r="BS78">
        <v>877185.37938080379</v>
      </c>
      <c r="BU78">
        <v>46310</v>
      </c>
      <c r="BV78">
        <v>1885125.7080811509</v>
      </c>
      <c r="BW78">
        <v>40844.390341758262</v>
      </c>
      <c r="BX78">
        <v>47158.644141000361</v>
      </c>
      <c r="BY78">
        <v>5146.8793103448279</v>
      </c>
      <c r="BZ78">
        <v>14080.485517241381</v>
      </c>
      <c r="CA78">
        <v>102083.52</v>
      </c>
      <c r="CB78">
        <v>1843113.943250495</v>
      </c>
      <c r="CD78">
        <v>46310</v>
      </c>
      <c r="CE78">
        <v>132183.2165307283</v>
      </c>
      <c r="CF78">
        <v>2863.9696914991132</v>
      </c>
      <c r="CG78">
        <v>2326.6768602250245</v>
      </c>
      <c r="CH78">
        <v>0</v>
      </c>
      <c r="CI78">
        <v>830.50344827586218</v>
      </c>
      <c r="CJ78">
        <v>6021.15</v>
      </c>
      <c r="CK78">
        <v>129856.53967050328</v>
      </c>
      <c r="CM78">
        <v>46310</v>
      </c>
      <c r="CN78">
        <v>248282.52699172983</v>
      </c>
      <c r="CO78">
        <v>5379.4547514874794</v>
      </c>
      <c r="CP78">
        <v>4335.4849036849337</v>
      </c>
      <c r="CQ78">
        <v>0</v>
      </c>
      <c r="CR78">
        <v>1554.3903448275864</v>
      </c>
      <c r="CS78">
        <v>11269.33</v>
      </c>
      <c r="CT78">
        <v>243947.04208804487</v>
      </c>
      <c r="CV78">
        <v>46310</v>
      </c>
      <c r="CW78">
        <v>144251.23963177134</v>
      </c>
      <c r="CX78">
        <v>3125.4435253550459</v>
      </c>
      <c r="CY78">
        <v>2729.0995780932303</v>
      </c>
      <c r="CZ78">
        <v>0</v>
      </c>
      <c r="DA78">
        <v>936.72689655172417</v>
      </c>
      <c r="DB78">
        <v>6791.27</v>
      </c>
      <c r="DC78">
        <v>141522.1400536781</v>
      </c>
      <c r="DE78">
        <v>46310</v>
      </c>
      <c r="DF78">
        <v>127890.5031323158</v>
      </c>
      <c r="DG78">
        <v>2770.9609012001756</v>
      </c>
      <c r="DH78">
        <v>2252.4011677653416</v>
      </c>
      <c r="DI78">
        <v>0</v>
      </c>
      <c r="DJ78">
        <v>803.73793103448293</v>
      </c>
      <c r="DK78">
        <v>5827.1</v>
      </c>
      <c r="DL78">
        <v>125638.10196455044</v>
      </c>
      <c r="DN78">
        <v>46310</v>
      </c>
      <c r="DO78">
        <v>117833.69867678688</v>
      </c>
      <c r="DP78">
        <v>2553.063471330383</v>
      </c>
      <c r="DQ78">
        <v>2078.3934252213407</v>
      </c>
      <c r="DR78">
        <v>0</v>
      </c>
      <c r="DS78">
        <v>741.03310344827605</v>
      </c>
      <c r="DT78">
        <v>5372.49</v>
      </c>
      <c r="DU78">
        <v>115755.30525156556</v>
      </c>
      <c r="DW78">
        <v>46310</v>
      </c>
      <c r="DX78">
        <v>530309.08729627635</v>
      </c>
      <c r="DY78">
        <v>11490.030224752654</v>
      </c>
      <c r="DZ78">
        <v>12435.814602833552</v>
      </c>
      <c r="EA78">
        <v>613.81034482758366</v>
      </c>
      <c r="EB78">
        <v>3828.1351724137935</v>
      </c>
      <c r="EC78">
        <v>27753.98</v>
      </c>
      <c r="ED78">
        <v>518487.08303827042</v>
      </c>
      <c r="EF78">
        <v>46310</v>
      </c>
      <c r="EG78">
        <v>847918.2532822364</v>
      </c>
      <c r="EH78">
        <v>18371.562154448457</v>
      </c>
      <c r="EI78">
        <v>21242.74819037913</v>
      </c>
      <c r="EJ78">
        <v>2346.0086206896553</v>
      </c>
      <c r="EK78">
        <v>6338.2896551724143</v>
      </c>
      <c r="EL78">
        <v>45952.6</v>
      </c>
      <c r="EM78">
        <v>829021.5137125469</v>
      </c>
      <c r="HQ78">
        <v>46297</v>
      </c>
      <c r="HR78">
        <v>10434.804923024773</v>
      </c>
      <c r="HS78">
        <v>287.37571008832231</v>
      </c>
      <c r="HT78">
        <v>10434.805324394434</v>
      </c>
      <c r="HU78">
        <v>1715.5489655172414</v>
      </c>
      <c r="HV78">
        <v>12437.73</v>
      </c>
      <c r="HW78">
        <v>-4.013696634501685E-4</v>
      </c>
      <c r="KC78" s="3">
        <v>46297</v>
      </c>
      <c r="KD78" s="9">
        <v>10165784.894557802</v>
      </c>
      <c r="KE78" s="9">
        <v>220319.96098550849</v>
      </c>
      <c r="KF78" s="9">
        <v>259686.72004897427</v>
      </c>
      <c r="KG78" s="9">
        <v>28498.612068965536</v>
      </c>
      <c r="KH78" s="9">
        <v>76801.068965517246</v>
      </c>
      <c r="KI78" s="9">
        <v>556807.75</v>
      </c>
      <c r="KJ78" s="9">
        <v>9934596.7865777947</v>
      </c>
    </row>
    <row r="79" spans="1:304" x14ac:dyDescent="0.3">
      <c r="A79">
        <v>46341</v>
      </c>
      <c r="B79">
        <v>228973.21025424183</v>
      </c>
      <c r="C79">
        <v>4961.0862221752404</v>
      </c>
      <c r="D79">
        <v>7210.4999847213121</v>
      </c>
      <c r="E79">
        <v>1878.1982758620693</v>
      </c>
      <c r="F79">
        <v>1947.4537931034488</v>
      </c>
      <c r="G79">
        <v>14119.04</v>
      </c>
      <c r="H79">
        <v>223640.90854538261</v>
      </c>
      <c r="J79">
        <v>46341</v>
      </c>
      <c r="K79">
        <v>310860.09626694483</v>
      </c>
      <c r="L79">
        <v>6735.3020857838046</v>
      </c>
      <c r="M79">
        <v>9782.3703280092959</v>
      </c>
      <c r="N79">
        <v>4149.3017241379312</v>
      </c>
      <c r="O79">
        <v>2642.8275862068972</v>
      </c>
      <c r="P79">
        <v>19160.5</v>
      </c>
      <c r="Q79">
        <v>305227.02766307344</v>
      </c>
      <c r="S79">
        <v>46341</v>
      </c>
      <c r="T79">
        <v>124257.17334597006</v>
      </c>
      <c r="U79">
        <v>2692.2387558293512</v>
      </c>
      <c r="V79">
        <v>5133.1319338258209</v>
      </c>
      <c r="W79">
        <v>2856.7844827586209</v>
      </c>
      <c r="X79">
        <v>1252.0593103448275</v>
      </c>
      <c r="Y79">
        <v>9077.43</v>
      </c>
      <c r="Z79">
        <v>121980.82589490288</v>
      </c>
      <c r="AB79">
        <v>46341</v>
      </c>
      <c r="AC79">
        <v>1947137.4170420333</v>
      </c>
      <c r="AD79">
        <v>42187.977369244058</v>
      </c>
      <c r="AE79">
        <v>50041.203665238711</v>
      </c>
      <c r="AF79">
        <v>4696.508620689664</v>
      </c>
      <c r="AG79">
        <v>14756.668965517243</v>
      </c>
      <c r="AH79">
        <v>106985.85</v>
      </c>
      <c r="AI79">
        <v>1901792.7219974841</v>
      </c>
      <c r="AK79">
        <v>46341</v>
      </c>
      <c r="AL79">
        <v>1078493.3992552774</v>
      </c>
      <c r="AM79">
        <v>23367.356983864345</v>
      </c>
      <c r="AN79">
        <v>25119.505085101169</v>
      </c>
      <c r="AO79">
        <v>0</v>
      </c>
      <c r="AP79">
        <v>7757.8979310344848</v>
      </c>
      <c r="AQ79">
        <v>56244.76</v>
      </c>
      <c r="AR79">
        <v>1053373.8941701762</v>
      </c>
      <c r="AT79">
        <v>46341</v>
      </c>
      <c r="AU79">
        <v>977965.99663587904</v>
      </c>
      <c r="AV79">
        <v>21189.263260444048</v>
      </c>
      <c r="AW79">
        <v>25695.762601624916</v>
      </c>
      <c r="AX79">
        <v>2921.0172413793107</v>
      </c>
      <c r="AY79">
        <v>7501.6041379310354</v>
      </c>
      <c r="AZ79">
        <v>54386.63</v>
      </c>
      <c r="BA79">
        <v>955191.25127563346</v>
      </c>
      <c r="BC79">
        <v>46341</v>
      </c>
      <c r="BD79">
        <v>442382.44576835883</v>
      </c>
      <c r="BE79">
        <v>9584.9529916477732</v>
      </c>
      <c r="BF79">
        <v>11713.228042834984</v>
      </c>
      <c r="BG79">
        <v>1411.0775862068965</v>
      </c>
      <c r="BH79">
        <v>3407.7089655172417</v>
      </c>
      <c r="BI79">
        <v>24705.89</v>
      </c>
      <c r="BJ79">
        <v>432080.2953117307</v>
      </c>
      <c r="BL79">
        <v>46341</v>
      </c>
      <c r="BM79">
        <v>877185.37938080379</v>
      </c>
      <c r="BN79">
        <v>19005.683219917417</v>
      </c>
      <c r="BO79">
        <v>22906.799538703279</v>
      </c>
      <c r="BP79">
        <v>2479.0258620689742</v>
      </c>
      <c r="BQ79">
        <v>6705.9972413793112</v>
      </c>
      <c r="BR79">
        <v>48618.48</v>
      </c>
      <c r="BS79">
        <v>856757.60570416949</v>
      </c>
      <c r="BU79">
        <v>46341</v>
      </c>
      <c r="BV79">
        <v>1843113.943250495</v>
      </c>
      <c r="BW79">
        <v>39934.135437094061</v>
      </c>
      <c r="BX79">
        <v>48068.899045664562</v>
      </c>
      <c r="BY79">
        <v>5146.8793103448279</v>
      </c>
      <c r="BZ79">
        <v>14080.485517241381</v>
      </c>
      <c r="CA79">
        <v>102083.52</v>
      </c>
      <c r="CB79">
        <v>1800191.9235151752</v>
      </c>
      <c r="CD79">
        <v>46341</v>
      </c>
      <c r="CE79">
        <v>129856.53967050328</v>
      </c>
      <c r="CF79">
        <v>2813.5583595275712</v>
      </c>
      <c r="CG79">
        <v>2377.0881921965665</v>
      </c>
      <c r="CH79">
        <v>0</v>
      </c>
      <c r="CI79">
        <v>830.50344827586218</v>
      </c>
      <c r="CJ79">
        <v>6021.15</v>
      </c>
      <c r="CK79">
        <v>127479.45147830671</v>
      </c>
      <c r="CM79">
        <v>46341</v>
      </c>
      <c r="CN79">
        <v>243947.04208804487</v>
      </c>
      <c r="CO79">
        <v>5285.5192452409729</v>
      </c>
      <c r="CP79">
        <v>4429.4204099314402</v>
      </c>
      <c r="CQ79">
        <v>0</v>
      </c>
      <c r="CR79">
        <v>1554.3903448275864</v>
      </c>
      <c r="CS79">
        <v>11269.33</v>
      </c>
      <c r="CT79">
        <v>239517.62167811344</v>
      </c>
      <c r="CV79">
        <v>46341</v>
      </c>
      <c r="CW79">
        <v>141522.1400536781</v>
      </c>
      <c r="CX79">
        <v>3066.3130344963588</v>
      </c>
      <c r="CY79">
        <v>2788.2300689519175</v>
      </c>
      <c r="CZ79">
        <v>0</v>
      </c>
      <c r="DA79">
        <v>936.72689655172417</v>
      </c>
      <c r="DB79">
        <v>6791.27</v>
      </c>
      <c r="DC79">
        <v>138733.9099847262</v>
      </c>
      <c r="DE79">
        <v>46341</v>
      </c>
      <c r="DF79">
        <v>125638.10196455044</v>
      </c>
      <c r="DG79">
        <v>2722.1588758985931</v>
      </c>
      <c r="DH79">
        <v>2301.2031930669241</v>
      </c>
      <c r="DI79">
        <v>0</v>
      </c>
      <c r="DJ79">
        <v>803.73793103448293</v>
      </c>
      <c r="DK79">
        <v>5827.1</v>
      </c>
      <c r="DL79">
        <v>123336.89877148352</v>
      </c>
      <c r="DN79">
        <v>46341</v>
      </c>
      <c r="DO79">
        <v>115755.30525156556</v>
      </c>
      <c r="DP79">
        <v>2508.0316137839204</v>
      </c>
      <c r="DQ79">
        <v>2123.4252827678033</v>
      </c>
      <c r="DR79">
        <v>0</v>
      </c>
      <c r="DS79">
        <v>741.03310344827605</v>
      </c>
      <c r="DT79">
        <v>5372.49</v>
      </c>
      <c r="DU79">
        <v>113631.87996879776</v>
      </c>
      <c r="DW79">
        <v>46341</v>
      </c>
      <c r="DX79">
        <v>518487.08303827042</v>
      </c>
      <c r="DY79">
        <v>11233.886799162528</v>
      </c>
      <c r="DZ79">
        <v>12691.95802842368</v>
      </c>
      <c r="EA79">
        <v>613.81034482758366</v>
      </c>
      <c r="EB79">
        <v>3828.1351724137935</v>
      </c>
      <c r="EC79">
        <v>27753.98</v>
      </c>
      <c r="ED79">
        <v>506408.93535467429</v>
      </c>
      <c r="EF79">
        <v>46341</v>
      </c>
      <c r="EG79">
        <v>829021.5137125469</v>
      </c>
      <c r="EH79">
        <v>17962.132797105183</v>
      </c>
      <c r="EI79">
        <v>21652.177547722404</v>
      </c>
      <c r="EJ79">
        <v>2346.0086206896553</v>
      </c>
      <c r="EK79">
        <v>6338.2896551724143</v>
      </c>
      <c r="EL79">
        <v>45952.6</v>
      </c>
      <c r="EM79">
        <v>809715.34478551429</v>
      </c>
      <c r="HR79">
        <v>-4.013696634501685E-4</v>
      </c>
      <c r="HS79">
        <v>0</v>
      </c>
      <c r="HT79">
        <v>-4.013696634501685E-4</v>
      </c>
      <c r="HU79">
        <v>0</v>
      </c>
      <c r="HV79">
        <v>0</v>
      </c>
      <c r="HW79">
        <v>0</v>
      </c>
      <c r="KC79" s="3">
        <v>46328</v>
      </c>
      <c r="KD79" s="9">
        <v>9934596.7865777947</v>
      </c>
      <c r="KE79" s="9">
        <v>215249.59705121521</v>
      </c>
      <c r="KF79" s="9">
        <v>254034.90254741511</v>
      </c>
      <c r="KG79" s="9">
        <v>28498.612068965536</v>
      </c>
      <c r="KH79" s="9">
        <v>75085.52</v>
      </c>
      <c r="KI79" s="9">
        <v>544370.02</v>
      </c>
      <c r="KJ79" s="9">
        <v>9709060.4960993435</v>
      </c>
      <c r="KL79" t="s">
        <v>1193</v>
      </c>
      <c r="KN79">
        <v>88493</v>
      </c>
      <c r="KO79" t="s">
        <v>1194</v>
      </c>
    </row>
    <row r="80" spans="1:304" x14ac:dyDescent="0.3">
      <c r="A80">
        <v>46371</v>
      </c>
      <c r="B80">
        <v>223640.90854538261</v>
      </c>
      <c r="C80">
        <v>4845.5530184832905</v>
      </c>
      <c r="D80">
        <v>7326.033188413262</v>
      </c>
      <c r="E80">
        <v>1878.1982758620693</v>
      </c>
      <c r="F80">
        <v>1947.4537931034488</v>
      </c>
      <c r="G80">
        <v>14119.04</v>
      </c>
      <c r="H80">
        <v>218193.07363283139</v>
      </c>
      <c r="J80">
        <v>46371</v>
      </c>
      <c r="K80">
        <v>305227.02766307344</v>
      </c>
      <c r="L80">
        <v>6613.2522660332579</v>
      </c>
      <c r="M80">
        <v>9904.4201477598435</v>
      </c>
      <c r="N80">
        <v>4149.3017241379312</v>
      </c>
      <c r="O80">
        <v>2642.8275862068972</v>
      </c>
      <c r="P80">
        <v>19160.5</v>
      </c>
      <c r="Q80">
        <v>299471.90923945152</v>
      </c>
      <c r="S80">
        <v>46371</v>
      </c>
      <c r="T80">
        <v>121980.82589490288</v>
      </c>
      <c r="U80">
        <v>2642.9178943895622</v>
      </c>
      <c r="V80">
        <v>5182.4527952656099</v>
      </c>
      <c r="W80">
        <v>2856.7844827586209</v>
      </c>
      <c r="X80">
        <v>1252.0593103448275</v>
      </c>
      <c r="Y80">
        <v>9077.43</v>
      </c>
      <c r="Z80">
        <v>119655.15758239588</v>
      </c>
      <c r="AB80">
        <v>46371</v>
      </c>
      <c r="AC80">
        <v>1901792.7219974841</v>
      </c>
      <c r="AD80">
        <v>41205.50897661216</v>
      </c>
      <c r="AE80">
        <v>51023.672057870608</v>
      </c>
      <c r="AF80">
        <v>4696.508620689664</v>
      </c>
      <c r="AG80">
        <v>14756.668965517243</v>
      </c>
      <c r="AH80">
        <v>106985.85</v>
      </c>
      <c r="AI80">
        <v>1855465.5585603032</v>
      </c>
      <c r="AK80">
        <v>46371</v>
      </c>
      <c r="AL80">
        <v>1053373.8941701762</v>
      </c>
      <c r="AM80">
        <v>22823.10104035382</v>
      </c>
      <c r="AN80">
        <v>25663.761028611694</v>
      </c>
      <c r="AO80">
        <v>0</v>
      </c>
      <c r="AP80">
        <v>7757.8979310344848</v>
      </c>
      <c r="AQ80">
        <v>56244.76</v>
      </c>
      <c r="AR80">
        <v>1027710.1331415646</v>
      </c>
      <c r="AT80">
        <v>46371</v>
      </c>
      <c r="AU80">
        <v>955191.25127563346</v>
      </c>
      <c r="AV80">
        <v>20695.810444305393</v>
      </c>
      <c r="AW80">
        <v>26189.215417763571</v>
      </c>
      <c r="AX80">
        <v>2921.0172413793107</v>
      </c>
      <c r="AY80">
        <v>7501.6041379310354</v>
      </c>
      <c r="AZ80">
        <v>54386.63</v>
      </c>
      <c r="BA80">
        <v>931923.05309924926</v>
      </c>
      <c r="BC80">
        <v>46371</v>
      </c>
      <c r="BD80">
        <v>432080.2953117307</v>
      </c>
      <c r="BE80">
        <v>9361.7397317541654</v>
      </c>
      <c r="BF80">
        <v>11936.441302728592</v>
      </c>
      <c r="BG80">
        <v>1411.0775862068965</v>
      </c>
      <c r="BH80">
        <v>3407.7089655172417</v>
      </c>
      <c r="BI80">
        <v>24705.89</v>
      </c>
      <c r="BJ80">
        <v>421554.931595209</v>
      </c>
      <c r="BL80">
        <v>46371</v>
      </c>
      <c r="BM80">
        <v>856757.60570416949</v>
      </c>
      <c r="BN80">
        <v>18563.081456923672</v>
      </c>
      <c r="BO80">
        <v>23349.401301697024</v>
      </c>
      <c r="BP80">
        <v>2479.0258620689742</v>
      </c>
      <c r="BQ80">
        <v>6705.9972413793112</v>
      </c>
      <c r="BR80">
        <v>48618.48</v>
      </c>
      <c r="BS80">
        <v>835887.23026454146</v>
      </c>
      <c r="BU80">
        <v>46371</v>
      </c>
      <c r="BV80">
        <v>1800191.9235151752</v>
      </c>
      <c r="BW80">
        <v>39004.1583428288</v>
      </c>
      <c r="BX80">
        <v>48998.876139929824</v>
      </c>
      <c r="BY80">
        <v>5146.8793103448279</v>
      </c>
      <c r="BZ80">
        <v>14080.485517241381</v>
      </c>
      <c r="CA80">
        <v>102083.52</v>
      </c>
      <c r="CB80">
        <v>1756339.9266855903</v>
      </c>
      <c r="CD80">
        <v>46371</v>
      </c>
      <c r="CE80">
        <v>127479.45147830671</v>
      </c>
      <c r="CF80">
        <v>2762.0547820299789</v>
      </c>
      <c r="CG80">
        <v>2428.5917696941588</v>
      </c>
      <c r="CH80">
        <v>0</v>
      </c>
      <c r="CI80">
        <v>830.50344827586218</v>
      </c>
      <c r="CJ80">
        <v>6021.15</v>
      </c>
      <c r="CK80">
        <v>125050.85970861257</v>
      </c>
      <c r="CM80">
        <v>46371</v>
      </c>
      <c r="CN80">
        <v>239517.62167811344</v>
      </c>
      <c r="CO80">
        <v>5189.5484696924577</v>
      </c>
      <c r="CP80">
        <v>4525.3911854799553</v>
      </c>
      <c r="CQ80">
        <v>0</v>
      </c>
      <c r="CR80">
        <v>1554.3903448275864</v>
      </c>
      <c r="CS80">
        <v>11269.33</v>
      </c>
      <c r="CT80">
        <v>234992.23049263348</v>
      </c>
      <c r="CV80">
        <v>46371</v>
      </c>
      <c r="CW80">
        <v>138733.9099847262</v>
      </c>
      <c r="CX80">
        <v>3005.901383002401</v>
      </c>
      <c r="CY80">
        <v>2848.6417204458753</v>
      </c>
      <c r="CZ80">
        <v>0</v>
      </c>
      <c r="DA80">
        <v>936.72689655172417</v>
      </c>
      <c r="DB80">
        <v>6791.27</v>
      </c>
      <c r="DC80">
        <v>135885.26826428031</v>
      </c>
      <c r="DE80">
        <v>46371</v>
      </c>
      <c r="DF80">
        <v>123336.89877148352</v>
      </c>
      <c r="DG80">
        <v>2672.2994733821433</v>
      </c>
      <c r="DH80">
        <v>2351.0625955833739</v>
      </c>
      <c r="DI80">
        <v>0</v>
      </c>
      <c r="DJ80">
        <v>803.73793103448293</v>
      </c>
      <c r="DK80">
        <v>5827.1</v>
      </c>
      <c r="DL80">
        <v>120985.83617590016</v>
      </c>
      <c r="DN80">
        <v>46371</v>
      </c>
      <c r="DO80">
        <v>113631.87996879776</v>
      </c>
      <c r="DP80">
        <v>2462.0240659906181</v>
      </c>
      <c r="DQ80">
        <v>2169.4328305611057</v>
      </c>
      <c r="DR80">
        <v>0</v>
      </c>
      <c r="DS80">
        <v>741.03310344827605</v>
      </c>
      <c r="DT80">
        <v>5372.49</v>
      </c>
      <c r="DU80">
        <v>111462.44713823665</v>
      </c>
      <c r="DW80">
        <v>46371</v>
      </c>
      <c r="DX80">
        <v>506408.93535467429</v>
      </c>
      <c r="DY80">
        <v>10972.193599351278</v>
      </c>
      <c r="DZ80">
        <v>12953.651228234929</v>
      </c>
      <c r="EA80">
        <v>613.81034482758366</v>
      </c>
      <c r="EB80">
        <v>3828.1351724137935</v>
      </c>
      <c r="EC80">
        <v>27753.98</v>
      </c>
      <c r="ED80">
        <v>494069.09447126702</v>
      </c>
      <c r="EF80">
        <v>46371</v>
      </c>
      <c r="EG80">
        <v>809715.34478551429</v>
      </c>
      <c r="EH80">
        <v>17543.832470352809</v>
      </c>
      <c r="EI80">
        <v>22070.477874474775</v>
      </c>
      <c r="EJ80">
        <v>2346.0086206896553</v>
      </c>
      <c r="EK80">
        <v>6338.2896551724143</v>
      </c>
      <c r="EL80">
        <v>45952.6</v>
      </c>
      <c r="EM80">
        <v>789990.87553172896</v>
      </c>
      <c r="KC80" s="3">
        <v>46358</v>
      </c>
      <c r="KD80" s="9">
        <v>9709060.4960993435</v>
      </c>
      <c r="KE80" s="9">
        <v>210362.9774154858</v>
      </c>
      <c r="KF80" s="9">
        <v>258921.5225845142</v>
      </c>
      <c r="KG80" s="9">
        <v>28498.612068965536</v>
      </c>
      <c r="KH80" s="9">
        <v>75085.52</v>
      </c>
      <c r="KI80" s="9">
        <v>544370.02</v>
      </c>
      <c r="KJ80" s="9">
        <v>9478637.5855837967</v>
      </c>
      <c r="KL80" t="s">
        <v>1231</v>
      </c>
      <c r="KM80" t="s">
        <v>1235</v>
      </c>
      <c r="KO80" t="s">
        <v>1233</v>
      </c>
      <c r="KP80" t="s">
        <v>1248</v>
      </c>
      <c r="KR80" t="s">
        <v>1293</v>
      </c>
    </row>
    <row r="81" spans="1:303" x14ac:dyDescent="0.3">
      <c r="A81">
        <v>46402</v>
      </c>
      <c r="B81">
        <v>218193.07363283139</v>
      </c>
      <c r="C81">
        <v>4727.5165953780133</v>
      </c>
      <c r="D81">
        <v>7444.0696115185392</v>
      </c>
      <c r="E81">
        <v>1878.1982758620693</v>
      </c>
      <c r="F81">
        <v>1947.4537931034488</v>
      </c>
      <c r="G81">
        <v>14119.04</v>
      </c>
      <c r="H81">
        <v>212627.20229717492</v>
      </c>
      <c r="J81">
        <v>46402</v>
      </c>
      <c r="K81">
        <v>299471.90923945152</v>
      </c>
      <c r="L81">
        <v>6488.5580335214499</v>
      </c>
      <c r="M81">
        <v>10029.114380271652</v>
      </c>
      <c r="N81">
        <v>4149.3017241379312</v>
      </c>
      <c r="O81">
        <v>2642.8275862068972</v>
      </c>
      <c r="P81">
        <v>19160.5</v>
      </c>
      <c r="Q81">
        <v>293592.09658331779</v>
      </c>
      <c r="S81">
        <v>46402</v>
      </c>
      <c r="T81">
        <v>119655.15758239588</v>
      </c>
      <c r="U81">
        <v>2592.5284142852443</v>
      </c>
      <c r="V81">
        <v>5232.8422753699278</v>
      </c>
      <c r="W81">
        <v>2856.7844827586209</v>
      </c>
      <c r="X81">
        <v>1252.0593103448275</v>
      </c>
      <c r="Y81">
        <v>9077.43</v>
      </c>
      <c r="Z81">
        <v>117279.09978978458</v>
      </c>
      <c r="AB81">
        <v>46402</v>
      </c>
      <c r="AC81">
        <v>1855465.5585603032</v>
      </c>
      <c r="AD81">
        <v>40201.753768806571</v>
      </c>
      <c r="AE81">
        <v>52027.427265676197</v>
      </c>
      <c r="AF81">
        <v>4696.508620689664</v>
      </c>
      <c r="AG81">
        <v>14756.668965517243</v>
      </c>
      <c r="AH81">
        <v>106985.85</v>
      </c>
      <c r="AI81">
        <v>1808134.6399153168</v>
      </c>
      <c r="AK81">
        <v>46402</v>
      </c>
      <c r="AL81">
        <v>1027710.1331415646</v>
      </c>
      <c r="AM81">
        <v>22267.052884733901</v>
      </c>
      <c r="AN81">
        <v>26219.809184231613</v>
      </c>
      <c r="AO81">
        <v>0</v>
      </c>
      <c r="AP81">
        <v>7757.8979310344848</v>
      </c>
      <c r="AQ81">
        <v>56244.76</v>
      </c>
      <c r="AR81">
        <v>1001490.323957333</v>
      </c>
      <c r="AT81">
        <v>46402</v>
      </c>
      <c r="AU81">
        <v>931923.05309924926</v>
      </c>
      <c r="AV81">
        <v>20191.666150483736</v>
      </c>
      <c r="AW81">
        <v>26693.359711585228</v>
      </c>
      <c r="AX81">
        <v>2921.0172413793107</v>
      </c>
      <c r="AY81">
        <v>7501.6041379310354</v>
      </c>
      <c r="AZ81">
        <v>54386.63</v>
      </c>
      <c r="BA81">
        <v>908150.7106290434</v>
      </c>
      <c r="BC81">
        <v>46402</v>
      </c>
      <c r="BD81">
        <v>421554.931595209</v>
      </c>
      <c r="BE81">
        <v>9133.6901845628618</v>
      </c>
      <c r="BF81">
        <v>12164.490849919895</v>
      </c>
      <c r="BG81">
        <v>1411.0775862068965</v>
      </c>
      <c r="BH81">
        <v>3407.7089655172417</v>
      </c>
      <c r="BI81">
        <v>24705.89</v>
      </c>
      <c r="BJ81">
        <v>410801.51833149599</v>
      </c>
      <c r="BL81">
        <v>46402</v>
      </c>
      <c r="BM81">
        <v>835887.23026454146</v>
      </c>
      <c r="BN81">
        <v>18110.889989065065</v>
      </c>
      <c r="BO81">
        <v>23801.592769555631</v>
      </c>
      <c r="BP81">
        <v>2479.0258620689742</v>
      </c>
      <c r="BQ81">
        <v>6705.9972413793112</v>
      </c>
      <c r="BR81">
        <v>48618.48</v>
      </c>
      <c r="BS81">
        <v>814564.66335705493</v>
      </c>
      <c r="BU81">
        <v>46402</v>
      </c>
      <c r="BV81">
        <v>1756339.9266855903</v>
      </c>
      <c r="BW81">
        <v>38054.031744854459</v>
      </c>
      <c r="BX81">
        <v>49949.002737904157</v>
      </c>
      <c r="BY81">
        <v>5146.8793103448279</v>
      </c>
      <c r="BZ81">
        <v>14080.485517241381</v>
      </c>
      <c r="CA81">
        <v>102083.52</v>
      </c>
      <c r="CB81">
        <v>1711537.8032580309</v>
      </c>
      <c r="CD81">
        <v>46402</v>
      </c>
      <c r="CE81">
        <v>125050.85970861257</v>
      </c>
      <c r="CF81">
        <v>2709.4352936866053</v>
      </c>
      <c r="CG81">
        <v>2481.2112580375324</v>
      </c>
      <c r="CH81">
        <v>0</v>
      </c>
      <c r="CI81">
        <v>830.50344827586218</v>
      </c>
      <c r="CJ81">
        <v>6021.15</v>
      </c>
      <c r="CK81">
        <v>122569.648450575</v>
      </c>
      <c r="CM81">
        <v>46402</v>
      </c>
      <c r="CN81">
        <v>234992.23049263348</v>
      </c>
      <c r="CO81">
        <v>5091.4983273403923</v>
      </c>
      <c r="CP81">
        <v>4623.4413278320208</v>
      </c>
      <c r="CQ81">
        <v>0</v>
      </c>
      <c r="CR81">
        <v>1554.3903448275864</v>
      </c>
      <c r="CS81">
        <v>11269.33</v>
      </c>
      <c r="CT81">
        <v>230368.78916480145</v>
      </c>
      <c r="CV81">
        <v>46402</v>
      </c>
      <c r="CW81">
        <v>135885.26826428031</v>
      </c>
      <c r="CX81">
        <v>2944.1808123927403</v>
      </c>
      <c r="CY81">
        <v>2910.3622910555359</v>
      </c>
      <c r="CZ81">
        <v>0</v>
      </c>
      <c r="DA81">
        <v>936.72689655172417</v>
      </c>
      <c r="DB81">
        <v>6791.27</v>
      </c>
      <c r="DC81">
        <v>132974.90597322478</v>
      </c>
      <c r="DE81">
        <v>46402</v>
      </c>
      <c r="DF81">
        <v>120985.83617590016</v>
      </c>
      <c r="DG81">
        <v>2621.35978381117</v>
      </c>
      <c r="DH81">
        <v>2402.0022851543472</v>
      </c>
      <c r="DI81">
        <v>0</v>
      </c>
      <c r="DJ81">
        <v>803.73793103448293</v>
      </c>
      <c r="DK81">
        <v>5827.1</v>
      </c>
      <c r="DL81">
        <v>118583.83389074579</v>
      </c>
      <c r="DN81">
        <v>46402</v>
      </c>
      <c r="DO81">
        <v>111462.44713823665</v>
      </c>
      <c r="DP81">
        <v>2415.0196879951272</v>
      </c>
      <c r="DQ81">
        <v>2216.4372085565965</v>
      </c>
      <c r="DR81">
        <v>0</v>
      </c>
      <c r="DS81">
        <v>741.03310344827605</v>
      </c>
      <c r="DT81">
        <v>5372.49</v>
      </c>
      <c r="DU81">
        <v>109246.00992968005</v>
      </c>
      <c r="DW81">
        <v>46402</v>
      </c>
      <c r="DX81">
        <v>494069.09447126702</v>
      </c>
      <c r="DY81">
        <v>10704.830380210786</v>
      </c>
      <c r="DZ81">
        <v>13221.014447375421</v>
      </c>
      <c r="EA81">
        <v>613.81034482758366</v>
      </c>
      <c r="EB81">
        <v>3828.1351724137935</v>
      </c>
      <c r="EC81">
        <v>27753.98</v>
      </c>
      <c r="ED81">
        <v>481461.89036871918</v>
      </c>
      <c r="EF81">
        <v>46402</v>
      </c>
      <c r="EG81">
        <v>789990.87553172896</v>
      </c>
      <c r="EH81">
        <v>17116.46896985413</v>
      </c>
      <c r="EI81">
        <v>22497.841374973457</v>
      </c>
      <c r="EJ81">
        <v>2346.0086206896553</v>
      </c>
      <c r="EK81">
        <v>6338.2896551724143</v>
      </c>
      <c r="EL81">
        <v>45952.6</v>
      </c>
      <c r="EM81">
        <v>769839.04277744517</v>
      </c>
      <c r="KC81" s="3">
        <v>46389</v>
      </c>
      <c r="KD81" s="9">
        <v>9478637.5855837967</v>
      </c>
      <c r="KE81" s="9">
        <v>205370.48102098223</v>
      </c>
      <c r="KF81" s="9">
        <v>263914.0189790178</v>
      </c>
      <c r="KG81" s="9">
        <v>28498.612068965536</v>
      </c>
      <c r="KH81" s="9">
        <v>75085.52</v>
      </c>
      <c r="KI81" s="9">
        <v>544370.02</v>
      </c>
      <c r="KJ81" s="9">
        <v>9243222.1786737423</v>
      </c>
      <c r="KL81" t="s">
        <v>1263</v>
      </c>
      <c r="KM81">
        <v>162240.46206896554</v>
      </c>
      <c r="KN81" t="s">
        <v>1264</v>
      </c>
      <c r="KO81" t="s">
        <v>1265</v>
      </c>
      <c r="KP81">
        <v>60</v>
      </c>
      <c r="KQ81" t="s">
        <v>1266</v>
      </c>
    </row>
    <row r="82" spans="1:303" x14ac:dyDescent="0.3">
      <c r="A82">
        <v>46433</v>
      </c>
      <c r="B82">
        <v>212627.20229717492</v>
      </c>
      <c r="C82">
        <v>4606.9227164387903</v>
      </c>
      <c r="D82">
        <v>7564.6634904577613</v>
      </c>
      <c r="E82">
        <v>1878.1982758620693</v>
      </c>
      <c r="F82">
        <v>1947.4537931034488</v>
      </c>
      <c r="G82">
        <v>14119.04</v>
      </c>
      <c r="H82">
        <v>206940.73708257923</v>
      </c>
      <c r="J82">
        <v>46433</v>
      </c>
      <c r="K82">
        <v>293592.09658331779</v>
      </c>
      <c r="L82">
        <v>6361.1620926385522</v>
      </c>
      <c r="M82">
        <v>10156.51032115455</v>
      </c>
      <c r="N82">
        <v>4149.3017241379312</v>
      </c>
      <c r="O82">
        <v>2642.8275862068972</v>
      </c>
      <c r="P82">
        <v>19160.5</v>
      </c>
      <c r="Q82">
        <v>287584.88798630115</v>
      </c>
      <c r="S82">
        <v>46433</v>
      </c>
      <c r="T82">
        <v>117279.09978978458</v>
      </c>
      <c r="U82">
        <v>2541.0471621119991</v>
      </c>
      <c r="V82">
        <v>5284.3235275431725</v>
      </c>
      <c r="W82">
        <v>2856.7844827586209</v>
      </c>
      <c r="X82">
        <v>1252.0593103448275</v>
      </c>
      <c r="Y82">
        <v>9077.43</v>
      </c>
      <c r="Z82">
        <v>114851.56074500004</v>
      </c>
      <c r="AB82">
        <v>46433</v>
      </c>
      <c r="AC82">
        <v>1808134.6399153168</v>
      </c>
      <c r="AD82">
        <v>39176.250531498525</v>
      </c>
      <c r="AE82">
        <v>53052.930502984244</v>
      </c>
      <c r="AF82">
        <v>4696.508620689664</v>
      </c>
      <c r="AG82">
        <v>14756.668965517243</v>
      </c>
      <c r="AH82">
        <v>106985.85</v>
      </c>
      <c r="AI82">
        <v>1759778.218033022</v>
      </c>
      <c r="AK82">
        <v>46433</v>
      </c>
      <c r="AL82">
        <v>1001490.323957333</v>
      </c>
      <c r="AM82">
        <v>21698.957019075548</v>
      </c>
      <c r="AN82">
        <v>26787.905049889967</v>
      </c>
      <c r="AO82">
        <v>0</v>
      </c>
      <c r="AP82">
        <v>7757.8979310344848</v>
      </c>
      <c r="AQ82">
        <v>56244.76</v>
      </c>
      <c r="AR82">
        <v>974702.41890744306</v>
      </c>
      <c r="AT82">
        <v>46433</v>
      </c>
      <c r="AU82">
        <v>908150.7106290434</v>
      </c>
      <c r="AV82">
        <v>19676.59873029594</v>
      </c>
      <c r="AW82">
        <v>27208.427131773024</v>
      </c>
      <c r="AX82">
        <v>2921.0172413793107</v>
      </c>
      <c r="AY82">
        <v>7501.6041379310354</v>
      </c>
      <c r="AZ82">
        <v>54386.63</v>
      </c>
      <c r="BA82">
        <v>883863.30073864979</v>
      </c>
      <c r="BC82">
        <v>46433</v>
      </c>
      <c r="BD82">
        <v>410801.51833149599</v>
      </c>
      <c r="BE82">
        <v>8900.6995638490807</v>
      </c>
      <c r="BF82">
        <v>12397.481470633677</v>
      </c>
      <c r="BG82">
        <v>1411.0775862068965</v>
      </c>
      <c r="BH82">
        <v>3407.7089655172417</v>
      </c>
      <c r="BI82">
        <v>24705.89</v>
      </c>
      <c r="BJ82">
        <v>399815.11444706918</v>
      </c>
      <c r="BL82">
        <v>46433</v>
      </c>
      <c r="BM82">
        <v>814564.66335705493</v>
      </c>
      <c r="BN82">
        <v>17648.901039402856</v>
      </c>
      <c r="BO82">
        <v>24263.58171921784</v>
      </c>
      <c r="BP82">
        <v>2479.0258620689742</v>
      </c>
      <c r="BQ82">
        <v>6705.9972413793112</v>
      </c>
      <c r="BR82">
        <v>48618.48</v>
      </c>
      <c r="BS82">
        <v>792780.10749990586</v>
      </c>
      <c r="BU82">
        <v>46433</v>
      </c>
      <c r="BV82">
        <v>1711537.8032580309</v>
      </c>
      <c r="BW82">
        <v>37083.319070590675</v>
      </c>
      <c r="BX82">
        <v>50919.715412167949</v>
      </c>
      <c r="BY82">
        <v>5146.8793103448279</v>
      </c>
      <c r="BZ82">
        <v>14080.485517241381</v>
      </c>
      <c r="CA82">
        <v>102083.52</v>
      </c>
      <c r="CB82">
        <v>1665764.9671562077</v>
      </c>
      <c r="CD82">
        <v>46433</v>
      </c>
      <c r="CE82">
        <v>122569.648450575</v>
      </c>
      <c r="CF82">
        <v>2655.6757164291253</v>
      </c>
      <c r="CG82">
        <v>2534.9708352950124</v>
      </c>
      <c r="CH82">
        <v>0</v>
      </c>
      <c r="CI82">
        <v>830.50344827586218</v>
      </c>
      <c r="CJ82">
        <v>6021.15</v>
      </c>
      <c r="CK82">
        <v>120034.67761528</v>
      </c>
      <c r="CM82">
        <v>46433</v>
      </c>
      <c r="CN82">
        <v>230368.78916480145</v>
      </c>
      <c r="CO82">
        <v>4991.3237652373646</v>
      </c>
      <c r="CP82">
        <v>4723.6158899350485</v>
      </c>
      <c r="CQ82">
        <v>0</v>
      </c>
      <c r="CR82">
        <v>1554.3903448275864</v>
      </c>
      <c r="CS82">
        <v>11269.33</v>
      </c>
      <c r="CT82">
        <v>225645.17327486639</v>
      </c>
      <c r="CV82">
        <v>46433</v>
      </c>
      <c r="CW82">
        <v>132974.90597322478</v>
      </c>
      <c r="CX82">
        <v>2881.1229627532039</v>
      </c>
      <c r="CY82">
        <v>2973.4201406950724</v>
      </c>
      <c r="CZ82">
        <v>0</v>
      </c>
      <c r="DA82">
        <v>936.72689655172417</v>
      </c>
      <c r="DB82">
        <v>6791.27</v>
      </c>
      <c r="DC82">
        <v>130001.48583252972</v>
      </c>
      <c r="DE82">
        <v>46433</v>
      </c>
      <c r="DF82">
        <v>118583.83389074579</v>
      </c>
      <c r="DG82">
        <v>2569.3164009661591</v>
      </c>
      <c r="DH82">
        <v>2454.0456679993581</v>
      </c>
      <c r="DI82">
        <v>0</v>
      </c>
      <c r="DJ82">
        <v>803.73793103448293</v>
      </c>
      <c r="DK82">
        <v>5827.1</v>
      </c>
      <c r="DL82">
        <v>116129.78822274646</v>
      </c>
      <c r="DN82">
        <v>46433</v>
      </c>
      <c r="DO82">
        <v>109246.00992968005</v>
      </c>
      <c r="DP82">
        <v>2366.9968818097345</v>
      </c>
      <c r="DQ82">
        <v>2264.4600147419892</v>
      </c>
      <c r="DR82">
        <v>0</v>
      </c>
      <c r="DS82">
        <v>741.03310344827605</v>
      </c>
      <c r="DT82">
        <v>5372.49</v>
      </c>
      <c r="DU82">
        <v>106981.54991493806</v>
      </c>
      <c r="DW82">
        <v>46433</v>
      </c>
      <c r="DX82">
        <v>481461.89036871918</v>
      </c>
      <c r="DY82">
        <v>10431.67429132225</v>
      </c>
      <c r="DZ82">
        <v>13494.170536263957</v>
      </c>
      <c r="EA82">
        <v>613.81034482758366</v>
      </c>
      <c r="EB82">
        <v>3828.1351724137935</v>
      </c>
      <c r="EC82">
        <v>27753.98</v>
      </c>
      <c r="ED82">
        <v>468581.53017728281</v>
      </c>
      <c r="EF82">
        <v>46433</v>
      </c>
      <c r="EG82">
        <v>769839.04277744517</v>
      </c>
      <c r="EH82">
        <v>16679.845926844646</v>
      </c>
      <c r="EI82">
        <v>22934.464417982941</v>
      </c>
      <c r="EJ82">
        <v>2346.0086206896553</v>
      </c>
      <c r="EK82">
        <v>6338.2896551724143</v>
      </c>
      <c r="EL82">
        <v>45952.6</v>
      </c>
      <c r="EM82">
        <v>749250.58698015183</v>
      </c>
      <c r="KC82" s="3">
        <v>46420</v>
      </c>
      <c r="KD82" s="9">
        <v>9243222.1786737423</v>
      </c>
      <c r="KE82" s="9">
        <v>200269.8138712644</v>
      </c>
      <c r="KF82" s="9">
        <v>269014.6861287356</v>
      </c>
      <c r="KG82" s="9">
        <v>28498.612068965536</v>
      </c>
      <c r="KH82" s="9">
        <v>75085.52</v>
      </c>
      <c r="KI82" s="9">
        <v>544370.02</v>
      </c>
      <c r="KJ82" s="9">
        <v>9002706.1046139728</v>
      </c>
      <c r="KL82" t="s">
        <v>1267</v>
      </c>
      <c r="KM82">
        <v>0</v>
      </c>
      <c r="KN82" t="s">
        <v>1264</v>
      </c>
      <c r="KO82" t="s">
        <v>1268</v>
      </c>
      <c r="KP82">
        <v>5372.49</v>
      </c>
      <c r="KQ82" t="s">
        <v>1269</v>
      </c>
    </row>
    <row r="83" spans="1:303" x14ac:dyDescent="0.3">
      <c r="A83">
        <v>46461</v>
      </c>
      <c r="B83">
        <v>206940.73708257923</v>
      </c>
      <c r="C83">
        <v>4483.7159701225501</v>
      </c>
      <c r="D83">
        <v>7687.8702367740034</v>
      </c>
      <c r="E83">
        <v>1878.1982758620693</v>
      </c>
      <c r="F83">
        <v>1947.4537931034488</v>
      </c>
      <c r="G83">
        <v>14119.04</v>
      </c>
      <c r="H83">
        <v>201131.06512166728</v>
      </c>
      <c r="J83">
        <v>46461</v>
      </c>
      <c r="K83">
        <v>287584.88798630115</v>
      </c>
      <c r="L83">
        <v>6231.0059063698582</v>
      </c>
      <c r="M83">
        <v>10286.666507423244</v>
      </c>
      <c r="N83">
        <v>4149.3017241379312</v>
      </c>
      <c r="O83">
        <v>2642.8275862068972</v>
      </c>
      <c r="P83">
        <v>19160.5</v>
      </c>
      <c r="Q83">
        <v>281447.52320301585</v>
      </c>
      <c r="S83">
        <v>46461</v>
      </c>
      <c r="T83">
        <v>114851.56074500004</v>
      </c>
      <c r="U83">
        <v>2488.4504828083341</v>
      </c>
      <c r="V83">
        <v>5336.9202068468385</v>
      </c>
      <c r="W83">
        <v>2856.7844827586209</v>
      </c>
      <c r="X83">
        <v>1252.0593103448275</v>
      </c>
      <c r="Y83">
        <v>9077.43</v>
      </c>
      <c r="Z83">
        <v>112371.42502091182</v>
      </c>
      <c r="AB83">
        <v>46461</v>
      </c>
      <c r="AC83">
        <v>1759778.218033022</v>
      </c>
      <c r="AD83">
        <v>38128.528057382144</v>
      </c>
      <c r="AE83">
        <v>54100.652977100624</v>
      </c>
      <c r="AF83">
        <v>4696.508620689664</v>
      </c>
      <c r="AG83">
        <v>14756.668965517243</v>
      </c>
      <c r="AH83">
        <v>106985.85</v>
      </c>
      <c r="AI83">
        <v>1710374.0736766113</v>
      </c>
      <c r="AK83">
        <v>46461</v>
      </c>
      <c r="AL83">
        <v>974702.41890744306</v>
      </c>
      <c r="AM83">
        <v>21118.552409661268</v>
      </c>
      <c r="AN83">
        <v>27368.309659304246</v>
      </c>
      <c r="AO83">
        <v>0</v>
      </c>
      <c r="AP83">
        <v>7757.8979310344848</v>
      </c>
      <c r="AQ83">
        <v>56244.76</v>
      </c>
      <c r="AR83">
        <v>947334.10924813885</v>
      </c>
      <c r="AT83">
        <v>46461</v>
      </c>
      <c r="AU83">
        <v>883863.30073864979</v>
      </c>
      <c r="AV83">
        <v>19150.371516004081</v>
      </c>
      <c r="AW83">
        <v>27734.654346064883</v>
      </c>
      <c r="AX83">
        <v>2921.0172413793107</v>
      </c>
      <c r="AY83">
        <v>7501.6041379310354</v>
      </c>
      <c r="AZ83">
        <v>54386.63</v>
      </c>
      <c r="BA83">
        <v>859049.66363396437</v>
      </c>
      <c r="BC83">
        <v>46461</v>
      </c>
      <c r="BD83">
        <v>399815.11444706918</v>
      </c>
      <c r="BE83">
        <v>8662.6608130198329</v>
      </c>
      <c r="BF83">
        <v>12635.520221462924</v>
      </c>
      <c r="BG83">
        <v>1411.0775862068965</v>
      </c>
      <c r="BH83">
        <v>3407.7089655172417</v>
      </c>
      <c r="BI83">
        <v>24705.89</v>
      </c>
      <c r="BJ83">
        <v>388590.67181181314</v>
      </c>
      <c r="BL83">
        <v>46461</v>
      </c>
      <c r="BM83">
        <v>792780.10749990586</v>
      </c>
      <c r="BN83">
        <v>17176.90232916463</v>
      </c>
      <c r="BO83">
        <v>24735.580429456066</v>
      </c>
      <c r="BP83">
        <v>2479.0258620689742</v>
      </c>
      <c r="BQ83">
        <v>6705.9972413793112</v>
      </c>
      <c r="BR83">
        <v>48618.48</v>
      </c>
      <c r="BS83">
        <v>770523.55293251888</v>
      </c>
      <c r="BU83">
        <v>46461</v>
      </c>
      <c r="BV83">
        <v>1665764.9671562077</v>
      </c>
      <c r="BW83">
        <v>36091.574288384501</v>
      </c>
      <c r="BX83">
        <v>51911.460194374122</v>
      </c>
      <c r="BY83">
        <v>5146.8793103448279</v>
      </c>
      <c r="BZ83">
        <v>14080.485517241381</v>
      </c>
      <c r="CA83">
        <v>102083.52</v>
      </c>
      <c r="CB83">
        <v>1619000.3862721785</v>
      </c>
      <c r="CD83">
        <v>46461</v>
      </c>
      <c r="CE83">
        <v>120034.67761528</v>
      </c>
      <c r="CF83">
        <v>2600.7513483310668</v>
      </c>
      <c r="CG83">
        <v>2589.8952033930709</v>
      </c>
      <c r="CH83">
        <v>0</v>
      </c>
      <c r="CI83">
        <v>830.50344827586218</v>
      </c>
      <c r="CJ83">
        <v>6021.15</v>
      </c>
      <c r="CK83">
        <v>117444.78241188692</v>
      </c>
      <c r="CM83">
        <v>46461</v>
      </c>
      <c r="CN83">
        <v>225645.17327486639</v>
      </c>
      <c r="CO83">
        <v>4888.9787542887716</v>
      </c>
      <c r="CP83">
        <v>4825.9609008836414</v>
      </c>
      <c r="CQ83">
        <v>0</v>
      </c>
      <c r="CR83">
        <v>1554.3903448275864</v>
      </c>
      <c r="CS83">
        <v>11269.33</v>
      </c>
      <c r="CT83">
        <v>220819.21237398277</v>
      </c>
      <c r="CV83">
        <v>46461</v>
      </c>
      <c r="CW83">
        <v>130001.48583252972</v>
      </c>
      <c r="CX83">
        <v>2816.6988597048103</v>
      </c>
      <c r="CY83">
        <v>3037.844243743466</v>
      </c>
      <c r="CZ83">
        <v>0</v>
      </c>
      <c r="DA83">
        <v>936.72689655172417</v>
      </c>
      <c r="DB83">
        <v>6791.27</v>
      </c>
      <c r="DC83">
        <v>126963.64158878624</v>
      </c>
      <c r="DE83">
        <v>46461</v>
      </c>
      <c r="DF83">
        <v>116129.78822274646</v>
      </c>
      <c r="DG83">
        <v>2516.1454114928401</v>
      </c>
      <c r="DH83">
        <v>2507.2166574726771</v>
      </c>
      <c r="DI83">
        <v>0</v>
      </c>
      <c r="DJ83">
        <v>803.73793103448293</v>
      </c>
      <c r="DK83">
        <v>5827.1</v>
      </c>
      <c r="DL83">
        <v>113622.5715652738</v>
      </c>
      <c r="DN83">
        <v>46461</v>
      </c>
      <c r="DO83">
        <v>106981.54991493806</v>
      </c>
      <c r="DP83">
        <v>2317.9335814903247</v>
      </c>
      <c r="DQ83">
        <v>2313.523315061399</v>
      </c>
      <c r="DR83">
        <v>0</v>
      </c>
      <c r="DS83">
        <v>741.03310344827605</v>
      </c>
      <c r="DT83">
        <v>5372.49</v>
      </c>
      <c r="DU83">
        <v>104668.02659987668</v>
      </c>
      <c r="DW83">
        <v>46461</v>
      </c>
      <c r="DX83">
        <v>468581.53017728281</v>
      </c>
      <c r="DY83">
        <v>10152.599820507794</v>
      </c>
      <c r="DZ83">
        <v>13773.245007078413</v>
      </c>
      <c r="EA83">
        <v>613.81034482758366</v>
      </c>
      <c r="EB83">
        <v>3828.1351724137935</v>
      </c>
      <c r="EC83">
        <v>27753.98</v>
      </c>
      <c r="ED83">
        <v>455422.09551503201</v>
      </c>
      <c r="EF83">
        <v>46461</v>
      </c>
      <c r="EG83">
        <v>749250.58698015183</v>
      </c>
      <c r="EH83">
        <v>16233.76271790329</v>
      </c>
      <c r="EI83">
        <v>23380.547626924297</v>
      </c>
      <c r="EJ83">
        <v>2346.0086206896553</v>
      </c>
      <c r="EK83">
        <v>6338.2896551724143</v>
      </c>
      <c r="EL83">
        <v>45952.6</v>
      </c>
      <c r="EM83">
        <v>728216.0479739171</v>
      </c>
      <c r="KC83" s="3">
        <v>46448</v>
      </c>
      <c r="KD83" s="9">
        <v>9002706.1046139728</v>
      </c>
      <c r="KE83" s="9">
        <v>195058.63226663612</v>
      </c>
      <c r="KF83" s="9">
        <v>274225.86773336394</v>
      </c>
      <c r="KG83" s="9">
        <v>28498.612068965536</v>
      </c>
      <c r="KH83" s="9">
        <v>75085.52</v>
      </c>
      <c r="KI83" s="9">
        <v>544370.02</v>
      </c>
      <c r="KJ83" s="9">
        <v>8756978.8489495758</v>
      </c>
      <c r="KL83" t="s">
        <v>1270</v>
      </c>
      <c r="KM83">
        <v>0.26</v>
      </c>
      <c r="KN83">
        <v>2.1666666666666667E-2</v>
      </c>
      <c r="KO83" t="s">
        <v>1271</v>
      </c>
      <c r="KP83">
        <v>27326.594827586207</v>
      </c>
      <c r="KQ83" t="s">
        <v>1264</v>
      </c>
    </row>
    <row r="84" spans="1:303" x14ac:dyDescent="0.3">
      <c r="A84">
        <v>46492</v>
      </c>
      <c r="B84">
        <v>201131.06512166728</v>
      </c>
      <c r="C84">
        <v>4357.8397443027916</v>
      </c>
      <c r="D84">
        <v>7813.746462593761</v>
      </c>
      <c r="E84">
        <v>1878.1982758620693</v>
      </c>
      <c r="F84">
        <v>1947.4537931034488</v>
      </c>
      <c r="G84">
        <v>14119.04</v>
      </c>
      <c r="H84">
        <v>195195.51693493559</v>
      </c>
      <c r="J84">
        <v>46492</v>
      </c>
      <c r="K84">
        <v>281447.52320301585</v>
      </c>
      <c r="L84">
        <v>6098.0296693986766</v>
      </c>
      <c r="M84">
        <v>10419.642744394425</v>
      </c>
      <c r="N84">
        <v>4149.3017241379312</v>
      </c>
      <c r="O84">
        <v>2642.8275862068972</v>
      </c>
      <c r="P84">
        <v>19160.5</v>
      </c>
      <c r="Q84">
        <v>275177.18218275934</v>
      </c>
      <c r="S84">
        <v>46492</v>
      </c>
      <c r="T84">
        <v>112371.42502091182</v>
      </c>
      <c r="U84">
        <v>2434.7142087864227</v>
      </c>
      <c r="V84">
        <v>5390.656480868749</v>
      </c>
      <c r="W84">
        <v>2856.7844827586209</v>
      </c>
      <c r="X84">
        <v>1252.0593103448275</v>
      </c>
      <c r="Y84">
        <v>9077.43</v>
      </c>
      <c r="Z84">
        <v>109837.55302280169</v>
      </c>
      <c r="AB84">
        <v>46492</v>
      </c>
      <c r="AC84">
        <v>1710374.0736766113</v>
      </c>
      <c r="AD84">
        <v>37058.104929659909</v>
      </c>
      <c r="AE84">
        <v>55171.07610482286</v>
      </c>
      <c r="AF84">
        <v>4696.508620689664</v>
      </c>
      <c r="AG84">
        <v>14756.668965517243</v>
      </c>
      <c r="AH84">
        <v>106985.85</v>
      </c>
      <c r="AI84">
        <v>1659899.5061924779</v>
      </c>
      <c r="AK84">
        <v>46492</v>
      </c>
      <c r="AL84">
        <v>947334.10924813885</v>
      </c>
      <c r="AM84">
        <v>20525.572367043009</v>
      </c>
      <c r="AN84">
        <v>27961.289701922506</v>
      </c>
      <c r="AO84">
        <v>0</v>
      </c>
      <c r="AP84">
        <v>7757.8979310344848</v>
      </c>
      <c r="AQ84">
        <v>56244.76</v>
      </c>
      <c r="AR84">
        <v>919372.8195462164</v>
      </c>
      <c r="AT84">
        <v>46492</v>
      </c>
      <c r="AU84">
        <v>859049.66363396437</v>
      </c>
      <c r="AV84">
        <v>18612.742712069223</v>
      </c>
      <c r="AW84">
        <v>28272.283149999737</v>
      </c>
      <c r="AX84">
        <v>2921.0172413793107</v>
      </c>
      <c r="AY84">
        <v>7501.6041379310354</v>
      </c>
      <c r="AZ84">
        <v>54386.63</v>
      </c>
      <c r="BA84">
        <v>833698.39772534405</v>
      </c>
      <c r="BC84">
        <v>46492</v>
      </c>
      <c r="BD84">
        <v>388590.67181181314</v>
      </c>
      <c r="BE84">
        <v>8419.4645559226192</v>
      </c>
      <c r="BF84">
        <v>12878.716478560138</v>
      </c>
      <c r="BG84">
        <v>1411.0775862068965</v>
      </c>
      <c r="BH84">
        <v>3407.7089655172417</v>
      </c>
      <c r="BI84">
        <v>24705.89</v>
      </c>
      <c r="BJ84">
        <v>377123.03291945992</v>
      </c>
      <c r="BL84">
        <v>46492</v>
      </c>
      <c r="BM84">
        <v>770523.55293251888</v>
      </c>
      <c r="BN84">
        <v>16694.676980204575</v>
      </c>
      <c r="BO84">
        <v>25217.805778416121</v>
      </c>
      <c r="BP84">
        <v>2479.0258620689742</v>
      </c>
      <c r="BQ84">
        <v>6705.9972413793112</v>
      </c>
      <c r="BR84">
        <v>48618.48</v>
      </c>
      <c r="BS84">
        <v>747784.77301617188</v>
      </c>
      <c r="BU84">
        <v>46492</v>
      </c>
      <c r="BV84">
        <v>1619000.3862721785</v>
      </c>
      <c r="BW84">
        <v>35078.341702563863</v>
      </c>
      <c r="BX84">
        <v>52924.69278019476</v>
      </c>
      <c r="BY84">
        <v>5146.8793103448279</v>
      </c>
      <c r="BZ84">
        <v>14080.485517241381</v>
      </c>
      <c r="CA84">
        <v>102083.52</v>
      </c>
      <c r="CB84">
        <v>1571222.5728023285</v>
      </c>
      <c r="CD84">
        <v>46492</v>
      </c>
      <c r="CE84">
        <v>117444.78241188692</v>
      </c>
      <c r="CF84">
        <v>2544.6369522575501</v>
      </c>
      <c r="CG84">
        <v>2646.0095994665876</v>
      </c>
      <c r="CH84">
        <v>0</v>
      </c>
      <c r="CI84">
        <v>830.50344827586218</v>
      </c>
      <c r="CJ84">
        <v>6021.15</v>
      </c>
      <c r="CK84">
        <v>114798.77281242034</v>
      </c>
      <c r="CM84">
        <v>46492</v>
      </c>
      <c r="CN84">
        <v>220819.21237398277</v>
      </c>
      <c r="CO84">
        <v>4784.4162681029602</v>
      </c>
      <c r="CP84">
        <v>4930.5233870694528</v>
      </c>
      <c r="CQ84">
        <v>0</v>
      </c>
      <c r="CR84">
        <v>1554.3903448275864</v>
      </c>
      <c r="CS84">
        <v>11269.33</v>
      </c>
      <c r="CT84">
        <v>215888.6889869133</v>
      </c>
      <c r="CV84">
        <v>46492</v>
      </c>
      <c r="CW84">
        <v>126963.64158878624</v>
      </c>
      <c r="CX84">
        <v>2750.8789010903688</v>
      </c>
      <c r="CY84">
        <v>3103.6642023579075</v>
      </c>
      <c r="CZ84">
        <v>0</v>
      </c>
      <c r="DA84">
        <v>936.72689655172417</v>
      </c>
      <c r="DB84">
        <v>6791.27</v>
      </c>
      <c r="DC84">
        <v>123859.97738642832</v>
      </c>
      <c r="DE84">
        <v>46492</v>
      </c>
      <c r="DF84">
        <v>113622.5715652738</v>
      </c>
      <c r="DG84">
        <v>2461.8223839142656</v>
      </c>
      <c r="DH84">
        <v>2561.5396850512516</v>
      </c>
      <c r="DI84">
        <v>0</v>
      </c>
      <c r="DJ84">
        <v>803.73793103448293</v>
      </c>
      <c r="DK84">
        <v>5827.1</v>
      </c>
      <c r="DL84">
        <v>111061.03188022254</v>
      </c>
      <c r="DN84">
        <v>46492</v>
      </c>
      <c r="DO84">
        <v>104668.02659987668</v>
      </c>
      <c r="DP84">
        <v>2267.8072429973281</v>
      </c>
      <c r="DQ84">
        <v>2363.6496535543956</v>
      </c>
      <c r="DR84">
        <v>0</v>
      </c>
      <c r="DS84">
        <v>741.03310344827605</v>
      </c>
      <c r="DT84">
        <v>5372.49</v>
      </c>
      <c r="DU84">
        <v>102304.37694632229</v>
      </c>
      <c r="DW84">
        <v>46492</v>
      </c>
      <c r="DX84">
        <v>455422.09551503201</v>
      </c>
      <c r="DY84">
        <v>9867.4787361590279</v>
      </c>
      <c r="DZ84">
        <v>14058.36609142718</v>
      </c>
      <c r="EA84">
        <v>613.81034482758366</v>
      </c>
      <c r="EB84">
        <v>3828.1351724137935</v>
      </c>
      <c r="EC84">
        <v>27753.98</v>
      </c>
      <c r="ED84">
        <v>441977.5397684325</v>
      </c>
      <c r="EF84">
        <v>46492</v>
      </c>
      <c r="EG84">
        <v>728216.0479739171</v>
      </c>
      <c r="EH84">
        <v>15778.014372768204</v>
      </c>
      <c r="EI84">
        <v>23836.295972059383</v>
      </c>
      <c r="EJ84">
        <v>2346.0086206896553</v>
      </c>
      <c r="EK84">
        <v>6338.2896551724143</v>
      </c>
      <c r="EL84">
        <v>45952.6</v>
      </c>
      <c r="EM84">
        <v>706725.76062254736</v>
      </c>
      <c r="KC84" s="3">
        <v>46479</v>
      </c>
      <c r="KD84" s="9">
        <v>8756978.8489495758</v>
      </c>
      <c r="KE84" s="9">
        <v>189734.54172724075</v>
      </c>
      <c r="KF84" s="9">
        <v>279549.95827275922</v>
      </c>
      <c r="KG84" s="9">
        <v>28498.612068965536</v>
      </c>
      <c r="KH84" s="9">
        <v>75085.52</v>
      </c>
      <c r="KI84" s="9">
        <v>544370.02</v>
      </c>
      <c r="KJ84" s="9">
        <v>8505927.5027457811</v>
      </c>
    </row>
    <row r="85" spans="1:303" x14ac:dyDescent="0.3">
      <c r="A85">
        <v>46522</v>
      </c>
      <c r="B85">
        <v>195195.51693493559</v>
      </c>
      <c r="C85">
        <v>4229.236200256938</v>
      </c>
      <c r="D85">
        <v>7942.3500066396145</v>
      </c>
      <c r="E85">
        <v>1878.1982758620693</v>
      </c>
      <c r="F85">
        <v>1947.4537931034488</v>
      </c>
      <c r="G85">
        <v>14119.04</v>
      </c>
      <c r="H85">
        <v>189131.36520415804</v>
      </c>
      <c r="J85">
        <v>46522</v>
      </c>
      <c r="K85">
        <v>275177.18218275934</v>
      </c>
      <c r="L85">
        <v>5962.1722806264524</v>
      </c>
      <c r="M85">
        <v>10555.50013316665</v>
      </c>
      <c r="N85">
        <v>4149.3017241379312</v>
      </c>
      <c r="O85">
        <v>2642.8275862068972</v>
      </c>
      <c r="P85">
        <v>19160.5</v>
      </c>
      <c r="Q85">
        <v>268770.98377373058</v>
      </c>
      <c r="S85">
        <v>46522</v>
      </c>
      <c r="T85">
        <v>109837.55302280169</v>
      </c>
      <c r="U85">
        <v>2379.8136488273699</v>
      </c>
      <c r="V85">
        <v>5445.5570408278018</v>
      </c>
      <c r="W85">
        <v>2856.7844827586209</v>
      </c>
      <c r="X85">
        <v>1252.0593103448275</v>
      </c>
      <c r="Y85">
        <v>9077.43</v>
      </c>
      <c r="Z85">
        <v>107248.78046473252</v>
      </c>
      <c r="AB85">
        <v>46522</v>
      </c>
      <c r="AC85">
        <v>1659899.5061924779</v>
      </c>
      <c r="AD85">
        <v>35964.48930083702</v>
      </c>
      <c r="AE85">
        <v>56264.691733645741</v>
      </c>
      <c r="AF85">
        <v>4696.508620689664</v>
      </c>
      <c r="AG85">
        <v>14756.668965517243</v>
      </c>
      <c r="AH85">
        <v>106985.85</v>
      </c>
      <c r="AI85">
        <v>1608331.3230795218</v>
      </c>
      <c r="AK85">
        <v>46522</v>
      </c>
      <c r="AL85">
        <v>919372.8195462164</v>
      </c>
      <c r="AM85">
        <v>19919.744423501357</v>
      </c>
      <c r="AN85">
        <v>28567.117645464157</v>
      </c>
      <c r="AO85">
        <v>0</v>
      </c>
      <c r="AP85">
        <v>7757.8979310344848</v>
      </c>
      <c r="AQ85">
        <v>56244.76</v>
      </c>
      <c r="AR85">
        <v>890805.70190075238</v>
      </c>
      <c r="AT85">
        <v>46522</v>
      </c>
      <c r="AU85">
        <v>833698.39772534405</v>
      </c>
      <c r="AV85">
        <v>18063.465284049122</v>
      </c>
      <c r="AW85">
        <v>28821.560578019849</v>
      </c>
      <c r="AX85">
        <v>2921.0172413793107</v>
      </c>
      <c r="AY85">
        <v>7501.6041379310354</v>
      </c>
      <c r="AZ85">
        <v>54386.63</v>
      </c>
      <c r="BA85">
        <v>807797.85438870348</v>
      </c>
      <c r="BC85">
        <v>46522</v>
      </c>
      <c r="BD85">
        <v>377123.03291945992</v>
      </c>
      <c r="BE85">
        <v>8170.9990465882975</v>
      </c>
      <c r="BF85">
        <v>13127.181987894461</v>
      </c>
      <c r="BG85">
        <v>1411.0775862068965</v>
      </c>
      <c r="BH85">
        <v>3407.7089655172417</v>
      </c>
      <c r="BI85">
        <v>24705.89</v>
      </c>
      <c r="BJ85">
        <v>365406.92851777229</v>
      </c>
      <c r="BL85">
        <v>46522</v>
      </c>
      <c r="BM85">
        <v>747784.77301617188</v>
      </c>
      <c r="BN85">
        <v>16202.003415350388</v>
      </c>
      <c r="BO85">
        <v>25710.479343270308</v>
      </c>
      <c r="BP85">
        <v>2479.0258620689742</v>
      </c>
      <c r="BQ85">
        <v>6705.9972413793112</v>
      </c>
      <c r="BR85">
        <v>48618.48</v>
      </c>
      <c r="BS85">
        <v>724553.31953497045</v>
      </c>
      <c r="BU85">
        <v>46522</v>
      </c>
      <c r="BV85">
        <v>1571222.5728023285</v>
      </c>
      <c r="BW85">
        <v>34043.155744050448</v>
      </c>
      <c r="BX85">
        <v>53959.878738708176</v>
      </c>
      <c r="BY85">
        <v>5146.8793103448279</v>
      </c>
      <c r="BZ85">
        <v>14080.485517241381</v>
      </c>
      <c r="CA85">
        <v>102083.52</v>
      </c>
      <c r="CB85">
        <v>1522409.573373965</v>
      </c>
      <c r="CD85">
        <v>46522</v>
      </c>
      <c r="CE85">
        <v>114798.77281242034</v>
      </c>
      <c r="CF85">
        <v>2487.3067442691076</v>
      </c>
      <c r="CG85">
        <v>2703.33980745503</v>
      </c>
      <c r="CH85">
        <v>0</v>
      </c>
      <c r="CI85">
        <v>830.50344827586218</v>
      </c>
      <c r="CJ85">
        <v>6021.15</v>
      </c>
      <c r="CK85">
        <v>112095.43300496532</v>
      </c>
      <c r="CM85">
        <v>46522</v>
      </c>
      <c r="CN85">
        <v>215888.6889869133</v>
      </c>
      <c r="CO85">
        <v>4677.5882613831218</v>
      </c>
      <c r="CP85">
        <v>5037.3513937892913</v>
      </c>
      <c r="CQ85">
        <v>0</v>
      </c>
      <c r="CR85">
        <v>1554.3903448275864</v>
      </c>
      <c r="CS85">
        <v>11269.33</v>
      </c>
      <c r="CT85">
        <v>210851.33759312399</v>
      </c>
      <c r="CV85">
        <v>46522</v>
      </c>
      <c r="CW85">
        <v>123859.97738642832</v>
      </c>
      <c r="CX85">
        <v>2683.6328433726139</v>
      </c>
      <c r="CY85">
        <v>3170.9102600756623</v>
      </c>
      <c r="CZ85">
        <v>0</v>
      </c>
      <c r="DA85">
        <v>936.72689655172417</v>
      </c>
      <c r="DB85">
        <v>6791.27</v>
      </c>
      <c r="DC85">
        <v>120689.06712635267</v>
      </c>
      <c r="DE85">
        <v>46522</v>
      </c>
      <c r="DF85">
        <v>111061.03188022254</v>
      </c>
      <c r="DG85">
        <v>2406.3223574048216</v>
      </c>
      <c r="DH85">
        <v>2617.0397115606957</v>
      </c>
      <c r="DI85">
        <v>0</v>
      </c>
      <c r="DJ85">
        <v>803.73793103448293</v>
      </c>
      <c r="DK85">
        <v>5827.1</v>
      </c>
      <c r="DL85">
        <v>108443.99216866185</v>
      </c>
      <c r="DN85">
        <v>46522</v>
      </c>
      <c r="DO85">
        <v>102304.37694632229</v>
      </c>
      <c r="DP85">
        <v>2216.5948338369826</v>
      </c>
      <c r="DQ85">
        <v>2414.8620627147411</v>
      </c>
      <c r="DR85">
        <v>0</v>
      </c>
      <c r="DS85">
        <v>741.03310344827605</v>
      </c>
      <c r="DT85">
        <v>5372.49</v>
      </c>
      <c r="DU85">
        <v>99889.514883607524</v>
      </c>
      <c r="DW85">
        <v>46522</v>
      </c>
      <c r="DX85">
        <v>441977.5397684325</v>
      </c>
      <c r="DY85">
        <v>9576.1800283160374</v>
      </c>
      <c r="DZ85">
        <v>14349.664799270167</v>
      </c>
      <c r="EA85">
        <v>613.81034482758366</v>
      </c>
      <c r="EB85">
        <v>3828.1351724137935</v>
      </c>
      <c r="EC85">
        <v>27753.98</v>
      </c>
      <c r="ED85">
        <v>428241.68531398982</v>
      </c>
      <c r="EF85">
        <v>46522</v>
      </c>
      <c r="EG85">
        <v>706725.76062254736</v>
      </c>
      <c r="EH85">
        <v>15312.391480155193</v>
      </c>
      <c r="EI85">
        <v>24301.918864672392</v>
      </c>
      <c r="EJ85">
        <v>2346.0086206896553</v>
      </c>
      <c r="EK85">
        <v>6338.2896551724143</v>
      </c>
      <c r="EL85">
        <v>45952.6</v>
      </c>
      <c r="EM85">
        <v>684769.85037856456</v>
      </c>
      <c r="KC85" s="3">
        <v>46509</v>
      </c>
      <c r="KD85" s="9">
        <v>8505927.5027457811</v>
      </c>
      <c r="KE85" s="9">
        <v>184295.09589282528</v>
      </c>
      <c r="KF85" s="9">
        <v>284989.40410717472</v>
      </c>
      <c r="KG85" s="9">
        <v>28498.612068965536</v>
      </c>
      <c r="KH85" s="9">
        <v>75085.52</v>
      </c>
      <c r="KI85" s="9">
        <v>544370.02</v>
      </c>
      <c r="KJ85" s="9">
        <v>8249436.7107075732</v>
      </c>
      <c r="KL85" t="s">
        <v>1195</v>
      </c>
      <c r="KN85">
        <v>88501</v>
      </c>
      <c r="KO85" t="s">
        <v>1196</v>
      </c>
    </row>
    <row r="86" spans="1:303" x14ac:dyDescent="0.3">
      <c r="A86">
        <v>46553</v>
      </c>
      <c r="B86">
        <v>189131.36520415804</v>
      </c>
      <c r="C86">
        <v>4097.846246090091</v>
      </c>
      <c r="D86">
        <v>8073.7399608064607</v>
      </c>
      <c r="E86">
        <v>1878.1982758620693</v>
      </c>
      <c r="F86">
        <v>1947.4537931034488</v>
      </c>
      <c r="G86">
        <v>14119.04</v>
      </c>
      <c r="H86">
        <v>182935.82351921359</v>
      </c>
      <c r="J86">
        <v>46553</v>
      </c>
      <c r="K86">
        <v>268770.98377373058</v>
      </c>
      <c r="L86">
        <v>5823.3713150974963</v>
      </c>
      <c r="M86">
        <v>10694.301098695603</v>
      </c>
      <c r="N86">
        <v>4149.3017241379312</v>
      </c>
      <c r="O86">
        <v>2642.8275862068972</v>
      </c>
      <c r="P86">
        <v>19160.5</v>
      </c>
      <c r="Q86">
        <v>262225.98439917288</v>
      </c>
      <c r="S86">
        <v>46553</v>
      </c>
      <c r="T86">
        <v>107248.78046473252</v>
      </c>
      <c r="U86">
        <v>2323.7235767358711</v>
      </c>
      <c r="V86">
        <v>5501.6471129193014</v>
      </c>
      <c r="W86">
        <v>2856.7844827586209</v>
      </c>
      <c r="X86">
        <v>1252.0593103448275</v>
      </c>
      <c r="Y86">
        <v>9077.43</v>
      </c>
      <c r="Z86">
        <v>104603.91783457184</v>
      </c>
      <c r="AB86">
        <v>46553</v>
      </c>
      <c r="AC86">
        <v>1608331.3230795218</v>
      </c>
      <c r="AD86">
        <v>34847.178666722975</v>
      </c>
      <c r="AE86">
        <v>57382.002367759793</v>
      </c>
      <c r="AF86">
        <v>4696.508620689664</v>
      </c>
      <c r="AG86">
        <v>14756.668965517243</v>
      </c>
      <c r="AH86">
        <v>106985.85</v>
      </c>
      <c r="AI86">
        <v>1555645.8293324516</v>
      </c>
      <c r="AK86">
        <v>46553</v>
      </c>
      <c r="AL86">
        <v>890805.70190075238</v>
      </c>
      <c r="AM86">
        <v>19300.790207849634</v>
      </c>
      <c r="AN86">
        <v>29186.071861115881</v>
      </c>
      <c r="AO86">
        <v>0</v>
      </c>
      <c r="AP86">
        <v>7757.8979310344848</v>
      </c>
      <c r="AQ86">
        <v>56244.76</v>
      </c>
      <c r="AR86">
        <v>861619.63003963628</v>
      </c>
      <c r="AT86">
        <v>46553</v>
      </c>
      <c r="AU86">
        <v>807797.85438870348</v>
      </c>
      <c r="AV86">
        <v>17502.286845088576</v>
      </c>
      <c r="AW86">
        <v>29382.739016980388</v>
      </c>
      <c r="AX86">
        <v>2921.0172413793107</v>
      </c>
      <c r="AY86">
        <v>7501.6041379310354</v>
      </c>
      <c r="AZ86">
        <v>54386.63</v>
      </c>
      <c r="BA86">
        <v>781336.13261310244</v>
      </c>
      <c r="BC86">
        <v>46553</v>
      </c>
      <c r="BD86">
        <v>365406.92851777229</v>
      </c>
      <c r="BE86">
        <v>7917.1501178850676</v>
      </c>
      <c r="BF86">
        <v>13381.030916597692</v>
      </c>
      <c r="BG86">
        <v>1411.0775862068965</v>
      </c>
      <c r="BH86">
        <v>3407.7089655172417</v>
      </c>
      <c r="BI86">
        <v>24705.89</v>
      </c>
      <c r="BJ86">
        <v>353436.97518738155</v>
      </c>
      <c r="BL86">
        <v>46553</v>
      </c>
      <c r="BM86">
        <v>724553.31953497045</v>
      </c>
      <c r="BN86">
        <v>15698.655256591026</v>
      </c>
      <c r="BO86">
        <v>26213.827502029671</v>
      </c>
      <c r="BP86">
        <v>2479.0258620689742</v>
      </c>
      <c r="BQ86">
        <v>6705.9972413793112</v>
      </c>
      <c r="BR86">
        <v>48618.48</v>
      </c>
      <c r="BS86">
        <v>700818.51789500972</v>
      </c>
      <c r="BU86">
        <v>46553</v>
      </c>
      <c r="BV86">
        <v>1522409.573373965</v>
      </c>
      <c r="BW86">
        <v>32985.540756435912</v>
      </c>
      <c r="BX86">
        <v>55017.493726322711</v>
      </c>
      <c r="BY86">
        <v>5146.8793103448279</v>
      </c>
      <c r="BZ86">
        <v>14080.485517241381</v>
      </c>
      <c r="CA86">
        <v>102083.52</v>
      </c>
      <c r="CB86">
        <v>1472538.9589579871</v>
      </c>
      <c r="CD86">
        <v>46553</v>
      </c>
      <c r="CE86">
        <v>112095.43300496532</v>
      </c>
      <c r="CF86">
        <v>2428.7343817742485</v>
      </c>
      <c r="CG86">
        <v>2761.9121699498892</v>
      </c>
      <c r="CH86">
        <v>0</v>
      </c>
      <c r="CI86">
        <v>830.50344827586218</v>
      </c>
      <c r="CJ86">
        <v>6021.15</v>
      </c>
      <c r="CK86">
        <v>109333.5208350154</v>
      </c>
      <c r="CM86">
        <v>46553</v>
      </c>
      <c r="CN86">
        <v>210851.33759312399</v>
      </c>
      <c r="CO86">
        <v>4568.4456478510201</v>
      </c>
      <c r="CP86">
        <v>5146.4940073213929</v>
      </c>
      <c r="CQ86">
        <v>0</v>
      </c>
      <c r="CR86">
        <v>1554.3903448275864</v>
      </c>
      <c r="CS86">
        <v>11269.33</v>
      </c>
      <c r="CT86">
        <v>205704.84358580265</v>
      </c>
      <c r="CV86">
        <v>46553</v>
      </c>
      <c r="CW86">
        <v>120689.06712635267</v>
      </c>
      <c r="CX86">
        <v>2614.9297877376412</v>
      </c>
      <c r="CY86">
        <v>3239.6133157106351</v>
      </c>
      <c r="CZ86">
        <v>0</v>
      </c>
      <c r="DA86">
        <v>936.72689655172417</v>
      </c>
      <c r="DB86">
        <v>6791.27</v>
      </c>
      <c r="DC86">
        <v>117449.45381064204</v>
      </c>
      <c r="DE86">
        <v>46553</v>
      </c>
      <c r="DF86">
        <v>108443.99216866185</v>
      </c>
      <c r="DG86">
        <v>2349.6198303210067</v>
      </c>
      <c r="DH86">
        <v>2673.7422386445105</v>
      </c>
      <c r="DI86">
        <v>0</v>
      </c>
      <c r="DJ86">
        <v>803.73793103448293</v>
      </c>
      <c r="DK86">
        <v>5827.1</v>
      </c>
      <c r="DL86">
        <v>105770.24993001734</v>
      </c>
      <c r="DN86">
        <v>46553</v>
      </c>
      <c r="DO86">
        <v>99889.514883607524</v>
      </c>
      <c r="DP86">
        <v>2164.2728224781631</v>
      </c>
      <c r="DQ86">
        <v>2467.1840740735606</v>
      </c>
      <c r="DR86">
        <v>0</v>
      </c>
      <c r="DS86">
        <v>741.03310344827605</v>
      </c>
      <c r="DT86">
        <v>5372.49</v>
      </c>
      <c r="DU86">
        <v>97422.33080953396</v>
      </c>
      <c r="DW86">
        <v>46553</v>
      </c>
      <c r="DX86">
        <v>428241.68531398982</v>
      </c>
      <c r="DY86">
        <v>9278.5698484697805</v>
      </c>
      <c r="DZ86">
        <v>14647.274979116426</v>
      </c>
      <c r="EA86">
        <v>613.81034482758366</v>
      </c>
      <c r="EB86">
        <v>3828.1351724137935</v>
      </c>
      <c r="EC86">
        <v>27753.98</v>
      </c>
      <c r="ED86">
        <v>414208.22067970101</v>
      </c>
      <c r="EF86">
        <v>46553</v>
      </c>
      <c r="EG86">
        <v>684769.85037856456</v>
      </c>
      <c r="EH86">
        <v>14836.680091535563</v>
      </c>
      <c r="EI86">
        <v>24777.630253292024</v>
      </c>
      <c r="EJ86">
        <v>2346.0086206896553</v>
      </c>
      <c r="EK86">
        <v>6338.2896551724143</v>
      </c>
      <c r="EL86">
        <v>45952.6</v>
      </c>
      <c r="EM86">
        <v>662338.22874596214</v>
      </c>
      <c r="KC86" s="3">
        <v>46540</v>
      </c>
      <c r="KD86" s="9">
        <v>8249436.7107075732</v>
      </c>
      <c r="KE86" s="9">
        <v>178737.79539866405</v>
      </c>
      <c r="KF86" s="9">
        <v>290546.70460133598</v>
      </c>
      <c r="KG86" s="9">
        <v>28498.612068965536</v>
      </c>
      <c r="KH86" s="9">
        <v>75085.52</v>
      </c>
      <c r="KI86" s="9">
        <v>544370.02</v>
      </c>
      <c r="KJ86" s="9">
        <v>7987388.618175202</v>
      </c>
      <c r="KL86" t="s">
        <v>1231</v>
      </c>
      <c r="KM86" t="s">
        <v>1232</v>
      </c>
      <c r="KO86" t="s">
        <v>1233</v>
      </c>
      <c r="KP86" t="s">
        <v>1249</v>
      </c>
    </row>
    <row r="87" spans="1:303" x14ac:dyDescent="0.3">
      <c r="A87">
        <v>46583</v>
      </c>
      <c r="B87">
        <v>182935.82351921359</v>
      </c>
      <c r="C87">
        <v>3963.6095095829614</v>
      </c>
      <c r="D87">
        <v>8207.9766973135902</v>
      </c>
      <c r="E87">
        <v>1878.1982758620693</v>
      </c>
      <c r="F87">
        <v>1947.4537931034488</v>
      </c>
      <c r="G87">
        <v>14119.04</v>
      </c>
      <c r="H87">
        <v>176606.04509776208</v>
      </c>
      <c r="J87">
        <v>46583</v>
      </c>
      <c r="K87">
        <v>262225.98439917288</v>
      </c>
      <c r="L87">
        <v>5681.562995315413</v>
      </c>
      <c r="M87">
        <v>10836.109418477688</v>
      </c>
      <c r="N87">
        <v>4149.3017241379312</v>
      </c>
      <c r="O87">
        <v>2642.8275862068972</v>
      </c>
      <c r="P87">
        <v>19160.5</v>
      </c>
      <c r="Q87">
        <v>255539.17670483311</v>
      </c>
      <c r="S87">
        <v>46583</v>
      </c>
      <c r="T87">
        <v>104603.91783457184</v>
      </c>
      <c r="U87">
        <v>2266.4182197490568</v>
      </c>
      <c r="V87">
        <v>5558.9524699061149</v>
      </c>
      <c r="W87">
        <v>2856.7844827586209</v>
      </c>
      <c r="X87">
        <v>1252.0593103448275</v>
      </c>
      <c r="Y87">
        <v>9077.43</v>
      </c>
      <c r="Z87">
        <v>101901.74984742436</v>
      </c>
      <c r="AB87">
        <v>46583</v>
      </c>
      <c r="AC87">
        <v>1555645.8293324516</v>
      </c>
      <c r="AD87">
        <v>33705.659635536453</v>
      </c>
      <c r="AE87">
        <v>58523.521398946315</v>
      </c>
      <c r="AF87">
        <v>4696.508620689664</v>
      </c>
      <c r="AG87">
        <v>14756.668965517243</v>
      </c>
      <c r="AH87">
        <v>106985.85</v>
      </c>
      <c r="AI87">
        <v>1501818.8165541948</v>
      </c>
      <c r="AK87">
        <v>46583</v>
      </c>
      <c r="AL87">
        <v>861619.63003963628</v>
      </c>
      <c r="AM87">
        <v>18668.425317525456</v>
      </c>
      <c r="AN87">
        <v>29818.436751440055</v>
      </c>
      <c r="AO87">
        <v>0</v>
      </c>
      <c r="AP87">
        <v>7757.8979310344848</v>
      </c>
      <c r="AQ87">
        <v>56244.76</v>
      </c>
      <c r="AR87">
        <v>831801.19328819634</v>
      </c>
      <c r="AT87">
        <v>46583</v>
      </c>
      <c r="AU87">
        <v>781336.13261310244</v>
      </c>
      <c r="AV87">
        <v>16928.949539950554</v>
      </c>
      <c r="AW87">
        <v>29956.07632211841</v>
      </c>
      <c r="AX87">
        <v>2921.0172413793107</v>
      </c>
      <c r="AY87">
        <v>7501.6041379310354</v>
      </c>
      <c r="AZ87">
        <v>54386.63</v>
      </c>
      <c r="BA87">
        <v>754301.0735323634</v>
      </c>
      <c r="BC87">
        <v>46583</v>
      </c>
      <c r="BD87">
        <v>353436.97518738155</v>
      </c>
      <c r="BE87">
        <v>7657.8011290599343</v>
      </c>
      <c r="BF87">
        <v>13640.379905422822</v>
      </c>
      <c r="BG87">
        <v>1411.0775862068965</v>
      </c>
      <c r="BH87">
        <v>3407.7089655172417</v>
      </c>
      <c r="BI87">
        <v>24705.89</v>
      </c>
      <c r="BJ87">
        <v>341207.67286816565</v>
      </c>
      <c r="BL87">
        <v>46583</v>
      </c>
      <c r="BM87">
        <v>700818.51789500972</v>
      </c>
      <c r="BN87">
        <v>15184.401221058544</v>
      </c>
      <c r="BO87">
        <v>26728.081537562153</v>
      </c>
      <c r="BP87">
        <v>2479.0258620689742</v>
      </c>
      <c r="BQ87">
        <v>6705.9972413793112</v>
      </c>
      <c r="BR87">
        <v>48618.48</v>
      </c>
      <c r="BS87">
        <v>676569.46221951651</v>
      </c>
      <c r="BU87">
        <v>46583</v>
      </c>
      <c r="BV87">
        <v>1472538.9589579871</v>
      </c>
      <c r="BW87">
        <v>31905.010777423056</v>
      </c>
      <c r="BX87">
        <v>56098.023705335567</v>
      </c>
      <c r="BY87">
        <v>5146.8793103448279</v>
      </c>
      <c r="BZ87">
        <v>14080.485517241381</v>
      </c>
      <c r="CA87">
        <v>102083.52</v>
      </c>
      <c r="CB87">
        <v>1421587.8145629964</v>
      </c>
      <c r="CD87">
        <v>46583</v>
      </c>
      <c r="CE87">
        <v>109333.5208350154</v>
      </c>
      <c r="CF87">
        <v>2368.8929514253341</v>
      </c>
      <c r="CG87">
        <v>2821.7536002988036</v>
      </c>
      <c r="CH87">
        <v>0</v>
      </c>
      <c r="CI87">
        <v>830.50344827586218</v>
      </c>
      <c r="CJ87">
        <v>6021.15</v>
      </c>
      <c r="CK87">
        <v>106511.76723471659</v>
      </c>
      <c r="CM87">
        <v>46583</v>
      </c>
      <c r="CN87">
        <v>205704.84358580265</v>
      </c>
      <c r="CO87">
        <v>4456.9382776923903</v>
      </c>
      <c r="CP87">
        <v>5258.0013774800227</v>
      </c>
      <c r="CQ87">
        <v>0</v>
      </c>
      <c r="CR87">
        <v>1554.3903448275864</v>
      </c>
      <c r="CS87">
        <v>11269.33</v>
      </c>
      <c r="CT87">
        <v>200446.8422083226</v>
      </c>
      <c r="CV87">
        <v>46583</v>
      </c>
      <c r="CW87">
        <v>117449.45381064204</v>
      </c>
      <c r="CX87">
        <v>2544.738165897244</v>
      </c>
      <c r="CY87">
        <v>3309.8049375510323</v>
      </c>
      <c r="CZ87">
        <v>0</v>
      </c>
      <c r="DA87">
        <v>936.72689655172417</v>
      </c>
      <c r="DB87">
        <v>6791.27</v>
      </c>
      <c r="DC87">
        <v>114139.64887309101</v>
      </c>
      <c r="DE87">
        <v>46583</v>
      </c>
      <c r="DF87">
        <v>105770.24993001734</v>
      </c>
      <c r="DG87">
        <v>2291.6887484837089</v>
      </c>
      <c r="DH87">
        <v>2731.6733204818083</v>
      </c>
      <c r="DI87">
        <v>0</v>
      </c>
      <c r="DJ87">
        <v>803.73793103448293</v>
      </c>
      <c r="DK87">
        <v>5827.1</v>
      </c>
      <c r="DL87">
        <v>103038.57660953552</v>
      </c>
      <c r="DN87">
        <v>46583</v>
      </c>
      <c r="DO87">
        <v>97422.33080953396</v>
      </c>
      <c r="DP87">
        <v>2110.8171675399026</v>
      </c>
      <c r="DQ87">
        <v>2520.6397290118211</v>
      </c>
      <c r="DR87">
        <v>0</v>
      </c>
      <c r="DS87">
        <v>741.03310344827605</v>
      </c>
      <c r="DT87">
        <v>5372.49</v>
      </c>
      <c r="DU87">
        <v>94901.691080522141</v>
      </c>
      <c r="DW87">
        <v>46583</v>
      </c>
      <c r="DX87">
        <v>414208.22067970101</v>
      </c>
      <c r="DY87">
        <v>8974.5114480601897</v>
      </c>
      <c r="DZ87">
        <v>14951.333379526017</v>
      </c>
      <c r="EA87">
        <v>613.81034482758366</v>
      </c>
      <c r="EB87">
        <v>3828.1351724137935</v>
      </c>
      <c r="EC87">
        <v>27753.98</v>
      </c>
      <c r="ED87">
        <v>399870.69764500257</v>
      </c>
      <c r="EF87">
        <v>46583</v>
      </c>
      <c r="EG87">
        <v>662338.22874596214</v>
      </c>
      <c r="EH87">
        <v>14350.66162282918</v>
      </c>
      <c r="EI87">
        <v>25263.648721998405</v>
      </c>
      <c r="EJ87">
        <v>2346.0086206896553</v>
      </c>
      <c r="EK87">
        <v>6338.2896551724143</v>
      </c>
      <c r="EL87">
        <v>45952.6</v>
      </c>
      <c r="EM87">
        <v>639420.58864465333</v>
      </c>
      <c r="KC87" s="3">
        <v>46570</v>
      </c>
      <c r="KD87" s="9">
        <v>7987388.618175202</v>
      </c>
      <c r="KE87" s="9">
        <v>173060.08672712941</v>
      </c>
      <c r="KF87" s="9">
        <v>296224.41327287065</v>
      </c>
      <c r="KG87" s="9">
        <v>28498.612068965536</v>
      </c>
      <c r="KH87" s="9">
        <v>75085.52</v>
      </c>
      <c r="KI87" s="9">
        <v>544370.02</v>
      </c>
      <c r="KJ87" s="9">
        <v>7719662.8169712946</v>
      </c>
      <c r="KL87" t="s">
        <v>1263</v>
      </c>
      <c r="KM87">
        <v>782896.94652253983</v>
      </c>
      <c r="KN87" t="s">
        <v>1264</v>
      </c>
      <c r="KO87" t="s">
        <v>1265</v>
      </c>
      <c r="KP87">
        <v>60</v>
      </c>
      <c r="KQ87" t="s">
        <v>1266</v>
      </c>
    </row>
    <row r="88" spans="1:303" x14ac:dyDescent="0.3">
      <c r="A88">
        <v>46614</v>
      </c>
      <c r="B88">
        <v>176606.04509776208</v>
      </c>
      <c r="C88">
        <v>3826.4643104515121</v>
      </c>
      <c r="D88">
        <v>8345.1218964450418</v>
      </c>
      <c r="E88">
        <v>1878.1982758620693</v>
      </c>
      <c r="F88">
        <v>1947.4537931034488</v>
      </c>
      <c r="G88">
        <v>14119.04</v>
      </c>
      <c r="H88">
        <v>170139.12147717908</v>
      </c>
      <c r="J88">
        <v>46614</v>
      </c>
      <c r="K88">
        <v>255539.17670483311</v>
      </c>
      <c r="L88">
        <v>5536.6821619380516</v>
      </c>
      <c r="M88">
        <v>10980.99025185505</v>
      </c>
      <c r="N88">
        <v>4149.3017241379312</v>
      </c>
      <c r="O88">
        <v>2642.8275862068972</v>
      </c>
      <c r="P88">
        <v>19160.5</v>
      </c>
      <c r="Q88">
        <v>248707.48817711603</v>
      </c>
      <c r="S88">
        <v>46614</v>
      </c>
      <c r="T88">
        <v>101901.74984742436</v>
      </c>
      <c r="U88">
        <v>2207.8712466941943</v>
      </c>
      <c r="V88">
        <v>5617.4994429609778</v>
      </c>
      <c r="W88">
        <v>2856.7844827586209</v>
      </c>
      <c r="X88">
        <v>1252.0593103448275</v>
      </c>
      <c r="Y88">
        <v>9077.43</v>
      </c>
      <c r="Z88">
        <v>99141.034887221991</v>
      </c>
      <c r="AB88">
        <v>46614</v>
      </c>
      <c r="AC88">
        <v>1501818.8165541948</v>
      </c>
      <c r="AD88">
        <v>32539.407692007553</v>
      </c>
      <c r="AE88">
        <v>59689.773342475215</v>
      </c>
      <c r="AF88">
        <v>4696.508620689664</v>
      </c>
      <c r="AG88">
        <v>14756.668965517243</v>
      </c>
      <c r="AH88">
        <v>106985.85</v>
      </c>
      <c r="AI88">
        <v>1446825.5518324091</v>
      </c>
      <c r="AK88">
        <v>46614</v>
      </c>
      <c r="AL88">
        <v>831801.19328819634</v>
      </c>
      <c r="AM88">
        <v>18022.359187910923</v>
      </c>
      <c r="AN88">
        <v>30464.502881054592</v>
      </c>
      <c r="AO88">
        <v>0</v>
      </c>
      <c r="AP88">
        <v>7757.8979310344848</v>
      </c>
      <c r="AQ88">
        <v>56244.76</v>
      </c>
      <c r="AR88">
        <v>801336.69040714181</v>
      </c>
      <c r="AT88">
        <v>46614</v>
      </c>
      <c r="AU88">
        <v>754301.0735323634</v>
      </c>
      <c r="AV88">
        <v>16343.18992653454</v>
      </c>
      <c r="AW88">
        <v>30541.835935534426</v>
      </c>
      <c r="AX88">
        <v>2921.0172413793107</v>
      </c>
      <c r="AY88">
        <v>7501.6041379310354</v>
      </c>
      <c r="AZ88">
        <v>54386.63</v>
      </c>
      <c r="BA88">
        <v>726680.25483820832</v>
      </c>
      <c r="BC88">
        <v>46614</v>
      </c>
      <c r="BD88">
        <v>341207.67286816565</v>
      </c>
      <c r="BE88">
        <v>7392.8329121435891</v>
      </c>
      <c r="BF88">
        <v>13905.348122339168</v>
      </c>
      <c r="BG88">
        <v>1411.0775862068965</v>
      </c>
      <c r="BH88">
        <v>3407.7089655172417</v>
      </c>
      <c r="BI88">
        <v>24705.89</v>
      </c>
      <c r="BJ88">
        <v>328713.40233203338</v>
      </c>
      <c r="BL88">
        <v>46614</v>
      </c>
      <c r="BM88">
        <v>676569.46221951651</v>
      </c>
      <c r="BN88">
        <v>14659.005014756192</v>
      </c>
      <c r="BO88">
        <v>27253.477743864503</v>
      </c>
      <c r="BP88">
        <v>2479.0258620689742</v>
      </c>
      <c r="BQ88">
        <v>6705.9972413793112</v>
      </c>
      <c r="BR88">
        <v>48618.48</v>
      </c>
      <c r="BS88">
        <v>651795.01033772097</v>
      </c>
      <c r="BU88">
        <v>46614</v>
      </c>
      <c r="BV88">
        <v>1421587.8145629964</v>
      </c>
      <c r="BW88">
        <v>30801.069315531589</v>
      </c>
      <c r="BX88">
        <v>57201.965167227034</v>
      </c>
      <c r="BY88">
        <v>5146.8793103448279</v>
      </c>
      <c r="BZ88">
        <v>14080.485517241381</v>
      </c>
      <c r="CA88">
        <v>102083.52</v>
      </c>
      <c r="CB88">
        <v>1369532.7287061142</v>
      </c>
      <c r="CD88">
        <v>46614</v>
      </c>
      <c r="CE88">
        <v>106511.76723471659</v>
      </c>
      <c r="CF88">
        <v>2307.7549567521933</v>
      </c>
      <c r="CG88">
        <v>2882.8915949719444</v>
      </c>
      <c r="CH88">
        <v>0</v>
      </c>
      <c r="CI88">
        <v>830.50344827586218</v>
      </c>
      <c r="CJ88">
        <v>6021.15</v>
      </c>
      <c r="CK88">
        <v>103628.87563974469</v>
      </c>
      <c r="CM88">
        <v>46614</v>
      </c>
      <c r="CN88">
        <v>200446.8422083226</v>
      </c>
      <c r="CO88">
        <v>4343.0149145136565</v>
      </c>
      <c r="CP88">
        <v>5371.9247406587565</v>
      </c>
      <c r="CQ88">
        <v>0</v>
      </c>
      <c r="CR88">
        <v>1554.3903448275864</v>
      </c>
      <c r="CS88">
        <v>11269.33</v>
      </c>
      <c r="CT88">
        <v>195074.91746766385</v>
      </c>
      <c r="CV88">
        <v>46614</v>
      </c>
      <c r="CW88">
        <v>114139.64887309101</v>
      </c>
      <c r="CX88">
        <v>2473.0257255836382</v>
      </c>
      <c r="CY88">
        <v>3381.5173778646376</v>
      </c>
      <c r="CZ88">
        <v>0</v>
      </c>
      <c r="DA88">
        <v>936.72689655172417</v>
      </c>
      <c r="DB88">
        <v>6791.27</v>
      </c>
      <c r="DC88">
        <v>110758.13149522636</v>
      </c>
      <c r="DE88">
        <v>46614</v>
      </c>
      <c r="DF88">
        <v>103038.57660953552</v>
      </c>
      <c r="DG88">
        <v>2232.502493206603</v>
      </c>
      <c r="DH88">
        <v>2790.8595757589146</v>
      </c>
      <c r="DI88">
        <v>0</v>
      </c>
      <c r="DJ88">
        <v>803.73793103448293</v>
      </c>
      <c r="DK88">
        <v>5827.1</v>
      </c>
      <c r="DL88">
        <v>100247.7170337766</v>
      </c>
      <c r="DN88">
        <v>46614</v>
      </c>
      <c r="DO88">
        <v>94901.691080522141</v>
      </c>
      <c r="DP88">
        <v>2056.2033067446464</v>
      </c>
      <c r="DQ88">
        <v>2575.2535898070773</v>
      </c>
      <c r="DR88">
        <v>0</v>
      </c>
      <c r="DS88">
        <v>741.03310344827605</v>
      </c>
      <c r="DT88">
        <v>5372.49</v>
      </c>
      <c r="DU88">
        <v>92326.437490715063</v>
      </c>
      <c r="DW88">
        <v>46614</v>
      </c>
      <c r="DX88">
        <v>399870.69764500257</v>
      </c>
      <c r="DY88">
        <v>8663.8651156417218</v>
      </c>
      <c r="DZ88">
        <v>15261.979711944485</v>
      </c>
      <c r="EA88">
        <v>613.81034482758366</v>
      </c>
      <c r="EB88">
        <v>3828.1351724137935</v>
      </c>
      <c r="EC88">
        <v>27753.98</v>
      </c>
      <c r="ED88">
        <v>385222.52827788569</v>
      </c>
      <c r="EF88">
        <v>46614</v>
      </c>
      <c r="EG88">
        <v>639420.58864465333</v>
      </c>
      <c r="EH88">
        <v>13854.112753967487</v>
      </c>
      <c r="EI88">
        <v>25760.197590860094</v>
      </c>
      <c r="EJ88">
        <v>2346.0086206896553</v>
      </c>
      <c r="EK88">
        <v>6338.2896551724143</v>
      </c>
      <c r="EL88">
        <v>45952.6</v>
      </c>
      <c r="EM88">
        <v>616006.39967448288</v>
      </c>
      <c r="KC88" s="3">
        <v>46601</v>
      </c>
      <c r="KD88" s="9">
        <v>7719662.8169712946</v>
      </c>
      <c r="KE88" s="9">
        <v>167259.36103437815</v>
      </c>
      <c r="KF88" s="9">
        <v>302025.13896562188</v>
      </c>
      <c r="KG88" s="9">
        <v>28498.612068965536</v>
      </c>
      <c r="KH88" s="9">
        <v>75085.52</v>
      </c>
      <c r="KI88" s="9">
        <v>544370.02</v>
      </c>
      <c r="KJ88" s="9">
        <v>7446136.29007464</v>
      </c>
      <c r="KL88" t="s">
        <v>1267</v>
      </c>
      <c r="KM88">
        <v>0</v>
      </c>
      <c r="KN88" t="s">
        <v>1264</v>
      </c>
      <c r="KO88" t="s">
        <v>1268</v>
      </c>
      <c r="KP88">
        <v>27753.98</v>
      </c>
      <c r="KQ88" t="s">
        <v>1269</v>
      </c>
    </row>
    <row r="89" spans="1:303" x14ac:dyDescent="0.3">
      <c r="A89">
        <v>46645</v>
      </c>
      <c r="B89">
        <v>170139.12147717908</v>
      </c>
      <c r="C89">
        <v>3686.347632005547</v>
      </c>
      <c r="D89">
        <v>8485.2385748910056</v>
      </c>
      <c r="E89">
        <v>1878.1982758620693</v>
      </c>
      <c r="F89">
        <v>1947.4537931034488</v>
      </c>
      <c r="G89">
        <v>14119.04</v>
      </c>
      <c r="H89">
        <v>163532.08117815014</v>
      </c>
      <c r="J89">
        <v>46645</v>
      </c>
      <c r="K89">
        <v>248707.48817711603</v>
      </c>
      <c r="L89">
        <v>5388.6622438375143</v>
      </c>
      <c r="M89">
        <v>11129.010169955587</v>
      </c>
      <c r="N89">
        <v>4149.3017241379312</v>
      </c>
      <c r="O89">
        <v>2642.8275862068972</v>
      </c>
      <c r="P89">
        <v>19160.5</v>
      </c>
      <c r="Q89">
        <v>241727.77973129839</v>
      </c>
      <c r="S89">
        <v>46645</v>
      </c>
      <c r="T89">
        <v>99141.034887221991</v>
      </c>
      <c r="U89">
        <v>2148.0557558898099</v>
      </c>
      <c r="V89">
        <v>5677.3149337653622</v>
      </c>
      <c r="W89">
        <v>2856.7844827586209</v>
      </c>
      <c r="X89">
        <v>1252.0593103448275</v>
      </c>
      <c r="Y89">
        <v>9077.43</v>
      </c>
      <c r="Z89">
        <v>96320.504436215255</v>
      </c>
      <c r="AB89">
        <v>46645</v>
      </c>
      <c r="AC89">
        <v>1446825.5518324091</v>
      </c>
      <c r="AD89">
        <v>31347.886956368864</v>
      </c>
      <c r="AE89">
        <v>60881.294078113904</v>
      </c>
      <c r="AF89">
        <v>4696.508620689664</v>
      </c>
      <c r="AG89">
        <v>14756.668965517243</v>
      </c>
      <c r="AH89">
        <v>106985.85</v>
      </c>
      <c r="AI89">
        <v>1390640.7663749848</v>
      </c>
      <c r="AK89">
        <v>46645</v>
      </c>
      <c r="AL89">
        <v>801336.69040714181</v>
      </c>
      <c r="AM89">
        <v>17362.294958821407</v>
      </c>
      <c r="AN89">
        <v>31124.567110144108</v>
      </c>
      <c r="AO89">
        <v>0</v>
      </c>
      <c r="AP89">
        <v>7757.8979310344848</v>
      </c>
      <c r="AQ89">
        <v>56244.76</v>
      </c>
      <c r="AR89">
        <v>770212.12329699774</v>
      </c>
      <c r="AT89">
        <v>46645</v>
      </c>
      <c r="AU89">
        <v>726680.25483820832</v>
      </c>
      <c r="AV89">
        <v>15744.738854827849</v>
      </c>
      <c r="AW89">
        <v>31140.287007241117</v>
      </c>
      <c r="AX89">
        <v>2921.0172413793107</v>
      </c>
      <c r="AY89">
        <v>7501.6041379310354</v>
      </c>
      <c r="AZ89">
        <v>54386.63</v>
      </c>
      <c r="BA89">
        <v>698460.98507234652</v>
      </c>
      <c r="BC89">
        <v>46645</v>
      </c>
      <c r="BD89">
        <v>328713.40233203338</v>
      </c>
      <c r="BE89">
        <v>7122.1237171940566</v>
      </c>
      <c r="BF89">
        <v>14176.057317288702</v>
      </c>
      <c r="BG89">
        <v>1411.0775862068965</v>
      </c>
      <c r="BH89">
        <v>3407.7089655172417</v>
      </c>
      <c r="BI89">
        <v>24705.89</v>
      </c>
      <c r="BJ89">
        <v>315948.42260095157</v>
      </c>
      <c r="BL89">
        <v>46645</v>
      </c>
      <c r="BM89">
        <v>651795.01033772097</v>
      </c>
      <c r="BN89">
        <v>14122.225223983954</v>
      </c>
      <c r="BO89">
        <v>27790.257534636741</v>
      </c>
      <c r="BP89">
        <v>2479.0258620689742</v>
      </c>
      <c r="BQ89">
        <v>6705.9972413793112</v>
      </c>
      <c r="BR89">
        <v>48618.48</v>
      </c>
      <c r="BS89">
        <v>626483.77866515319</v>
      </c>
      <c r="BU89">
        <v>46645</v>
      </c>
      <c r="BV89">
        <v>1369532.7287061142</v>
      </c>
      <c r="BW89">
        <v>29673.20912196581</v>
      </c>
      <c r="BX89">
        <v>58329.825360792813</v>
      </c>
      <c r="BY89">
        <v>5146.8793103448279</v>
      </c>
      <c r="BZ89">
        <v>14080.485517241381</v>
      </c>
      <c r="CA89">
        <v>102083.52</v>
      </c>
      <c r="CB89">
        <v>1316349.7826556659</v>
      </c>
      <c r="CD89">
        <v>46645</v>
      </c>
      <c r="CE89">
        <v>103628.87563974469</v>
      </c>
      <c r="CF89">
        <v>2245.2923055278011</v>
      </c>
      <c r="CG89">
        <v>2945.3542461963366</v>
      </c>
      <c r="CH89">
        <v>0</v>
      </c>
      <c r="CI89">
        <v>830.50344827586218</v>
      </c>
      <c r="CJ89">
        <v>6021.15</v>
      </c>
      <c r="CK89">
        <v>100683.52139354832</v>
      </c>
      <c r="CM89">
        <v>46645</v>
      </c>
      <c r="CN89">
        <v>195074.91746766385</v>
      </c>
      <c r="CO89">
        <v>4226.6232117993832</v>
      </c>
      <c r="CP89">
        <v>5488.3164433730299</v>
      </c>
      <c r="CQ89">
        <v>0</v>
      </c>
      <c r="CR89">
        <v>1554.3903448275864</v>
      </c>
      <c r="CS89">
        <v>11269.33</v>
      </c>
      <c r="CT89">
        <v>189586.60102429081</v>
      </c>
      <c r="CV89">
        <v>46645</v>
      </c>
      <c r="CW89">
        <v>110758.13149522636</v>
      </c>
      <c r="CX89">
        <v>2399.7595157299047</v>
      </c>
      <c r="CY89">
        <v>3454.7835877183716</v>
      </c>
      <c r="CZ89">
        <v>0</v>
      </c>
      <c r="DA89">
        <v>936.72689655172417</v>
      </c>
      <c r="DB89">
        <v>6791.27</v>
      </c>
      <c r="DC89">
        <v>107303.347907508</v>
      </c>
      <c r="DE89">
        <v>46645</v>
      </c>
      <c r="DF89">
        <v>100247.7170337766</v>
      </c>
      <c r="DG89">
        <v>2172.0338690651597</v>
      </c>
      <c r="DH89">
        <v>2851.3281999003575</v>
      </c>
      <c r="DI89">
        <v>0</v>
      </c>
      <c r="DJ89">
        <v>803.73793103448293</v>
      </c>
      <c r="DK89">
        <v>5827.1</v>
      </c>
      <c r="DL89">
        <v>97396.388833876263</v>
      </c>
      <c r="DN89">
        <v>46645</v>
      </c>
      <c r="DO89">
        <v>92326.437490715063</v>
      </c>
      <c r="DP89">
        <v>2000.4061456321597</v>
      </c>
      <c r="DQ89">
        <v>2631.0507509195641</v>
      </c>
      <c r="DR89">
        <v>0</v>
      </c>
      <c r="DS89">
        <v>741.03310344827605</v>
      </c>
      <c r="DT89">
        <v>5372.49</v>
      </c>
      <c r="DU89">
        <v>89695.386739795504</v>
      </c>
      <c r="DW89">
        <v>46645</v>
      </c>
      <c r="DX89">
        <v>385222.52827788569</v>
      </c>
      <c r="DY89">
        <v>8346.4881126875243</v>
      </c>
      <c r="DZ89">
        <v>15579.356714898682</v>
      </c>
      <c r="EA89">
        <v>613.81034482758366</v>
      </c>
      <c r="EB89">
        <v>3828.1351724137935</v>
      </c>
      <c r="EC89">
        <v>27753.98</v>
      </c>
      <c r="ED89">
        <v>370256.98190781462</v>
      </c>
      <c r="EF89">
        <v>46645</v>
      </c>
      <c r="EG89">
        <v>616006.39967448288</v>
      </c>
      <c r="EH89">
        <v>13346.805326280462</v>
      </c>
      <c r="EI89">
        <v>26267.505018547126</v>
      </c>
      <c r="EJ89">
        <v>2346.0086206896553</v>
      </c>
      <c r="EK89">
        <v>6338.2896551724143</v>
      </c>
      <c r="EL89">
        <v>45952.6</v>
      </c>
      <c r="EM89">
        <v>592084.90327662532</v>
      </c>
      <c r="KC89" s="3">
        <v>46632</v>
      </c>
      <c r="KD89" s="9">
        <v>7446136.29007464</v>
      </c>
      <c r="KE89" s="9">
        <v>161332.95295161725</v>
      </c>
      <c r="KF89" s="9">
        <v>307951.54704838281</v>
      </c>
      <c r="KG89" s="9">
        <v>28498.612068965536</v>
      </c>
      <c r="KH89" s="9">
        <v>75085.52</v>
      </c>
      <c r="KI89" s="9">
        <v>544370.02</v>
      </c>
      <c r="KJ89" s="9">
        <v>7166683.3550952226</v>
      </c>
      <c r="KL89" t="s">
        <v>1270</v>
      </c>
      <c r="KM89">
        <v>0.26</v>
      </c>
      <c r="KN89">
        <v>2.1666666666666667E-2</v>
      </c>
      <c r="KO89" t="s">
        <v>1271</v>
      </c>
      <c r="KP89">
        <v>15502.844827586208</v>
      </c>
      <c r="KQ89" t="s">
        <v>1264</v>
      </c>
    </row>
    <row r="90" spans="1:303" x14ac:dyDescent="0.3">
      <c r="A90">
        <v>46675</v>
      </c>
      <c r="B90">
        <v>163532.08117815014</v>
      </c>
      <c r="C90">
        <v>3543.195092193253</v>
      </c>
      <c r="D90">
        <v>8628.3911147032995</v>
      </c>
      <c r="E90">
        <v>1878.1982758620693</v>
      </c>
      <c r="F90">
        <v>1947.4537931034488</v>
      </c>
      <c r="G90">
        <v>14119.04</v>
      </c>
      <c r="H90">
        <v>156781.88833930893</v>
      </c>
      <c r="J90">
        <v>46675</v>
      </c>
      <c r="K90">
        <v>241727.77973129839</v>
      </c>
      <c r="L90">
        <v>5237.4352275114652</v>
      </c>
      <c r="M90">
        <v>11280.237186281636</v>
      </c>
      <c r="N90">
        <v>4149.3017241379312</v>
      </c>
      <c r="O90">
        <v>2642.8275862068972</v>
      </c>
      <c r="P90">
        <v>19160.5</v>
      </c>
      <c r="Q90">
        <v>234596.84426915468</v>
      </c>
      <c r="S90">
        <v>46675</v>
      </c>
      <c r="T90">
        <v>96320.504436215255</v>
      </c>
      <c r="U90">
        <v>2086.9442627846638</v>
      </c>
      <c r="V90">
        <v>5738.4264268705083</v>
      </c>
      <c r="W90">
        <v>2856.7844827586209</v>
      </c>
      <c r="X90">
        <v>1252.0593103448275</v>
      </c>
      <c r="Y90">
        <v>9077.43</v>
      </c>
      <c r="Z90">
        <v>93438.862492103377</v>
      </c>
      <c r="AB90">
        <v>46675</v>
      </c>
      <c r="AC90">
        <v>1390640.7663749848</v>
      </c>
      <c r="AD90">
        <v>30130.54993812467</v>
      </c>
      <c r="AE90">
        <v>62098.631096358098</v>
      </c>
      <c r="AF90">
        <v>4696.508620689664</v>
      </c>
      <c r="AG90">
        <v>14756.668965517243</v>
      </c>
      <c r="AH90">
        <v>106985.85</v>
      </c>
      <c r="AI90">
        <v>1333238.6438993162</v>
      </c>
      <c r="AK90">
        <v>46675</v>
      </c>
      <c r="AL90">
        <v>770212.12329699774</v>
      </c>
      <c r="AM90">
        <v>16687.929338101618</v>
      </c>
      <c r="AN90">
        <v>31798.932730863897</v>
      </c>
      <c r="AO90">
        <v>0</v>
      </c>
      <c r="AP90">
        <v>7757.8979310344848</v>
      </c>
      <c r="AQ90">
        <v>56244.76</v>
      </c>
      <c r="AR90">
        <v>738413.19056613371</v>
      </c>
      <c r="AT90">
        <v>46675</v>
      </c>
      <c r="AU90">
        <v>698460.98507234652</v>
      </c>
      <c r="AV90">
        <v>15133.321343234174</v>
      </c>
      <c r="AW90">
        <v>31751.704518834791</v>
      </c>
      <c r="AX90">
        <v>2921.0172413793107</v>
      </c>
      <c r="AY90">
        <v>7501.6041379310354</v>
      </c>
      <c r="AZ90">
        <v>54386.63</v>
      </c>
      <c r="BA90">
        <v>669630.29779489106</v>
      </c>
      <c r="BC90">
        <v>46675</v>
      </c>
      <c r="BD90">
        <v>315948.42260095157</v>
      </c>
      <c r="BE90">
        <v>6845.5491563539508</v>
      </c>
      <c r="BF90">
        <v>14452.631878128806</v>
      </c>
      <c r="BG90">
        <v>1411.0775862068965</v>
      </c>
      <c r="BH90">
        <v>3407.7089655172417</v>
      </c>
      <c r="BI90">
        <v>24705.89</v>
      </c>
      <c r="BJ90">
        <v>302906.86830902967</v>
      </c>
      <c r="BL90">
        <v>46675</v>
      </c>
      <c r="BM90">
        <v>626483.77866515319</v>
      </c>
      <c r="BN90">
        <v>13573.815204411652</v>
      </c>
      <c r="BO90">
        <v>28338.667554209045</v>
      </c>
      <c r="BP90">
        <v>2479.0258620689742</v>
      </c>
      <c r="BQ90">
        <v>6705.9972413793112</v>
      </c>
      <c r="BR90">
        <v>48618.48</v>
      </c>
      <c r="BS90">
        <v>600624.13697301317</v>
      </c>
      <c r="BU90">
        <v>46675</v>
      </c>
      <c r="BV90">
        <v>1316349.7826556659</v>
      </c>
      <c r="BW90">
        <v>28520.911957539432</v>
      </c>
      <c r="BX90">
        <v>59482.122525219194</v>
      </c>
      <c r="BY90">
        <v>5146.8793103448279</v>
      </c>
      <c r="BZ90">
        <v>14080.485517241381</v>
      </c>
      <c r="CA90">
        <v>102083.52</v>
      </c>
      <c r="CB90">
        <v>1262014.5394407918</v>
      </c>
      <c r="CD90">
        <v>46675</v>
      </c>
      <c r="CE90">
        <v>100683.52139354832</v>
      </c>
      <c r="CF90">
        <v>2181.476296860214</v>
      </c>
      <c r="CG90">
        <v>3009.1702548639237</v>
      </c>
      <c r="CH90">
        <v>0</v>
      </c>
      <c r="CI90">
        <v>830.50344827586218</v>
      </c>
      <c r="CJ90">
        <v>6021.15</v>
      </c>
      <c r="CK90">
        <v>97674.351138684404</v>
      </c>
      <c r="CM90">
        <v>46675</v>
      </c>
      <c r="CN90">
        <v>189586.60102429081</v>
      </c>
      <c r="CO90">
        <v>4107.7096888596343</v>
      </c>
      <c r="CP90">
        <v>5607.2299663127787</v>
      </c>
      <c r="CQ90">
        <v>0</v>
      </c>
      <c r="CR90">
        <v>1554.3903448275864</v>
      </c>
      <c r="CS90">
        <v>11269.33</v>
      </c>
      <c r="CT90">
        <v>183979.37105797799</v>
      </c>
      <c r="CV90">
        <v>46675</v>
      </c>
      <c r="CW90">
        <v>107303.347907508</v>
      </c>
      <c r="CX90">
        <v>2324.9058713293398</v>
      </c>
      <c r="CY90">
        <v>3529.6372321189365</v>
      </c>
      <c r="CZ90">
        <v>0</v>
      </c>
      <c r="DA90">
        <v>936.72689655172417</v>
      </c>
      <c r="DB90">
        <v>6791.27</v>
      </c>
      <c r="DC90">
        <v>103773.71067538904</v>
      </c>
      <c r="DE90">
        <v>46675</v>
      </c>
      <c r="DF90">
        <v>97396.388833876263</v>
      </c>
      <c r="DG90">
        <v>2110.255091400652</v>
      </c>
      <c r="DH90">
        <v>2913.1069775648652</v>
      </c>
      <c r="DI90">
        <v>0</v>
      </c>
      <c r="DJ90">
        <v>803.73793103448293</v>
      </c>
      <c r="DK90">
        <v>5827.1</v>
      </c>
      <c r="DL90">
        <v>94483.281856311369</v>
      </c>
      <c r="DN90">
        <v>46675</v>
      </c>
      <c r="DO90">
        <v>89695.386739795504</v>
      </c>
      <c r="DP90">
        <v>1943.4000460289024</v>
      </c>
      <c r="DQ90">
        <v>2688.0568505228212</v>
      </c>
      <c r="DR90">
        <v>0</v>
      </c>
      <c r="DS90">
        <v>741.03310344827605</v>
      </c>
      <c r="DT90">
        <v>5372.49</v>
      </c>
      <c r="DU90">
        <v>87007.329889272689</v>
      </c>
      <c r="DW90">
        <v>46675</v>
      </c>
      <c r="DX90">
        <v>370256.98190781462</v>
      </c>
      <c r="DY90">
        <v>8022.2346080026509</v>
      </c>
      <c r="DZ90">
        <v>15903.610219583556</v>
      </c>
      <c r="EA90">
        <v>613.81034482758366</v>
      </c>
      <c r="EB90">
        <v>3828.1351724137935</v>
      </c>
      <c r="EC90">
        <v>27753.98</v>
      </c>
      <c r="ED90">
        <v>354967.18203305866</v>
      </c>
      <c r="EF90">
        <v>46675</v>
      </c>
      <c r="EG90">
        <v>592084.90327662532</v>
      </c>
      <c r="EH90">
        <v>12828.506237660216</v>
      </c>
      <c r="EI90">
        <v>26785.804107167372</v>
      </c>
      <c r="EJ90">
        <v>2346.0086206896553</v>
      </c>
      <c r="EK90">
        <v>6338.2896551724143</v>
      </c>
      <c r="EL90">
        <v>45952.6</v>
      </c>
      <c r="EM90">
        <v>567645.10779014754</v>
      </c>
      <c r="KC90" s="3">
        <v>46662</v>
      </c>
      <c r="KD90" s="9">
        <v>7166683.3550952226</v>
      </c>
      <c r="KE90" s="9">
        <v>155278.13936039648</v>
      </c>
      <c r="KF90" s="9">
        <v>314006.36063960346</v>
      </c>
      <c r="KG90" s="9">
        <v>28498.612068965536</v>
      </c>
      <c r="KH90" s="9">
        <v>75085.52</v>
      </c>
      <c r="KI90" s="9">
        <v>544370.02</v>
      </c>
      <c r="KJ90" s="9">
        <v>6881175.6065245839</v>
      </c>
    </row>
    <row r="91" spans="1:303" x14ac:dyDescent="0.3">
      <c r="A91">
        <v>46706</v>
      </c>
      <c r="B91">
        <v>156781.88833930893</v>
      </c>
      <c r="C91">
        <v>3396.9409140183602</v>
      </c>
      <c r="D91">
        <v>8774.6452928781928</v>
      </c>
      <c r="E91">
        <v>1878.1982758620693</v>
      </c>
      <c r="F91">
        <v>1947.4537931034488</v>
      </c>
      <c r="G91">
        <v>14119.04</v>
      </c>
      <c r="H91">
        <v>149885.44132229278</v>
      </c>
      <c r="J91">
        <v>46706</v>
      </c>
      <c r="K91">
        <v>234596.84426915468</v>
      </c>
      <c r="L91">
        <v>5082.9316258316849</v>
      </c>
      <c r="M91">
        <v>11434.740787961417</v>
      </c>
      <c r="N91">
        <v>4149.3017241379312</v>
      </c>
      <c r="O91">
        <v>2642.8275862068972</v>
      </c>
      <c r="P91">
        <v>19160.5</v>
      </c>
      <c r="Q91">
        <v>227311.40520533119</v>
      </c>
      <c r="S91">
        <v>46706</v>
      </c>
      <c r="T91">
        <v>93438.862492103377</v>
      </c>
      <c r="U91">
        <v>2024.5086873289065</v>
      </c>
      <c r="V91">
        <v>5800.8620023262656</v>
      </c>
      <c r="W91">
        <v>2856.7844827586209</v>
      </c>
      <c r="X91">
        <v>1252.0593103448275</v>
      </c>
      <c r="Y91">
        <v>9077.43</v>
      </c>
      <c r="Z91">
        <v>90494.784972535737</v>
      </c>
      <c r="AB91">
        <v>46706</v>
      </c>
      <c r="AC91">
        <v>1333238.6438993162</v>
      </c>
      <c r="AD91">
        <v>28886.837284485184</v>
      </c>
      <c r="AE91">
        <v>63342.343749997584</v>
      </c>
      <c r="AF91">
        <v>4696.508620689664</v>
      </c>
      <c r="AG91">
        <v>14756.668965517243</v>
      </c>
      <c r="AH91">
        <v>106985.85</v>
      </c>
      <c r="AI91">
        <v>1274592.8087700082</v>
      </c>
      <c r="AK91">
        <v>46706</v>
      </c>
      <c r="AL91">
        <v>738413.19056613371</v>
      </c>
      <c r="AM91">
        <v>15998.952462266234</v>
      </c>
      <c r="AN91">
        <v>32487.909606699279</v>
      </c>
      <c r="AO91">
        <v>0</v>
      </c>
      <c r="AP91">
        <v>7757.8979310344848</v>
      </c>
      <c r="AQ91">
        <v>56244.76</v>
      </c>
      <c r="AR91">
        <v>705925.28095943457</v>
      </c>
      <c r="AT91">
        <v>46706</v>
      </c>
      <c r="AU91">
        <v>669630.29779489106</v>
      </c>
      <c r="AV91">
        <v>14508.65645222264</v>
      </c>
      <c r="AW91">
        <v>32376.369409846324</v>
      </c>
      <c r="AX91">
        <v>2921.0172413793107</v>
      </c>
      <c r="AY91">
        <v>7501.6041379310354</v>
      </c>
      <c r="AZ91">
        <v>54386.63</v>
      </c>
      <c r="BA91">
        <v>640174.94562642404</v>
      </c>
      <c r="BC91">
        <v>46706</v>
      </c>
      <c r="BD91">
        <v>302906.86830902967</v>
      </c>
      <c r="BE91">
        <v>6562.9821466956428</v>
      </c>
      <c r="BF91">
        <v>14735.198887787115</v>
      </c>
      <c r="BG91">
        <v>1411.0775862068965</v>
      </c>
      <c r="BH91">
        <v>3407.7089655172417</v>
      </c>
      <c r="BI91">
        <v>24705.89</v>
      </c>
      <c r="BJ91">
        <v>289582.74700744945</v>
      </c>
      <c r="BL91">
        <v>46706</v>
      </c>
      <c r="BM91">
        <v>600624.13697301317</v>
      </c>
      <c r="BN91">
        <v>13013.52296774862</v>
      </c>
      <c r="BO91">
        <v>28898.959790872075</v>
      </c>
      <c r="BP91">
        <v>2479.0258620689742</v>
      </c>
      <c r="BQ91">
        <v>6705.9972413793112</v>
      </c>
      <c r="BR91">
        <v>48618.48</v>
      </c>
      <c r="BS91">
        <v>574204.20304421009</v>
      </c>
      <c r="BU91">
        <v>46706</v>
      </c>
      <c r="BV91">
        <v>1262014.5394407918</v>
      </c>
      <c r="BW91">
        <v>27343.648354550489</v>
      </c>
      <c r="BX91">
        <v>60659.386128208134</v>
      </c>
      <c r="BY91">
        <v>5146.8793103448279</v>
      </c>
      <c r="BZ91">
        <v>14080.485517241381</v>
      </c>
      <c r="CA91">
        <v>102083.52</v>
      </c>
      <c r="CB91">
        <v>1206502.0326229285</v>
      </c>
      <c r="CD91">
        <v>46706</v>
      </c>
      <c r="CE91">
        <v>97674.351138684404</v>
      </c>
      <c r="CF91">
        <v>2116.2776080048288</v>
      </c>
      <c r="CG91">
        <v>3074.3689437193088</v>
      </c>
      <c r="CH91">
        <v>0</v>
      </c>
      <c r="CI91">
        <v>830.50344827586218</v>
      </c>
      <c r="CJ91">
        <v>6021.15</v>
      </c>
      <c r="CK91">
        <v>94599.982194965094</v>
      </c>
      <c r="CM91">
        <v>46706</v>
      </c>
      <c r="CN91">
        <v>183979.37105797799</v>
      </c>
      <c r="CO91">
        <v>3986.2197062561904</v>
      </c>
      <c r="CP91">
        <v>5728.7199489162231</v>
      </c>
      <c r="CQ91">
        <v>0</v>
      </c>
      <c r="CR91">
        <v>1554.3903448275864</v>
      </c>
      <c r="CS91">
        <v>11269.33</v>
      </c>
      <c r="CT91">
        <v>178250.65110906179</v>
      </c>
      <c r="CV91">
        <v>46706</v>
      </c>
      <c r="CW91">
        <v>103773.71067538904</v>
      </c>
      <c r="CX91">
        <v>2248.4303979667629</v>
      </c>
      <c r="CY91">
        <v>3606.1127054815138</v>
      </c>
      <c r="CZ91">
        <v>0</v>
      </c>
      <c r="DA91">
        <v>936.72689655172417</v>
      </c>
      <c r="DB91">
        <v>6791.27</v>
      </c>
      <c r="DC91">
        <v>100167.59796990754</v>
      </c>
      <c r="DE91">
        <v>46706</v>
      </c>
      <c r="DF91">
        <v>94483.281856311369</v>
      </c>
      <c r="DG91">
        <v>2047.1377735534136</v>
      </c>
      <c r="DH91">
        <v>2976.2242954121039</v>
      </c>
      <c r="DI91">
        <v>0</v>
      </c>
      <c r="DJ91">
        <v>803.73793103448293</v>
      </c>
      <c r="DK91">
        <v>5827.1</v>
      </c>
      <c r="DL91">
        <v>91507.05756089928</v>
      </c>
      <c r="DN91">
        <v>46706</v>
      </c>
      <c r="DO91">
        <v>87007.329889272689</v>
      </c>
      <c r="DP91">
        <v>1885.1588142675753</v>
      </c>
      <c r="DQ91">
        <v>2746.2980822841487</v>
      </c>
      <c r="DR91">
        <v>0</v>
      </c>
      <c r="DS91">
        <v>741.03310344827605</v>
      </c>
      <c r="DT91">
        <v>5372.49</v>
      </c>
      <c r="DU91">
        <v>84261.03180698854</v>
      </c>
      <c r="DW91">
        <v>46706</v>
      </c>
      <c r="DX91">
        <v>354967.18203305866</v>
      </c>
      <c r="DY91">
        <v>7690.9556107162716</v>
      </c>
      <c r="DZ91">
        <v>16234.889216869937</v>
      </c>
      <c r="EA91">
        <v>613.81034482758366</v>
      </c>
      <c r="EB91">
        <v>3828.1351724137935</v>
      </c>
      <c r="EC91">
        <v>27753.98</v>
      </c>
      <c r="ED91">
        <v>339346.1031610163</v>
      </c>
      <c r="EF91">
        <v>46706</v>
      </c>
      <c r="EG91">
        <v>567645.10779014754</v>
      </c>
      <c r="EH91">
        <v>12298.977335453195</v>
      </c>
      <c r="EI91">
        <v>27315.33300937439</v>
      </c>
      <c r="EJ91">
        <v>2346.0086206896553</v>
      </c>
      <c r="EK91">
        <v>6338.2896551724143</v>
      </c>
      <c r="EL91">
        <v>45952.6</v>
      </c>
      <c r="EM91">
        <v>542675.78340146272</v>
      </c>
      <c r="KC91" s="3">
        <v>46693</v>
      </c>
      <c r="KD91" s="9">
        <v>6881175.6065245839</v>
      </c>
      <c r="KE91" s="9">
        <v>149092.13814136601</v>
      </c>
      <c r="KF91" s="9">
        <v>320192.3618586341</v>
      </c>
      <c r="KG91" s="9">
        <v>28498.612068965536</v>
      </c>
      <c r="KH91" s="9">
        <v>75085.52</v>
      </c>
      <c r="KI91" s="9">
        <v>544370.02</v>
      </c>
      <c r="KJ91" s="9">
        <v>6589481.8567349166</v>
      </c>
      <c r="KL91" t="s">
        <v>1197</v>
      </c>
      <c r="KN91">
        <v>83801</v>
      </c>
      <c r="KO91" t="s">
        <v>1198</v>
      </c>
    </row>
    <row r="92" spans="1:303" x14ac:dyDescent="0.3">
      <c r="A92">
        <v>46736</v>
      </c>
      <c r="B92">
        <v>149885.44132229278</v>
      </c>
      <c r="C92">
        <v>3247.5178953163436</v>
      </c>
      <c r="D92">
        <v>8924.0683115802094</v>
      </c>
      <c r="E92">
        <v>1878.1982758620693</v>
      </c>
      <c r="F92">
        <v>1947.4537931034488</v>
      </c>
      <c r="G92">
        <v>14119.04</v>
      </c>
      <c r="H92">
        <v>142839.57128657462</v>
      </c>
      <c r="J92">
        <v>46736</v>
      </c>
      <c r="K92">
        <v>227311.40520533119</v>
      </c>
      <c r="L92">
        <v>4925.0804461155103</v>
      </c>
      <c r="M92">
        <v>11592.591967677592</v>
      </c>
      <c r="N92">
        <v>4149.3017241379312</v>
      </c>
      <c r="O92">
        <v>2642.8275862068972</v>
      </c>
      <c r="P92">
        <v>19160.5</v>
      </c>
      <c r="Q92">
        <v>219868.11496179161</v>
      </c>
      <c r="S92">
        <v>46736</v>
      </c>
      <c r="T92">
        <v>90494.784972535737</v>
      </c>
      <c r="U92">
        <v>1960.7203410716077</v>
      </c>
      <c r="V92">
        <v>5864.6503485835647</v>
      </c>
      <c r="W92">
        <v>2856.7844827586209</v>
      </c>
      <c r="X92">
        <v>1252.0593103448275</v>
      </c>
      <c r="Y92">
        <v>9077.43</v>
      </c>
      <c r="Z92">
        <v>87486.919106710789</v>
      </c>
      <c r="AB92">
        <v>46736</v>
      </c>
      <c r="AC92">
        <v>1274592.8087700082</v>
      </c>
      <c r="AD92">
        <v>27616.177523350176</v>
      </c>
      <c r="AE92">
        <v>64613.003511132592</v>
      </c>
      <c r="AF92">
        <v>4696.508620689664</v>
      </c>
      <c r="AG92">
        <v>14756.668965517243</v>
      </c>
      <c r="AH92">
        <v>106985.85</v>
      </c>
      <c r="AI92">
        <v>1214676.3138795651</v>
      </c>
      <c r="AK92">
        <v>46736</v>
      </c>
      <c r="AL92">
        <v>705925.28095943457</v>
      </c>
      <c r="AM92">
        <v>15295.047754121082</v>
      </c>
      <c r="AN92">
        <v>33191.814314844436</v>
      </c>
      <c r="AO92">
        <v>0</v>
      </c>
      <c r="AP92">
        <v>7757.8979310344848</v>
      </c>
      <c r="AQ92">
        <v>56244.76</v>
      </c>
      <c r="AR92">
        <v>672733.46664459014</v>
      </c>
      <c r="AT92">
        <v>46736</v>
      </c>
      <c r="AU92">
        <v>640174.94562642404</v>
      </c>
      <c r="AV92">
        <v>13870.457155239188</v>
      </c>
      <c r="AW92">
        <v>33014.568706829778</v>
      </c>
      <c r="AX92">
        <v>2921.0172413793107</v>
      </c>
      <c r="AY92">
        <v>7501.6041379310354</v>
      </c>
      <c r="AZ92">
        <v>54386.63</v>
      </c>
      <c r="BA92">
        <v>610081.39416097361</v>
      </c>
      <c r="BC92">
        <v>46736</v>
      </c>
      <c r="BD92">
        <v>289582.74700744945</v>
      </c>
      <c r="BE92">
        <v>6274.2928518280714</v>
      </c>
      <c r="BF92">
        <v>15023.888182654686</v>
      </c>
      <c r="BG92">
        <v>1411.0775862068965</v>
      </c>
      <c r="BH92">
        <v>3407.7089655172417</v>
      </c>
      <c r="BI92">
        <v>24705.89</v>
      </c>
      <c r="BJ92">
        <v>275969.93641100166</v>
      </c>
      <c r="BL92">
        <v>46736</v>
      </c>
      <c r="BM92">
        <v>574204.20304421009</v>
      </c>
      <c r="BN92">
        <v>12441.091065957886</v>
      </c>
      <c r="BO92">
        <v>29471.391692662808</v>
      </c>
      <c r="BP92">
        <v>2479.0258620689742</v>
      </c>
      <c r="BQ92">
        <v>6705.9972413793112</v>
      </c>
      <c r="BR92">
        <v>48618.48</v>
      </c>
      <c r="BS92">
        <v>547211.83721361624</v>
      </c>
      <c r="BU92">
        <v>46736</v>
      </c>
      <c r="BV92">
        <v>1206502.0326229285</v>
      </c>
      <c r="BW92">
        <v>26140.877373496784</v>
      </c>
      <c r="BX92">
        <v>61862.15710926184</v>
      </c>
      <c r="BY92">
        <v>5146.8793103448279</v>
      </c>
      <c r="BZ92">
        <v>14080.485517241381</v>
      </c>
      <c r="CA92">
        <v>102083.52</v>
      </c>
      <c r="CB92">
        <v>1149786.7548240116</v>
      </c>
      <c r="CD92">
        <v>46736</v>
      </c>
      <c r="CE92">
        <v>94599.982194965094</v>
      </c>
      <c r="CF92">
        <v>2049.6662808909105</v>
      </c>
      <c r="CG92">
        <v>3140.9802708332272</v>
      </c>
      <c r="CH92">
        <v>0</v>
      </c>
      <c r="CI92">
        <v>830.50344827586218</v>
      </c>
      <c r="CJ92">
        <v>6021.15</v>
      </c>
      <c r="CK92">
        <v>91459.001924131866</v>
      </c>
      <c r="CM92">
        <v>46736</v>
      </c>
      <c r="CN92">
        <v>178250.65110906179</v>
      </c>
      <c r="CO92">
        <v>3862.0974406963383</v>
      </c>
      <c r="CP92">
        <v>5852.8422144760743</v>
      </c>
      <c r="CQ92">
        <v>0</v>
      </c>
      <c r="CR92">
        <v>1554.3903448275864</v>
      </c>
      <c r="CS92">
        <v>11269.33</v>
      </c>
      <c r="CT92">
        <v>172397.8088945857</v>
      </c>
      <c r="CV92">
        <v>46736</v>
      </c>
      <c r="CW92">
        <v>100167.59796990754</v>
      </c>
      <c r="CX92">
        <v>2170.2979560146632</v>
      </c>
      <c r="CY92">
        <v>3684.2451474336126</v>
      </c>
      <c r="CZ92">
        <v>0</v>
      </c>
      <c r="DA92">
        <v>936.72689655172417</v>
      </c>
      <c r="DB92">
        <v>6791.27</v>
      </c>
      <c r="DC92">
        <v>96483.352822473913</v>
      </c>
      <c r="DE92">
        <v>46736</v>
      </c>
      <c r="DF92">
        <v>91507.05756089928</v>
      </c>
      <c r="DG92">
        <v>1982.6529138194844</v>
      </c>
      <c r="DH92">
        <v>3040.709155146033</v>
      </c>
      <c r="DI92">
        <v>0</v>
      </c>
      <c r="DJ92">
        <v>803.73793103448293</v>
      </c>
      <c r="DK92">
        <v>5827.1</v>
      </c>
      <c r="DL92">
        <v>88466.348405753248</v>
      </c>
      <c r="DN92">
        <v>46736</v>
      </c>
      <c r="DO92">
        <v>84261.03180698854</v>
      </c>
      <c r="DP92">
        <v>1825.6556891514183</v>
      </c>
      <c r="DQ92">
        <v>2805.8012074003054</v>
      </c>
      <c r="DR92">
        <v>0</v>
      </c>
      <c r="DS92">
        <v>741.03310344827605</v>
      </c>
      <c r="DT92">
        <v>5372.49</v>
      </c>
      <c r="DU92">
        <v>81455.230599588234</v>
      </c>
      <c r="DW92">
        <v>46736</v>
      </c>
      <c r="DX92">
        <v>339346.1031610163</v>
      </c>
      <c r="DY92">
        <v>7352.4989018220213</v>
      </c>
      <c r="DZ92">
        <v>16573.345925764188</v>
      </c>
      <c r="EA92">
        <v>613.81034482758366</v>
      </c>
      <c r="EB92">
        <v>3828.1351724137935</v>
      </c>
      <c r="EC92">
        <v>27753.98</v>
      </c>
      <c r="ED92">
        <v>323386.56758007972</v>
      </c>
      <c r="EF92">
        <v>46736</v>
      </c>
      <c r="EG92">
        <v>542675.78340146272</v>
      </c>
      <c r="EH92">
        <v>11757.975307031693</v>
      </c>
      <c r="EI92">
        <v>27856.335037795892</v>
      </c>
      <c r="EJ92">
        <v>2346.0086206896553</v>
      </c>
      <c r="EK92">
        <v>6338.2896551724143</v>
      </c>
      <c r="EL92">
        <v>45952.6</v>
      </c>
      <c r="EM92">
        <v>517165.45698435645</v>
      </c>
      <c r="KC92" s="3">
        <v>46723</v>
      </c>
      <c r="KD92" s="9">
        <v>6589481.8567349166</v>
      </c>
      <c r="KE92" s="9">
        <v>142772.10689592318</v>
      </c>
      <c r="KF92" s="9">
        <v>326512.39310407679</v>
      </c>
      <c r="KG92" s="9">
        <v>28498.612068965536</v>
      </c>
      <c r="KH92" s="9">
        <v>75085.52</v>
      </c>
      <c r="KI92" s="9">
        <v>544370.02</v>
      </c>
      <c r="KJ92" s="9">
        <v>6291468.0756998044</v>
      </c>
      <c r="KL92" t="s">
        <v>1231</v>
      </c>
      <c r="KM92" t="s">
        <v>1232</v>
      </c>
      <c r="KO92" t="s">
        <v>1233</v>
      </c>
      <c r="KP92" t="s">
        <v>1250</v>
      </c>
    </row>
    <row r="93" spans="1:303" x14ac:dyDescent="0.3">
      <c r="A93">
        <v>46767</v>
      </c>
      <c r="B93">
        <v>142839.57128657462</v>
      </c>
      <c r="C93">
        <v>3094.8573778757836</v>
      </c>
      <c r="D93">
        <v>9076.7288290207689</v>
      </c>
      <c r="E93">
        <v>1878.1982758620693</v>
      </c>
      <c r="F93">
        <v>1947.4537931034488</v>
      </c>
      <c r="G93">
        <v>14119.04</v>
      </c>
      <c r="H93">
        <v>135641.0407334159</v>
      </c>
      <c r="J93">
        <v>46767</v>
      </c>
      <c r="K93">
        <v>219868.11496179161</v>
      </c>
      <c r="L93">
        <v>4763.8091575054841</v>
      </c>
      <c r="M93">
        <v>11753.863256287616</v>
      </c>
      <c r="N93">
        <v>4149.3017241379312</v>
      </c>
      <c r="O93">
        <v>2642.8275862068972</v>
      </c>
      <c r="P93">
        <v>19160.5</v>
      </c>
      <c r="Q93">
        <v>212263.55342964191</v>
      </c>
      <c r="S93">
        <v>46767</v>
      </c>
      <c r="T93">
        <v>87486.919106710789</v>
      </c>
      <c r="U93">
        <v>1895.5499139787339</v>
      </c>
      <c r="V93">
        <v>5929.8207756764386</v>
      </c>
      <c r="W93">
        <v>2856.7844827586209</v>
      </c>
      <c r="X93">
        <v>1252.0593103448275</v>
      </c>
      <c r="Y93">
        <v>9077.43</v>
      </c>
      <c r="Z93">
        <v>84413.882813792981</v>
      </c>
      <c r="AB93">
        <v>46767</v>
      </c>
      <c r="AC93">
        <v>1214676.3138795651</v>
      </c>
      <c r="AD93">
        <v>26317.986800723913</v>
      </c>
      <c r="AE93">
        <v>65911.194233758855</v>
      </c>
      <c r="AF93">
        <v>4696.508620689664</v>
      </c>
      <c r="AG93">
        <v>14756.668965517243</v>
      </c>
      <c r="AH93">
        <v>106985.85</v>
      </c>
      <c r="AI93">
        <v>1153461.6282664959</v>
      </c>
      <c r="AK93">
        <v>46767</v>
      </c>
      <c r="AL93">
        <v>672733.46664459014</v>
      </c>
      <c r="AM93">
        <v>14575.891777299454</v>
      </c>
      <c r="AN93">
        <v>33910.970291666061</v>
      </c>
      <c r="AO93">
        <v>0</v>
      </c>
      <c r="AP93">
        <v>7757.8979310344848</v>
      </c>
      <c r="AQ93">
        <v>56244.76</v>
      </c>
      <c r="AR93">
        <v>638822.49635292403</v>
      </c>
      <c r="AT93">
        <v>46767</v>
      </c>
      <c r="AU93">
        <v>610081.39416097361</v>
      </c>
      <c r="AV93">
        <v>13218.430206821096</v>
      </c>
      <c r="AW93">
        <v>33666.595655247867</v>
      </c>
      <c r="AX93">
        <v>2921.0172413793107</v>
      </c>
      <c r="AY93">
        <v>7501.6041379310354</v>
      </c>
      <c r="AZ93">
        <v>54386.63</v>
      </c>
      <c r="BA93">
        <v>579335.81574710505</v>
      </c>
      <c r="BC93">
        <v>46767</v>
      </c>
      <c r="BD93">
        <v>275969.93641100166</v>
      </c>
      <c r="BE93">
        <v>5979.3486222383699</v>
      </c>
      <c r="BF93">
        <v>15318.832412244388</v>
      </c>
      <c r="BG93">
        <v>1411.0775862068965</v>
      </c>
      <c r="BH93">
        <v>3407.7089655172417</v>
      </c>
      <c r="BI93">
        <v>24705.89</v>
      </c>
      <c r="BJ93">
        <v>262062.18158496416</v>
      </c>
      <c r="BL93">
        <v>46767</v>
      </c>
      <c r="BM93">
        <v>547211.83721361624</v>
      </c>
      <c r="BN93">
        <v>11856.256472961686</v>
      </c>
      <c r="BO93">
        <v>30056.22628565901</v>
      </c>
      <c r="BP93">
        <v>2479.0258620689742</v>
      </c>
      <c r="BQ93">
        <v>6705.9972413793112</v>
      </c>
      <c r="BR93">
        <v>48618.48</v>
      </c>
      <c r="BS93">
        <v>519634.63679002621</v>
      </c>
      <c r="BU93">
        <v>46767</v>
      </c>
      <c r="BV93">
        <v>1149786.7548240116</v>
      </c>
      <c r="BW93">
        <v>24912.046354520251</v>
      </c>
      <c r="BX93">
        <v>63090.988128238365</v>
      </c>
      <c r="BY93">
        <v>5146.8793103448279</v>
      </c>
      <c r="BZ93">
        <v>14080.485517241381</v>
      </c>
      <c r="CA93">
        <v>102083.52</v>
      </c>
      <c r="CB93">
        <v>1091842.646006118</v>
      </c>
      <c r="CD93">
        <v>46767</v>
      </c>
      <c r="CE93">
        <v>91459.001924131866</v>
      </c>
      <c r="CF93">
        <v>1981.6117083561903</v>
      </c>
      <c r="CG93">
        <v>3209.0348433679474</v>
      </c>
      <c r="CH93">
        <v>0</v>
      </c>
      <c r="CI93">
        <v>830.50344827586218</v>
      </c>
      <c r="CJ93">
        <v>6021.15</v>
      </c>
      <c r="CK93">
        <v>88249.96708076392</v>
      </c>
      <c r="CM93">
        <v>46767</v>
      </c>
      <c r="CN93">
        <v>172397.8088945857</v>
      </c>
      <c r="CO93">
        <v>3735.2858593826904</v>
      </c>
      <c r="CP93">
        <v>5979.6537957897226</v>
      </c>
      <c r="CQ93">
        <v>0</v>
      </c>
      <c r="CR93">
        <v>1554.3903448275864</v>
      </c>
      <c r="CS93">
        <v>11269.33</v>
      </c>
      <c r="CT93">
        <v>166418.15509879598</v>
      </c>
      <c r="CV93">
        <v>46767</v>
      </c>
      <c r="CW93">
        <v>96483.352822473913</v>
      </c>
      <c r="CX93">
        <v>2090.4726444869352</v>
      </c>
      <c r="CY93">
        <v>3764.070458961341</v>
      </c>
      <c r="CZ93">
        <v>0</v>
      </c>
      <c r="DA93">
        <v>936.72689655172417</v>
      </c>
      <c r="DB93">
        <v>6791.27</v>
      </c>
      <c r="DC93">
        <v>92719.282363512582</v>
      </c>
      <c r="DE93">
        <v>46767</v>
      </c>
      <c r="DF93">
        <v>88466.348405753248</v>
      </c>
      <c r="DG93">
        <v>1916.7708821246536</v>
      </c>
      <c r="DH93">
        <v>3106.591186840863</v>
      </c>
      <c r="DI93">
        <v>0</v>
      </c>
      <c r="DJ93">
        <v>803.73793103448293</v>
      </c>
      <c r="DK93">
        <v>5827.1</v>
      </c>
      <c r="DL93">
        <v>85359.757218912389</v>
      </c>
      <c r="DN93">
        <v>46767</v>
      </c>
      <c r="DO93">
        <v>81455.230599588234</v>
      </c>
      <c r="DP93">
        <v>1764.8633296577452</v>
      </c>
      <c r="DQ93">
        <v>2866.5935668939783</v>
      </c>
      <c r="DR93">
        <v>0</v>
      </c>
      <c r="DS93">
        <v>741.03310344827605</v>
      </c>
      <c r="DT93">
        <v>5372.49</v>
      </c>
      <c r="DU93">
        <v>78588.637032694256</v>
      </c>
      <c r="DW93">
        <v>46767</v>
      </c>
      <c r="DX93">
        <v>323386.56758007972</v>
      </c>
      <c r="DY93">
        <v>7006.7089642350611</v>
      </c>
      <c r="DZ93">
        <v>16919.135863351145</v>
      </c>
      <c r="EA93">
        <v>613.81034482758366</v>
      </c>
      <c r="EB93">
        <v>3828.1351724137935</v>
      </c>
      <c r="EC93">
        <v>27753.98</v>
      </c>
      <c r="ED93">
        <v>307081.24206155614</v>
      </c>
      <c r="EF93">
        <v>46767</v>
      </c>
      <c r="EG93">
        <v>517165.45698435645</v>
      </c>
      <c r="EH93">
        <v>11205.251567994392</v>
      </c>
      <c r="EI93">
        <v>28409.058776833197</v>
      </c>
      <c r="EJ93">
        <v>2346.0086206896553</v>
      </c>
      <c r="EK93">
        <v>6338.2896551724143</v>
      </c>
      <c r="EL93">
        <v>45952.6</v>
      </c>
      <c r="EM93">
        <v>491102.40682821302</v>
      </c>
      <c r="KC93" s="3">
        <v>46754</v>
      </c>
      <c r="KD93" s="9">
        <v>6291468.0756998044</v>
      </c>
      <c r="KE93" s="9">
        <v>136315.14164016244</v>
      </c>
      <c r="KF93" s="9">
        <v>332969.3583598375</v>
      </c>
      <c r="KG93" s="9">
        <v>28498.612068965536</v>
      </c>
      <c r="KH93" s="9">
        <v>75085.52</v>
      </c>
      <c r="KI93" s="9">
        <v>544370.02</v>
      </c>
      <c r="KJ93" s="9">
        <v>5986997.3294089325</v>
      </c>
      <c r="KL93" t="s">
        <v>1263</v>
      </c>
      <c r="KM93">
        <v>1251664.2586206901</v>
      </c>
      <c r="KN93" t="s">
        <v>1264</v>
      </c>
      <c r="KO93" t="s">
        <v>1265</v>
      </c>
      <c r="KP93">
        <v>60</v>
      </c>
      <c r="KQ93" t="s">
        <v>1266</v>
      </c>
    </row>
    <row r="94" spans="1:303" x14ac:dyDescent="0.3">
      <c r="A94">
        <v>46798</v>
      </c>
      <c r="B94">
        <v>135641.0407334159</v>
      </c>
      <c r="C94">
        <v>2938.8892158906779</v>
      </c>
      <c r="D94">
        <v>9232.6969910058742</v>
      </c>
      <c r="E94">
        <v>1878.1982758620693</v>
      </c>
      <c r="F94">
        <v>1947.4537931034488</v>
      </c>
      <c r="G94">
        <v>14119.04</v>
      </c>
      <c r="H94">
        <v>128286.5420182721</v>
      </c>
      <c r="J94">
        <v>46798</v>
      </c>
      <c r="K94">
        <v>212263.55342964191</v>
      </c>
      <c r="L94">
        <v>4599.0436576422417</v>
      </c>
      <c r="M94">
        <v>11918.62875615086</v>
      </c>
      <c r="N94">
        <v>4149.3017241379312</v>
      </c>
      <c r="O94">
        <v>2642.8275862068972</v>
      </c>
      <c r="P94">
        <v>19160.5</v>
      </c>
      <c r="Q94">
        <v>204494.22639762895</v>
      </c>
      <c r="S94">
        <v>46798</v>
      </c>
      <c r="T94">
        <v>84413.882813792981</v>
      </c>
      <c r="U94">
        <v>1828.9674609655144</v>
      </c>
      <c r="V94">
        <v>5996.4032286896572</v>
      </c>
      <c r="W94">
        <v>2856.7844827586209</v>
      </c>
      <c r="X94">
        <v>1252.0593103448275</v>
      </c>
      <c r="Y94">
        <v>9077.43</v>
      </c>
      <c r="Z94">
        <v>81274.26406786195</v>
      </c>
      <c r="AB94">
        <v>46798</v>
      </c>
      <c r="AC94">
        <v>1153461.6282664959</v>
      </c>
      <c r="AD94">
        <v>24991.668612440742</v>
      </c>
      <c r="AE94">
        <v>67237.512422042026</v>
      </c>
      <c r="AF94">
        <v>4696.508620689664</v>
      </c>
      <c r="AG94">
        <v>14756.668965517243</v>
      </c>
      <c r="AH94">
        <v>106985.85</v>
      </c>
      <c r="AI94">
        <v>1090920.6244651435</v>
      </c>
      <c r="AK94">
        <v>46798</v>
      </c>
      <c r="AL94">
        <v>638822.49635292403</v>
      </c>
      <c r="AM94">
        <v>13841.154087646688</v>
      </c>
      <c r="AN94">
        <v>34645.707981318825</v>
      </c>
      <c r="AO94">
        <v>0</v>
      </c>
      <c r="AP94">
        <v>7757.8979310344848</v>
      </c>
      <c r="AQ94">
        <v>56244.76</v>
      </c>
      <c r="AR94">
        <v>604176.78837160522</v>
      </c>
      <c r="AT94">
        <v>46798</v>
      </c>
      <c r="AU94">
        <v>579335.81574710505</v>
      </c>
      <c r="AV94">
        <v>12552.276007853943</v>
      </c>
      <c r="AW94">
        <v>34332.749854215021</v>
      </c>
      <c r="AX94">
        <v>2921.0172413793107</v>
      </c>
      <c r="AY94">
        <v>7501.6041379310354</v>
      </c>
      <c r="AZ94">
        <v>54386.63</v>
      </c>
      <c r="BA94">
        <v>547924.08313426934</v>
      </c>
      <c r="BC94">
        <v>46798</v>
      </c>
      <c r="BD94">
        <v>262062.18158496416</v>
      </c>
      <c r="BE94">
        <v>5678.01393434089</v>
      </c>
      <c r="BF94">
        <v>15620.167100141867</v>
      </c>
      <c r="BG94">
        <v>1411.0775862068965</v>
      </c>
      <c r="BH94">
        <v>3407.7089655172417</v>
      </c>
      <c r="BI94">
        <v>24705.89</v>
      </c>
      <c r="BJ94">
        <v>247853.09207102921</v>
      </c>
      <c r="BL94">
        <v>46798</v>
      </c>
      <c r="BM94">
        <v>519634.63679002621</v>
      </c>
      <c r="BN94">
        <v>11258.750463783899</v>
      </c>
      <c r="BO94">
        <v>30653.732294836795</v>
      </c>
      <c r="BP94">
        <v>2479.0258620689742</v>
      </c>
      <c r="BQ94">
        <v>6705.9972413793112</v>
      </c>
      <c r="BR94">
        <v>48618.48</v>
      </c>
      <c r="BS94">
        <v>491459.93035725842</v>
      </c>
      <c r="BU94">
        <v>46798</v>
      </c>
      <c r="BV94">
        <v>1091842.646006118</v>
      </c>
      <c r="BW94">
        <v>23656.590663465893</v>
      </c>
      <c r="BX94">
        <v>64346.443819292734</v>
      </c>
      <c r="BY94">
        <v>5146.8793103448279</v>
      </c>
      <c r="BZ94">
        <v>14080.485517241381</v>
      </c>
      <c r="CA94">
        <v>102083.52</v>
      </c>
      <c r="CB94">
        <v>1032643.08149717</v>
      </c>
      <c r="CD94">
        <v>46798</v>
      </c>
      <c r="CE94">
        <v>88249.96708076392</v>
      </c>
      <c r="CF94">
        <v>1912.0826200832184</v>
      </c>
      <c r="CG94">
        <v>3278.5639316409197</v>
      </c>
      <c r="CH94">
        <v>0</v>
      </c>
      <c r="CI94">
        <v>830.50344827586218</v>
      </c>
      <c r="CJ94">
        <v>6021.15</v>
      </c>
      <c r="CK94">
        <v>84971.403149122998</v>
      </c>
      <c r="CM94">
        <v>46798</v>
      </c>
      <c r="CN94">
        <v>166418.15509879598</v>
      </c>
      <c r="CO94">
        <v>3605.7266938072462</v>
      </c>
      <c r="CP94">
        <v>6109.2129613651668</v>
      </c>
      <c r="CQ94">
        <v>0</v>
      </c>
      <c r="CR94">
        <v>1554.3903448275864</v>
      </c>
      <c r="CS94">
        <v>11269.33</v>
      </c>
      <c r="CT94">
        <v>160308.9421374308</v>
      </c>
      <c r="CV94">
        <v>46798</v>
      </c>
      <c r="CW94">
        <v>92719.282363512582</v>
      </c>
      <c r="CX94">
        <v>2008.9177845427728</v>
      </c>
      <c r="CY94">
        <v>3845.6253189055033</v>
      </c>
      <c r="CZ94">
        <v>0</v>
      </c>
      <c r="DA94">
        <v>936.72689655172417</v>
      </c>
      <c r="DB94">
        <v>6791.27</v>
      </c>
      <c r="DC94">
        <v>88873.657044607084</v>
      </c>
      <c r="DE94">
        <v>46798</v>
      </c>
      <c r="DF94">
        <v>85359.757218912389</v>
      </c>
      <c r="DG94">
        <v>1849.4614064097684</v>
      </c>
      <c r="DH94">
        <v>3173.900662555749</v>
      </c>
      <c r="DI94">
        <v>0</v>
      </c>
      <c r="DJ94">
        <v>803.73793103448293</v>
      </c>
      <c r="DK94">
        <v>5827.1</v>
      </c>
      <c r="DL94">
        <v>82185.856556356637</v>
      </c>
      <c r="DN94">
        <v>46798</v>
      </c>
      <c r="DO94">
        <v>78588.637032694256</v>
      </c>
      <c r="DP94">
        <v>1702.7538023750424</v>
      </c>
      <c r="DQ94">
        <v>2928.7030941766816</v>
      </c>
      <c r="DR94">
        <v>0</v>
      </c>
      <c r="DS94">
        <v>741.03310344827605</v>
      </c>
      <c r="DT94">
        <v>5372.49</v>
      </c>
      <c r="DU94">
        <v>75659.93393851757</v>
      </c>
      <c r="DW94">
        <v>46798</v>
      </c>
      <c r="DX94">
        <v>307081.24206155614</v>
      </c>
      <c r="DY94">
        <v>6653.4269113337168</v>
      </c>
      <c r="DZ94">
        <v>17272.417916252489</v>
      </c>
      <c r="EA94">
        <v>613.81034482758366</v>
      </c>
      <c r="EB94">
        <v>3828.1351724137935</v>
      </c>
      <c r="EC94">
        <v>27753.98</v>
      </c>
      <c r="ED94">
        <v>290422.63449013123</v>
      </c>
      <c r="EF94">
        <v>46798</v>
      </c>
      <c r="EG94">
        <v>491102.40682821302</v>
      </c>
      <c r="EH94">
        <v>10640.552147944616</v>
      </c>
      <c r="EI94">
        <v>28973.758196882969</v>
      </c>
      <c r="EJ94">
        <v>2346.0086206896553</v>
      </c>
      <c r="EK94">
        <v>6338.2896551724143</v>
      </c>
      <c r="EL94">
        <v>45952.6</v>
      </c>
      <c r="EM94">
        <v>464474.65725201974</v>
      </c>
      <c r="KC94" s="3">
        <v>46785</v>
      </c>
      <c r="KD94" s="9">
        <v>5986997.3294089325</v>
      </c>
      <c r="KE94" s="9">
        <v>129718.27547052687</v>
      </c>
      <c r="KF94" s="9">
        <v>339566.22452947317</v>
      </c>
      <c r="KG94" s="9">
        <v>28498.612068965536</v>
      </c>
      <c r="KH94" s="9">
        <v>75085.52</v>
      </c>
      <c r="KI94" s="9">
        <v>544370.02</v>
      </c>
      <c r="KJ94" s="9">
        <v>5675929.7169484254</v>
      </c>
      <c r="KL94" t="s">
        <v>1267</v>
      </c>
      <c r="KM94">
        <v>0</v>
      </c>
      <c r="KN94" t="s">
        <v>1264</v>
      </c>
      <c r="KO94" t="s">
        <v>1268</v>
      </c>
      <c r="KP94">
        <v>45952.6</v>
      </c>
      <c r="KQ94" t="s">
        <v>1269</v>
      </c>
    </row>
    <row r="95" spans="1:303" x14ac:dyDescent="0.3">
      <c r="A95">
        <v>46827</v>
      </c>
      <c r="B95">
        <v>128286.5420182721</v>
      </c>
      <c r="C95">
        <v>2779.541743729229</v>
      </c>
      <c r="D95">
        <v>9392.0444631673236</v>
      </c>
      <c r="E95">
        <v>1878.1982758620693</v>
      </c>
      <c r="F95">
        <v>1947.4537931034488</v>
      </c>
      <c r="G95">
        <v>14119.04</v>
      </c>
      <c r="H95">
        <v>120772.69583096686</v>
      </c>
      <c r="J95">
        <v>46827</v>
      </c>
      <c r="K95">
        <v>204494.22639762895</v>
      </c>
      <c r="L95">
        <v>4430.7082386152952</v>
      </c>
      <c r="M95">
        <v>12086.964175177807</v>
      </c>
      <c r="N95">
        <v>4149.3017241379312</v>
      </c>
      <c r="O95">
        <v>2642.8275862068972</v>
      </c>
      <c r="P95">
        <v>19160.5</v>
      </c>
      <c r="Q95">
        <v>196556.56394658913</v>
      </c>
      <c r="S95">
        <v>46827</v>
      </c>
      <c r="T95">
        <v>81274.26406786195</v>
      </c>
      <c r="U95">
        <v>1760.9423881370087</v>
      </c>
      <c r="V95">
        <v>6064.4283015181627</v>
      </c>
      <c r="W95">
        <v>2856.7844827586209</v>
      </c>
      <c r="X95">
        <v>1252.0593103448275</v>
      </c>
      <c r="Y95">
        <v>9077.43</v>
      </c>
      <c r="Z95">
        <v>78066.620249102416</v>
      </c>
      <c r="AB95">
        <v>46827</v>
      </c>
      <c r="AC95">
        <v>1090920.6244651435</v>
      </c>
      <c r="AD95">
        <v>23636.61353007811</v>
      </c>
      <c r="AE95">
        <v>68592.567504404666</v>
      </c>
      <c r="AF95">
        <v>4696.508620689664</v>
      </c>
      <c r="AG95">
        <v>14756.668965517243</v>
      </c>
      <c r="AH95">
        <v>106985.85</v>
      </c>
      <c r="AI95">
        <v>1027024.5655814284</v>
      </c>
      <c r="AK95">
        <v>46827</v>
      </c>
      <c r="AL95">
        <v>604176.78837160522</v>
      </c>
      <c r="AM95">
        <v>13090.497081384779</v>
      </c>
      <c r="AN95">
        <v>35396.364987580731</v>
      </c>
      <c r="AO95">
        <v>0</v>
      </c>
      <c r="AP95">
        <v>7757.8979310344848</v>
      </c>
      <c r="AQ95">
        <v>56244.76</v>
      </c>
      <c r="AR95">
        <v>568780.42338402453</v>
      </c>
      <c r="AT95">
        <v>46827</v>
      </c>
      <c r="AU95">
        <v>547924.08313426934</v>
      </c>
      <c r="AV95">
        <v>11871.688467909167</v>
      </c>
      <c r="AW95">
        <v>35013.337394159797</v>
      </c>
      <c r="AX95">
        <v>2921.0172413793107</v>
      </c>
      <c r="AY95">
        <v>7501.6041379310354</v>
      </c>
      <c r="AZ95">
        <v>54386.63</v>
      </c>
      <c r="BA95">
        <v>515831.76298148878</v>
      </c>
      <c r="BC95">
        <v>46827</v>
      </c>
      <c r="BD95">
        <v>247853.09207102921</v>
      </c>
      <c r="BE95">
        <v>5370.1503282056328</v>
      </c>
      <c r="BF95">
        <v>15928.030706277124</v>
      </c>
      <c r="BG95">
        <v>1411.0775862068965</v>
      </c>
      <c r="BH95">
        <v>3407.7089655172417</v>
      </c>
      <c r="BI95">
        <v>24705.89</v>
      </c>
      <c r="BJ95">
        <v>233336.13895095896</v>
      </c>
      <c r="BL95">
        <v>46827</v>
      </c>
      <c r="BM95">
        <v>491459.93035725842</v>
      </c>
      <c r="BN95">
        <v>10648.298491073932</v>
      </c>
      <c r="BO95">
        <v>31264.184267546763</v>
      </c>
      <c r="BP95">
        <v>2479.0258620689742</v>
      </c>
      <c r="BQ95">
        <v>6705.9972413793112</v>
      </c>
      <c r="BR95">
        <v>48618.48</v>
      </c>
      <c r="BS95">
        <v>462674.77195178065</v>
      </c>
      <c r="BU95">
        <v>46827</v>
      </c>
      <c r="BV95">
        <v>1032643.08149717</v>
      </c>
      <c r="BW95">
        <v>22373.933432438687</v>
      </c>
      <c r="BX95">
        <v>65629.101050319936</v>
      </c>
      <c r="BY95">
        <v>5146.8793103448279</v>
      </c>
      <c r="BZ95">
        <v>14080.485517241381</v>
      </c>
      <c r="CA95">
        <v>102083.52</v>
      </c>
      <c r="CB95">
        <v>972160.85975719499</v>
      </c>
      <c r="CD95">
        <v>46827</v>
      </c>
      <c r="CE95">
        <v>84971.403149122998</v>
      </c>
      <c r="CF95">
        <v>1841.0470682309983</v>
      </c>
      <c r="CG95">
        <v>3349.5994834931394</v>
      </c>
      <c r="CH95">
        <v>0</v>
      </c>
      <c r="CI95">
        <v>830.50344827586218</v>
      </c>
      <c r="CJ95">
        <v>6021.15</v>
      </c>
      <c r="CK95">
        <v>81621.803665629879</v>
      </c>
      <c r="CM95">
        <v>46827</v>
      </c>
      <c r="CN95">
        <v>160308.9421374308</v>
      </c>
      <c r="CO95">
        <v>3473.3604129776672</v>
      </c>
      <c r="CP95">
        <v>6241.5792421947463</v>
      </c>
      <c r="CQ95">
        <v>0</v>
      </c>
      <c r="CR95">
        <v>1554.3903448275864</v>
      </c>
      <c r="CS95">
        <v>11269.33</v>
      </c>
      <c r="CT95">
        <v>154067.36289523606</v>
      </c>
      <c r="CV95">
        <v>46827</v>
      </c>
      <c r="CW95">
        <v>88873.657044607084</v>
      </c>
      <c r="CX95">
        <v>1925.5959026331536</v>
      </c>
      <c r="CY95">
        <v>3928.9472008151224</v>
      </c>
      <c r="CZ95">
        <v>0</v>
      </c>
      <c r="DA95">
        <v>936.72689655172417</v>
      </c>
      <c r="DB95">
        <v>6791.27</v>
      </c>
      <c r="DC95">
        <v>84944.709843791963</v>
      </c>
      <c r="DE95">
        <v>46827</v>
      </c>
      <c r="DF95">
        <v>82185.856556356637</v>
      </c>
      <c r="DG95">
        <v>1780.6935587210603</v>
      </c>
      <c r="DH95">
        <v>3242.6685102444567</v>
      </c>
      <c r="DI95">
        <v>0</v>
      </c>
      <c r="DJ95">
        <v>803.73793103448293</v>
      </c>
      <c r="DK95">
        <v>5827.1</v>
      </c>
      <c r="DL95">
        <v>78943.188046112176</v>
      </c>
      <c r="DN95">
        <v>46827</v>
      </c>
      <c r="DO95">
        <v>75659.93393851757</v>
      </c>
      <c r="DP95">
        <v>1639.2985686678808</v>
      </c>
      <c r="DQ95">
        <v>2992.158327883843</v>
      </c>
      <c r="DR95">
        <v>0</v>
      </c>
      <c r="DS95">
        <v>741.03310344827605</v>
      </c>
      <c r="DT95">
        <v>5372.49</v>
      </c>
      <c r="DU95">
        <v>72667.775610633733</v>
      </c>
      <c r="DW95">
        <v>46827</v>
      </c>
      <c r="DX95">
        <v>290422.63449013123</v>
      </c>
      <c r="DY95">
        <v>6292.4904139528435</v>
      </c>
      <c r="DZ95">
        <v>17633.354413633362</v>
      </c>
      <c r="EA95">
        <v>613.81034482758366</v>
      </c>
      <c r="EB95">
        <v>3828.1351724137935</v>
      </c>
      <c r="EC95">
        <v>27753.98</v>
      </c>
      <c r="ED95">
        <v>273403.09042132547</v>
      </c>
      <c r="EF95">
        <v>46827</v>
      </c>
      <c r="EG95">
        <v>464474.65725201974</v>
      </c>
      <c r="EH95">
        <v>10063.617573793759</v>
      </c>
      <c r="EI95">
        <v>29550.692771033828</v>
      </c>
      <c r="EJ95">
        <v>2346.0086206896553</v>
      </c>
      <c r="EK95">
        <v>6338.2896551724143</v>
      </c>
      <c r="EL95">
        <v>45952.6</v>
      </c>
      <c r="EM95">
        <v>437269.97310167563</v>
      </c>
      <c r="KC95" s="3">
        <v>46814</v>
      </c>
      <c r="KD95" s="9">
        <v>5675929.7169484254</v>
      </c>
      <c r="KE95" s="9">
        <v>122978.4772005492</v>
      </c>
      <c r="KF95" s="9">
        <v>346306.0227994509</v>
      </c>
      <c r="KG95" s="9">
        <v>28498.612068965536</v>
      </c>
      <c r="KH95" s="9">
        <v>75085.52</v>
      </c>
      <c r="KI95" s="9">
        <v>544370.02</v>
      </c>
      <c r="KJ95" s="9">
        <v>5358122.3062179396</v>
      </c>
      <c r="KL95" t="s">
        <v>1270</v>
      </c>
      <c r="KM95">
        <v>0.26</v>
      </c>
      <c r="KN95">
        <v>2.1666666666666667E-2</v>
      </c>
      <c r="KO95" t="s">
        <v>1271</v>
      </c>
      <c r="KP95">
        <v>25032.439655172417</v>
      </c>
      <c r="KQ95" t="s">
        <v>1264</v>
      </c>
    </row>
    <row r="96" spans="1:303" x14ac:dyDescent="0.3">
      <c r="A96">
        <v>46858</v>
      </c>
      <c r="B96">
        <v>120772.69583096686</v>
      </c>
      <c r="C96">
        <v>2616.7417430042819</v>
      </c>
      <c r="D96">
        <v>9554.8444638922701</v>
      </c>
      <c r="E96">
        <v>1878.1982758620693</v>
      </c>
      <c r="F96">
        <v>1947.4537931034488</v>
      </c>
      <c r="G96">
        <v>14119.04</v>
      </c>
      <c r="H96">
        <v>113096.04964293666</v>
      </c>
      <c r="J96">
        <v>46858</v>
      </c>
      <c r="K96">
        <v>196556.56394658913</v>
      </c>
      <c r="L96">
        <v>4258.7255521760981</v>
      </c>
      <c r="M96">
        <v>12258.946861617003</v>
      </c>
      <c r="N96">
        <v>4149.3017241379312</v>
      </c>
      <c r="O96">
        <v>2642.8275862068972</v>
      </c>
      <c r="P96">
        <v>19160.5</v>
      </c>
      <c r="Q96">
        <v>188446.91880911007</v>
      </c>
      <c r="S96">
        <v>46858</v>
      </c>
      <c r="T96">
        <v>78066.620249102416</v>
      </c>
      <c r="U96">
        <v>1691.4434387305523</v>
      </c>
      <c r="V96">
        <v>6133.9272509246202</v>
      </c>
      <c r="W96">
        <v>2856.7844827586209</v>
      </c>
      <c r="X96">
        <v>1252.0593103448275</v>
      </c>
      <c r="Y96">
        <v>9077.43</v>
      </c>
      <c r="Z96">
        <v>74789.477480936417</v>
      </c>
      <c r="AB96">
        <v>46858</v>
      </c>
      <c r="AC96">
        <v>1027024.5655814284</v>
      </c>
      <c r="AD96">
        <v>22252.19892093095</v>
      </c>
      <c r="AE96">
        <v>69976.982113551814</v>
      </c>
      <c r="AF96">
        <v>4696.508620689664</v>
      </c>
      <c r="AG96">
        <v>14756.668965517243</v>
      </c>
      <c r="AH96">
        <v>106985.85</v>
      </c>
      <c r="AI96">
        <v>961744.09208856628</v>
      </c>
      <c r="AK96">
        <v>46858</v>
      </c>
      <c r="AL96">
        <v>568780.42338402453</v>
      </c>
      <c r="AM96">
        <v>12323.575839987199</v>
      </c>
      <c r="AN96">
        <v>36163.286228978315</v>
      </c>
      <c r="AO96">
        <v>0</v>
      </c>
      <c r="AP96">
        <v>7757.8979310344848</v>
      </c>
      <c r="AQ96">
        <v>56244.76</v>
      </c>
      <c r="AR96">
        <v>532617.13715504622</v>
      </c>
      <c r="AT96">
        <v>46858</v>
      </c>
      <c r="AU96">
        <v>515831.76298148878</v>
      </c>
      <c r="AV96">
        <v>11176.354864598925</v>
      </c>
      <c r="AW96">
        <v>35708.670997470035</v>
      </c>
      <c r="AX96">
        <v>2921.0172413793107</v>
      </c>
      <c r="AY96">
        <v>7501.6041379310354</v>
      </c>
      <c r="AZ96">
        <v>54386.63</v>
      </c>
      <c r="BA96">
        <v>483044.1092253981</v>
      </c>
      <c r="BC96">
        <v>46858</v>
      </c>
      <c r="BD96">
        <v>233336.13895095896</v>
      </c>
      <c r="BE96">
        <v>5055.6163439374441</v>
      </c>
      <c r="BF96">
        <v>16242.564690545314</v>
      </c>
      <c r="BG96">
        <v>1411.0775862068965</v>
      </c>
      <c r="BH96">
        <v>3407.7089655172417</v>
      </c>
      <c r="BI96">
        <v>24705.89</v>
      </c>
      <c r="BJ96">
        <v>218504.65184662057</v>
      </c>
      <c r="BL96">
        <v>46858</v>
      </c>
      <c r="BM96">
        <v>462674.77195178065</v>
      </c>
      <c r="BN96">
        <v>10024.620058955248</v>
      </c>
      <c r="BO96">
        <v>31887.862699665449</v>
      </c>
      <c r="BP96">
        <v>2479.0258620689742</v>
      </c>
      <c r="BQ96">
        <v>6705.9972413793112</v>
      </c>
      <c r="BR96">
        <v>48618.48</v>
      </c>
      <c r="BS96">
        <v>433265.93511418416</v>
      </c>
      <c r="BU96">
        <v>46858</v>
      </c>
      <c r="BV96">
        <v>972160.85975719499</v>
      </c>
      <c r="BW96">
        <v>21063.485294739225</v>
      </c>
      <c r="BX96">
        <v>66939.549188019402</v>
      </c>
      <c r="BY96">
        <v>5146.8793103448279</v>
      </c>
      <c r="BZ96">
        <v>14080.485517241381</v>
      </c>
      <c r="CA96">
        <v>102083.52</v>
      </c>
      <c r="CB96">
        <v>910368.18987952045</v>
      </c>
      <c r="CD96">
        <v>46858</v>
      </c>
      <c r="CE96">
        <v>81621.803665629879</v>
      </c>
      <c r="CF96">
        <v>1768.4724127553138</v>
      </c>
      <c r="CG96">
        <v>3422.1741389688241</v>
      </c>
      <c r="CH96">
        <v>0</v>
      </c>
      <c r="CI96">
        <v>830.50344827586218</v>
      </c>
      <c r="CJ96">
        <v>6021.15</v>
      </c>
      <c r="CK96">
        <v>78199.62952666104</v>
      </c>
      <c r="CM96">
        <v>46858</v>
      </c>
      <c r="CN96">
        <v>154067.36289523606</v>
      </c>
      <c r="CO96">
        <v>3338.1261960634479</v>
      </c>
      <c r="CP96">
        <v>6376.8134591089656</v>
      </c>
      <c r="CQ96">
        <v>0</v>
      </c>
      <c r="CR96">
        <v>1554.3903448275864</v>
      </c>
      <c r="CS96">
        <v>11269.33</v>
      </c>
      <c r="CT96">
        <v>147690.5494361271</v>
      </c>
      <c r="CV96">
        <v>46858</v>
      </c>
      <c r="CW96">
        <v>84944.709843791963</v>
      </c>
      <c r="CX96">
        <v>1840.4687132821591</v>
      </c>
      <c r="CY96">
        <v>4014.0743901661167</v>
      </c>
      <c r="CZ96">
        <v>0</v>
      </c>
      <c r="DA96">
        <v>936.72689655172417</v>
      </c>
      <c r="DB96">
        <v>6791.27</v>
      </c>
      <c r="DC96">
        <v>80930.635453625844</v>
      </c>
      <c r="DE96">
        <v>46858</v>
      </c>
      <c r="DF96">
        <v>78943.188046112176</v>
      </c>
      <c r="DG96">
        <v>1710.4357409990971</v>
      </c>
      <c r="DH96">
        <v>3312.9263279664201</v>
      </c>
      <c r="DI96">
        <v>0</v>
      </c>
      <c r="DJ96">
        <v>803.73793103448293</v>
      </c>
      <c r="DK96">
        <v>5827.1</v>
      </c>
      <c r="DL96">
        <v>75630.261718145761</v>
      </c>
      <c r="DN96">
        <v>46858</v>
      </c>
      <c r="DO96">
        <v>72667.775610633733</v>
      </c>
      <c r="DP96">
        <v>1574.4684715637309</v>
      </c>
      <c r="DQ96">
        <v>3056.9884249879929</v>
      </c>
      <c r="DR96">
        <v>0</v>
      </c>
      <c r="DS96">
        <v>741.03310344827605</v>
      </c>
      <c r="DT96">
        <v>5372.49</v>
      </c>
      <c r="DU96">
        <v>69610.787185645735</v>
      </c>
      <c r="DW96">
        <v>46858</v>
      </c>
      <c r="DX96">
        <v>273403.09042132547</v>
      </c>
      <c r="DY96">
        <v>5923.7336257953857</v>
      </c>
      <c r="DZ96">
        <v>18002.11120179082</v>
      </c>
      <c r="EA96">
        <v>613.81034482758366</v>
      </c>
      <c r="EB96">
        <v>3828.1351724137935</v>
      </c>
      <c r="EC96">
        <v>27753.98</v>
      </c>
      <c r="ED96">
        <v>256014.78956436223</v>
      </c>
      <c r="EF96">
        <v>46858</v>
      </c>
      <c r="EG96">
        <v>437269.97310167563</v>
      </c>
      <c r="EH96">
        <v>9474.1827505363035</v>
      </c>
      <c r="EI96">
        <v>30140.127594291283</v>
      </c>
      <c r="EJ96">
        <v>2346.0086206896553</v>
      </c>
      <c r="EK96">
        <v>6338.2896551724143</v>
      </c>
      <c r="EL96">
        <v>45952.6</v>
      </c>
      <c r="EM96">
        <v>409475.8541280739</v>
      </c>
      <c r="KC96" s="3">
        <v>46845</v>
      </c>
      <c r="KD96" s="9">
        <v>5358122.3062179396</v>
      </c>
      <c r="KE96" s="9">
        <v>116092.64996805535</v>
      </c>
      <c r="KF96" s="9">
        <v>353191.85003194463</v>
      </c>
      <c r="KG96" s="9">
        <v>28498.612068965536</v>
      </c>
      <c r="KH96" s="9">
        <v>75085.52</v>
      </c>
      <c r="KI96" s="9">
        <v>544370.02</v>
      </c>
      <c r="KJ96" s="9">
        <v>5033429.0682549607</v>
      </c>
    </row>
    <row r="97" spans="1:303" x14ac:dyDescent="0.3">
      <c r="A97">
        <v>46888</v>
      </c>
      <c r="B97">
        <v>113096.04964293666</v>
      </c>
      <c r="C97">
        <v>2450.4144089302945</v>
      </c>
      <c r="D97">
        <v>9721.1717979662571</v>
      </c>
      <c r="E97">
        <v>1878.1982758620693</v>
      </c>
      <c r="F97">
        <v>1947.4537931034488</v>
      </c>
      <c r="G97">
        <v>14119.04</v>
      </c>
      <c r="H97">
        <v>105253.07612083248</v>
      </c>
      <c r="J97">
        <v>46888</v>
      </c>
      <c r="K97">
        <v>188446.91880911007</v>
      </c>
      <c r="L97">
        <v>4083.0165741973847</v>
      </c>
      <c r="M97">
        <v>12434.655839595716</v>
      </c>
      <c r="N97">
        <v>4149.3017241379312</v>
      </c>
      <c r="O97">
        <v>2642.8275862068972</v>
      </c>
      <c r="P97">
        <v>19160.5</v>
      </c>
      <c r="Q97">
        <v>180161.5646936523</v>
      </c>
      <c r="S97">
        <v>46888</v>
      </c>
      <c r="T97">
        <v>74789.477480936417</v>
      </c>
      <c r="U97">
        <v>1620.4386787536223</v>
      </c>
      <c r="V97">
        <v>6204.9320109015498</v>
      </c>
      <c r="W97">
        <v>2856.7844827586209</v>
      </c>
      <c r="X97">
        <v>1252.0593103448275</v>
      </c>
      <c r="Y97">
        <v>9077.43</v>
      </c>
      <c r="Z97">
        <v>71441.329952793487</v>
      </c>
      <c r="AB97">
        <v>46888</v>
      </c>
      <c r="AC97">
        <v>961744.09208856628</v>
      </c>
      <c r="AD97">
        <v>20837.788661918938</v>
      </c>
      <c r="AE97">
        <v>71391.392372563831</v>
      </c>
      <c r="AF97">
        <v>4696.508620689664</v>
      </c>
      <c r="AG97">
        <v>14756.668965517243</v>
      </c>
      <c r="AH97">
        <v>106985.85</v>
      </c>
      <c r="AI97">
        <v>895049.20833669195</v>
      </c>
      <c r="AK97">
        <v>46888</v>
      </c>
      <c r="AL97">
        <v>532617.13715504622</v>
      </c>
      <c r="AM97">
        <v>11540.037971692667</v>
      </c>
      <c r="AN97">
        <v>36946.824097272845</v>
      </c>
      <c r="AO97">
        <v>0</v>
      </c>
      <c r="AP97">
        <v>7757.8979310344848</v>
      </c>
      <c r="AQ97">
        <v>56244.76</v>
      </c>
      <c r="AR97">
        <v>495670.3130577734</v>
      </c>
      <c r="AT97">
        <v>46888</v>
      </c>
      <c r="AU97">
        <v>483044.1092253981</v>
      </c>
      <c r="AV97">
        <v>10465.955699883623</v>
      </c>
      <c r="AW97">
        <v>36419.070162185337</v>
      </c>
      <c r="AX97">
        <v>2921.0172413793107</v>
      </c>
      <c r="AY97">
        <v>7501.6041379310354</v>
      </c>
      <c r="AZ97">
        <v>54386.63</v>
      </c>
      <c r="BA97">
        <v>449546.05630459206</v>
      </c>
      <c r="BC97">
        <v>46888</v>
      </c>
      <c r="BD97">
        <v>218504.65184662057</v>
      </c>
      <c r="BE97">
        <v>4734.2674566767782</v>
      </c>
      <c r="BF97">
        <v>16563.913577805979</v>
      </c>
      <c r="BG97">
        <v>1411.0775862068965</v>
      </c>
      <c r="BH97">
        <v>3407.7089655172417</v>
      </c>
      <c r="BI97">
        <v>24705.89</v>
      </c>
      <c r="BJ97">
        <v>203351.81585502147</v>
      </c>
      <c r="BL97">
        <v>46888</v>
      </c>
      <c r="BM97">
        <v>433265.93511418416</v>
      </c>
      <c r="BN97">
        <v>9387.4285941406579</v>
      </c>
      <c r="BO97">
        <v>32525.05416448004</v>
      </c>
      <c r="BP97">
        <v>2479.0258620689742</v>
      </c>
      <c r="BQ97">
        <v>6705.9972413793112</v>
      </c>
      <c r="BR97">
        <v>48618.48</v>
      </c>
      <c r="BS97">
        <v>403219.90681177314</v>
      </c>
      <c r="BU97">
        <v>46888</v>
      </c>
      <c r="BV97">
        <v>910368.18987952045</v>
      </c>
      <c r="BW97">
        <v>19724.644114056278</v>
      </c>
      <c r="BX97">
        <v>68278.390368702341</v>
      </c>
      <c r="BY97">
        <v>5146.8793103448279</v>
      </c>
      <c r="BZ97">
        <v>14080.485517241381</v>
      </c>
      <c r="CA97">
        <v>102083.52</v>
      </c>
      <c r="CB97">
        <v>847236.6788211629</v>
      </c>
      <c r="CD97">
        <v>46888</v>
      </c>
      <c r="CE97">
        <v>78199.62952666104</v>
      </c>
      <c r="CF97">
        <v>1694.3253064109892</v>
      </c>
      <c r="CG97">
        <v>3496.3212453131482</v>
      </c>
      <c r="CH97">
        <v>0</v>
      </c>
      <c r="CI97">
        <v>830.50344827586218</v>
      </c>
      <c r="CJ97">
        <v>6021.15</v>
      </c>
      <c r="CK97">
        <v>74703.308281347898</v>
      </c>
      <c r="CM97">
        <v>46888</v>
      </c>
      <c r="CN97">
        <v>147690.5494361271</v>
      </c>
      <c r="CO97">
        <v>3199.9619044494207</v>
      </c>
      <c r="CP97">
        <v>6514.9777507229919</v>
      </c>
      <c r="CQ97">
        <v>0</v>
      </c>
      <c r="CR97">
        <v>1554.3903448275864</v>
      </c>
      <c r="CS97">
        <v>11269.33</v>
      </c>
      <c r="CT97">
        <v>141175.57168540411</v>
      </c>
      <c r="CV97">
        <v>46888</v>
      </c>
      <c r="CW97">
        <v>80930.635453625844</v>
      </c>
      <c r="CX97">
        <v>1753.4971014952266</v>
      </c>
      <c r="CY97">
        <v>4101.0460019530492</v>
      </c>
      <c r="CZ97">
        <v>0</v>
      </c>
      <c r="DA97">
        <v>936.72689655172417</v>
      </c>
      <c r="DB97">
        <v>6791.27</v>
      </c>
      <c r="DC97">
        <v>76829.5894516728</v>
      </c>
      <c r="DE97">
        <v>46888</v>
      </c>
      <c r="DF97">
        <v>75630.261718145761</v>
      </c>
      <c r="DG97">
        <v>1638.6556705598248</v>
      </c>
      <c r="DH97">
        <v>3384.7063984056922</v>
      </c>
      <c r="DI97">
        <v>0</v>
      </c>
      <c r="DJ97">
        <v>803.73793103448293</v>
      </c>
      <c r="DK97">
        <v>5827.1</v>
      </c>
      <c r="DL97">
        <v>72245.555319740073</v>
      </c>
      <c r="DN97">
        <v>46888</v>
      </c>
      <c r="DO97">
        <v>69610.787185645735</v>
      </c>
      <c r="DP97">
        <v>1508.2337223556576</v>
      </c>
      <c r="DQ97">
        <v>3123.2231741960659</v>
      </c>
      <c r="DR97">
        <v>0</v>
      </c>
      <c r="DS97">
        <v>741.03310344827605</v>
      </c>
      <c r="DT97">
        <v>5372.49</v>
      </c>
      <c r="DU97">
        <v>66487.564011449664</v>
      </c>
      <c r="DW97">
        <v>46888</v>
      </c>
      <c r="DX97">
        <v>256014.78956436223</v>
      </c>
      <c r="DY97">
        <v>5546.9871072278484</v>
      </c>
      <c r="DZ97">
        <v>18378.857720358359</v>
      </c>
      <c r="EA97">
        <v>613.81034482758366</v>
      </c>
      <c r="EB97">
        <v>3828.1351724137935</v>
      </c>
      <c r="EC97">
        <v>27753.98</v>
      </c>
      <c r="ED97">
        <v>238249.74218883147</v>
      </c>
      <c r="EF97">
        <v>46888</v>
      </c>
      <c r="EG97">
        <v>409475.8541280739</v>
      </c>
      <c r="EH97">
        <v>8871.9768394416024</v>
      </c>
      <c r="EI97">
        <v>30742.333505385985</v>
      </c>
      <c r="EJ97">
        <v>2346.0086206896553</v>
      </c>
      <c r="EK97">
        <v>6338.2896551724143</v>
      </c>
      <c r="EL97">
        <v>45952.6</v>
      </c>
      <c r="EM97">
        <v>381079.52924337768</v>
      </c>
      <c r="KC97" s="3">
        <v>46875</v>
      </c>
      <c r="KD97" s="9">
        <v>5033429.0682549607</v>
      </c>
      <c r="KE97" s="9">
        <v>109057.6298121908</v>
      </c>
      <c r="KF97" s="9">
        <v>360226.87018780923</v>
      </c>
      <c r="KG97" s="9">
        <v>28498.612068965536</v>
      </c>
      <c r="KH97" s="9">
        <v>75085.52</v>
      </c>
      <c r="KI97" s="9">
        <v>544370.02</v>
      </c>
      <c r="KJ97" s="9">
        <v>4701700.810136117</v>
      </c>
      <c r="KL97" t="s">
        <v>1199</v>
      </c>
      <c r="KN97">
        <v>0</v>
      </c>
      <c r="KO97" t="s">
        <v>1200</v>
      </c>
    </row>
    <row r="98" spans="1:303" x14ac:dyDescent="0.3">
      <c r="A98">
        <v>46919</v>
      </c>
      <c r="B98">
        <v>105253.07612083248</v>
      </c>
      <c r="C98">
        <v>2280.4833159513705</v>
      </c>
      <c r="D98">
        <v>9891.1028909451816</v>
      </c>
      <c r="E98">
        <v>1878.1982758620693</v>
      </c>
      <c r="F98">
        <v>1947.4537931034488</v>
      </c>
      <c r="G98">
        <v>14119.04</v>
      </c>
      <c r="H98">
        <v>97240.171505749371</v>
      </c>
      <c r="J98">
        <v>46919</v>
      </c>
      <c r="K98">
        <v>180161.5646936523</v>
      </c>
      <c r="L98">
        <v>3903.5005683624672</v>
      </c>
      <c r="M98">
        <v>12614.171845430636</v>
      </c>
      <c r="N98">
        <v>4149.3017241379312</v>
      </c>
      <c r="O98">
        <v>2642.8275862068972</v>
      </c>
      <c r="P98">
        <v>19160.5</v>
      </c>
      <c r="Q98">
        <v>171696.69457235961</v>
      </c>
      <c r="S98">
        <v>46919</v>
      </c>
      <c r="T98">
        <v>71441.329952793487</v>
      </c>
      <c r="U98">
        <v>1547.8954823105255</v>
      </c>
      <c r="V98">
        <v>6277.4752073446471</v>
      </c>
      <c r="W98">
        <v>2856.7844827586209</v>
      </c>
      <c r="X98">
        <v>1252.0593103448275</v>
      </c>
      <c r="Y98">
        <v>9077.43</v>
      </c>
      <c r="Z98">
        <v>68020.639228207467</v>
      </c>
      <c r="AB98">
        <v>46919</v>
      </c>
      <c r="AC98">
        <v>895049.20833669195</v>
      </c>
      <c r="AD98">
        <v>19392.732847294996</v>
      </c>
      <c r="AE98">
        <v>72836.44818718778</v>
      </c>
      <c r="AF98">
        <v>4696.508620689664</v>
      </c>
      <c r="AG98">
        <v>14756.668965517243</v>
      </c>
      <c r="AH98">
        <v>106985.85</v>
      </c>
      <c r="AI98">
        <v>826909.26877019391</v>
      </c>
      <c r="AK98">
        <v>46919</v>
      </c>
      <c r="AL98">
        <v>495670.3130577734</v>
      </c>
      <c r="AM98">
        <v>10739.523449585093</v>
      </c>
      <c r="AN98">
        <v>37747.338619380425</v>
      </c>
      <c r="AO98">
        <v>0</v>
      </c>
      <c r="AP98">
        <v>7757.8979310344848</v>
      </c>
      <c r="AQ98">
        <v>56244.76</v>
      </c>
      <c r="AR98">
        <v>457922.97443839296</v>
      </c>
      <c r="AT98">
        <v>46919</v>
      </c>
      <c r="AU98">
        <v>449546.05630459206</v>
      </c>
      <c r="AV98">
        <v>9740.1645532661623</v>
      </c>
      <c r="AW98">
        <v>37144.8613088028</v>
      </c>
      <c r="AX98">
        <v>2921.0172413793107</v>
      </c>
      <c r="AY98">
        <v>7501.6041379310354</v>
      </c>
      <c r="AZ98">
        <v>54386.63</v>
      </c>
      <c r="BA98">
        <v>415322.21223716857</v>
      </c>
      <c r="BC98">
        <v>46919</v>
      </c>
      <c r="BD98">
        <v>203351.81585502147</v>
      </c>
      <c r="BE98">
        <v>4405.9560101921325</v>
      </c>
      <c r="BF98">
        <v>16892.225024290623</v>
      </c>
      <c r="BG98">
        <v>1411.0775862068965</v>
      </c>
      <c r="BH98">
        <v>3407.7089655172417</v>
      </c>
      <c r="BI98">
        <v>24705.89</v>
      </c>
      <c r="BJ98">
        <v>187870.66841693775</v>
      </c>
      <c r="BL98">
        <v>46919</v>
      </c>
      <c r="BM98">
        <v>403219.90681177314</v>
      </c>
      <c r="BN98">
        <v>8736.4313142550836</v>
      </c>
      <c r="BO98">
        <v>33176.051444365614</v>
      </c>
      <c r="BP98">
        <v>2479.0258620689742</v>
      </c>
      <c r="BQ98">
        <v>6705.9972413793112</v>
      </c>
      <c r="BR98">
        <v>48618.48</v>
      </c>
      <c r="BS98">
        <v>372522.88122947642</v>
      </c>
      <c r="BU98">
        <v>46919</v>
      </c>
      <c r="BV98">
        <v>847236.6788211629</v>
      </c>
      <c r="BW98">
        <v>18356.794707791865</v>
      </c>
      <c r="BX98">
        <v>69646.239774966758</v>
      </c>
      <c r="BY98">
        <v>5146.8793103448279</v>
      </c>
      <c r="BZ98">
        <v>14080.485517241381</v>
      </c>
      <c r="CA98">
        <v>102083.52</v>
      </c>
      <c r="CB98">
        <v>782737.31835654099</v>
      </c>
      <c r="CD98">
        <v>46919</v>
      </c>
      <c r="CE98">
        <v>74703.308281347898</v>
      </c>
      <c r="CF98">
        <v>1618.5716794292046</v>
      </c>
      <c r="CG98">
        <v>3572.0748722949329</v>
      </c>
      <c r="CH98">
        <v>0</v>
      </c>
      <c r="CI98">
        <v>830.50344827586218</v>
      </c>
      <c r="CJ98">
        <v>6021.15</v>
      </c>
      <c r="CK98">
        <v>71131.233409052962</v>
      </c>
      <c r="CM98">
        <v>46919</v>
      </c>
      <c r="CN98">
        <v>141175.57168540411</v>
      </c>
      <c r="CO98">
        <v>3058.804053183756</v>
      </c>
      <c r="CP98">
        <v>6656.1356019886571</v>
      </c>
      <c r="CQ98">
        <v>0</v>
      </c>
      <c r="CR98">
        <v>1554.3903448275864</v>
      </c>
      <c r="CS98">
        <v>11269.33</v>
      </c>
      <c r="CT98">
        <v>134519.43608341546</v>
      </c>
      <c r="CV98">
        <v>46919</v>
      </c>
      <c r="CW98">
        <v>76829.5894516728</v>
      </c>
      <c r="CX98">
        <v>1664.6411047862439</v>
      </c>
      <c r="CY98">
        <v>4189.9019986620324</v>
      </c>
      <c r="CZ98">
        <v>0</v>
      </c>
      <c r="DA98">
        <v>936.72689655172417</v>
      </c>
      <c r="DB98">
        <v>6791.27</v>
      </c>
      <c r="DC98">
        <v>72639.687453010774</v>
      </c>
      <c r="DE98">
        <v>46919</v>
      </c>
      <c r="DF98">
        <v>72245.555319740073</v>
      </c>
      <c r="DG98">
        <v>1565.320365261035</v>
      </c>
      <c r="DH98">
        <v>3458.0417037044822</v>
      </c>
      <c r="DI98">
        <v>0</v>
      </c>
      <c r="DJ98">
        <v>803.73793103448293</v>
      </c>
      <c r="DK98">
        <v>5827.1</v>
      </c>
      <c r="DL98">
        <v>68787.513616035591</v>
      </c>
      <c r="DN98">
        <v>46919</v>
      </c>
      <c r="DO98">
        <v>66487.564011449664</v>
      </c>
      <c r="DP98">
        <v>1440.5638869147429</v>
      </c>
      <c r="DQ98">
        <v>3190.8930096369809</v>
      </c>
      <c r="DR98">
        <v>0</v>
      </c>
      <c r="DS98">
        <v>741.03310344827605</v>
      </c>
      <c r="DT98">
        <v>5372.49</v>
      </c>
      <c r="DU98">
        <v>63296.671001812683</v>
      </c>
      <c r="DW98">
        <v>46919</v>
      </c>
      <c r="DX98">
        <v>238249.74218883147</v>
      </c>
      <c r="DY98">
        <v>5162.0777474246825</v>
      </c>
      <c r="DZ98">
        <v>18763.767080161524</v>
      </c>
      <c r="EA98">
        <v>613.81034482758366</v>
      </c>
      <c r="EB98">
        <v>3828.1351724137935</v>
      </c>
      <c r="EC98">
        <v>27753.98</v>
      </c>
      <c r="ED98">
        <v>220099.78545349755</v>
      </c>
      <c r="EF98">
        <v>46919</v>
      </c>
      <c r="EG98">
        <v>381079.52924337768</v>
      </c>
      <c r="EH98">
        <v>8256.7231336065161</v>
      </c>
      <c r="EI98">
        <v>31357.587211221071</v>
      </c>
      <c r="EJ98">
        <v>2346.0086206896553</v>
      </c>
      <c r="EK98">
        <v>6338.2896551724143</v>
      </c>
      <c r="EL98">
        <v>45952.6</v>
      </c>
      <c r="EM98">
        <v>352067.95065284631</v>
      </c>
      <c r="KC98" s="3">
        <v>46906</v>
      </c>
      <c r="KD98" s="9">
        <v>4701700.810136117</v>
      </c>
      <c r="KE98" s="9">
        <v>101870.18421961588</v>
      </c>
      <c r="KF98" s="9">
        <v>367414.31578038406</v>
      </c>
      <c r="KG98" s="9">
        <v>28498.612068965536</v>
      </c>
      <c r="KH98" s="9">
        <v>75085.52</v>
      </c>
      <c r="KI98" s="9">
        <v>544370.02</v>
      </c>
      <c r="KJ98" s="9">
        <v>4362785.1064246986</v>
      </c>
      <c r="KL98" t="s">
        <v>1231</v>
      </c>
      <c r="KM98" t="s">
        <v>1235</v>
      </c>
      <c r="KO98" t="s">
        <v>1233</v>
      </c>
      <c r="KP98" t="s">
        <v>1251</v>
      </c>
    </row>
    <row r="99" spans="1:303" x14ac:dyDescent="0.3">
      <c r="A99">
        <v>46949</v>
      </c>
      <c r="B99">
        <v>97240.171505749371</v>
      </c>
      <c r="C99">
        <v>2106.8703826245696</v>
      </c>
      <c r="D99">
        <v>10064.715824271983</v>
      </c>
      <c r="E99">
        <v>1878.1982758620693</v>
      </c>
      <c r="F99">
        <v>1947.4537931034488</v>
      </c>
      <c r="G99">
        <v>14119.04</v>
      </c>
      <c r="H99">
        <v>89053.653957339455</v>
      </c>
      <c r="J99">
        <v>46949</v>
      </c>
      <c r="K99">
        <v>171696.69457235961</v>
      </c>
      <c r="L99">
        <v>3720.0950490677919</v>
      </c>
      <c r="M99">
        <v>12797.57736472531</v>
      </c>
      <c r="N99">
        <v>4149.3017241379312</v>
      </c>
      <c r="O99">
        <v>2642.8275862068972</v>
      </c>
      <c r="P99">
        <v>19160.5</v>
      </c>
      <c r="Q99">
        <v>163048.41893177223</v>
      </c>
      <c r="S99">
        <v>46949</v>
      </c>
      <c r="T99">
        <v>68020.639228207467</v>
      </c>
      <c r="U99">
        <v>1473.7805166111618</v>
      </c>
      <c r="V99">
        <v>6351.59017304401</v>
      </c>
      <c r="W99">
        <v>2856.7844827586209</v>
      </c>
      <c r="X99">
        <v>1252.0593103448275</v>
      </c>
      <c r="Y99">
        <v>9077.43</v>
      </c>
      <c r="Z99">
        <v>64525.833537922081</v>
      </c>
      <c r="AB99">
        <v>46949</v>
      </c>
      <c r="AC99">
        <v>826909.26877019391</v>
      </c>
      <c r="AD99">
        <v>17916.367490020868</v>
      </c>
      <c r="AE99">
        <v>74312.813544461911</v>
      </c>
      <c r="AF99">
        <v>4696.508620689664</v>
      </c>
      <c r="AG99">
        <v>14756.668965517243</v>
      </c>
      <c r="AH99">
        <v>106985.85</v>
      </c>
      <c r="AI99">
        <v>757292.9638464218</v>
      </c>
      <c r="AK99">
        <v>46949</v>
      </c>
      <c r="AL99">
        <v>457922.97443839296</v>
      </c>
      <c r="AM99">
        <v>9921.6644461651813</v>
      </c>
      <c r="AN99">
        <v>38565.197622800333</v>
      </c>
      <c r="AO99">
        <v>0</v>
      </c>
      <c r="AP99">
        <v>7757.8979310344848</v>
      </c>
      <c r="AQ99">
        <v>56244.76</v>
      </c>
      <c r="AR99">
        <v>419357.77681559266</v>
      </c>
      <c r="AT99">
        <v>46949</v>
      </c>
      <c r="AU99">
        <v>415322.21223716857</v>
      </c>
      <c r="AV99">
        <v>8998.6479318053189</v>
      </c>
      <c r="AW99">
        <v>37886.377930263647</v>
      </c>
      <c r="AX99">
        <v>2921.0172413793107</v>
      </c>
      <c r="AY99">
        <v>7501.6041379310354</v>
      </c>
      <c r="AZ99">
        <v>54386.63</v>
      </c>
      <c r="BA99">
        <v>380356.85154828423</v>
      </c>
      <c r="BC99">
        <v>46949</v>
      </c>
      <c r="BD99">
        <v>187870.66841693775</v>
      </c>
      <c r="BE99">
        <v>4070.5311490336521</v>
      </c>
      <c r="BF99">
        <v>17227.649885449107</v>
      </c>
      <c r="BG99">
        <v>1411.0775862068965</v>
      </c>
      <c r="BH99">
        <v>3407.7089655172417</v>
      </c>
      <c r="BI99">
        <v>24705.89</v>
      </c>
      <c r="BJ99">
        <v>172054.09611769556</v>
      </c>
      <c r="BL99">
        <v>46949</v>
      </c>
      <c r="BM99">
        <v>372522.88122947642</v>
      </c>
      <c r="BN99">
        <v>8071.3290933053231</v>
      </c>
      <c r="BO99">
        <v>33841.153665315374</v>
      </c>
      <c r="BP99">
        <v>2479.0258620689742</v>
      </c>
      <c r="BQ99">
        <v>6705.9972413793112</v>
      </c>
      <c r="BR99">
        <v>48618.48</v>
      </c>
      <c r="BS99">
        <v>341160.75342623005</v>
      </c>
      <c r="BU99">
        <v>46949</v>
      </c>
      <c r="BV99">
        <v>782737.31835654099</v>
      </c>
      <c r="BW99">
        <v>16959.308564391722</v>
      </c>
      <c r="BX99">
        <v>71043.725918366894</v>
      </c>
      <c r="BY99">
        <v>5146.8793103448279</v>
      </c>
      <c r="BZ99">
        <v>14080.485517241381</v>
      </c>
      <c r="CA99">
        <v>102083.52</v>
      </c>
      <c r="CB99">
        <v>716840.47174851887</v>
      </c>
      <c r="CD99">
        <v>46949</v>
      </c>
      <c r="CE99">
        <v>71131.233409052962</v>
      </c>
      <c r="CF99">
        <v>1541.1767238628142</v>
      </c>
      <c r="CG99">
        <v>3649.4698278613232</v>
      </c>
      <c r="CH99">
        <v>0</v>
      </c>
      <c r="CI99">
        <v>830.50344827586218</v>
      </c>
      <c r="CJ99">
        <v>6021.15</v>
      </c>
      <c r="CK99">
        <v>67481.763581191641</v>
      </c>
      <c r="CM99">
        <v>46949</v>
      </c>
      <c r="CN99">
        <v>134519.43608341546</v>
      </c>
      <c r="CO99">
        <v>2914.587781807335</v>
      </c>
      <c r="CP99">
        <v>6800.3518733650781</v>
      </c>
      <c r="CQ99">
        <v>0</v>
      </c>
      <c r="CR99">
        <v>1554.3903448275864</v>
      </c>
      <c r="CS99">
        <v>11269.33</v>
      </c>
      <c r="CT99">
        <v>127719.08421005038</v>
      </c>
      <c r="CV99">
        <v>46949</v>
      </c>
      <c r="CW99">
        <v>72639.687453010774</v>
      </c>
      <c r="CX99">
        <v>1573.8598948152337</v>
      </c>
      <c r="CY99">
        <v>4280.6832086330433</v>
      </c>
      <c r="CZ99">
        <v>0</v>
      </c>
      <c r="DA99">
        <v>936.72689655172417</v>
      </c>
      <c r="DB99">
        <v>6791.27</v>
      </c>
      <c r="DC99">
        <v>68359.004244377735</v>
      </c>
      <c r="DE99">
        <v>46949</v>
      </c>
      <c r="DF99">
        <v>68787.513616035591</v>
      </c>
      <c r="DG99">
        <v>1490.3961283474378</v>
      </c>
      <c r="DH99">
        <v>3532.9659406180795</v>
      </c>
      <c r="DI99">
        <v>0</v>
      </c>
      <c r="DJ99">
        <v>803.73793103448293</v>
      </c>
      <c r="DK99">
        <v>5827.1</v>
      </c>
      <c r="DL99">
        <v>65254.547675417511</v>
      </c>
      <c r="DN99">
        <v>46949</v>
      </c>
      <c r="DO99">
        <v>63296.671001812683</v>
      </c>
      <c r="DP99">
        <v>1371.4278717059417</v>
      </c>
      <c r="DQ99">
        <v>3260.0290248457823</v>
      </c>
      <c r="DR99">
        <v>0</v>
      </c>
      <c r="DS99">
        <v>741.03310344827605</v>
      </c>
      <c r="DT99">
        <v>5372.49</v>
      </c>
      <c r="DU99">
        <v>60036.641976966901</v>
      </c>
      <c r="DW99">
        <v>46949</v>
      </c>
      <c r="DX99">
        <v>220099.78545349755</v>
      </c>
      <c r="DY99">
        <v>4768.8286848257803</v>
      </c>
      <c r="DZ99">
        <v>19157.016142760425</v>
      </c>
      <c r="EA99">
        <v>613.81034482758366</v>
      </c>
      <c r="EB99">
        <v>3828.1351724137935</v>
      </c>
      <c r="EC99">
        <v>27753.98</v>
      </c>
      <c r="ED99">
        <v>201556.57965556471</v>
      </c>
      <c r="EF99">
        <v>46949</v>
      </c>
      <c r="EG99">
        <v>352067.95065284631</v>
      </c>
      <c r="EH99">
        <v>7628.1389308116704</v>
      </c>
      <c r="EI99">
        <v>31986.171414015917</v>
      </c>
      <c r="EJ99">
        <v>2346.0086206896553</v>
      </c>
      <c r="EK99">
        <v>6338.2896551724143</v>
      </c>
      <c r="EL99">
        <v>45952.6</v>
      </c>
      <c r="EM99">
        <v>322427.78785952006</v>
      </c>
      <c r="KC99" s="3">
        <v>46936</v>
      </c>
      <c r="KD99" s="9">
        <v>4362785.1064246986</v>
      </c>
      <c r="KE99" s="9">
        <v>94527.010639201791</v>
      </c>
      <c r="KF99" s="9">
        <v>374757.48936079827</v>
      </c>
      <c r="KG99" s="9">
        <v>28498.612068965536</v>
      </c>
      <c r="KH99" s="9">
        <v>75085.52</v>
      </c>
      <c r="KI99" s="9">
        <v>544370.02</v>
      </c>
      <c r="KJ99" s="9">
        <v>4016526.229132866</v>
      </c>
      <c r="KL99" t="s">
        <v>1263</v>
      </c>
      <c r="KM99">
        <v>852847.41379310354</v>
      </c>
      <c r="KN99" t="s">
        <v>1264</v>
      </c>
      <c r="KO99" t="s">
        <v>1265</v>
      </c>
      <c r="KP99">
        <v>48</v>
      </c>
      <c r="KQ99" t="s">
        <v>1266</v>
      </c>
    </row>
    <row r="100" spans="1:303" x14ac:dyDescent="0.3">
      <c r="A100">
        <v>46980</v>
      </c>
      <c r="B100">
        <v>89053.653957339455</v>
      </c>
      <c r="C100">
        <v>1929.495835742355</v>
      </c>
      <c r="D100">
        <v>10242.090371154198</v>
      </c>
      <c r="E100">
        <v>1878.1982758620693</v>
      </c>
      <c r="F100">
        <v>1947.4537931034488</v>
      </c>
      <c r="G100">
        <v>14119.04</v>
      </c>
      <c r="H100">
        <v>80689.761862047322</v>
      </c>
      <c r="J100">
        <v>46980</v>
      </c>
      <c r="K100">
        <v>163048.41893177223</v>
      </c>
      <c r="L100">
        <v>3532.7157435217318</v>
      </c>
      <c r="M100">
        <v>12984.956670271367</v>
      </c>
      <c r="N100">
        <v>4149.3017241379312</v>
      </c>
      <c r="O100">
        <v>2642.8275862068972</v>
      </c>
      <c r="P100">
        <v>19160.5</v>
      </c>
      <c r="Q100">
        <v>154212.7639856388</v>
      </c>
      <c r="S100">
        <v>46980</v>
      </c>
      <c r="T100">
        <v>64525.833537922081</v>
      </c>
      <c r="U100">
        <v>1398.0597266549785</v>
      </c>
      <c r="V100">
        <v>6427.3109630001936</v>
      </c>
      <c r="W100">
        <v>2856.7844827586209</v>
      </c>
      <c r="X100">
        <v>1252.0593103448275</v>
      </c>
      <c r="Y100">
        <v>9077.43</v>
      </c>
      <c r="Z100">
        <v>60955.307057680511</v>
      </c>
      <c r="AB100">
        <v>46980</v>
      </c>
      <c r="AC100">
        <v>757292.9638464218</v>
      </c>
      <c r="AD100">
        <v>16408.014216672469</v>
      </c>
      <c r="AE100">
        <v>75821.166817810299</v>
      </c>
      <c r="AF100">
        <v>4696.508620689664</v>
      </c>
      <c r="AG100">
        <v>14756.668965517243</v>
      </c>
      <c r="AH100">
        <v>106985.85</v>
      </c>
      <c r="AI100">
        <v>686168.30564930104</v>
      </c>
      <c r="AK100">
        <v>46980</v>
      </c>
      <c r="AL100">
        <v>419357.77681559266</v>
      </c>
      <c r="AM100">
        <v>9086.0851643378392</v>
      </c>
      <c r="AN100">
        <v>39400.776904627674</v>
      </c>
      <c r="AO100">
        <v>0</v>
      </c>
      <c r="AP100">
        <v>7757.8979310344848</v>
      </c>
      <c r="AQ100">
        <v>56244.76</v>
      </c>
      <c r="AR100">
        <v>379956.99991096498</v>
      </c>
      <c r="AT100">
        <v>46980</v>
      </c>
      <c r="AU100">
        <v>380356.85154828423</v>
      </c>
      <c r="AV100">
        <v>8241.0651168794921</v>
      </c>
      <c r="AW100">
        <v>38643.96074518947</v>
      </c>
      <c r="AX100">
        <v>2921.0172413793107</v>
      </c>
      <c r="AY100">
        <v>7501.6041379310354</v>
      </c>
      <c r="AZ100">
        <v>54386.63</v>
      </c>
      <c r="BA100">
        <v>344633.90804447408</v>
      </c>
      <c r="BC100">
        <v>46980</v>
      </c>
      <c r="BD100">
        <v>172054.09611769556</v>
      </c>
      <c r="BE100">
        <v>3727.8387492167367</v>
      </c>
      <c r="BF100">
        <v>17570.342285266019</v>
      </c>
      <c r="BG100">
        <v>1411.0775862068965</v>
      </c>
      <c r="BH100">
        <v>3407.7089655172417</v>
      </c>
      <c r="BI100">
        <v>24705.89</v>
      </c>
      <c r="BJ100">
        <v>155894.83141863643</v>
      </c>
      <c r="BL100">
        <v>46980</v>
      </c>
      <c r="BM100">
        <v>341160.75342623005</v>
      </c>
      <c r="BN100">
        <v>7391.8163242349838</v>
      </c>
      <c r="BO100">
        <v>34520.666434385712</v>
      </c>
      <c r="BP100">
        <v>2479.0258620689742</v>
      </c>
      <c r="BQ100">
        <v>6705.9972413793112</v>
      </c>
      <c r="BR100">
        <v>48618.48</v>
      </c>
      <c r="BS100">
        <v>309119.11285391334</v>
      </c>
      <c r="BU100">
        <v>46980</v>
      </c>
      <c r="BV100">
        <v>716840.47174851887</v>
      </c>
      <c r="BW100">
        <v>15531.543554551245</v>
      </c>
      <c r="BX100">
        <v>72471.490928207379</v>
      </c>
      <c r="BY100">
        <v>5146.8793103448279</v>
      </c>
      <c r="BZ100">
        <v>14080.485517241381</v>
      </c>
      <c r="CA100">
        <v>102083.52</v>
      </c>
      <c r="CB100">
        <v>649515.86013065628</v>
      </c>
      <c r="CD100">
        <v>46980</v>
      </c>
      <c r="CE100">
        <v>67481.763581191641</v>
      </c>
      <c r="CF100">
        <v>1462.1048775924855</v>
      </c>
      <c r="CG100">
        <v>3728.5416741316521</v>
      </c>
      <c r="CH100">
        <v>0</v>
      </c>
      <c r="CI100">
        <v>830.50344827586218</v>
      </c>
      <c r="CJ100">
        <v>6021.15</v>
      </c>
      <c r="CK100">
        <v>63753.221907059989</v>
      </c>
      <c r="CM100">
        <v>46980</v>
      </c>
      <c r="CN100">
        <v>127719.08421005038</v>
      </c>
      <c r="CO100">
        <v>2767.2468245510918</v>
      </c>
      <c r="CP100">
        <v>6947.6928306213213</v>
      </c>
      <c r="CQ100">
        <v>0</v>
      </c>
      <c r="CR100">
        <v>1554.3903448275864</v>
      </c>
      <c r="CS100">
        <v>11269.33</v>
      </c>
      <c r="CT100">
        <v>120771.39137942906</v>
      </c>
      <c r="CV100">
        <v>46980</v>
      </c>
      <c r="CW100">
        <v>68359.004244377735</v>
      </c>
      <c r="CX100">
        <v>1481.1117586281844</v>
      </c>
      <c r="CY100">
        <v>4373.4313448200919</v>
      </c>
      <c r="CZ100">
        <v>0</v>
      </c>
      <c r="DA100">
        <v>936.72689655172417</v>
      </c>
      <c r="DB100">
        <v>6791.27</v>
      </c>
      <c r="DC100">
        <v>63985.572899557643</v>
      </c>
      <c r="DE100">
        <v>46980</v>
      </c>
      <c r="DF100">
        <v>65254.547675417511</v>
      </c>
      <c r="DG100">
        <v>1413.8485329673797</v>
      </c>
      <c r="DH100">
        <v>3609.5135359981377</v>
      </c>
      <c r="DI100">
        <v>0</v>
      </c>
      <c r="DJ100">
        <v>803.73793103448293</v>
      </c>
      <c r="DK100">
        <v>5827.1</v>
      </c>
      <c r="DL100">
        <v>61645.034139419375</v>
      </c>
      <c r="DN100">
        <v>46980</v>
      </c>
      <c r="DO100">
        <v>60036.641976966901</v>
      </c>
      <c r="DP100">
        <v>1300.7939095009497</v>
      </c>
      <c r="DQ100">
        <v>3330.6629870507741</v>
      </c>
      <c r="DR100">
        <v>0</v>
      </c>
      <c r="DS100">
        <v>741.03310344827605</v>
      </c>
      <c r="DT100">
        <v>5372.49</v>
      </c>
      <c r="DU100">
        <v>56705.978989916126</v>
      </c>
      <c r="DW100">
        <v>46980</v>
      </c>
      <c r="DX100">
        <v>201556.57965556471</v>
      </c>
      <c r="DY100">
        <v>4367.0592258705692</v>
      </c>
      <c r="DZ100">
        <v>19558.785601715637</v>
      </c>
      <c r="EA100">
        <v>613.81034482758366</v>
      </c>
      <c r="EB100">
        <v>3828.1351724137935</v>
      </c>
      <c r="EC100">
        <v>27753.98</v>
      </c>
      <c r="ED100">
        <v>182611.60439867663</v>
      </c>
      <c r="EF100">
        <v>46980</v>
      </c>
      <c r="EG100">
        <v>322427.78785952006</v>
      </c>
      <c r="EH100">
        <v>6985.9354036229352</v>
      </c>
      <c r="EI100">
        <v>32628.374941204653</v>
      </c>
      <c r="EJ100">
        <v>2346.0086206896553</v>
      </c>
      <c r="EK100">
        <v>6338.2896551724143</v>
      </c>
      <c r="EL100">
        <v>45952.6</v>
      </c>
      <c r="EM100">
        <v>292145.42153900507</v>
      </c>
      <c r="KC100" s="3">
        <v>46967</v>
      </c>
      <c r="KD100" s="9">
        <v>4016526.229132866</v>
      </c>
      <c r="KE100" s="9">
        <v>87024.734964545452</v>
      </c>
      <c r="KF100" s="9">
        <v>382259.76503545453</v>
      </c>
      <c r="KG100" s="9">
        <v>28498.612068965536</v>
      </c>
      <c r="KH100" s="9">
        <v>75085.52</v>
      </c>
      <c r="KI100" s="9">
        <v>544370.02</v>
      </c>
      <c r="KJ100" s="9">
        <v>3662765.0761663769</v>
      </c>
      <c r="KL100" t="s">
        <v>1267</v>
      </c>
      <c r="KM100">
        <v>0</v>
      </c>
      <c r="KN100" t="s">
        <v>1264</v>
      </c>
      <c r="KO100" t="s">
        <v>1268</v>
      </c>
      <c r="KP100">
        <v>29629.95</v>
      </c>
      <c r="KQ100" t="s">
        <v>1269</v>
      </c>
    </row>
    <row r="101" spans="1:303" x14ac:dyDescent="0.3">
      <c r="A101">
        <v>47011</v>
      </c>
      <c r="B101">
        <v>80689.761862047322</v>
      </c>
      <c r="C101">
        <v>1748.2781736776919</v>
      </c>
      <c r="D101">
        <v>10423.30803321886</v>
      </c>
      <c r="E101">
        <v>1878.1982758620693</v>
      </c>
      <c r="F101">
        <v>1947.4537931034488</v>
      </c>
      <c r="G101">
        <v>14119.04</v>
      </c>
      <c r="H101">
        <v>72144.65210469054</v>
      </c>
      <c r="J101">
        <v>47011</v>
      </c>
      <c r="K101">
        <v>154212.7639856388</v>
      </c>
      <c r="L101">
        <v>3341.2765530221741</v>
      </c>
      <c r="M101">
        <v>13176.395860770928</v>
      </c>
      <c r="N101">
        <v>4149.3017241379312</v>
      </c>
      <c r="O101">
        <v>2642.8275862068972</v>
      </c>
      <c r="P101">
        <v>19160.5</v>
      </c>
      <c r="Q101">
        <v>145185.66984900582</v>
      </c>
      <c r="S101">
        <v>47011</v>
      </c>
      <c r="T101">
        <v>60955.307057680511</v>
      </c>
      <c r="U101">
        <v>1320.6983195830778</v>
      </c>
      <c r="V101">
        <v>6504.6723700720941</v>
      </c>
      <c r="W101">
        <v>2856.7844827586209</v>
      </c>
      <c r="X101">
        <v>1252.0593103448275</v>
      </c>
      <c r="Y101">
        <v>9077.43</v>
      </c>
      <c r="Z101">
        <v>57307.419170367037</v>
      </c>
      <c r="AB101">
        <v>47011</v>
      </c>
      <c r="AC101">
        <v>686168.30564930104</v>
      </c>
      <c r="AD101">
        <v>14866.979955734856</v>
      </c>
      <c r="AE101">
        <v>77362.201078747908</v>
      </c>
      <c r="AF101">
        <v>4696.508620689664</v>
      </c>
      <c r="AG101">
        <v>14756.668965517243</v>
      </c>
      <c r="AH101">
        <v>106985.85</v>
      </c>
      <c r="AI101">
        <v>613502.6131912428</v>
      </c>
      <c r="AK101">
        <v>47011</v>
      </c>
      <c r="AL101">
        <v>379956.99991096498</v>
      </c>
      <c r="AM101">
        <v>8232.4016647375756</v>
      </c>
      <c r="AN101">
        <v>40254.460404227939</v>
      </c>
      <c r="AO101">
        <v>0</v>
      </c>
      <c r="AP101">
        <v>7757.8979310344848</v>
      </c>
      <c r="AQ101">
        <v>56244.76</v>
      </c>
      <c r="AR101">
        <v>339702.53950673703</v>
      </c>
      <c r="AT101">
        <v>47011</v>
      </c>
      <c r="AU101">
        <v>344633.90804447408</v>
      </c>
      <c r="AV101">
        <v>7467.0680076302724</v>
      </c>
      <c r="AW101">
        <v>39417.95785443869</v>
      </c>
      <c r="AX101">
        <v>2921.0172413793107</v>
      </c>
      <c r="AY101">
        <v>7501.6041379310354</v>
      </c>
      <c r="AZ101">
        <v>54386.63</v>
      </c>
      <c r="BA101">
        <v>308136.9674314147</v>
      </c>
      <c r="BC101">
        <v>47011</v>
      </c>
      <c r="BD101">
        <v>155894.83141863643</v>
      </c>
      <c r="BE101">
        <v>3377.7213474037894</v>
      </c>
      <c r="BF101">
        <v>17920.459687078968</v>
      </c>
      <c r="BG101">
        <v>1411.0775862068965</v>
      </c>
      <c r="BH101">
        <v>3407.7089655172417</v>
      </c>
      <c r="BI101">
        <v>24705.89</v>
      </c>
      <c r="BJ101">
        <v>139385.44931776437</v>
      </c>
      <c r="BL101">
        <v>47011</v>
      </c>
      <c r="BM101">
        <v>309119.11285391334</v>
      </c>
      <c r="BN101">
        <v>6697.5807785014558</v>
      </c>
      <c r="BO101">
        <v>35214.901980119241</v>
      </c>
      <c r="BP101">
        <v>2479.0258620689742</v>
      </c>
      <c r="BQ101">
        <v>6705.9972413793112</v>
      </c>
      <c r="BR101">
        <v>48618.48</v>
      </c>
      <c r="BS101">
        <v>276383.23673586309</v>
      </c>
      <c r="BU101">
        <v>47011</v>
      </c>
      <c r="BV101">
        <v>649515.86013065628</v>
      </c>
      <c r="BW101">
        <v>14072.84363616422</v>
      </c>
      <c r="BX101">
        <v>73930.1908465944</v>
      </c>
      <c r="BY101">
        <v>5146.8793103448279</v>
      </c>
      <c r="BZ101">
        <v>14080.485517241381</v>
      </c>
      <c r="CA101">
        <v>102083.52</v>
      </c>
      <c r="CB101">
        <v>580732.54859440669</v>
      </c>
      <c r="CD101">
        <v>47011</v>
      </c>
      <c r="CE101">
        <v>63753.221907059989</v>
      </c>
      <c r="CF101">
        <v>1381.3198079862998</v>
      </c>
      <c r="CG101">
        <v>3809.3267437378386</v>
      </c>
      <c r="CH101">
        <v>0</v>
      </c>
      <c r="CI101">
        <v>830.50344827586218</v>
      </c>
      <c r="CJ101">
        <v>6021.15</v>
      </c>
      <c r="CK101">
        <v>59943.895163322151</v>
      </c>
      <c r="CM101">
        <v>47011</v>
      </c>
      <c r="CN101">
        <v>120771.39137942906</v>
      </c>
      <c r="CO101">
        <v>2616.7134798876295</v>
      </c>
      <c r="CP101">
        <v>7098.2261752847835</v>
      </c>
      <c r="CQ101">
        <v>0</v>
      </c>
      <c r="CR101">
        <v>1554.3903448275864</v>
      </c>
      <c r="CS101">
        <v>11269.33</v>
      </c>
      <c r="CT101">
        <v>113673.16520414429</v>
      </c>
      <c r="CV101">
        <v>47011</v>
      </c>
      <c r="CW101">
        <v>63985.572899557643</v>
      </c>
      <c r="CX101">
        <v>1386.3540794904156</v>
      </c>
      <c r="CY101">
        <v>4468.1890239578606</v>
      </c>
      <c r="CZ101">
        <v>0</v>
      </c>
      <c r="DA101">
        <v>936.72689655172417</v>
      </c>
      <c r="DB101">
        <v>6791.27</v>
      </c>
      <c r="DC101">
        <v>59517.383875599786</v>
      </c>
      <c r="DE101">
        <v>47011</v>
      </c>
      <c r="DF101">
        <v>61645.034139419375</v>
      </c>
      <c r="DG101">
        <v>1335.6424063540865</v>
      </c>
      <c r="DH101">
        <v>3687.719662611431</v>
      </c>
      <c r="DI101">
        <v>0</v>
      </c>
      <c r="DJ101">
        <v>803.73793103448293</v>
      </c>
      <c r="DK101">
        <v>5827.1</v>
      </c>
      <c r="DL101">
        <v>57957.314476807944</v>
      </c>
      <c r="DN101">
        <v>47011</v>
      </c>
      <c r="DO101">
        <v>56705.978989916126</v>
      </c>
      <c r="DP101">
        <v>1228.6295447815162</v>
      </c>
      <c r="DQ101">
        <v>3402.8273517702073</v>
      </c>
      <c r="DR101">
        <v>0</v>
      </c>
      <c r="DS101">
        <v>741.03310344827605</v>
      </c>
      <c r="DT101">
        <v>5372.49</v>
      </c>
      <c r="DU101">
        <v>53303.151638145922</v>
      </c>
      <c r="DW101">
        <v>47011</v>
      </c>
      <c r="DX101">
        <v>182611.60439867663</v>
      </c>
      <c r="DY101">
        <v>3956.5847619713281</v>
      </c>
      <c r="DZ101">
        <v>19969.260065614879</v>
      </c>
      <c r="EA101">
        <v>613.81034482758366</v>
      </c>
      <c r="EB101">
        <v>3828.1351724137935</v>
      </c>
      <c r="EC101">
        <v>27753.98</v>
      </c>
      <c r="ED101">
        <v>163256.15467788937</v>
      </c>
      <c r="EF101">
        <v>47011</v>
      </c>
      <c r="EG101">
        <v>292145.42153900507</v>
      </c>
      <c r="EH101">
        <v>6329.8174666784435</v>
      </c>
      <c r="EI101">
        <v>33284.492878149147</v>
      </c>
      <c r="EJ101">
        <v>2346.0086206896553</v>
      </c>
      <c r="EK101">
        <v>6338.2896551724143</v>
      </c>
      <c r="EL101">
        <v>45952.6</v>
      </c>
      <c r="EM101">
        <v>261206.93728154557</v>
      </c>
      <c r="KC101" s="3">
        <v>46998</v>
      </c>
      <c r="KD101" s="9">
        <v>3662765.0761663769</v>
      </c>
      <c r="KE101" s="9">
        <v>79359.909983604841</v>
      </c>
      <c r="KF101" s="9">
        <v>389924.59001639514</v>
      </c>
      <c r="KG101" s="9">
        <v>28498.612068965536</v>
      </c>
      <c r="KH101" s="9">
        <v>75085.52</v>
      </c>
      <c r="KI101" s="9">
        <v>544370.02</v>
      </c>
      <c r="KJ101" s="9">
        <v>3301339.0982189472</v>
      </c>
      <c r="KL101" t="s">
        <v>1270</v>
      </c>
      <c r="KM101">
        <v>0.24439793758564549</v>
      </c>
      <c r="KN101">
        <v>2.0366494798803789E-2</v>
      </c>
      <c r="KO101" t="s">
        <v>1271</v>
      </c>
      <c r="KP101">
        <v>197860.6</v>
      </c>
      <c r="KQ101" t="s">
        <v>1264</v>
      </c>
    </row>
    <row r="102" spans="1:303" x14ac:dyDescent="0.3">
      <c r="A102">
        <v>47041</v>
      </c>
      <c r="B102">
        <v>72144.65210469054</v>
      </c>
      <c r="C102">
        <v>1563.1341289349618</v>
      </c>
      <c r="D102">
        <v>10608.45207796159</v>
      </c>
      <c r="E102">
        <v>1878.1982758620693</v>
      </c>
      <c r="F102">
        <v>1947.4537931034488</v>
      </c>
      <c r="G102">
        <v>14119.04</v>
      </c>
      <c r="H102">
        <v>63414.39830259102</v>
      </c>
      <c r="J102">
        <v>47041</v>
      </c>
      <c r="K102">
        <v>145185.66984900582</v>
      </c>
      <c r="L102">
        <v>3145.6895133951261</v>
      </c>
      <c r="M102">
        <v>13371.982900397976</v>
      </c>
      <c r="N102">
        <v>4149.3017241379312</v>
      </c>
      <c r="O102">
        <v>2642.8275862068972</v>
      </c>
      <c r="P102">
        <v>19160.5</v>
      </c>
      <c r="Q102">
        <v>135962.98867274579</v>
      </c>
      <c r="S102">
        <v>47041</v>
      </c>
      <c r="T102">
        <v>57307.419170367037</v>
      </c>
      <c r="U102">
        <v>1241.6607486912858</v>
      </c>
      <c r="V102">
        <v>6583.7099409638868</v>
      </c>
      <c r="W102">
        <v>2856.7844827586209</v>
      </c>
      <c r="X102">
        <v>1252.0593103448275</v>
      </c>
      <c r="Y102">
        <v>9077.43</v>
      </c>
      <c r="Z102">
        <v>53580.49371216177</v>
      </c>
      <c r="AB102">
        <v>47041</v>
      </c>
      <c r="AC102">
        <v>613502.6131912428</v>
      </c>
      <c r="AD102">
        <v>13292.556619143594</v>
      </c>
      <c r="AE102">
        <v>78936.624415339174</v>
      </c>
      <c r="AF102">
        <v>4696.508620689664</v>
      </c>
      <c r="AG102">
        <v>14756.668965517243</v>
      </c>
      <c r="AH102">
        <v>106985.85</v>
      </c>
      <c r="AI102">
        <v>539262.49739659321</v>
      </c>
      <c r="AK102">
        <v>47041</v>
      </c>
      <c r="AL102">
        <v>339702.53950673703</v>
      </c>
      <c r="AM102">
        <v>7360.221689312636</v>
      </c>
      <c r="AN102">
        <v>41126.640379652883</v>
      </c>
      <c r="AO102">
        <v>0</v>
      </c>
      <c r="AP102">
        <v>7757.8979310344848</v>
      </c>
      <c r="AQ102">
        <v>56244.76</v>
      </c>
      <c r="AR102">
        <v>298575.89912708418</v>
      </c>
      <c r="AT102">
        <v>47041</v>
      </c>
      <c r="AU102">
        <v>308136.9674314147</v>
      </c>
      <c r="AV102">
        <v>6676.3009610139852</v>
      </c>
      <c r="AW102">
        <v>40208.724901054979</v>
      </c>
      <c r="AX102">
        <v>2921.0172413793107</v>
      </c>
      <c r="AY102">
        <v>7501.6041379310354</v>
      </c>
      <c r="AZ102">
        <v>54386.63</v>
      </c>
      <c r="BA102">
        <v>270849.25977173902</v>
      </c>
      <c r="BC102">
        <v>47041</v>
      </c>
      <c r="BD102">
        <v>139385.44931776437</v>
      </c>
      <c r="BE102">
        <v>3020.0180685515616</v>
      </c>
      <c r="BF102">
        <v>18278.162965931195</v>
      </c>
      <c r="BG102">
        <v>1411.0775862068965</v>
      </c>
      <c r="BH102">
        <v>3407.7089655172417</v>
      </c>
      <c r="BI102">
        <v>24705.89</v>
      </c>
      <c r="BJ102">
        <v>122518.36393804009</v>
      </c>
      <c r="BL102">
        <v>47041</v>
      </c>
      <c r="BM102">
        <v>276383.23673586309</v>
      </c>
      <c r="BN102">
        <v>5988.3034626103672</v>
      </c>
      <c r="BO102">
        <v>35924.179296010327</v>
      </c>
      <c r="BP102">
        <v>2479.0258620689742</v>
      </c>
      <c r="BQ102">
        <v>6705.9972413793112</v>
      </c>
      <c r="BR102">
        <v>48618.48</v>
      </c>
      <c r="BS102">
        <v>242938.08330192175</v>
      </c>
      <c r="BU102">
        <v>47041</v>
      </c>
      <c r="BV102">
        <v>580732.54859440669</v>
      </c>
      <c r="BW102">
        <v>12582.538552878812</v>
      </c>
      <c r="BX102">
        <v>75420.495929879806</v>
      </c>
      <c r="BY102">
        <v>5146.8793103448279</v>
      </c>
      <c r="BZ102">
        <v>14080.485517241381</v>
      </c>
      <c r="CA102">
        <v>102083.52</v>
      </c>
      <c r="CB102">
        <v>510458.93197487167</v>
      </c>
      <c r="CD102">
        <v>47041</v>
      </c>
      <c r="CE102">
        <v>59943.895163322151</v>
      </c>
      <c r="CF102">
        <v>1298.7843952053131</v>
      </c>
      <c r="CG102">
        <v>3891.8621565188241</v>
      </c>
      <c r="CH102">
        <v>0</v>
      </c>
      <c r="CI102">
        <v>830.50344827586218</v>
      </c>
      <c r="CJ102">
        <v>6021.15</v>
      </c>
      <c r="CK102">
        <v>56052.033006803329</v>
      </c>
      <c r="CM102">
        <v>47041</v>
      </c>
      <c r="CN102">
        <v>113673.16520414429</v>
      </c>
      <c r="CO102">
        <v>2462.9185794231262</v>
      </c>
      <c r="CP102">
        <v>7252.021075749286</v>
      </c>
      <c r="CQ102">
        <v>0</v>
      </c>
      <c r="CR102">
        <v>1554.3903448275864</v>
      </c>
      <c r="CS102">
        <v>11269.33</v>
      </c>
      <c r="CT102">
        <v>106421.14412839498</v>
      </c>
      <c r="CV102">
        <v>47041</v>
      </c>
      <c r="CW102">
        <v>59517.383875599786</v>
      </c>
      <c r="CX102">
        <v>1289.543317304662</v>
      </c>
      <c r="CY102">
        <v>4564.9997861436141</v>
      </c>
      <c r="CZ102">
        <v>0</v>
      </c>
      <c r="DA102">
        <v>936.72689655172417</v>
      </c>
      <c r="DB102">
        <v>6791.27</v>
      </c>
      <c r="DC102">
        <v>54952.384089456173</v>
      </c>
      <c r="DE102">
        <v>47041</v>
      </c>
      <c r="DF102">
        <v>57957.314476807944</v>
      </c>
      <c r="DG102">
        <v>1255.7418136641722</v>
      </c>
      <c r="DH102">
        <v>3767.620255301345</v>
      </c>
      <c r="DI102">
        <v>0</v>
      </c>
      <c r="DJ102">
        <v>803.73793103448293</v>
      </c>
      <c r="DK102">
        <v>5827.1</v>
      </c>
      <c r="DL102">
        <v>54189.694221506601</v>
      </c>
      <c r="DN102">
        <v>47041</v>
      </c>
      <c r="DO102">
        <v>53303.151638145922</v>
      </c>
      <c r="DP102">
        <v>1154.901618826495</v>
      </c>
      <c r="DQ102">
        <v>3476.5552777252287</v>
      </c>
      <c r="DR102">
        <v>0</v>
      </c>
      <c r="DS102">
        <v>741.03310344827605</v>
      </c>
      <c r="DT102">
        <v>5372.49</v>
      </c>
      <c r="DU102">
        <v>49826.596360420685</v>
      </c>
      <c r="DW102">
        <v>47041</v>
      </c>
      <c r="DX102">
        <v>163256.15467788937</v>
      </c>
      <c r="DY102">
        <v>3537.216684687603</v>
      </c>
      <c r="DZ102">
        <v>20388.628142898604</v>
      </c>
      <c r="EA102">
        <v>613.81034482758366</v>
      </c>
      <c r="EB102">
        <v>3828.1351724137935</v>
      </c>
      <c r="EC102">
        <v>27753.98</v>
      </c>
      <c r="ED102">
        <v>143481.33687981835</v>
      </c>
      <c r="EF102">
        <v>47041</v>
      </c>
      <c r="EG102">
        <v>261206.93728154557</v>
      </c>
      <c r="EH102">
        <v>5659.4836411001543</v>
      </c>
      <c r="EI102">
        <v>33954.826703727435</v>
      </c>
      <c r="EJ102">
        <v>2346.0086206896553</v>
      </c>
      <c r="EK102">
        <v>6338.2896551724143</v>
      </c>
      <c r="EL102">
        <v>45952.6</v>
      </c>
      <c r="EM102">
        <v>229598.11919850775</v>
      </c>
      <c r="KC102" s="3">
        <v>47028</v>
      </c>
      <c r="KD102" s="9">
        <v>3301339.0982189472</v>
      </c>
      <c r="KE102" s="9">
        <v>71529.013794743863</v>
      </c>
      <c r="KF102" s="9">
        <v>397755.48620525614</v>
      </c>
      <c r="KG102" s="9">
        <v>28498.612068965536</v>
      </c>
      <c r="KH102" s="9">
        <v>75085.52</v>
      </c>
      <c r="KI102" s="9">
        <v>544370.02</v>
      </c>
      <c r="KJ102" s="9">
        <v>2932082.2240826557</v>
      </c>
    </row>
    <row r="103" spans="1:303" x14ac:dyDescent="0.3">
      <c r="A103">
        <v>47072</v>
      </c>
      <c r="B103">
        <v>63414.39830259102</v>
      </c>
      <c r="C103">
        <v>1373.9786298894719</v>
      </c>
      <c r="D103">
        <v>10797.60757700708</v>
      </c>
      <c r="E103">
        <v>1878.1982758620693</v>
      </c>
      <c r="F103">
        <v>1947.4537931034488</v>
      </c>
      <c r="G103">
        <v>14119.04</v>
      </c>
      <c r="H103">
        <v>54494.989001446011</v>
      </c>
      <c r="J103">
        <v>47072</v>
      </c>
      <c r="K103">
        <v>135962.98867274579</v>
      </c>
      <c r="L103">
        <v>2945.8647545761592</v>
      </c>
      <c r="M103">
        <v>13571.807659216942</v>
      </c>
      <c r="N103">
        <v>4149.3017241379312</v>
      </c>
      <c r="O103">
        <v>2642.8275862068972</v>
      </c>
      <c r="P103">
        <v>19160.5</v>
      </c>
      <c r="Q103">
        <v>126540.48273766678</v>
      </c>
      <c r="S103">
        <v>47072</v>
      </c>
      <c r="T103">
        <v>53580.49371216177</v>
      </c>
      <c r="U103">
        <v>1160.9106970968385</v>
      </c>
      <c r="V103">
        <v>6664.4599925583334</v>
      </c>
      <c r="W103">
        <v>2856.7844827586209</v>
      </c>
      <c r="X103">
        <v>1252.0593103448275</v>
      </c>
      <c r="Y103">
        <v>9077.43</v>
      </c>
      <c r="Z103">
        <v>49772.818202362061</v>
      </c>
      <c r="AB103">
        <v>47072</v>
      </c>
      <c r="AC103">
        <v>539262.49739659321</v>
      </c>
      <c r="AD103">
        <v>11684.020776926189</v>
      </c>
      <c r="AE103">
        <v>80545.160257556578</v>
      </c>
      <c r="AF103">
        <v>4696.508620689664</v>
      </c>
      <c r="AG103">
        <v>14756.668965517243</v>
      </c>
      <c r="AH103">
        <v>106985.85</v>
      </c>
      <c r="AI103">
        <v>463413.8457597263</v>
      </c>
      <c r="AK103">
        <v>47072</v>
      </c>
      <c r="AL103">
        <v>298575.89912708418</v>
      </c>
      <c r="AM103">
        <v>6469.1444810868243</v>
      </c>
      <c r="AN103">
        <v>42017.717587878687</v>
      </c>
      <c r="AO103">
        <v>0</v>
      </c>
      <c r="AP103">
        <v>7757.8979310344848</v>
      </c>
      <c r="AQ103">
        <v>56244.76</v>
      </c>
      <c r="AR103">
        <v>256558.18153920549</v>
      </c>
      <c r="AT103">
        <v>47072</v>
      </c>
      <c r="AU103">
        <v>270849.25977173902</v>
      </c>
      <c r="AV103">
        <v>5868.4006283876788</v>
      </c>
      <c r="AW103">
        <v>41016.625233681283</v>
      </c>
      <c r="AX103">
        <v>2921.0172413793107</v>
      </c>
      <c r="AY103">
        <v>7501.6041379310354</v>
      </c>
      <c r="AZ103">
        <v>54386.63</v>
      </c>
      <c r="BA103">
        <v>232753.65177943703</v>
      </c>
      <c r="BC103">
        <v>47072</v>
      </c>
      <c r="BD103">
        <v>122518.36393804009</v>
      </c>
      <c r="BE103">
        <v>2654.5645519908685</v>
      </c>
      <c r="BF103">
        <v>18643.616482491889</v>
      </c>
      <c r="BG103">
        <v>1411.0775862068965</v>
      </c>
      <c r="BH103">
        <v>3407.7089655172417</v>
      </c>
      <c r="BI103">
        <v>24705.89</v>
      </c>
      <c r="BJ103">
        <v>105285.82504175507</v>
      </c>
      <c r="BL103">
        <v>47072</v>
      </c>
      <c r="BM103">
        <v>242938.08330192175</v>
      </c>
      <c r="BN103">
        <v>5263.6584715416384</v>
      </c>
      <c r="BO103">
        <v>36648.824287079056</v>
      </c>
      <c r="BP103">
        <v>2479.0258620689742</v>
      </c>
      <c r="BQ103">
        <v>6705.9972413793112</v>
      </c>
      <c r="BR103">
        <v>48618.48</v>
      </c>
      <c r="BS103">
        <v>208768.28487691167</v>
      </c>
      <c r="BU103">
        <v>47072</v>
      </c>
      <c r="BV103">
        <v>510458.93197487167</v>
      </c>
      <c r="BW103">
        <v>11059.943526122221</v>
      </c>
      <c r="BX103">
        <v>76943.090956636399</v>
      </c>
      <c r="BY103">
        <v>5146.8793103448279</v>
      </c>
      <c r="BZ103">
        <v>14080.485517241381</v>
      </c>
      <c r="CA103">
        <v>102083.52</v>
      </c>
      <c r="CB103">
        <v>438662.72032858006</v>
      </c>
      <c r="CD103">
        <v>47072</v>
      </c>
      <c r="CE103">
        <v>56052.033006803329</v>
      </c>
      <c r="CF103">
        <v>1214.4607151474056</v>
      </c>
      <c r="CG103">
        <v>3976.1858365767321</v>
      </c>
      <c r="CH103">
        <v>0</v>
      </c>
      <c r="CI103">
        <v>830.50344827586218</v>
      </c>
      <c r="CJ103">
        <v>6021.15</v>
      </c>
      <c r="CK103">
        <v>52075.847170226589</v>
      </c>
      <c r="CM103">
        <v>47072</v>
      </c>
      <c r="CN103">
        <v>106421.14412839498</v>
      </c>
      <c r="CO103">
        <v>2305.7914561152247</v>
      </c>
      <c r="CP103">
        <v>7409.1481990571892</v>
      </c>
      <c r="CQ103">
        <v>0</v>
      </c>
      <c r="CR103">
        <v>1554.3903448275864</v>
      </c>
      <c r="CS103">
        <v>11269.33</v>
      </c>
      <c r="CT103">
        <v>99011.995929337791</v>
      </c>
      <c r="CV103">
        <v>47072</v>
      </c>
      <c r="CW103">
        <v>54952.384089456173</v>
      </c>
      <c r="CX103">
        <v>1190.6349886048838</v>
      </c>
      <c r="CY103">
        <v>4663.9081148433925</v>
      </c>
      <c r="CZ103">
        <v>0</v>
      </c>
      <c r="DA103">
        <v>936.72689655172417</v>
      </c>
      <c r="DB103">
        <v>6791.27</v>
      </c>
      <c r="DC103">
        <v>50288.475974612782</v>
      </c>
      <c r="DE103">
        <v>47072</v>
      </c>
      <c r="DF103">
        <v>54189.694221506601</v>
      </c>
      <c r="DG103">
        <v>1174.1100414659763</v>
      </c>
      <c r="DH103">
        <v>3849.2520274995409</v>
      </c>
      <c r="DI103">
        <v>0</v>
      </c>
      <c r="DJ103">
        <v>803.73793103448293</v>
      </c>
      <c r="DK103">
        <v>5827.1</v>
      </c>
      <c r="DL103">
        <v>50340.442194007061</v>
      </c>
      <c r="DN103">
        <v>47072</v>
      </c>
      <c r="DO103">
        <v>49826.596360420685</v>
      </c>
      <c r="DP103">
        <v>1079.5762544757818</v>
      </c>
      <c r="DQ103">
        <v>3551.880642075942</v>
      </c>
      <c r="DR103">
        <v>0</v>
      </c>
      <c r="DS103">
        <v>741.03310344827605</v>
      </c>
      <c r="DT103">
        <v>5372.49</v>
      </c>
      <c r="DU103">
        <v>46274.715718344749</v>
      </c>
      <c r="DW103">
        <v>47072</v>
      </c>
      <c r="DX103">
        <v>143481.33687981835</v>
      </c>
      <c r="DY103">
        <v>3108.762299062731</v>
      </c>
      <c r="DZ103">
        <v>20817.082528523475</v>
      </c>
      <c r="EA103">
        <v>613.81034482758366</v>
      </c>
      <c r="EB103">
        <v>3828.1351724137935</v>
      </c>
      <c r="EC103">
        <v>27753.98</v>
      </c>
      <c r="ED103">
        <v>123278.06469612246</v>
      </c>
      <c r="EF103">
        <v>47072</v>
      </c>
      <c r="EG103">
        <v>229598.11919850775</v>
      </c>
      <c r="EH103">
        <v>4974.6259159676683</v>
      </c>
      <c r="EI103">
        <v>34639.684428859917</v>
      </c>
      <c r="EJ103">
        <v>2346.0086206896553</v>
      </c>
      <c r="EK103">
        <v>6338.2896551724143</v>
      </c>
      <c r="EL103">
        <v>45952.6</v>
      </c>
      <c r="EM103">
        <v>197304.44339033752</v>
      </c>
      <c r="KC103" s="3">
        <v>47059</v>
      </c>
      <c r="KD103" s="9">
        <v>2932082.2240826557</v>
      </c>
      <c r="KE103" s="9">
        <v>63528.448188457558</v>
      </c>
      <c r="KF103" s="9">
        <v>405756.05181154254</v>
      </c>
      <c r="KG103" s="9">
        <v>28498.612068965536</v>
      </c>
      <c r="KH103" s="9">
        <v>75085.52</v>
      </c>
      <c r="KI103" s="9">
        <v>544370.02</v>
      </c>
      <c r="KJ103" s="9">
        <v>2554824.7843400789</v>
      </c>
      <c r="KL103" t="s">
        <v>1201</v>
      </c>
      <c r="KN103">
        <v>0</v>
      </c>
      <c r="KO103" t="s">
        <v>1202</v>
      </c>
    </row>
    <row r="104" spans="1:303" x14ac:dyDescent="0.3">
      <c r="A104">
        <v>47102</v>
      </c>
      <c r="B104">
        <v>54494.989001446011</v>
      </c>
      <c r="C104">
        <v>1180.7247616979969</v>
      </c>
      <c r="D104">
        <v>10990.861445198556</v>
      </c>
      <c r="E104">
        <v>1878.1982758620693</v>
      </c>
      <c r="F104">
        <v>1947.4537931034488</v>
      </c>
      <c r="G104">
        <v>14119.04</v>
      </c>
      <c r="H104">
        <v>45382.325832109527</v>
      </c>
      <c r="J104">
        <v>47102</v>
      </c>
      <c r="K104">
        <v>126540.48273766678</v>
      </c>
      <c r="L104">
        <v>2741.7104593161139</v>
      </c>
      <c r="M104">
        <v>13775.961954476988</v>
      </c>
      <c r="N104">
        <v>4149.3017241379312</v>
      </c>
      <c r="O104">
        <v>2642.8275862068972</v>
      </c>
      <c r="P104">
        <v>19160.5</v>
      </c>
      <c r="Q104">
        <v>116913.82250732771</v>
      </c>
      <c r="S104">
        <v>47102</v>
      </c>
      <c r="T104">
        <v>49772.818202362061</v>
      </c>
      <c r="U104">
        <v>1078.411061051178</v>
      </c>
      <c r="V104">
        <v>6746.9596286039941</v>
      </c>
      <c r="W104">
        <v>2856.7844827586209</v>
      </c>
      <c r="X104">
        <v>1252.0593103448275</v>
      </c>
      <c r="Y104">
        <v>9077.43</v>
      </c>
      <c r="Z104">
        <v>45882.643056516688</v>
      </c>
      <c r="AB104">
        <v>47102</v>
      </c>
      <c r="AC104">
        <v>463413.8457597263</v>
      </c>
      <c r="AD104">
        <v>10040.633324794073</v>
      </c>
      <c r="AE104">
        <v>82188.54770968869</v>
      </c>
      <c r="AF104">
        <v>4696.508620689664</v>
      </c>
      <c r="AG104">
        <v>14756.668965517243</v>
      </c>
      <c r="AH104">
        <v>106985.85</v>
      </c>
      <c r="AI104">
        <v>385921.80667072727</v>
      </c>
      <c r="AK104">
        <v>47102</v>
      </c>
      <c r="AL104">
        <v>256558.18153920549</v>
      </c>
      <c r="AM104">
        <v>5558.7606000161186</v>
      </c>
      <c r="AN104">
        <v>42928.101468949397</v>
      </c>
      <c r="AO104">
        <v>0</v>
      </c>
      <c r="AP104">
        <v>7757.8979310344848</v>
      </c>
      <c r="AQ104">
        <v>56244.76</v>
      </c>
      <c r="AR104">
        <v>213630.08007025608</v>
      </c>
      <c r="AT104">
        <v>47102</v>
      </c>
      <c r="AU104">
        <v>232753.65177943703</v>
      </c>
      <c r="AV104">
        <v>5042.9957885544691</v>
      </c>
      <c r="AW104">
        <v>41842.030073514499</v>
      </c>
      <c r="AX104">
        <v>2921.0172413793107</v>
      </c>
      <c r="AY104">
        <v>7501.6041379310354</v>
      </c>
      <c r="AZ104">
        <v>54386.63</v>
      </c>
      <c r="BA104">
        <v>193832.63894730184</v>
      </c>
      <c r="BC104">
        <v>47102</v>
      </c>
      <c r="BD104">
        <v>105285.82504175507</v>
      </c>
      <c r="BE104">
        <v>2281.1928759046932</v>
      </c>
      <c r="BF104">
        <v>19016.988158578064</v>
      </c>
      <c r="BG104">
        <v>1411.0775862068965</v>
      </c>
      <c r="BH104">
        <v>3407.7089655172417</v>
      </c>
      <c r="BI104">
        <v>24705.89</v>
      </c>
      <c r="BJ104">
        <v>87679.914469383904</v>
      </c>
      <c r="BL104">
        <v>47102</v>
      </c>
      <c r="BM104">
        <v>208768.28487691167</v>
      </c>
      <c r="BN104">
        <v>4523.3128389997528</v>
      </c>
      <c r="BO104">
        <v>37389.169919620945</v>
      </c>
      <c r="BP104">
        <v>2479.0258620689742</v>
      </c>
      <c r="BQ104">
        <v>6705.9972413793112</v>
      </c>
      <c r="BR104">
        <v>48618.48</v>
      </c>
      <c r="BS104">
        <v>173858.14081935972</v>
      </c>
      <c r="BU104">
        <v>47102</v>
      </c>
      <c r="BV104">
        <v>438662.72032858006</v>
      </c>
      <c r="BW104">
        <v>9504.3589404525683</v>
      </c>
      <c r="BX104">
        <v>78498.675542306053</v>
      </c>
      <c r="BY104">
        <v>5146.8793103448279</v>
      </c>
      <c r="BZ104">
        <v>14080.485517241381</v>
      </c>
      <c r="CA104">
        <v>102083.52</v>
      </c>
      <c r="CB104">
        <v>365310.9240966189</v>
      </c>
      <c r="CD104">
        <v>47102</v>
      </c>
      <c r="CE104">
        <v>52075.847170226589</v>
      </c>
      <c r="CF104">
        <v>1128.3100220215763</v>
      </c>
      <c r="CG104">
        <v>4062.3365297025616</v>
      </c>
      <c r="CH104">
        <v>0</v>
      </c>
      <c r="CI104">
        <v>830.50344827586218</v>
      </c>
      <c r="CJ104">
        <v>6021.15</v>
      </c>
      <c r="CK104">
        <v>48013.510640524037</v>
      </c>
      <c r="CM104">
        <v>47102</v>
      </c>
      <c r="CN104">
        <v>99011.995929337791</v>
      </c>
      <c r="CO104">
        <v>2145.259911802319</v>
      </c>
      <c r="CP104">
        <v>7569.679743370094</v>
      </c>
      <c r="CQ104">
        <v>0</v>
      </c>
      <c r="CR104">
        <v>1554.3903448275864</v>
      </c>
      <c r="CS104">
        <v>11269.33</v>
      </c>
      <c r="CT104">
        <v>91442.316185967691</v>
      </c>
      <c r="CV104">
        <v>47102</v>
      </c>
      <c r="CW104">
        <v>50288.475974612782</v>
      </c>
      <c r="CX104">
        <v>1089.5836461166102</v>
      </c>
      <c r="CY104">
        <v>4764.9594573316663</v>
      </c>
      <c r="CZ104">
        <v>0</v>
      </c>
      <c r="DA104">
        <v>936.72689655172417</v>
      </c>
      <c r="DB104">
        <v>6791.27</v>
      </c>
      <c r="DC104">
        <v>45523.516517281118</v>
      </c>
      <c r="DE104">
        <v>47102</v>
      </c>
      <c r="DF104">
        <v>50340.442194007061</v>
      </c>
      <c r="DG104">
        <v>1090.7095808701531</v>
      </c>
      <c r="DH104">
        <v>3932.6524880953639</v>
      </c>
      <c r="DI104">
        <v>0</v>
      </c>
      <c r="DJ104">
        <v>803.73793103448293</v>
      </c>
      <c r="DK104">
        <v>5827.1</v>
      </c>
      <c r="DL104">
        <v>46407.789705911695</v>
      </c>
      <c r="DN104">
        <v>47102</v>
      </c>
      <c r="DO104">
        <v>46274.715718344749</v>
      </c>
      <c r="DP104">
        <v>1002.6188405641362</v>
      </c>
      <c r="DQ104">
        <v>3628.8380559875882</v>
      </c>
      <c r="DR104">
        <v>0</v>
      </c>
      <c r="DS104">
        <v>741.03310344827605</v>
      </c>
      <c r="DT104">
        <v>5372.49</v>
      </c>
      <c r="DU104">
        <v>42645.877662357161</v>
      </c>
      <c r="DW104">
        <v>47102</v>
      </c>
      <c r="DX104">
        <v>123278.06469612246</v>
      </c>
      <c r="DY104">
        <v>2671.0247350826535</v>
      </c>
      <c r="DZ104">
        <v>21254.820092503553</v>
      </c>
      <c r="EA104">
        <v>613.81034482758366</v>
      </c>
      <c r="EB104">
        <v>3828.1351724137935</v>
      </c>
      <c r="EC104">
        <v>27753.98</v>
      </c>
      <c r="ED104">
        <v>102637.05494844649</v>
      </c>
      <c r="EF104">
        <v>47102</v>
      </c>
      <c r="EG104">
        <v>197304.44339033752</v>
      </c>
      <c r="EH104">
        <v>4274.9296067906462</v>
      </c>
      <c r="EI104">
        <v>35339.38073803694</v>
      </c>
      <c r="EJ104">
        <v>2346.0086206896553</v>
      </c>
      <c r="EK104">
        <v>6338.2896551724143</v>
      </c>
      <c r="EL104">
        <v>45952.6</v>
      </c>
      <c r="EM104">
        <v>164311.07127299023</v>
      </c>
      <c r="KC104" s="3">
        <v>47089</v>
      </c>
      <c r="KD104" s="9">
        <v>2554824.7843400789</v>
      </c>
      <c r="KE104" s="9">
        <v>55354.536994035065</v>
      </c>
      <c r="KF104" s="9">
        <v>413929.96300596494</v>
      </c>
      <c r="KG104" s="9">
        <v>28498.612068965536</v>
      </c>
      <c r="KH104" s="9">
        <v>75085.52</v>
      </c>
      <c r="KI104" s="9">
        <v>544370.02</v>
      </c>
      <c r="KJ104" s="9">
        <v>2169393.4334030803</v>
      </c>
      <c r="KL104" t="s">
        <v>1231</v>
      </c>
      <c r="KM104" t="s">
        <v>1235</v>
      </c>
      <c r="KO104" t="s">
        <v>1233</v>
      </c>
      <c r="KP104" t="s">
        <v>1252</v>
      </c>
    </row>
    <row r="105" spans="1:303" x14ac:dyDescent="0.3">
      <c r="A105">
        <v>47133</v>
      </c>
      <c r="B105">
        <v>45382.325832109527</v>
      </c>
      <c r="C105">
        <v>983.28372636237316</v>
      </c>
      <c r="D105">
        <v>11188.302480534179</v>
      </c>
      <c r="E105">
        <v>1878.1982758620693</v>
      </c>
      <c r="F105">
        <v>1947.4537931034488</v>
      </c>
      <c r="G105">
        <v>14119.04</v>
      </c>
      <c r="H105">
        <v>36072.221627437422</v>
      </c>
      <c r="J105">
        <v>47133</v>
      </c>
      <c r="K105">
        <v>116913.82250732771</v>
      </c>
      <c r="L105">
        <v>2533.1328209921007</v>
      </c>
      <c r="M105">
        <v>13984.539592801</v>
      </c>
      <c r="N105">
        <v>4149.3017241379312</v>
      </c>
      <c r="O105">
        <v>2642.8275862068972</v>
      </c>
      <c r="P105">
        <v>19160.5</v>
      </c>
      <c r="Q105">
        <v>107078.58463866466</v>
      </c>
      <c r="S105">
        <v>47133</v>
      </c>
      <c r="T105">
        <v>45882.643056516688</v>
      </c>
      <c r="U105">
        <v>994.12393289119484</v>
      </c>
      <c r="V105">
        <v>6831.2467567639769</v>
      </c>
      <c r="W105">
        <v>2856.7844827586209</v>
      </c>
      <c r="X105">
        <v>1252.0593103448275</v>
      </c>
      <c r="Y105">
        <v>9077.43</v>
      </c>
      <c r="Z105">
        <v>41908.180782511336</v>
      </c>
      <c r="AB105">
        <v>47133</v>
      </c>
      <c r="AC105">
        <v>385921.80667072727</v>
      </c>
      <c r="AD105">
        <v>8361.6391445324243</v>
      </c>
      <c r="AE105">
        <v>83867.541889950342</v>
      </c>
      <c r="AF105">
        <v>4696.508620689664</v>
      </c>
      <c r="AG105">
        <v>14756.668965517243</v>
      </c>
      <c r="AH105">
        <v>106985.85</v>
      </c>
      <c r="AI105">
        <v>306750.77340146661</v>
      </c>
      <c r="AK105">
        <v>47133</v>
      </c>
      <c r="AL105">
        <v>213630.08007025608</v>
      </c>
      <c r="AM105">
        <v>4628.651734855549</v>
      </c>
      <c r="AN105">
        <v>43858.210334109965</v>
      </c>
      <c r="AO105">
        <v>0</v>
      </c>
      <c r="AP105">
        <v>7757.8979310344848</v>
      </c>
      <c r="AQ105">
        <v>56244.76</v>
      </c>
      <c r="AR105">
        <v>169771.86973614612</v>
      </c>
      <c r="AT105">
        <v>47133</v>
      </c>
      <c r="AU105">
        <v>193832.63894730184</v>
      </c>
      <c r="AV105">
        <v>4199.7071771915398</v>
      </c>
      <c r="AW105">
        <v>42685.31868487742</v>
      </c>
      <c r="AX105">
        <v>2921.0172413793107</v>
      </c>
      <c r="AY105">
        <v>7501.6041379310354</v>
      </c>
      <c r="AZ105">
        <v>54386.63</v>
      </c>
      <c r="BA105">
        <v>154068.33750380372</v>
      </c>
      <c r="BC105">
        <v>47133</v>
      </c>
      <c r="BD105">
        <v>87679.914469383904</v>
      </c>
      <c r="BE105">
        <v>1899.7314801699847</v>
      </c>
      <c r="BF105">
        <v>19398.449554312778</v>
      </c>
      <c r="BG105">
        <v>1411.0775862068965</v>
      </c>
      <c r="BH105">
        <v>3407.7089655172417</v>
      </c>
      <c r="BI105">
        <v>24705.89</v>
      </c>
      <c r="BJ105">
        <v>69692.542501278032</v>
      </c>
      <c r="BL105">
        <v>47133</v>
      </c>
      <c r="BM105">
        <v>173858.14081935972</v>
      </c>
      <c r="BN105">
        <v>3766.9263844194606</v>
      </c>
      <c r="BO105">
        <v>38145.556374201238</v>
      </c>
      <c r="BP105">
        <v>2479.0258620689742</v>
      </c>
      <c r="BQ105">
        <v>6705.9972413793112</v>
      </c>
      <c r="BR105">
        <v>48618.48</v>
      </c>
      <c r="BS105">
        <v>138191.61030722747</v>
      </c>
      <c r="BU105">
        <v>47133</v>
      </c>
      <c r="BV105">
        <v>365310.9240966189</v>
      </c>
      <c r="BW105">
        <v>7915.0700220934077</v>
      </c>
      <c r="BX105">
        <v>80087.964460665215</v>
      </c>
      <c r="BY105">
        <v>5146.8793103448279</v>
      </c>
      <c r="BZ105">
        <v>14080.485517241381</v>
      </c>
      <c r="CA105">
        <v>102083.52</v>
      </c>
      <c r="CB105">
        <v>290369.83894629846</v>
      </c>
      <c r="CD105">
        <v>47133</v>
      </c>
      <c r="CE105">
        <v>48013.510640524037</v>
      </c>
      <c r="CF105">
        <v>1040.2927305446874</v>
      </c>
      <c r="CG105">
        <v>4150.3538211794503</v>
      </c>
      <c r="CH105">
        <v>0</v>
      </c>
      <c r="CI105">
        <v>830.50344827586218</v>
      </c>
      <c r="CJ105">
        <v>6021.15</v>
      </c>
      <c r="CK105">
        <v>43863.156819344586</v>
      </c>
      <c r="CM105">
        <v>47133</v>
      </c>
      <c r="CN105">
        <v>91442.316185967691</v>
      </c>
      <c r="CO105">
        <v>1981.2501840293</v>
      </c>
      <c r="CP105">
        <v>7733.6894711431132</v>
      </c>
      <c r="CQ105">
        <v>0</v>
      </c>
      <c r="CR105">
        <v>1554.3903448275864</v>
      </c>
      <c r="CS105">
        <v>11269.33</v>
      </c>
      <c r="CT105">
        <v>83708.626714824582</v>
      </c>
      <c r="CV105">
        <v>47133</v>
      </c>
      <c r="CW105">
        <v>45523.516517281118</v>
      </c>
      <c r="CX105">
        <v>986.34285787442411</v>
      </c>
      <c r="CY105">
        <v>4868.200245573852</v>
      </c>
      <c r="CZ105">
        <v>0</v>
      </c>
      <c r="DA105">
        <v>936.72689655172417</v>
      </c>
      <c r="DB105">
        <v>6791.27</v>
      </c>
      <c r="DC105">
        <v>40655.316271707263</v>
      </c>
      <c r="DE105">
        <v>47133</v>
      </c>
      <c r="DF105">
        <v>46407.789705911695</v>
      </c>
      <c r="DG105">
        <v>1005.5021102947534</v>
      </c>
      <c r="DH105">
        <v>4017.8599586707642</v>
      </c>
      <c r="DI105">
        <v>0</v>
      </c>
      <c r="DJ105">
        <v>803.73793103448293</v>
      </c>
      <c r="DK105">
        <v>5827.1</v>
      </c>
      <c r="DL105">
        <v>42389.929747240931</v>
      </c>
      <c r="DN105">
        <v>47133</v>
      </c>
      <c r="DO105">
        <v>42645.877662357161</v>
      </c>
      <c r="DP105">
        <v>923.99401601773855</v>
      </c>
      <c r="DQ105">
        <v>3707.4628805339858</v>
      </c>
      <c r="DR105">
        <v>0</v>
      </c>
      <c r="DS105">
        <v>741.03310344827605</v>
      </c>
      <c r="DT105">
        <v>5372.49</v>
      </c>
      <c r="DU105">
        <v>38938.414781823165</v>
      </c>
      <c r="DW105">
        <v>47133</v>
      </c>
      <c r="DX105">
        <v>102637.05494844649</v>
      </c>
      <c r="DY105">
        <v>2223.8028572163407</v>
      </c>
      <c r="DZ105">
        <v>21702.041970369864</v>
      </c>
      <c r="EA105">
        <v>613.81034482758366</v>
      </c>
      <c r="EB105">
        <v>3828.1351724137935</v>
      </c>
      <c r="EC105">
        <v>27753.98</v>
      </c>
      <c r="ED105">
        <v>81548.823322904194</v>
      </c>
      <c r="EF105">
        <v>47133</v>
      </c>
      <c r="EG105">
        <v>164311.07127299023</v>
      </c>
      <c r="EH105">
        <v>3560.0732109147884</v>
      </c>
      <c r="EI105">
        <v>36054.2371339128</v>
      </c>
      <c r="EJ105">
        <v>2346.0086206896553</v>
      </c>
      <c r="EK105">
        <v>6338.2896551724143</v>
      </c>
      <c r="EL105">
        <v>45952.6</v>
      </c>
      <c r="EM105">
        <v>130602.84275976708</v>
      </c>
      <c r="KC105" s="3">
        <v>47120</v>
      </c>
      <c r="KD105" s="9">
        <v>2169393.4334030803</v>
      </c>
      <c r="KE105" s="9">
        <v>47003.524390400053</v>
      </c>
      <c r="KF105" s="9">
        <v>422280.9756095999</v>
      </c>
      <c r="KG105" s="9">
        <v>28498.612068965536</v>
      </c>
      <c r="KH105" s="9">
        <v>75085.52</v>
      </c>
      <c r="KI105" s="9">
        <v>544370.02</v>
      </c>
      <c r="KJ105" s="9">
        <v>1775611.0698624458</v>
      </c>
      <c r="KL105" t="s">
        <v>1263</v>
      </c>
      <c r="KM105">
        <v>168448.27586206899</v>
      </c>
      <c r="KN105" t="s">
        <v>1264</v>
      </c>
      <c r="KO105" t="s">
        <v>1265</v>
      </c>
      <c r="KP105">
        <v>36</v>
      </c>
      <c r="KQ105" t="s">
        <v>1266</v>
      </c>
    </row>
    <row r="106" spans="1:303" x14ac:dyDescent="0.3">
      <c r="A106">
        <v>47164</v>
      </c>
      <c r="B106">
        <v>36072.221627437422</v>
      </c>
      <c r="C106">
        <v>781.56480192781089</v>
      </c>
      <c r="D106">
        <v>11390.021404968742</v>
      </c>
      <c r="E106">
        <v>1878.1982758620693</v>
      </c>
      <c r="F106">
        <v>1947.4537931034488</v>
      </c>
      <c r="G106">
        <v>14119.04</v>
      </c>
      <c r="H106">
        <v>26560.398498330749</v>
      </c>
      <c r="J106">
        <v>47164</v>
      </c>
      <c r="K106">
        <v>107078.58463866466</v>
      </c>
      <c r="L106">
        <v>2320.0360005044008</v>
      </c>
      <c r="M106">
        <v>14197.636413288699</v>
      </c>
      <c r="N106">
        <v>4149.3017241379312</v>
      </c>
      <c r="O106">
        <v>2642.8275862068972</v>
      </c>
      <c r="P106">
        <v>19160.5</v>
      </c>
      <c r="Q106">
        <v>97030.249949513891</v>
      </c>
      <c r="S106">
        <v>47164</v>
      </c>
      <c r="T106">
        <v>41908.180782511336</v>
      </c>
      <c r="U106">
        <v>908.01058362107892</v>
      </c>
      <c r="V106">
        <v>6917.3601060340934</v>
      </c>
      <c r="W106">
        <v>2856.7844827586209</v>
      </c>
      <c r="X106">
        <v>1252.0593103448275</v>
      </c>
      <c r="Y106">
        <v>9077.43</v>
      </c>
      <c r="Z106">
        <v>37847.605159235864</v>
      </c>
      <c r="AB106">
        <v>47164</v>
      </c>
      <c r="AC106">
        <v>306750.77340146661</v>
      </c>
      <c r="AD106">
        <v>6646.2667570317763</v>
      </c>
      <c r="AE106">
        <v>85582.914277450996</v>
      </c>
      <c r="AF106">
        <v>4696.508620689664</v>
      </c>
      <c r="AG106">
        <v>14756.668965517243</v>
      </c>
      <c r="AH106">
        <v>106985.85</v>
      </c>
      <c r="AI106">
        <v>225864.36774470529</v>
      </c>
      <c r="AK106">
        <v>47164</v>
      </c>
      <c r="AL106">
        <v>169771.86973614612</v>
      </c>
      <c r="AM106">
        <v>3678.3905109498328</v>
      </c>
      <c r="AN106">
        <v>44808.471558015677</v>
      </c>
      <c r="AO106">
        <v>0</v>
      </c>
      <c r="AP106">
        <v>7757.8979310344848</v>
      </c>
      <c r="AQ106">
        <v>56244.76</v>
      </c>
      <c r="AR106">
        <v>124963.39817813045</v>
      </c>
      <c r="AT106">
        <v>47164</v>
      </c>
      <c r="AU106">
        <v>154068.33750380372</v>
      </c>
      <c r="AV106">
        <v>3338.1473125824141</v>
      </c>
      <c r="AW106">
        <v>43546.878549486551</v>
      </c>
      <c r="AX106">
        <v>2921.0172413793107</v>
      </c>
      <c r="AY106">
        <v>7501.6041379310354</v>
      </c>
      <c r="AZ106">
        <v>54386.63</v>
      </c>
      <c r="BA106">
        <v>113442.47619569648</v>
      </c>
      <c r="BC106">
        <v>47164</v>
      </c>
      <c r="BD106">
        <v>69692.542501278032</v>
      </c>
      <c r="BE106">
        <v>1510.0050875276906</v>
      </c>
      <c r="BF106">
        <v>19788.175946955067</v>
      </c>
      <c r="BG106">
        <v>1411.0775862068965</v>
      </c>
      <c r="BH106">
        <v>3407.7089655172417</v>
      </c>
      <c r="BI106">
        <v>24705.89</v>
      </c>
      <c r="BJ106">
        <v>51315.444140529864</v>
      </c>
      <c r="BL106">
        <v>47164</v>
      </c>
      <c r="BM106">
        <v>138191.61030722747</v>
      </c>
      <c r="BN106">
        <v>2994.1515566565954</v>
      </c>
      <c r="BO106">
        <v>38918.331201964102</v>
      </c>
      <c r="BP106">
        <v>2479.0258620689742</v>
      </c>
      <c r="BQ106">
        <v>6705.9972413793112</v>
      </c>
      <c r="BR106">
        <v>48618.48</v>
      </c>
      <c r="BS106">
        <v>101752.30496733234</v>
      </c>
      <c r="BU106">
        <v>47164</v>
      </c>
      <c r="BV106">
        <v>290369.83894629846</v>
      </c>
      <c r="BW106">
        <v>6291.3465105031337</v>
      </c>
      <c r="BX106">
        <v>81711.687972255488</v>
      </c>
      <c r="BY106">
        <v>5146.8793103448279</v>
      </c>
      <c r="BZ106">
        <v>14080.485517241381</v>
      </c>
      <c r="CA106">
        <v>102083.52</v>
      </c>
      <c r="CB106">
        <v>213805.03028438785</v>
      </c>
      <c r="CD106">
        <v>47164</v>
      </c>
      <c r="CE106">
        <v>43863.156819344586</v>
      </c>
      <c r="CF106">
        <v>950.36839775246608</v>
      </c>
      <c r="CG106">
        <v>4240.2781539716716</v>
      </c>
      <c r="CH106">
        <v>0</v>
      </c>
      <c r="CI106">
        <v>830.50344827586218</v>
      </c>
      <c r="CJ106">
        <v>6021.15</v>
      </c>
      <c r="CK106">
        <v>39622.878665372911</v>
      </c>
      <c r="CM106">
        <v>47164</v>
      </c>
      <c r="CN106">
        <v>83708.626714824582</v>
      </c>
      <c r="CO106">
        <v>1813.6869121545328</v>
      </c>
      <c r="CP106">
        <v>7901.2527430178798</v>
      </c>
      <c r="CQ106">
        <v>0</v>
      </c>
      <c r="CR106">
        <v>1554.3903448275864</v>
      </c>
      <c r="CS106">
        <v>11269.33</v>
      </c>
      <c r="CT106">
        <v>75807.373971806708</v>
      </c>
      <c r="CV106">
        <v>47164</v>
      </c>
      <c r="CW106">
        <v>40655.316271707263</v>
      </c>
      <c r="CX106">
        <v>880.86518588699073</v>
      </c>
      <c r="CY106">
        <v>4973.6779175612855</v>
      </c>
      <c r="CZ106">
        <v>0</v>
      </c>
      <c r="DA106">
        <v>936.72689655172417</v>
      </c>
      <c r="DB106">
        <v>6791.27</v>
      </c>
      <c r="DC106">
        <v>35681.63835414598</v>
      </c>
      <c r="DE106">
        <v>47164</v>
      </c>
      <c r="DF106">
        <v>42389.929747240931</v>
      </c>
      <c r="DG106">
        <v>918.44847785688683</v>
      </c>
      <c r="DH106">
        <v>4104.9135911086305</v>
      </c>
      <c r="DI106">
        <v>0</v>
      </c>
      <c r="DJ106">
        <v>803.73793103448293</v>
      </c>
      <c r="DK106">
        <v>5827.1</v>
      </c>
      <c r="DL106">
        <v>38285.016156132304</v>
      </c>
      <c r="DN106">
        <v>47164</v>
      </c>
      <c r="DO106">
        <v>38938.414781823165</v>
      </c>
      <c r="DP106">
        <v>843.6656536061688</v>
      </c>
      <c r="DQ106">
        <v>3787.791242945555</v>
      </c>
      <c r="DR106">
        <v>0</v>
      </c>
      <c r="DS106">
        <v>741.03310344827605</v>
      </c>
      <c r="DT106">
        <v>5372.49</v>
      </c>
      <c r="DU106">
        <v>35150.623538877619</v>
      </c>
      <c r="DW106">
        <v>47164</v>
      </c>
      <c r="DX106">
        <v>81548.823322904194</v>
      </c>
      <c r="DY106">
        <v>1766.8911719962575</v>
      </c>
      <c r="DZ106">
        <v>22158.95365558995</v>
      </c>
      <c r="EA106">
        <v>613.81034482758366</v>
      </c>
      <c r="EB106">
        <v>3828.1351724137935</v>
      </c>
      <c r="EC106">
        <v>27753.98</v>
      </c>
      <c r="ED106">
        <v>60003.680012141827</v>
      </c>
      <c r="EF106">
        <v>47164</v>
      </c>
      <c r="EG106">
        <v>130602.84275976708</v>
      </c>
      <c r="EH106">
        <v>2829.7282597949534</v>
      </c>
      <c r="EI106">
        <v>36784.582085032634</v>
      </c>
      <c r="EJ106">
        <v>2346.0086206896553</v>
      </c>
      <c r="EK106">
        <v>6338.2896551724143</v>
      </c>
      <c r="EL106">
        <v>45952.6</v>
      </c>
      <c r="EM106">
        <v>96164.269295424107</v>
      </c>
      <c r="KC106" s="3">
        <v>47151</v>
      </c>
      <c r="KD106" s="9">
        <v>1775611.0698624458</v>
      </c>
      <c r="KE106" s="9">
        <v>38471.573180352985</v>
      </c>
      <c r="KF106" s="9">
        <v>430812.92681964696</v>
      </c>
      <c r="KG106" s="9">
        <v>28498.612068965536</v>
      </c>
      <c r="KH106" s="9">
        <v>75085.52</v>
      </c>
      <c r="KI106" s="9">
        <v>544370.02</v>
      </c>
      <c r="KJ106" s="9">
        <v>1373296.7551117635</v>
      </c>
      <c r="KL106" t="s">
        <v>1267</v>
      </c>
      <c r="KM106">
        <v>0</v>
      </c>
      <c r="KN106" t="s">
        <v>1264</v>
      </c>
      <c r="KO106" t="s">
        <v>1268</v>
      </c>
      <c r="KP106">
        <v>6197.64</v>
      </c>
      <c r="KQ106" t="s">
        <v>1269</v>
      </c>
    </row>
    <row r="107" spans="1:303" x14ac:dyDescent="0.3">
      <c r="A107">
        <v>47192</v>
      </c>
      <c r="B107">
        <v>26560.398498330749</v>
      </c>
      <c r="C107">
        <v>575.47530079716626</v>
      </c>
      <c r="D107">
        <v>11596.110906099386</v>
      </c>
      <c r="E107">
        <v>1878.1982758620693</v>
      </c>
      <c r="F107">
        <v>1947.4537931034488</v>
      </c>
      <c r="G107">
        <v>14119.04</v>
      </c>
      <c r="H107">
        <v>16842.485868093434</v>
      </c>
      <c r="J107">
        <v>47192</v>
      </c>
      <c r="K107">
        <v>97030.249949513891</v>
      </c>
      <c r="L107">
        <v>2102.3220822394678</v>
      </c>
      <c r="M107">
        <v>14415.350331553633</v>
      </c>
      <c r="N107">
        <v>4149.3017241379312</v>
      </c>
      <c r="O107">
        <v>2642.8275862068972</v>
      </c>
      <c r="P107">
        <v>19160.5</v>
      </c>
      <c r="Q107">
        <v>86764.201342098182</v>
      </c>
      <c r="S107">
        <v>47192</v>
      </c>
      <c r="T107">
        <v>37847.605159235864</v>
      </c>
      <c r="U107">
        <v>820.03144511677692</v>
      </c>
      <c r="V107">
        <v>7005.3392445383952</v>
      </c>
      <c r="W107">
        <v>2856.7844827586209</v>
      </c>
      <c r="X107">
        <v>1252.0593103448275</v>
      </c>
      <c r="Y107">
        <v>9077.43</v>
      </c>
      <c r="Z107">
        <v>33699.050397456092</v>
      </c>
      <c r="AB107">
        <v>47192</v>
      </c>
      <c r="AC107">
        <v>225864.36774470529</v>
      </c>
      <c r="AD107">
        <v>4893.7279678019477</v>
      </c>
      <c r="AE107">
        <v>87335.453066680813</v>
      </c>
      <c r="AF107">
        <v>4696.508620689664</v>
      </c>
      <c r="AG107">
        <v>14756.668965517243</v>
      </c>
      <c r="AH107">
        <v>106985.85</v>
      </c>
      <c r="AI107">
        <v>143225.4232987141</v>
      </c>
      <c r="AK107">
        <v>47192</v>
      </c>
      <c r="AL107">
        <v>124963.39817813045</v>
      </c>
      <c r="AM107">
        <v>2707.540293859493</v>
      </c>
      <c r="AN107">
        <v>45779.321775106022</v>
      </c>
      <c r="AO107">
        <v>0</v>
      </c>
      <c r="AP107">
        <v>7757.8979310344848</v>
      </c>
      <c r="AQ107">
        <v>56244.76</v>
      </c>
      <c r="AR107">
        <v>79184.076403024432</v>
      </c>
      <c r="AT107">
        <v>47192</v>
      </c>
      <c r="AU107">
        <v>113442.47619569648</v>
      </c>
      <c r="AV107">
        <v>2457.9203175734237</v>
      </c>
      <c r="AW107">
        <v>44427.105544495542</v>
      </c>
      <c r="AX107">
        <v>2921.0172413793107</v>
      </c>
      <c r="AY107">
        <v>7501.6041379310354</v>
      </c>
      <c r="AZ107">
        <v>54386.63</v>
      </c>
      <c r="BA107">
        <v>71936.387892580242</v>
      </c>
      <c r="BC107">
        <v>47192</v>
      </c>
      <c r="BD107">
        <v>51315.444140529864</v>
      </c>
      <c r="BE107">
        <v>1111.8346230448135</v>
      </c>
      <c r="BF107">
        <v>20186.346411437946</v>
      </c>
      <c r="BG107">
        <v>1411.0775862068965</v>
      </c>
      <c r="BH107">
        <v>3407.7089655172417</v>
      </c>
      <c r="BI107">
        <v>24705.89</v>
      </c>
      <c r="BJ107">
        <v>32540.175315298817</v>
      </c>
      <c r="BL107">
        <v>47192</v>
      </c>
      <c r="BM107">
        <v>101752.30496733234</v>
      </c>
      <c r="BN107">
        <v>2204.6332742922009</v>
      </c>
      <c r="BO107">
        <v>39707.849484328493</v>
      </c>
      <c r="BP107">
        <v>2479.0258620689742</v>
      </c>
      <c r="BQ107">
        <v>6705.9972413793112</v>
      </c>
      <c r="BR107">
        <v>48618.48</v>
      </c>
      <c r="BS107">
        <v>64523.481345072818</v>
      </c>
      <c r="BU107">
        <v>47192</v>
      </c>
      <c r="BV107">
        <v>213805.03028438785</v>
      </c>
      <c r="BW107">
        <v>4632.4423228284031</v>
      </c>
      <c r="BX107">
        <v>83370.592159930224</v>
      </c>
      <c r="BY107">
        <v>5146.8793103448279</v>
      </c>
      <c r="BZ107">
        <v>14080.485517241381</v>
      </c>
      <c r="CA107">
        <v>102083.52</v>
      </c>
      <c r="CB107">
        <v>135581.31743480242</v>
      </c>
      <c r="CD107">
        <v>47192</v>
      </c>
      <c r="CE107">
        <v>39622.878665372911</v>
      </c>
      <c r="CF107">
        <v>858.4957044164131</v>
      </c>
      <c r="CG107">
        <v>4332.1508473077247</v>
      </c>
      <c r="CH107">
        <v>0</v>
      </c>
      <c r="CI107">
        <v>830.50344827586218</v>
      </c>
      <c r="CJ107">
        <v>6021.15</v>
      </c>
      <c r="CK107">
        <v>35290.727818065185</v>
      </c>
      <c r="CM107">
        <v>47192</v>
      </c>
      <c r="CN107">
        <v>75807.373971806708</v>
      </c>
      <c r="CO107">
        <v>1642.4931027224786</v>
      </c>
      <c r="CP107">
        <v>8072.4465524499346</v>
      </c>
      <c r="CQ107">
        <v>0</v>
      </c>
      <c r="CR107">
        <v>1554.3903448275864</v>
      </c>
      <c r="CS107">
        <v>11269.33</v>
      </c>
      <c r="CT107">
        <v>67734.927419356769</v>
      </c>
      <c r="CV107">
        <v>47192</v>
      </c>
      <c r="CW107">
        <v>35681.63835414598</v>
      </c>
      <c r="CX107">
        <v>773.10216433982964</v>
      </c>
      <c r="CY107">
        <v>5081.4409391084464</v>
      </c>
      <c r="CZ107">
        <v>0</v>
      </c>
      <c r="DA107">
        <v>936.72689655172417</v>
      </c>
      <c r="DB107">
        <v>6791.27</v>
      </c>
      <c r="DC107">
        <v>30600.197415037532</v>
      </c>
      <c r="DE107">
        <v>47192</v>
      </c>
      <c r="DF107">
        <v>38285.016156132304</v>
      </c>
      <c r="DG107">
        <v>829.50868338286659</v>
      </c>
      <c r="DH107">
        <v>4193.8533855826508</v>
      </c>
      <c r="DI107">
        <v>0</v>
      </c>
      <c r="DJ107">
        <v>803.73793103448293</v>
      </c>
      <c r="DK107">
        <v>5827.1</v>
      </c>
      <c r="DL107">
        <v>34091.16277054965</v>
      </c>
      <c r="DN107">
        <v>47192</v>
      </c>
      <c r="DO107">
        <v>35150.623538877619</v>
      </c>
      <c r="DP107">
        <v>761.59684334234828</v>
      </c>
      <c r="DQ107">
        <v>3869.8600532093751</v>
      </c>
      <c r="DR107">
        <v>0</v>
      </c>
      <c r="DS107">
        <v>741.03310344827605</v>
      </c>
      <c r="DT107">
        <v>5372.49</v>
      </c>
      <c r="DU107">
        <v>31280.763485668242</v>
      </c>
      <c r="DW107">
        <v>47192</v>
      </c>
      <c r="DX107">
        <v>60003.680012141827</v>
      </c>
      <c r="DY107">
        <v>1300.0797335964064</v>
      </c>
      <c r="DZ107">
        <v>22625.765093989801</v>
      </c>
      <c r="EA107">
        <v>613.81034482758366</v>
      </c>
      <c r="EB107">
        <v>3828.1351724137935</v>
      </c>
      <c r="EC107">
        <v>27753.98</v>
      </c>
      <c r="ED107">
        <v>37991.725262979613</v>
      </c>
      <c r="EF107">
        <v>47192</v>
      </c>
      <c r="EG107">
        <v>96164.269295424107</v>
      </c>
      <c r="EH107">
        <v>2083.5591680675225</v>
      </c>
      <c r="EI107">
        <v>37530.751176760066</v>
      </c>
      <c r="EJ107">
        <v>2346.0086206896553</v>
      </c>
      <c r="EK107">
        <v>6338.2896551724143</v>
      </c>
      <c r="EL107">
        <v>45952.6</v>
      </c>
      <c r="EM107">
        <v>60979.526739353692</v>
      </c>
      <c r="KC107" s="3">
        <v>47179</v>
      </c>
      <c r="KD107" s="9">
        <v>1373296.7551117635</v>
      </c>
      <c r="KE107" s="9">
        <v>29754.763027421563</v>
      </c>
      <c r="KF107" s="9">
        <v>439529.73697257834</v>
      </c>
      <c r="KG107" s="9">
        <v>28498.612068965536</v>
      </c>
      <c r="KH107" s="9">
        <v>75085.52</v>
      </c>
      <c r="KI107" s="9">
        <v>544370.02</v>
      </c>
      <c r="KJ107" s="9">
        <v>962265.63020815118</v>
      </c>
      <c r="KL107" t="s">
        <v>1270</v>
      </c>
      <c r="KM107">
        <v>0.24450866894133505</v>
      </c>
      <c r="KN107">
        <v>2.037572241177792E-2</v>
      </c>
      <c r="KO107" t="s">
        <v>1271</v>
      </c>
      <c r="KP107">
        <v>68390</v>
      </c>
      <c r="KQ107" t="s">
        <v>1264</v>
      </c>
    </row>
    <row r="108" spans="1:303" x14ac:dyDescent="0.3">
      <c r="A108">
        <v>47223</v>
      </c>
      <c r="B108">
        <v>16842.485868093434</v>
      </c>
      <c r="C108">
        <v>364.92052714202441</v>
      </c>
      <c r="D108">
        <v>11806.665679754527</v>
      </c>
      <c r="E108">
        <v>1878.1982758620693</v>
      </c>
      <c r="F108">
        <v>1947.4537931034488</v>
      </c>
      <c r="G108">
        <v>14119.04</v>
      </c>
      <c r="H108">
        <v>6914.0184642009754</v>
      </c>
      <c r="J108">
        <v>47223</v>
      </c>
      <c r="K108">
        <v>86764.201342098182</v>
      </c>
      <c r="L108">
        <v>1879.891029078794</v>
      </c>
      <c r="M108">
        <v>14637.781384714308</v>
      </c>
      <c r="N108">
        <v>4149.3017241379312</v>
      </c>
      <c r="O108">
        <v>2642.8275862068972</v>
      </c>
      <c r="P108">
        <v>19160.5</v>
      </c>
      <c r="Q108">
        <v>76275.721681521798</v>
      </c>
      <c r="S108">
        <v>47223</v>
      </c>
      <c r="T108">
        <v>33699.050397456092</v>
      </c>
      <c r="U108">
        <v>730.14609194488207</v>
      </c>
      <c r="V108">
        <v>7095.2245977102903</v>
      </c>
      <c r="W108">
        <v>2856.7844827586209</v>
      </c>
      <c r="X108">
        <v>1252.0593103448275</v>
      </c>
      <c r="Y108">
        <v>9077.43</v>
      </c>
      <c r="Z108">
        <v>29460.610282504425</v>
      </c>
      <c r="AB108">
        <v>47223</v>
      </c>
      <c r="AC108">
        <v>143225.4232987141</v>
      </c>
      <c r="AD108">
        <v>3103.2175048054723</v>
      </c>
      <c r="AE108">
        <v>89125.96352967729</v>
      </c>
      <c r="AF108">
        <v>4696.508620689664</v>
      </c>
      <c r="AG108">
        <v>14756.668965517243</v>
      </c>
      <c r="AH108">
        <v>106985.85</v>
      </c>
      <c r="AI108">
        <v>58795.968389726477</v>
      </c>
      <c r="AK108">
        <v>47223</v>
      </c>
      <c r="AL108">
        <v>79184.076403024432</v>
      </c>
      <c r="AM108">
        <v>1715.654988732196</v>
      </c>
      <c r="AN108">
        <v>46771.207080233318</v>
      </c>
      <c r="AO108">
        <v>0</v>
      </c>
      <c r="AP108">
        <v>7757.8979310344848</v>
      </c>
      <c r="AQ108">
        <v>56244.76</v>
      </c>
      <c r="AR108">
        <v>32412.869322791114</v>
      </c>
      <c r="AT108">
        <v>47223</v>
      </c>
      <c r="AU108">
        <v>71936.387892580242</v>
      </c>
      <c r="AV108">
        <v>1558.621737672572</v>
      </c>
      <c r="AW108">
        <v>45326.404124396395</v>
      </c>
      <c r="AX108">
        <v>2921.0172413793107</v>
      </c>
      <c r="AY108">
        <v>7501.6041379310354</v>
      </c>
      <c r="AZ108">
        <v>54386.63</v>
      </c>
      <c r="BA108">
        <v>29531.001009563159</v>
      </c>
      <c r="BC108">
        <v>47223</v>
      </c>
      <c r="BD108">
        <v>32540.175315298817</v>
      </c>
      <c r="BE108">
        <v>705.03713183147443</v>
      </c>
      <c r="BF108">
        <v>20593.143902651282</v>
      </c>
      <c r="BG108">
        <v>1411.0775862068965</v>
      </c>
      <c r="BH108">
        <v>3407.7089655172417</v>
      </c>
      <c r="BI108">
        <v>24705.89</v>
      </c>
      <c r="BJ108">
        <v>13358.108998854432</v>
      </c>
      <c r="BL108">
        <v>47223</v>
      </c>
      <c r="BM108">
        <v>64523.481345072818</v>
      </c>
      <c r="BN108">
        <v>1398.0087624765777</v>
      </c>
      <c r="BO108">
        <v>40514.473996144116</v>
      </c>
      <c r="BP108">
        <v>2479.0258620689742</v>
      </c>
      <c r="BQ108">
        <v>6705.9972413793112</v>
      </c>
      <c r="BR108">
        <v>48618.48</v>
      </c>
      <c r="BS108">
        <v>26488.033210997677</v>
      </c>
      <c r="BU108">
        <v>47223</v>
      </c>
      <c r="BV108">
        <v>135581.31743480242</v>
      </c>
      <c r="BW108">
        <v>2937.5952110873859</v>
      </c>
      <c r="BX108">
        <v>85065.439271671232</v>
      </c>
      <c r="BY108">
        <v>5146.8793103448279</v>
      </c>
      <c r="BZ108">
        <v>14080.485517241381</v>
      </c>
      <c r="CA108">
        <v>102083.52</v>
      </c>
      <c r="CB108">
        <v>55662.757473476013</v>
      </c>
      <c r="CD108">
        <v>47223</v>
      </c>
      <c r="CE108">
        <v>35290.727818065185</v>
      </c>
      <c r="CF108">
        <v>764.63243605807907</v>
      </c>
      <c r="CG108">
        <v>4426.0141156660584</v>
      </c>
      <c r="CH108">
        <v>0</v>
      </c>
      <c r="CI108">
        <v>830.50344827586218</v>
      </c>
      <c r="CJ108">
        <v>6021.15</v>
      </c>
      <c r="CK108">
        <v>30864.713702399127</v>
      </c>
      <c r="CM108">
        <v>47223</v>
      </c>
      <c r="CN108">
        <v>67734.927419356769</v>
      </c>
      <c r="CO108">
        <v>1467.5900940860631</v>
      </c>
      <c r="CP108">
        <v>8247.3495610863501</v>
      </c>
      <c r="CQ108">
        <v>0</v>
      </c>
      <c r="CR108">
        <v>1554.3903448275864</v>
      </c>
      <c r="CS108">
        <v>11269.33</v>
      </c>
      <c r="CT108">
        <v>59487.577858270422</v>
      </c>
      <c r="CV108">
        <v>47223</v>
      </c>
      <c r="CW108">
        <v>30600.197415037532</v>
      </c>
      <c r="CX108">
        <v>663.00427732581318</v>
      </c>
      <c r="CY108">
        <v>5191.5388261224634</v>
      </c>
      <c r="CZ108">
        <v>0</v>
      </c>
      <c r="DA108">
        <v>936.72689655172417</v>
      </c>
      <c r="DB108">
        <v>6791.27</v>
      </c>
      <c r="DC108">
        <v>25408.658588915067</v>
      </c>
      <c r="DE108">
        <v>47223</v>
      </c>
      <c r="DF108">
        <v>34091.16277054965</v>
      </c>
      <c r="DG108">
        <v>738.64186002857582</v>
      </c>
      <c r="DH108">
        <v>4284.7202089369412</v>
      </c>
      <c r="DI108">
        <v>0</v>
      </c>
      <c r="DJ108">
        <v>803.73793103448293</v>
      </c>
      <c r="DK108">
        <v>5827.1</v>
      </c>
      <c r="DL108">
        <v>29806.442561612708</v>
      </c>
      <c r="DN108">
        <v>47223</v>
      </c>
      <c r="DO108">
        <v>31280.763485668242</v>
      </c>
      <c r="DP108">
        <v>677.74987552281198</v>
      </c>
      <c r="DQ108">
        <v>3953.7070210289121</v>
      </c>
      <c r="DR108">
        <v>0</v>
      </c>
      <c r="DS108">
        <v>741.03310344827605</v>
      </c>
      <c r="DT108">
        <v>5372.49</v>
      </c>
      <c r="DU108">
        <v>27327.056464639329</v>
      </c>
      <c r="DW108">
        <v>47223</v>
      </c>
      <c r="DX108">
        <v>37991.725262979613</v>
      </c>
      <c r="DY108">
        <v>823.15404736455844</v>
      </c>
      <c r="DZ108">
        <v>23102.690780221648</v>
      </c>
      <c r="EA108">
        <v>613.81034482758366</v>
      </c>
      <c r="EB108">
        <v>3828.1351724137935</v>
      </c>
      <c r="EC108">
        <v>27753.98</v>
      </c>
      <c r="ED108">
        <v>15502.844827585548</v>
      </c>
      <c r="EF108">
        <v>47223</v>
      </c>
      <c r="EG108">
        <v>60979.526739353692</v>
      </c>
      <c r="EH108">
        <v>1321.2230793526635</v>
      </c>
      <c r="EI108">
        <v>38293.087265474926</v>
      </c>
      <c r="EJ108">
        <v>2346.0086206896553</v>
      </c>
      <c r="EK108">
        <v>6338.2896551724143</v>
      </c>
      <c r="EL108">
        <v>45952.6</v>
      </c>
      <c r="EM108">
        <v>25032.448094568423</v>
      </c>
      <c r="KC108" s="3">
        <v>47210</v>
      </c>
      <c r="KD108" s="9">
        <v>962265.63020815118</v>
      </c>
      <c r="KE108" s="9">
        <v>20849.088654509946</v>
      </c>
      <c r="KF108" s="9">
        <v>448435.41134549002</v>
      </c>
      <c r="KG108" s="9">
        <v>28498.612068965536</v>
      </c>
      <c r="KH108" s="9">
        <v>75085.52</v>
      </c>
      <c r="KI108" s="9">
        <v>544370.02</v>
      </c>
      <c r="KJ108" s="9">
        <v>542328.83093162673</v>
      </c>
    </row>
    <row r="109" spans="1:303" x14ac:dyDescent="0.3">
      <c r="A109">
        <v>47253</v>
      </c>
      <c r="J109">
        <v>47253</v>
      </c>
      <c r="S109">
        <v>47253</v>
      </c>
      <c r="AB109">
        <v>47253</v>
      </c>
      <c r="AK109">
        <v>47253</v>
      </c>
      <c r="AT109">
        <v>47253</v>
      </c>
      <c r="BC109">
        <v>47253</v>
      </c>
      <c r="BL109">
        <v>47253</v>
      </c>
      <c r="BU109">
        <v>47253</v>
      </c>
      <c r="CD109">
        <v>47253</v>
      </c>
      <c r="CM109">
        <v>47253</v>
      </c>
      <c r="CV109">
        <v>47253</v>
      </c>
      <c r="DE109">
        <v>47253</v>
      </c>
      <c r="DN109">
        <v>47253</v>
      </c>
      <c r="DW109">
        <v>47253</v>
      </c>
      <c r="EF109">
        <v>47253</v>
      </c>
      <c r="KC109" s="3">
        <v>47240</v>
      </c>
      <c r="KD109" s="9">
        <v>0</v>
      </c>
      <c r="KE109" s="9">
        <v>0</v>
      </c>
      <c r="KF109" s="9">
        <v>0</v>
      </c>
      <c r="KG109" s="9">
        <v>0</v>
      </c>
      <c r="KH109" s="9">
        <v>0</v>
      </c>
      <c r="KI109" s="9">
        <v>0</v>
      </c>
      <c r="KJ109" s="9">
        <v>0</v>
      </c>
      <c r="KL109" t="s">
        <v>1203</v>
      </c>
      <c r="KN109">
        <v>0</v>
      </c>
      <c r="KO109" t="s">
        <v>1204</v>
      </c>
    </row>
    <row r="110" spans="1:303" x14ac:dyDescent="0.3">
      <c r="KC110" s="3">
        <v>47271</v>
      </c>
      <c r="KD110" s="9">
        <v>0</v>
      </c>
      <c r="KE110" s="9">
        <v>0</v>
      </c>
      <c r="KF110" s="9">
        <v>0</v>
      </c>
      <c r="KG110" s="9">
        <v>0</v>
      </c>
      <c r="KH110" s="9">
        <v>0</v>
      </c>
      <c r="KI110" s="9">
        <v>0</v>
      </c>
      <c r="KJ110" s="9">
        <v>0</v>
      </c>
      <c r="KL110" t="s">
        <v>1231</v>
      </c>
      <c r="KM110" t="s">
        <v>1235</v>
      </c>
      <c r="KO110" t="s">
        <v>1233</v>
      </c>
      <c r="KP110" t="s">
        <v>1253</v>
      </c>
    </row>
    <row r="111" spans="1:303" x14ac:dyDescent="0.3">
      <c r="KC111" s="3">
        <v>47301</v>
      </c>
      <c r="KD111" s="9">
        <v>0</v>
      </c>
      <c r="KE111" s="9">
        <v>0</v>
      </c>
      <c r="KF111" s="9">
        <v>0</v>
      </c>
      <c r="KG111" s="9">
        <v>0</v>
      </c>
      <c r="KH111" s="9">
        <v>0</v>
      </c>
      <c r="KI111" s="9">
        <v>0</v>
      </c>
      <c r="KJ111" s="9">
        <v>0</v>
      </c>
      <c r="KL111" t="s">
        <v>1263</v>
      </c>
      <c r="KM111">
        <v>168448.27586206899</v>
      </c>
      <c r="KN111" t="s">
        <v>1264</v>
      </c>
      <c r="KO111" t="s">
        <v>1265</v>
      </c>
      <c r="KP111">
        <v>36</v>
      </c>
      <c r="KQ111" t="s">
        <v>1266</v>
      </c>
    </row>
    <row r="112" spans="1:303" x14ac:dyDescent="0.3">
      <c r="KC112" s="3">
        <v>47332</v>
      </c>
      <c r="KD112" s="9">
        <v>0</v>
      </c>
      <c r="KE112" s="9">
        <v>0</v>
      </c>
      <c r="KF112" s="9">
        <v>0</v>
      </c>
      <c r="KG112" s="9">
        <v>0</v>
      </c>
      <c r="KH112" s="9">
        <v>0</v>
      </c>
      <c r="KI112" s="9">
        <v>0</v>
      </c>
      <c r="KJ112" s="9">
        <v>0</v>
      </c>
      <c r="KL112" t="s">
        <v>1267</v>
      </c>
      <c r="KM112">
        <v>0</v>
      </c>
      <c r="KN112" t="s">
        <v>1264</v>
      </c>
      <c r="KO112" t="s">
        <v>1268</v>
      </c>
      <c r="KP112">
        <v>6197.64</v>
      </c>
      <c r="KQ112" t="s">
        <v>1269</v>
      </c>
    </row>
    <row r="113" spans="289:303" x14ac:dyDescent="0.3">
      <c r="KC113" s="3">
        <v>47363</v>
      </c>
      <c r="KD113" s="9">
        <v>0</v>
      </c>
      <c r="KE113" s="9">
        <v>0</v>
      </c>
      <c r="KF113" s="9">
        <v>0</v>
      </c>
      <c r="KG113" s="9">
        <v>0</v>
      </c>
      <c r="KH113" s="9">
        <v>0</v>
      </c>
      <c r="KI113" s="9">
        <v>0</v>
      </c>
      <c r="KJ113" s="9">
        <v>0</v>
      </c>
      <c r="KL113" t="s">
        <v>1270</v>
      </c>
      <c r="KM113">
        <v>0.24450866894141213</v>
      </c>
      <c r="KN113">
        <v>2.0375722411784345E-2</v>
      </c>
      <c r="KO113" t="s">
        <v>1271</v>
      </c>
      <c r="KP113">
        <v>68390</v>
      </c>
      <c r="KQ113" t="s">
        <v>1264</v>
      </c>
    </row>
    <row r="114" spans="289:303" x14ac:dyDescent="0.3">
      <c r="KD114" s="9"/>
      <c r="KE114" s="9"/>
      <c r="KF114" s="9"/>
      <c r="KG114" s="9"/>
      <c r="KH114" s="9"/>
      <c r="KI114" s="9"/>
      <c r="KJ114" s="9"/>
    </row>
    <row r="115" spans="289:303" x14ac:dyDescent="0.3">
      <c r="KL115" t="s">
        <v>1205</v>
      </c>
      <c r="KN115">
        <v>0</v>
      </c>
      <c r="KO115" t="s">
        <v>1206</v>
      </c>
    </row>
    <row r="116" spans="289:303" x14ac:dyDescent="0.3">
      <c r="KL116" t="s">
        <v>1231</v>
      </c>
      <c r="KM116" t="s">
        <v>1235</v>
      </c>
      <c r="KO116" t="s">
        <v>1233</v>
      </c>
      <c r="KP116" t="s">
        <v>1254</v>
      </c>
    </row>
    <row r="117" spans="289:303" x14ac:dyDescent="0.3">
      <c r="KL117" t="s">
        <v>1263</v>
      </c>
      <c r="KM117">
        <v>792792.36206896557</v>
      </c>
      <c r="KN117" t="s">
        <v>1264</v>
      </c>
      <c r="KO117" t="s">
        <v>1265</v>
      </c>
      <c r="KP117">
        <v>36</v>
      </c>
      <c r="KQ117" t="s">
        <v>1266</v>
      </c>
    </row>
    <row r="118" spans="289:303" x14ac:dyDescent="0.3">
      <c r="KL118" t="s">
        <v>1267</v>
      </c>
      <c r="KM118">
        <v>0</v>
      </c>
      <c r="KN118" t="s">
        <v>1264</v>
      </c>
      <c r="KO118" t="s">
        <v>1268</v>
      </c>
      <c r="KP118">
        <v>25545.53</v>
      </c>
      <c r="KQ118" t="s">
        <v>1269</v>
      </c>
    </row>
    <row r="119" spans="289:303" x14ac:dyDescent="0.3">
      <c r="KL119" t="s">
        <v>1270</v>
      </c>
      <c r="KM119">
        <v>0.14620060453437467</v>
      </c>
      <c r="KN119">
        <v>1.218338371119789E-2</v>
      </c>
      <c r="KO119" t="s">
        <v>1271</v>
      </c>
      <c r="KP119">
        <v>238297.5</v>
      </c>
      <c r="KQ119" t="s">
        <v>1264</v>
      </c>
    </row>
    <row r="121" spans="289:303" x14ac:dyDescent="0.3">
      <c r="KL121" t="s">
        <v>1207</v>
      </c>
      <c r="KN121">
        <v>0</v>
      </c>
      <c r="KO121" t="s">
        <v>1208</v>
      </c>
    </row>
    <row r="122" spans="289:303" x14ac:dyDescent="0.3">
      <c r="KL122" t="s">
        <v>1231</v>
      </c>
      <c r="KM122" t="s">
        <v>1235</v>
      </c>
      <c r="KO122" t="s">
        <v>1233</v>
      </c>
      <c r="KP122" t="s">
        <v>1255</v>
      </c>
    </row>
    <row r="123" spans="289:303" x14ac:dyDescent="0.3">
      <c r="KL123" t="s">
        <v>1263</v>
      </c>
      <c r="KM123">
        <v>297327.58620689658</v>
      </c>
      <c r="KN123" t="s">
        <v>1264</v>
      </c>
      <c r="KO123" t="s">
        <v>1265</v>
      </c>
      <c r="KP123">
        <v>48</v>
      </c>
      <c r="KQ123" t="s">
        <v>1266</v>
      </c>
    </row>
    <row r="124" spans="289:303" x14ac:dyDescent="0.3">
      <c r="KL124" t="s">
        <v>1267</v>
      </c>
      <c r="KM124">
        <v>0</v>
      </c>
      <c r="KN124" t="s">
        <v>1264</v>
      </c>
      <c r="KO124" t="s">
        <v>1268</v>
      </c>
      <c r="KP124">
        <v>10702.35</v>
      </c>
      <c r="KQ124" t="s">
        <v>1269</v>
      </c>
    </row>
    <row r="125" spans="289:303" x14ac:dyDescent="0.3">
      <c r="KL125" t="s">
        <v>1270</v>
      </c>
      <c r="KM125">
        <v>0.26173779089652827</v>
      </c>
      <c r="KN125">
        <v>2.1811482574710689E-2</v>
      </c>
      <c r="KO125" t="s">
        <v>1271</v>
      </c>
      <c r="KP125">
        <v>68980</v>
      </c>
      <c r="KQ125" t="s">
        <v>1264</v>
      </c>
    </row>
    <row r="127" spans="289:303" x14ac:dyDescent="0.3">
      <c r="KL127" t="s">
        <v>1209</v>
      </c>
      <c r="KN127">
        <v>0</v>
      </c>
      <c r="KO127" t="s">
        <v>1210</v>
      </c>
    </row>
    <row r="128" spans="289:303" x14ac:dyDescent="0.3">
      <c r="KL128" t="s">
        <v>1231</v>
      </c>
      <c r="KM128" t="s">
        <v>1235</v>
      </c>
      <c r="KO128" t="s">
        <v>1233</v>
      </c>
      <c r="KP128" t="s">
        <v>1256</v>
      </c>
    </row>
    <row r="129" spans="298:303" x14ac:dyDescent="0.3">
      <c r="KL129" t="s">
        <v>1263</v>
      </c>
      <c r="KM129">
        <v>479224.13793103449</v>
      </c>
      <c r="KN129" t="s">
        <v>1264</v>
      </c>
      <c r="KO129" t="s">
        <v>1265</v>
      </c>
      <c r="KP129">
        <v>48</v>
      </c>
      <c r="KQ129" t="s">
        <v>1266</v>
      </c>
    </row>
    <row r="130" spans="298:303" x14ac:dyDescent="0.3">
      <c r="KL130" t="s">
        <v>1267</v>
      </c>
      <c r="KM130">
        <v>0</v>
      </c>
      <c r="KN130" t="s">
        <v>1264</v>
      </c>
      <c r="KO130" t="s">
        <v>1268</v>
      </c>
      <c r="KP130">
        <v>17099.169999999998</v>
      </c>
      <c r="KQ130" t="s">
        <v>1269</v>
      </c>
    </row>
    <row r="131" spans="298:303" x14ac:dyDescent="0.3">
      <c r="KL131" t="s">
        <v>1270</v>
      </c>
      <c r="KM131">
        <v>0.25740575016954209</v>
      </c>
      <c r="KN131">
        <v>2.1450479180795175E-2</v>
      </c>
      <c r="KO131" t="s">
        <v>1271</v>
      </c>
      <c r="KP131">
        <v>111180</v>
      </c>
      <c r="KQ131" t="s">
        <v>1264</v>
      </c>
    </row>
    <row r="133" spans="298:303" x14ac:dyDescent="0.3">
      <c r="KL133" t="s">
        <v>1211</v>
      </c>
      <c r="KN133">
        <v>0</v>
      </c>
      <c r="KO133" t="s">
        <v>1212</v>
      </c>
    </row>
    <row r="134" spans="298:303" x14ac:dyDescent="0.3">
      <c r="KL134" t="s">
        <v>1231</v>
      </c>
      <c r="KM134" t="s">
        <v>1235</v>
      </c>
      <c r="KO134" t="s">
        <v>1233</v>
      </c>
      <c r="KP134" t="s">
        <v>1257</v>
      </c>
    </row>
    <row r="135" spans="298:303" x14ac:dyDescent="0.3">
      <c r="KL135" t="s">
        <v>1263</v>
      </c>
      <c r="KM135">
        <v>479224.13793103449</v>
      </c>
      <c r="KN135" t="s">
        <v>1264</v>
      </c>
      <c r="KO135" t="s">
        <v>1265</v>
      </c>
      <c r="KP135">
        <v>48</v>
      </c>
      <c r="KQ135" t="s">
        <v>1266</v>
      </c>
    </row>
    <row r="136" spans="298:303" x14ac:dyDescent="0.3">
      <c r="KL136" t="s">
        <v>1267</v>
      </c>
      <c r="KM136">
        <v>0</v>
      </c>
      <c r="KN136" t="s">
        <v>1264</v>
      </c>
      <c r="KO136" t="s">
        <v>1268</v>
      </c>
      <c r="KP136">
        <v>17099.169999999998</v>
      </c>
      <c r="KQ136" t="s">
        <v>1269</v>
      </c>
    </row>
    <row r="137" spans="298:303" x14ac:dyDescent="0.3">
      <c r="KL137" t="s">
        <v>1270</v>
      </c>
      <c r="KM137">
        <v>0.25740575016954309</v>
      </c>
      <c r="KN137">
        <v>2.1450479180795259E-2</v>
      </c>
      <c r="KO137" t="s">
        <v>1271</v>
      </c>
      <c r="KP137">
        <v>111180</v>
      </c>
      <c r="KQ137" t="s">
        <v>1264</v>
      </c>
    </row>
    <row r="139" spans="298:303" x14ac:dyDescent="0.3">
      <c r="KL139" t="s">
        <v>1213</v>
      </c>
      <c r="KN139">
        <v>0</v>
      </c>
      <c r="KO139" t="s">
        <v>1214</v>
      </c>
    </row>
    <row r="140" spans="298:303" x14ac:dyDescent="0.3">
      <c r="KL140" t="s">
        <v>1231</v>
      </c>
      <c r="KM140" t="s">
        <v>1235</v>
      </c>
      <c r="KO140" t="s">
        <v>1233</v>
      </c>
      <c r="KP140" t="s">
        <v>1258</v>
      </c>
    </row>
    <row r="141" spans="298:303" x14ac:dyDescent="0.3">
      <c r="KL141" t="s">
        <v>1263</v>
      </c>
      <c r="KM141">
        <v>570862.06896551733</v>
      </c>
      <c r="KN141" t="s">
        <v>1264</v>
      </c>
      <c r="KO141" t="s">
        <v>1265</v>
      </c>
      <c r="KP141">
        <v>48</v>
      </c>
      <c r="KQ141" t="s">
        <v>1266</v>
      </c>
    </row>
    <row r="142" spans="298:303" x14ac:dyDescent="0.3">
      <c r="KL142" t="s">
        <v>1267</v>
      </c>
      <c r="KM142">
        <v>0</v>
      </c>
      <c r="KN142" t="s">
        <v>1264</v>
      </c>
      <c r="KO142" t="s">
        <v>1268</v>
      </c>
      <c r="KP142">
        <v>21234.02</v>
      </c>
      <c r="KQ142" t="s">
        <v>1269</v>
      </c>
    </row>
    <row r="143" spans="298:303" x14ac:dyDescent="0.3">
      <c r="KL143" t="s">
        <v>1270</v>
      </c>
      <c r="KM143">
        <v>0.27812839218348162</v>
      </c>
      <c r="KN143">
        <v>2.3177366015290135E-2</v>
      </c>
      <c r="KO143" t="s">
        <v>1271</v>
      </c>
      <c r="KP143">
        <v>132220</v>
      </c>
      <c r="KQ143" t="s">
        <v>1264</v>
      </c>
    </row>
    <row r="145" spans="298:303" x14ac:dyDescent="0.3">
      <c r="KL145" t="s">
        <v>1215</v>
      </c>
      <c r="KN145">
        <v>0</v>
      </c>
      <c r="KO145" t="s">
        <v>1216</v>
      </c>
    </row>
    <row r="146" spans="298:303" x14ac:dyDescent="0.3">
      <c r="KL146" t="s">
        <v>1231</v>
      </c>
      <c r="KM146" t="s">
        <v>1235</v>
      </c>
      <c r="KO146" t="s">
        <v>1233</v>
      </c>
      <c r="KP146" t="s">
        <v>1259</v>
      </c>
    </row>
    <row r="147" spans="298:303" x14ac:dyDescent="0.3">
      <c r="KL147" t="s">
        <v>1263</v>
      </c>
      <c r="KM147">
        <v>498189.65517241386</v>
      </c>
      <c r="KN147" t="s">
        <v>1264</v>
      </c>
      <c r="KO147" t="s">
        <v>1265</v>
      </c>
      <c r="KP147">
        <v>48</v>
      </c>
      <c r="KQ147" t="s">
        <v>1266</v>
      </c>
    </row>
    <row r="148" spans="298:303" x14ac:dyDescent="0.3">
      <c r="KL148" t="s">
        <v>1267</v>
      </c>
      <c r="KM148">
        <v>0</v>
      </c>
      <c r="KN148" t="s">
        <v>1264</v>
      </c>
      <c r="KO148" t="s">
        <v>1268</v>
      </c>
      <c r="KP148">
        <v>18719.810000000001</v>
      </c>
      <c r="KQ148" t="s">
        <v>1269</v>
      </c>
    </row>
    <row r="149" spans="298:303" x14ac:dyDescent="0.3">
      <c r="KL149" t="s">
        <v>1270</v>
      </c>
      <c r="KM149">
        <v>0.2833633989019842</v>
      </c>
      <c r="KN149">
        <v>2.361361657516535E-2</v>
      </c>
      <c r="KO149" t="s">
        <v>1271</v>
      </c>
      <c r="KP149">
        <v>115580</v>
      </c>
      <c r="KQ149" t="s">
        <v>1264</v>
      </c>
    </row>
    <row r="151" spans="298:303" x14ac:dyDescent="0.3">
      <c r="KL151" t="s">
        <v>1217</v>
      </c>
      <c r="KN151">
        <v>0</v>
      </c>
      <c r="KO151" t="s">
        <v>1218</v>
      </c>
    </row>
    <row r="152" spans="298:303" x14ac:dyDescent="0.3">
      <c r="KL152" t="s">
        <v>1231</v>
      </c>
      <c r="KM152" t="s">
        <v>1235</v>
      </c>
      <c r="KO152" t="s">
        <v>1233</v>
      </c>
      <c r="KP152" t="s">
        <v>1260</v>
      </c>
    </row>
    <row r="153" spans="298:303" x14ac:dyDescent="0.3">
      <c r="KL153" t="s">
        <v>1263</v>
      </c>
      <c r="KM153">
        <v>396465.51724137936</v>
      </c>
      <c r="KN153" t="s">
        <v>1264</v>
      </c>
      <c r="KO153" t="s">
        <v>1265</v>
      </c>
      <c r="KP153">
        <v>36</v>
      </c>
      <c r="KQ153" t="s">
        <v>1266</v>
      </c>
    </row>
    <row r="154" spans="298:303" x14ac:dyDescent="0.3">
      <c r="KL154" t="s">
        <v>1267</v>
      </c>
      <c r="KM154">
        <v>0</v>
      </c>
      <c r="KN154" t="s">
        <v>1264</v>
      </c>
      <c r="KO154" t="s">
        <v>1268</v>
      </c>
      <c r="KP154">
        <v>16684.7</v>
      </c>
      <c r="KQ154" t="s">
        <v>1269</v>
      </c>
    </row>
    <row r="155" spans="298:303" x14ac:dyDescent="0.3">
      <c r="KL155" t="s">
        <v>1270</v>
      </c>
      <c r="KM155">
        <v>0.3281822324387863</v>
      </c>
      <c r="KN155">
        <v>2.734851936989886E-2</v>
      </c>
      <c r="KO155" t="s">
        <v>1271</v>
      </c>
      <c r="KP155">
        <v>183960</v>
      </c>
      <c r="KQ155" t="s">
        <v>1264</v>
      </c>
    </row>
    <row r="157" spans="298:303" x14ac:dyDescent="0.3">
      <c r="KL157" t="s">
        <v>1219</v>
      </c>
      <c r="KN157">
        <v>0</v>
      </c>
      <c r="KO157" t="s">
        <v>1220</v>
      </c>
    </row>
    <row r="158" spans="298:303" x14ac:dyDescent="0.3">
      <c r="KL158" t="s">
        <v>1231</v>
      </c>
      <c r="KM158" t="s">
        <v>1232</v>
      </c>
      <c r="KO158" t="s">
        <v>1233</v>
      </c>
      <c r="KP158" t="s">
        <v>1261</v>
      </c>
    </row>
    <row r="159" spans="298:303" x14ac:dyDescent="0.3">
      <c r="KL159" t="s">
        <v>1263</v>
      </c>
      <c r="KM159">
        <v>332757.31034482759</v>
      </c>
      <c r="KN159" t="s">
        <v>1264</v>
      </c>
      <c r="KO159" t="s">
        <v>1265</v>
      </c>
      <c r="KP159">
        <v>47</v>
      </c>
      <c r="KQ159" t="s">
        <v>1266</v>
      </c>
    </row>
    <row r="160" spans="298:303" x14ac:dyDescent="0.3">
      <c r="KL160" t="s">
        <v>1267</v>
      </c>
      <c r="KM160">
        <v>0</v>
      </c>
      <c r="KN160" t="s">
        <v>1264</v>
      </c>
      <c r="KO160" t="s">
        <v>1268</v>
      </c>
      <c r="KP160">
        <v>12437.73</v>
      </c>
      <c r="KQ160" t="s">
        <v>1269</v>
      </c>
    </row>
    <row r="161" spans="298:303" x14ac:dyDescent="0.3">
      <c r="KL161" t="s">
        <v>1270</v>
      </c>
      <c r="KM161">
        <v>0.33048135988154509</v>
      </c>
      <c r="KN161">
        <v>2.7540113323462092E-2</v>
      </c>
      <c r="KO161" t="s">
        <v>1271</v>
      </c>
      <c r="KP161">
        <v>0</v>
      </c>
      <c r="KQ161" t="s">
        <v>1264</v>
      </c>
    </row>
    <row r="163" spans="298:303" x14ac:dyDescent="0.3">
      <c r="KL163" t="s">
        <v>1221</v>
      </c>
      <c r="KN163">
        <v>0</v>
      </c>
      <c r="KO163" t="s">
        <v>1222</v>
      </c>
    </row>
    <row r="164" spans="298:303" x14ac:dyDescent="0.3">
      <c r="KL164" t="s">
        <v>1231</v>
      </c>
      <c r="KM164" t="s">
        <v>1232</v>
      </c>
      <c r="KO164" t="s">
        <v>1233</v>
      </c>
      <c r="KP164" t="s">
        <v>1262</v>
      </c>
    </row>
    <row r="165" spans="298:303" x14ac:dyDescent="0.3">
      <c r="KL165" t="s">
        <v>1263</v>
      </c>
      <c r="KM165">
        <v>409854.18103448278</v>
      </c>
      <c r="KN165" t="s">
        <v>1264</v>
      </c>
      <c r="KO165" t="s">
        <v>1265</v>
      </c>
      <c r="KP165">
        <v>47</v>
      </c>
      <c r="KQ165" t="s">
        <v>1266</v>
      </c>
    </row>
    <row r="166" spans="298:303" x14ac:dyDescent="0.3">
      <c r="KL166" t="s">
        <v>1267</v>
      </c>
      <c r="KM166">
        <v>8720.3017241379312</v>
      </c>
      <c r="KN166" t="s">
        <v>1264</v>
      </c>
      <c r="KO166" t="s">
        <v>1268</v>
      </c>
      <c r="KP166">
        <v>10115.549999999999</v>
      </c>
      <c r="KQ166" t="s">
        <v>1269</v>
      </c>
    </row>
    <row r="167" spans="298:303" x14ac:dyDescent="0.3">
      <c r="KL167" t="s">
        <v>1270</v>
      </c>
      <c r="KM167">
        <v>0.12182601124997056</v>
      </c>
      <c r="KN167">
        <v>1.0152167604164214E-2</v>
      </c>
      <c r="KO167" t="s">
        <v>1271</v>
      </c>
      <c r="KP167">
        <v>122956.25431034484</v>
      </c>
      <c r="KQ167" t="s">
        <v>1264</v>
      </c>
    </row>
    <row r="169" spans="298:303" x14ac:dyDescent="0.3">
      <c r="KL169" t="s">
        <v>1223</v>
      </c>
      <c r="KN169" t="s">
        <v>1224</v>
      </c>
      <c r="KO169" t="s">
        <v>1224</v>
      </c>
    </row>
    <row r="170" spans="298:303" x14ac:dyDescent="0.3">
      <c r="KL170" t="s">
        <v>1231</v>
      </c>
      <c r="KM170" t="s">
        <v>1232</v>
      </c>
      <c r="KO170" t="s">
        <v>1233</v>
      </c>
      <c r="KP170" t="s">
        <v>1224</v>
      </c>
    </row>
    <row r="171" spans="298:303" x14ac:dyDescent="0.3">
      <c r="KL171" t="s">
        <v>1263</v>
      </c>
      <c r="KM171">
        <v>615417.16517241381</v>
      </c>
      <c r="KN171" t="s">
        <v>1264</v>
      </c>
      <c r="KO171" t="s">
        <v>1265</v>
      </c>
      <c r="KP171">
        <v>36</v>
      </c>
      <c r="KQ171" t="s">
        <v>1266</v>
      </c>
    </row>
    <row r="172" spans="298:303" x14ac:dyDescent="0.3">
      <c r="KL172" t="s">
        <v>1267</v>
      </c>
      <c r="KM172">
        <v>0</v>
      </c>
      <c r="KN172" t="s">
        <v>1264</v>
      </c>
      <c r="KO172" t="s">
        <v>1268</v>
      </c>
      <c r="KP172">
        <v>21285.489600000001</v>
      </c>
      <c r="KQ172" t="s">
        <v>1269</v>
      </c>
    </row>
    <row r="173" spans="298:303" x14ac:dyDescent="0.3">
      <c r="KL173" t="s">
        <v>1270</v>
      </c>
      <c r="KM173">
        <v>0.16784205488921991</v>
      </c>
      <c r="KN173">
        <v>1.3986837907434992E-2</v>
      </c>
      <c r="KO173" t="s">
        <v>1271</v>
      </c>
      <c r="KP173">
        <v>163540.56896551725</v>
      </c>
      <c r="KQ173" t="s">
        <v>1264</v>
      </c>
    </row>
    <row r="175" spans="298:303" x14ac:dyDescent="0.3">
      <c r="KL175" t="s">
        <v>1225</v>
      </c>
      <c r="KN175" t="s">
        <v>1224</v>
      </c>
      <c r="KO175" t="s">
        <v>1224</v>
      </c>
    </row>
    <row r="176" spans="298:303" x14ac:dyDescent="0.3">
      <c r="KL176" t="s">
        <v>1231</v>
      </c>
      <c r="KM176" t="s">
        <v>1232</v>
      </c>
      <c r="KO176" t="s">
        <v>1233</v>
      </c>
      <c r="KP176" t="s">
        <v>1224</v>
      </c>
    </row>
    <row r="177" spans="298:303" x14ac:dyDescent="0.3">
      <c r="KL177" t="s">
        <v>1263</v>
      </c>
      <c r="KM177">
        <v>160436.6131034483</v>
      </c>
      <c r="KN177" t="s">
        <v>1264</v>
      </c>
      <c r="KO177" t="s">
        <v>1265</v>
      </c>
      <c r="KP177">
        <v>36</v>
      </c>
      <c r="KQ177" t="s">
        <v>1266</v>
      </c>
    </row>
    <row r="178" spans="298:303" x14ac:dyDescent="0.3">
      <c r="KL178" t="s">
        <v>1267</v>
      </c>
      <c r="KM178">
        <v>0</v>
      </c>
      <c r="KN178" t="s">
        <v>1264</v>
      </c>
      <c r="KO178" t="s">
        <v>1268</v>
      </c>
      <c r="KP178">
        <v>5764.0283999999992</v>
      </c>
      <c r="KQ178" t="s">
        <v>1269</v>
      </c>
    </row>
    <row r="179" spans="298:303" x14ac:dyDescent="0.3">
      <c r="KL179" t="s">
        <v>1270</v>
      </c>
      <c r="KM179">
        <v>0.18745170217531529</v>
      </c>
      <c r="KN179">
        <v>1.5620975181276272E-2</v>
      </c>
      <c r="KO179" t="s">
        <v>1271</v>
      </c>
      <c r="KP179">
        <v>42634.327586206899</v>
      </c>
      <c r="KQ179" t="s">
        <v>1264</v>
      </c>
    </row>
    <row r="181" spans="298:303" x14ac:dyDescent="0.3">
      <c r="KL181" t="s">
        <v>1226</v>
      </c>
      <c r="KN181" t="s">
        <v>1224</v>
      </c>
      <c r="KO181" t="s">
        <v>1224</v>
      </c>
    </row>
    <row r="182" spans="298:303" x14ac:dyDescent="0.3">
      <c r="KL182" t="s">
        <v>1231</v>
      </c>
      <c r="KM182" t="s">
        <v>1232</v>
      </c>
      <c r="KO182" t="s">
        <v>1233</v>
      </c>
      <c r="KP182" t="s">
        <v>1224</v>
      </c>
    </row>
    <row r="183" spans="298:303" x14ac:dyDescent="0.3">
      <c r="KL183" t="s">
        <v>1263</v>
      </c>
      <c r="KM183">
        <v>350864.47827586206</v>
      </c>
      <c r="KN183" t="s">
        <v>1264</v>
      </c>
      <c r="KO183" t="s">
        <v>1265</v>
      </c>
      <c r="KP183">
        <v>36</v>
      </c>
      <c r="KQ183" t="s">
        <v>1266</v>
      </c>
    </row>
    <row r="184" spans="298:303" x14ac:dyDescent="0.3">
      <c r="KL184" t="s">
        <v>1267</v>
      </c>
      <c r="KM184">
        <v>0</v>
      </c>
      <c r="KN184" t="s">
        <v>1264</v>
      </c>
      <c r="KO184" t="s">
        <v>1268</v>
      </c>
      <c r="KP184">
        <v>12482.040800000001</v>
      </c>
      <c r="KQ184" t="s">
        <v>1269</v>
      </c>
    </row>
    <row r="185" spans="298:303" x14ac:dyDescent="0.3">
      <c r="KL185" t="s">
        <v>1270</v>
      </c>
      <c r="KM185">
        <v>0.18231853751832452</v>
      </c>
      <c r="KN185">
        <v>1.5193211459860375E-2</v>
      </c>
      <c r="KO185" t="s">
        <v>1271</v>
      </c>
      <c r="KP185">
        <v>93238.508620689667</v>
      </c>
      <c r="KQ185" t="s">
        <v>1264</v>
      </c>
    </row>
    <row r="187" spans="298:303" x14ac:dyDescent="0.3">
      <c r="KL187" t="s">
        <v>1227</v>
      </c>
      <c r="KN187" t="s">
        <v>1224</v>
      </c>
      <c r="KO187" t="s">
        <v>1224</v>
      </c>
    </row>
    <row r="188" spans="298:303" x14ac:dyDescent="0.3">
      <c r="KL188" t="s">
        <v>1231</v>
      </c>
      <c r="KM188" t="s">
        <v>1232</v>
      </c>
      <c r="KO188" t="s">
        <v>1233</v>
      </c>
      <c r="KP188" t="s">
        <v>1224</v>
      </c>
    </row>
    <row r="189" spans="298:303" x14ac:dyDescent="0.3">
      <c r="KL189" t="s">
        <v>1263</v>
      </c>
      <c r="KM189">
        <v>148562.1</v>
      </c>
      <c r="KN189" t="s">
        <v>1264</v>
      </c>
      <c r="KO189" t="s">
        <v>1265</v>
      </c>
      <c r="KP189">
        <v>36</v>
      </c>
      <c r="KQ189" t="s">
        <v>1266</v>
      </c>
    </row>
    <row r="190" spans="298:303" x14ac:dyDescent="0.3">
      <c r="KL190" t="s">
        <v>1267</v>
      </c>
      <c r="KM190">
        <v>0</v>
      </c>
      <c r="KN190" t="s">
        <v>1264</v>
      </c>
      <c r="KO190" t="s">
        <v>1268</v>
      </c>
      <c r="KP190">
        <v>5400.0783999999994</v>
      </c>
      <c r="KQ190" t="s">
        <v>1269</v>
      </c>
    </row>
    <row r="191" spans="298:303" x14ac:dyDescent="0.3">
      <c r="KL191" t="s">
        <v>1270</v>
      </c>
      <c r="KM191">
        <v>0.19358561939689692</v>
      </c>
      <c r="KN191">
        <v>1.613213494974141E-2</v>
      </c>
      <c r="KO191" t="s">
        <v>1271</v>
      </c>
      <c r="KP191">
        <v>39478.801724137935</v>
      </c>
      <c r="KQ191" t="s">
        <v>1264</v>
      </c>
    </row>
    <row r="193" spans="298:303" x14ac:dyDescent="0.3">
      <c r="KL193" t="s">
        <v>1228</v>
      </c>
      <c r="KN193" t="s">
        <v>1224</v>
      </c>
      <c r="KO193" t="s">
        <v>1224</v>
      </c>
    </row>
    <row r="194" spans="298:303" x14ac:dyDescent="0.3">
      <c r="KL194" t="s">
        <v>1231</v>
      </c>
      <c r="KM194" t="s">
        <v>1232</v>
      </c>
      <c r="KO194" t="s">
        <v>1233</v>
      </c>
      <c r="KP194" t="s">
        <v>1224</v>
      </c>
    </row>
    <row r="195" spans="298:303" x14ac:dyDescent="0.3">
      <c r="KL195" t="s">
        <v>1263</v>
      </c>
      <c r="KM195">
        <v>139486.94655172416</v>
      </c>
      <c r="KN195" t="s">
        <v>1264</v>
      </c>
      <c r="KO195" t="s">
        <v>1265</v>
      </c>
      <c r="KP195">
        <v>36</v>
      </c>
      <c r="KQ195" t="s">
        <v>1266</v>
      </c>
    </row>
    <row r="196" spans="298:303" x14ac:dyDescent="0.3">
      <c r="KL196" t="s">
        <v>1267</v>
      </c>
      <c r="KM196">
        <v>0</v>
      </c>
      <c r="KN196" t="s">
        <v>1264</v>
      </c>
      <c r="KO196" t="s">
        <v>1268</v>
      </c>
      <c r="KP196">
        <v>5344.2244000000001</v>
      </c>
      <c r="KQ196" t="s">
        <v>1269</v>
      </c>
    </row>
    <row r="197" spans="298:303" x14ac:dyDescent="0.3">
      <c r="KL197" t="s">
        <v>1270</v>
      </c>
      <c r="KM197">
        <v>0.22191480642375039</v>
      </c>
      <c r="KN197">
        <v>1.8492900535312533E-2</v>
      </c>
      <c r="KO197" t="s">
        <v>1271</v>
      </c>
      <c r="KP197">
        <v>37067.172413793101</v>
      </c>
      <c r="KQ197" t="s">
        <v>1264</v>
      </c>
    </row>
    <row r="199" spans="298:303" x14ac:dyDescent="0.3">
      <c r="KL199" t="s">
        <v>1229</v>
      </c>
      <c r="KN199" t="s">
        <v>1224</v>
      </c>
      <c r="KO199" t="s">
        <v>1224</v>
      </c>
    </row>
    <row r="200" spans="298:303" x14ac:dyDescent="0.3">
      <c r="KL200" t="s">
        <v>1231</v>
      </c>
      <c r="KM200" t="s">
        <v>1232</v>
      </c>
      <c r="KO200" t="s">
        <v>1233</v>
      </c>
      <c r="KP200" t="s">
        <v>1224</v>
      </c>
    </row>
    <row r="201" spans="298:303" x14ac:dyDescent="0.3">
      <c r="KL201" t="s">
        <v>1263</v>
      </c>
      <c r="KM201">
        <v>122619.89</v>
      </c>
      <c r="KN201" t="s">
        <v>1264</v>
      </c>
      <c r="KO201" t="s">
        <v>1265</v>
      </c>
      <c r="KP201">
        <v>36</v>
      </c>
      <c r="KQ201" t="s">
        <v>1266</v>
      </c>
    </row>
    <row r="202" spans="298:303" x14ac:dyDescent="0.3">
      <c r="KL202" t="s">
        <v>1267</v>
      </c>
      <c r="KM202">
        <v>0</v>
      </c>
      <c r="KN202" t="s">
        <v>1264</v>
      </c>
      <c r="KO202" t="s">
        <v>1268</v>
      </c>
      <c r="KP202">
        <v>4674.9623999999994</v>
      </c>
      <c r="KQ202" t="s">
        <v>1269</v>
      </c>
    </row>
    <row r="203" spans="298:303" x14ac:dyDescent="0.3">
      <c r="KL203" t="s">
        <v>1270</v>
      </c>
      <c r="KM203">
        <v>0.21922321895698116</v>
      </c>
      <c r="KN203">
        <v>1.8268601579748429E-2</v>
      </c>
      <c r="KO203" t="s">
        <v>1271</v>
      </c>
      <c r="KP203">
        <v>32584.931034482757</v>
      </c>
      <c r="KQ203" t="s">
        <v>1264</v>
      </c>
    </row>
    <row r="205" spans="298:303" x14ac:dyDescent="0.3">
      <c r="KL205" t="s">
        <v>1230</v>
      </c>
      <c r="KN205">
        <v>0</v>
      </c>
      <c r="KO205" t="s">
        <v>904</v>
      </c>
    </row>
    <row r="206" spans="298:303" x14ac:dyDescent="0.3">
      <c r="KL206" t="s">
        <v>1231</v>
      </c>
      <c r="KM206">
        <v>0</v>
      </c>
      <c r="KO206" t="s">
        <v>1233</v>
      </c>
      <c r="KP206">
        <v>0</v>
      </c>
    </row>
    <row r="207" spans="298:303" x14ac:dyDescent="0.3">
      <c r="KL207" t="s">
        <v>1263</v>
      </c>
      <c r="KM207">
        <v>21855773.032729447</v>
      </c>
      <c r="KN207">
        <v>0</v>
      </c>
      <c r="KO207" t="s">
        <v>1265</v>
      </c>
      <c r="KP207">
        <v>0</v>
      </c>
      <c r="KQ207" t="s">
        <v>1266</v>
      </c>
    </row>
    <row r="208" spans="298:303" x14ac:dyDescent="0.3">
      <c r="KL208" t="s">
        <v>1267</v>
      </c>
      <c r="KM208">
        <v>8720.3017241379312</v>
      </c>
      <c r="KN208">
        <v>0</v>
      </c>
      <c r="KO208" t="s">
        <v>1268</v>
      </c>
      <c r="KP208">
        <v>0</v>
      </c>
      <c r="KQ208" t="s">
        <v>1269</v>
      </c>
    </row>
    <row r="209" spans="298:303" x14ac:dyDescent="0.3">
      <c r="KL209" t="s">
        <v>1270</v>
      </c>
      <c r="KM209">
        <v>0</v>
      </c>
      <c r="KN209">
        <v>0</v>
      </c>
      <c r="KO209" t="s">
        <v>1271</v>
      </c>
      <c r="KP209">
        <v>0</v>
      </c>
      <c r="KQ209" t="s">
        <v>1269</v>
      </c>
    </row>
  </sheetData>
  <phoneticPr fontId="2" type="noConversion"/>
  <pageMargins left="0.7" right="0.7" top="0.75" bottom="0.75" header="0.3" footer="0.3"/>
  <headerFooter>
    <oddHeader>&amp;R&amp;"Calibri"&amp;10&amp;K000000 Confidencial&amp;1#_x000D_</oddHeader>
  </headerFooter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E3BF-85F6-4603-807D-9B034DD1DD8D}">
  <sheetPr codeName="Sheet8"/>
  <dimension ref="A1:CQ42"/>
  <sheetViews>
    <sheetView topLeftCell="K1" workbookViewId="0">
      <selection activeCell="R33" sqref="R33"/>
    </sheetView>
  </sheetViews>
  <sheetFormatPr baseColWidth="10" defaultColWidth="8.88671875" defaultRowHeight="14.4" x14ac:dyDescent="0.3"/>
  <cols>
    <col min="1" max="1" width="20.109375" bestFit="1" customWidth="1"/>
    <col min="2" max="2" width="35.88671875" bestFit="1" customWidth="1"/>
    <col min="3" max="3" width="24.109375" bestFit="1" customWidth="1"/>
    <col min="4" max="6" width="10.109375" bestFit="1" customWidth="1"/>
    <col min="7" max="7" width="12.109375" bestFit="1" customWidth="1"/>
    <col min="8" max="8" width="12" bestFit="1" customWidth="1"/>
    <col min="9" max="9" width="12.5546875" bestFit="1" customWidth="1"/>
    <col min="10" max="10" width="12.109375" bestFit="1" customWidth="1"/>
    <col min="11" max="11" width="12.44140625" bestFit="1" customWidth="1"/>
    <col min="12" max="12" width="12.109375" bestFit="1" customWidth="1"/>
    <col min="13" max="13" width="11.6640625" bestFit="1" customWidth="1"/>
    <col min="14" max="14" width="12.6640625" bestFit="1" customWidth="1"/>
    <col min="15" max="15" width="12.109375" bestFit="1" customWidth="1"/>
    <col min="16" max="16" width="12.44140625" bestFit="1" customWidth="1"/>
    <col min="17" max="17" width="12.6640625" bestFit="1" customWidth="1"/>
    <col min="18" max="18" width="12" bestFit="1" customWidth="1"/>
    <col min="19" max="19" width="22.109375" bestFit="1" customWidth="1"/>
    <col min="20" max="22" width="11.109375" bestFit="1" customWidth="1"/>
    <col min="23" max="32" width="11.6640625" bestFit="1" customWidth="1"/>
    <col min="33" max="33" width="17.44140625" bestFit="1" customWidth="1"/>
    <col min="34" max="34" width="11.109375" bestFit="1" customWidth="1"/>
    <col min="35" max="35" width="16.88671875" bestFit="1" customWidth="1"/>
    <col min="36" max="36" width="16.5546875" bestFit="1" customWidth="1"/>
    <col min="37" max="37" width="17.109375" bestFit="1" customWidth="1"/>
    <col min="38" max="38" width="16.88671875" bestFit="1" customWidth="1"/>
    <col min="39" max="39" width="17" bestFit="1" customWidth="1"/>
    <col min="40" max="40" width="16.5546875" bestFit="1" customWidth="1"/>
    <col min="41" max="41" width="16.109375" bestFit="1" customWidth="1"/>
    <col min="42" max="42" width="17.109375" bestFit="1" customWidth="1"/>
    <col min="43" max="43" width="16.5546875" bestFit="1" customWidth="1"/>
    <col min="44" max="44" width="17" bestFit="1" customWidth="1"/>
    <col min="45" max="45" width="17.109375" bestFit="1" customWidth="1"/>
    <col min="46" max="46" width="16.44140625" bestFit="1" customWidth="1"/>
    <col min="47" max="47" width="31.44140625" bestFit="1" customWidth="1"/>
    <col min="48" max="48" width="11.109375" bestFit="1" customWidth="1"/>
    <col min="49" max="60" width="11.6640625" bestFit="1" customWidth="1"/>
    <col min="61" max="61" width="16.5546875" bestFit="1" customWidth="1"/>
    <col min="62" max="62" width="11.109375" bestFit="1" customWidth="1"/>
    <col min="63" max="63" width="34.44140625" bestFit="1" customWidth="1"/>
    <col min="64" max="64" width="34.109375" bestFit="1" customWidth="1"/>
    <col min="65" max="65" width="34.6640625" bestFit="1" customWidth="1"/>
    <col min="66" max="66" width="34.44140625" bestFit="1" customWidth="1"/>
    <col min="67" max="67" width="34.5546875" bestFit="1" customWidth="1"/>
    <col min="68" max="68" width="34.109375" bestFit="1" customWidth="1"/>
    <col min="69" max="69" width="33.88671875" bestFit="1" customWidth="1"/>
    <col min="70" max="70" width="34.88671875" bestFit="1" customWidth="1"/>
    <col min="71" max="71" width="34.109375" bestFit="1" customWidth="1"/>
    <col min="72" max="72" width="34.5546875" bestFit="1" customWidth="1"/>
    <col min="73" max="73" width="34.88671875" bestFit="1" customWidth="1"/>
    <col min="74" max="74" width="34" bestFit="1" customWidth="1"/>
    <col min="75" max="75" width="54.6640625" bestFit="1" customWidth="1"/>
    <col min="76" max="76" width="40.6640625" bestFit="1" customWidth="1"/>
    <col min="77" max="77" width="32.109375" bestFit="1" customWidth="1"/>
    <col min="78" max="78" width="26.44140625" bestFit="1" customWidth="1"/>
    <col min="79" max="79" width="29.109375" bestFit="1" customWidth="1"/>
    <col min="80" max="80" width="28.109375" bestFit="1" customWidth="1"/>
    <col min="81" max="81" width="11.109375" bestFit="1" customWidth="1"/>
    <col min="82" max="82" width="34.44140625" bestFit="1" customWidth="1"/>
    <col min="83" max="83" width="34.109375" bestFit="1" customWidth="1"/>
    <col min="84" max="84" width="34.6640625" bestFit="1" customWidth="1"/>
    <col min="85" max="85" width="34.44140625" bestFit="1" customWidth="1"/>
    <col min="86" max="86" width="34.5546875" bestFit="1" customWidth="1"/>
    <col min="87" max="87" width="34.109375" bestFit="1" customWidth="1"/>
    <col min="88" max="88" width="33.88671875" bestFit="1" customWidth="1"/>
    <col min="89" max="89" width="34.88671875" bestFit="1" customWidth="1"/>
    <col min="90" max="90" width="34.109375" bestFit="1" customWidth="1"/>
    <col min="91" max="91" width="34.5546875" bestFit="1" customWidth="1"/>
    <col min="92" max="92" width="34.88671875" bestFit="1" customWidth="1"/>
    <col min="93" max="93" width="34" bestFit="1" customWidth="1"/>
    <col min="94" max="94" width="39.109375" bestFit="1" customWidth="1"/>
    <col min="95" max="95" width="40.6640625" bestFit="1" customWidth="1"/>
    <col min="96" max="107" width="11.6640625" bestFit="1" customWidth="1"/>
    <col min="108" max="108" width="16.109375" bestFit="1" customWidth="1"/>
    <col min="109" max="109" width="11.109375" bestFit="1" customWidth="1"/>
    <col min="110" max="111" width="10.6640625" bestFit="1" customWidth="1"/>
    <col min="112" max="121" width="11.6640625" bestFit="1" customWidth="1"/>
    <col min="122" max="122" width="13.5546875" bestFit="1" customWidth="1"/>
    <col min="123" max="123" width="11.109375" bestFit="1" customWidth="1"/>
    <col min="124" max="125" width="10.6640625" bestFit="1" customWidth="1"/>
    <col min="126" max="126" width="9.109375" bestFit="1" customWidth="1"/>
    <col min="127" max="134" width="11.6640625" bestFit="1" customWidth="1"/>
    <col min="135" max="135" width="12.109375" bestFit="1" customWidth="1"/>
    <col min="136" max="136" width="20.5546875" bestFit="1" customWidth="1"/>
    <col min="137" max="137" width="11.109375" bestFit="1" customWidth="1"/>
    <col min="138" max="149" width="11.6640625" bestFit="1" customWidth="1"/>
    <col min="150" max="150" width="13.109375" bestFit="1" customWidth="1"/>
    <col min="151" max="151" width="11.109375" bestFit="1" customWidth="1"/>
    <col min="152" max="163" width="11.6640625" bestFit="1" customWidth="1"/>
    <col min="164" max="164" width="26.5546875" bestFit="1" customWidth="1"/>
    <col min="165" max="165" width="12.44140625" bestFit="1" customWidth="1"/>
    <col min="166" max="166" width="13.109375" bestFit="1" customWidth="1"/>
    <col min="167" max="167" width="11.6640625" bestFit="1" customWidth="1"/>
    <col min="168" max="168" width="12.109375" bestFit="1" customWidth="1"/>
    <col min="169" max="169" width="9.109375" bestFit="1" customWidth="1"/>
    <col min="170" max="170" width="11.109375" bestFit="1" customWidth="1"/>
    <col min="171" max="183" width="11.6640625" bestFit="1" customWidth="1"/>
    <col min="184" max="184" width="15.109375" bestFit="1" customWidth="1"/>
  </cols>
  <sheetData>
    <row r="1" spans="1:95" x14ac:dyDescent="0.3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1006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1007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1008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1009</v>
      </c>
      <c r="AW1" t="s">
        <v>85</v>
      </c>
      <c r="AX1" t="s">
        <v>86</v>
      </c>
      <c r="AY1" t="s">
        <v>87</v>
      </c>
      <c r="AZ1" t="s">
        <v>88</v>
      </c>
      <c r="BA1" t="s">
        <v>89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1010</v>
      </c>
      <c r="BK1" t="s">
        <v>98</v>
      </c>
      <c r="BL1" t="s">
        <v>99</v>
      </c>
      <c r="BM1" t="s">
        <v>100</v>
      </c>
      <c r="BN1" t="s">
        <v>101</v>
      </c>
      <c r="BO1" t="s">
        <v>102</v>
      </c>
      <c r="BP1" t="s">
        <v>103</v>
      </c>
      <c r="BQ1" t="s">
        <v>104</v>
      </c>
      <c r="BR1" t="s">
        <v>105</v>
      </c>
      <c r="BS1" t="s">
        <v>106</v>
      </c>
      <c r="BT1" t="s">
        <v>107</v>
      </c>
      <c r="BU1" t="s">
        <v>108</v>
      </c>
      <c r="BV1" t="s">
        <v>109</v>
      </c>
      <c r="BW1" t="s">
        <v>110</v>
      </c>
      <c r="BX1" t="s">
        <v>111</v>
      </c>
      <c r="BY1" t="s">
        <v>112</v>
      </c>
      <c r="BZ1" t="s">
        <v>113</v>
      </c>
      <c r="CA1" t="s">
        <v>114</v>
      </c>
      <c r="CB1" t="s">
        <v>115</v>
      </c>
      <c r="CC1" t="s">
        <v>1011</v>
      </c>
      <c r="CD1" t="s">
        <v>116</v>
      </c>
      <c r="CE1" t="s">
        <v>117</v>
      </c>
      <c r="CF1" t="s">
        <v>118</v>
      </c>
      <c r="CG1" t="s">
        <v>119</v>
      </c>
      <c r="CH1" t="s">
        <v>120</v>
      </c>
      <c r="CI1" t="s">
        <v>121</v>
      </c>
      <c r="CJ1" t="s">
        <v>122</v>
      </c>
      <c r="CK1" t="s">
        <v>123</v>
      </c>
      <c r="CL1" t="s">
        <v>124</v>
      </c>
      <c r="CM1" t="s">
        <v>125</v>
      </c>
      <c r="CN1" t="s">
        <v>126</v>
      </c>
      <c r="CO1" t="s">
        <v>127</v>
      </c>
      <c r="CP1" t="s">
        <v>128</v>
      </c>
      <c r="CQ1" t="s">
        <v>129</v>
      </c>
    </row>
    <row r="2" spans="1:95" x14ac:dyDescent="0.3">
      <c r="A2" t="s">
        <v>136</v>
      </c>
      <c r="B2" t="s">
        <v>137</v>
      </c>
      <c r="C2" t="s">
        <v>138</v>
      </c>
      <c r="D2" t="s">
        <v>139</v>
      </c>
      <c r="E2" t="s">
        <v>140</v>
      </c>
      <c r="G2" t="s">
        <v>1363</v>
      </c>
      <c r="H2" t="s">
        <v>1364</v>
      </c>
      <c r="I2" t="s">
        <v>1365</v>
      </c>
      <c r="J2" t="s">
        <v>1366</v>
      </c>
      <c r="K2" t="s">
        <v>1367</v>
      </c>
      <c r="L2" t="s">
        <v>1368</v>
      </c>
      <c r="M2" t="s">
        <v>1369</v>
      </c>
      <c r="N2" t="s">
        <v>1370</v>
      </c>
      <c r="O2" t="s">
        <v>1371</v>
      </c>
      <c r="P2" t="s">
        <v>1372</v>
      </c>
      <c r="Q2" t="s">
        <v>1373</v>
      </c>
      <c r="R2" t="s">
        <v>1374</v>
      </c>
      <c r="S2" t="s">
        <v>1375</v>
      </c>
      <c r="T2" t="s">
        <v>1376</v>
      </c>
      <c r="U2" t="s">
        <v>1377</v>
      </c>
      <c r="V2" t="s">
        <v>1378</v>
      </c>
      <c r="W2" t="s">
        <v>1379</v>
      </c>
      <c r="X2" t="s">
        <v>1380</v>
      </c>
      <c r="Y2" t="s">
        <v>1381</v>
      </c>
      <c r="Z2" t="s">
        <v>1382</v>
      </c>
      <c r="AA2" t="s">
        <v>1383</v>
      </c>
      <c r="AB2" t="s">
        <v>1384</v>
      </c>
      <c r="AC2" t="s">
        <v>1385</v>
      </c>
      <c r="AD2" t="s">
        <v>1386</v>
      </c>
      <c r="AE2" t="s">
        <v>1387</v>
      </c>
      <c r="AF2" t="s">
        <v>1388</v>
      </c>
      <c r="AG2" t="s">
        <v>1389</v>
      </c>
      <c r="AH2" t="s">
        <v>1376</v>
      </c>
      <c r="AI2" t="s">
        <v>1390</v>
      </c>
      <c r="AJ2" t="s">
        <v>1391</v>
      </c>
      <c r="AK2" t="s">
        <v>1392</v>
      </c>
      <c r="AL2" t="s">
        <v>1393</v>
      </c>
      <c r="AM2" t="s">
        <v>1394</v>
      </c>
      <c r="AN2" t="s">
        <v>1395</v>
      </c>
      <c r="AO2" t="s">
        <v>1396</v>
      </c>
      <c r="AP2" t="s">
        <v>1397</v>
      </c>
      <c r="AQ2" t="s">
        <v>1398</v>
      </c>
      <c r="AR2" t="s">
        <v>1399</v>
      </c>
      <c r="AS2" t="s">
        <v>1400</v>
      </c>
      <c r="AT2" t="s">
        <v>1401</v>
      </c>
      <c r="AU2" t="s">
        <v>1402</v>
      </c>
      <c r="AV2" t="s">
        <v>1376</v>
      </c>
      <c r="AW2" t="s">
        <v>1403</v>
      </c>
      <c r="AX2" t="s">
        <v>1404</v>
      </c>
      <c r="AY2" t="s">
        <v>1405</v>
      </c>
      <c r="AZ2" t="s">
        <v>1406</v>
      </c>
      <c r="BA2" t="s">
        <v>1407</v>
      </c>
      <c r="BB2" t="s">
        <v>1408</v>
      </c>
      <c r="BC2" t="s">
        <v>1409</v>
      </c>
      <c r="BD2" t="s">
        <v>1410</v>
      </c>
      <c r="BE2" t="s">
        <v>1411</v>
      </c>
      <c r="BF2" t="s">
        <v>1412</v>
      </c>
      <c r="BG2" t="s">
        <v>1413</v>
      </c>
      <c r="BH2" t="s">
        <v>1414</v>
      </c>
      <c r="BI2" t="s">
        <v>1415</v>
      </c>
      <c r="BJ2" t="s">
        <v>1376</v>
      </c>
      <c r="BK2" t="s">
        <v>1416</v>
      </c>
      <c r="BL2" t="s">
        <v>1417</v>
      </c>
      <c r="BM2" t="s">
        <v>1418</v>
      </c>
      <c r="BN2" t="s">
        <v>1419</v>
      </c>
      <c r="BO2" t="s">
        <v>1420</v>
      </c>
      <c r="BP2" t="s">
        <v>1421</v>
      </c>
      <c r="BQ2" t="s">
        <v>1422</v>
      </c>
      <c r="BR2" t="s">
        <v>1423</v>
      </c>
      <c r="BS2" t="s">
        <v>1424</v>
      </c>
      <c r="BT2" t="s">
        <v>1425</v>
      </c>
      <c r="BU2" t="s">
        <v>1426</v>
      </c>
      <c r="BV2" t="s">
        <v>1427</v>
      </c>
      <c r="BW2" t="s">
        <v>1428</v>
      </c>
      <c r="BX2" t="s">
        <v>1429</v>
      </c>
      <c r="BY2" t="s">
        <v>1430</v>
      </c>
      <c r="BZ2" t="s">
        <v>1431</v>
      </c>
      <c r="CA2" t="s">
        <v>1432</v>
      </c>
      <c r="CB2" t="s">
        <v>1433</v>
      </c>
      <c r="CC2" t="s">
        <v>1376</v>
      </c>
      <c r="CD2" t="s">
        <v>1416</v>
      </c>
      <c r="CE2" t="s">
        <v>1417</v>
      </c>
      <c r="CF2" t="s">
        <v>1418</v>
      </c>
      <c r="CG2" t="s">
        <v>1419</v>
      </c>
      <c r="CH2" t="s">
        <v>1420</v>
      </c>
      <c r="CI2" t="s">
        <v>1421</v>
      </c>
      <c r="CJ2" t="s">
        <v>1422</v>
      </c>
      <c r="CK2" t="s">
        <v>1423</v>
      </c>
      <c r="CL2" t="s">
        <v>1424</v>
      </c>
      <c r="CM2" t="s">
        <v>1425</v>
      </c>
      <c r="CN2" t="s">
        <v>1426</v>
      </c>
      <c r="CO2" t="s">
        <v>1427</v>
      </c>
      <c r="CP2" t="s">
        <v>1434</v>
      </c>
      <c r="CQ2" t="s">
        <v>1429</v>
      </c>
    </row>
    <row r="3" spans="1:95" x14ac:dyDescent="0.3">
      <c r="A3" t="s">
        <v>136</v>
      </c>
      <c r="B3" t="s">
        <v>137</v>
      </c>
      <c r="C3" t="s">
        <v>138</v>
      </c>
      <c r="D3" t="s">
        <v>139</v>
      </c>
      <c r="E3" t="s">
        <v>140</v>
      </c>
      <c r="G3" t="s">
        <v>130</v>
      </c>
      <c r="H3" t="s">
        <v>130</v>
      </c>
      <c r="I3" t="s">
        <v>130</v>
      </c>
      <c r="J3" t="s">
        <v>130</v>
      </c>
      <c r="K3" t="s">
        <v>130</v>
      </c>
      <c r="L3" t="s">
        <v>130</v>
      </c>
      <c r="M3" t="s">
        <v>130</v>
      </c>
      <c r="N3" t="s">
        <v>130</v>
      </c>
      <c r="O3" t="s">
        <v>130</v>
      </c>
      <c r="P3" t="s">
        <v>130</v>
      </c>
      <c r="Q3" t="s">
        <v>130</v>
      </c>
      <c r="R3" t="s">
        <v>130</v>
      </c>
      <c r="S3" t="s">
        <v>130</v>
      </c>
      <c r="U3" t="s">
        <v>131</v>
      </c>
      <c r="V3" t="s">
        <v>131</v>
      </c>
      <c r="W3" t="s">
        <v>131</v>
      </c>
      <c r="X3" t="s">
        <v>131</v>
      </c>
      <c r="Y3" t="s">
        <v>131</v>
      </c>
      <c r="Z3" t="s">
        <v>131</v>
      </c>
      <c r="AA3" t="s">
        <v>131</v>
      </c>
      <c r="AB3" t="s">
        <v>131</v>
      </c>
      <c r="AC3" t="s">
        <v>131</v>
      </c>
      <c r="AD3" t="s">
        <v>131</v>
      </c>
      <c r="AE3" t="s">
        <v>131</v>
      </c>
      <c r="AF3" t="s">
        <v>131</v>
      </c>
      <c r="AG3" t="s">
        <v>131</v>
      </c>
      <c r="AI3" t="s">
        <v>132</v>
      </c>
      <c r="AJ3" t="s">
        <v>132</v>
      </c>
      <c r="AK3" t="s">
        <v>132</v>
      </c>
      <c r="AL3" t="s">
        <v>132</v>
      </c>
      <c r="AM3" t="s">
        <v>132</v>
      </c>
      <c r="AN3" t="s">
        <v>132</v>
      </c>
      <c r="AO3" t="s">
        <v>132</v>
      </c>
      <c r="AP3" t="s">
        <v>132</v>
      </c>
      <c r="AQ3" t="s">
        <v>132</v>
      </c>
      <c r="AR3" t="s">
        <v>132</v>
      </c>
      <c r="AS3" t="s">
        <v>132</v>
      </c>
      <c r="AT3" t="s">
        <v>132</v>
      </c>
      <c r="AU3" t="s">
        <v>132</v>
      </c>
      <c r="AW3" t="s">
        <v>133</v>
      </c>
      <c r="AX3" t="s">
        <v>133</v>
      </c>
      <c r="AY3" t="s">
        <v>133</v>
      </c>
      <c r="AZ3" t="s">
        <v>133</v>
      </c>
      <c r="BA3" t="s">
        <v>133</v>
      </c>
      <c r="BB3" t="s">
        <v>133</v>
      </c>
      <c r="BC3" t="s">
        <v>133</v>
      </c>
      <c r="BD3" t="s">
        <v>133</v>
      </c>
      <c r="BE3" t="s">
        <v>133</v>
      </c>
      <c r="BF3" t="s">
        <v>133</v>
      </c>
      <c r="BG3" t="s">
        <v>133</v>
      </c>
      <c r="BH3" t="s">
        <v>133</v>
      </c>
      <c r="BI3" t="s">
        <v>133</v>
      </c>
      <c r="BK3" t="s">
        <v>134</v>
      </c>
      <c r="BL3" t="s">
        <v>134</v>
      </c>
      <c r="BM3" t="s">
        <v>134</v>
      </c>
      <c r="BN3" t="s">
        <v>134</v>
      </c>
      <c r="BO3" t="s">
        <v>134</v>
      </c>
      <c r="BP3" t="s">
        <v>134</v>
      </c>
      <c r="BQ3" t="s">
        <v>134</v>
      </c>
      <c r="BR3" t="s">
        <v>134</v>
      </c>
      <c r="BS3" t="s">
        <v>134</v>
      </c>
      <c r="BT3" t="s">
        <v>134</v>
      </c>
      <c r="BU3" t="s">
        <v>134</v>
      </c>
      <c r="BV3" t="s">
        <v>134</v>
      </c>
      <c r="BW3" t="s">
        <v>134</v>
      </c>
      <c r="BX3" t="s">
        <v>134</v>
      </c>
      <c r="BY3" t="s">
        <v>135</v>
      </c>
      <c r="BZ3" t="s">
        <v>135</v>
      </c>
      <c r="CA3" t="s">
        <v>135</v>
      </c>
      <c r="CB3" t="s">
        <v>135</v>
      </c>
      <c r="CD3" t="s">
        <v>134</v>
      </c>
      <c r="CE3" t="s">
        <v>134</v>
      </c>
      <c r="CF3" t="s">
        <v>134</v>
      </c>
      <c r="CG3" t="s">
        <v>134</v>
      </c>
      <c r="CH3" t="s">
        <v>134</v>
      </c>
      <c r="CI3" t="s">
        <v>134</v>
      </c>
      <c r="CJ3" t="s">
        <v>134</v>
      </c>
      <c r="CK3" t="s">
        <v>134</v>
      </c>
      <c r="CL3" t="s">
        <v>134</v>
      </c>
      <c r="CM3" t="s">
        <v>134</v>
      </c>
      <c r="CN3" t="s">
        <v>134</v>
      </c>
      <c r="CO3" t="s">
        <v>134</v>
      </c>
      <c r="CP3" t="s">
        <v>134</v>
      </c>
      <c r="CQ3" t="s">
        <v>134</v>
      </c>
    </row>
    <row r="4" spans="1:95" x14ac:dyDescent="0.3">
      <c r="A4" t="s">
        <v>136</v>
      </c>
      <c r="B4" t="s">
        <v>137</v>
      </c>
      <c r="C4" t="s">
        <v>138</v>
      </c>
      <c r="D4" t="s">
        <v>139</v>
      </c>
      <c r="E4" t="s">
        <v>140</v>
      </c>
      <c r="G4" t="s">
        <v>141</v>
      </c>
      <c r="H4" t="s">
        <v>142</v>
      </c>
      <c r="I4" t="s">
        <v>143</v>
      </c>
      <c r="J4" t="s">
        <v>144</v>
      </c>
      <c r="K4" t="s">
        <v>145</v>
      </c>
      <c r="L4" t="s">
        <v>146</v>
      </c>
      <c r="M4" t="s">
        <v>147</v>
      </c>
      <c r="N4" t="s">
        <v>148</v>
      </c>
      <c r="O4" t="s">
        <v>149</v>
      </c>
      <c r="P4" t="s">
        <v>150</v>
      </c>
      <c r="Q4" t="s">
        <v>151</v>
      </c>
      <c r="R4" t="s">
        <v>152</v>
      </c>
      <c r="S4" t="s">
        <v>1356</v>
      </c>
      <c r="U4" t="s">
        <v>141</v>
      </c>
      <c r="V4" t="s">
        <v>142</v>
      </c>
      <c r="W4" t="s">
        <v>143</v>
      </c>
      <c r="X4" t="s">
        <v>144</v>
      </c>
      <c r="Y4" t="s">
        <v>145</v>
      </c>
      <c r="Z4" t="s">
        <v>146</v>
      </c>
      <c r="AA4" t="s">
        <v>147</v>
      </c>
      <c r="AB4" t="s">
        <v>148</v>
      </c>
      <c r="AC4" t="s">
        <v>149</v>
      </c>
      <c r="AD4" t="s">
        <v>150</v>
      </c>
      <c r="AE4" t="s">
        <v>151</v>
      </c>
      <c r="AF4" t="s">
        <v>152</v>
      </c>
      <c r="AG4" t="s">
        <v>1357</v>
      </c>
      <c r="AI4" t="s">
        <v>141</v>
      </c>
      <c r="AJ4" t="s">
        <v>142</v>
      </c>
      <c r="AK4" t="s">
        <v>143</v>
      </c>
      <c r="AL4" t="s">
        <v>144</v>
      </c>
      <c r="AM4" t="s">
        <v>145</v>
      </c>
      <c r="AN4" t="s">
        <v>146</v>
      </c>
      <c r="AO4" t="s">
        <v>147</v>
      </c>
      <c r="AP4" t="s">
        <v>148</v>
      </c>
      <c r="AQ4" t="s">
        <v>149</v>
      </c>
      <c r="AR4" t="s">
        <v>150</v>
      </c>
      <c r="AS4" t="s">
        <v>151</v>
      </c>
      <c r="AT4" t="s">
        <v>152</v>
      </c>
      <c r="AU4" t="s">
        <v>1358</v>
      </c>
      <c r="AW4" t="s">
        <v>141</v>
      </c>
      <c r="AX4" t="s">
        <v>142</v>
      </c>
      <c r="AY4" t="s">
        <v>143</v>
      </c>
      <c r="AZ4" t="s">
        <v>144</v>
      </c>
      <c r="BA4" t="s">
        <v>145</v>
      </c>
      <c r="BB4" t="s">
        <v>146</v>
      </c>
      <c r="BC4" t="s">
        <v>147</v>
      </c>
      <c r="BD4" t="s">
        <v>148</v>
      </c>
      <c r="BE4" t="s">
        <v>149</v>
      </c>
      <c r="BF4" t="s">
        <v>150</v>
      </c>
      <c r="BG4" t="s">
        <v>151</v>
      </c>
      <c r="BH4" t="s">
        <v>152</v>
      </c>
      <c r="BI4" t="s">
        <v>1359</v>
      </c>
      <c r="BK4" t="s">
        <v>141</v>
      </c>
      <c r="BL4" t="s">
        <v>142</v>
      </c>
      <c r="BM4" t="s">
        <v>143</v>
      </c>
      <c r="BN4" t="s">
        <v>144</v>
      </c>
      <c r="BO4" t="s">
        <v>145</v>
      </c>
      <c r="BP4" t="s">
        <v>146</v>
      </c>
      <c r="BQ4" t="s">
        <v>147</v>
      </c>
      <c r="BR4" t="s">
        <v>148</v>
      </c>
      <c r="BS4" t="s">
        <v>149</v>
      </c>
      <c r="BT4" t="s">
        <v>150</v>
      </c>
      <c r="BU4" t="s">
        <v>151</v>
      </c>
      <c r="BV4" t="s">
        <v>152</v>
      </c>
      <c r="BW4" t="s">
        <v>1360</v>
      </c>
      <c r="BX4" t="s">
        <v>153</v>
      </c>
      <c r="BY4" t="s">
        <v>154</v>
      </c>
      <c r="BZ4" t="s">
        <v>155</v>
      </c>
      <c r="CA4" t="s">
        <v>156</v>
      </c>
      <c r="CB4" t="s">
        <v>157</v>
      </c>
      <c r="CD4" t="s">
        <v>141</v>
      </c>
      <c r="CE4" t="s">
        <v>142</v>
      </c>
      <c r="CF4" t="s">
        <v>143</v>
      </c>
      <c r="CG4" t="s">
        <v>144</v>
      </c>
      <c r="CH4" t="s">
        <v>145</v>
      </c>
      <c r="CI4" t="s">
        <v>146</v>
      </c>
      <c r="CJ4" t="s">
        <v>147</v>
      </c>
      <c r="CK4" t="s">
        <v>148</v>
      </c>
      <c r="CL4" t="s">
        <v>149</v>
      </c>
      <c r="CM4" t="s">
        <v>150</v>
      </c>
      <c r="CN4" t="s">
        <v>151</v>
      </c>
      <c r="CO4" t="s">
        <v>152</v>
      </c>
      <c r="CP4" t="s">
        <v>1361</v>
      </c>
      <c r="CQ4" t="s">
        <v>153</v>
      </c>
    </row>
    <row r="5" spans="1:95" x14ac:dyDescent="0.3">
      <c r="A5" t="s">
        <v>158</v>
      </c>
      <c r="B5" t="s">
        <v>159</v>
      </c>
      <c r="C5" t="s">
        <v>160</v>
      </c>
      <c r="D5" t="s">
        <v>161</v>
      </c>
      <c r="E5">
        <v>7.0000000000000007E-2</v>
      </c>
      <c r="G5">
        <v>510181.67</v>
      </c>
      <c r="H5">
        <v>551274.59624999994</v>
      </c>
      <c r="I5">
        <v>344006.92499999993</v>
      </c>
      <c r="J5">
        <v>364099.46899999998</v>
      </c>
      <c r="K5">
        <v>570971.79300000006</v>
      </c>
      <c r="L5">
        <v>441024.04</v>
      </c>
      <c r="M5">
        <v>336111.57</v>
      </c>
      <c r="N5">
        <v>604480.12</v>
      </c>
      <c r="O5">
        <v>510184.47</v>
      </c>
      <c r="P5">
        <v>301400.81000000006</v>
      </c>
      <c r="Q5">
        <v>340450.13500000001</v>
      </c>
      <c r="R5">
        <v>379072.63499999989</v>
      </c>
      <c r="S5">
        <v>5253258.2332499996</v>
      </c>
      <c r="U5">
        <v>173883.128</v>
      </c>
      <c r="V5">
        <v>47493.580999999998</v>
      </c>
      <c r="W5">
        <v>38744.186999999998</v>
      </c>
      <c r="X5">
        <v>229786.16200000001</v>
      </c>
      <c r="Y5">
        <v>63075.642</v>
      </c>
      <c r="Z5">
        <v>59585.521999999997</v>
      </c>
      <c r="AA5">
        <v>89350.5</v>
      </c>
      <c r="AB5">
        <v>49149.125</v>
      </c>
      <c r="AC5">
        <v>47980.439999999995</v>
      </c>
      <c r="AD5">
        <v>172836.6</v>
      </c>
      <c r="AE5">
        <v>50185.079999999994</v>
      </c>
      <c r="AF5">
        <v>47783.4</v>
      </c>
      <c r="AG5">
        <v>1069853.3670000001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W5">
        <v>684064.79799999995</v>
      </c>
      <c r="AX5">
        <v>598768.17724999995</v>
      </c>
      <c r="AY5">
        <v>382751.11199999991</v>
      </c>
      <c r="AZ5">
        <v>593885.63100000005</v>
      </c>
      <c r="BA5">
        <v>634047.43500000006</v>
      </c>
      <c r="BB5">
        <v>500609.56199999998</v>
      </c>
      <c r="BC5">
        <v>425462.07</v>
      </c>
      <c r="BD5">
        <v>653629.245</v>
      </c>
      <c r="BE5">
        <v>558164.91</v>
      </c>
      <c r="BF5">
        <v>474237.41</v>
      </c>
      <c r="BG5">
        <v>390635.21500000003</v>
      </c>
      <c r="BH5">
        <v>426856.03499999997</v>
      </c>
      <c r="BI5">
        <v>6323111.6002500001</v>
      </c>
      <c r="BK5">
        <v>47884.535860000004</v>
      </c>
      <c r="BL5">
        <v>41913.772407500001</v>
      </c>
      <c r="BM5">
        <v>26792.577839999991</v>
      </c>
      <c r="BN5">
        <v>41571.994170000005</v>
      </c>
      <c r="BO5">
        <v>44383.320450000007</v>
      </c>
      <c r="BP5">
        <v>35042.669340000008</v>
      </c>
      <c r="BQ5">
        <v>29782.344900000004</v>
      </c>
      <c r="BR5">
        <v>45754.047150000006</v>
      </c>
      <c r="BS5">
        <v>39071.543700000009</v>
      </c>
      <c r="BT5">
        <v>33196.618700000006</v>
      </c>
      <c r="BU5">
        <v>27344.46505000001</v>
      </c>
      <c r="BV5">
        <v>29879.922449999998</v>
      </c>
      <c r="BW5">
        <v>442617.81201750005</v>
      </c>
      <c r="BX5">
        <v>7.0000000000000021E-2</v>
      </c>
      <c r="BY5">
        <v>319000</v>
      </c>
      <c r="BZ5">
        <v>5.0449844976227766E-2</v>
      </c>
      <c r="CA5">
        <v>-123617.81201750012</v>
      </c>
      <c r="CB5">
        <v>0.35</v>
      </c>
      <c r="CD5">
        <v>34510.963012794557</v>
      </c>
      <c r="CE5">
        <v>30207.761718960966</v>
      </c>
      <c r="CF5">
        <v>19309.734264878785</v>
      </c>
      <c r="CG5">
        <v>29961.438017559209</v>
      </c>
      <c r="CH5">
        <v>31987.594803324853</v>
      </c>
      <c r="CI5">
        <v>25255.674796517284</v>
      </c>
      <c r="CJ5">
        <v>21464.495474764968</v>
      </c>
      <c r="CK5">
        <v>32975.494082178797</v>
      </c>
      <c r="CL5">
        <v>28159.333180670124</v>
      </c>
      <c r="CM5">
        <v>23925.203816427769</v>
      </c>
      <c r="CN5">
        <v>19707.486039005405</v>
      </c>
      <c r="CO5">
        <v>21534.820792917253</v>
      </c>
      <c r="CP5">
        <v>319000</v>
      </c>
      <c r="CQ5">
        <v>5.0449844976227766E-2</v>
      </c>
    </row>
    <row r="6" spans="1:95" x14ac:dyDescent="0.3">
      <c r="A6" t="s">
        <v>158</v>
      </c>
      <c r="B6" t="s">
        <v>162</v>
      </c>
      <c r="C6" t="s">
        <v>160</v>
      </c>
      <c r="D6" t="s">
        <v>161</v>
      </c>
      <c r="E6">
        <v>7.0000000000000007E-2</v>
      </c>
      <c r="G6">
        <v>534178.43775000004</v>
      </c>
      <c r="H6">
        <v>743029.70275000005</v>
      </c>
      <c r="I6">
        <v>1011844.3601250002</v>
      </c>
      <c r="J6">
        <v>536461.73699999996</v>
      </c>
      <c r="K6">
        <v>1162971.1314999999</v>
      </c>
      <c r="L6">
        <v>659205.32699999993</v>
      </c>
      <c r="M6">
        <v>787719.52500000014</v>
      </c>
      <c r="N6">
        <v>1064378.395</v>
      </c>
      <c r="O6">
        <v>444348.17400000006</v>
      </c>
      <c r="P6">
        <v>755733.17749999999</v>
      </c>
      <c r="Q6">
        <v>828169.62749999994</v>
      </c>
      <c r="R6">
        <v>816329.0675</v>
      </c>
      <c r="S6">
        <v>9344368.6626250017</v>
      </c>
      <c r="U6">
        <v>61021.179999999993</v>
      </c>
      <c r="V6">
        <v>46368.349999999991</v>
      </c>
      <c r="W6">
        <v>27985.895999999997</v>
      </c>
      <c r="X6">
        <v>22628.885999999999</v>
      </c>
      <c r="Y6">
        <v>14203.411999999998</v>
      </c>
      <c r="Z6">
        <v>10370.687999999998</v>
      </c>
      <c r="AA6">
        <v>18958.306999999997</v>
      </c>
      <c r="AB6">
        <v>19690.48</v>
      </c>
      <c r="AC6">
        <v>15974.504999999996</v>
      </c>
      <c r="AD6">
        <v>20940.465</v>
      </c>
      <c r="AE6">
        <v>25372.01</v>
      </c>
      <c r="AF6">
        <v>16439.535</v>
      </c>
      <c r="AG6">
        <v>299953.71399999998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W6">
        <v>595199.61774999998</v>
      </c>
      <c r="AX6">
        <v>789398.05275000003</v>
      </c>
      <c r="AY6">
        <v>1039830.2561250002</v>
      </c>
      <c r="AZ6">
        <v>559090.62299999991</v>
      </c>
      <c r="BA6">
        <v>1177174.5434999999</v>
      </c>
      <c r="BB6">
        <v>669576.0149999999</v>
      </c>
      <c r="BC6">
        <v>806677.83200000017</v>
      </c>
      <c r="BD6">
        <v>1084068.875</v>
      </c>
      <c r="BE6">
        <v>460322.67900000006</v>
      </c>
      <c r="BF6">
        <v>776673.64249999996</v>
      </c>
      <c r="BG6">
        <v>853541.63749999995</v>
      </c>
      <c r="BH6">
        <v>832768.60250000004</v>
      </c>
      <c r="BI6">
        <v>9644322.3766250014</v>
      </c>
      <c r="BK6">
        <v>41663.973242499997</v>
      </c>
      <c r="BL6">
        <v>55257.863692500003</v>
      </c>
      <c r="BM6">
        <v>72788.117928750027</v>
      </c>
      <c r="BN6">
        <v>39136.343610000004</v>
      </c>
      <c r="BO6">
        <v>82402.218045000016</v>
      </c>
      <c r="BP6">
        <v>46870.321049999999</v>
      </c>
      <c r="BQ6">
        <v>56467.44824000002</v>
      </c>
      <c r="BR6">
        <v>75884.821249999994</v>
      </c>
      <c r="BS6">
        <v>32222.587530000008</v>
      </c>
      <c r="BT6">
        <v>54367.154975000005</v>
      </c>
      <c r="BU6">
        <v>59747.914625000019</v>
      </c>
      <c r="BV6">
        <v>58293.802175000019</v>
      </c>
      <c r="BW6">
        <v>675102.56636374991</v>
      </c>
      <c r="BX6">
        <v>6.9999999999999979E-2</v>
      </c>
      <c r="BY6">
        <v>461108</v>
      </c>
      <c r="BZ6">
        <v>4.7811342465862619E-2</v>
      </c>
      <c r="CA6">
        <v>-213994.56636374991</v>
      </c>
      <c r="CB6">
        <v>0.21</v>
      </c>
      <c r="CD6">
        <v>28457.292759795771</v>
      </c>
      <c r="CE6">
        <v>37742.180641915329</v>
      </c>
      <c r="CF6">
        <v>49715.680481958028</v>
      </c>
      <c r="CG6">
        <v>26730.873245705483</v>
      </c>
      <c r="CH6">
        <v>56282.295241373999</v>
      </c>
      <c r="CI6">
        <v>32013.328160092558</v>
      </c>
      <c r="CJ6">
        <v>38568.350085371603</v>
      </c>
      <c r="CK6">
        <v>51830.788239207417</v>
      </c>
      <c r="CL6">
        <v>22008.645250472349</v>
      </c>
      <c r="CM6">
        <v>37133.809505776451</v>
      </c>
      <c r="CN6">
        <v>40808.97153938566</v>
      </c>
      <c r="CO6">
        <v>39815.784848945317</v>
      </c>
      <c r="CP6">
        <v>461108</v>
      </c>
      <c r="CQ6">
        <v>4.7811342465862619E-2</v>
      </c>
    </row>
    <row r="7" spans="1:95" x14ac:dyDescent="0.3">
      <c r="A7" t="s">
        <v>158</v>
      </c>
      <c r="B7" t="s">
        <v>163</v>
      </c>
      <c r="C7" t="s">
        <v>160</v>
      </c>
      <c r="D7" t="s">
        <v>161</v>
      </c>
      <c r="E7">
        <v>7.0000000000000007E-2</v>
      </c>
      <c r="G7">
        <v>1303180.7914127423</v>
      </c>
      <c r="H7">
        <v>1567948.5961911357</v>
      </c>
      <c r="I7">
        <v>1442675.2577793167</v>
      </c>
      <c r="J7">
        <v>1042806.6692289936</v>
      </c>
      <c r="K7">
        <v>1155596.5908781164</v>
      </c>
      <c r="L7">
        <v>1134751.1618421052</v>
      </c>
      <c r="M7">
        <v>1006945.6686057248</v>
      </c>
      <c r="N7">
        <v>1295754.4131809787</v>
      </c>
      <c r="O7">
        <v>1394314.8878171744</v>
      </c>
      <c r="P7">
        <v>1490831.2745152351</v>
      </c>
      <c r="Q7">
        <v>1311281.0415512463</v>
      </c>
      <c r="R7">
        <v>1113868.5534903044</v>
      </c>
      <c r="S7">
        <v>15259954.906493075</v>
      </c>
      <c r="U7">
        <v>86467</v>
      </c>
      <c r="V7">
        <v>29537.69</v>
      </c>
      <c r="W7">
        <v>48663.839999999997</v>
      </c>
      <c r="X7">
        <v>85153.18</v>
      </c>
      <c r="Y7">
        <v>44500.2</v>
      </c>
      <c r="Z7">
        <v>55854.75</v>
      </c>
      <c r="AA7">
        <v>91488.420000000013</v>
      </c>
      <c r="AB7">
        <v>34255.130000000005</v>
      </c>
      <c r="AC7">
        <v>56411.600000000006</v>
      </c>
      <c r="AD7">
        <v>102575.55</v>
      </c>
      <c r="AE7">
        <v>52665</v>
      </c>
      <c r="AF7">
        <v>59751.58</v>
      </c>
      <c r="AG7">
        <v>747323.93999999983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W7">
        <v>1389647.7914127423</v>
      </c>
      <c r="AX7">
        <v>1597486.2861911356</v>
      </c>
      <c r="AY7">
        <v>1491339.0977793168</v>
      </c>
      <c r="AZ7">
        <v>1127959.8492289935</v>
      </c>
      <c r="BA7">
        <v>1200096.7908781164</v>
      </c>
      <c r="BB7">
        <v>1190605.9118421052</v>
      </c>
      <c r="BC7">
        <v>1098434.0886057247</v>
      </c>
      <c r="BD7">
        <v>1330009.5431809789</v>
      </c>
      <c r="BE7">
        <v>1450726.4878171743</v>
      </c>
      <c r="BF7">
        <v>1593406.8245152354</v>
      </c>
      <c r="BG7">
        <v>1363946.0415512463</v>
      </c>
      <c r="BH7">
        <v>1173620.1334903045</v>
      </c>
      <c r="BI7">
        <v>16007278.846493073</v>
      </c>
      <c r="BK7">
        <v>97275.345398891979</v>
      </c>
      <c r="BL7">
        <v>111824.04003337953</v>
      </c>
      <c r="BM7">
        <v>104393.7368445522</v>
      </c>
      <c r="BN7">
        <v>78957.189446029559</v>
      </c>
      <c r="BO7">
        <v>84006.775361468157</v>
      </c>
      <c r="BP7">
        <v>83342.413828947378</v>
      </c>
      <c r="BQ7">
        <v>76890.386202400739</v>
      </c>
      <c r="BR7">
        <v>93100.668022668528</v>
      </c>
      <c r="BS7">
        <v>101550.85414720223</v>
      </c>
      <c r="BT7">
        <v>111538.47771606648</v>
      </c>
      <c r="BU7">
        <v>95476.222908587268</v>
      </c>
      <c r="BV7">
        <v>82153.409344321335</v>
      </c>
      <c r="BW7">
        <v>1120509.5192545154</v>
      </c>
      <c r="BX7">
        <v>7.0000000000000021E-2</v>
      </c>
      <c r="BY7">
        <v>1525346</v>
      </c>
      <c r="BZ7">
        <v>9.5290774567482334E-2</v>
      </c>
      <c r="CA7">
        <v>404836.48074548459</v>
      </c>
      <c r="CB7">
        <v>0.28000000000000003</v>
      </c>
      <c r="CD7">
        <v>132420.61441971135</v>
      </c>
      <c r="CE7">
        <v>152225.70557208409</v>
      </c>
      <c r="CF7">
        <v>142110.85777016138</v>
      </c>
      <c r="CG7">
        <v>107484.16771405138</v>
      </c>
      <c r="CH7">
        <v>114358.15275872558</v>
      </c>
      <c r="CI7">
        <v>113453.7595440578</v>
      </c>
      <c r="CJ7">
        <v>104670.63511456604</v>
      </c>
      <c r="CK7">
        <v>126737.6395518588</v>
      </c>
      <c r="CL7">
        <v>138240.85070966178</v>
      </c>
      <c r="CM7">
        <v>151836.97050916919</v>
      </c>
      <c r="CN7">
        <v>129971.47476766972</v>
      </c>
      <c r="CO7">
        <v>111835.17156828313</v>
      </c>
      <c r="CP7">
        <v>1525346.0000000002</v>
      </c>
      <c r="CQ7">
        <v>9.5290774567482348E-2</v>
      </c>
    </row>
    <row r="8" spans="1:95" x14ac:dyDescent="0.3">
      <c r="A8" t="s">
        <v>158</v>
      </c>
      <c r="B8" t="s">
        <v>164</v>
      </c>
      <c r="C8" t="s">
        <v>160</v>
      </c>
      <c r="D8" t="s">
        <v>161</v>
      </c>
      <c r="E8">
        <v>7.0000000000000007E-2</v>
      </c>
      <c r="G8">
        <v>640471.47899999993</v>
      </c>
      <c r="H8">
        <v>576648.07500000007</v>
      </c>
      <c r="I8">
        <v>598785.65437500016</v>
      </c>
      <c r="J8">
        <v>195238.98749999999</v>
      </c>
      <c r="K8">
        <v>482116.15500000003</v>
      </c>
      <c r="L8">
        <v>252091.393125</v>
      </c>
      <c r="M8">
        <v>459363.50999999989</v>
      </c>
      <c r="N8">
        <v>295319.28374999994</v>
      </c>
      <c r="O8">
        <v>380179.815</v>
      </c>
      <c r="P8">
        <v>1011677.0099999995</v>
      </c>
      <c r="Q8">
        <v>535895.09000000008</v>
      </c>
      <c r="R8">
        <v>532962.27750000008</v>
      </c>
      <c r="S8">
        <v>5960748.7302499991</v>
      </c>
      <c r="U8">
        <v>83134.2</v>
      </c>
      <c r="V8">
        <v>13286.85</v>
      </c>
      <c r="W8">
        <v>19010.775000000001</v>
      </c>
      <c r="X8">
        <v>75802.880000000005</v>
      </c>
      <c r="Y8">
        <v>18174.66</v>
      </c>
      <c r="Z8">
        <v>23590.685000000001</v>
      </c>
      <c r="AA8">
        <v>96034.36</v>
      </c>
      <c r="AB8">
        <v>28459.200000000004</v>
      </c>
      <c r="AC8">
        <v>26728.129999999997</v>
      </c>
      <c r="AD8">
        <v>89097.574999999997</v>
      </c>
      <c r="AE8">
        <v>14383.5</v>
      </c>
      <c r="AF8">
        <v>17766.3</v>
      </c>
      <c r="AG8">
        <v>505469.11500000011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W8">
        <v>723605.67899999989</v>
      </c>
      <c r="AX8">
        <v>589934.92500000005</v>
      </c>
      <c r="AY8">
        <v>617796.42937500018</v>
      </c>
      <c r="AZ8">
        <v>271041.86750000005</v>
      </c>
      <c r="BA8">
        <v>500290.81499999994</v>
      </c>
      <c r="BB8">
        <v>275682.078125</v>
      </c>
      <c r="BC8">
        <v>555397.87</v>
      </c>
      <c r="BD8">
        <v>323778.48374999996</v>
      </c>
      <c r="BE8">
        <v>406907.94500000001</v>
      </c>
      <c r="BF8">
        <v>1100774.5849999995</v>
      </c>
      <c r="BG8">
        <v>550278.59000000008</v>
      </c>
      <c r="BH8">
        <v>550728.57750000013</v>
      </c>
      <c r="BI8">
        <v>6466217.8452500012</v>
      </c>
      <c r="BK8">
        <v>50652.397529999995</v>
      </c>
      <c r="BL8">
        <v>41295.44475000001</v>
      </c>
      <c r="BM8">
        <v>43245.750056250014</v>
      </c>
      <c r="BN8">
        <v>18972.930725000009</v>
      </c>
      <c r="BO8">
        <v>35020.357049999999</v>
      </c>
      <c r="BP8">
        <v>19297.745468750003</v>
      </c>
      <c r="BQ8">
        <v>38877.850900000005</v>
      </c>
      <c r="BR8">
        <v>22664.4938625</v>
      </c>
      <c r="BS8">
        <v>28483.556150000004</v>
      </c>
      <c r="BT8">
        <v>77054.220949999988</v>
      </c>
      <c r="BU8">
        <v>38519.501300000011</v>
      </c>
      <c r="BV8">
        <v>38551.000425000013</v>
      </c>
      <c r="BW8">
        <v>452635.24916750018</v>
      </c>
      <c r="BX8">
        <v>7.0000000000000007E-2</v>
      </c>
      <c r="BY8">
        <v>592000</v>
      </c>
      <c r="BZ8">
        <v>9.1552746005128083E-2</v>
      </c>
      <c r="CA8">
        <v>139364.75083249988</v>
      </c>
      <c r="CB8">
        <v>0.22</v>
      </c>
      <c r="CD8">
        <v>66248.086937355227</v>
      </c>
      <c r="CE8">
        <v>54010.162348079291</v>
      </c>
      <c r="CF8">
        <v>56560.95958144444</v>
      </c>
      <c r="CG8">
        <v>24814.627251983085</v>
      </c>
      <c r="CH8">
        <v>45802.99791439352</v>
      </c>
      <c r="CI8">
        <v>25239.451276744003</v>
      </c>
      <c r="CJ8">
        <v>50848.200123899143</v>
      </c>
      <c r="CK8">
        <v>29642.809284689236</v>
      </c>
      <c r="CL8">
        <v>37253.53973605363</v>
      </c>
      <c r="CM8">
        <v>100778.93598940525</v>
      </c>
      <c r="CN8">
        <v>50379.51598233002</v>
      </c>
      <c r="CO8">
        <v>50420.713573623005</v>
      </c>
      <c r="CP8">
        <v>591999.99999999988</v>
      </c>
      <c r="CQ8">
        <v>9.1552746005128069E-2</v>
      </c>
    </row>
    <row r="9" spans="1:95" x14ac:dyDescent="0.3">
      <c r="A9" t="s">
        <v>158</v>
      </c>
      <c r="B9" t="s">
        <v>165</v>
      </c>
      <c r="C9" t="s">
        <v>166</v>
      </c>
      <c r="D9" t="s">
        <v>161</v>
      </c>
      <c r="E9">
        <v>7.0000000000000007E-2</v>
      </c>
      <c r="G9">
        <v>493577.3</v>
      </c>
      <c r="H9">
        <v>327275.93</v>
      </c>
      <c r="I9">
        <v>338844.55</v>
      </c>
      <c r="J9">
        <v>333816.31</v>
      </c>
      <c r="K9">
        <v>351774.22000000003</v>
      </c>
      <c r="L9">
        <v>298244.94</v>
      </c>
      <c r="M9">
        <v>487560.11</v>
      </c>
      <c r="N9">
        <v>443474.9360000001</v>
      </c>
      <c r="O9">
        <v>413909.83</v>
      </c>
      <c r="P9">
        <v>750000</v>
      </c>
      <c r="Q9">
        <v>724651.9</v>
      </c>
      <c r="R9">
        <v>844378.1</v>
      </c>
      <c r="S9">
        <v>5807508.1260000002</v>
      </c>
      <c r="U9">
        <v>218610</v>
      </c>
      <c r="V9">
        <v>12480</v>
      </c>
      <c r="W9">
        <v>17754</v>
      </c>
      <c r="X9">
        <v>171448</v>
      </c>
      <c r="Y9">
        <v>67514</v>
      </c>
      <c r="Z9">
        <v>59170</v>
      </c>
      <c r="AA9">
        <v>79314</v>
      </c>
      <c r="AB9">
        <v>17886</v>
      </c>
      <c r="AC9">
        <v>77844</v>
      </c>
      <c r="AD9">
        <v>24484</v>
      </c>
      <c r="AE9">
        <v>26400</v>
      </c>
      <c r="AF9">
        <v>30800</v>
      </c>
      <c r="AG9">
        <v>803704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W9">
        <v>712187.3</v>
      </c>
      <c r="AX9">
        <v>339755.93</v>
      </c>
      <c r="AY9">
        <v>356598.55</v>
      </c>
      <c r="AZ9">
        <v>505264.31</v>
      </c>
      <c r="BA9">
        <v>419288.22</v>
      </c>
      <c r="BB9">
        <v>357414.94</v>
      </c>
      <c r="BC9">
        <v>566874.11</v>
      </c>
      <c r="BD9">
        <v>461360.9360000001</v>
      </c>
      <c r="BE9">
        <v>491753.83</v>
      </c>
      <c r="BF9">
        <v>774484</v>
      </c>
      <c r="BG9">
        <v>751051.9</v>
      </c>
      <c r="BH9">
        <v>875178.1</v>
      </c>
      <c r="BI9">
        <v>6611212.1260000002</v>
      </c>
      <c r="BK9">
        <v>49853.110999999997</v>
      </c>
      <c r="BL9">
        <v>23782.915099999998</v>
      </c>
      <c r="BM9">
        <v>24961.898500000003</v>
      </c>
      <c r="BN9">
        <v>35368.501700000001</v>
      </c>
      <c r="BO9">
        <v>29350.175400000004</v>
      </c>
      <c r="BP9">
        <v>25019.045800000004</v>
      </c>
      <c r="BQ9">
        <v>39681.187700000002</v>
      </c>
      <c r="BR9">
        <v>32295.265520000004</v>
      </c>
      <c r="BS9">
        <v>34422.768100000001</v>
      </c>
      <c r="BT9">
        <v>54213.880000000005</v>
      </c>
      <c r="BU9">
        <v>52573.633000000009</v>
      </c>
      <c r="BV9">
        <v>61262.466999999997</v>
      </c>
      <c r="BW9">
        <v>462784.84882000007</v>
      </c>
      <c r="BX9">
        <v>7.0000000000000007E-2</v>
      </c>
      <c r="BY9">
        <v>500000</v>
      </c>
      <c r="BZ9">
        <v>7.5629096521293501E-2</v>
      </c>
      <c r="CA9">
        <v>37215.151179999928</v>
      </c>
      <c r="CB9">
        <v>0.34</v>
      </c>
      <c r="CD9">
        <v>53862.082052939411</v>
      </c>
      <c r="CE9">
        <v>25695.434023651836</v>
      </c>
      <c r="CF9">
        <v>26969.226157303307</v>
      </c>
      <c r="CG9">
        <v>38212.683269754758</v>
      </c>
      <c r="CH9">
        <v>31710.389260621345</v>
      </c>
      <c r="CI9">
        <v>27030.968995412324</v>
      </c>
      <c r="CJ9">
        <v>42872.176780612346</v>
      </c>
      <c r="CK9">
        <v>34892.310759898319</v>
      </c>
      <c r="CL9">
        <v>37190.897873785754</v>
      </c>
      <c r="CM9">
        <v>58573.525190197477</v>
      </c>
      <c r="CN9">
        <v>56801.376637600879</v>
      </c>
      <c r="CO9">
        <v>66188.928998222254</v>
      </c>
      <c r="CP9">
        <v>500000</v>
      </c>
      <c r="CQ9">
        <v>7.5629096521293501E-2</v>
      </c>
    </row>
    <row r="10" spans="1:95" x14ac:dyDescent="0.3">
      <c r="A10" t="s">
        <v>158</v>
      </c>
      <c r="B10" t="s">
        <v>167</v>
      </c>
      <c r="C10" t="s">
        <v>168</v>
      </c>
      <c r="D10" t="s">
        <v>161</v>
      </c>
      <c r="E10">
        <v>7.0000000000000007E-2</v>
      </c>
      <c r="G10">
        <v>163000</v>
      </c>
      <c r="H10">
        <v>160300</v>
      </c>
      <c r="I10">
        <v>146110</v>
      </c>
      <c r="J10">
        <v>144190</v>
      </c>
      <c r="K10">
        <v>142560</v>
      </c>
      <c r="L10">
        <v>126730</v>
      </c>
      <c r="M10">
        <v>138700</v>
      </c>
      <c r="N10">
        <v>141930</v>
      </c>
      <c r="O10">
        <v>148340</v>
      </c>
      <c r="P10">
        <v>146670</v>
      </c>
      <c r="Q10">
        <v>152250</v>
      </c>
      <c r="R10">
        <v>162150</v>
      </c>
      <c r="S10">
        <v>1772930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W10">
        <v>163000</v>
      </c>
      <c r="AX10">
        <v>160300</v>
      </c>
      <c r="AY10">
        <v>146110</v>
      </c>
      <c r="AZ10">
        <v>144190</v>
      </c>
      <c r="BA10">
        <v>142560</v>
      </c>
      <c r="BB10">
        <v>126730</v>
      </c>
      <c r="BC10">
        <v>138700</v>
      </c>
      <c r="BD10">
        <v>141930</v>
      </c>
      <c r="BE10">
        <v>148340</v>
      </c>
      <c r="BF10">
        <v>146670</v>
      </c>
      <c r="BG10">
        <v>152250</v>
      </c>
      <c r="BH10">
        <v>162150</v>
      </c>
      <c r="BI10">
        <v>1772930</v>
      </c>
      <c r="BK10">
        <v>11410.000000000002</v>
      </c>
      <c r="BL10">
        <v>11221.000000000002</v>
      </c>
      <c r="BM10">
        <v>10227.700000000001</v>
      </c>
      <c r="BN10">
        <v>10093.299999999999</v>
      </c>
      <c r="BO10">
        <v>9979.2000000000007</v>
      </c>
      <c r="BP10">
        <v>8871.1</v>
      </c>
      <c r="BQ10">
        <v>9709.0000000000018</v>
      </c>
      <c r="BR10">
        <v>9935.1</v>
      </c>
      <c r="BS10">
        <v>10383.799999999999</v>
      </c>
      <c r="BT10">
        <v>10266.9</v>
      </c>
      <c r="BU10">
        <v>10657.500000000002</v>
      </c>
      <c r="BV10">
        <v>11350.500000000002</v>
      </c>
      <c r="BW10">
        <v>124105.10000000003</v>
      </c>
      <c r="BX10">
        <v>7.0000000000000021E-2</v>
      </c>
      <c r="BY10">
        <v>100000</v>
      </c>
      <c r="BZ10">
        <v>5.6403806128837573E-2</v>
      </c>
      <c r="CA10">
        <v>-24105.100000000035</v>
      </c>
      <c r="CB10">
        <v>0.4</v>
      </c>
      <c r="CD10">
        <v>9193.820399000524</v>
      </c>
      <c r="CE10">
        <v>9041.5301224526629</v>
      </c>
      <c r="CF10">
        <v>8241.1601134844586</v>
      </c>
      <c r="CG10">
        <v>8132.8648057170894</v>
      </c>
      <c r="CH10">
        <v>8040.9266017270847</v>
      </c>
      <c r="CI10">
        <v>7148.0543507075854</v>
      </c>
      <c r="CJ10">
        <v>7823.2079100697711</v>
      </c>
      <c r="CK10">
        <v>8005.3922038659166</v>
      </c>
      <c r="CL10">
        <v>8366.9406011517658</v>
      </c>
      <c r="CM10">
        <v>8272.7462449166069</v>
      </c>
      <c r="CN10">
        <v>8587.4794831155214</v>
      </c>
      <c r="CO10">
        <v>9145.8771637910122</v>
      </c>
      <c r="CP10">
        <v>100000</v>
      </c>
      <c r="CQ10">
        <v>5.6403806128837573E-2</v>
      </c>
    </row>
    <row r="11" spans="1:95" x14ac:dyDescent="0.3">
      <c r="A11" t="s">
        <v>158</v>
      </c>
      <c r="B11" t="s">
        <v>169</v>
      </c>
      <c r="C11" t="s">
        <v>168</v>
      </c>
      <c r="D11" t="s">
        <v>161</v>
      </c>
      <c r="E11">
        <v>7.0000000000000007E-2</v>
      </c>
      <c r="G11">
        <v>479300</v>
      </c>
      <c r="H11">
        <v>405300</v>
      </c>
      <c r="I11">
        <v>370550</v>
      </c>
      <c r="J11">
        <v>373250</v>
      </c>
      <c r="K11">
        <v>379250</v>
      </c>
      <c r="L11">
        <v>384070</v>
      </c>
      <c r="M11">
        <v>441140</v>
      </c>
      <c r="N11">
        <v>381600</v>
      </c>
      <c r="O11">
        <v>355270</v>
      </c>
      <c r="P11">
        <v>404100</v>
      </c>
      <c r="Q11">
        <v>416350</v>
      </c>
      <c r="R11">
        <v>498800</v>
      </c>
      <c r="S11">
        <v>4888980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W11">
        <v>479300</v>
      </c>
      <c r="AX11">
        <v>405300</v>
      </c>
      <c r="AY11">
        <v>370550</v>
      </c>
      <c r="AZ11">
        <v>373250</v>
      </c>
      <c r="BA11">
        <v>379250</v>
      </c>
      <c r="BB11">
        <v>384070</v>
      </c>
      <c r="BC11">
        <v>441140</v>
      </c>
      <c r="BD11">
        <v>381600</v>
      </c>
      <c r="BE11">
        <v>355270</v>
      </c>
      <c r="BF11">
        <v>404100</v>
      </c>
      <c r="BG11">
        <v>416350</v>
      </c>
      <c r="BH11">
        <v>498800</v>
      </c>
      <c r="BI11">
        <v>4888980</v>
      </c>
      <c r="BK11">
        <v>33551</v>
      </c>
      <c r="BL11">
        <v>28371.000000000004</v>
      </c>
      <c r="BM11">
        <v>25938.500000000004</v>
      </c>
      <c r="BN11">
        <v>26127.500000000004</v>
      </c>
      <c r="BO11">
        <v>26547.500000000004</v>
      </c>
      <c r="BP11">
        <v>26884.9</v>
      </c>
      <c r="BQ11">
        <v>30879.800000000003</v>
      </c>
      <c r="BR11">
        <v>26712.000000000004</v>
      </c>
      <c r="BS11">
        <v>24868.9</v>
      </c>
      <c r="BT11">
        <v>28287.000000000004</v>
      </c>
      <c r="BU11">
        <v>29144.500000000004</v>
      </c>
      <c r="BV11">
        <v>34916</v>
      </c>
      <c r="BW11">
        <v>342228.60000000003</v>
      </c>
      <c r="BX11">
        <v>7.0000000000000007E-2</v>
      </c>
      <c r="BY11">
        <v>300000</v>
      </c>
      <c r="BZ11">
        <v>6.1362492789907096E-2</v>
      </c>
      <c r="CA11">
        <v>-42228.600000000035</v>
      </c>
      <c r="CB11">
        <v>0.4</v>
      </c>
      <c r="CD11">
        <v>29411.042794202473</v>
      </c>
      <c r="CE11">
        <v>24870.218327749342</v>
      </c>
      <c r="CF11">
        <v>22737.871703300076</v>
      </c>
      <c r="CG11">
        <v>22903.550433832825</v>
      </c>
      <c r="CH11">
        <v>23271.725390572265</v>
      </c>
      <c r="CI11">
        <v>23567.492605819614</v>
      </c>
      <c r="CJ11">
        <v>27069.450069339615</v>
      </c>
      <c r="CK11">
        <v>23415.927248628548</v>
      </c>
      <c r="CL11">
        <v>21800.252813470295</v>
      </c>
      <c r="CM11">
        <v>24796.583336401454</v>
      </c>
      <c r="CN11">
        <v>25548.273873077815</v>
      </c>
      <c r="CO11">
        <v>30607.611403605661</v>
      </c>
      <c r="CP11">
        <v>300000</v>
      </c>
      <c r="CQ11">
        <v>6.1362492789907096E-2</v>
      </c>
    </row>
    <row r="12" spans="1:95" x14ac:dyDescent="0.3">
      <c r="A12" t="s">
        <v>158</v>
      </c>
      <c r="B12" t="s">
        <v>170</v>
      </c>
      <c r="C12" t="s">
        <v>160</v>
      </c>
      <c r="E12">
        <v>0.02</v>
      </c>
      <c r="G12">
        <v>135000</v>
      </c>
      <c r="H12">
        <v>135000</v>
      </c>
      <c r="I12">
        <v>135000</v>
      </c>
      <c r="J12">
        <v>135000</v>
      </c>
      <c r="K12">
        <v>135000</v>
      </c>
      <c r="L12">
        <v>135000</v>
      </c>
      <c r="M12">
        <v>135000</v>
      </c>
      <c r="N12">
        <v>135000</v>
      </c>
      <c r="O12">
        <v>135000</v>
      </c>
      <c r="P12">
        <v>135000</v>
      </c>
      <c r="Q12">
        <v>135000</v>
      </c>
      <c r="R12">
        <v>135000</v>
      </c>
      <c r="S12">
        <v>1620000</v>
      </c>
      <c r="U12">
        <v>10000</v>
      </c>
      <c r="V12">
        <v>10000</v>
      </c>
      <c r="W12">
        <v>10000</v>
      </c>
      <c r="X12">
        <v>10000</v>
      </c>
      <c r="Y12">
        <v>10000</v>
      </c>
      <c r="Z12">
        <v>10000</v>
      </c>
      <c r="AA12">
        <v>10000</v>
      </c>
      <c r="AB12">
        <v>10000</v>
      </c>
      <c r="AC12">
        <v>10000</v>
      </c>
      <c r="AD12">
        <v>10000</v>
      </c>
      <c r="AE12">
        <v>10000</v>
      </c>
      <c r="AF12">
        <v>10000</v>
      </c>
      <c r="AG12">
        <v>120000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W12">
        <v>145000</v>
      </c>
      <c r="AX12">
        <v>145000</v>
      </c>
      <c r="AY12">
        <v>145000</v>
      </c>
      <c r="AZ12">
        <v>145000</v>
      </c>
      <c r="BA12">
        <v>145000</v>
      </c>
      <c r="BB12">
        <v>145000</v>
      </c>
      <c r="BC12">
        <v>145000</v>
      </c>
      <c r="BD12">
        <v>145000</v>
      </c>
      <c r="BE12">
        <v>145000</v>
      </c>
      <c r="BF12">
        <v>145000</v>
      </c>
      <c r="BG12">
        <v>145000</v>
      </c>
      <c r="BH12">
        <v>145000</v>
      </c>
      <c r="BI12">
        <v>1740000</v>
      </c>
      <c r="BK12">
        <v>2900</v>
      </c>
      <c r="BL12">
        <v>2900</v>
      </c>
      <c r="BM12">
        <v>2900</v>
      </c>
      <c r="BN12">
        <v>2900</v>
      </c>
      <c r="BO12">
        <v>2900</v>
      </c>
      <c r="BP12">
        <v>2900</v>
      </c>
      <c r="BQ12">
        <v>2900</v>
      </c>
      <c r="BR12">
        <v>2900</v>
      </c>
      <c r="BS12">
        <v>2900</v>
      </c>
      <c r="BT12">
        <v>2900</v>
      </c>
      <c r="BU12">
        <v>2900</v>
      </c>
      <c r="BV12">
        <v>2900</v>
      </c>
      <c r="BW12">
        <v>34800</v>
      </c>
      <c r="BX12">
        <v>0.02</v>
      </c>
      <c r="BY12">
        <v>34800</v>
      </c>
      <c r="BZ12">
        <v>0.02</v>
      </c>
      <c r="CA12">
        <v>0</v>
      </c>
      <c r="CB12">
        <v>0.22</v>
      </c>
      <c r="CD12">
        <v>2900</v>
      </c>
      <c r="CE12">
        <v>2900</v>
      </c>
      <c r="CF12">
        <v>2900</v>
      </c>
      <c r="CG12">
        <v>2900</v>
      </c>
      <c r="CH12">
        <v>2900</v>
      </c>
      <c r="CI12">
        <v>2900</v>
      </c>
      <c r="CJ12">
        <v>2900</v>
      </c>
      <c r="CK12">
        <v>2900</v>
      </c>
      <c r="CL12">
        <v>2900</v>
      </c>
      <c r="CM12">
        <v>2900</v>
      </c>
      <c r="CN12">
        <v>2900</v>
      </c>
      <c r="CO12">
        <v>2900</v>
      </c>
      <c r="CP12">
        <v>34800</v>
      </c>
      <c r="CQ12">
        <v>0.02</v>
      </c>
    </row>
    <row r="13" spans="1:95" x14ac:dyDescent="0.3">
      <c r="A13" t="s">
        <v>158</v>
      </c>
      <c r="B13" t="s">
        <v>171</v>
      </c>
      <c r="C13" t="s">
        <v>168</v>
      </c>
      <c r="E13">
        <v>0.02</v>
      </c>
      <c r="G13">
        <v>180000</v>
      </c>
      <c r="H13">
        <v>180000</v>
      </c>
      <c r="I13">
        <v>180000</v>
      </c>
      <c r="J13">
        <v>180000</v>
      </c>
      <c r="K13">
        <v>180000</v>
      </c>
      <c r="L13">
        <v>180000</v>
      </c>
      <c r="M13">
        <v>180000</v>
      </c>
      <c r="N13">
        <v>180000</v>
      </c>
      <c r="O13">
        <v>180000</v>
      </c>
      <c r="P13">
        <v>180000</v>
      </c>
      <c r="Q13">
        <v>180000</v>
      </c>
      <c r="R13">
        <v>180000</v>
      </c>
      <c r="S13">
        <v>2160000</v>
      </c>
      <c r="U13">
        <v>0</v>
      </c>
      <c r="V13">
        <v>0</v>
      </c>
      <c r="W13">
        <v>0</v>
      </c>
      <c r="X13">
        <v>10000</v>
      </c>
      <c r="Y13">
        <v>10000</v>
      </c>
      <c r="Z13">
        <v>10000</v>
      </c>
      <c r="AA13">
        <v>10000</v>
      </c>
      <c r="AB13">
        <v>10000</v>
      </c>
      <c r="AC13">
        <v>10000</v>
      </c>
      <c r="AD13">
        <v>10000</v>
      </c>
      <c r="AE13">
        <v>10000</v>
      </c>
      <c r="AF13">
        <v>10000</v>
      </c>
      <c r="AG13">
        <v>90000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W13">
        <v>180000</v>
      </c>
      <c r="AX13">
        <v>180000</v>
      </c>
      <c r="AY13">
        <v>180000</v>
      </c>
      <c r="AZ13">
        <v>190000</v>
      </c>
      <c r="BA13">
        <v>190000</v>
      </c>
      <c r="BB13">
        <v>190000</v>
      </c>
      <c r="BC13">
        <v>190000</v>
      </c>
      <c r="BD13">
        <v>190000</v>
      </c>
      <c r="BE13">
        <v>190000</v>
      </c>
      <c r="BF13">
        <v>190000</v>
      </c>
      <c r="BG13">
        <v>190000</v>
      </c>
      <c r="BH13">
        <v>190000</v>
      </c>
      <c r="BI13">
        <v>2250000</v>
      </c>
      <c r="BK13">
        <v>3600</v>
      </c>
      <c r="BL13">
        <v>3600</v>
      </c>
      <c r="BM13">
        <v>3600</v>
      </c>
      <c r="BN13">
        <v>3800</v>
      </c>
      <c r="BO13">
        <v>3800</v>
      </c>
      <c r="BP13">
        <v>3800</v>
      </c>
      <c r="BQ13">
        <v>3800</v>
      </c>
      <c r="BR13">
        <v>3800</v>
      </c>
      <c r="BS13">
        <v>3800</v>
      </c>
      <c r="BT13">
        <v>3800</v>
      </c>
      <c r="BU13">
        <v>3800</v>
      </c>
      <c r="BV13">
        <v>3800</v>
      </c>
      <c r="BW13">
        <v>45000</v>
      </c>
      <c r="BX13">
        <v>0.02</v>
      </c>
      <c r="BY13">
        <v>70000</v>
      </c>
      <c r="BZ13">
        <v>3.111111111111111E-2</v>
      </c>
      <c r="CA13">
        <v>25000</v>
      </c>
      <c r="CB13">
        <v>0</v>
      </c>
      <c r="CD13">
        <v>5600</v>
      </c>
      <c r="CE13">
        <v>5600</v>
      </c>
      <c r="CF13">
        <v>5600</v>
      </c>
      <c r="CG13">
        <v>5911.1111111111113</v>
      </c>
      <c r="CH13">
        <v>5911.1111111111113</v>
      </c>
      <c r="CI13">
        <v>5911.1111111111113</v>
      </c>
      <c r="CJ13">
        <v>5911.1111111111113</v>
      </c>
      <c r="CK13">
        <v>5911.1111111111113</v>
      </c>
      <c r="CL13">
        <v>5911.1111111111113</v>
      </c>
      <c r="CM13">
        <v>5911.1111111111113</v>
      </c>
      <c r="CN13">
        <v>5911.1111111111113</v>
      </c>
      <c r="CO13">
        <v>5911.1111111111113</v>
      </c>
      <c r="CP13">
        <v>69999.999999999985</v>
      </c>
      <c r="CQ13">
        <v>3.1111111111111103E-2</v>
      </c>
    </row>
    <row r="14" spans="1:95" x14ac:dyDescent="0.3">
      <c r="A14" t="s">
        <v>158</v>
      </c>
      <c r="B14" t="s">
        <v>172</v>
      </c>
      <c r="C14" t="s">
        <v>168</v>
      </c>
      <c r="E14">
        <v>0.02</v>
      </c>
      <c r="G14">
        <v>305000</v>
      </c>
      <c r="H14">
        <v>305000</v>
      </c>
      <c r="I14">
        <v>305000</v>
      </c>
      <c r="J14">
        <v>305000</v>
      </c>
      <c r="K14">
        <v>305000</v>
      </c>
      <c r="L14">
        <v>305000</v>
      </c>
      <c r="M14">
        <v>305000</v>
      </c>
      <c r="N14">
        <v>305000</v>
      </c>
      <c r="O14">
        <v>305000</v>
      </c>
      <c r="P14">
        <v>305000</v>
      </c>
      <c r="Q14">
        <v>305000</v>
      </c>
      <c r="R14">
        <v>305000</v>
      </c>
      <c r="S14">
        <v>3660000</v>
      </c>
      <c r="U14">
        <v>0</v>
      </c>
      <c r="V14">
        <v>0</v>
      </c>
      <c r="W14">
        <v>0</v>
      </c>
      <c r="X14">
        <v>10000</v>
      </c>
      <c r="Y14">
        <v>10000</v>
      </c>
      <c r="Z14">
        <v>10000</v>
      </c>
      <c r="AA14">
        <v>10000</v>
      </c>
      <c r="AB14">
        <v>10000</v>
      </c>
      <c r="AC14">
        <v>10000</v>
      </c>
      <c r="AD14">
        <v>10000</v>
      </c>
      <c r="AE14">
        <v>10000</v>
      </c>
      <c r="AF14">
        <v>10000</v>
      </c>
      <c r="AG14">
        <v>90000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W14">
        <v>305000</v>
      </c>
      <c r="AX14">
        <v>305000</v>
      </c>
      <c r="AY14">
        <v>305000</v>
      </c>
      <c r="AZ14">
        <v>315000</v>
      </c>
      <c r="BA14">
        <v>315000</v>
      </c>
      <c r="BB14">
        <v>315000</v>
      </c>
      <c r="BC14">
        <v>315000</v>
      </c>
      <c r="BD14">
        <v>315000</v>
      </c>
      <c r="BE14">
        <v>315000</v>
      </c>
      <c r="BF14">
        <v>315000</v>
      </c>
      <c r="BG14">
        <v>315000</v>
      </c>
      <c r="BH14">
        <v>315000</v>
      </c>
      <c r="BI14">
        <v>3750000</v>
      </c>
      <c r="BK14">
        <v>6100</v>
      </c>
      <c r="BL14">
        <v>6100</v>
      </c>
      <c r="BM14">
        <v>6100</v>
      </c>
      <c r="BN14">
        <v>6300</v>
      </c>
      <c r="BO14">
        <v>6300</v>
      </c>
      <c r="BP14">
        <v>6300</v>
      </c>
      <c r="BQ14">
        <v>6300</v>
      </c>
      <c r="BR14">
        <v>6300</v>
      </c>
      <c r="BS14">
        <v>6300</v>
      </c>
      <c r="BT14">
        <v>6300</v>
      </c>
      <c r="BU14">
        <v>6300</v>
      </c>
      <c r="BV14">
        <v>6300</v>
      </c>
      <c r="BW14">
        <v>75000</v>
      </c>
      <c r="BX14">
        <v>0.02</v>
      </c>
      <c r="BY14">
        <v>75000</v>
      </c>
      <c r="BZ14">
        <v>0.02</v>
      </c>
      <c r="CA14">
        <v>0</v>
      </c>
      <c r="CB14">
        <v>7.0000000000000007E-2</v>
      </c>
      <c r="CD14">
        <v>6100</v>
      </c>
      <c r="CE14">
        <v>6100</v>
      </c>
      <c r="CF14">
        <v>6100</v>
      </c>
      <c r="CG14">
        <v>6300</v>
      </c>
      <c r="CH14">
        <v>6300</v>
      </c>
      <c r="CI14">
        <v>6300</v>
      </c>
      <c r="CJ14">
        <v>6300</v>
      </c>
      <c r="CK14">
        <v>6300</v>
      </c>
      <c r="CL14">
        <v>6300</v>
      </c>
      <c r="CM14">
        <v>6300</v>
      </c>
      <c r="CN14">
        <v>6300</v>
      </c>
      <c r="CO14">
        <v>6300</v>
      </c>
      <c r="CP14">
        <v>75000</v>
      </c>
      <c r="CQ14">
        <v>0.02</v>
      </c>
    </row>
    <row r="15" spans="1:95" x14ac:dyDescent="0.3">
      <c r="A15" t="s">
        <v>158</v>
      </c>
      <c r="B15" t="s">
        <v>173</v>
      </c>
      <c r="C15" t="s">
        <v>168</v>
      </c>
      <c r="E15">
        <v>0.02</v>
      </c>
      <c r="G15">
        <v>220000</v>
      </c>
      <c r="H15">
        <v>220000</v>
      </c>
      <c r="I15">
        <v>220000</v>
      </c>
      <c r="J15">
        <v>220000</v>
      </c>
      <c r="K15">
        <v>220000</v>
      </c>
      <c r="L15">
        <v>220000</v>
      </c>
      <c r="M15">
        <v>220000</v>
      </c>
      <c r="N15">
        <v>220000</v>
      </c>
      <c r="O15">
        <v>220000</v>
      </c>
      <c r="P15">
        <v>220000</v>
      </c>
      <c r="Q15">
        <v>220000</v>
      </c>
      <c r="R15">
        <v>220000</v>
      </c>
      <c r="S15">
        <v>2640000</v>
      </c>
      <c r="U15">
        <v>0</v>
      </c>
      <c r="V15">
        <v>10000</v>
      </c>
      <c r="W15">
        <v>10000</v>
      </c>
      <c r="X15">
        <v>10000</v>
      </c>
      <c r="Y15">
        <v>10000</v>
      </c>
      <c r="Z15">
        <v>10000</v>
      </c>
      <c r="AA15">
        <v>10000</v>
      </c>
      <c r="AB15">
        <v>10000</v>
      </c>
      <c r="AC15">
        <v>10000</v>
      </c>
      <c r="AD15">
        <v>10000</v>
      </c>
      <c r="AE15">
        <v>10000</v>
      </c>
      <c r="AF15">
        <v>10000</v>
      </c>
      <c r="AG15">
        <v>110000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W15">
        <v>220000</v>
      </c>
      <c r="AX15">
        <v>230000</v>
      </c>
      <c r="AY15">
        <v>230000</v>
      </c>
      <c r="AZ15">
        <v>230000</v>
      </c>
      <c r="BA15">
        <v>230000</v>
      </c>
      <c r="BB15">
        <v>230000</v>
      </c>
      <c r="BC15">
        <v>230000</v>
      </c>
      <c r="BD15">
        <v>230000</v>
      </c>
      <c r="BE15">
        <v>230000</v>
      </c>
      <c r="BF15">
        <v>230000</v>
      </c>
      <c r="BG15">
        <v>230000</v>
      </c>
      <c r="BH15">
        <v>230000</v>
      </c>
      <c r="BI15">
        <v>2750000</v>
      </c>
      <c r="BK15">
        <v>4400</v>
      </c>
      <c r="BL15">
        <v>4600</v>
      </c>
      <c r="BM15">
        <v>4600</v>
      </c>
      <c r="BN15">
        <v>4600</v>
      </c>
      <c r="BO15">
        <v>4600</v>
      </c>
      <c r="BP15">
        <v>4600</v>
      </c>
      <c r="BQ15">
        <v>4600</v>
      </c>
      <c r="BR15">
        <v>4600</v>
      </c>
      <c r="BS15">
        <v>4600</v>
      </c>
      <c r="BT15">
        <v>4600</v>
      </c>
      <c r="BU15">
        <v>4600</v>
      </c>
      <c r="BV15">
        <v>4600</v>
      </c>
      <c r="BW15">
        <v>55000</v>
      </c>
      <c r="BX15">
        <v>0.02</v>
      </c>
      <c r="BY15">
        <v>25000</v>
      </c>
      <c r="BZ15">
        <v>9.0909090909090905E-3</v>
      </c>
      <c r="CA15">
        <v>-30000</v>
      </c>
      <c r="CB15">
        <v>0.22</v>
      </c>
      <c r="CD15">
        <v>2000</v>
      </c>
      <c r="CE15">
        <v>2090.909090909091</v>
      </c>
      <c r="CF15">
        <v>2090.909090909091</v>
      </c>
      <c r="CG15">
        <v>2090.909090909091</v>
      </c>
      <c r="CH15">
        <v>2090.909090909091</v>
      </c>
      <c r="CI15">
        <v>2090.909090909091</v>
      </c>
      <c r="CJ15">
        <v>2090.909090909091</v>
      </c>
      <c r="CK15">
        <v>2090.909090909091</v>
      </c>
      <c r="CL15">
        <v>2090.909090909091</v>
      </c>
      <c r="CM15">
        <v>2090.909090909091</v>
      </c>
      <c r="CN15">
        <v>2090.909090909091</v>
      </c>
      <c r="CO15">
        <v>2090.909090909091</v>
      </c>
      <c r="CP15">
        <v>25000.000000000007</v>
      </c>
      <c r="CQ15">
        <v>9.0909090909090939E-3</v>
      </c>
    </row>
    <row r="16" spans="1:95" x14ac:dyDescent="0.3">
      <c r="A16" t="s">
        <v>158</v>
      </c>
      <c r="B16" t="s">
        <v>174</v>
      </c>
      <c r="C16" t="s">
        <v>175</v>
      </c>
      <c r="E16">
        <v>0.02</v>
      </c>
      <c r="G16">
        <v>127500</v>
      </c>
      <c r="H16">
        <v>127500</v>
      </c>
      <c r="I16">
        <v>127500</v>
      </c>
      <c r="J16">
        <v>127500</v>
      </c>
      <c r="K16">
        <v>127500</v>
      </c>
      <c r="L16">
        <v>127500</v>
      </c>
      <c r="M16">
        <v>127500</v>
      </c>
      <c r="N16">
        <v>127500</v>
      </c>
      <c r="O16">
        <v>127500</v>
      </c>
      <c r="P16">
        <v>127500</v>
      </c>
      <c r="Q16">
        <v>127500</v>
      </c>
      <c r="R16">
        <v>127500</v>
      </c>
      <c r="S16">
        <v>1530000</v>
      </c>
      <c r="U16">
        <v>0</v>
      </c>
      <c r="V16">
        <v>0</v>
      </c>
      <c r="W16">
        <v>15000</v>
      </c>
      <c r="X16">
        <v>15000</v>
      </c>
      <c r="Y16">
        <v>15000</v>
      </c>
      <c r="Z16">
        <v>15000</v>
      </c>
      <c r="AA16">
        <v>15000</v>
      </c>
      <c r="AB16">
        <v>15000</v>
      </c>
      <c r="AC16">
        <v>15000</v>
      </c>
      <c r="AD16">
        <v>15000</v>
      </c>
      <c r="AE16">
        <v>15000</v>
      </c>
      <c r="AF16">
        <v>15000</v>
      </c>
      <c r="AG16">
        <v>150000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W16">
        <v>127500</v>
      </c>
      <c r="AX16">
        <v>127500</v>
      </c>
      <c r="AY16">
        <v>142500</v>
      </c>
      <c r="AZ16">
        <v>142500</v>
      </c>
      <c r="BA16">
        <v>142500</v>
      </c>
      <c r="BB16">
        <v>142500</v>
      </c>
      <c r="BC16">
        <v>142500</v>
      </c>
      <c r="BD16">
        <v>142500</v>
      </c>
      <c r="BE16">
        <v>142500</v>
      </c>
      <c r="BF16">
        <v>142500</v>
      </c>
      <c r="BG16">
        <v>142500</v>
      </c>
      <c r="BH16">
        <v>142500</v>
      </c>
      <c r="BI16">
        <v>1680000</v>
      </c>
      <c r="BK16">
        <v>2550</v>
      </c>
      <c r="BL16">
        <v>2550</v>
      </c>
      <c r="BM16">
        <v>2850</v>
      </c>
      <c r="BN16">
        <v>2850</v>
      </c>
      <c r="BO16">
        <v>2850</v>
      </c>
      <c r="BP16">
        <v>2850</v>
      </c>
      <c r="BQ16">
        <v>2850</v>
      </c>
      <c r="BR16">
        <v>2850</v>
      </c>
      <c r="BS16">
        <v>2850</v>
      </c>
      <c r="BT16">
        <v>2850</v>
      </c>
      <c r="BU16">
        <v>2850</v>
      </c>
      <c r="BV16">
        <v>2850</v>
      </c>
      <c r="BW16">
        <v>33600</v>
      </c>
      <c r="BX16">
        <v>0.02</v>
      </c>
      <c r="BY16">
        <v>70000</v>
      </c>
      <c r="BZ16">
        <v>4.1666666666666664E-2</v>
      </c>
      <c r="CA16">
        <v>36400</v>
      </c>
      <c r="CB16">
        <v>0.5</v>
      </c>
      <c r="CD16">
        <v>5312.5</v>
      </c>
      <c r="CE16">
        <v>5312.5</v>
      </c>
      <c r="CF16">
        <v>5937.5</v>
      </c>
      <c r="CG16">
        <v>5937.5</v>
      </c>
      <c r="CH16">
        <v>5937.5</v>
      </c>
      <c r="CI16">
        <v>5937.5</v>
      </c>
      <c r="CJ16">
        <v>5937.5</v>
      </c>
      <c r="CK16">
        <v>5937.5</v>
      </c>
      <c r="CL16">
        <v>5937.5</v>
      </c>
      <c r="CM16">
        <v>5937.5</v>
      </c>
      <c r="CN16">
        <v>5937.5</v>
      </c>
      <c r="CO16">
        <v>5937.5</v>
      </c>
      <c r="CP16">
        <v>70000</v>
      </c>
      <c r="CQ16">
        <v>4.1666666666666664E-2</v>
      </c>
    </row>
    <row r="17" spans="1:95" x14ac:dyDescent="0.3">
      <c r="A17" t="s">
        <v>158</v>
      </c>
      <c r="B17" t="s">
        <v>176</v>
      </c>
      <c r="G17">
        <v>5091389.6781627424</v>
      </c>
      <c r="H17">
        <v>5299276.9001911357</v>
      </c>
      <c r="I17">
        <v>5220316.7472793171</v>
      </c>
      <c r="J17">
        <v>3957363.1727289935</v>
      </c>
      <c r="K17">
        <v>5212739.8903781166</v>
      </c>
      <c r="L17">
        <v>4263616.8619671054</v>
      </c>
      <c r="M17">
        <v>4625040.3836057242</v>
      </c>
      <c r="N17">
        <v>5194437.1479309788</v>
      </c>
      <c r="O17">
        <v>4614047.176817175</v>
      </c>
      <c r="P17">
        <v>5827912.2720152354</v>
      </c>
      <c r="Q17">
        <v>5276547.7940512467</v>
      </c>
      <c r="R17">
        <v>5315060.6334903035</v>
      </c>
      <c r="S17">
        <v>59897748.658618078</v>
      </c>
      <c r="U17">
        <v>633115.50799999991</v>
      </c>
      <c r="V17">
        <v>169166.47099999999</v>
      </c>
      <c r="W17">
        <v>187158.698</v>
      </c>
      <c r="X17">
        <v>639819.10800000001</v>
      </c>
      <c r="Y17">
        <v>262467.91399999999</v>
      </c>
      <c r="Z17">
        <v>263571.64500000002</v>
      </c>
      <c r="AA17">
        <v>430145.587</v>
      </c>
      <c r="AB17">
        <v>204439.935</v>
      </c>
      <c r="AC17">
        <v>279938.67499999999</v>
      </c>
      <c r="AD17">
        <v>464934.19</v>
      </c>
      <c r="AE17">
        <v>224005.59</v>
      </c>
      <c r="AF17">
        <v>227540.815</v>
      </c>
      <c r="AG17">
        <v>3986304.1359999999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W17">
        <v>5724505.1861627428</v>
      </c>
      <c r="AX17">
        <v>5468443.3711911365</v>
      </c>
      <c r="AY17">
        <v>5407475.445279317</v>
      </c>
      <c r="AZ17">
        <v>4597182.2807289939</v>
      </c>
      <c r="BA17">
        <v>5475207.8043781165</v>
      </c>
      <c r="BB17">
        <v>4527188.506967105</v>
      </c>
      <c r="BC17">
        <v>5055185.9706057254</v>
      </c>
      <c r="BD17">
        <v>5398877.0829309793</v>
      </c>
      <c r="BE17">
        <v>4893985.8518171739</v>
      </c>
      <c r="BF17">
        <v>6292846.4620152349</v>
      </c>
      <c r="BG17">
        <v>5500553.3840512466</v>
      </c>
      <c r="BH17">
        <v>5542601.4484903049</v>
      </c>
      <c r="BI17">
        <v>63884052.794618078</v>
      </c>
      <c r="BK17">
        <v>351840.36303139199</v>
      </c>
      <c r="BL17">
        <v>333416.03598337952</v>
      </c>
      <c r="BM17">
        <v>328398.28116955224</v>
      </c>
      <c r="BN17">
        <v>270677.75965102954</v>
      </c>
      <c r="BO17">
        <v>332139.5463064682</v>
      </c>
      <c r="BP17">
        <v>265778.19548769738</v>
      </c>
      <c r="BQ17">
        <v>302738.01794240077</v>
      </c>
      <c r="BR17">
        <v>326796.39580516855</v>
      </c>
      <c r="BS17">
        <v>291454.00962720223</v>
      </c>
      <c r="BT17">
        <v>389374.25234106649</v>
      </c>
      <c r="BU17">
        <v>333913.73688358732</v>
      </c>
      <c r="BV17">
        <v>336857.1013943213</v>
      </c>
      <c r="BW17">
        <v>3863383.6956232656</v>
      </c>
      <c r="BX17">
        <v>6.0474931170126645E-2</v>
      </c>
      <c r="BY17">
        <v>4072254</v>
      </c>
      <c r="BZ17">
        <v>6.3744452987226072E-2</v>
      </c>
      <c r="CA17">
        <v>208870.30437673439</v>
      </c>
      <c r="CD17">
        <v>376016.40237579925</v>
      </c>
      <c r="CE17">
        <v>355796.40184580261</v>
      </c>
      <c r="CF17">
        <v>348273.89916343964</v>
      </c>
      <c r="CG17">
        <v>281379.72494062403</v>
      </c>
      <c r="CH17">
        <v>334593.6021727589</v>
      </c>
      <c r="CI17">
        <v>276848.24993137136</v>
      </c>
      <c r="CJ17">
        <v>316456.03576064372</v>
      </c>
      <c r="CK17">
        <v>330639.88157234731</v>
      </c>
      <c r="CL17">
        <v>316159.98036728596</v>
      </c>
      <c r="CM17">
        <v>428457.29479431442</v>
      </c>
      <c r="CN17">
        <v>354944.09852420533</v>
      </c>
      <c r="CO17">
        <v>352688.42855140788</v>
      </c>
      <c r="CP17">
        <v>4072254</v>
      </c>
      <c r="CQ17">
        <v>6.3744452987226072E-2</v>
      </c>
    </row>
    <row r="18" spans="1:95" x14ac:dyDescent="0.3">
      <c r="A18" t="s">
        <v>177</v>
      </c>
      <c r="B18" t="s">
        <v>178</v>
      </c>
      <c r="C18" t="s">
        <v>166</v>
      </c>
      <c r="D18" t="s">
        <v>161</v>
      </c>
      <c r="E18">
        <v>7.0000000000000007E-2</v>
      </c>
      <c r="S18">
        <v>0</v>
      </c>
      <c r="AG18">
        <v>0</v>
      </c>
      <c r="AI18">
        <v>150000</v>
      </c>
      <c r="AJ18">
        <v>100000</v>
      </c>
      <c r="AK18">
        <v>50000</v>
      </c>
      <c r="AL18">
        <v>50000</v>
      </c>
      <c r="AM18">
        <v>50000</v>
      </c>
      <c r="AN18">
        <v>50000</v>
      </c>
      <c r="AO18">
        <v>50000</v>
      </c>
      <c r="AP18">
        <v>50000</v>
      </c>
      <c r="AQ18">
        <v>50000</v>
      </c>
      <c r="AR18">
        <v>80000</v>
      </c>
      <c r="AS18">
        <v>120000</v>
      </c>
      <c r="AT18">
        <v>150000</v>
      </c>
      <c r="AU18">
        <v>950000</v>
      </c>
      <c r="AW18">
        <v>150000</v>
      </c>
      <c r="AX18">
        <v>100000</v>
      </c>
      <c r="AY18">
        <v>50000</v>
      </c>
      <c r="AZ18">
        <v>50000</v>
      </c>
      <c r="BA18">
        <v>50000</v>
      </c>
      <c r="BB18">
        <v>50000</v>
      </c>
      <c r="BC18">
        <v>50000</v>
      </c>
      <c r="BD18">
        <v>50000</v>
      </c>
      <c r="BE18">
        <v>50000</v>
      </c>
      <c r="BF18">
        <v>80000</v>
      </c>
      <c r="BG18">
        <v>120000</v>
      </c>
      <c r="BH18">
        <v>150000</v>
      </c>
      <c r="BI18">
        <v>950000</v>
      </c>
      <c r="BK18">
        <v>10500.000000000002</v>
      </c>
      <c r="BL18">
        <v>7000.0000000000009</v>
      </c>
      <c r="BM18">
        <v>3500.0000000000005</v>
      </c>
      <c r="BN18">
        <v>3500.0000000000005</v>
      </c>
      <c r="BO18">
        <v>3500.0000000000005</v>
      </c>
      <c r="BP18">
        <v>3500.0000000000005</v>
      </c>
      <c r="BQ18">
        <v>3500.0000000000005</v>
      </c>
      <c r="BR18">
        <v>3500.0000000000005</v>
      </c>
      <c r="BS18">
        <v>3500.0000000000005</v>
      </c>
      <c r="BT18">
        <v>5600.0000000000009</v>
      </c>
      <c r="BU18">
        <v>8400</v>
      </c>
      <c r="BV18">
        <v>10500.000000000002</v>
      </c>
      <c r="BW18">
        <v>66500.000000000015</v>
      </c>
      <c r="BX18">
        <v>7.0000000000000021E-2</v>
      </c>
      <c r="BZ18">
        <v>0</v>
      </c>
      <c r="CA18">
        <v>-66500.000000000015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</row>
    <row r="19" spans="1:95" x14ac:dyDescent="0.3">
      <c r="A19" t="s">
        <v>177</v>
      </c>
      <c r="B19" t="s">
        <v>179</v>
      </c>
      <c r="C19" t="s">
        <v>166</v>
      </c>
      <c r="D19" t="s">
        <v>161</v>
      </c>
      <c r="E19">
        <v>7.0000000000000007E-2</v>
      </c>
      <c r="G19">
        <v>1132014.28</v>
      </c>
      <c r="H19">
        <v>610092.69000000006</v>
      </c>
      <c r="I19">
        <v>523363.4</v>
      </c>
      <c r="J19">
        <v>873465.02249999996</v>
      </c>
      <c r="K19">
        <v>849204.15000000014</v>
      </c>
      <c r="L19">
        <v>819504.69200000004</v>
      </c>
      <c r="M19">
        <v>993088.20200000005</v>
      </c>
      <c r="N19">
        <v>729243.14320000005</v>
      </c>
      <c r="O19">
        <v>745122.79351999995</v>
      </c>
      <c r="P19">
        <v>848516.60087200021</v>
      </c>
      <c r="Q19">
        <v>1030856.5549592</v>
      </c>
      <c r="R19">
        <v>1265084.5847551201</v>
      </c>
      <c r="S19">
        <v>10419556.113806318</v>
      </c>
      <c r="U19">
        <v>131100</v>
      </c>
      <c r="V19">
        <v>41580</v>
      </c>
      <c r="W19">
        <v>50820</v>
      </c>
      <c r="X19">
        <v>112502</v>
      </c>
      <c r="Y19">
        <v>61492.200000000019</v>
      </c>
      <c r="Z19">
        <v>118581.42</v>
      </c>
      <c r="AA19">
        <v>74680</v>
      </c>
      <c r="AB19">
        <v>80950</v>
      </c>
      <c r="AC19">
        <v>129980</v>
      </c>
      <c r="AD19">
        <v>75450</v>
      </c>
      <c r="AE19">
        <v>87400</v>
      </c>
      <c r="AF19">
        <v>89600</v>
      </c>
      <c r="AG19">
        <v>1054135.6200000001</v>
      </c>
      <c r="AI19">
        <v>701383.46</v>
      </c>
      <c r="AJ19">
        <v>660004.86</v>
      </c>
      <c r="AK19">
        <v>465333</v>
      </c>
      <c r="AL19">
        <v>612187.4</v>
      </c>
      <c r="AM19">
        <v>675297.4</v>
      </c>
      <c r="AN19">
        <v>617708.9</v>
      </c>
      <c r="AO19">
        <v>803738.26</v>
      </c>
      <c r="AP19">
        <v>747855.77</v>
      </c>
      <c r="AQ19">
        <v>537236.28</v>
      </c>
      <c r="AR19">
        <v>619795.35</v>
      </c>
      <c r="AS19">
        <v>859729.46</v>
      </c>
      <c r="AT19">
        <v>660004.86</v>
      </c>
      <c r="AU19">
        <v>7960274.9999999981</v>
      </c>
      <c r="AW19">
        <v>1964497.74</v>
      </c>
      <c r="AX19">
        <v>1311677.55</v>
      </c>
      <c r="AY19">
        <v>1039516.4</v>
      </c>
      <c r="AZ19">
        <v>1598154.4225000001</v>
      </c>
      <c r="BA19">
        <v>1585993.7500000002</v>
      </c>
      <c r="BB19">
        <v>1555795.0120000001</v>
      </c>
      <c r="BC19">
        <v>1871506.4620000001</v>
      </c>
      <c r="BD19">
        <v>1558048.9131999998</v>
      </c>
      <c r="BE19">
        <v>1412339.0735200001</v>
      </c>
      <c r="BF19">
        <v>1543761.9508720003</v>
      </c>
      <c r="BG19">
        <v>1977986.0149592003</v>
      </c>
      <c r="BH19">
        <v>2014689.4447551195</v>
      </c>
      <c r="BI19">
        <v>19433966.73380632</v>
      </c>
      <c r="BK19">
        <v>137514.84180000002</v>
      </c>
      <c r="BL19">
        <v>91817.428500000009</v>
      </c>
      <c r="BM19">
        <v>72766.148000000016</v>
      </c>
      <c r="BN19">
        <v>111870.80957500001</v>
      </c>
      <c r="BO19">
        <v>111019.56250000004</v>
      </c>
      <c r="BP19">
        <v>108905.65084000002</v>
      </c>
      <c r="BQ19">
        <v>131005.45234000002</v>
      </c>
      <c r="BR19">
        <v>109063.423924</v>
      </c>
      <c r="BS19">
        <v>98863.735146400009</v>
      </c>
      <c r="BT19">
        <v>108063.33656104004</v>
      </c>
      <c r="BU19">
        <v>138459.02104714402</v>
      </c>
      <c r="BV19">
        <v>141028.2611328584</v>
      </c>
      <c r="BW19">
        <v>1360377.6713664427</v>
      </c>
      <c r="BX19">
        <v>7.0000000000000021E-2</v>
      </c>
      <c r="BY19">
        <v>1520000</v>
      </c>
      <c r="BZ19">
        <v>7.8213574244515249E-2</v>
      </c>
      <c r="CA19">
        <v>159622.32863355731</v>
      </c>
      <c r="CB19">
        <v>0.35</v>
      </c>
      <c r="CD19">
        <v>153650.3898406724</v>
      </c>
      <c r="CE19">
        <v>102590.98944178889</v>
      </c>
      <c r="CF19">
        <v>81304.293129791215</v>
      </c>
      <c r="CG19">
        <v>124997.36957840412</v>
      </c>
      <c r="CH19">
        <v>124046.23991696218</v>
      </c>
      <c r="CI19">
        <v>121684.2886803085</v>
      </c>
      <c r="CJ19">
        <v>146377.20961472706</v>
      </c>
      <c r="CK19">
        <v>121860.57434915449</v>
      </c>
      <c r="CL19">
        <v>110464.0869851864</v>
      </c>
      <c r="CM19">
        <v>120743.1399603849</v>
      </c>
      <c r="CN19">
        <v>154705.35603562425</v>
      </c>
      <c r="CO19">
        <v>157576.06246699576</v>
      </c>
      <c r="CP19">
        <v>1520000.0000000002</v>
      </c>
      <c r="CQ19">
        <v>7.8213574244515263E-2</v>
      </c>
    </row>
    <row r="20" spans="1:95" x14ac:dyDescent="0.3">
      <c r="A20" t="s">
        <v>177</v>
      </c>
      <c r="B20" t="s">
        <v>180</v>
      </c>
      <c r="C20" t="s">
        <v>166</v>
      </c>
      <c r="E20">
        <v>0.02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Z20">
        <v>0</v>
      </c>
      <c r="CA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</row>
    <row r="21" spans="1:95" x14ac:dyDescent="0.3">
      <c r="A21" t="s">
        <v>177</v>
      </c>
      <c r="B21" t="s">
        <v>181</v>
      </c>
      <c r="C21" t="s">
        <v>166</v>
      </c>
      <c r="E21">
        <v>0.02</v>
      </c>
      <c r="G21">
        <v>150000</v>
      </c>
      <c r="H21">
        <v>150000</v>
      </c>
      <c r="I21">
        <v>150000</v>
      </c>
      <c r="J21">
        <v>150000</v>
      </c>
      <c r="K21">
        <v>150000</v>
      </c>
      <c r="L21">
        <v>150000</v>
      </c>
      <c r="M21">
        <v>150000</v>
      </c>
      <c r="N21">
        <v>150000</v>
      </c>
      <c r="O21">
        <v>150000</v>
      </c>
      <c r="P21">
        <v>150000</v>
      </c>
      <c r="Q21">
        <v>150000</v>
      </c>
      <c r="R21">
        <v>150000</v>
      </c>
      <c r="S21">
        <v>1800000</v>
      </c>
      <c r="AG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W21">
        <v>150000</v>
      </c>
      <c r="AX21">
        <v>150000</v>
      </c>
      <c r="AY21">
        <v>150000</v>
      </c>
      <c r="AZ21">
        <v>150000</v>
      </c>
      <c r="BA21">
        <v>150000</v>
      </c>
      <c r="BB21">
        <v>150000</v>
      </c>
      <c r="BC21">
        <v>150000</v>
      </c>
      <c r="BD21">
        <v>150000</v>
      </c>
      <c r="BE21">
        <v>150000</v>
      </c>
      <c r="BF21">
        <v>150000</v>
      </c>
      <c r="BG21">
        <v>150000</v>
      </c>
      <c r="BH21">
        <v>150000</v>
      </c>
      <c r="BI21">
        <v>1800000</v>
      </c>
      <c r="BK21">
        <v>3000</v>
      </c>
      <c r="BL21">
        <v>3000</v>
      </c>
      <c r="BM21">
        <v>3000</v>
      </c>
      <c r="BN21">
        <v>3000</v>
      </c>
      <c r="BO21">
        <v>3000</v>
      </c>
      <c r="BP21">
        <v>3000</v>
      </c>
      <c r="BQ21">
        <v>3000</v>
      </c>
      <c r="BR21">
        <v>3000</v>
      </c>
      <c r="BS21">
        <v>3000</v>
      </c>
      <c r="BT21">
        <v>3000</v>
      </c>
      <c r="BU21">
        <v>3000</v>
      </c>
      <c r="BV21">
        <v>3000</v>
      </c>
      <c r="BW21">
        <v>36000</v>
      </c>
      <c r="BX21">
        <v>0.02</v>
      </c>
      <c r="BZ21">
        <v>0</v>
      </c>
      <c r="CA21">
        <v>-36000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</row>
    <row r="22" spans="1:95" x14ac:dyDescent="0.3">
      <c r="A22" t="s">
        <v>177</v>
      </c>
      <c r="B22" t="s">
        <v>182</v>
      </c>
      <c r="C22" t="s">
        <v>166</v>
      </c>
      <c r="E22">
        <v>0.02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AG22">
        <v>0</v>
      </c>
      <c r="AI22">
        <v>280000</v>
      </c>
      <c r="AJ22">
        <v>280000</v>
      </c>
      <c r="AK22">
        <v>280000</v>
      </c>
      <c r="AL22">
        <v>280000</v>
      </c>
      <c r="AM22">
        <v>280000</v>
      </c>
      <c r="AN22">
        <v>280000</v>
      </c>
      <c r="AO22">
        <v>280000</v>
      </c>
      <c r="AP22">
        <v>280000</v>
      </c>
      <c r="AQ22">
        <v>280000</v>
      </c>
      <c r="AR22">
        <v>280000</v>
      </c>
      <c r="AS22">
        <v>280000</v>
      </c>
      <c r="AT22">
        <v>280000</v>
      </c>
      <c r="AU22">
        <v>3360000</v>
      </c>
      <c r="AW22">
        <v>280000</v>
      </c>
      <c r="AX22">
        <v>280000</v>
      </c>
      <c r="AY22">
        <v>280000</v>
      </c>
      <c r="AZ22">
        <v>280000</v>
      </c>
      <c r="BA22">
        <v>280000</v>
      </c>
      <c r="BB22">
        <v>280000</v>
      </c>
      <c r="BC22">
        <v>280000</v>
      </c>
      <c r="BD22">
        <v>280000</v>
      </c>
      <c r="BE22">
        <v>280000</v>
      </c>
      <c r="BF22">
        <v>280000</v>
      </c>
      <c r="BG22">
        <v>280000</v>
      </c>
      <c r="BH22">
        <v>280000</v>
      </c>
      <c r="BI22">
        <v>3360000</v>
      </c>
      <c r="BK22">
        <v>5600</v>
      </c>
      <c r="BL22">
        <v>5600</v>
      </c>
      <c r="BM22">
        <v>5600</v>
      </c>
      <c r="BN22">
        <v>5600</v>
      </c>
      <c r="BO22">
        <v>5600</v>
      </c>
      <c r="BP22">
        <v>5600</v>
      </c>
      <c r="BQ22">
        <v>5600</v>
      </c>
      <c r="BR22">
        <v>5600</v>
      </c>
      <c r="BS22">
        <v>5600</v>
      </c>
      <c r="BT22">
        <v>5600</v>
      </c>
      <c r="BU22">
        <v>5600</v>
      </c>
      <c r="BV22">
        <v>5600</v>
      </c>
      <c r="BW22">
        <v>67200</v>
      </c>
      <c r="BX22">
        <v>0.02</v>
      </c>
      <c r="BY22">
        <v>70000</v>
      </c>
      <c r="BZ22">
        <v>2.0833333333333332E-2</v>
      </c>
      <c r="CA22">
        <v>2800</v>
      </c>
      <c r="CD22">
        <v>5833.333333333333</v>
      </c>
      <c r="CE22">
        <v>5833.333333333333</v>
      </c>
      <c r="CF22">
        <v>5833.333333333333</v>
      </c>
      <c r="CG22">
        <v>5833.333333333333</v>
      </c>
      <c r="CH22">
        <v>5833.333333333333</v>
      </c>
      <c r="CI22">
        <v>5833.333333333333</v>
      </c>
      <c r="CJ22">
        <v>5833.333333333333</v>
      </c>
      <c r="CK22">
        <v>5833.333333333333</v>
      </c>
      <c r="CL22">
        <v>5833.333333333333</v>
      </c>
      <c r="CM22">
        <v>5833.333333333333</v>
      </c>
      <c r="CN22">
        <v>5833.333333333333</v>
      </c>
      <c r="CO22">
        <v>5833.333333333333</v>
      </c>
      <c r="CP22">
        <v>70000.000000000015</v>
      </c>
      <c r="CQ22">
        <v>2.0833333333333339E-2</v>
      </c>
    </row>
    <row r="23" spans="1:95" x14ac:dyDescent="0.3">
      <c r="A23" t="s">
        <v>177</v>
      </c>
      <c r="B23" t="s">
        <v>183</v>
      </c>
      <c r="C23" t="s">
        <v>160</v>
      </c>
      <c r="E23">
        <v>0.02</v>
      </c>
      <c r="G23">
        <v>15000</v>
      </c>
      <c r="H23">
        <v>15000</v>
      </c>
      <c r="I23">
        <v>15000</v>
      </c>
      <c r="J23">
        <v>15000</v>
      </c>
      <c r="K23">
        <v>15000</v>
      </c>
      <c r="L23">
        <v>15000</v>
      </c>
      <c r="M23">
        <v>15000</v>
      </c>
      <c r="N23">
        <v>15000</v>
      </c>
      <c r="O23">
        <v>15000</v>
      </c>
      <c r="P23">
        <v>15000</v>
      </c>
      <c r="Q23">
        <v>15000</v>
      </c>
      <c r="R23">
        <v>15000</v>
      </c>
      <c r="S23">
        <v>180000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W23">
        <v>15000</v>
      </c>
      <c r="AX23">
        <v>15000</v>
      </c>
      <c r="AY23">
        <v>15000</v>
      </c>
      <c r="AZ23">
        <v>15000</v>
      </c>
      <c r="BA23">
        <v>15000</v>
      </c>
      <c r="BB23">
        <v>15000</v>
      </c>
      <c r="BC23">
        <v>15000</v>
      </c>
      <c r="BD23">
        <v>15000</v>
      </c>
      <c r="BE23">
        <v>15000</v>
      </c>
      <c r="BF23">
        <v>15000</v>
      </c>
      <c r="BG23">
        <v>15000</v>
      </c>
      <c r="BH23">
        <v>15000</v>
      </c>
      <c r="BI23">
        <v>180000</v>
      </c>
      <c r="BK23">
        <v>300</v>
      </c>
      <c r="BL23">
        <v>300</v>
      </c>
      <c r="BM23">
        <v>300</v>
      </c>
      <c r="BN23">
        <v>300</v>
      </c>
      <c r="BO23">
        <v>300</v>
      </c>
      <c r="BP23">
        <v>300</v>
      </c>
      <c r="BQ23">
        <v>300</v>
      </c>
      <c r="BR23">
        <v>300</v>
      </c>
      <c r="BS23">
        <v>300</v>
      </c>
      <c r="BT23">
        <v>300</v>
      </c>
      <c r="BU23">
        <v>300</v>
      </c>
      <c r="BV23">
        <v>300</v>
      </c>
      <c r="BW23">
        <v>3600</v>
      </c>
      <c r="BX23">
        <v>0.02</v>
      </c>
      <c r="BZ23">
        <v>0</v>
      </c>
      <c r="CA23">
        <v>-3600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</row>
    <row r="24" spans="1:95" x14ac:dyDescent="0.3">
      <c r="A24" t="s">
        <v>177</v>
      </c>
      <c r="B24" t="s">
        <v>184</v>
      </c>
      <c r="C24" t="s">
        <v>160</v>
      </c>
      <c r="E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Z24">
        <v>0</v>
      </c>
      <c r="CA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</row>
    <row r="25" spans="1:95" x14ac:dyDescent="0.3">
      <c r="A25" t="s">
        <v>177</v>
      </c>
      <c r="B25" t="s">
        <v>185</v>
      </c>
      <c r="C25" t="s">
        <v>168</v>
      </c>
      <c r="E25">
        <v>0.02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Z25">
        <v>0</v>
      </c>
      <c r="CA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</row>
    <row r="26" spans="1:95" x14ac:dyDescent="0.3">
      <c r="A26" t="s">
        <v>177</v>
      </c>
      <c r="B26" t="s">
        <v>186</v>
      </c>
      <c r="C26" t="s">
        <v>168</v>
      </c>
      <c r="E26">
        <v>0.02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Z26">
        <v>0</v>
      </c>
      <c r="CA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</row>
    <row r="27" spans="1:95" x14ac:dyDescent="0.3">
      <c r="A27" t="s">
        <v>177</v>
      </c>
      <c r="B27" t="s">
        <v>187</v>
      </c>
      <c r="C27" t="s">
        <v>168</v>
      </c>
      <c r="E27">
        <v>0.02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Z27">
        <v>0</v>
      </c>
      <c r="CA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</row>
    <row r="28" spans="1:95" x14ac:dyDescent="0.3">
      <c r="A28" t="s">
        <v>177</v>
      </c>
      <c r="B28" t="s">
        <v>176</v>
      </c>
      <c r="G28">
        <v>1297014.28</v>
      </c>
      <c r="H28">
        <v>775092.69</v>
      </c>
      <c r="I28">
        <v>688363.4</v>
      </c>
      <c r="J28">
        <v>1038465.0225</v>
      </c>
      <c r="K28">
        <v>1014204.15</v>
      </c>
      <c r="L28">
        <v>984504.69200000004</v>
      </c>
      <c r="M28">
        <v>1158088.202</v>
      </c>
      <c r="N28">
        <v>894243.14320000005</v>
      </c>
      <c r="O28">
        <v>910122.79351999995</v>
      </c>
      <c r="P28">
        <v>1013516.6008720002</v>
      </c>
      <c r="Q28">
        <v>1195856.5549592001</v>
      </c>
      <c r="R28">
        <v>1430084.5847551201</v>
      </c>
      <c r="S28">
        <v>12399556.113806318</v>
      </c>
      <c r="U28">
        <v>131100</v>
      </c>
      <c r="V28">
        <v>41580</v>
      </c>
      <c r="W28">
        <v>50820</v>
      </c>
      <c r="X28">
        <v>112502</v>
      </c>
      <c r="Y28">
        <v>61492.200000000019</v>
      </c>
      <c r="Z28">
        <v>118581.42</v>
      </c>
      <c r="AA28">
        <v>74680</v>
      </c>
      <c r="AB28">
        <v>80950</v>
      </c>
      <c r="AC28">
        <v>129980</v>
      </c>
      <c r="AD28">
        <v>75450</v>
      </c>
      <c r="AE28">
        <v>87400</v>
      </c>
      <c r="AF28">
        <v>89600</v>
      </c>
      <c r="AG28">
        <v>1054135.6200000001</v>
      </c>
      <c r="AI28">
        <v>1131383.46</v>
      </c>
      <c r="AJ28">
        <v>1040004.86</v>
      </c>
      <c r="AK28">
        <v>795333</v>
      </c>
      <c r="AL28">
        <v>942187.4</v>
      </c>
      <c r="AM28">
        <v>1005297.4</v>
      </c>
      <c r="AN28">
        <v>947708.9</v>
      </c>
      <c r="AO28">
        <v>1133738.26</v>
      </c>
      <c r="AP28">
        <v>1077855.77</v>
      </c>
      <c r="AQ28">
        <v>867236.28</v>
      </c>
      <c r="AR28">
        <v>979795.35</v>
      </c>
      <c r="AS28">
        <v>1259729.46</v>
      </c>
      <c r="AT28">
        <v>1090004.8600000001</v>
      </c>
      <c r="AU28">
        <v>12270275</v>
      </c>
      <c r="AW28">
        <v>2559497.7400000002</v>
      </c>
      <c r="AX28">
        <v>1856677.55</v>
      </c>
      <c r="AY28">
        <v>1534516.4</v>
      </c>
      <c r="AZ28">
        <v>2093154.4225000001</v>
      </c>
      <c r="BA28">
        <v>2080993.75</v>
      </c>
      <c r="BB28">
        <v>2050795.0120000001</v>
      </c>
      <c r="BC28">
        <v>2366506.4620000003</v>
      </c>
      <c r="BD28">
        <v>2053048.9132000001</v>
      </c>
      <c r="BE28">
        <v>1907339.0735200001</v>
      </c>
      <c r="BF28">
        <v>2068761.9508720003</v>
      </c>
      <c r="BG28">
        <v>2542986.0149592003</v>
      </c>
      <c r="BH28">
        <v>2609689.4447551197</v>
      </c>
      <c r="BI28">
        <v>25723966.73380632</v>
      </c>
      <c r="BK28">
        <v>156914.84180000002</v>
      </c>
      <c r="BL28">
        <v>107717.42849999999</v>
      </c>
      <c r="BM28">
        <v>85166.148000000016</v>
      </c>
      <c r="BN28">
        <v>124270.80957500001</v>
      </c>
      <c r="BO28">
        <v>123419.56250000004</v>
      </c>
      <c r="BP28">
        <v>121305.65084000002</v>
      </c>
      <c r="BQ28">
        <v>143405.45234000002</v>
      </c>
      <c r="BR28">
        <v>121463.423924</v>
      </c>
      <c r="BS28">
        <v>111263.73514639999</v>
      </c>
      <c r="BT28">
        <v>122563.33656104004</v>
      </c>
      <c r="BU28">
        <v>155759.02104714402</v>
      </c>
      <c r="BV28">
        <v>160428.2611328584</v>
      </c>
      <c r="BW28">
        <v>1533677.6713664427</v>
      </c>
      <c r="BX28">
        <v>5.962057435531086E-2</v>
      </c>
      <c r="BY28">
        <v>1590000</v>
      </c>
      <c r="BZ28">
        <v>6.1810062827924173E-2</v>
      </c>
      <c r="CA28">
        <v>56322.328633557307</v>
      </c>
      <c r="CD28">
        <v>159483.72317400575</v>
      </c>
      <c r="CE28">
        <v>108424.3227751222</v>
      </c>
      <c r="CF28">
        <v>87137.626463124543</v>
      </c>
      <c r="CG28">
        <v>130830.70291173746</v>
      </c>
      <c r="CH28">
        <v>129879.57325029552</v>
      </c>
      <c r="CI28">
        <v>127517.62201364184</v>
      </c>
      <c r="CJ28">
        <v>152210.54294806041</v>
      </c>
      <c r="CK28">
        <v>127693.9076824878</v>
      </c>
      <c r="CL28">
        <v>116297.42031851974</v>
      </c>
      <c r="CM28">
        <v>126576.47329371824</v>
      </c>
      <c r="CN28">
        <v>160538.6893689576</v>
      </c>
      <c r="CO28">
        <v>163409.3958003291</v>
      </c>
      <c r="CP28">
        <v>1590000.0000000002</v>
      </c>
      <c r="CQ28">
        <v>6.181006282792418E-2</v>
      </c>
    </row>
    <row r="29" spans="1:95" x14ac:dyDescent="0.3">
      <c r="A29" t="s">
        <v>188</v>
      </c>
      <c r="B29" t="s">
        <v>189</v>
      </c>
      <c r="C29" t="s">
        <v>168</v>
      </c>
      <c r="E29">
        <v>0.02</v>
      </c>
      <c r="G29">
        <v>455000</v>
      </c>
      <c r="H29">
        <v>455000</v>
      </c>
      <c r="I29">
        <v>455000</v>
      </c>
      <c r="J29">
        <v>455000</v>
      </c>
      <c r="K29">
        <v>455000</v>
      </c>
      <c r="L29">
        <v>455000</v>
      </c>
      <c r="M29">
        <v>455000</v>
      </c>
      <c r="N29">
        <v>455000</v>
      </c>
      <c r="O29">
        <v>455000</v>
      </c>
      <c r="P29">
        <v>455000</v>
      </c>
      <c r="Q29">
        <v>455000</v>
      </c>
      <c r="R29">
        <v>455000</v>
      </c>
      <c r="S29">
        <v>5460000</v>
      </c>
      <c r="U29">
        <v>0</v>
      </c>
      <c r="V29">
        <v>15000</v>
      </c>
      <c r="W29">
        <v>15000</v>
      </c>
      <c r="X29">
        <v>15000</v>
      </c>
      <c r="Y29">
        <v>15000</v>
      </c>
      <c r="Z29">
        <v>15000</v>
      </c>
      <c r="AA29">
        <v>15000</v>
      </c>
      <c r="AB29">
        <v>15000</v>
      </c>
      <c r="AC29">
        <v>15000</v>
      </c>
      <c r="AD29">
        <v>15000</v>
      </c>
      <c r="AE29">
        <v>15000</v>
      </c>
      <c r="AF29">
        <v>15000</v>
      </c>
      <c r="AG29">
        <v>165000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W29">
        <v>455000</v>
      </c>
      <c r="AX29">
        <v>470000</v>
      </c>
      <c r="AY29">
        <v>470000</v>
      </c>
      <c r="AZ29">
        <v>470000</v>
      </c>
      <c r="BA29">
        <v>470000</v>
      </c>
      <c r="BB29">
        <v>470000</v>
      </c>
      <c r="BC29">
        <v>470000</v>
      </c>
      <c r="BD29">
        <v>470000</v>
      </c>
      <c r="BE29">
        <v>470000</v>
      </c>
      <c r="BF29">
        <v>470000</v>
      </c>
      <c r="BG29">
        <v>470000</v>
      </c>
      <c r="BH29">
        <v>470000</v>
      </c>
      <c r="BI29">
        <v>5625000</v>
      </c>
      <c r="BK29">
        <v>9100</v>
      </c>
      <c r="BL29">
        <v>9400</v>
      </c>
      <c r="BM29">
        <v>9400</v>
      </c>
      <c r="BN29">
        <v>9400</v>
      </c>
      <c r="BO29">
        <v>9400</v>
      </c>
      <c r="BP29">
        <v>9400</v>
      </c>
      <c r="BQ29">
        <v>9400</v>
      </c>
      <c r="BR29">
        <v>9400</v>
      </c>
      <c r="BS29">
        <v>9400</v>
      </c>
      <c r="BT29">
        <v>9400</v>
      </c>
      <c r="BU29">
        <v>9400</v>
      </c>
      <c r="BV29">
        <v>9400</v>
      </c>
      <c r="BW29">
        <v>112500</v>
      </c>
      <c r="BX29">
        <v>0.02</v>
      </c>
      <c r="BY29">
        <v>75000</v>
      </c>
      <c r="BZ29">
        <v>1.3333333333333334E-2</v>
      </c>
      <c r="CA29">
        <v>-37500</v>
      </c>
      <c r="CD29">
        <v>6066.666666666667</v>
      </c>
      <c r="CE29">
        <v>6266.666666666667</v>
      </c>
      <c r="CF29">
        <v>6266.666666666667</v>
      </c>
      <c r="CG29">
        <v>6266.666666666667</v>
      </c>
      <c r="CH29">
        <v>6266.666666666667</v>
      </c>
      <c r="CI29">
        <v>6266.666666666667</v>
      </c>
      <c r="CJ29">
        <v>6266.666666666667</v>
      </c>
      <c r="CK29">
        <v>6266.666666666667</v>
      </c>
      <c r="CL29">
        <v>6266.666666666667</v>
      </c>
      <c r="CM29">
        <v>6266.666666666667</v>
      </c>
      <c r="CN29">
        <v>6266.666666666667</v>
      </c>
      <c r="CO29">
        <v>6266.666666666667</v>
      </c>
      <c r="CP29">
        <v>75000</v>
      </c>
      <c r="CQ29">
        <v>1.3333333333333334E-2</v>
      </c>
    </row>
    <row r="30" spans="1:95" x14ac:dyDescent="0.3">
      <c r="G30">
        <v>455000</v>
      </c>
      <c r="H30">
        <v>455000</v>
      </c>
      <c r="I30">
        <v>455000</v>
      </c>
      <c r="J30">
        <v>455000</v>
      </c>
      <c r="K30">
        <v>455000</v>
      </c>
      <c r="L30">
        <v>455000</v>
      </c>
      <c r="M30">
        <v>455000</v>
      </c>
      <c r="N30">
        <v>455000</v>
      </c>
      <c r="O30">
        <v>455000</v>
      </c>
      <c r="P30">
        <v>455000</v>
      </c>
      <c r="Q30">
        <v>455000</v>
      </c>
      <c r="R30">
        <v>455000</v>
      </c>
      <c r="S30">
        <v>5460000</v>
      </c>
      <c r="U30">
        <v>0</v>
      </c>
      <c r="V30">
        <v>15000</v>
      </c>
      <c r="W30">
        <v>15000</v>
      </c>
      <c r="X30">
        <v>15000</v>
      </c>
      <c r="Y30">
        <v>15000</v>
      </c>
      <c r="Z30">
        <v>15000</v>
      </c>
      <c r="AA30">
        <v>15000</v>
      </c>
      <c r="AB30">
        <v>15000</v>
      </c>
      <c r="AC30">
        <v>15000</v>
      </c>
      <c r="AD30">
        <v>15000</v>
      </c>
      <c r="AE30">
        <v>15000</v>
      </c>
      <c r="AF30">
        <v>15000</v>
      </c>
      <c r="AG30">
        <v>165000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W30">
        <v>455000</v>
      </c>
      <c r="AX30">
        <v>470000</v>
      </c>
      <c r="AY30">
        <v>470000</v>
      </c>
      <c r="AZ30">
        <v>470000</v>
      </c>
      <c r="BA30">
        <v>470000</v>
      </c>
      <c r="BB30">
        <v>470000</v>
      </c>
      <c r="BC30">
        <v>470000</v>
      </c>
      <c r="BD30">
        <v>470000</v>
      </c>
      <c r="BE30">
        <v>470000</v>
      </c>
      <c r="BF30">
        <v>470000</v>
      </c>
      <c r="BG30">
        <v>470000</v>
      </c>
      <c r="BH30">
        <v>470000</v>
      </c>
      <c r="BI30">
        <v>5625000</v>
      </c>
      <c r="BK30">
        <v>9100</v>
      </c>
      <c r="BL30">
        <v>9400</v>
      </c>
      <c r="BM30">
        <v>9400</v>
      </c>
      <c r="BN30">
        <v>9400</v>
      </c>
      <c r="BO30">
        <v>9400</v>
      </c>
      <c r="BP30">
        <v>9400</v>
      </c>
      <c r="BQ30">
        <v>9400</v>
      </c>
      <c r="BR30">
        <v>9400</v>
      </c>
      <c r="BS30">
        <v>9400</v>
      </c>
      <c r="BT30">
        <v>9400</v>
      </c>
      <c r="BU30">
        <v>9400</v>
      </c>
      <c r="BV30">
        <v>9400</v>
      </c>
      <c r="BW30">
        <v>112500</v>
      </c>
      <c r="BX30">
        <v>0.02</v>
      </c>
      <c r="BY30">
        <v>75000</v>
      </c>
      <c r="BZ30">
        <v>1.3333333333333334E-2</v>
      </c>
      <c r="CA30">
        <v>-37500</v>
      </c>
      <c r="CD30">
        <v>6066.666666666667</v>
      </c>
      <c r="CE30">
        <v>6266.666666666667</v>
      </c>
      <c r="CF30">
        <v>6266.666666666667</v>
      </c>
      <c r="CG30">
        <v>6266.666666666667</v>
      </c>
      <c r="CH30">
        <v>6266.666666666667</v>
      </c>
      <c r="CI30">
        <v>6266.666666666667</v>
      </c>
      <c r="CJ30">
        <v>6266.666666666667</v>
      </c>
      <c r="CK30">
        <v>6266.666666666667</v>
      </c>
      <c r="CL30">
        <v>6266.666666666667</v>
      </c>
      <c r="CM30">
        <v>6266.666666666667</v>
      </c>
      <c r="CN30">
        <v>6266.666666666667</v>
      </c>
      <c r="CO30">
        <v>6266.666666666667</v>
      </c>
      <c r="CP30">
        <v>75000</v>
      </c>
      <c r="CQ30">
        <v>1.3333333333333334E-2</v>
      </c>
    </row>
    <row r="31" spans="1:95" x14ac:dyDescent="0.3">
      <c r="C31" t="s">
        <v>190</v>
      </c>
      <c r="G31">
        <v>6843403.9581627427</v>
      </c>
      <c r="H31">
        <v>6529369.5901911361</v>
      </c>
      <c r="I31">
        <v>6363680.1472793175</v>
      </c>
      <c r="J31">
        <v>5450828.1952289939</v>
      </c>
      <c r="K31">
        <v>6681944.040378117</v>
      </c>
      <c r="L31">
        <v>5703121.5539671052</v>
      </c>
      <c r="M31">
        <v>6238128.5856057238</v>
      </c>
      <c r="N31">
        <v>6543680.2911309786</v>
      </c>
      <c r="O31">
        <v>5979169.9703371748</v>
      </c>
      <c r="P31">
        <v>7296428.8728872351</v>
      </c>
      <c r="Q31">
        <v>6927404.349010447</v>
      </c>
      <c r="R31">
        <v>7200145.2182454234</v>
      </c>
      <c r="S31">
        <v>77757304.7724244</v>
      </c>
      <c r="U31">
        <v>764215.5079999998</v>
      </c>
      <c r="V31">
        <v>225746.47099999999</v>
      </c>
      <c r="W31">
        <v>252978.698</v>
      </c>
      <c r="X31">
        <v>767321.10800000001</v>
      </c>
      <c r="Y31">
        <v>338960.114</v>
      </c>
      <c r="Z31">
        <v>397153.06500000006</v>
      </c>
      <c r="AA31">
        <v>519825.587</v>
      </c>
      <c r="AB31">
        <v>300389.935</v>
      </c>
      <c r="AC31">
        <v>424918.67499999999</v>
      </c>
      <c r="AD31">
        <v>555384.18999999994</v>
      </c>
      <c r="AE31">
        <v>326405.58999999997</v>
      </c>
      <c r="AF31">
        <v>332140.815</v>
      </c>
      <c r="AG31">
        <v>5205439.7560000001</v>
      </c>
      <c r="AI31">
        <v>1131383.46</v>
      </c>
      <c r="AJ31">
        <v>1040004.86</v>
      </c>
      <c r="AK31">
        <v>795333</v>
      </c>
      <c r="AL31">
        <v>942187.4</v>
      </c>
      <c r="AM31">
        <v>1005297.4</v>
      </c>
      <c r="AN31">
        <v>947708.9</v>
      </c>
      <c r="AO31">
        <v>1133738.26</v>
      </c>
      <c r="AP31">
        <v>1077855.77</v>
      </c>
      <c r="AQ31">
        <v>867236.28</v>
      </c>
      <c r="AR31">
        <v>979795.35</v>
      </c>
      <c r="AS31">
        <v>1259729.46</v>
      </c>
      <c r="AT31">
        <v>1090004.8600000001</v>
      </c>
      <c r="AU31">
        <v>12270275</v>
      </c>
      <c r="AW31">
        <v>8739002.9261627421</v>
      </c>
      <c r="AX31">
        <v>7795120.9211911364</v>
      </c>
      <c r="AY31">
        <v>7411991.8452793164</v>
      </c>
      <c r="AZ31">
        <v>7160336.7032289933</v>
      </c>
      <c r="BA31">
        <v>8026201.5543781165</v>
      </c>
      <c r="BB31">
        <v>7047983.5189671051</v>
      </c>
      <c r="BC31">
        <v>7891692.4326057266</v>
      </c>
      <c r="BD31">
        <v>7921925.9961309796</v>
      </c>
      <c r="BE31">
        <v>7271324.925337174</v>
      </c>
      <c r="BF31">
        <v>8831608.4128872342</v>
      </c>
      <c r="BG31">
        <v>8513539.3990104459</v>
      </c>
      <c r="BH31">
        <v>8622290.8932454251</v>
      </c>
      <c r="BI31">
        <v>95233019.528424397</v>
      </c>
      <c r="BK31">
        <v>517855.20483139198</v>
      </c>
      <c r="BL31">
        <v>450533.4644833795</v>
      </c>
      <c r="BM31">
        <v>422964.42916955234</v>
      </c>
      <c r="BN31">
        <v>404348.56922602962</v>
      </c>
      <c r="BO31">
        <v>464959.1088064682</v>
      </c>
      <c r="BP31">
        <v>396483.84632769733</v>
      </c>
      <c r="BQ31">
        <v>455543.47028240078</v>
      </c>
      <c r="BR31">
        <v>457659.81972916855</v>
      </c>
      <c r="BS31">
        <v>412117.74477360223</v>
      </c>
      <c r="BT31">
        <v>521337.58890210651</v>
      </c>
      <c r="BU31">
        <v>499072.75793073134</v>
      </c>
      <c r="BV31">
        <v>506685.36252717971</v>
      </c>
      <c r="BW31">
        <v>5509561.3669897085</v>
      </c>
      <c r="BX31">
        <v>5.785347765168003E-2</v>
      </c>
      <c r="BY31">
        <v>5737254</v>
      </c>
      <c r="BZ31">
        <v>6.0244377721191442E-2</v>
      </c>
      <c r="CA31">
        <v>227692.63301029149</v>
      </c>
      <c r="CD31">
        <v>541566.79221647175</v>
      </c>
      <c r="CE31">
        <v>470487.39128759154</v>
      </c>
      <c r="CF31">
        <v>441678.19229323085</v>
      </c>
      <c r="CG31">
        <v>418477.09451902815</v>
      </c>
      <c r="CH31">
        <v>470739.84208972106</v>
      </c>
      <c r="CI31">
        <v>410632.53861167986</v>
      </c>
      <c r="CJ31">
        <v>474933.24537537078</v>
      </c>
      <c r="CK31">
        <v>464600.45592150174</v>
      </c>
      <c r="CL31">
        <v>438724.0673524724</v>
      </c>
      <c r="CM31">
        <v>561300.43475469924</v>
      </c>
      <c r="CN31">
        <v>521749.45455982961</v>
      </c>
      <c r="CO31">
        <v>522364.49101840367</v>
      </c>
      <c r="CP31">
        <v>5737254</v>
      </c>
      <c r="CQ31">
        <v>6.0244377721191442E-2</v>
      </c>
    </row>
    <row r="32" spans="1:95" x14ac:dyDescent="0.3">
      <c r="I32">
        <v>0.6</v>
      </c>
    </row>
    <row r="33" spans="1:95" x14ac:dyDescent="0.3">
      <c r="A33" t="s">
        <v>191</v>
      </c>
      <c r="B33" t="s">
        <v>192</v>
      </c>
      <c r="C33" t="s">
        <v>166</v>
      </c>
      <c r="E33">
        <v>0.06</v>
      </c>
      <c r="G33">
        <v>0</v>
      </c>
      <c r="H33">
        <v>0</v>
      </c>
      <c r="I33">
        <v>0</v>
      </c>
      <c r="J33">
        <v>175000</v>
      </c>
      <c r="K33">
        <v>50000</v>
      </c>
      <c r="L33">
        <v>50000</v>
      </c>
      <c r="M33">
        <v>50000</v>
      </c>
      <c r="N33">
        <v>50000</v>
      </c>
      <c r="O33">
        <v>50000</v>
      </c>
      <c r="P33">
        <v>50000</v>
      </c>
      <c r="Q33">
        <v>50000</v>
      </c>
      <c r="R33">
        <v>675000</v>
      </c>
      <c r="S33">
        <v>1200000</v>
      </c>
      <c r="U33">
        <v>0</v>
      </c>
      <c r="V33">
        <v>0</v>
      </c>
      <c r="W33">
        <v>0</v>
      </c>
      <c r="X33">
        <v>175000</v>
      </c>
      <c r="Y33">
        <v>50000</v>
      </c>
      <c r="Z33">
        <v>50000</v>
      </c>
      <c r="AA33">
        <v>50000</v>
      </c>
      <c r="AB33">
        <v>50000</v>
      </c>
      <c r="AC33">
        <v>50000</v>
      </c>
      <c r="AD33">
        <v>50000</v>
      </c>
      <c r="AE33">
        <v>50000</v>
      </c>
      <c r="AF33">
        <v>1776000</v>
      </c>
      <c r="AG33">
        <v>2301000</v>
      </c>
      <c r="AI33">
        <v>0</v>
      </c>
      <c r="AJ33">
        <v>0</v>
      </c>
      <c r="AK33">
        <v>250000</v>
      </c>
      <c r="AL33">
        <v>380115.53407502826</v>
      </c>
      <c r="AM33">
        <v>414406.18494653096</v>
      </c>
      <c r="AN33">
        <v>445432.61546358623</v>
      </c>
      <c r="AO33">
        <v>421672.21971581795</v>
      </c>
      <c r="AP33">
        <v>531106.5107872464</v>
      </c>
      <c r="AQ33">
        <v>517320.11501002865</v>
      </c>
      <c r="AR33">
        <v>521547.97038787062</v>
      </c>
      <c r="AS33">
        <v>433909.7063868306</v>
      </c>
      <c r="AT33">
        <v>-665510.856772937</v>
      </c>
      <c r="AU33">
        <v>3250000.0000000028</v>
      </c>
      <c r="AW33">
        <v>0</v>
      </c>
      <c r="AX33">
        <v>0</v>
      </c>
      <c r="AY33">
        <v>250000</v>
      </c>
      <c r="AZ33">
        <v>730115.53407502826</v>
      </c>
      <c r="BA33">
        <v>514406.18494653096</v>
      </c>
      <c r="BB33">
        <v>545432.61546358629</v>
      </c>
      <c r="BC33">
        <v>521672.21971581795</v>
      </c>
      <c r="BD33">
        <v>631106.5107872464</v>
      </c>
      <c r="BE33">
        <v>617320.11501002871</v>
      </c>
      <c r="BF33">
        <v>621547.97038787068</v>
      </c>
      <c r="BG33">
        <v>533909.70638683066</v>
      </c>
      <c r="BH33">
        <v>1785489.1432270631</v>
      </c>
      <c r="BI33">
        <v>6751000.0000000028</v>
      </c>
      <c r="BK33">
        <v>0</v>
      </c>
      <c r="BL33">
        <v>0</v>
      </c>
      <c r="BM33">
        <v>15000</v>
      </c>
      <c r="BN33">
        <v>43806.932044501693</v>
      </c>
      <c r="BO33">
        <v>30864.371096791856</v>
      </c>
      <c r="BP33">
        <v>32725.956927815176</v>
      </c>
      <c r="BQ33">
        <v>31300.333182949071</v>
      </c>
      <c r="BR33">
        <v>37866.390647234781</v>
      </c>
      <c r="BS33">
        <v>37039.206900601719</v>
      </c>
      <c r="BT33">
        <v>37292.878223272237</v>
      </c>
      <c r="BU33">
        <v>32034.582383209839</v>
      </c>
      <c r="BV33">
        <v>107129.34859362378</v>
      </c>
      <c r="BW33">
        <v>405060.00000000017</v>
      </c>
      <c r="BX33">
        <v>5.9999999999999991E-2</v>
      </c>
      <c r="BY33">
        <v>556000</v>
      </c>
      <c r="BZ33">
        <v>8.2358169160124395E-2</v>
      </c>
      <c r="CA33">
        <v>150939.99999999988</v>
      </c>
      <c r="CD33">
        <v>0</v>
      </c>
      <c r="CE33">
        <v>0</v>
      </c>
      <c r="CF33">
        <v>20589.542290031099</v>
      </c>
      <c r="CG33">
        <v>60130.978661785746</v>
      </c>
      <c r="CH33">
        <v>42365.551596840633</v>
      </c>
      <c r="CI33">
        <v>44920.831609799119</v>
      </c>
      <c r="CJ33">
        <v>42963.968917492915</v>
      </c>
      <c r="CK33">
        <v>51976.776773471909</v>
      </c>
      <c r="CL33">
        <v>50841.354457943387</v>
      </c>
      <c r="CM33">
        <v>51189.552886336241</v>
      </c>
      <c r="CN33">
        <v>43971.825914838941</v>
      </c>
      <c r="CO33">
        <v>147049.61689146003</v>
      </c>
      <c r="CP33">
        <v>556000</v>
      </c>
      <c r="CQ33">
        <v>8.2358169160124395E-2</v>
      </c>
    </row>
    <row r="34" spans="1:95" x14ac:dyDescent="0.3">
      <c r="B34" t="s">
        <v>193</v>
      </c>
      <c r="C34" t="s">
        <v>166</v>
      </c>
      <c r="E34">
        <v>0.06</v>
      </c>
      <c r="G34">
        <v>0</v>
      </c>
      <c r="H34">
        <v>0</v>
      </c>
      <c r="I34">
        <v>0</v>
      </c>
      <c r="J34">
        <v>35000</v>
      </c>
      <c r="K34">
        <v>30000</v>
      </c>
      <c r="L34">
        <v>32500</v>
      </c>
      <c r="M34">
        <v>32500</v>
      </c>
      <c r="N34">
        <v>40000</v>
      </c>
      <c r="O34">
        <v>40000</v>
      </c>
      <c r="P34">
        <v>42500</v>
      </c>
      <c r="Q34">
        <v>27500</v>
      </c>
      <c r="R34">
        <v>22500</v>
      </c>
      <c r="S34">
        <v>302500</v>
      </c>
      <c r="U34">
        <v>0</v>
      </c>
      <c r="V34">
        <v>0</v>
      </c>
      <c r="W34">
        <v>0</v>
      </c>
      <c r="X34">
        <v>35000</v>
      </c>
      <c r="Y34">
        <v>30000</v>
      </c>
      <c r="Z34">
        <v>32500</v>
      </c>
      <c r="AA34">
        <v>32500</v>
      </c>
      <c r="AB34">
        <v>40000</v>
      </c>
      <c r="AC34">
        <v>40000</v>
      </c>
      <c r="AD34">
        <v>42500</v>
      </c>
      <c r="AE34">
        <v>27500</v>
      </c>
      <c r="AF34">
        <v>22500</v>
      </c>
      <c r="AG34">
        <v>302500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W34">
        <v>0</v>
      </c>
      <c r="AX34">
        <v>0</v>
      </c>
      <c r="AY34">
        <v>0</v>
      </c>
      <c r="AZ34">
        <v>70000</v>
      </c>
      <c r="BA34">
        <v>60000</v>
      </c>
      <c r="BB34">
        <v>65000</v>
      </c>
      <c r="BC34">
        <v>65000</v>
      </c>
      <c r="BD34">
        <v>80000</v>
      </c>
      <c r="BE34">
        <v>80000</v>
      </c>
      <c r="BF34">
        <v>85000</v>
      </c>
      <c r="BG34">
        <v>55000</v>
      </c>
      <c r="BH34">
        <v>45000</v>
      </c>
      <c r="BI34">
        <v>605000</v>
      </c>
      <c r="BK34">
        <v>0</v>
      </c>
      <c r="BL34">
        <v>0</v>
      </c>
      <c r="BM34">
        <v>0</v>
      </c>
      <c r="BN34">
        <v>4200</v>
      </c>
      <c r="BO34">
        <v>3600</v>
      </c>
      <c r="BP34">
        <v>3900</v>
      </c>
      <c r="BQ34">
        <v>3900</v>
      </c>
      <c r="BR34">
        <v>4800</v>
      </c>
      <c r="BS34">
        <v>4800</v>
      </c>
      <c r="BT34">
        <v>5100</v>
      </c>
      <c r="BU34">
        <v>3300</v>
      </c>
      <c r="BV34">
        <v>2700</v>
      </c>
      <c r="BW34">
        <v>36300</v>
      </c>
      <c r="BX34">
        <v>0.06</v>
      </c>
      <c r="BZ34">
        <v>0</v>
      </c>
      <c r="CA34">
        <v>-36300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</row>
    <row r="35" spans="1:95" x14ac:dyDescent="0.3">
      <c r="B35" t="s">
        <v>194</v>
      </c>
      <c r="C35" t="s">
        <v>195</v>
      </c>
      <c r="E35">
        <v>0.06</v>
      </c>
      <c r="G35">
        <v>0</v>
      </c>
      <c r="H35">
        <v>75000</v>
      </c>
      <c r="I35">
        <v>83333.333333333328</v>
      </c>
      <c r="J35">
        <v>100876.65861146877</v>
      </c>
      <c r="K35">
        <v>113735.65268828251</v>
      </c>
      <c r="L35">
        <v>146203.89746551166</v>
      </c>
      <c r="M35">
        <v>158127.08239343169</v>
      </c>
      <c r="N35">
        <v>165831.60821188334</v>
      </c>
      <c r="O35">
        <v>193995.04312876071</v>
      </c>
      <c r="P35">
        <v>195580.48889545148</v>
      </c>
      <c r="Q35">
        <v>162716.13989506147</v>
      </c>
      <c r="R35">
        <v>125433.4287101488</v>
      </c>
      <c r="S35">
        <v>1520833.3333333335</v>
      </c>
      <c r="U35">
        <v>0</v>
      </c>
      <c r="V35">
        <v>25000</v>
      </c>
      <c r="W35">
        <v>27777.777777777777</v>
      </c>
      <c r="X35">
        <v>33625.552870489584</v>
      </c>
      <c r="Y35">
        <v>37911.884229427502</v>
      </c>
      <c r="Z35">
        <v>48734.632488503885</v>
      </c>
      <c r="AA35">
        <v>52709.027464477229</v>
      </c>
      <c r="AB35">
        <v>55277.202737294443</v>
      </c>
      <c r="AC35">
        <v>64665.014376253566</v>
      </c>
      <c r="AD35">
        <v>65193.49629848382</v>
      </c>
      <c r="AE35">
        <v>54238.713298353825</v>
      </c>
      <c r="AF35">
        <v>41811.142903382926</v>
      </c>
      <c r="AG35">
        <v>506944.44444444461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W35">
        <v>0</v>
      </c>
      <c r="AX35">
        <v>100000</v>
      </c>
      <c r="AY35">
        <v>111111.11111111112</v>
      </c>
      <c r="AZ35">
        <v>134502.21148195834</v>
      </c>
      <c r="BA35">
        <v>151647.53691771001</v>
      </c>
      <c r="BB35">
        <v>194938.52995401551</v>
      </c>
      <c r="BC35">
        <v>210836.10985790892</v>
      </c>
      <c r="BD35">
        <v>221108.81094917777</v>
      </c>
      <c r="BE35">
        <v>258660.05750501429</v>
      </c>
      <c r="BF35">
        <v>260773.98519393528</v>
      </c>
      <c r="BG35">
        <v>216954.8531934153</v>
      </c>
      <c r="BH35">
        <v>167244.57161353173</v>
      </c>
      <c r="BI35">
        <v>2027777.7777777785</v>
      </c>
      <c r="BK35">
        <v>0</v>
      </c>
      <c r="BL35">
        <v>6000</v>
      </c>
      <c r="BM35">
        <v>6666.6666666666661</v>
      </c>
      <c r="BN35">
        <v>8070.1326889174989</v>
      </c>
      <c r="BO35">
        <v>9098.8522150625995</v>
      </c>
      <c r="BP35">
        <v>11696.311797240933</v>
      </c>
      <c r="BQ35">
        <v>12650.166591474535</v>
      </c>
      <c r="BR35">
        <v>13266.528656950666</v>
      </c>
      <c r="BS35">
        <v>15519.603450300856</v>
      </c>
      <c r="BT35">
        <v>15646.439111636117</v>
      </c>
      <c r="BU35">
        <v>13017.291191604918</v>
      </c>
      <c r="BV35">
        <v>10034.674296811902</v>
      </c>
      <c r="BW35">
        <v>121666.66666666672</v>
      </c>
      <c r="BX35">
        <v>6.0000000000000005E-2</v>
      </c>
      <c r="BY35">
        <v>121666.66666666672</v>
      </c>
      <c r="BZ35">
        <v>6.0000000000000005E-2</v>
      </c>
      <c r="CA35">
        <v>0</v>
      </c>
      <c r="CD35">
        <v>0</v>
      </c>
      <c r="CE35">
        <v>6000.0000000000009</v>
      </c>
      <c r="CF35">
        <v>6666.666666666667</v>
      </c>
      <c r="CG35">
        <v>8070.1326889175007</v>
      </c>
      <c r="CH35">
        <v>9098.8522150626013</v>
      </c>
      <c r="CI35">
        <v>11696.311797240933</v>
      </c>
      <c r="CJ35">
        <v>12650.166591474535</v>
      </c>
      <c r="CK35">
        <v>13266.528656950668</v>
      </c>
      <c r="CL35">
        <v>15519.603450300858</v>
      </c>
      <c r="CM35">
        <v>15646.439111636118</v>
      </c>
      <c r="CN35">
        <v>13017.29119160492</v>
      </c>
      <c r="CO35">
        <v>10034.674296811903</v>
      </c>
      <c r="CP35">
        <v>121666.66666666672</v>
      </c>
      <c r="CQ35">
        <v>6.0000000000000005E-2</v>
      </c>
    </row>
    <row r="36" spans="1:95" x14ac:dyDescent="0.3">
      <c r="B36" t="s">
        <v>196</v>
      </c>
      <c r="C36" t="s">
        <v>195</v>
      </c>
      <c r="E36">
        <v>0.06</v>
      </c>
      <c r="G36">
        <v>0</v>
      </c>
      <c r="H36">
        <v>0</v>
      </c>
      <c r="I36">
        <v>0</v>
      </c>
      <c r="J36">
        <v>35000</v>
      </c>
      <c r="K36">
        <v>30000</v>
      </c>
      <c r="L36">
        <v>32500</v>
      </c>
      <c r="M36">
        <v>32500</v>
      </c>
      <c r="N36">
        <v>40000</v>
      </c>
      <c r="O36">
        <v>40000</v>
      </c>
      <c r="P36">
        <v>42500</v>
      </c>
      <c r="Q36">
        <v>27500</v>
      </c>
      <c r="R36">
        <v>22500</v>
      </c>
      <c r="S36">
        <v>302500</v>
      </c>
      <c r="U36">
        <v>0</v>
      </c>
      <c r="V36">
        <v>0</v>
      </c>
      <c r="W36">
        <v>0</v>
      </c>
      <c r="X36">
        <v>35000</v>
      </c>
      <c r="Y36">
        <v>30000</v>
      </c>
      <c r="Z36">
        <v>32500</v>
      </c>
      <c r="AA36">
        <v>32500</v>
      </c>
      <c r="AB36">
        <v>40000</v>
      </c>
      <c r="AC36">
        <v>40000</v>
      </c>
      <c r="AD36">
        <v>42500</v>
      </c>
      <c r="AE36">
        <v>27500</v>
      </c>
      <c r="AF36">
        <v>22500</v>
      </c>
      <c r="AG36">
        <v>302500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W36">
        <v>0</v>
      </c>
      <c r="AX36">
        <v>0</v>
      </c>
      <c r="AY36">
        <v>0</v>
      </c>
      <c r="AZ36">
        <v>70000</v>
      </c>
      <c r="BA36">
        <v>60000</v>
      </c>
      <c r="BB36">
        <v>65000</v>
      </c>
      <c r="BC36">
        <v>65000</v>
      </c>
      <c r="BD36">
        <v>80000</v>
      </c>
      <c r="BE36">
        <v>80000</v>
      </c>
      <c r="BF36">
        <v>85000</v>
      </c>
      <c r="BG36">
        <v>55000</v>
      </c>
      <c r="BH36">
        <v>45000</v>
      </c>
      <c r="BI36">
        <v>605000</v>
      </c>
      <c r="BK36">
        <v>0</v>
      </c>
      <c r="BL36">
        <v>0</v>
      </c>
      <c r="BM36">
        <v>0</v>
      </c>
      <c r="BN36">
        <v>4200</v>
      </c>
      <c r="BO36">
        <v>3600</v>
      </c>
      <c r="BP36">
        <v>3900</v>
      </c>
      <c r="BQ36">
        <v>3900</v>
      </c>
      <c r="BR36">
        <v>4800</v>
      </c>
      <c r="BS36">
        <v>4800</v>
      </c>
      <c r="BT36">
        <v>5100</v>
      </c>
      <c r="BU36">
        <v>3300</v>
      </c>
      <c r="BV36">
        <v>2700</v>
      </c>
      <c r="BW36">
        <v>36300</v>
      </c>
      <c r="BX36">
        <v>0.06</v>
      </c>
      <c r="BY36">
        <v>36300</v>
      </c>
      <c r="BZ36">
        <v>0.06</v>
      </c>
      <c r="CA36">
        <v>0</v>
      </c>
      <c r="CD36">
        <v>0</v>
      </c>
      <c r="CE36">
        <v>0</v>
      </c>
      <c r="CF36">
        <v>0</v>
      </c>
      <c r="CG36">
        <v>4200</v>
      </c>
      <c r="CH36">
        <v>3600</v>
      </c>
      <c r="CI36">
        <v>3900</v>
      </c>
      <c r="CJ36">
        <v>3900</v>
      </c>
      <c r="CK36">
        <v>4800</v>
      </c>
      <c r="CL36">
        <v>4800</v>
      </c>
      <c r="CM36">
        <v>5100</v>
      </c>
      <c r="CN36">
        <v>3300</v>
      </c>
      <c r="CO36">
        <v>2700</v>
      </c>
      <c r="CP36">
        <v>36300</v>
      </c>
      <c r="CQ36">
        <v>0.06</v>
      </c>
    </row>
    <row r="37" spans="1:95" x14ac:dyDescent="0.3">
      <c r="B37" t="s">
        <v>197</v>
      </c>
      <c r="C37" t="s">
        <v>195</v>
      </c>
      <c r="E37">
        <v>0.06</v>
      </c>
      <c r="G37">
        <v>0</v>
      </c>
      <c r="H37">
        <v>0</v>
      </c>
      <c r="I37">
        <v>0</v>
      </c>
      <c r="J37">
        <v>35000</v>
      </c>
      <c r="K37">
        <v>30000</v>
      </c>
      <c r="L37">
        <v>32500</v>
      </c>
      <c r="M37">
        <v>32500</v>
      </c>
      <c r="N37">
        <v>40000</v>
      </c>
      <c r="O37">
        <v>40000</v>
      </c>
      <c r="P37">
        <v>42500</v>
      </c>
      <c r="Q37">
        <v>27500</v>
      </c>
      <c r="R37">
        <v>22500</v>
      </c>
      <c r="S37">
        <v>302500</v>
      </c>
      <c r="U37">
        <v>0</v>
      </c>
      <c r="V37">
        <v>0</v>
      </c>
      <c r="W37">
        <v>0</v>
      </c>
      <c r="X37">
        <v>35000</v>
      </c>
      <c r="Y37">
        <v>30000</v>
      </c>
      <c r="Z37">
        <v>32500</v>
      </c>
      <c r="AA37">
        <v>32500</v>
      </c>
      <c r="AB37">
        <v>40000</v>
      </c>
      <c r="AC37">
        <v>40000</v>
      </c>
      <c r="AD37">
        <v>42500</v>
      </c>
      <c r="AE37">
        <v>27500</v>
      </c>
      <c r="AF37">
        <v>22500</v>
      </c>
      <c r="AG37">
        <v>302500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W37">
        <v>0</v>
      </c>
      <c r="AX37">
        <v>0</v>
      </c>
      <c r="AY37">
        <v>0</v>
      </c>
      <c r="AZ37">
        <v>70000</v>
      </c>
      <c r="BA37">
        <v>60000</v>
      </c>
      <c r="BB37">
        <v>65000</v>
      </c>
      <c r="BC37">
        <v>65000</v>
      </c>
      <c r="BD37">
        <v>80000</v>
      </c>
      <c r="BE37">
        <v>80000</v>
      </c>
      <c r="BF37">
        <v>85000</v>
      </c>
      <c r="BG37">
        <v>55000</v>
      </c>
      <c r="BH37">
        <v>45000</v>
      </c>
      <c r="BI37">
        <v>605000</v>
      </c>
      <c r="BK37">
        <v>0</v>
      </c>
      <c r="BL37">
        <v>0</v>
      </c>
      <c r="BM37">
        <v>0</v>
      </c>
      <c r="BN37">
        <v>4200</v>
      </c>
      <c r="BO37">
        <v>3600</v>
      </c>
      <c r="BP37">
        <v>3900</v>
      </c>
      <c r="BQ37">
        <v>3900</v>
      </c>
      <c r="BR37">
        <v>4800</v>
      </c>
      <c r="BS37">
        <v>4800</v>
      </c>
      <c r="BT37">
        <v>5100</v>
      </c>
      <c r="BU37">
        <v>3300</v>
      </c>
      <c r="BV37">
        <v>2700</v>
      </c>
      <c r="BW37">
        <v>36300</v>
      </c>
      <c r="BX37">
        <v>0.06</v>
      </c>
      <c r="BY37">
        <v>36300</v>
      </c>
      <c r="BZ37">
        <v>0.06</v>
      </c>
      <c r="CA37">
        <v>0</v>
      </c>
      <c r="CD37">
        <v>0</v>
      </c>
      <c r="CE37">
        <v>0</v>
      </c>
      <c r="CF37">
        <v>0</v>
      </c>
      <c r="CG37">
        <v>4200</v>
      </c>
      <c r="CH37">
        <v>3600</v>
      </c>
      <c r="CI37">
        <v>3900</v>
      </c>
      <c r="CJ37">
        <v>3900</v>
      </c>
      <c r="CK37">
        <v>4800</v>
      </c>
      <c r="CL37">
        <v>4800</v>
      </c>
      <c r="CM37">
        <v>5100</v>
      </c>
      <c r="CN37">
        <v>3300</v>
      </c>
      <c r="CO37">
        <v>2700</v>
      </c>
      <c r="CP37">
        <v>36300</v>
      </c>
      <c r="CQ37">
        <v>0.06</v>
      </c>
    </row>
    <row r="38" spans="1:95" x14ac:dyDescent="0.3">
      <c r="B38" t="s">
        <v>198</v>
      </c>
      <c r="C38" t="s">
        <v>195</v>
      </c>
      <c r="E38">
        <v>0.06</v>
      </c>
      <c r="G38">
        <v>0</v>
      </c>
      <c r="H38">
        <v>0</v>
      </c>
      <c r="I38">
        <v>0</v>
      </c>
      <c r="J38">
        <v>21000</v>
      </c>
      <c r="K38">
        <v>18000</v>
      </c>
      <c r="L38">
        <v>19500</v>
      </c>
      <c r="M38">
        <v>19500</v>
      </c>
      <c r="N38">
        <v>24000</v>
      </c>
      <c r="O38">
        <v>24000</v>
      </c>
      <c r="P38">
        <v>25500</v>
      </c>
      <c r="Q38">
        <v>16500</v>
      </c>
      <c r="R38">
        <v>13500</v>
      </c>
      <c r="S38">
        <v>181500</v>
      </c>
      <c r="U38">
        <v>0</v>
      </c>
      <c r="V38">
        <v>0</v>
      </c>
      <c r="W38">
        <v>0</v>
      </c>
      <c r="X38">
        <v>21000</v>
      </c>
      <c r="Y38">
        <v>18000</v>
      </c>
      <c r="Z38">
        <v>19500</v>
      </c>
      <c r="AA38">
        <v>19500</v>
      </c>
      <c r="AB38">
        <v>24000</v>
      </c>
      <c r="AC38">
        <v>24000</v>
      </c>
      <c r="AD38">
        <v>25500</v>
      </c>
      <c r="AE38">
        <v>16500</v>
      </c>
      <c r="AF38">
        <v>13500</v>
      </c>
      <c r="AG38">
        <v>181500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W38">
        <v>0</v>
      </c>
      <c r="AX38">
        <v>0</v>
      </c>
      <c r="AY38">
        <v>0</v>
      </c>
      <c r="AZ38">
        <v>42000</v>
      </c>
      <c r="BA38">
        <v>36000</v>
      </c>
      <c r="BB38">
        <v>39000</v>
      </c>
      <c r="BC38">
        <v>39000</v>
      </c>
      <c r="BD38">
        <v>48000</v>
      </c>
      <c r="BE38">
        <v>48000</v>
      </c>
      <c r="BF38">
        <v>51000</v>
      </c>
      <c r="BG38">
        <v>33000</v>
      </c>
      <c r="BH38">
        <v>27000</v>
      </c>
      <c r="BI38">
        <v>363000</v>
      </c>
      <c r="BK38">
        <v>0</v>
      </c>
      <c r="BL38">
        <v>0</v>
      </c>
      <c r="BM38">
        <v>0</v>
      </c>
      <c r="BN38">
        <v>2520</v>
      </c>
      <c r="BO38">
        <v>2160</v>
      </c>
      <c r="BP38">
        <v>2340</v>
      </c>
      <c r="BQ38">
        <v>2340</v>
      </c>
      <c r="BR38">
        <v>2880</v>
      </c>
      <c r="BS38">
        <v>2880</v>
      </c>
      <c r="BT38">
        <v>3060</v>
      </c>
      <c r="BU38">
        <v>1980</v>
      </c>
      <c r="BV38">
        <v>1620</v>
      </c>
      <c r="BW38">
        <v>21780</v>
      </c>
      <c r="BX38">
        <v>0.06</v>
      </c>
      <c r="BY38">
        <v>21780</v>
      </c>
      <c r="BZ38">
        <v>0.06</v>
      </c>
      <c r="CA38">
        <v>0</v>
      </c>
      <c r="CD38">
        <v>0</v>
      </c>
      <c r="CE38">
        <v>0</v>
      </c>
      <c r="CF38">
        <v>0</v>
      </c>
      <c r="CG38">
        <v>2520</v>
      </c>
      <c r="CH38">
        <v>2160</v>
      </c>
      <c r="CI38">
        <v>2340</v>
      </c>
      <c r="CJ38">
        <v>2340</v>
      </c>
      <c r="CK38">
        <v>2880</v>
      </c>
      <c r="CL38">
        <v>2880</v>
      </c>
      <c r="CM38">
        <v>3060</v>
      </c>
      <c r="CN38">
        <v>1980</v>
      </c>
      <c r="CO38">
        <v>1620</v>
      </c>
      <c r="CP38">
        <v>21780</v>
      </c>
      <c r="CQ38">
        <v>0.06</v>
      </c>
    </row>
    <row r="39" spans="1:95" x14ac:dyDescent="0.3">
      <c r="B39" t="s">
        <v>199</v>
      </c>
      <c r="C39" t="s">
        <v>166</v>
      </c>
      <c r="E39">
        <v>0.06</v>
      </c>
      <c r="G39">
        <v>0</v>
      </c>
      <c r="H39">
        <v>0</v>
      </c>
      <c r="I39">
        <v>0</v>
      </c>
      <c r="J39">
        <v>175000</v>
      </c>
      <c r="K39">
        <v>50000</v>
      </c>
      <c r="L39">
        <v>50000</v>
      </c>
      <c r="M39">
        <v>50000</v>
      </c>
      <c r="N39">
        <v>50000</v>
      </c>
      <c r="O39">
        <v>50000</v>
      </c>
      <c r="P39">
        <v>50000</v>
      </c>
      <c r="Q39">
        <v>50000</v>
      </c>
      <c r="R39">
        <v>50000</v>
      </c>
      <c r="S39">
        <v>575000</v>
      </c>
      <c r="U39">
        <v>0</v>
      </c>
      <c r="V39">
        <v>0</v>
      </c>
      <c r="W39">
        <v>0</v>
      </c>
      <c r="X39">
        <v>175000</v>
      </c>
      <c r="Y39">
        <v>50000</v>
      </c>
      <c r="Z39">
        <v>50000</v>
      </c>
      <c r="AA39">
        <v>50000</v>
      </c>
      <c r="AB39">
        <v>50000</v>
      </c>
      <c r="AC39">
        <v>50000</v>
      </c>
      <c r="AD39">
        <v>50000</v>
      </c>
      <c r="AE39">
        <v>50000</v>
      </c>
      <c r="AF39">
        <v>50000</v>
      </c>
      <c r="AG39">
        <v>575000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W39">
        <v>0</v>
      </c>
      <c r="AX39">
        <v>0</v>
      </c>
      <c r="AY39">
        <v>0</v>
      </c>
      <c r="AZ39">
        <v>350000</v>
      </c>
      <c r="BA39">
        <v>100000</v>
      </c>
      <c r="BB39">
        <v>100000</v>
      </c>
      <c r="BC39">
        <v>100000</v>
      </c>
      <c r="BD39">
        <v>100000</v>
      </c>
      <c r="BE39">
        <v>100000</v>
      </c>
      <c r="BF39">
        <v>100000</v>
      </c>
      <c r="BG39">
        <v>100000</v>
      </c>
      <c r="BH39">
        <v>100000</v>
      </c>
      <c r="BI39">
        <v>1150000</v>
      </c>
      <c r="BK39">
        <v>0</v>
      </c>
      <c r="BL39">
        <v>0</v>
      </c>
      <c r="BM39">
        <v>0</v>
      </c>
      <c r="BN39">
        <v>21000</v>
      </c>
      <c r="BO39">
        <v>6000</v>
      </c>
      <c r="BP39">
        <v>6000</v>
      </c>
      <c r="BQ39">
        <v>6000</v>
      </c>
      <c r="BR39">
        <v>6000</v>
      </c>
      <c r="BS39">
        <v>6000</v>
      </c>
      <c r="BT39">
        <v>6000</v>
      </c>
      <c r="BU39">
        <v>6000</v>
      </c>
      <c r="BV39">
        <v>6000</v>
      </c>
      <c r="BW39">
        <v>69000</v>
      </c>
      <c r="BX39">
        <v>0.06</v>
      </c>
      <c r="BY39">
        <v>69000</v>
      </c>
      <c r="BZ39">
        <v>0.06</v>
      </c>
      <c r="CA39">
        <v>0</v>
      </c>
      <c r="CD39">
        <v>0</v>
      </c>
      <c r="CE39">
        <v>0</v>
      </c>
      <c r="CF39">
        <v>0</v>
      </c>
      <c r="CG39">
        <v>21000</v>
      </c>
      <c r="CH39">
        <v>6000</v>
      </c>
      <c r="CI39">
        <v>6000</v>
      </c>
      <c r="CJ39">
        <v>6000</v>
      </c>
      <c r="CK39">
        <v>6000</v>
      </c>
      <c r="CL39">
        <v>6000</v>
      </c>
      <c r="CM39">
        <v>6000</v>
      </c>
      <c r="CN39">
        <v>6000</v>
      </c>
      <c r="CO39">
        <v>6000</v>
      </c>
      <c r="CP39">
        <v>69000</v>
      </c>
      <c r="CQ39">
        <v>0.06</v>
      </c>
    </row>
    <row r="40" spans="1:95" x14ac:dyDescent="0.3">
      <c r="A40" t="s">
        <v>200</v>
      </c>
      <c r="B40" t="s">
        <v>200</v>
      </c>
      <c r="C40" t="s">
        <v>175</v>
      </c>
      <c r="E40">
        <v>7.0000000000000007E-2</v>
      </c>
      <c r="G40">
        <v>75000</v>
      </c>
      <c r="H40">
        <v>85000</v>
      </c>
      <c r="I40">
        <v>85000</v>
      </c>
      <c r="J40">
        <v>110000</v>
      </c>
      <c r="K40">
        <v>110000</v>
      </c>
      <c r="L40">
        <v>130000</v>
      </c>
      <c r="M40">
        <v>135000</v>
      </c>
      <c r="N40">
        <v>145000</v>
      </c>
      <c r="O40">
        <v>145000</v>
      </c>
      <c r="P40">
        <v>150000</v>
      </c>
      <c r="Q40">
        <v>160000</v>
      </c>
      <c r="R40">
        <v>170000</v>
      </c>
      <c r="S40">
        <v>1500000</v>
      </c>
      <c r="U40">
        <v>37500</v>
      </c>
      <c r="V40">
        <v>42500</v>
      </c>
      <c r="W40">
        <v>42500</v>
      </c>
      <c r="X40">
        <v>55000</v>
      </c>
      <c r="Y40">
        <v>55000</v>
      </c>
      <c r="Z40">
        <v>65000</v>
      </c>
      <c r="AA40">
        <v>67500</v>
      </c>
      <c r="AB40">
        <v>72500</v>
      </c>
      <c r="AC40">
        <v>72500</v>
      </c>
      <c r="AD40">
        <v>75000</v>
      </c>
      <c r="AE40">
        <v>80000</v>
      </c>
      <c r="AF40">
        <v>85000</v>
      </c>
      <c r="AG40">
        <v>750000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W40">
        <v>112500</v>
      </c>
      <c r="AX40">
        <v>127500</v>
      </c>
      <c r="AY40">
        <v>127500</v>
      </c>
      <c r="AZ40">
        <v>165000</v>
      </c>
      <c r="BA40">
        <v>165000</v>
      </c>
      <c r="BB40">
        <v>195000</v>
      </c>
      <c r="BC40">
        <v>202500</v>
      </c>
      <c r="BD40">
        <v>217500</v>
      </c>
      <c r="BE40">
        <v>217500</v>
      </c>
      <c r="BF40">
        <v>225000</v>
      </c>
      <c r="BG40">
        <v>240000</v>
      </c>
      <c r="BH40">
        <v>255000</v>
      </c>
      <c r="BI40">
        <v>2250000</v>
      </c>
      <c r="BK40">
        <v>7875.0000000000018</v>
      </c>
      <c r="BL40">
        <v>8925</v>
      </c>
      <c r="BM40">
        <v>8925</v>
      </c>
      <c r="BN40">
        <v>11550.000000000002</v>
      </c>
      <c r="BO40">
        <v>11550.000000000002</v>
      </c>
      <c r="BP40">
        <v>13650.000000000002</v>
      </c>
      <c r="BQ40">
        <v>14175.000000000002</v>
      </c>
      <c r="BR40">
        <v>15225.000000000002</v>
      </c>
      <c r="BS40">
        <v>15225.000000000002</v>
      </c>
      <c r="BT40">
        <v>15750.000000000002</v>
      </c>
      <c r="BU40">
        <v>16800</v>
      </c>
      <c r="BV40">
        <v>17850</v>
      </c>
      <c r="BW40">
        <v>157500</v>
      </c>
      <c r="BX40">
        <v>7.0000000000000007E-2</v>
      </c>
      <c r="BY40">
        <v>100000</v>
      </c>
      <c r="BZ40">
        <v>4.4444444444444446E-2</v>
      </c>
      <c r="CA40">
        <v>-57500</v>
      </c>
      <c r="CD40">
        <v>5000</v>
      </c>
      <c r="CE40">
        <v>5666.666666666667</v>
      </c>
      <c r="CF40">
        <v>5666.666666666667</v>
      </c>
      <c r="CG40">
        <v>7333.3333333333348</v>
      </c>
      <c r="CH40">
        <v>7333.3333333333348</v>
      </c>
      <c r="CI40">
        <v>8666.6666666666679</v>
      </c>
      <c r="CJ40">
        <v>9000</v>
      </c>
      <c r="CK40">
        <v>9666.6666666666679</v>
      </c>
      <c r="CL40">
        <v>9666.6666666666679</v>
      </c>
      <c r="CM40">
        <v>10000</v>
      </c>
      <c r="CN40">
        <v>10666.666666666668</v>
      </c>
      <c r="CO40">
        <v>11333.333333333334</v>
      </c>
      <c r="CP40">
        <v>100000</v>
      </c>
      <c r="CQ40">
        <v>4.4444444444444453E-2</v>
      </c>
    </row>
    <row r="41" spans="1:95" x14ac:dyDescent="0.3">
      <c r="G41">
        <v>75000</v>
      </c>
      <c r="H41">
        <v>160000</v>
      </c>
      <c r="I41">
        <v>168333.33333333331</v>
      </c>
      <c r="J41">
        <v>686876.65861146874</v>
      </c>
      <c r="K41">
        <v>431735.65268828254</v>
      </c>
      <c r="L41">
        <v>493203.89746551169</v>
      </c>
      <c r="M41">
        <v>510127.08239343169</v>
      </c>
      <c r="N41">
        <v>554831.60821188334</v>
      </c>
      <c r="O41">
        <v>582995.04312876076</v>
      </c>
      <c r="P41">
        <v>598580.48889545142</v>
      </c>
      <c r="Q41">
        <v>521716.1398950615</v>
      </c>
      <c r="R41">
        <v>1101433.4287101489</v>
      </c>
      <c r="S41">
        <v>5884833.333333334</v>
      </c>
      <c r="U41">
        <v>37500</v>
      </c>
      <c r="V41">
        <v>67500</v>
      </c>
      <c r="W41">
        <v>70277.777777777781</v>
      </c>
      <c r="X41">
        <v>564625.55287048966</v>
      </c>
      <c r="Y41">
        <v>300911.88422942749</v>
      </c>
      <c r="Z41">
        <v>330734.63248850388</v>
      </c>
      <c r="AA41">
        <v>337209.02746447723</v>
      </c>
      <c r="AB41">
        <v>371777.20273729443</v>
      </c>
      <c r="AC41">
        <v>381165.01437625359</v>
      </c>
      <c r="AD41">
        <v>393193.49629848386</v>
      </c>
      <c r="AE41">
        <v>333238.71329835383</v>
      </c>
      <c r="AF41">
        <v>2033811.1429033829</v>
      </c>
      <c r="AG41">
        <v>5221944.444444444</v>
      </c>
      <c r="AI41">
        <v>0</v>
      </c>
      <c r="AJ41">
        <v>0</v>
      </c>
      <c r="AK41">
        <v>250000</v>
      </c>
      <c r="AL41">
        <v>380115.53407502826</v>
      </c>
      <c r="AM41">
        <v>414406.18494653096</v>
      </c>
      <c r="AN41">
        <v>445432.61546358623</v>
      </c>
      <c r="AO41">
        <v>421672.21971581795</v>
      </c>
      <c r="AP41">
        <v>531106.5107872464</v>
      </c>
      <c r="AQ41">
        <v>517320.11501002865</v>
      </c>
      <c r="AR41">
        <v>521547.97038787062</v>
      </c>
      <c r="AS41">
        <v>433909.7063868306</v>
      </c>
      <c r="AT41">
        <v>-665510.856772937</v>
      </c>
      <c r="AU41">
        <v>3250000.0000000028</v>
      </c>
      <c r="AW41">
        <v>112500</v>
      </c>
      <c r="AX41">
        <v>227500</v>
      </c>
      <c r="AY41">
        <v>488611.11111111112</v>
      </c>
      <c r="AZ41">
        <v>1631617.7455569869</v>
      </c>
      <c r="BA41">
        <v>1147053.7218642407</v>
      </c>
      <c r="BB41">
        <v>1269371.1454176018</v>
      </c>
      <c r="BC41">
        <v>1269008.3295737267</v>
      </c>
      <c r="BD41">
        <v>1457715.3217364242</v>
      </c>
      <c r="BE41">
        <v>1481480.1725150433</v>
      </c>
      <c r="BF41">
        <v>1513321.9555818059</v>
      </c>
      <c r="BG41">
        <v>1288864.559580246</v>
      </c>
      <c r="BH41">
        <v>2469733.7148405947</v>
      </c>
      <c r="BI41">
        <v>14356777.777777782</v>
      </c>
      <c r="BK41">
        <v>7875.0000000000018</v>
      </c>
      <c r="BL41">
        <v>14925</v>
      </c>
      <c r="BM41">
        <v>30591.666666666664</v>
      </c>
      <c r="BN41">
        <v>99547.064733419189</v>
      </c>
      <c r="BO41">
        <v>70473.223311854468</v>
      </c>
      <c r="BP41">
        <v>78112.268725056114</v>
      </c>
      <c r="BQ41">
        <v>78165.499774423603</v>
      </c>
      <c r="BR41">
        <v>89637.919304185445</v>
      </c>
      <c r="BS41">
        <v>91063.810350902582</v>
      </c>
      <c r="BT41">
        <v>93049.317334908352</v>
      </c>
      <c r="BU41">
        <v>79731.873574814759</v>
      </c>
      <c r="BV41">
        <v>150734.02289043571</v>
      </c>
      <c r="BW41">
        <v>883906.66666666686</v>
      </c>
      <c r="BX41">
        <v>6.1567204030616586E-2</v>
      </c>
      <c r="BY41">
        <v>941046.66666666674</v>
      </c>
      <c r="BZ41">
        <v>6.5547205733257993E-2</v>
      </c>
      <c r="CA41">
        <v>57139.999999999891</v>
      </c>
      <c r="CD41">
        <v>5000</v>
      </c>
      <c r="CE41">
        <v>11666.666666666668</v>
      </c>
      <c r="CF41">
        <v>32922.875623364431</v>
      </c>
      <c r="CG41">
        <v>107454.44468403656</v>
      </c>
      <c r="CH41">
        <v>74157.737145236562</v>
      </c>
      <c r="CI41">
        <v>81423.810073706714</v>
      </c>
      <c r="CJ41">
        <v>80754.135508967447</v>
      </c>
      <c r="CK41">
        <v>93389.972097089252</v>
      </c>
      <c r="CL41">
        <v>94507.624574910922</v>
      </c>
      <c r="CM41">
        <v>96095.991997972364</v>
      </c>
      <c r="CN41">
        <v>82235.783773110539</v>
      </c>
      <c r="CO41">
        <v>181437.62452160529</v>
      </c>
      <c r="CP41">
        <v>941046.66666666674</v>
      </c>
      <c r="CQ41">
        <v>6.5547205733257993E-2</v>
      </c>
    </row>
    <row r="42" spans="1:95" x14ac:dyDescent="0.3">
      <c r="C42" t="s">
        <v>201</v>
      </c>
      <c r="G42">
        <v>6918403.9581627427</v>
      </c>
      <c r="H42">
        <v>6689369.5901911361</v>
      </c>
      <c r="I42">
        <v>6532013.4806126505</v>
      </c>
      <c r="J42">
        <v>6137704.8538404629</v>
      </c>
      <c r="K42">
        <v>7113679.6930663995</v>
      </c>
      <c r="L42">
        <v>6196325.4514326174</v>
      </c>
      <c r="M42">
        <v>6748255.6679991558</v>
      </c>
      <c r="N42">
        <v>7098511.899342862</v>
      </c>
      <c r="O42">
        <v>6562165.0134659354</v>
      </c>
      <c r="P42">
        <v>7895009.3617826868</v>
      </c>
      <c r="Q42">
        <v>7449120.488905509</v>
      </c>
      <c r="R42">
        <v>8301578.646955573</v>
      </c>
      <c r="S42">
        <v>83642138.105757728</v>
      </c>
      <c r="U42">
        <v>801715.5079999998</v>
      </c>
      <c r="V42">
        <v>293246.47100000002</v>
      </c>
      <c r="W42">
        <v>323256.47577777778</v>
      </c>
      <c r="X42">
        <v>1331946.6608704897</v>
      </c>
      <c r="Y42">
        <v>639871.9982294275</v>
      </c>
      <c r="Z42">
        <v>727887.697488504</v>
      </c>
      <c r="AA42">
        <v>857034.61446447717</v>
      </c>
      <c r="AB42">
        <v>672167.13773729443</v>
      </c>
      <c r="AC42">
        <v>806083.68937625363</v>
      </c>
      <c r="AD42">
        <v>948577.68629848363</v>
      </c>
      <c r="AE42">
        <v>659644.3032983538</v>
      </c>
      <c r="AF42">
        <v>2365951.9579033828</v>
      </c>
      <c r="AG42">
        <v>10427384.200444443</v>
      </c>
      <c r="AI42">
        <v>1131383.46</v>
      </c>
      <c r="AJ42">
        <v>1040004.86</v>
      </c>
      <c r="AK42">
        <v>1045333</v>
      </c>
      <c r="AL42">
        <v>1322302.9340750282</v>
      </c>
      <c r="AM42">
        <v>1419703.5849465309</v>
      </c>
      <c r="AN42">
        <v>1393141.5154635862</v>
      </c>
      <c r="AO42">
        <v>1555410.4797158178</v>
      </c>
      <c r="AP42">
        <v>1608962.2807872463</v>
      </c>
      <c r="AQ42">
        <v>1384556.3950100287</v>
      </c>
      <c r="AR42">
        <v>1501343.3203878703</v>
      </c>
      <c r="AS42">
        <v>1693639.1663868306</v>
      </c>
      <c r="AT42">
        <v>424494.00322706287</v>
      </c>
      <c r="AU42">
        <v>15520275.000000004</v>
      </c>
      <c r="AW42">
        <v>8851502.9261627421</v>
      </c>
      <c r="AX42">
        <v>8022620.9211911364</v>
      </c>
      <c r="AY42">
        <v>7900602.9563904284</v>
      </c>
      <c r="AZ42">
        <v>8791954.4487859793</v>
      </c>
      <c r="BA42">
        <v>9173255.2762423567</v>
      </c>
      <c r="BB42">
        <v>8317354.6643847069</v>
      </c>
      <c r="BC42">
        <v>9160700.7621794529</v>
      </c>
      <c r="BD42">
        <v>9379641.317867402</v>
      </c>
      <c r="BE42">
        <v>8752805.097852217</v>
      </c>
      <c r="BF42">
        <v>10344930.368469041</v>
      </c>
      <c r="BG42">
        <v>9802403.9585906919</v>
      </c>
      <c r="BH42">
        <v>11092024.60808602</v>
      </c>
      <c r="BI42">
        <v>109589797.30620216</v>
      </c>
      <c r="BK42">
        <v>525730.20483139204</v>
      </c>
      <c r="BL42">
        <v>465458.4644833795</v>
      </c>
      <c r="BM42">
        <v>453556.09583621897</v>
      </c>
      <c r="BN42">
        <v>503895.63395944878</v>
      </c>
      <c r="BO42">
        <v>535432.33211832261</v>
      </c>
      <c r="BP42">
        <v>474596.11505275342</v>
      </c>
      <c r="BQ42">
        <v>533708.97005682439</v>
      </c>
      <c r="BR42">
        <v>547297.73903335398</v>
      </c>
      <c r="BS42">
        <v>503181.55512450478</v>
      </c>
      <c r="BT42">
        <v>614386.9062370148</v>
      </c>
      <c r="BU42">
        <v>578804.63150554616</v>
      </c>
      <c r="BV42">
        <v>657419.38541761541</v>
      </c>
      <c r="BW42">
        <v>6393468.0336563755</v>
      </c>
      <c r="BX42">
        <v>5.8339993236711102E-2</v>
      </c>
      <c r="BY42">
        <v>6678300.666666667</v>
      </c>
      <c r="BZ42">
        <v>6.0939073078189847E-2</v>
      </c>
      <c r="CA42">
        <v>-284832.63301029149</v>
      </c>
      <c r="CD42">
        <v>546566.79221647175</v>
      </c>
      <c r="CE42">
        <v>482154.05795425817</v>
      </c>
      <c r="CF42">
        <v>474601.06791659526</v>
      </c>
      <c r="CG42">
        <v>525931.53920306475</v>
      </c>
      <c r="CH42">
        <v>544897.57923495758</v>
      </c>
      <c r="CI42">
        <v>492056.34868538653</v>
      </c>
      <c r="CJ42">
        <v>555687.38088433817</v>
      </c>
      <c r="CK42">
        <v>557990.42801859102</v>
      </c>
      <c r="CL42">
        <v>533231.6919273833</v>
      </c>
      <c r="CM42">
        <v>657396.4267526716</v>
      </c>
      <c r="CN42">
        <v>603985.23833294015</v>
      </c>
      <c r="CO42">
        <v>703802.11554000899</v>
      </c>
      <c r="CP42">
        <v>6678300.666666667</v>
      </c>
      <c r="CQ42">
        <v>6.0939073078189847E-2</v>
      </c>
    </row>
  </sheetData>
  <phoneticPr fontId="2" type="noConversion"/>
  <pageMargins left="0.7" right="0.7" top="0.75" bottom="0.75" header="0.3" footer="0.3"/>
  <headerFooter>
    <oddHeader>&amp;R&amp;"Calibri"&amp;10&amp;K000000 Confidencial&amp;1#_x000D_</oddHeader>
  </headerFooter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78466-A914-4680-A069-966EBBBF5011}">
  <sheetPr codeName="Sheet9"/>
  <dimension ref="A1:K113"/>
  <sheetViews>
    <sheetView workbookViewId="0"/>
  </sheetViews>
  <sheetFormatPr baseColWidth="10" defaultColWidth="8.88671875" defaultRowHeight="14.4" x14ac:dyDescent="0.3"/>
  <cols>
    <col min="5" max="5" width="10.109375" bestFit="1" customWidth="1"/>
    <col min="6" max="6" width="10.5546875" bestFit="1" customWidth="1"/>
    <col min="7" max="7" width="41.109375" bestFit="1" customWidth="1"/>
    <col min="8" max="8" width="25.109375" bestFit="1" customWidth="1"/>
    <col min="9" max="9" width="11.6640625" bestFit="1" customWidth="1"/>
    <col min="10" max="10" width="14.6640625" bestFit="1" customWidth="1"/>
    <col min="11" max="11" width="11.6640625" bestFit="1" customWidth="1"/>
  </cols>
  <sheetData>
    <row r="1" spans="1:11" x14ac:dyDescent="0.3">
      <c r="A1" t="s">
        <v>440</v>
      </c>
      <c r="E1" t="s">
        <v>41</v>
      </c>
      <c r="F1" t="s">
        <v>204</v>
      </c>
      <c r="G1" t="s">
        <v>205</v>
      </c>
      <c r="H1" t="s">
        <v>206</v>
      </c>
      <c r="I1" t="s">
        <v>207</v>
      </c>
      <c r="J1" t="s">
        <v>208</v>
      </c>
      <c r="K1" t="s">
        <v>209</v>
      </c>
    </row>
    <row r="2" spans="1:11" hidden="1" x14ac:dyDescent="0.3">
      <c r="A2" t="s">
        <v>130</v>
      </c>
      <c r="F2" t="s">
        <v>210</v>
      </c>
      <c r="G2" t="s">
        <v>211</v>
      </c>
      <c r="H2" t="s">
        <v>212</v>
      </c>
      <c r="I2">
        <v>46.192481760760195</v>
      </c>
      <c r="J2">
        <v>58</v>
      </c>
      <c r="K2">
        <v>0.20357790067654835</v>
      </c>
    </row>
    <row r="3" spans="1:11" hidden="1" x14ac:dyDescent="0.3">
      <c r="A3" t="s">
        <v>441</v>
      </c>
      <c r="F3" t="s">
        <v>213</v>
      </c>
      <c r="G3" t="s">
        <v>214</v>
      </c>
      <c r="H3" t="s">
        <v>215</v>
      </c>
      <c r="I3">
        <v>37.931910384360002</v>
      </c>
      <c r="J3">
        <v>56.8</v>
      </c>
      <c r="K3">
        <v>0.33218467633169002</v>
      </c>
    </row>
    <row r="4" spans="1:11" hidden="1" x14ac:dyDescent="0.3">
      <c r="A4" t="s">
        <v>442</v>
      </c>
      <c r="F4" t="s">
        <v>216</v>
      </c>
      <c r="G4" t="s">
        <v>217</v>
      </c>
      <c r="H4" t="s">
        <v>215</v>
      </c>
      <c r="I4">
        <v>19.389269951279999</v>
      </c>
      <c r="J4">
        <v>30.8</v>
      </c>
      <c r="K4">
        <v>0.37047824833506493</v>
      </c>
    </row>
    <row r="5" spans="1:11" hidden="1" x14ac:dyDescent="0.3">
      <c r="F5" t="s">
        <v>218</v>
      </c>
      <c r="G5" t="s">
        <v>219</v>
      </c>
      <c r="H5" t="s">
        <v>181</v>
      </c>
      <c r="I5">
        <v>17.958084151961</v>
      </c>
      <c r="J5">
        <v>31.466750000000001</v>
      </c>
      <c r="K5">
        <v>0.42929968452538003</v>
      </c>
    </row>
    <row r="6" spans="1:11" hidden="1" x14ac:dyDescent="0.3">
      <c r="F6" t="s">
        <v>220</v>
      </c>
      <c r="G6" t="s">
        <v>221</v>
      </c>
      <c r="H6" t="s">
        <v>215</v>
      </c>
      <c r="I6">
        <v>12.819079031020001</v>
      </c>
      <c r="J6">
        <v>21.5</v>
      </c>
      <c r="K6">
        <v>0.40376376599906971</v>
      </c>
    </row>
    <row r="7" spans="1:11" hidden="1" x14ac:dyDescent="0.3">
      <c r="F7" t="s">
        <v>222</v>
      </c>
      <c r="G7" t="s">
        <v>223</v>
      </c>
      <c r="H7" t="s">
        <v>224</v>
      </c>
      <c r="I7">
        <v>5.4317591467418902</v>
      </c>
      <c r="J7">
        <v>9.2799999999999994</v>
      </c>
      <c r="K7">
        <v>0.41468112642867561</v>
      </c>
    </row>
    <row r="8" spans="1:11" hidden="1" x14ac:dyDescent="0.3">
      <c r="F8" t="s">
        <v>225</v>
      </c>
      <c r="G8" t="s">
        <v>226</v>
      </c>
      <c r="H8" t="s">
        <v>227</v>
      </c>
      <c r="I8">
        <v>27.811895974107301</v>
      </c>
      <c r="J8">
        <v>45</v>
      </c>
      <c r="K8">
        <v>0.38195786724205993</v>
      </c>
    </row>
    <row r="9" spans="1:11" hidden="1" x14ac:dyDescent="0.3">
      <c r="F9" t="s">
        <v>228</v>
      </c>
      <c r="G9" t="s">
        <v>229</v>
      </c>
      <c r="H9" t="s">
        <v>224</v>
      </c>
      <c r="I9">
        <v>154.98021933274998</v>
      </c>
      <c r="J9">
        <v>265</v>
      </c>
      <c r="K9">
        <v>0.4151689836500001</v>
      </c>
    </row>
    <row r="10" spans="1:11" hidden="1" x14ac:dyDescent="0.3">
      <c r="F10" t="s">
        <v>230</v>
      </c>
      <c r="G10" t="s">
        <v>231</v>
      </c>
      <c r="H10" t="s">
        <v>224</v>
      </c>
      <c r="I10">
        <v>91.382399387339262</v>
      </c>
      <c r="J10">
        <v>155</v>
      </c>
      <c r="K10">
        <v>0.410436132984908</v>
      </c>
    </row>
    <row r="11" spans="1:11" x14ac:dyDescent="0.3">
      <c r="F11" t="s">
        <v>232</v>
      </c>
      <c r="G11" t="s">
        <v>233</v>
      </c>
      <c r="H11" t="s">
        <v>13</v>
      </c>
      <c r="I11">
        <v>62.906819349353221</v>
      </c>
      <c r="J11">
        <v>111</v>
      </c>
      <c r="K11" s="15">
        <v>0.43327189775357455</v>
      </c>
    </row>
    <row r="12" spans="1:11" hidden="1" x14ac:dyDescent="0.3">
      <c r="F12" t="s">
        <v>234</v>
      </c>
      <c r="G12" t="s">
        <v>235</v>
      </c>
      <c r="H12" t="s">
        <v>227</v>
      </c>
      <c r="I12">
        <v>19.677838740177194</v>
      </c>
      <c r="J12">
        <v>25</v>
      </c>
      <c r="K12">
        <v>0.21288645039291221</v>
      </c>
    </row>
    <row r="13" spans="1:11" hidden="1" x14ac:dyDescent="0.3">
      <c r="F13" t="s">
        <v>236</v>
      </c>
      <c r="G13" t="s">
        <v>237</v>
      </c>
      <c r="H13" t="s">
        <v>238</v>
      </c>
      <c r="I13">
        <v>15.7252484607575</v>
      </c>
      <c r="J13">
        <v>37.83</v>
      </c>
      <c r="K13">
        <v>0.58431804227445139</v>
      </c>
    </row>
    <row r="14" spans="1:11" hidden="1" x14ac:dyDescent="0.3">
      <c r="F14" t="s">
        <v>239</v>
      </c>
      <c r="G14" t="s">
        <v>240</v>
      </c>
      <c r="H14" t="s">
        <v>227</v>
      </c>
      <c r="I14">
        <v>39.310208815772697</v>
      </c>
      <c r="J14">
        <v>76</v>
      </c>
      <c r="K14">
        <v>0.48276041031878025</v>
      </c>
    </row>
    <row r="15" spans="1:11" hidden="1" x14ac:dyDescent="0.3">
      <c r="F15" t="s">
        <v>241</v>
      </c>
      <c r="G15" t="s">
        <v>242</v>
      </c>
      <c r="H15" t="s">
        <v>224</v>
      </c>
      <c r="I15">
        <v>96.685709332750008</v>
      </c>
      <c r="J15">
        <v>182</v>
      </c>
      <c r="K15">
        <v>0.46875983883104388</v>
      </c>
    </row>
    <row r="16" spans="1:11" hidden="1" x14ac:dyDescent="0.3">
      <c r="F16" t="s">
        <v>243</v>
      </c>
      <c r="G16" t="s">
        <v>244</v>
      </c>
      <c r="H16" t="s">
        <v>227</v>
      </c>
      <c r="I16">
        <v>48.351419290539148</v>
      </c>
      <c r="J16">
        <v>90</v>
      </c>
      <c r="K16">
        <v>0.46276200788289834</v>
      </c>
    </row>
    <row r="17" spans="6:11" x14ac:dyDescent="0.3">
      <c r="F17" t="s">
        <v>245</v>
      </c>
      <c r="G17" t="s">
        <v>246</v>
      </c>
      <c r="H17" t="s">
        <v>13</v>
      </c>
      <c r="I17">
        <v>56.931774604159997</v>
      </c>
      <c r="J17">
        <v>111</v>
      </c>
      <c r="K17" s="15">
        <v>0.48710112969225228</v>
      </c>
    </row>
    <row r="18" spans="6:11" x14ac:dyDescent="0.3">
      <c r="F18" t="s">
        <v>247</v>
      </c>
      <c r="G18" t="s">
        <v>248</v>
      </c>
      <c r="H18" t="s">
        <v>13</v>
      </c>
      <c r="I18">
        <v>19.959661306361003</v>
      </c>
      <c r="J18">
        <v>40.585999999999999</v>
      </c>
      <c r="K18" s="15">
        <v>0.50821314477009305</v>
      </c>
    </row>
    <row r="19" spans="6:11" x14ac:dyDescent="0.3">
      <c r="F19" t="s">
        <v>249</v>
      </c>
      <c r="G19" t="s">
        <v>250</v>
      </c>
      <c r="H19" t="s">
        <v>13</v>
      </c>
      <c r="I19">
        <v>53.465212299683003</v>
      </c>
      <c r="J19">
        <v>110.09</v>
      </c>
      <c r="K19" s="15">
        <v>0.51434996548566625</v>
      </c>
    </row>
    <row r="20" spans="6:11" hidden="1" x14ac:dyDescent="0.3">
      <c r="F20" t="s">
        <v>251</v>
      </c>
      <c r="G20" t="s">
        <v>252</v>
      </c>
      <c r="H20" t="s">
        <v>238</v>
      </c>
      <c r="I20">
        <v>9.3857371269141474</v>
      </c>
      <c r="J20">
        <v>18.5</v>
      </c>
      <c r="K20">
        <v>0.49266285800464071</v>
      </c>
    </row>
    <row r="21" spans="6:11" hidden="1" x14ac:dyDescent="0.3">
      <c r="F21" t="s">
        <v>253</v>
      </c>
      <c r="G21" t="s">
        <v>254</v>
      </c>
      <c r="H21" t="s">
        <v>227</v>
      </c>
      <c r="I21">
        <v>20.125004611368503</v>
      </c>
      <c r="J21">
        <v>24.5</v>
      </c>
      <c r="K21">
        <v>0.17857124035230598</v>
      </c>
    </row>
    <row r="22" spans="6:11" hidden="1" x14ac:dyDescent="0.3">
      <c r="F22" t="s">
        <v>255</v>
      </c>
      <c r="G22" t="s">
        <v>256</v>
      </c>
      <c r="H22" t="s">
        <v>227</v>
      </c>
      <c r="I22">
        <v>50.394279752195196</v>
      </c>
      <c r="J22">
        <v>90</v>
      </c>
      <c r="K22">
        <v>0.44006355830894228</v>
      </c>
    </row>
    <row r="23" spans="6:11" hidden="1" x14ac:dyDescent="0.3">
      <c r="F23" t="s">
        <v>257</v>
      </c>
      <c r="G23" t="s">
        <v>258</v>
      </c>
      <c r="H23" t="s">
        <v>227</v>
      </c>
      <c r="I23">
        <v>50.148837092203586</v>
      </c>
      <c r="J23">
        <v>90</v>
      </c>
      <c r="K23">
        <v>0.44279069897551571</v>
      </c>
    </row>
    <row r="24" spans="6:11" hidden="1" x14ac:dyDescent="0.3">
      <c r="F24" t="s">
        <v>259</v>
      </c>
      <c r="G24" t="s">
        <v>260</v>
      </c>
      <c r="H24" t="s">
        <v>261</v>
      </c>
      <c r="I24">
        <v>41.940960377517762</v>
      </c>
      <c r="J24">
        <v>82.7</v>
      </c>
      <c r="K24">
        <v>0.49285416714005126</v>
      </c>
    </row>
    <row r="25" spans="6:11" hidden="1" x14ac:dyDescent="0.3">
      <c r="F25" t="s">
        <v>262</v>
      </c>
      <c r="G25" t="s">
        <v>263</v>
      </c>
      <c r="H25" t="s">
        <v>224</v>
      </c>
      <c r="I25">
        <v>30.161747191314138</v>
      </c>
      <c r="J25">
        <v>46.9</v>
      </c>
      <c r="K25">
        <v>0.35689238398050882</v>
      </c>
    </row>
    <row r="26" spans="6:11" hidden="1" x14ac:dyDescent="0.3">
      <c r="F26" t="s">
        <v>264</v>
      </c>
      <c r="G26" t="s">
        <v>265</v>
      </c>
      <c r="H26" t="s">
        <v>261</v>
      </c>
      <c r="I26">
        <v>13.287841152407832</v>
      </c>
      <c r="J26">
        <v>26.82</v>
      </c>
      <c r="K26">
        <v>0.50455476687517398</v>
      </c>
    </row>
    <row r="27" spans="6:11" hidden="1" x14ac:dyDescent="0.3">
      <c r="F27" t="s">
        <v>266</v>
      </c>
      <c r="G27" t="s">
        <v>267</v>
      </c>
      <c r="H27" t="s">
        <v>261</v>
      </c>
      <c r="I27">
        <v>41.502791040023524</v>
      </c>
      <c r="J27">
        <v>82.7</v>
      </c>
      <c r="K27">
        <v>0.49815246626331899</v>
      </c>
    </row>
    <row r="28" spans="6:11" hidden="1" x14ac:dyDescent="0.3">
      <c r="F28" t="s">
        <v>268</v>
      </c>
      <c r="G28" t="s">
        <v>269</v>
      </c>
      <c r="H28" t="s">
        <v>261</v>
      </c>
      <c r="I28">
        <v>13.196609867409995</v>
      </c>
      <c r="J28">
        <v>26.82</v>
      </c>
      <c r="K28">
        <v>0.50795638078262506</v>
      </c>
    </row>
    <row r="29" spans="6:11" hidden="1" x14ac:dyDescent="0.3">
      <c r="F29" t="s">
        <v>270</v>
      </c>
      <c r="G29" t="s">
        <v>271</v>
      </c>
      <c r="H29" t="s">
        <v>212</v>
      </c>
      <c r="I29">
        <v>58.088877024939997</v>
      </c>
      <c r="J29">
        <v>123.42</v>
      </c>
      <c r="K29">
        <v>0.5293398393701183</v>
      </c>
    </row>
    <row r="30" spans="6:11" hidden="1" x14ac:dyDescent="0.3">
      <c r="F30" t="s">
        <v>272</v>
      </c>
      <c r="G30" t="s">
        <v>273</v>
      </c>
      <c r="H30" t="s">
        <v>224</v>
      </c>
      <c r="I30">
        <v>3.9179047759883066</v>
      </c>
      <c r="J30">
        <v>7.2</v>
      </c>
      <c r="K30">
        <v>0.45584655889051295</v>
      </c>
    </row>
    <row r="31" spans="6:11" hidden="1" x14ac:dyDescent="0.3">
      <c r="F31" t="s">
        <v>274</v>
      </c>
      <c r="G31" t="s">
        <v>275</v>
      </c>
      <c r="H31" t="s">
        <v>227</v>
      </c>
      <c r="I31">
        <v>51.128415903843191</v>
      </c>
      <c r="J31">
        <v>90</v>
      </c>
      <c r="K31">
        <v>0.43190648995729786</v>
      </c>
    </row>
    <row r="32" spans="6:11" hidden="1" x14ac:dyDescent="0.3">
      <c r="F32" t="s">
        <v>276</v>
      </c>
      <c r="G32" t="s">
        <v>277</v>
      </c>
      <c r="H32" t="s">
        <v>227</v>
      </c>
      <c r="I32">
        <v>29.271911164404234</v>
      </c>
      <c r="J32">
        <v>55</v>
      </c>
      <c r="K32">
        <v>0.46778343337446848</v>
      </c>
    </row>
    <row r="33" spans="5:11" hidden="1" x14ac:dyDescent="0.3">
      <c r="F33" t="s">
        <v>278</v>
      </c>
      <c r="G33" t="s">
        <v>279</v>
      </c>
      <c r="H33" t="s">
        <v>227</v>
      </c>
      <c r="I33">
        <v>50.194440903843187</v>
      </c>
      <c r="J33">
        <v>90</v>
      </c>
      <c r="K33">
        <v>0.4422839899572979</v>
      </c>
    </row>
    <row r="34" spans="5:11" hidden="1" x14ac:dyDescent="0.3">
      <c r="F34" t="s">
        <v>280</v>
      </c>
      <c r="G34" t="s">
        <v>281</v>
      </c>
      <c r="H34" t="s">
        <v>227</v>
      </c>
      <c r="I34">
        <v>87.947730450811065</v>
      </c>
      <c r="J34">
        <v>160</v>
      </c>
      <c r="K34">
        <v>0.45032668468243087</v>
      </c>
    </row>
    <row r="35" spans="5:11" hidden="1" x14ac:dyDescent="0.3">
      <c r="F35" t="s">
        <v>282</v>
      </c>
      <c r="G35" t="s">
        <v>283</v>
      </c>
      <c r="H35" t="s">
        <v>238</v>
      </c>
      <c r="I35">
        <v>18.197313930513996</v>
      </c>
      <c r="J35">
        <v>29.89</v>
      </c>
      <c r="K35">
        <v>0.39119056773121463</v>
      </c>
    </row>
    <row r="36" spans="5:11" hidden="1" x14ac:dyDescent="0.3">
      <c r="F36" t="s">
        <v>284</v>
      </c>
      <c r="G36" t="s">
        <v>285</v>
      </c>
      <c r="H36" t="s">
        <v>227</v>
      </c>
      <c r="I36">
        <v>18.730434927478168</v>
      </c>
      <c r="J36">
        <v>24.5</v>
      </c>
      <c r="K36">
        <v>0.23549245193966661</v>
      </c>
    </row>
    <row r="37" spans="5:11" hidden="1" x14ac:dyDescent="0.3">
      <c r="F37" t="s">
        <v>286</v>
      </c>
      <c r="G37" t="s">
        <v>287</v>
      </c>
      <c r="H37" t="s">
        <v>227</v>
      </c>
      <c r="I37">
        <v>59.49381116894979</v>
      </c>
      <c r="J37">
        <v>135</v>
      </c>
      <c r="K37">
        <v>0.55930510245222376</v>
      </c>
    </row>
    <row r="38" spans="5:11" hidden="1" x14ac:dyDescent="0.3">
      <c r="F38" t="s">
        <v>288</v>
      </c>
      <c r="G38" t="s">
        <v>289</v>
      </c>
      <c r="H38" t="s">
        <v>261</v>
      </c>
      <c r="I38">
        <v>11.913713819289702</v>
      </c>
      <c r="J38">
        <v>26.82</v>
      </c>
      <c r="K38">
        <v>0.5557899396237993</v>
      </c>
    </row>
    <row r="39" spans="5:11" hidden="1" x14ac:dyDescent="0.3">
      <c r="F39" t="s">
        <v>290</v>
      </c>
      <c r="G39" t="s">
        <v>291</v>
      </c>
      <c r="H39" t="s">
        <v>227</v>
      </c>
      <c r="I39">
        <v>19.243036426649304</v>
      </c>
      <c r="J39">
        <v>24.5</v>
      </c>
      <c r="K39">
        <v>0.21456994176941613</v>
      </c>
    </row>
    <row r="40" spans="5:11" hidden="1" x14ac:dyDescent="0.3">
      <c r="F40" t="s">
        <v>292</v>
      </c>
      <c r="G40" t="s">
        <v>293</v>
      </c>
      <c r="H40" t="s">
        <v>227</v>
      </c>
      <c r="I40">
        <v>52.48691199205139</v>
      </c>
      <c r="J40">
        <v>85</v>
      </c>
      <c r="K40">
        <v>0.38250691774057188</v>
      </c>
    </row>
    <row r="41" spans="5:11" hidden="1" x14ac:dyDescent="0.3">
      <c r="F41" t="s">
        <v>294</v>
      </c>
      <c r="G41" t="s">
        <v>295</v>
      </c>
      <c r="H41" t="s">
        <v>227</v>
      </c>
      <c r="I41">
        <v>31.914431753014195</v>
      </c>
      <c r="J41">
        <v>75</v>
      </c>
      <c r="K41">
        <v>0.574474243293144</v>
      </c>
    </row>
    <row r="42" spans="5:11" hidden="1" x14ac:dyDescent="0.3">
      <c r="F42" t="s">
        <v>296</v>
      </c>
      <c r="G42" t="s">
        <v>297</v>
      </c>
      <c r="H42" t="s">
        <v>261</v>
      </c>
      <c r="I42">
        <v>35.270441665777803</v>
      </c>
      <c r="J42">
        <v>82.7</v>
      </c>
      <c r="K42">
        <v>0.57351340186483912</v>
      </c>
    </row>
    <row r="43" spans="5:11" hidden="1" x14ac:dyDescent="0.3">
      <c r="E43" t="s">
        <v>298</v>
      </c>
      <c r="F43" t="s">
        <v>299</v>
      </c>
      <c r="G43" t="s">
        <v>300</v>
      </c>
      <c r="H43" t="s">
        <v>301</v>
      </c>
      <c r="I43">
        <v>7.1805382558200002</v>
      </c>
      <c r="J43">
        <v>17.8</v>
      </c>
      <c r="K43">
        <v>0.59659897439213483</v>
      </c>
    </row>
    <row r="44" spans="5:11" hidden="1" x14ac:dyDescent="0.3">
      <c r="F44" t="s">
        <v>302</v>
      </c>
      <c r="G44" t="s">
        <v>303</v>
      </c>
      <c r="H44" t="s">
        <v>261</v>
      </c>
      <c r="I44">
        <v>34.790031888683295</v>
      </c>
      <c r="J44">
        <v>82.7</v>
      </c>
      <c r="K44">
        <v>0.57932246809330956</v>
      </c>
    </row>
    <row r="45" spans="5:11" hidden="1" x14ac:dyDescent="0.3">
      <c r="F45" t="s">
        <v>304</v>
      </c>
      <c r="G45" t="s">
        <v>305</v>
      </c>
      <c r="H45" t="s">
        <v>261</v>
      </c>
      <c r="I45">
        <v>34.766491986704267</v>
      </c>
      <c r="J45">
        <v>82.7</v>
      </c>
      <c r="K45">
        <v>0.57960711019704636</v>
      </c>
    </row>
    <row r="46" spans="5:11" hidden="1" x14ac:dyDescent="0.3">
      <c r="F46" t="s">
        <v>306</v>
      </c>
      <c r="G46" t="s">
        <v>307</v>
      </c>
      <c r="H46" t="s">
        <v>227</v>
      </c>
      <c r="I46">
        <v>93.081395484102771</v>
      </c>
      <c r="J46">
        <v>160</v>
      </c>
      <c r="K46">
        <v>0.41824127822435764</v>
      </c>
    </row>
    <row r="47" spans="5:11" hidden="1" x14ac:dyDescent="0.3">
      <c r="F47" t="s">
        <v>308</v>
      </c>
      <c r="G47" t="s">
        <v>309</v>
      </c>
      <c r="H47" t="s">
        <v>238</v>
      </c>
      <c r="I47">
        <v>26.801439999999999</v>
      </c>
      <c r="J47">
        <v>71.27</v>
      </c>
      <c r="K47">
        <v>0.62394499789532754</v>
      </c>
    </row>
    <row r="48" spans="5:11" hidden="1" x14ac:dyDescent="0.3">
      <c r="F48" t="s">
        <v>310</v>
      </c>
      <c r="G48" t="s">
        <v>311</v>
      </c>
      <c r="H48" t="s">
        <v>261</v>
      </c>
      <c r="I48">
        <v>35.876039191971522</v>
      </c>
      <c r="J48">
        <v>82.7</v>
      </c>
      <c r="K48">
        <v>0.56619057808982443</v>
      </c>
    </row>
    <row r="49" spans="5:11" x14ac:dyDescent="0.3">
      <c r="F49" t="s">
        <v>312</v>
      </c>
      <c r="G49" t="s">
        <v>313</v>
      </c>
      <c r="H49" t="s">
        <v>13</v>
      </c>
      <c r="I49">
        <v>142.88716730404343</v>
      </c>
      <c r="J49">
        <v>363.19</v>
      </c>
      <c r="K49" s="15">
        <v>0.60657736362773362</v>
      </c>
    </row>
    <row r="50" spans="5:11" x14ac:dyDescent="0.3">
      <c r="F50" t="s">
        <v>314</v>
      </c>
      <c r="G50" t="s">
        <v>315</v>
      </c>
      <c r="H50" t="s">
        <v>13</v>
      </c>
      <c r="I50">
        <v>35.650986449089999</v>
      </c>
      <c r="J50">
        <v>91.87</v>
      </c>
      <c r="K50" s="15">
        <v>0.6119409333940351</v>
      </c>
    </row>
    <row r="51" spans="5:11" hidden="1" x14ac:dyDescent="0.3">
      <c r="F51" t="s">
        <v>316</v>
      </c>
      <c r="G51" t="s">
        <v>317</v>
      </c>
      <c r="H51" t="s">
        <v>224</v>
      </c>
      <c r="I51">
        <v>17.298223777651202</v>
      </c>
      <c r="J51">
        <v>45.65</v>
      </c>
      <c r="K51">
        <v>0.62106848241727919</v>
      </c>
    </row>
    <row r="52" spans="5:11" x14ac:dyDescent="0.3">
      <c r="F52" t="s">
        <v>318</v>
      </c>
      <c r="G52" t="s">
        <v>319</v>
      </c>
      <c r="H52" t="s">
        <v>13</v>
      </c>
      <c r="I52">
        <v>73.894028943063191</v>
      </c>
      <c r="J52">
        <v>191.2</v>
      </c>
      <c r="K52" s="15">
        <v>0.6135249532266569</v>
      </c>
    </row>
    <row r="53" spans="5:11" x14ac:dyDescent="0.3">
      <c r="F53" t="s">
        <v>320</v>
      </c>
      <c r="G53" t="s">
        <v>321</v>
      </c>
      <c r="H53" t="s">
        <v>13</v>
      </c>
      <c r="I53">
        <v>8.2872627213137982</v>
      </c>
      <c r="J53">
        <v>23.26</v>
      </c>
      <c r="K53" s="15">
        <v>0.64371183485323313</v>
      </c>
    </row>
    <row r="54" spans="5:11" hidden="1" x14ac:dyDescent="0.3">
      <c r="F54" t="s">
        <v>322</v>
      </c>
      <c r="G54" t="s">
        <v>323</v>
      </c>
      <c r="H54" t="s">
        <v>238</v>
      </c>
      <c r="I54">
        <v>21.708375022157298</v>
      </c>
      <c r="J54">
        <v>58.55</v>
      </c>
      <c r="K54">
        <v>0.62923356068049019</v>
      </c>
    </row>
    <row r="55" spans="5:11" x14ac:dyDescent="0.3">
      <c r="F55" t="s">
        <v>324</v>
      </c>
      <c r="G55" t="s">
        <v>325</v>
      </c>
      <c r="H55" t="s">
        <v>13</v>
      </c>
      <c r="I55">
        <v>22.543752700709604</v>
      </c>
      <c r="J55">
        <v>52.85</v>
      </c>
      <c r="K55" s="15">
        <v>0.57343892713889111</v>
      </c>
    </row>
    <row r="56" spans="5:11" hidden="1" x14ac:dyDescent="0.3">
      <c r="F56" t="s">
        <v>326</v>
      </c>
      <c r="G56" t="s">
        <v>327</v>
      </c>
      <c r="H56" t="s">
        <v>238</v>
      </c>
      <c r="I56">
        <v>24.387624693450547</v>
      </c>
      <c r="J56">
        <v>45</v>
      </c>
      <c r="K56">
        <v>0.45805278458998788</v>
      </c>
    </row>
    <row r="57" spans="5:11" hidden="1" x14ac:dyDescent="0.3">
      <c r="F57" t="s">
        <v>328</v>
      </c>
      <c r="G57" t="s">
        <v>329</v>
      </c>
      <c r="H57" t="s">
        <v>238</v>
      </c>
      <c r="I57">
        <v>27.3251039180332</v>
      </c>
      <c r="J57">
        <v>80</v>
      </c>
      <c r="K57">
        <v>0.658436201024585</v>
      </c>
    </row>
    <row r="58" spans="5:11" hidden="1" x14ac:dyDescent="0.3">
      <c r="E58" t="s">
        <v>330</v>
      </c>
      <c r="F58" t="s">
        <v>331</v>
      </c>
      <c r="G58" t="s">
        <v>332</v>
      </c>
      <c r="H58" t="s">
        <v>301</v>
      </c>
      <c r="I58">
        <v>7.1074585348000001</v>
      </c>
      <c r="J58">
        <v>20.7</v>
      </c>
      <c r="K58">
        <v>0.65664451522705314</v>
      </c>
    </row>
    <row r="59" spans="5:11" x14ac:dyDescent="0.3">
      <c r="F59" t="s">
        <v>333</v>
      </c>
      <c r="G59" t="s">
        <v>334</v>
      </c>
      <c r="H59" t="s">
        <v>13</v>
      </c>
      <c r="I59">
        <v>54.436805305627921</v>
      </c>
      <c r="J59">
        <v>117.7</v>
      </c>
      <c r="K59" s="15">
        <v>0.53749528202525132</v>
      </c>
    </row>
    <row r="60" spans="5:11" x14ac:dyDescent="0.3">
      <c r="F60" t="s">
        <v>335</v>
      </c>
      <c r="G60" t="s">
        <v>336</v>
      </c>
      <c r="H60" t="s">
        <v>13</v>
      </c>
      <c r="I60">
        <v>20.668311755776298</v>
      </c>
      <c r="J60">
        <v>61.827878800000001</v>
      </c>
      <c r="K60" s="15">
        <v>0.66571210015737603</v>
      </c>
    </row>
    <row r="61" spans="5:11" x14ac:dyDescent="0.3">
      <c r="F61" t="s">
        <v>337</v>
      </c>
      <c r="G61" t="s">
        <v>338</v>
      </c>
      <c r="H61" t="s">
        <v>13</v>
      </c>
      <c r="I61">
        <v>73.901157012510012</v>
      </c>
      <c r="J61">
        <v>236.5625</v>
      </c>
      <c r="K61" s="15">
        <v>0.68760409188899341</v>
      </c>
    </row>
    <row r="62" spans="5:11" hidden="1" x14ac:dyDescent="0.3">
      <c r="F62" t="s">
        <v>339</v>
      </c>
      <c r="G62" t="s">
        <v>340</v>
      </c>
      <c r="H62" t="s">
        <v>212</v>
      </c>
      <c r="I62">
        <v>6.9869277113999999</v>
      </c>
      <c r="J62">
        <v>22.96</v>
      </c>
      <c r="K62">
        <v>0.69569130176829264</v>
      </c>
    </row>
    <row r="63" spans="5:11" hidden="1" x14ac:dyDescent="0.3">
      <c r="F63" t="s">
        <v>341</v>
      </c>
      <c r="G63" t="s">
        <v>342</v>
      </c>
      <c r="H63" t="s">
        <v>238</v>
      </c>
      <c r="I63">
        <v>10.905046393478598</v>
      </c>
      <c r="J63">
        <v>34.69</v>
      </c>
      <c r="K63">
        <v>0.68564294051661578</v>
      </c>
    </row>
    <row r="64" spans="5:11" x14ac:dyDescent="0.3">
      <c r="F64" t="s">
        <v>343</v>
      </c>
      <c r="G64" t="s">
        <v>344</v>
      </c>
      <c r="H64" t="s">
        <v>13</v>
      </c>
      <c r="I64">
        <v>18.944190466460608</v>
      </c>
      <c r="J64">
        <v>40.438000000000002</v>
      </c>
      <c r="K64" s="15">
        <v>0.53152503915968619</v>
      </c>
    </row>
    <row r="65" spans="6:11" x14ac:dyDescent="0.3">
      <c r="F65" t="s">
        <v>345</v>
      </c>
      <c r="G65" t="s">
        <v>346</v>
      </c>
      <c r="H65" t="s">
        <v>13</v>
      </c>
      <c r="I65">
        <v>20.9168528046036</v>
      </c>
      <c r="J65">
        <v>64.168224000000009</v>
      </c>
      <c r="K65" s="15">
        <v>0.67403098448534904</v>
      </c>
    </row>
    <row r="66" spans="6:11" x14ac:dyDescent="0.3">
      <c r="F66" t="s">
        <v>347</v>
      </c>
      <c r="G66" t="s">
        <v>348</v>
      </c>
      <c r="H66" t="s">
        <v>13</v>
      </c>
      <c r="I66">
        <v>14.150375107499999</v>
      </c>
      <c r="J66">
        <v>49.728637642857144</v>
      </c>
      <c r="K66" s="15">
        <v>0.71544816471495454</v>
      </c>
    </row>
    <row r="67" spans="6:11" hidden="1" x14ac:dyDescent="0.3">
      <c r="F67" t="s">
        <v>349</v>
      </c>
      <c r="G67" t="s">
        <v>350</v>
      </c>
      <c r="H67" t="s">
        <v>351</v>
      </c>
      <c r="I67">
        <v>97.914551904747015</v>
      </c>
      <c r="J67">
        <v>100.66</v>
      </c>
      <c r="K67">
        <v>2.7274469454132588E-2</v>
      </c>
    </row>
    <row r="68" spans="6:11" hidden="1" x14ac:dyDescent="0.3">
      <c r="F68" t="s">
        <v>352</v>
      </c>
      <c r="G68" t="s">
        <v>353</v>
      </c>
      <c r="H68" t="s">
        <v>238</v>
      </c>
      <c r="I68">
        <v>11.0487491137</v>
      </c>
      <c r="J68">
        <v>33.5</v>
      </c>
      <c r="K68">
        <v>0.6701865936208955</v>
      </c>
    </row>
    <row r="69" spans="6:11" hidden="1" x14ac:dyDescent="0.3">
      <c r="F69" t="s">
        <v>354</v>
      </c>
      <c r="G69" t="s">
        <v>355</v>
      </c>
      <c r="H69" t="s">
        <v>238</v>
      </c>
      <c r="I69">
        <v>10.977688525954441</v>
      </c>
      <c r="J69">
        <v>36.840000000000003</v>
      </c>
      <c r="K69">
        <v>0.70201714098929313</v>
      </c>
    </row>
    <row r="70" spans="6:11" hidden="1" x14ac:dyDescent="0.3">
      <c r="F70" t="s">
        <v>356</v>
      </c>
      <c r="G70" t="s">
        <v>357</v>
      </c>
      <c r="H70" t="s">
        <v>224</v>
      </c>
      <c r="I70">
        <v>9.4497500342550005</v>
      </c>
      <c r="J70">
        <v>34.65</v>
      </c>
      <c r="K70">
        <v>0.72727994129134199</v>
      </c>
    </row>
    <row r="71" spans="6:11" hidden="1" x14ac:dyDescent="0.3">
      <c r="F71" t="s">
        <v>358</v>
      </c>
      <c r="G71" t="s">
        <v>359</v>
      </c>
      <c r="H71" t="s">
        <v>224</v>
      </c>
      <c r="I71">
        <v>2.0500606314255001</v>
      </c>
      <c r="J71">
        <v>7.86</v>
      </c>
      <c r="K71">
        <v>0.73917803671431304</v>
      </c>
    </row>
    <row r="72" spans="6:11" x14ac:dyDescent="0.3">
      <c r="F72" t="s">
        <v>360</v>
      </c>
      <c r="G72" t="s">
        <v>361</v>
      </c>
      <c r="H72" t="s">
        <v>13</v>
      </c>
      <c r="I72">
        <v>18.097545409361601</v>
      </c>
      <c r="J72">
        <v>68.503288999999995</v>
      </c>
      <c r="K72" s="15">
        <v>0.73581494153716331</v>
      </c>
    </row>
    <row r="73" spans="6:11" x14ac:dyDescent="0.3">
      <c r="F73" t="s">
        <v>362</v>
      </c>
      <c r="G73" t="s">
        <v>363</v>
      </c>
      <c r="H73" t="s">
        <v>13</v>
      </c>
      <c r="I73">
        <v>9.811355980699199</v>
      </c>
      <c r="J73">
        <v>37.020000000000003</v>
      </c>
      <c r="K73" s="15">
        <v>0.73497147539980556</v>
      </c>
    </row>
    <row r="74" spans="6:11" x14ac:dyDescent="0.3">
      <c r="F74" t="s">
        <v>364</v>
      </c>
      <c r="G74" t="s">
        <v>365</v>
      </c>
      <c r="H74" t="s">
        <v>13</v>
      </c>
      <c r="I74">
        <v>9.8100447938805093</v>
      </c>
      <c r="J74">
        <v>37.020000000000003</v>
      </c>
      <c r="K74" s="15">
        <v>0.73500689373634498</v>
      </c>
    </row>
    <row r="75" spans="6:11" x14ac:dyDescent="0.3">
      <c r="F75" t="s">
        <v>366</v>
      </c>
      <c r="G75" t="s">
        <v>367</v>
      </c>
      <c r="H75" t="s">
        <v>13</v>
      </c>
      <c r="I75">
        <v>15.869514505993244</v>
      </c>
      <c r="J75">
        <v>59.37</v>
      </c>
      <c r="K75" s="15">
        <v>0.73270145686384969</v>
      </c>
    </row>
    <row r="76" spans="6:11" x14ac:dyDescent="0.3">
      <c r="F76" t="s">
        <v>368</v>
      </c>
      <c r="G76" t="s">
        <v>369</v>
      </c>
      <c r="H76" t="s">
        <v>13</v>
      </c>
      <c r="I76">
        <v>13.147071583039999</v>
      </c>
      <c r="J76">
        <v>49.65071414285714</v>
      </c>
      <c r="K76" s="15">
        <v>0.73520881199789623</v>
      </c>
    </row>
    <row r="77" spans="6:11" x14ac:dyDescent="0.3">
      <c r="F77" t="s">
        <v>370</v>
      </c>
      <c r="G77" t="s">
        <v>371</v>
      </c>
      <c r="H77" t="s">
        <v>13</v>
      </c>
      <c r="I77">
        <v>21.921979195794002</v>
      </c>
      <c r="J77">
        <v>61.66</v>
      </c>
      <c r="K77" s="15">
        <v>0.64447000979899438</v>
      </c>
    </row>
    <row r="78" spans="6:11" x14ac:dyDescent="0.3">
      <c r="F78" t="s">
        <v>372</v>
      </c>
      <c r="G78" t="s">
        <v>373</v>
      </c>
      <c r="H78" t="s">
        <v>13</v>
      </c>
      <c r="I78">
        <v>17.909879691468102</v>
      </c>
      <c r="J78">
        <v>64.33006828571429</v>
      </c>
      <c r="K78" s="15">
        <v>0.72159395802405313</v>
      </c>
    </row>
    <row r="79" spans="6:11" x14ac:dyDescent="0.3">
      <c r="F79" t="s">
        <v>374</v>
      </c>
      <c r="G79" t="s">
        <v>375</v>
      </c>
      <c r="H79" t="s">
        <v>13</v>
      </c>
      <c r="I79">
        <v>9.8725228140749977</v>
      </c>
      <c r="J79">
        <v>43.791649999999997</v>
      </c>
      <c r="K79" s="15">
        <v>0.77455695745478881</v>
      </c>
    </row>
    <row r="80" spans="6:11" x14ac:dyDescent="0.3">
      <c r="F80" t="s">
        <v>376</v>
      </c>
      <c r="G80" t="s">
        <v>377</v>
      </c>
      <c r="H80" t="s">
        <v>13</v>
      </c>
      <c r="I80">
        <v>11.67251888799</v>
      </c>
      <c r="J80">
        <v>53.571064636363637</v>
      </c>
      <c r="K80" s="15">
        <v>0.78211150054190293</v>
      </c>
    </row>
    <row r="81" spans="6:11" x14ac:dyDescent="0.3">
      <c r="F81" t="s">
        <v>378</v>
      </c>
      <c r="G81" t="s">
        <v>379</v>
      </c>
      <c r="H81" t="s">
        <v>13</v>
      </c>
      <c r="I81">
        <v>17.243368911868352</v>
      </c>
      <c r="J81">
        <v>45.591593000000003</v>
      </c>
      <c r="K81" s="15">
        <v>0.62178621589580452</v>
      </c>
    </row>
    <row r="82" spans="6:11" x14ac:dyDescent="0.3">
      <c r="F82" t="s">
        <v>380</v>
      </c>
      <c r="G82" t="s">
        <v>381</v>
      </c>
      <c r="H82" t="s">
        <v>13</v>
      </c>
      <c r="I82">
        <v>10.317099254833</v>
      </c>
      <c r="J82">
        <v>46.259248727272727</v>
      </c>
      <c r="K82" s="15">
        <v>0.77697218310529059</v>
      </c>
    </row>
    <row r="83" spans="6:11" x14ac:dyDescent="0.3">
      <c r="F83" t="s">
        <v>382</v>
      </c>
      <c r="G83" t="s">
        <v>383</v>
      </c>
      <c r="H83" t="s">
        <v>13</v>
      </c>
      <c r="I83">
        <v>12.736400073799999</v>
      </c>
      <c r="J83">
        <v>40.253409176470591</v>
      </c>
      <c r="K83" s="15">
        <v>0.68359449958725893</v>
      </c>
    </row>
    <row r="84" spans="6:11" x14ac:dyDescent="0.3">
      <c r="F84" t="s">
        <v>384</v>
      </c>
      <c r="G84" t="s">
        <v>385</v>
      </c>
      <c r="H84" t="s">
        <v>13</v>
      </c>
      <c r="I84">
        <v>12.09142760498</v>
      </c>
      <c r="J84">
        <v>57.587692307692308</v>
      </c>
      <c r="K84" s="15">
        <v>0.7900345174386354</v>
      </c>
    </row>
    <row r="85" spans="6:11" x14ac:dyDescent="0.3">
      <c r="F85" t="s">
        <v>386</v>
      </c>
      <c r="G85" t="s">
        <v>387</v>
      </c>
      <c r="H85" t="s">
        <v>13</v>
      </c>
      <c r="I85">
        <v>8.5055542560951025</v>
      </c>
      <c r="J85">
        <v>40.200000000000003</v>
      </c>
      <c r="K85" s="15">
        <v>0.7884190483558432</v>
      </c>
    </row>
    <row r="86" spans="6:11" x14ac:dyDescent="0.3">
      <c r="F86" t="s">
        <v>388</v>
      </c>
      <c r="G86" t="s">
        <v>389</v>
      </c>
      <c r="H86" t="s">
        <v>13</v>
      </c>
      <c r="I86">
        <v>10.41094472416515</v>
      </c>
      <c r="J86">
        <v>66.69</v>
      </c>
      <c r="K86" s="15">
        <v>0.84389046747390695</v>
      </c>
    </row>
    <row r="87" spans="6:11" x14ac:dyDescent="0.3">
      <c r="F87" t="s">
        <v>390</v>
      </c>
      <c r="G87" t="s">
        <v>391</v>
      </c>
      <c r="H87" t="s">
        <v>13</v>
      </c>
      <c r="I87">
        <v>10.237314669670557</v>
      </c>
      <c r="J87">
        <v>60.5</v>
      </c>
      <c r="K87" s="15">
        <v>0.83078818727817261</v>
      </c>
    </row>
    <row r="88" spans="6:11" hidden="1" x14ac:dyDescent="0.3">
      <c r="F88" t="s">
        <v>392</v>
      </c>
      <c r="G88" t="s">
        <v>393</v>
      </c>
      <c r="H88" t="s">
        <v>224</v>
      </c>
      <c r="I88">
        <v>9.569133523234834</v>
      </c>
      <c r="J88">
        <v>41.34</v>
      </c>
      <c r="K88">
        <v>0.76852603959277133</v>
      </c>
    </row>
    <row r="89" spans="6:11" x14ac:dyDescent="0.3">
      <c r="F89" t="s">
        <v>394</v>
      </c>
      <c r="G89" t="s">
        <v>395</v>
      </c>
      <c r="H89" t="s">
        <v>13</v>
      </c>
      <c r="I89">
        <v>13.459950576203401</v>
      </c>
      <c r="J89">
        <v>50.245669444444445</v>
      </c>
      <c r="K89" s="15">
        <v>0.73211720084482546</v>
      </c>
    </row>
    <row r="90" spans="6:11" hidden="1" x14ac:dyDescent="0.3">
      <c r="F90" t="s">
        <v>396</v>
      </c>
      <c r="G90" t="s">
        <v>397</v>
      </c>
      <c r="H90" t="s">
        <v>224</v>
      </c>
      <c r="I90">
        <v>1.519651918190233</v>
      </c>
      <c r="J90">
        <v>7.5</v>
      </c>
      <c r="K90">
        <v>0.7973797442413022</v>
      </c>
    </row>
    <row r="91" spans="6:11" x14ac:dyDescent="0.3">
      <c r="F91" t="s">
        <v>398</v>
      </c>
      <c r="G91" t="s">
        <v>399</v>
      </c>
      <c r="H91" t="s">
        <v>13</v>
      </c>
      <c r="I91">
        <v>10.6073686106831</v>
      </c>
      <c r="J91">
        <v>53.8578975</v>
      </c>
      <c r="K91" s="15">
        <v>0.80304896583304053</v>
      </c>
    </row>
    <row r="92" spans="6:11" x14ac:dyDescent="0.3">
      <c r="F92" t="s">
        <v>400</v>
      </c>
      <c r="G92" t="s">
        <v>401</v>
      </c>
      <c r="H92" t="s">
        <v>13</v>
      </c>
      <c r="I92">
        <v>10.775655374624998</v>
      </c>
      <c r="J92">
        <v>66.179420499999992</v>
      </c>
      <c r="K92" s="15">
        <v>0.83717513249266062</v>
      </c>
    </row>
    <row r="93" spans="6:11" x14ac:dyDescent="0.3">
      <c r="F93" t="s">
        <v>402</v>
      </c>
      <c r="G93" t="s">
        <v>403</v>
      </c>
      <c r="H93" t="s">
        <v>13</v>
      </c>
      <c r="I93">
        <v>16.656328391762099</v>
      </c>
      <c r="J93">
        <v>89.66</v>
      </c>
      <c r="K93" s="15">
        <v>0.81422787874456726</v>
      </c>
    </row>
    <row r="94" spans="6:11" hidden="1" x14ac:dyDescent="0.3">
      <c r="F94" t="s">
        <v>404</v>
      </c>
      <c r="G94" t="s">
        <v>405</v>
      </c>
      <c r="H94" t="s">
        <v>224</v>
      </c>
      <c r="I94">
        <v>6.8242516616659996</v>
      </c>
      <c r="J94">
        <v>36.96</v>
      </c>
      <c r="K94">
        <v>0.81536115634020567</v>
      </c>
    </row>
    <row r="95" spans="6:11" x14ac:dyDescent="0.3">
      <c r="F95" t="s">
        <v>406</v>
      </c>
      <c r="G95" t="s">
        <v>407</v>
      </c>
      <c r="H95" t="s">
        <v>13</v>
      </c>
      <c r="I95">
        <v>7.4172252091097999</v>
      </c>
      <c r="J95">
        <v>41.61</v>
      </c>
      <c r="K95" s="15">
        <v>0.8217441670485508</v>
      </c>
    </row>
    <row r="96" spans="6:11" x14ac:dyDescent="0.3">
      <c r="F96" t="s">
        <v>408</v>
      </c>
      <c r="G96" t="s">
        <v>409</v>
      </c>
      <c r="H96" t="s">
        <v>13</v>
      </c>
      <c r="I96">
        <v>7.4244878737238507</v>
      </c>
      <c r="J96">
        <v>41.69</v>
      </c>
      <c r="K96" s="15">
        <v>0.82191202029926003</v>
      </c>
    </row>
    <row r="97" spans="6:11" x14ac:dyDescent="0.3">
      <c r="F97" t="s">
        <v>410</v>
      </c>
      <c r="G97" t="s">
        <v>411</v>
      </c>
      <c r="H97" t="s">
        <v>13</v>
      </c>
      <c r="I97">
        <v>9.6236699081474999</v>
      </c>
      <c r="J97">
        <v>48.722317076923076</v>
      </c>
      <c r="K97" s="15">
        <v>0.80247922337204125</v>
      </c>
    </row>
    <row r="98" spans="6:11" x14ac:dyDescent="0.3">
      <c r="F98" t="s">
        <v>412</v>
      </c>
      <c r="G98" t="s">
        <v>413</v>
      </c>
      <c r="H98" t="s">
        <v>13</v>
      </c>
      <c r="I98">
        <v>5.8135302699900002</v>
      </c>
      <c r="J98">
        <v>36.039406</v>
      </c>
      <c r="K98" s="15">
        <v>0.838689620189911</v>
      </c>
    </row>
    <row r="99" spans="6:11" x14ac:dyDescent="0.3">
      <c r="F99" t="s">
        <v>414</v>
      </c>
      <c r="G99" t="s">
        <v>415</v>
      </c>
      <c r="H99" t="s">
        <v>13</v>
      </c>
      <c r="I99">
        <v>8.1104815821524987</v>
      </c>
      <c r="J99">
        <v>47.25</v>
      </c>
      <c r="K99" s="15">
        <v>0.82834959614492065</v>
      </c>
    </row>
    <row r="100" spans="6:11" x14ac:dyDescent="0.3">
      <c r="F100" t="s">
        <v>416</v>
      </c>
      <c r="G100" t="s">
        <v>417</v>
      </c>
      <c r="H100" t="s">
        <v>13</v>
      </c>
      <c r="I100">
        <v>8.375865801199998</v>
      </c>
      <c r="J100">
        <v>50.094962666666667</v>
      </c>
      <c r="K100" s="15">
        <v>0.83280023868001951</v>
      </c>
    </row>
    <row r="101" spans="6:11" x14ac:dyDescent="0.3">
      <c r="F101" t="s">
        <v>418</v>
      </c>
      <c r="G101" t="s">
        <v>419</v>
      </c>
      <c r="H101" t="s">
        <v>13</v>
      </c>
      <c r="I101">
        <v>12.048638833226558</v>
      </c>
      <c r="J101">
        <v>58.65</v>
      </c>
      <c r="K101" s="15">
        <v>0.79456711281796144</v>
      </c>
    </row>
    <row r="102" spans="6:11" x14ac:dyDescent="0.3">
      <c r="F102" t="s">
        <v>420</v>
      </c>
      <c r="G102" t="s">
        <v>421</v>
      </c>
      <c r="H102" t="s">
        <v>13</v>
      </c>
      <c r="I102">
        <v>8.815508691485034</v>
      </c>
      <c r="J102">
        <v>60.147631923076922</v>
      </c>
      <c r="K102" s="15">
        <v>0.85343548183643825</v>
      </c>
    </row>
    <row r="103" spans="6:11" x14ac:dyDescent="0.3">
      <c r="F103" t="s">
        <v>422</v>
      </c>
      <c r="G103" t="s">
        <v>423</v>
      </c>
      <c r="H103" t="s">
        <v>13</v>
      </c>
      <c r="I103">
        <v>7.974861375385899</v>
      </c>
      <c r="J103">
        <v>55.36</v>
      </c>
      <c r="K103" s="15">
        <v>0.85594542313248012</v>
      </c>
    </row>
    <row r="104" spans="6:11" x14ac:dyDescent="0.3">
      <c r="F104" t="s">
        <v>424</v>
      </c>
      <c r="G104" t="s">
        <v>425</v>
      </c>
      <c r="H104" t="s">
        <v>13</v>
      </c>
      <c r="I104">
        <v>8.2127189295924019</v>
      </c>
      <c r="J104">
        <v>57.5</v>
      </c>
      <c r="K104" s="15">
        <v>0.857170105572306</v>
      </c>
    </row>
    <row r="105" spans="6:11" x14ac:dyDescent="0.3">
      <c r="F105" t="s">
        <v>426</v>
      </c>
      <c r="G105" t="s">
        <v>427</v>
      </c>
      <c r="H105" t="s">
        <v>13</v>
      </c>
      <c r="I105">
        <v>22.121739268193362</v>
      </c>
      <c r="J105">
        <v>123.26296666666667</v>
      </c>
      <c r="K105" s="15">
        <v>0.82053215279155189</v>
      </c>
    </row>
    <row r="106" spans="6:11" x14ac:dyDescent="0.3">
      <c r="F106" t="s">
        <v>428</v>
      </c>
      <c r="G106" t="s">
        <v>429</v>
      </c>
      <c r="H106" t="s">
        <v>13</v>
      </c>
      <c r="I106">
        <v>10.078629387932102</v>
      </c>
      <c r="J106">
        <v>62.07</v>
      </c>
      <c r="K106" s="15">
        <v>0.83762478833684384</v>
      </c>
    </row>
    <row r="107" spans="6:11" hidden="1" x14ac:dyDescent="0.3">
      <c r="F107" t="s">
        <v>430</v>
      </c>
      <c r="G107" t="s">
        <v>431</v>
      </c>
      <c r="H107" t="s">
        <v>351</v>
      </c>
      <c r="I107">
        <v>3.0868505876786001</v>
      </c>
      <c r="J107">
        <v>7.96</v>
      </c>
      <c r="K107">
        <v>0.61220470004037686</v>
      </c>
    </row>
    <row r="108" spans="6:11" x14ac:dyDescent="0.3">
      <c r="F108" t="s">
        <v>432</v>
      </c>
      <c r="G108" t="s">
        <v>433</v>
      </c>
      <c r="H108" t="s">
        <v>13</v>
      </c>
      <c r="I108">
        <v>1.3140306264000001</v>
      </c>
      <c r="J108">
        <v>17.451500000000003</v>
      </c>
      <c r="K108" s="15">
        <v>0.92470385775434782</v>
      </c>
    </row>
    <row r="109" spans="6:11" x14ac:dyDescent="0.3">
      <c r="F109" t="s">
        <v>434</v>
      </c>
      <c r="G109" t="s">
        <v>435</v>
      </c>
      <c r="H109" t="s">
        <v>13</v>
      </c>
      <c r="I109">
        <v>15.2994907114252</v>
      </c>
      <c r="J109">
        <v>223.58</v>
      </c>
      <c r="K109" s="15">
        <v>0.93157039667490293</v>
      </c>
    </row>
    <row r="110" spans="6:11" x14ac:dyDescent="0.3">
      <c r="F110" t="s">
        <v>436</v>
      </c>
      <c r="G110" t="s">
        <v>437</v>
      </c>
      <c r="H110" t="s">
        <v>13</v>
      </c>
      <c r="I110">
        <v>95.777313289156695</v>
      </c>
      <c r="J110">
        <v>385.88499999999999</v>
      </c>
      <c r="K110" s="15">
        <v>0.75179829926232766</v>
      </c>
    </row>
    <row r="111" spans="6:11" x14ac:dyDescent="0.3">
      <c r="F111" t="s">
        <v>438</v>
      </c>
      <c r="G111" t="s">
        <v>439</v>
      </c>
      <c r="H111" t="s">
        <v>13</v>
      </c>
      <c r="I111">
        <v>76.943672006787807</v>
      </c>
      <c r="J111">
        <v>191.2</v>
      </c>
      <c r="K111" s="15">
        <v>0.5975749372029926</v>
      </c>
    </row>
    <row r="112" spans="6:11" hidden="1" x14ac:dyDescent="0.3">
      <c r="F112" t="s">
        <v>349</v>
      </c>
      <c r="G112" t="s">
        <v>350</v>
      </c>
      <c r="H112" t="s">
        <v>351</v>
      </c>
      <c r="I112">
        <v>77.914551904747015</v>
      </c>
      <c r="J112">
        <v>80.66</v>
      </c>
      <c r="K112">
        <v>3.403729351912943E-2</v>
      </c>
    </row>
    <row r="113" spans="6:11" hidden="1" x14ac:dyDescent="0.3">
      <c r="F113" t="s">
        <v>430</v>
      </c>
      <c r="G113" t="s">
        <v>431</v>
      </c>
      <c r="H113" t="s">
        <v>351</v>
      </c>
      <c r="I113">
        <v>2.4733347340886001</v>
      </c>
      <c r="J113">
        <v>7.3464841464099999</v>
      </c>
      <c r="K113">
        <v>0.66333082808090693</v>
      </c>
    </row>
  </sheetData>
  <pageMargins left="0.7" right="0.7" top="0.75" bottom="0.75" header="0.3" footer="0.3"/>
  <headerFooter>
    <oddHeader>&amp;R&amp;"Calibri"&amp;10&amp;K000000 Confidencial&amp;1#_x000D_</oddHeader>
  </headerFooter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2ACE2-CF63-4CCA-A9D5-B89C43F9DB89}">
  <sheetPr codeName="Sheet10"/>
  <dimension ref="A1:DF219"/>
  <sheetViews>
    <sheetView topLeftCell="CP1" workbookViewId="0">
      <selection activeCell="CW1" sqref="A1:DF219"/>
    </sheetView>
  </sheetViews>
  <sheetFormatPr baseColWidth="10" defaultColWidth="8.88671875" defaultRowHeight="14.4" x14ac:dyDescent="0.3"/>
  <cols>
    <col min="1" max="1" width="6.44140625" bestFit="1" customWidth="1"/>
    <col min="2" max="2" width="9" bestFit="1" customWidth="1"/>
    <col min="3" max="3" width="6.6640625" bestFit="1" customWidth="1"/>
    <col min="4" max="4" width="7.44140625" bestFit="1" customWidth="1"/>
    <col min="5" max="5" width="36.88671875" bestFit="1" customWidth="1"/>
    <col min="6" max="6" width="34.6640625" bestFit="1" customWidth="1"/>
    <col min="7" max="7" width="21.109375" bestFit="1" customWidth="1"/>
    <col min="8" max="8" width="12.6640625" bestFit="1" customWidth="1"/>
    <col min="9" max="9" width="18.44140625" bestFit="1" customWidth="1"/>
    <col min="10" max="10" width="19.44140625" bestFit="1" customWidth="1"/>
    <col min="11" max="11" width="14" bestFit="1" customWidth="1"/>
    <col min="12" max="12" width="15.109375" bestFit="1" customWidth="1"/>
    <col min="13" max="13" width="14.88671875" bestFit="1" customWidth="1"/>
    <col min="14" max="14" width="15.88671875" bestFit="1" customWidth="1"/>
    <col min="15" max="15" width="24.44140625" bestFit="1" customWidth="1"/>
    <col min="16" max="17" width="8.6640625" bestFit="1" customWidth="1"/>
    <col min="18" max="18" width="25.44140625" bestFit="1" customWidth="1"/>
    <col min="19" max="19" width="35.5546875" bestFit="1" customWidth="1"/>
    <col min="20" max="20" width="24.5546875" bestFit="1" customWidth="1"/>
    <col min="21" max="21" width="26.5546875" bestFit="1" customWidth="1"/>
    <col min="22" max="22" width="17.6640625" bestFit="1" customWidth="1"/>
    <col min="23" max="23" width="31.44140625" bestFit="1" customWidth="1"/>
    <col min="24" max="24" width="41.88671875" bestFit="1" customWidth="1"/>
    <col min="25" max="25" width="15.109375" bestFit="1" customWidth="1"/>
    <col min="26" max="27" width="25.109375" bestFit="1" customWidth="1"/>
    <col min="28" max="28" width="19.88671875" bestFit="1" customWidth="1"/>
    <col min="29" max="29" width="18" bestFit="1" customWidth="1"/>
    <col min="30" max="30" width="19.6640625" bestFit="1" customWidth="1"/>
    <col min="31" max="31" width="42.44140625" bestFit="1" customWidth="1"/>
    <col min="32" max="32" width="24.44140625" bestFit="1" customWidth="1"/>
    <col min="33" max="33" width="26.44140625" bestFit="1" customWidth="1"/>
    <col min="34" max="34" width="36.109375" bestFit="1" customWidth="1"/>
    <col min="35" max="35" width="12.109375" bestFit="1" customWidth="1"/>
    <col min="36" max="36" width="16" bestFit="1" customWidth="1"/>
    <col min="37" max="37" width="16.44140625" bestFit="1" customWidth="1"/>
    <col min="38" max="38" width="45.109375" bestFit="1" customWidth="1"/>
    <col min="39" max="39" width="43.6640625" bestFit="1" customWidth="1"/>
    <col min="40" max="40" width="51.88671875" bestFit="1" customWidth="1"/>
    <col min="41" max="41" width="36.109375" bestFit="1" customWidth="1"/>
    <col min="42" max="42" width="45" bestFit="1" customWidth="1"/>
    <col min="43" max="43" width="44.5546875" bestFit="1" customWidth="1"/>
    <col min="44" max="44" width="32.44140625" bestFit="1" customWidth="1"/>
    <col min="45" max="45" width="30.88671875" bestFit="1" customWidth="1"/>
    <col min="46" max="46" width="20.5546875" bestFit="1" customWidth="1"/>
    <col min="47" max="47" width="26.44140625" bestFit="1" customWidth="1"/>
    <col min="48" max="48" width="28.5546875" bestFit="1" customWidth="1"/>
    <col min="49" max="49" width="30.109375" bestFit="1" customWidth="1"/>
    <col min="50" max="50" width="11.6640625" bestFit="1" customWidth="1"/>
    <col min="51" max="51" width="16.6640625" bestFit="1" customWidth="1"/>
    <col min="52" max="52" width="13" bestFit="1" customWidth="1"/>
    <col min="53" max="53" width="6.6640625" bestFit="1" customWidth="1"/>
    <col min="54" max="54" width="20.88671875" bestFit="1" customWidth="1"/>
    <col min="55" max="55" width="12.5546875" bestFit="1" customWidth="1"/>
    <col min="56" max="56" width="17" bestFit="1" customWidth="1"/>
    <col min="57" max="57" width="25.44140625" bestFit="1" customWidth="1"/>
    <col min="58" max="58" width="21.6640625" bestFit="1" customWidth="1"/>
    <col min="59" max="59" width="26.109375" bestFit="1" customWidth="1"/>
    <col min="60" max="60" width="25" bestFit="1" customWidth="1"/>
    <col min="61" max="62" width="32" bestFit="1" customWidth="1"/>
    <col min="63" max="63" width="30.109375" bestFit="1" customWidth="1"/>
    <col min="64" max="64" width="32.109375" bestFit="1" customWidth="1"/>
    <col min="65" max="65" width="28.44140625" bestFit="1" customWidth="1"/>
    <col min="66" max="66" width="24.109375" bestFit="1" customWidth="1"/>
    <col min="67" max="67" width="23.88671875" bestFit="1" customWidth="1"/>
    <col min="68" max="68" width="40" bestFit="1" customWidth="1"/>
    <col min="69" max="69" width="54.44140625" bestFit="1" customWidth="1"/>
    <col min="70" max="70" width="19.109375" bestFit="1" customWidth="1"/>
    <col min="71" max="71" width="25.88671875" bestFit="1" customWidth="1"/>
    <col min="72" max="72" width="11.6640625" bestFit="1" customWidth="1"/>
    <col min="73" max="73" width="17.5546875" bestFit="1" customWidth="1"/>
    <col min="74" max="74" width="17.88671875" bestFit="1" customWidth="1"/>
    <col min="75" max="75" width="22.88671875" bestFit="1" customWidth="1"/>
    <col min="76" max="76" width="80.88671875" bestFit="1" customWidth="1"/>
    <col min="77" max="77" width="19.5546875" bestFit="1" customWidth="1"/>
    <col min="78" max="78" width="23.6640625" bestFit="1" customWidth="1"/>
    <col min="79" max="79" width="26.109375" bestFit="1" customWidth="1"/>
    <col min="80" max="80" width="27.88671875" bestFit="1" customWidth="1"/>
    <col min="81" max="81" width="40.109375" bestFit="1" customWidth="1"/>
    <col min="82" max="82" width="20.5546875" bestFit="1" customWidth="1"/>
    <col min="83" max="83" width="25.109375" bestFit="1" customWidth="1"/>
    <col min="84" max="84" width="34.6640625" bestFit="1" customWidth="1"/>
    <col min="85" max="85" width="19.6640625" bestFit="1" customWidth="1"/>
    <col min="86" max="86" width="20.88671875" bestFit="1" customWidth="1"/>
    <col min="87" max="87" width="23.6640625" bestFit="1" customWidth="1"/>
    <col min="88" max="88" width="20" bestFit="1" customWidth="1"/>
    <col min="89" max="89" width="12" bestFit="1" customWidth="1"/>
    <col min="90" max="90" width="23.109375" bestFit="1" customWidth="1"/>
    <col min="91" max="91" width="23.6640625" bestFit="1" customWidth="1"/>
    <col min="92" max="92" width="14.88671875" bestFit="1" customWidth="1"/>
    <col min="93" max="93" width="30.6640625" bestFit="1" customWidth="1"/>
    <col min="94" max="94" width="3.88671875" bestFit="1" customWidth="1"/>
    <col min="95" max="95" width="18.5546875" bestFit="1" customWidth="1"/>
    <col min="96" max="96" width="24.6640625" bestFit="1" customWidth="1"/>
    <col min="97" max="97" width="14.5546875" bestFit="1" customWidth="1"/>
    <col min="98" max="98" width="59.109375" bestFit="1" customWidth="1"/>
    <col min="99" max="99" width="5.88671875" bestFit="1" customWidth="1"/>
    <col min="100" max="100" width="9.6640625" bestFit="1" customWidth="1"/>
    <col min="101" max="101" width="25.44140625" bestFit="1" customWidth="1"/>
    <col min="102" max="102" width="18.88671875" bestFit="1" customWidth="1"/>
    <col min="103" max="103" width="10.44140625" bestFit="1" customWidth="1"/>
    <col min="104" max="104" width="11.6640625" bestFit="1" customWidth="1"/>
    <col min="105" max="105" width="12" bestFit="1" customWidth="1"/>
    <col min="106" max="106" width="23.44140625" bestFit="1" customWidth="1"/>
    <col min="107" max="107" width="62.6640625" bestFit="1" customWidth="1"/>
    <col min="108" max="108" width="9" bestFit="1" customWidth="1"/>
    <col min="109" max="109" width="15.109375" bestFit="1" customWidth="1"/>
    <col min="110" max="110" width="12.6640625" bestFit="1" customWidth="1"/>
  </cols>
  <sheetData>
    <row r="1" spans="1:110" x14ac:dyDescent="0.3">
      <c r="A1" t="s">
        <v>493</v>
      </c>
      <c r="B1" t="s">
        <v>494</v>
      </c>
      <c r="C1" t="s">
        <v>495</v>
      </c>
      <c r="D1" t="s">
        <v>496</v>
      </c>
      <c r="E1" t="s">
        <v>497</v>
      </c>
      <c r="F1" t="s">
        <v>498</v>
      </c>
      <c r="G1" t="s">
        <v>499</v>
      </c>
      <c r="H1" t="s">
        <v>500</v>
      </c>
      <c r="I1" t="s">
        <v>501</v>
      </c>
      <c r="J1" t="s">
        <v>502</v>
      </c>
      <c r="K1" t="s">
        <v>503</v>
      </c>
      <c r="L1" t="s">
        <v>504</v>
      </c>
      <c r="M1" t="s">
        <v>505</v>
      </c>
      <c r="N1" t="s">
        <v>506</v>
      </c>
      <c r="O1" t="s">
        <v>507</v>
      </c>
      <c r="P1" t="s">
        <v>508</v>
      </c>
      <c r="Q1" t="s">
        <v>509</v>
      </c>
      <c r="R1" t="s">
        <v>510</v>
      </c>
      <c r="S1" t="s">
        <v>511</v>
      </c>
      <c r="T1" t="s">
        <v>512</v>
      </c>
      <c r="U1" t="s">
        <v>513</v>
      </c>
      <c r="V1" t="s">
        <v>514</v>
      </c>
      <c r="W1" t="s">
        <v>515</v>
      </c>
      <c r="X1" t="s">
        <v>516</v>
      </c>
      <c r="Y1" t="s">
        <v>517</v>
      </c>
      <c r="Z1" t="s">
        <v>518</v>
      </c>
      <c r="AA1" t="s">
        <v>519</v>
      </c>
      <c r="AB1" t="s">
        <v>520</v>
      </c>
      <c r="AC1" t="s">
        <v>521</v>
      </c>
      <c r="AD1" t="s">
        <v>522</v>
      </c>
      <c r="AE1" t="s">
        <v>523</v>
      </c>
      <c r="AF1" t="s">
        <v>524</v>
      </c>
      <c r="AG1" t="s">
        <v>525</v>
      </c>
      <c r="AH1" t="s">
        <v>526</v>
      </c>
      <c r="AI1" t="s">
        <v>527</v>
      </c>
      <c r="AJ1" t="s">
        <v>528</v>
      </c>
      <c r="AK1" t="s">
        <v>529</v>
      </c>
      <c r="AL1" t="s">
        <v>530</v>
      </c>
      <c r="AM1" t="s">
        <v>531</v>
      </c>
      <c r="AN1" t="s">
        <v>532</v>
      </c>
      <c r="AO1" t="s">
        <v>533</v>
      </c>
      <c r="AP1" t="s">
        <v>534</v>
      </c>
      <c r="AQ1" t="s">
        <v>535</v>
      </c>
      <c r="AR1" t="s">
        <v>536</v>
      </c>
      <c r="AS1" t="s">
        <v>537</v>
      </c>
      <c r="AT1" t="s">
        <v>538</v>
      </c>
      <c r="AU1" t="s">
        <v>539</v>
      </c>
      <c r="AV1" t="s">
        <v>540</v>
      </c>
      <c r="AW1" t="s">
        <v>541</v>
      </c>
      <c r="AX1" t="s">
        <v>542</v>
      </c>
      <c r="AY1" t="s">
        <v>543</v>
      </c>
      <c r="AZ1" t="s">
        <v>544</v>
      </c>
      <c r="BA1" t="s">
        <v>202</v>
      </c>
      <c r="BB1" t="s">
        <v>545</v>
      </c>
      <c r="BC1" t="s">
        <v>546</v>
      </c>
      <c r="BD1" t="s">
        <v>547</v>
      </c>
      <c r="BE1" t="s">
        <v>548</v>
      </c>
      <c r="BF1" t="s">
        <v>549</v>
      </c>
      <c r="BG1" t="s">
        <v>550</v>
      </c>
      <c r="BH1" t="s">
        <v>551</v>
      </c>
      <c r="BI1" t="s">
        <v>552</v>
      </c>
      <c r="BJ1" t="s">
        <v>553</v>
      </c>
      <c r="BK1" t="s">
        <v>554</v>
      </c>
      <c r="BL1" t="s">
        <v>555</v>
      </c>
      <c r="BM1" t="s">
        <v>556</v>
      </c>
      <c r="BN1" t="s">
        <v>557</v>
      </c>
      <c r="BO1" t="s">
        <v>558</v>
      </c>
      <c r="BP1" t="s">
        <v>559</v>
      </c>
      <c r="BQ1" t="s">
        <v>560</v>
      </c>
      <c r="BR1" t="s">
        <v>561</v>
      </c>
      <c r="BS1" t="s">
        <v>562</v>
      </c>
      <c r="BT1" t="s">
        <v>563</v>
      </c>
      <c r="BU1" t="s">
        <v>564</v>
      </c>
      <c r="BV1" t="s">
        <v>565</v>
      </c>
      <c r="BW1" t="s">
        <v>566</v>
      </c>
      <c r="BX1" t="s">
        <v>567</v>
      </c>
      <c r="BY1" t="s">
        <v>568</v>
      </c>
      <c r="BZ1" t="s">
        <v>569</v>
      </c>
      <c r="CA1" t="s">
        <v>570</v>
      </c>
      <c r="CB1" t="s">
        <v>571</v>
      </c>
      <c r="CC1" t="s">
        <v>572</v>
      </c>
      <c r="CD1" t="s">
        <v>573</v>
      </c>
      <c r="CE1" t="s">
        <v>574</v>
      </c>
      <c r="CF1" t="s">
        <v>575</v>
      </c>
      <c r="CG1" t="s">
        <v>576</v>
      </c>
      <c r="CH1" t="s">
        <v>577</v>
      </c>
      <c r="CI1" t="s">
        <v>578</v>
      </c>
      <c r="CJ1" t="s">
        <v>579</v>
      </c>
      <c r="CK1" t="s">
        <v>580</v>
      </c>
      <c r="CL1" t="s">
        <v>581</v>
      </c>
      <c r="CM1" t="s">
        <v>582</v>
      </c>
      <c r="CN1" t="s">
        <v>583</v>
      </c>
      <c r="CO1" t="s">
        <v>584</v>
      </c>
      <c r="CP1" t="s">
        <v>585</v>
      </c>
      <c r="CQ1" t="s">
        <v>586</v>
      </c>
      <c r="CR1" t="s">
        <v>587</v>
      </c>
      <c r="CS1" t="s">
        <v>588</v>
      </c>
      <c r="CT1" t="s">
        <v>589</v>
      </c>
      <c r="CU1" t="s">
        <v>590</v>
      </c>
      <c r="CV1" t="s">
        <v>591</v>
      </c>
      <c r="CW1" t="s">
        <v>592</v>
      </c>
      <c r="CX1" t="s">
        <v>593</v>
      </c>
      <c r="CY1" t="s">
        <v>594</v>
      </c>
      <c r="CZ1" t="s">
        <v>595</v>
      </c>
      <c r="DA1" t="s">
        <v>596</v>
      </c>
      <c r="DB1" t="s">
        <v>597</v>
      </c>
      <c r="DC1" t="s">
        <v>598</v>
      </c>
      <c r="DD1" t="s">
        <v>599</v>
      </c>
      <c r="DE1" t="s">
        <v>600</v>
      </c>
      <c r="DF1" t="s">
        <v>601</v>
      </c>
    </row>
    <row r="2" spans="1:110" hidden="1" x14ac:dyDescent="0.3">
      <c r="J2" s="3"/>
      <c r="DE2" s="61">
        <v>5398594.5564497607</v>
      </c>
    </row>
    <row r="3" spans="1:110" hidden="1" x14ac:dyDescent="0.3">
      <c r="J3" s="3"/>
      <c r="DE3" s="61">
        <v>319918.94901315786</v>
      </c>
    </row>
    <row r="4" spans="1:110" hidden="1" x14ac:dyDescent="0.3">
      <c r="A4">
        <v>1006</v>
      </c>
      <c r="B4" t="s">
        <v>602</v>
      </c>
      <c r="C4" t="s">
        <v>603</v>
      </c>
      <c r="D4" t="s">
        <v>604</v>
      </c>
      <c r="E4" t="s">
        <v>619</v>
      </c>
      <c r="F4" t="s">
        <v>620</v>
      </c>
      <c r="G4" t="s">
        <v>621</v>
      </c>
      <c r="H4" t="s">
        <v>622</v>
      </c>
      <c r="I4" t="s">
        <v>623</v>
      </c>
      <c r="J4" s="3">
        <v>40826</v>
      </c>
      <c r="K4">
        <v>13.32054794520548</v>
      </c>
      <c r="L4">
        <v>13</v>
      </c>
      <c r="M4" t="s">
        <v>618</v>
      </c>
      <c r="N4" t="s">
        <v>618</v>
      </c>
      <c r="O4">
        <v>1.0575000000000001</v>
      </c>
      <c r="P4">
        <v>3439.4559999999997</v>
      </c>
      <c r="Q4">
        <v>3439.4559999999997</v>
      </c>
      <c r="R4">
        <v>2035.89</v>
      </c>
      <c r="S4">
        <v>2152.9536750000002</v>
      </c>
      <c r="T4">
        <v>63.71</v>
      </c>
      <c r="U4">
        <v>2216.6636750000002</v>
      </c>
      <c r="V4">
        <v>30.4</v>
      </c>
      <c r="W4">
        <v>61891.055999999997</v>
      </c>
      <c r="AE4">
        <v>41.666666666666664</v>
      </c>
      <c r="AF4">
        <v>6189.1056000000008</v>
      </c>
      <c r="AG4">
        <v>6189.1056000000008</v>
      </c>
      <c r="AH4">
        <v>3094.5527999999999</v>
      </c>
      <c r="AI4">
        <v>3394.2</v>
      </c>
      <c r="AJ4">
        <v>0</v>
      </c>
      <c r="AK4">
        <v>0</v>
      </c>
      <c r="AL4">
        <v>12378.211200000002</v>
      </c>
      <c r="AM4">
        <v>80758.02</v>
      </c>
      <c r="AN4">
        <v>80799.686666666661</v>
      </c>
      <c r="AO4">
        <v>80758.02</v>
      </c>
      <c r="AQ4">
        <v>61891.055999999997</v>
      </c>
      <c r="AR4">
        <v>24076.191999999999</v>
      </c>
      <c r="AS4">
        <v>74269.267200000002</v>
      </c>
      <c r="AT4" t="s">
        <v>544</v>
      </c>
      <c r="AU4">
        <v>3439.4559999999997</v>
      </c>
      <c r="AV4">
        <v>3439.4559999999997</v>
      </c>
      <c r="AW4">
        <v>8938.7552000000014</v>
      </c>
      <c r="AX4">
        <v>83249.689066666659</v>
      </c>
      <c r="AY4">
        <v>49233.01</v>
      </c>
      <c r="AZ4">
        <v>34016.679066666657</v>
      </c>
      <c r="BA4">
        <v>0.3</v>
      </c>
      <c r="BB4">
        <v>10205.003719999997</v>
      </c>
      <c r="BC4">
        <v>9236.89</v>
      </c>
      <c r="BD4">
        <v>19441.893719999996</v>
      </c>
      <c r="BE4">
        <v>0</v>
      </c>
      <c r="BF4">
        <v>19441.893719999996</v>
      </c>
      <c r="BG4">
        <v>1.3888888888888888</v>
      </c>
      <c r="BH4">
        <v>2018.4175999999998</v>
      </c>
      <c r="BI4">
        <v>2172</v>
      </c>
      <c r="BJ4">
        <v>6516</v>
      </c>
      <c r="BK4">
        <v>0</v>
      </c>
      <c r="BL4">
        <v>0</v>
      </c>
      <c r="BM4">
        <v>111.65131578947368</v>
      </c>
      <c r="BN4">
        <v>0</v>
      </c>
      <c r="BO4">
        <v>0</v>
      </c>
      <c r="BP4">
        <v>2265.9938796783626</v>
      </c>
      <c r="BQ4">
        <v>2265.9938796783626</v>
      </c>
      <c r="BR4">
        <v>231.18886556140353</v>
      </c>
      <c r="BS4">
        <v>169.9495409758772</v>
      </c>
      <c r="BT4">
        <v>254.9243114638158</v>
      </c>
      <c r="BU4">
        <v>424.873852439693</v>
      </c>
      <c r="BV4">
        <v>764.77293439144739</v>
      </c>
      <c r="BW4">
        <v>1845.7095048322371</v>
      </c>
      <c r="BX4">
        <v>59512.083441834431</v>
      </c>
      <c r="BY4">
        <v>6189.1055999999999</v>
      </c>
      <c r="BZ4">
        <v>53322.977841834429</v>
      </c>
      <c r="CA4">
        <v>80758.01999999999</v>
      </c>
      <c r="CB4">
        <v>2422.7405999999996</v>
      </c>
      <c r="CC4">
        <v>2265.9938796783626</v>
      </c>
      <c r="CD4">
        <v>692.41679999999997</v>
      </c>
      <c r="CE4">
        <v>635.76938029385963</v>
      </c>
      <c r="CF4">
        <v>475.85871473245612</v>
      </c>
      <c r="CG4">
        <v>713.78807209868432</v>
      </c>
      <c r="CH4">
        <v>1129.5322351971531</v>
      </c>
      <c r="CI4">
        <v>1189.6467868311406</v>
      </c>
      <c r="CJ4">
        <v>679.79816390350879</v>
      </c>
      <c r="CK4">
        <v>1359.5963278070176</v>
      </c>
      <c r="CL4">
        <v>2141.3642162960527</v>
      </c>
      <c r="CM4">
        <v>9017.7706971598727</v>
      </c>
      <c r="CN4">
        <v>3398.990819517544</v>
      </c>
      <c r="CO4">
        <v>14839.502116677417</v>
      </c>
      <c r="CQ4">
        <v>5089.7299999999996</v>
      </c>
      <c r="CR4">
        <v>1017.3872219178081</v>
      </c>
      <c r="CS4">
        <v>2605.9541166575341</v>
      </c>
      <c r="CT4">
        <v>104352.26012191942</v>
      </c>
      <c r="CY4">
        <v>0</v>
      </c>
      <c r="DB4">
        <v>74269.267199999987</v>
      </c>
      <c r="DC4">
        <v>1781.4037500000002</v>
      </c>
      <c r="DD4">
        <v>134000</v>
      </c>
      <c r="DE4" s="61">
        <v>240133.66387191942</v>
      </c>
    </row>
    <row r="5" spans="1:110" hidden="1" x14ac:dyDescent="0.3">
      <c r="A5">
        <v>2</v>
      </c>
      <c r="B5" t="s">
        <v>901</v>
      </c>
      <c r="E5" t="s">
        <v>906</v>
      </c>
      <c r="F5" t="s">
        <v>907</v>
      </c>
      <c r="G5" t="s">
        <v>621</v>
      </c>
      <c r="I5" t="s">
        <v>623</v>
      </c>
      <c r="J5" s="3">
        <v>45292</v>
      </c>
      <c r="K5">
        <v>0</v>
      </c>
      <c r="L5">
        <v>0</v>
      </c>
      <c r="M5" t="s">
        <v>904</v>
      </c>
      <c r="N5" t="s">
        <v>904</v>
      </c>
      <c r="O5">
        <v>0</v>
      </c>
      <c r="P5">
        <v>0</v>
      </c>
      <c r="Q5">
        <v>0</v>
      </c>
      <c r="R5">
        <v>0</v>
      </c>
      <c r="T5">
        <v>0</v>
      </c>
      <c r="U5">
        <v>0</v>
      </c>
      <c r="V5">
        <v>0</v>
      </c>
      <c r="W5">
        <v>0</v>
      </c>
      <c r="X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Q5">
        <v>0</v>
      </c>
      <c r="CR5">
        <v>0</v>
      </c>
      <c r="CS5">
        <v>0</v>
      </c>
      <c r="CT5">
        <v>0</v>
      </c>
      <c r="CV5">
        <v>140000</v>
      </c>
      <c r="CY5">
        <v>0</v>
      </c>
      <c r="CZ5">
        <v>0</v>
      </c>
      <c r="DA5">
        <v>0</v>
      </c>
      <c r="DE5" s="61">
        <v>140000</v>
      </c>
    </row>
    <row r="6" spans="1:110" hidden="1" x14ac:dyDescent="0.3">
      <c r="A6">
        <v>10</v>
      </c>
      <c r="B6" t="s">
        <v>901</v>
      </c>
      <c r="E6" t="s">
        <v>1362</v>
      </c>
      <c r="F6" t="s">
        <v>907</v>
      </c>
      <c r="G6" t="s">
        <v>621</v>
      </c>
      <c r="J6" s="3"/>
      <c r="DD6">
        <v>135000</v>
      </c>
      <c r="DE6" s="61">
        <v>140000</v>
      </c>
    </row>
    <row r="7" spans="1:110" hidden="1" x14ac:dyDescent="0.3">
      <c r="A7">
        <v>1000</v>
      </c>
      <c r="B7" t="s">
        <v>602</v>
      </c>
      <c r="C7" t="s">
        <v>603</v>
      </c>
      <c r="D7" t="s">
        <v>604</v>
      </c>
      <c r="E7" t="s">
        <v>605</v>
      </c>
      <c r="F7" t="s">
        <v>606</v>
      </c>
      <c r="G7" t="s">
        <v>607</v>
      </c>
      <c r="H7" t="s">
        <v>608</v>
      </c>
      <c r="I7" t="s">
        <v>609</v>
      </c>
      <c r="J7" s="3">
        <v>38184</v>
      </c>
      <c r="K7">
        <v>20.55890410958904</v>
      </c>
      <c r="L7">
        <v>20</v>
      </c>
      <c r="M7" t="s">
        <v>610</v>
      </c>
      <c r="N7" t="s">
        <v>610</v>
      </c>
      <c r="O7">
        <v>1.0603</v>
      </c>
      <c r="P7">
        <v>3439.4559999999997</v>
      </c>
      <c r="Q7">
        <v>3439.4559999999997</v>
      </c>
      <c r="R7">
        <v>1267.05</v>
      </c>
      <c r="S7">
        <v>1343.453115</v>
      </c>
      <c r="T7">
        <v>63.71</v>
      </c>
      <c r="U7">
        <v>1407.1631150000001</v>
      </c>
      <c r="V7">
        <v>30.4</v>
      </c>
      <c r="W7">
        <v>38518.32</v>
      </c>
      <c r="AE7">
        <v>41.666666666666664</v>
      </c>
      <c r="AF7">
        <v>3851.8319999999999</v>
      </c>
      <c r="AG7">
        <v>3851.8319999999999</v>
      </c>
      <c r="AH7">
        <v>1925.9160000000002</v>
      </c>
      <c r="AI7">
        <v>3394.2</v>
      </c>
      <c r="AJ7">
        <v>0</v>
      </c>
      <c r="AK7">
        <v>0</v>
      </c>
      <c r="AL7">
        <v>7703.6639999999998</v>
      </c>
      <c r="AM7">
        <v>51542.099999999991</v>
      </c>
      <c r="AN7">
        <v>51583.766666666663</v>
      </c>
      <c r="AO7">
        <v>51583.766666666656</v>
      </c>
      <c r="AQ7">
        <v>38518.32</v>
      </c>
      <c r="AR7">
        <v>24076.191999999999</v>
      </c>
      <c r="AS7">
        <v>46221.983999999997</v>
      </c>
      <c r="AT7" t="s">
        <v>544</v>
      </c>
      <c r="AU7">
        <v>3439.4559999999997</v>
      </c>
      <c r="AV7">
        <v>3439.4559999999997</v>
      </c>
      <c r="AW7">
        <v>4264.2080000000005</v>
      </c>
      <c r="AX7">
        <v>50527.858666666667</v>
      </c>
      <c r="AY7">
        <v>49233.01</v>
      </c>
      <c r="AZ7">
        <v>1294.8486666666649</v>
      </c>
      <c r="BA7">
        <v>0.3</v>
      </c>
      <c r="BB7">
        <v>388.45459999999946</v>
      </c>
      <c r="BC7">
        <v>9236.89</v>
      </c>
      <c r="BD7">
        <v>9625.3445999999985</v>
      </c>
      <c r="BE7">
        <v>0</v>
      </c>
      <c r="BF7">
        <v>9625.3445999999985</v>
      </c>
      <c r="BG7">
        <v>1.3888888888888888</v>
      </c>
      <c r="BH7">
        <v>2018.4175999999998</v>
      </c>
      <c r="BI7">
        <v>1408.552003888889</v>
      </c>
      <c r="BJ7">
        <v>4225.6560116666669</v>
      </c>
      <c r="BK7">
        <v>0</v>
      </c>
      <c r="BL7">
        <v>0</v>
      </c>
      <c r="BM7">
        <v>66.395315789473685</v>
      </c>
      <c r="BN7">
        <v>0</v>
      </c>
      <c r="BO7">
        <v>0</v>
      </c>
      <c r="BP7">
        <v>1411.2373196783626</v>
      </c>
      <c r="BQ7">
        <v>1411.2373196783626</v>
      </c>
      <c r="BR7">
        <v>128.61807836140349</v>
      </c>
      <c r="BS7">
        <v>105.84279897587719</v>
      </c>
      <c r="BT7">
        <v>158.76419846381577</v>
      </c>
      <c r="BU7">
        <v>264.60699743969303</v>
      </c>
      <c r="BV7">
        <v>476.29259539144738</v>
      </c>
      <c r="BW7">
        <v>1134.1246686322368</v>
      </c>
      <c r="BX7">
        <v>40824.297398034432</v>
      </c>
      <c r="BY7">
        <v>3851.8320000000003</v>
      </c>
      <c r="BZ7">
        <v>36972.46539803443</v>
      </c>
      <c r="CA7">
        <v>51542.1</v>
      </c>
      <c r="CB7">
        <v>1546.2629999999999</v>
      </c>
      <c r="CC7">
        <v>1411.2373196783626</v>
      </c>
      <c r="CD7">
        <v>692.41679999999997</v>
      </c>
      <c r="CE7">
        <v>353.69971549385963</v>
      </c>
      <c r="CF7">
        <v>296.35983713245616</v>
      </c>
      <c r="CG7">
        <v>444.53975569868425</v>
      </c>
      <c r="CH7">
        <v>703.46087797739312</v>
      </c>
      <c r="CI7">
        <v>740.89959283114047</v>
      </c>
      <c r="CJ7">
        <v>423.37119590350875</v>
      </c>
      <c r="CK7">
        <v>846.7423918070175</v>
      </c>
      <c r="CL7">
        <v>1333.6192670960527</v>
      </c>
      <c r="CM7">
        <v>5835.1094339401125</v>
      </c>
      <c r="CN7">
        <v>2116.8559795175443</v>
      </c>
      <c r="CO7">
        <v>9498.2284134576566</v>
      </c>
      <c r="CQ7">
        <v>1582.9446575342465</v>
      </c>
      <c r="CR7">
        <v>738.707506849315</v>
      </c>
      <c r="CS7">
        <v>1615.9125649315065</v>
      </c>
      <c r="CT7">
        <v>65019.559809439379</v>
      </c>
      <c r="CV7">
        <v>15900</v>
      </c>
      <c r="CY7">
        <v>3908.57</v>
      </c>
      <c r="CZ7">
        <v>1045.9866666666667</v>
      </c>
      <c r="DB7">
        <v>46221.984000000004</v>
      </c>
      <c r="DC7">
        <v>554.33437500000002</v>
      </c>
      <c r="DD7">
        <v>19000</v>
      </c>
      <c r="DE7" s="61">
        <v>105428.45085110606</v>
      </c>
    </row>
    <row r="8" spans="1:110" x14ac:dyDescent="0.3">
      <c r="A8">
        <v>1710</v>
      </c>
      <c r="B8" t="s">
        <v>602</v>
      </c>
      <c r="C8" t="s">
        <v>603</v>
      </c>
      <c r="D8" t="s">
        <v>604</v>
      </c>
      <c r="E8" t="s">
        <v>779</v>
      </c>
      <c r="F8" t="s">
        <v>642</v>
      </c>
      <c r="G8" t="s">
        <v>630</v>
      </c>
      <c r="H8" t="s">
        <v>622</v>
      </c>
      <c r="I8" t="s">
        <v>623</v>
      </c>
      <c r="J8" s="3">
        <v>45117</v>
      </c>
      <c r="K8">
        <v>1.5643835616438355</v>
      </c>
      <c r="L8">
        <v>1</v>
      </c>
      <c r="M8" t="s">
        <v>676</v>
      </c>
      <c r="N8" t="s">
        <v>676</v>
      </c>
      <c r="O8">
        <v>1.0507</v>
      </c>
      <c r="P8">
        <v>3439.4559999999997</v>
      </c>
      <c r="Q8">
        <v>3439.4559999999997</v>
      </c>
      <c r="R8">
        <v>1370.61</v>
      </c>
      <c r="S8">
        <v>1440.0999269999998</v>
      </c>
      <c r="T8">
        <v>204.78</v>
      </c>
      <c r="U8">
        <v>1644.8799269999997</v>
      </c>
      <c r="V8">
        <v>30.4</v>
      </c>
      <c r="W8">
        <v>41666.543999999994</v>
      </c>
      <c r="X8">
        <v>4286.3999999999996</v>
      </c>
      <c r="AE8">
        <v>41.666666666666664</v>
      </c>
      <c r="AF8">
        <v>4166.6544000000004</v>
      </c>
      <c r="AG8">
        <v>4166.6544000000004</v>
      </c>
      <c r="AH8">
        <v>2083.3271999999997</v>
      </c>
      <c r="AI8">
        <v>3394.2</v>
      </c>
      <c r="AJ8">
        <v>0</v>
      </c>
      <c r="AK8">
        <v>0</v>
      </c>
      <c r="AL8">
        <v>8333.3088000000007</v>
      </c>
      <c r="AM8">
        <v>55477.37999999999</v>
      </c>
      <c r="AN8">
        <v>59805.446666666656</v>
      </c>
      <c r="AO8">
        <v>59763.779999999992</v>
      </c>
      <c r="AQ8">
        <v>41666.543999999994</v>
      </c>
      <c r="AR8">
        <v>24076.191999999999</v>
      </c>
      <c r="AS8">
        <v>49999.852799999993</v>
      </c>
      <c r="AT8" t="s">
        <v>544</v>
      </c>
      <c r="AU8">
        <v>3439.4559999999997</v>
      </c>
      <c r="AV8">
        <v>3439.4559999999997</v>
      </c>
      <c r="AW8">
        <v>4893.8528000000006</v>
      </c>
      <c r="AX8">
        <v>59221.77226666666</v>
      </c>
      <c r="AY8">
        <v>49233.01</v>
      </c>
      <c r="AZ8">
        <v>9988.7622666666575</v>
      </c>
      <c r="BA8">
        <v>0.3</v>
      </c>
      <c r="BB8">
        <v>2996.6286799999971</v>
      </c>
      <c r="BC8">
        <v>9236.89</v>
      </c>
      <c r="BD8">
        <v>12233.518679999997</v>
      </c>
      <c r="BE8">
        <v>0</v>
      </c>
      <c r="BF8">
        <v>12233.518679999997</v>
      </c>
      <c r="BG8">
        <v>144.26888888888888</v>
      </c>
      <c r="BH8">
        <v>2018.4175999999998</v>
      </c>
      <c r="BI8">
        <v>1789.1488158888885</v>
      </c>
      <c r="BJ8">
        <v>5367.4464476666653</v>
      </c>
      <c r="BK8">
        <v>0</v>
      </c>
      <c r="BL8">
        <v>0</v>
      </c>
      <c r="BM8">
        <v>111.65131578947368</v>
      </c>
      <c r="BN8">
        <v>0</v>
      </c>
      <c r="BO8">
        <v>0</v>
      </c>
      <c r="BP8">
        <v>1696.0201316783623</v>
      </c>
      <c r="BQ8">
        <v>1696.0201316783623</v>
      </c>
      <c r="BR8">
        <v>162.79201580140347</v>
      </c>
      <c r="BS8">
        <v>127.20150987587718</v>
      </c>
      <c r="BT8">
        <v>190.80226481381575</v>
      </c>
      <c r="BU8">
        <v>318.00377468969299</v>
      </c>
      <c r="BV8">
        <v>572.40679444144723</v>
      </c>
      <c r="BW8">
        <v>1371.2063596222365</v>
      </c>
      <c r="BX8">
        <v>46200.721627044426</v>
      </c>
      <c r="BY8">
        <v>4166.6543999999994</v>
      </c>
      <c r="BZ8">
        <v>42034.067227044427</v>
      </c>
      <c r="CA8">
        <v>64050.179999999993</v>
      </c>
      <c r="CB8">
        <v>1921.5053999999998</v>
      </c>
      <c r="CC8">
        <v>1696.0201316783623</v>
      </c>
      <c r="CD8">
        <v>692.41679999999997</v>
      </c>
      <c r="CE8">
        <v>447.67804345385952</v>
      </c>
      <c r="CF8">
        <v>356.16422765245613</v>
      </c>
      <c r="CG8">
        <v>534.24634147868414</v>
      </c>
      <c r="CH8">
        <v>845.41685105784495</v>
      </c>
      <c r="CI8">
        <v>890.41056913114028</v>
      </c>
      <c r="CJ8">
        <v>508.80603950350871</v>
      </c>
      <c r="CK8">
        <v>1017.6120790070174</v>
      </c>
      <c r="CL8">
        <v>1602.7390244360522</v>
      </c>
      <c r="CM8">
        <v>6895.4899757205631</v>
      </c>
      <c r="CN8">
        <v>2544.0301975175439</v>
      </c>
      <c r="CO8">
        <v>11361.025573238107</v>
      </c>
      <c r="CQ8">
        <v>5139.79</v>
      </c>
      <c r="CR8">
        <v>399.54220273972601</v>
      </c>
      <c r="CS8">
        <v>1830.5013660821915</v>
      </c>
      <c r="CT8">
        <v>78536.305808726669</v>
      </c>
      <c r="CV8">
        <v>20000</v>
      </c>
      <c r="CY8">
        <v>0</v>
      </c>
      <c r="CZ8">
        <v>983.47249999999997</v>
      </c>
      <c r="DB8">
        <v>49999.852799999993</v>
      </c>
      <c r="DE8" s="61">
        <v>99519.778308726673</v>
      </c>
    </row>
    <row r="9" spans="1:110" x14ac:dyDescent="0.3">
      <c r="A9">
        <v>1711</v>
      </c>
      <c r="B9" t="s">
        <v>602</v>
      </c>
      <c r="C9" t="s">
        <v>603</v>
      </c>
      <c r="D9" t="s">
        <v>604</v>
      </c>
      <c r="E9" t="s">
        <v>780</v>
      </c>
      <c r="F9" t="s">
        <v>781</v>
      </c>
      <c r="G9" t="s">
        <v>630</v>
      </c>
      <c r="H9" t="s">
        <v>622</v>
      </c>
      <c r="I9" t="s">
        <v>623</v>
      </c>
      <c r="J9" s="3">
        <v>45117</v>
      </c>
      <c r="K9">
        <v>1.5643835616438355</v>
      </c>
      <c r="L9">
        <v>1</v>
      </c>
      <c r="M9" t="s">
        <v>676</v>
      </c>
      <c r="N9" t="s">
        <v>676</v>
      </c>
      <c r="O9">
        <v>1.0507</v>
      </c>
      <c r="P9">
        <v>3439.4559999999997</v>
      </c>
      <c r="Q9">
        <v>3439.4559999999997</v>
      </c>
      <c r="R9">
        <v>1370.61</v>
      </c>
      <c r="S9">
        <v>1440.0999269999998</v>
      </c>
      <c r="T9">
        <v>204.57</v>
      </c>
      <c r="U9">
        <v>1644.6699269999997</v>
      </c>
      <c r="V9">
        <v>30.4</v>
      </c>
      <c r="W9">
        <v>41666.543999999994</v>
      </c>
      <c r="X9">
        <v>4282.0571428571429</v>
      </c>
      <c r="AE9">
        <v>41.666666666666664</v>
      </c>
      <c r="AF9">
        <v>4166.6544000000004</v>
      </c>
      <c r="AG9">
        <v>4166.6544000000004</v>
      </c>
      <c r="AH9">
        <v>2083.3271999999997</v>
      </c>
      <c r="AI9">
        <v>3394.2</v>
      </c>
      <c r="AJ9">
        <v>0</v>
      </c>
      <c r="AK9">
        <v>0</v>
      </c>
      <c r="AL9">
        <v>8333.3088000000007</v>
      </c>
      <c r="AM9">
        <v>55477.37999999999</v>
      </c>
      <c r="AN9">
        <v>59801.103809523796</v>
      </c>
      <c r="AO9">
        <v>59759.437142857132</v>
      </c>
      <c r="AQ9">
        <v>41666.543999999994</v>
      </c>
      <c r="AR9">
        <v>24076.191999999999</v>
      </c>
      <c r="AS9">
        <v>49999.852799999993</v>
      </c>
      <c r="AT9" t="s">
        <v>544</v>
      </c>
      <c r="AU9">
        <v>3439.4559999999997</v>
      </c>
      <c r="AV9">
        <v>3439.4559999999997</v>
      </c>
      <c r="AW9">
        <v>4893.8528000000006</v>
      </c>
      <c r="AX9">
        <v>59217.4294095238</v>
      </c>
      <c r="AY9">
        <v>49233.01</v>
      </c>
      <c r="AZ9">
        <v>9984.4194095237981</v>
      </c>
      <c r="BA9">
        <v>0.3</v>
      </c>
      <c r="BB9">
        <v>2995.3258228571394</v>
      </c>
      <c r="BC9">
        <v>9236.89</v>
      </c>
      <c r="BD9">
        <v>12232.215822857139</v>
      </c>
      <c r="BE9">
        <v>0</v>
      </c>
      <c r="BF9">
        <v>12232.215822857139</v>
      </c>
      <c r="BG9">
        <v>144.124126984127</v>
      </c>
      <c r="BH9">
        <v>2018.4175999999998</v>
      </c>
      <c r="BI9">
        <v>1788.7940539841268</v>
      </c>
      <c r="BJ9">
        <v>5366.3821619523806</v>
      </c>
      <c r="BK9">
        <v>0</v>
      </c>
      <c r="BL9">
        <v>0</v>
      </c>
      <c r="BM9">
        <v>111.65131578947368</v>
      </c>
      <c r="BN9">
        <v>0</v>
      </c>
      <c r="BO9">
        <v>0</v>
      </c>
      <c r="BP9">
        <v>1695.8753697736006</v>
      </c>
      <c r="BQ9">
        <v>1695.8753697736006</v>
      </c>
      <c r="BR9">
        <v>162.77464437283209</v>
      </c>
      <c r="BS9">
        <v>127.19065273302006</v>
      </c>
      <c r="BT9">
        <v>190.78597909953007</v>
      </c>
      <c r="BU9">
        <v>317.97663183255008</v>
      </c>
      <c r="BV9">
        <v>572.35793729859017</v>
      </c>
      <c r="BW9">
        <v>1371.0858453365224</v>
      </c>
      <c r="BX9">
        <v>46197.802141330132</v>
      </c>
      <c r="BY9">
        <v>4166.6543999999994</v>
      </c>
      <c r="BZ9">
        <v>42031.147741330133</v>
      </c>
      <c r="CA9">
        <v>64041.494285714274</v>
      </c>
      <c r="CB9">
        <v>1921.2448285714281</v>
      </c>
      <c r="CC9">
        <v>1695.8753697736006</v>
      </c>
      <c r="CD9">
        <v>692.41679999999997</v>
      </c>
      <c r="CE9">
        <v>447.63027202528815</v>
      </c>
      <c r="CF9">
        <v>356.13382765245615</v>
      </c>
      <c r="CG9">
        <v>534.20074147868422</v>
      </c>
      <c r="CH9">
        <v>845.34469144641639</v>
      </c>
      <c r="CI9">
        <v>890.33456913114048</v>
      </c>
      <c r="CJ9">
        <v>508.76261093208024</v>
      </c>
      <c r="CK9">
        <v>1017.5252218641605</v>
      </c>
      <c r="CL9">
        <v>1602.6022244360527</v>
      </c>
      <c r="CM9">
        <v>6894.9509589662794</v>
      </c>
      <c r="CN9">
        <v>2543.8130546604007</v>
      </c>
      <c r="CO9">
        <v>11360.008842198109</v>
      </c>
      <c r="CQ9">
        <v>1712.323726027397</v>
      </c>
      <c r="CR9">
        <v>399.54220273972601</v>
      </c>
      <c r="CS9">
        <v>1727.6773778630134</v>
      </c>
      <c r="CT9">
        <v>75000.655958352057</v>
      </c>
      <c r="CV9">
        <v>20000</v>
      </c>
      <c r="CY9">
        <v>0</v>
      </c>
      <c r="CZ9">
        <v>983.47249999999997</v>
      </c>
      <c r="DB9">
        <v>49999.852799999993</v>
      </c>
      <c r="DE9" s="61">
        <v>95984.128458352061</v>
      </c>
    </row>
    <row r="10" spans="1:110" x14ac:dyDescent="0.3">
      <c r="A10">
        <v>1734</v>
      </c>
      <c r="B10" t="s">
        <v>602</v>
      </c>
      <c r="C10" t="s">
        <v>603</v>
      </c>
      <c r="D10" t="s">
        <v>604</v>
      </c>
      <c r="E10" t="s">
        <v>792</v>
      </c>
      <c r="F10" t="s">
        <v>793</v>
      </c>
      <c r="G10" t="s">
        <v>630</v>
      </c>
      <c r="H10" t="s">
        <v>622</v>
      </c>
      <c r="I10" t="s">
        <v>623</v>
      </c>
      <c r="J10" s="3">
        <v>45216</v>
      </c>
      <c r="K10">
        <v>1.2931506849315069</v>
      </c>
      <c r="L10">
        <v>1</v>
      </c>
      <c r="M10" t="s">
        <v>676</v>
      </c>
      <c r="N10" t="s">
        <v>676</v>
      </c>
      <c r="O10">
        <v>1.0507</v>
      </c>
      <c r="P10">
        <v>3439.4559999999997</v>
      </c>
      <c r="Q10">
        <v>3439.4559999999997</v>
      </c>
      <c r="R10">
        <v>901.56</v>
      </c>
      <c r="S10">
        <v>947.26909199999989</v>
      </c>
      <c r="T10">
        <v>57.11</v>
      </c>
      <c r="U10">
        <v>1004.3790919999999</v>
      </c>
      <c r="V10">
        <v>30.4</v>
      </c>
      <c r="W10">
        <v>27407.423999999995</v>
      </c>
      <c r="AE10">
        <v>41.666666666666664</v>
      </c>
      <c r="AF10">
        <v>2740.7424000000001</v>
      </c>
      <c r="AG10">
        <v>2740.7424000000001</v>
      </c>
      <c r="AH10">
        <v>1370.3711999999998</v>
      </c>
      <c r="AI10">
        <v>2740.7423999999996</v>
      </c>
      <c r="AJ10">
        <v>0</v>
      </c>
      <c r="AK10">
        <v>0</v>
      </c>
      <c r="AL10">
        <v>5481.4848000000002</v>
      </c>
      <c r="AM10">
        <v>37000.022400000002</v>
      </c>
      <c r="AN10">
        <v>37041.689066666666</v>
      </c>
      <c r="AO10">
        <v>37000.022400000002</v>
      </c>
      <c r="AQ10">
        <v>27407.423999999995</v>
      </c>
      <c r="AR10">
        <v>24076.191999999999</v>
      </c>
      <c r="AS10">
        <v>32888.908799999997</v>
      </c>
      <c r="AT10" t="s">
        <v>544</v>
      </c>
      <c r="AU10">
        <v>3439.4559999999997</v>
      </c>
      <c r="AV10">
        <v>3439.4559999999997</v>
      </c>
      <c r="AW10">
        <v>2042.0288000000005</v>
      </c>
      <c r="AX10">
        <v>34972.604266666662</v>
      </c>
      <c r="AY10">
        <v>31236.5</v>
      </c>
      <c r="AZ10">
        <v>3736.1042666666617</v>
      </c>
      <c r="BA10">
        <v>0.23519999999999999</v>
      </c>
      <c r="BB10">
        <v>878.73172351999881</v>
      </c>
      <c r="BC10">
        <v>5004.12</v>
      </c>
      <c r="BD10">
        <v>5882.8517235199988</v>
      </c>
      <c r="BE10">
        <v>0</v>
      </c>
      <c r="BF10">
        <v>5882.8517235199988</v>
      </c>
      <c r="BG10">
        <v>1.3888888888888888</v>
      </c>
      <c r="BH10">
        <v>1364.9599999999996</v>
      </c>
      <c r="BI10">
        <v>1005.7679808888888</v>
      </c>
      <c r="BJ10">
        <v>3017.3039426666664</v>
      </c>
      <c r="BK10">
        <v>0</v>
      </c>
      <c r="BL10">
        <v>0</v>
      </c>
      <c r="BM10">
        <v>90.155999999999992</v>
      </c>
      <c r="BN10">
        <v>0</v>
      </c>
      <c r="BO10">
        <v>0</v>
      </c>
      <c r="BP10">
        <v>1038.8139808888889</v>
      </c>
      <c r="BQ10">
        <v>1038.8139808888889</v>
      </c>
      <c r="BR10">
        <v>83.927277706666658</v>
      </c>
      <c r="BS10">
        <v>77.911048566666665</v>
      </c>
      <c r="BT10">
        <v>116.86657285</v>
      </c>
      <c r="BU10">
        <v>194.77762141666665</v>
      </c>
      <c r="BV10">
        <v>350.59971854999998</v>
      </c>
      <c r="BW10">
        <v>824.08223909000003</v>
      </c>
      <c r="BX10">
        <v>30334.755104056669</v>
      </c>
      <c r="BY10">
        <v>2740.7423999999996</v>
      </c>
      <c r="BZ10">
        <v>27594.012704056669</v>
      </c>
      <c r="CA10">
        <v>37000.022400000002</v>
      </c>
      <c r="CB10">
        <v>1110.0006719999999</v>
      </c>
      <c r="CC10">
        <v>1038.8139808888889</v>
      </c>
      <c r="CD10">
        <v>692.41679999999997</v>
      </c>
      <c r="CE10">
        <v>230.80001369333328</v>
      </c>
      <c r="CF10">
        <v>218.15093598666667</v>
      </c>
      <c r="CG10">
        <v>327.22640397999999</v>
      </c>
      <c r="CH10">
        <v>517.81864386766529</v>
      </c>
      <c r="CI10">
        <v>545.3773399666668</v>
      </c>
      <c r="CJ10">
        <v>311.64419426666666</v>
      </c>
      <c r="CK10">
        <v>623.28838853333332</v>
      </c>
      <c r="CL10">
        <v>981.67921194000007</v>
      </c>
      <c r="CM10">
        <v>4448.401932234332</v>
      </c>
      <c r="CN10">
        <v>1558.2209713333332</v>
      </c>
      <c r="CO10">
        <v>7116.6235755676653</v>
      </c>
      <c r="CQ10">
        <v>2253.9</v>
      </c>
      <c r="CR10">
        <v>262.8109150684931</v>
      </c>
      <c r="CS10">
        <v>1185.5019994520549</v>
      </c>
      <c r="CT10">
        <v>47860.525556754881</v>
      </c>
      <c r="CV10">
        <v>15000</v>
      </c>
      <c r="CY10">
        <v>0</v>
      </c>
      <c r="DB10">
        <v>32888.908799999997</v>
      </c>
      <c r="DE10" s="61">
        <v>62860.525556754881</v>
      </c>
    </row>
    <row r="11" spans="1:110" x14ac:dyDescent="0.3">
      <c r="A11">
        <v>1022</v>
      </c>
      <c r="B11" t="s">
        <v>637</v>
      </c>
      <c r="C11" t="s">
        <v>603</v>
      </c>
      <c r="D11" t="s">
        <v>604</v>
      </c>
      <c r="E11" t="s">
        <v>641</v>
      </c>
      <c r="F11" t="s">
        <v>642</v>
      </c>
      <c r="G11" t="s">
        <v>630</v>
      </c>
      <c r="H11" t="s">
        <v>622</v>
      </c>
      <c r="I11" t="s">
        <v>623</v>
      </c>
      <c r="J11" s="3">
        <v>43108</v>
      </c>
      <c r="K11">
        <v>7.0684931506849313</v>
      </c>
      <c r="L11">
        <v>7</v>
      </c>
      <c r="M11" t="s">
        <v>636</v>
      </c>
      <c r="N11" t="s">
        <v>636</v>
      </c>
      <c r="O11">
        <v>1.0562</v>
      </c>
      <c r="P11">
        <v>3439.4559999999997</v>
      </c>
      <c r="Q11">
        <v>3439.4559999999997</v>
      </c>
      <c r="R11">
        <v>901.56</v>
      </c>
      <c r="S11">
        <v>952.22767199999998</v>
      </c>
      <c r="T11">
        <v>41.45</v>
      </c>
      <c r="U11">
        <v>993.67767200000003</v>
      </c>
      <c r="V11">
        <v>30.4</v>
      </c>
      <c r="W11">
        <v>27407.423999999995</v>
      </c>
      <c r="AE11">
        <v>41.666666666666664</v>
      </c>
      <c r="AF11">
        <v>2740.7424000000001</v>
      </c>
      <c r="AG11">
        <v>2740.7424000000001</v>
      </c>
      <c r="AH11">
        <v>1370.3711999999998</v>
      </c>
      <c r="AI11">
        <v>2740.7423999999996</v>
      </c>
      <c r="AJ11">
        <v>0</v>
      </c>
      <c r="AK11">
        <v>0</v>
      </c>
      <c r="AL11">
        <v>5481.4848000000002</v>
      </c>
      <c r="AM11">
        <v>37000.022400000002</v>
      </c>
      <c r="AN11">
        <v>37041.689066666666</v>
      </c>
      <c r="AO11">
        <v>37000.022400000002</v>
      </c>
      <c r="AQ11">
        <v>27407.423999999995</v>
      </c>
      <c r="AR11">
        <v>24076.191999999999</v>
      </c>
      <c r="AS11">
        <v>32888.908799999997</v>
      </c>
      <c r="AT11" t="s">
        <v>544</v>
      </c>
      <c r="AU11">
        <v>3439.4559999999997</v>
      </c>
      <c r="AV11">
        <v>3439.4559999999997</v>
      </c>
      <c r="AW11">
        <v>2042.0288000000005</v>
      </c>
      <c r="AX11">
        <v>34972.604266666662</v>
      </c>
      <c r="AY11">
        <v>31236.5</v>
      </c>
      <c r="AZ11">
        <v>3736.1042666666617</v>
      </c>
      <c r="BA11">
        <v>0.23519999999999999</v>
      </c>
      <c r="BB11">
        <v>878.73172351999881</v>
      </c>
      <c r="BC11">
        <v>5004.12</v>
      </c>
      <c r="BD11">
        <v>5882.8517235199988</v>
      </c>
      <c r="BE11">
        <v>0</v>
      </c>
      <c r="BF11">
        <v>5882.8517235199988</v>
      </c>
      <c r="BG11">
        <v>1.3888888888888888</v>
      </c>
      <c r="BH11">
        <v>1364.9599999999996</v>
      </c>
      <c r="BI11">
        <v>995.06656088888894</v>
      </c>
      <c r="BJ11">
        <v>2985.1996826666673</v>
      </c>
      <c r="BK11">
        <v>0</v>
      </c>
      <c r="BL11">
        <v>0</v>
      </c>
      <c r="BM11">
        <v>90.155999999999992</v>
      </c>
      <c r="BN11">
        <v>0</v>
      </c>
      <c r="BO11">
        <v>0</v>
      </c>
      <c r="BP11">
        <v>1043.7725608888888</v>
      </c>
      <c r="BQ11">
        <v>1043.7725608888888</v>
      </c>
      <c r="BR11">
        <v>84.522307306666647</v>
      </c>
      <c r="BS11">
        <v>78.282942066666664</v>
      </c>
      <c r="BT11">
        <v>117.42441309999998</v>
      </c>
      <c r="BU11">
        <v>195.70735516666667</v>
      </c>
      <c r="BV11">
        <v>352.27323929999994</v>
      </c>
      <c r="BW11">
        <v>828.21025693999991</v>
      </c>
      <c r="BX11">
        <v>30330.627086206667</v>
      </c>
      <c r="BY11">
        <v>2740.7423999999996</v>
      </c>
      <c r="BZ11">
        <v>27589.884686206668</v>
      </c>
      <c r="CA11">
        <v>37000.022400000002</v>
      </c>
      <c r="CB11">
        <v>1110.0006719999999</v>
      </c>
      <c r="CC11">
        <v>1043.7725608888888</v>
      </c>
      <c r="CD11">
        <v>692.41679999999997</v>
      </c>
      <c r="CE11">
        <v>232.43634509333327</v>
      </c>
      <c r="CF11">
        <v>219.19223778666665</v>
      </c>
      <c r="CG11">
        <v>328.78835667999999</v>
      </c>
      <c r="CH11">
        <v>520.29035219884531</v>
      </c>
      <c r="CI11">
        <v>547.98059446666662</v>
      </c>
      <c r="CJ11">
        <v>313.13176826666665</v>
      </c>
      <c r="CK11">
        <v>626.26353653333331</v>
      </c>
      <c r="CL11">
        <v>986.36507003999998</v>
      </c>
      <c r="CM11">
        <v>4466.8650610655122</v>
      </c>
      <c r="CN11">
        <v>1565.6588413333334</v>
      </c>
      <c r="CO11">
        <v>7142.5245743988453</v>
      </c>
      <c r="CQ11">
        <v>1126.3324931506847</v>
      </c>
      <c r="CR11">
        <v>412.98858082191782</v>
      </c>
      <c r="CS11">
        <v>1156.1803042191782</v>
      </c>
      <c r="CT11">
        <v>46879.715019257288</v>
      </c>
      <c r="CV11">
        <v>10000</v>
      </c>
      <c r="CY11">
        <v>1737.14</v>
      </c>
      <c r="DB11">
        <v>32888.908799999997</v>
      </c>
      <c r="DC11">
        <v>394.43249999999995</v>
      </c>
      <c r="DE11" s="61">
        <v>59011.28751925729</v>
      </c>
    </row>
    <row r="12" spans="1:110" hidden="1" x14ac:dyDescent="0.3">
      <c r="A12">
        <v>1892</v>
      </c>
      <c r="B12" t="s">
        <v>602</v>
      </c>
      <c r="C12" t="s">
        <v>603</v>
      </c>
      <c r="D12" t="s">
        <v>604</v>
      </c>
      <c r="E12" t="s">
        <v>885</v>
      </c>
      <c r="F12" t="s">
        <v>652</v>
      </c>
      <c r="G12" t="s">
        <v>653</v>
      </c>
      <c r="H12" t="s">
        <v>622</v>
      </c>
      <c r="I12" t="s">
        <v>623</v>
      </c>
      <c r="J12" s="3">
        <v>45621</v>
      </c>
      <c r="K12">
        <v>0.18356164383561643</v>
      </c>
      <c r="L12">
        <v>0</v>
      </c>
      <c r="M12" t="s">
        <v>678</v>
      </c>
      <c r="N12" t="s">
        <v>678</v>
      </c>
      <c r="O12">
        <v>1.0492999999999999</v>
      </c>
      <c r="P12">
        <v>3439.4559999999997</v>
      </c>
      <c r="Q12">
        <v>3439.4559999999997</v>
      </c>
      <c r="R12">
        <v>1209.76</v>
      </c>
      <c r="S12">
        <v>1269.4011679999999</v>
      </c>
      <c r="T12">
        <v>321.45999999999998</v>
      </c>
      <c r="U12">
        <v>1590.8611679999999</v>
      </c>
      <c r="V12">
        <v>30.4</v>
      </c>
      <c r="W12">
        <v>36776.703999999998</v>
      </c>
      <c r="AE12">
        <v>41.67</v>
      </c>
      <c r="AH12">
        <v>1838.8352</v>
      </c>
      <c r="AI12">
        <v>3394.2</v>
      </c>
      <c r="AJ12">
        <v>0</v>
      </c>
      <c r="AK12">
        <v>0</v>
      </c>
      <c r="AL12">
        <v>0</v>
      </c>
      <c r="AM12">
        <v>42009.739199999996</v>
      </c>
      <c r="AN12">
        <v>42051.409199999995</v>
      </c>
      <c r="AO12">
        <v>42009.739199999996</v>
      </c>
      <c r="AQ12">
        <v>36776.703999999998</v>
      </c>
      <c r="AR12">
        <v>24076.191999999999</v>
      </c>
      <c r="AS12">
        <v>36776.703999999998</v>
      </c>
      <c r="AT12" t="s">
        <v>544</v>
      </c>
      <c r="AU12">
        <v>3439.4559999999997</v>
      </c>
      <c r="AV12">
        <v>0</v>
      </c>
      <c r="AW12">
        <v>0</v>
      </c>
      <c r="AX12">
        <v>36818.373999999996</v>
      </c>
      <c r="AY12">
        <v>31236.5</v>
      </c>
      <c r="AZ12">
        <v>5581.8739999999962</v>
      </c>
      <c r="BA12">
        <v>0.23519999999999999</v>
      </c>
      <c r="BB12">
        <v>1312.8567647999992</v>
      </c>
      <c r="BC12">
        <v>5004.12</v>
      </c>
      <c r="BD12">
        <v>6316.9767647999988</v>
      </c>
      <c r="BE12">
        <v>0</v>
      </c>
      <c r="BF12">
        <v>6316.9767647999988</v>
      </c>
      <c r="BG12">
        <v>1.389</v>
      </c>
      <c r="BH12">
        <v>2018.4175999999998</v>
      </c>
      <c r="BI12">
        <v>1592.2501679999998</v>
      </c>
      <c r="BJ12">
        <v>4776.7505039999996</v>
      </c>
      <c r="BK12">
        <v>0</v>
      </c>
      <c r="BL12">
        <v>0</v>
      </c>
      <c r="BM12">
        <v>111.65131578947368</v>
      </c>
      <c r="BN12">
        <v>0</v>
      </c>
      <c r="BO12">
        <v>0</v>
      </c>
      <c r="BP12">
        <v>1382.4414837894735</v>
      </c>
      <c r="BQ12">
        <v>1382.4414837894735</v>
      </c>
      <c r="BR12">
        <v>125.16257805473683</v>
      </c>
      <c r="BS12">
        <v>103.68311128421053</v>
      </c>
      <c r="BT12">
        <v>155.52466692631577</v>
      </c>
      <c r="BU12">
        <v>259.20777821052627</v>
      </c>
      <c r="BV12">
        <v>466.57400077894727</v>
      </c>
      <c r="BW12">
        <v>1110.1521352547365</v>
      </c>
      <c r="BX12">
        <v>34624.280299945262</v>
      </c>
      <c r="BY12">
        <v>3677.6704</v>
      </c>
      <c r="BZ12">
        <v>30946.609899945262</v>
      </c>
      <c r="CA12">
        <v>42009.739199999996</v>
      </c>
      <c r="CB12">
        <v>1260.2921759999999</v>
      </c>
      <c r="CC12">
        <v>1382.4414837894735</v>
      </c>
      <c r="CD12">
        <v>692.41679999999997</v>
      </c>
      <c r="CE12">
        <v>344.19708965052627</v>
      </c>
      <c r="CF12">
        <v>290.31271159578944</v>
      </c>
      <c r="CG12">
        <v>435.46906739368421</v>
      </c>
      <c r="CH12">
        <v>689.10698886602268</v>
      </c>
      <c r="CI12">
        <v>725.78177898947365</v>
      </c>
      <c r="CJ12">
        <v>414.7324451368421</v>
      </c>
      <c r="CK12">
        <v>829.4648902736842</v>
      </c>
      <c r="CL12">
        <v>1306.4072021810525</v>
      </c>
      <c r="CM12">
        <v>5727.8889740870754</v>
      </c>
      <c r="CN12">
        <v>2073.6622256842102</v>
      </c>
      <c r="CO12">
        <v>9061.8433757712846</v>
      </c>
      <c r="CQ12">
        <v>1511.3713972602739</v>
      </c>
      <c r="CR12">
        <v>302.27427945205471</v>
      </c>
      <c r="CS12">
        <v>1314.7015463013695</v>
      </c>
      <c r="CT12">
        <v>54241.59979878497</v>
      </c>
      <c r="CY12">
        <v>4000</v>
      </c>
      <c r="DB12">
        <v>36776.703999999998</v>
      </c>
      <c r="DE12" s="61">
        <v>58241.59979878497</v>
      </c>
    </row>
    <row r="13" spans="1:110" hidden="1" x14ac:dyDescent="0.3">
      <c r="A13">
        <v>1002</v>
      </c>
      <c r="B13" t="s">
        <v>611</v>
      </c>
      <c r="C13" t="s">
        <v>603</v>
      </c>
      <c r="D13" t="s">
        <v>604</v>
      </c>
      <c r="E13" t="s">
        <v>612</v>
      </c>
      <c r="F13" t="s">
        <v>613</v>
      </c>
      <c r="G13" t="s">
        <v>607</v>
      </c>
      <c r="H13" t="s">
        <v>608</v>
      </c>
      <c r="I13" t="s">
        <v>609</v>
      </c>
      <c r="J13" s="3">
        <v>39995</v>
      </c>
      <c r="K13">
        <v>15.597260273972603</v>
      </c>
      <c r="L13">
        <v>15</v>
      </c>
      <c r="M13" t="s">
        <v>614</v>
      </c>
      <c r="N13" t="s">
        <v>614</v>
      </c>
      <c r="O13">
        <v>1.0589</v>
      </c>
      <c r="P13">
        <v>3439.4559999999997</v>
      </c>
      <c r="Q13">
        <v>3439.4559999999997</v>
      </c>
      <c r="R13">
        <v>515.19000000000005</v>
      </c>
      <c r="S13">
        <v>545.53469100000007</v>
      </c>
      <c r="T13">
        <v>367.77</v>
      </c>
      <c r="U13">
        <v>913.30469100000005</v>
      </c>
      <c r="V13">
        <v>30.4</v>
      </c>
      <c r="W13">
        <v>15661.776000000002</v>
      </c>
      <c r="AD13">
        <v>12160</v>
      </c>
      <c r="AE13">
        <v>41.666666666666664</v>
      </c>
      <c r="AF13">
        <v>1566.1776</v>
      </c>
      <c r="AG13">
        <v>1566.1776</v>
      </c>
      <c r="AH13">
        <v>783.08880000000011</v>
      </c>
      <c r="AI13">
        <v>1566.1776000000002</v>
      </c>
      <c r="AJ13">
        <v>0</v>
      </c>
      <c r="AK13">
        <v>0</v>
      </c>
      <c r="AL13">
        <v>3132.3552</v>
      </c>
      <c r="AM13">
        <v>21143.397600000004</v>
      </c>
      <c r="AN13">
        <v>33345.064266666668</v>
      </c>
      <c r="AO13">
        <v>33303.397600000004</v>
      </c>
      <c r="AQ13">
        <v>27821.776000000002</v>
      </c>
      <c r="AR13">
        <v>24076.191999999999</v>
      </c>
      <c r="AS13">
        <v>18794.131200000003</v>
      </c>
      <c r="AT13">
        <v>0</v>
      </c>
      <c r="AU13">
        <v>5282.0607999999957</v>
      </c>
      <c r="AV13">
        <v>3132.3552</v>
      </c>
      <c r="AW13">
        <v>0</v>
      </c>
      <c r="AX13">
        <v>30995.797866666668</v>
      </c>
      <c r="AY13">
        <v>15487.72</v>
      </c>
      <c r="AZ13">
        <v>15508.077866666668</v>
      </c>
      <c r="BA13">
        <v>0.21359999999999998</v>
      </c>
      <c r="BB13">
        <v>3312.5254323200002</v>
      </c>
      <c r="BC13">
        <v>1640.18</v>
      </c>
      <c r="BD13">
        <v>4952.70543232</v>
      </c>
      <c r="BE13">
        <v>0</v>
      </c>
      <c r="BF13">
        <v>4952.70543232</v>
      </c>
      <c r="BG13">
        <v>406.72222222222223</v>
      </c>
      <c r="BH13">
        <v>190.39520000000016</v>
      </c>
      <c r="BI13">
        <v>1320.0269132222222</v>
      </c>
      <c r="BJ13">
        <v>3960.0807396666664</v>
      </c>
      <c r="BK13">
        <v>0</v>
      </c>
      <c r="BL13">
        <v>0</v>
      </c>
      <c r="BM13">
        <v>51.519000000000013</v>
      </c>
      <c r="BN13">
        <v>0</v>
      </c>
      <c r="BO13">
        <v>0</v>
      </c>
      <c r="BP13">
        <v>1003.7759132222222</v>
      </c>
      <c r="BQ13">
        <v>1003.7759132222222</v>
      </c>
      <c r="BR13">
        <v>79.722709586666667</v>
      </c>
      <c r="BS13">
        <v>75.283193491666665</v>
      </c>
      <c r="BT13">
        <v>112.92479023750001</v>
      </c>
      <c r="BU13">
        <v>188.20798372916667</v>
      </c>
      <c r="BV13">
        <v>338.7743707125</v>
      </c>
      <c r="BW13">
        <v>794.91304775749995</v>
      </c>
      <c r="BX13">
        <v>27597.445786589167</v>
      </c>
      <c r="BY13">
        <v>1566.1776000000002</v>
      </c>
      <c r="BZ13">
        <v>26031.268186589168</v>
      </c>
      <c r="CA13">
        <v>33303.397600000004</v>
      </c>
      <c r="CB13">
        <v>999.10192800000004</v>
      </c>
      <c r="CC13">
        <v>1003.7759132222222</v>
      </c>
      <c r="CD13">
        <v>692.41679999999997</v>
      </c>
      <c r="CE13">
        <v>219.23745136333329</v>
      </c>
      <c r="CF13">
        <v>210.79294177666668</v>
      </c>
      <c r="CG13">
        <v>316.18941266500002</v>
      </c>
      <c r="CH13">
        <v>500.35318323979436</v>
      </c>
      <c r="CI13">
        <v>526.98235444166676</v>
      </c>
      <c r="CJ13">
        <v>301.13277396666666</v>
      </c>
      <c r="CK13">
        <v>602.26554793333332</v>
      </c>
      <c r="CL13">
        <v>948.56823799500012</v>
      </c>
      <c r="CM13">
        <v>4317.938703381461</v>
      </c>
      <c r="CN13">
        <v>1505.6638698333334</v>
      </c>
      <c r="CO13">
        <v>6822.7045012147946</v>
      </c>
      <c r="CQ13">
        <v>643.6346301369864</v>
      </c>
      <c r="CR13">
        <v>278.90833972602741</v>
      </c>
      <c r="CS13">
        <v>661.97821709589039</v>
      </c>
      <c r="CT13">
        <v>41752.289954840366</v>
      </c>
      <c r="CV13">
        <v>15000</v>
      </c>
      <c r="CY13">
        <v>0</v>
      </c>
      <c r="CZ13">
        <v>1045.9866666666667</v>
      </c>
      <c r="DB13">
        <v>18794.1312</v>
      </c>
      <c r="DC13">
        <v>225.395625</v>
      </c>
      <c r="DE13" s="61">
        <v>58023.672246507027</v>
      </c>
    </row>
    <row r="14" spans="1:110" hidden="1" x14ac:dyDescent="0.3">
      <c r="A14">
        <v>1735</v>
      </c>
      <c r="B14" t="s">
        <v>602</v>
      </c>
      <c r="C14" t="s">
        <v>603</v>
      </c>
      <c r="D14" t="s">
        <v>604</v>
      </c>
      <c r="E14" t="s">
        <v>794</v>
      </c>
      <c r="F14" t="s">
        <v>795</v>
      </c>
      <c r="G14" t="s">
        <v>653</v>
      </c>
      <c r="H14" t="s">
        <v>622</v>
      </c>
      <c r="I14" t="s">
        <v>623</v>
      </c>
      <c r="J14" s="3">
        <v>45215</v>
      </c>
      <c r="K14">
        <v>1.295890410958904</v>
      </c>
      <c r="L14">
        <v>1</v>
      </c>
      <c r="M14" t="s">
        <v>676</v>
      </c>
      <c r="N14" t="s">
        <v>676</v>
      </c>
      <c r="O14">
        <v>1.0507</v>
      </c>
      <c r="P14">
        <v>3439.4559999999997</v>
      </c>
      <c r="Q14">
        <v>3439.4559999999997</v>
      </c>
      <c r="R14">
        <v>1014.25</v>
      </c>
      <c r="S14">
        <v>1065.6724750000001</v>
      </c>
      <c r="T14">
        <v>0</v>
      </c>
      <c r="U14">
        <v>1065.6724750000001</v>
      </c>
      <c r="V14">
        <v>30.4</v>
      </c>
      <c r="W14">
        <v>30833.199999999997</v>
      </c>
      <c r="AE14">
        <v>41.666666666666664</v>
      </c>
      <c r="AF14">
        <v>3083.32</v>
      </c>
      <c r="AG14">
        <v>3083.32</v>
      </c>
      <c r="AH14">
        <v>1541.6599999999999</v>
      </c>
      <c r="AI14">
        <v>3083.3199999999997</v>
      </c>
      <c r="AJ14">
        <v>0</v>
      </c>
      <c r="AK14">
        <v>0</v>
      </c>
      <c r="AL14">
        <v>6166.64</v>
      </c>
      <c r="AM14">
        <v>41624.82</v>
      </c>
      <c r="AN14">
        <v>41666.486666666671</v>
      </c>
      <c r="AO14">
        <v>41624.82</v>
      </c>
      <c r="AQ14">
        <v>30833.199999999997</v>
      </c>
      <c r="AR14">
        <v>24076.191999999999</v>
      </c>
      <c r="AS14">
        <v>36999.839999999997</v>
      </c>
      <c r="AT14" t="s">
        <v>544</v>
      </c>
      <c r="AU14">
        <v>3439.4559999999997</v>
      </c>
      <c r="AV14">
        <v>3439.4559999999997</v>
      </c>
      <c r="AW14">
        <v>2727.1840000000007</v>
      </c>
      <c r="AX14">
        <v>39768.690666666669</v>
      </c>
      <c r="AY14">
        <v>31236.5</v>
      </c>
      <c r="AZ14">
        <v>8532.1906666666691</v>
      </c>
      <c r="BA14">
        <v>0.23519999999999999</v>
      </c>
      <c r="BB14">
        <v>2006.7712448000004</v>
      </c>
      <c r="BC14">
        <v>5004.12</v>
      </c>
      <c r="BD14">
        <v>7010.8912448000001</v>
      </c>
      <c r="BE14">
        <v>0</v>
      </c>
      <c r="BF14">
        <v>7010.8912448000001</v>
      </c>
      <c r="BG14">
        <v>1.3888888888888888</v>
      </c>
      <c r="BH14">
        <v>1707.5375999999997</v>
      </c>
      <c r="BI14">
        <v>1067.061363888889</v>
      </c>
      <c r="BJ14">
        <v>3201.184091666667</v>
      </c>
      <c r="BK14">
        <v>0</v>
      </c>
      <c r="BL14">
        <v>0</v>
      </c>
      <c r="BM14">
        <v>101.425</v>
      </c>
      <c r="BN14">
        <v>0</v>
      </c>
      <c r="BO14">
        <v>0</v>
      </c>
      <c r="BP14">
        <v>1168.4863638888889</v>
      </c>
      <c r="BQ14">
        <v>1168.4863638888889</v>
      </c>
      <c r="BR14">
        <v>99.487963666666673</v>
      </c>
      <c r="BS14">
        <v>87.636477291666679</v>
      </c>
      <c r="BT14">
        <v>131.4547159375</v>
      </c>
      <c r="BU14">
        <v>219.09119322916669</v>
      </c>
      <c r="BV14">
        <v>394.36414781250005</v>
      </c>
      <c r="BW14">
        <v>932.03449793750008</v>
      </c>
      <c r="BX14">
        <v>33723.560923929173</v>
      </c>
      <c r="BY14">
        <v>3083.3199999999997</v>
      </c>
      <c r="BZ14">
        <v>30640.240923929174</v>
      </c>
      <c r="CA14">
        <v>41624.82</v>
      </c>
      <c r="CB14">
        <v>1248.7446</v>
      </c>
      <c r="CC14">
        <v>1168.4863638888889</v>
      </c>
      <c r="CD14">
        <v>692.41679999999997</v>
      </c>
      <c r="CE14">
        <v>273.59190008333331</v>
      </c>
      <c r="CF14">
        <v>245.3821364166667</v>
      </c>
      <c r="CG14">
        <v>368.07320462500002</v>
      </c>
      <c r="CH14">
        <v>582.45656629405846</v>
      </c>
      <c r="CI14">
        <v>613.45534104166677</v>
      </c>
      <c r="CJ14">
        <v>350.54590916666672</v>
      </c>
      <c r="CK14">
        <v>701.09181833333344</v>
      </c>
      <c r="CL14">
        <v>1104.2196138750001</v>
      </c>
      <c r="CM14">
        <v>4931.2332898357254</v>
      </c>
      <c r="CN14">
        <v>1752.7295458333335</v>
      </c>
      <c r="CO14">
        <v>7932.7074356690591</v>
      </c>
      <c r="CQ14">
        <v>1267.117808219178</v>
      </c>
      <c r="CR14">
        <v>295.66082191780822</v>
      </c>
      <c r="CS14">
        <v>1295.6279589041094</v>
      </c>
      <c r="CT14">
        <v>52457.600691376821</v>
      </c>
      <c r="CV14">
        <v>3000</v>
      </c>
      <c r="CY14">
        <v>0</v>
      </c>
      <c r="CZ14">
        <v>899.98083333333341</v>
      </c>
      <c r="DB14">
        <v>36999.839999999997</v>
      </c>
      <c r="DE14" s="61">
        <v>56357.581524710156</v>
      </c>
    </row>
    <row r="15" spans="1:110" hidden="1" x14ac:dyDescent="0.3">
      <c r="A15">
        <v>1896</v>
      </c>
      <c r="B15" t="s">
        <v>602</v>
      </c>
      <c r="C15" t="s">
        <v>603</v>
      </c>
      <c r="D15" t="s">
        <v>604</v>
      </c>
      <c r="E15" t="s">
        <v>887</v>
      </c>
      <c r="F15" t="s">
        <v>888</v>
      </c>
      <c r="G15" t="s">
        <v>653</v>
      </c>
      <c r="H15" t="s">
        <v>622</v>
      </c>
      <c r="I15" t="s">
        <v>623</v>
      </c>
      <c r="J15" s="3">
        <v>45643</v>
      </c>
      <c r="K15">
        <v>0.12328767123287671</v>
      </c>
      <c r="L15">
        <v>0</v>
      </c>
      <c r="M15" t="s">
        <v>678</v>
      </c>
      <c r="N15" t="s">
        <v>678</v>
      </c>
      <c r="O15">
        <v>1.0492999999999999</v>
      </c>
      <c r="P15">
        <v>3439.4559999999997</v>
      </c>
      <c r="Q15">
        <v>3439.4559999999997</v>
      </c>
      <c r="R15">
        <v>1025</v>
      </c>
      <c r="S15">
        <v>1075.5324999999998</v>
      </c>
      <c r="T15">
        <v>57.76</v>
      </c>
      <c r="U15">
        <v>1133.2924999999998</v>
      </c>
      <c r="V15">
        <v>30.4</v>
      </c>
      <c r="W15">
        <v>31160</v>
      </c>
      <c r="AE15">
        <v>41.666666666666664</v>
      </c>
      <c r="AF15">
        <v>3116</v>
      </c>
      <c r="AG15">
        <v>3116</v>
      </c>
      <c r="AH15">
        <v>1558</v>
      </c>
      <c r="AI15">
        <v>3116</v>
      </c>
      <c r="AJ15">
        <v>0</v>
      </c>
      <c r="AK15">
        <v>0</v>
      </c>
      <c r="AL15">
        <v>6232</v>
      </c>
      <c r="AM15">
        <v>42066</v>
      </c>
      <c r="AN15">
        <v>42107.666666666672</v>
      </c>
      <c r="AO15">
        <v>42066</v>
      </c>
      <c r="AQ15">
        <v>31160</v>
      </c>
      <c r="AR15">
        <v>24076.191999999999</v>
      </c>
      <c r="AS15">
        <v>37392</v>
      </c>
      <c r="AT15" t="s">
        <v>544</v>
      </c>
      <c r="AU15">
        <v>3439.4559999999997</v>
      </c>
      <c r="AV15">
        <v>3439.4559999999997</v>
      </c>
      <c r="AW15">
        <v>2792.5440000000003</v>
      </c>
      <c r="AX15">
        <v>40226.210666666673</v>
      </c>
      <c r="AY15">
        <v>31236.5</v>
      </c>
      <c r="AZ15">
        <v>8989.7106666666732</v>
      </c>
      <c r="BA15">
        <v>0.23519999999999999</v>
      </c>
      <c r="BB15">
        <v>2114.3799488000013</v>
      </c>
      <c r="BC15">
        <v>5004.12</v>
      </c>
      <c r="BD15">
        <v>7118.4999488000012</v>
      </c>
      <c r="BE15">
        <v>0</v>
      </c>
      <c r="BF15">
        <v>7118.4999488000012</v>
      </c>
      <c r="BG15">
        <v>1.3888888888888888</v>
      </c>
      <c r="BH15">
        <v>1740.2175999999999</v>
      </c>
      <c r="BI15">
        <v>1134.6813888888887</v>
      </c>
      <c r="BJ15">
        <v>3404.0441666666661</v>
      </c>
      <c r="BK15">
        <v>0</v>
      </c>
      <c r="BL15">
        <v>0</v>
      </c>
      <c r="BM15">
        <v>102.5</v>
      </c>
      <c r="BN15">
        <v>0</v>
      </c>
      <c r="BO15">
        <v>0</v>
      </c>
      <c r="BP15">
        <v>1179.4213888888887</v>
      </c>
      <c r="BQ15">
        <v>1179.4213888888887</v>
      </c>
      <c r="BR15">
        <v>100.80016666666664</v>
      </c>
      <c r="BS15">
        <v>88.456604166666651</v>
      </c>
      <c r="BT15">
        <v>132.68490624999995</v>
      </c>
      <c r="BU15">
        <v>221.14151041666665</v>
      </c>
      <c r="BV15">
        <v>398.05471874999995</v>
      </c>
      <c r="BW15">
        <v>941.13790624999979</v>
      </c>
      <c r="BX15">
        <v>34048.02881161667</v>
      </c>
      <c r="BY15">
        <v>3116</v>
      </c>
      <c r="BZ15">
        <v>30932.02881161667</v>
      </c>
      <c r="CA15">
        <v>42066</v>
      </c>
      <c r="CB15">
        <v>1261.98</v>
      </c>
      <c r="CC15">
        <v>1179.4213888888887</v>
      </c>
      <c r="CD15">
        <v>692.41679999999997</v>
      </c>
      <c r="CE15">
        <v>277.20045833333319</v>
      </c>
      <c r="CF15">
        <v>247.67849166666662</v>
      </c>
      <c r="CG15">
        <v>371.51773749999995</v>
      </c>
      <c r="CH15">
        <v>587.90735914083325</v>
      </c>
      <c r="CI15">
        <v>619.19622916666663</v>
      </c>
      <c r="CJ15">
        <v>353.8264166666666</v>
      </c>
      <c r="CK15">
        <v>707.65283333333321</v>
      </c>
      <c r="CL15">
        <v>1114.5532125</v>
      </c>
      <c r="CM15">
        <v>4971.9495383074991</v>
      </c>
      <c r="CN15">
        <v>1769.1320833333332</v>
      </c>
      <c r="CO15">
        <v>8003.0616216408316</v>
      </c>
      <c r="CQ15">
        <v>1280.5479452054794</v>
      </c>
      <c r="CR15">
        <v>256.10958904109583</v>
      </c>
      <c r="CS15">
        <v>1308.0797260273971</v>
      </c>
      <c r="CT15">
        <v>52955.465548581473</v>
      </c>
      <c r="CY15">
        <v>3000</v>
      </c>
      <c r="DB15">
        <v>37392</v>
      </c>
      <c r="DE15" s="61">
        <v>55955.465548581473</v>
      </c>
    </row>
    <row r="16" spans="1:110" hidden="1" x14ac:dyDescent="0.3">
      <c r="A16">
        <v>1649</v>
      </c>
      <c r="B16" t="s">
        <v>602</v>
      </c>
      <c r="C16" t="s">
        <v>603</v>
      </c>
      <c r="D16" t="s">
        <v>604</v>
      </c>
      <c r="E16" t="s">
        <v>770</v>
      </c>
      <c r="F16" t="s">
        <v>771</v>
      </c>
      <c r="G16" t="s">
        <v>772</v>
      </c>
      <c r="H16" t="s">
        <v>622</v>
      </c>
      <c r="I16" t="s">
        <v>623</v>
      </c>
      <c r="J16" s="3">
        <v>44921</v>
      </c>
      <c r="K16">
        <v>2.1013698630136988</v>
      </c>
      <c r="L16">
        <v>2</v>
      </c>
      <c r="M16" t="s">
        <v>735</v>
      </c>
      <c r="N16" t="s">
        <v>735</v>
      </c>
      <c r="O16">
        <v>1.0521</v>
      </c>
      <c r="P16">
        <v>3439.4559999999997</v>
      </c>
      <c r="Q16">
        <v>3439.4559999999997</v>
      </c>
      <c r="R16">
        <v>921.05</v>
      </c>
      <c r="S16">
        <v>969.03670499999998</v>
      </c>
      <c r="T16">
        <v>48.68</v>
      </c>
      <c r="U16">
        <v>1017.7167049999999</v>
      </c>
      <c r="V16">
        <v>30.4</v>
      </c>
      <c r="W16">
        <v>27999.919999999998</v>
      </c>
      <c r="AE16">
        <v>41.666666666666664</v>
      </c>
      <c r="AF16">
        <v>2799.9920000000002</v>
      </c>
      <c r="AG16">
        <v>2799.9920000000002</v>
      </c>
      <c r="AH16">
        <v>1399.9960000000001</v>
      </c>
      <c r="AI16">
        <v>2799.9920000000002</v>
      </c>
      <c r="AJ16">
        <v>0</v>
      </c>
      <c r="AK16">
        <v>0</v>
      </c>
      <c r="AL16">
        <v>5599.9840000000004</v>
      </c>
      <c r="AM16">
        <v>37799.891999999993</v>
      </c>
      <c r="AN16">
        <v>37841.558666666664</v>
      </c>
      <c r="AO16">
        <v>37799.891999999993</v>
      </c>
      <c r="AQ16">
        <v>27999.919999999998</v>
      </c>
      <c r="AR16">
        <v>24076.191999999999</v>
      </c>
      <c r="AS16">
        <v>33599.903999999995</v>
      </c>
      <c r="AT16" t="s">
        <v>544</v>
      </c>
      <c r="AU16">
        <v>3439.4559999999997</v>
      </c>
      <c r="AV16">
        <v>3439.4559999999997</v>
      </c>
      <c r="AW16">
        <v>2160.5280000000007</v>
      </c>
      <c r="AX16">
        <v>35802.098666666665</v>
      </c>
      <c r="AY16">
        <v>31236.5</v>
      </c>
      <c r="AZ16">
        <v>4565.5986666666649</v>
      </c>
      <c r="BA16">
        <v>0.23519999999999999</v>
      </c>
      <c r="BB16">
        <v>1073.8288063999996</v>
      </c>
      <c r="BC16">
        <v>5004.12</v>
      </c>
      <c r="BD16">
        <v>6077.9488063999997</v>
      </c>
      <c r="BE16">
        <v>0</v>
      </c>
      <c r="BF16">
        <v>6077.9488063999997</v>
      </c>
      <c r="BG16">
        <v>1.3888888888888888</v>
      </c>
      <c r="BH16">
        <v>1424.2096000000001</v>
      </c>
      <c r="BI16">
        <v>1019.1055938888888</v>
      </c>
      <c r="BJ16">
        <v>3057.3167816666664</v>
      </c>
      <c r="BK16">
        <v>0</v>
      </c>
      <c r="BL16">
        <v>0</v>
      </c>
      <c r="BM16">
        <v>92.105000000000004</v>
      </c>
      <c r="BN16">
        <v>0</v>
      </c>
      <c r="BO16">
        <v>0</v>
      </c>
      <c r="BP16">
        <v>1062.5305938888887</v>
      </c>
      <c r="BQ16">
        <v>1062.5305938888887</v>
      </c>
      <c r="BR16">
        <v>86.77327126666664</v>
      </c>
      <c r="BS16">
        <v>79.689794541666657</v>
      </c>
      <c r="BT16">
        <v>119.53469181249997</v>
      </c>
      <c r="BU16">
        <v>199.22448635416663</v>
      </c>
      <c r="BV16">
        <v>358.60407543749989</v>
      </c>
      <c r="BW16">
        <v>843.82631941249974</v>
      </c>
      <c r="BX16">
        <v>30919.783540854165</v>
      </c>
      <c r="BY16">
        <v>2799.9920000000002</v>
      </c>
      <c r="BZ16">
        <v>28119.791540854167</v>
      </c>
      <c r="CA16">
        <v>37799.891999999993</v>
      </c>
      <c r="CB16">
        <v>1133.9967599999998</v>
      </c>
      <c r="CC16">
        <v>1062.5305938888887</v>
      </c>
      <c r="CD16">
        <v>692.41679999999997</v>
      </c>
      <c r="CE16">
        <v>238.62649598333323</v>
      </c>
      <c r="CF16">
        <v>223.13142471666663</v>
      </c>
      <c r="CG16">
        <v>334.69713707499994</v>
      </c>
      <c r="CH16">
        <v>529.64068766638832</v>
      </c>
      <c r="CI16">
        <v>557.82856179166663</v>
      </c>
      <c r="CJ16">
        <v>318.75917816666663</v>
      </c>
      <c r="CK16">
        <v>637.51835633333326</v>
      </c>
      <c r="CL16">
        <v>1004.0914112249998</v>
      </c>
      <c r="CM16">
        <v>4536.7100529580548</v>
      </c>
      <c r="CN16">
        <v>1593.795890833333</v>
      </c>
      <c r="CO16">
        <v>7264.5027037913878</v>
      </c>
      <c r="CQ16">
        <v>1150.6816438356163</v>
      </c>
      <c r="CR16">
        <v>306.84843835616437</v>
      </c>
      <c r="CS16">
        <v>1177.7226624657533</v>
      </c>
      <c r="CT16">
        <v>47741.314115115594</v>
      </c>
      <c r="CV16">
        <v>4240</v>
      </c>
      <c r="CY16">
        <v>2171.4299999999998</v>
      </c>
      <c r="CZ16">
        <v>1337.9433333333334</v>
      </c>
      <c r="DB16">
        <v>33599.903999999995</v>
      </c>
      <c r="DE16" s="61">
        <v>55490.687448448931</v>
      </c>
    </row>
    <row r="17" spans="1:109" hidden="1" x14ac:dyDescent="0.3">
      <c r="A17">
        <v>1407</v>
      </c>
      <c r="B17" t="s">
        <v>602</v>
      </c>
      <c r="C17" t="s">
        <v>603</v>
      </c>
      <c r="D17" t="s">
        <v>604</v>
      </c>
      <c r="E17" t="s">
        <v>725</v>
      </c>
      <c r="F17" t="s">
        <v>726</v>
      </c>
      <c r="G17" t="s">
        <v>607</v>
      </c>
      <c r="H17" t="s">
        <v>622</v>
      </c>
      <c r="I17" t="s">
        <v>623</v>
      </c>
      <c r="J17" s="3">
        <v>44531</v>
      </c>
      <c r="K17">
        <v>3.1698630136986301</v>
      </c>
      <c r="L17">
        <v>3</v>
      </c>
      <c r="M17" t="s">
        <v>698</v>
      </c>
      <c r="N17" t="s">
        <v>698</v>
      </c>
      <c r="O17">
        <v>1.0533999999999999</v>
      </c>
      <c r="P17">
        <v>3439.4559999999997</v>
      </c>
      <c r="Q17">
        <v>3439.4559999999997</v>
      </c>
      <c r="R17">
        <v>929.68</v>
      </c>
      <c r="S17">
        <v>979.32491199999981</v>
      </c>
      <c r="T17">
        <v>49.54</v>
      </c>
      <c r="U17">
        <v>1028.8649119999998</v>
      </c>
      <c r="V17">
        <v>30.4</v>
      </c>
      <c r="W17">
        <v>28262.271999999997</v>
      </c>
      <c r="AE17">
        <v>41.666666666666664</v>
      </c>
      <c r="AF17">
        <v>2826.2271999999998</v>
      </c>
      <c r="AG17">
        <v>2826.2271999999998</v>
      </c>
      <c r="AH17">
        <v>1413.1135999999999</v>
      </c>
      <c r="AI17">
        <v>2826.2271999999998</v>
      </c>
      <c r="AJ17">
        <v>0</v>
      </c>
      <c r="AK17">
        <v>0</v>
      </c>
      <c r="AL17">
        <v>5652.4543999999996</v>
      </c>
      <c r="AM17">
        <v>38154.067199999998</v>
      </c>
      <c r="AN17">
        <v>38195.733866666662</v>
      </c>
      <c r="AO17">
        <v>38154.067199999998</v>
      </c>
      <c r="AQ17">
        <v>28262.271999999997</v>
      </c>
      <c r="AR17">
        <v>24076.191999999999</v>
      </c>
      <c r="AS17">
        <v>33914.7264</v>
      </c>
      <c r="AT17" t="s">
        <v>544</v>
      </c>
      <c r="AU17">
        <v>3439.4559999999997</v>
      </c>
      <c r="AV17">
        <v>3439.4559999999997</v>
      </c>
      <c r="AW17">
        <v>2212.9983999999999</v>
      </c>
      <c r="AX17">
        <v>36169.391466666661</v>
      </c>
      <c r="AY17">
        <v>31236.5</v>
      </c>
      <c r="AZ17">
        <v>4932.8914666666606</v>
      </c>
      <c r="BA17">
        <v>0.23519999999999999</v>
      </c>
      <c r="BB17">
        <v>1160.2160729599984</v>
      </c>
      <c r="BC17">
        <v>5004.12</v>
      </c>
      <c r="BD17">
        <v>6164.3360729599981</v>
      </c>
      <c r="BE17">
        <v>0</v>
      </c>
      <c r="BF17">
        <v>6164.3360729599981</v>
      </c>
      <c r="BG17">
        <v>1.3888888888888888</v>
      </c>
      <c r="BH17">
        <v>1450.4447999999998</v>
      </c>
      <c r="BI17">
        <v>1030.2538008888887</v>
      </c>
      <c r="BJ17">
        <v>3090.7614026666665</v>
      </c>
      <c r="BK17">
        <v>0</v>
      </c>
      <c r="BL17">
        <v>0</v>
      </c>
      <c r="BM17">
        <v>92.968000000000004</v>
      </c>
      <c r="BN17">
        <v>0</v>
      </c>
      <c r="BO17">
        <v>0</v>
      </c>
      <c r="BP17">
        <v>1073.6818008888888</v>
      </c>
      <c r="BQ17">
        <v>1073.6818008888888</v>
      </c>
      <c r="BR17">
        <v>88.111416106666638</v>
      </c>
      <c r="BS17">
        <v>80.526135066666654</v>
      </c>
      <c r="BT17">
        <v>120.78920259999998</v>
      </c>
      <c r="BU17">
        <v>201.31533766666666</v>
      </c>
      <c r="BV17">
        <v>362.36760779999997</v>
      </c>
      <c r="BW17">
        <v>853.10969923999994</v>
      </c>
      <c r="BX17">
        <v>31178.288094466661</v>
      </c>
      <c r="BY17">
        <v>2826.2271999999998</v>
      </c>
      <c r="BZ17">
        <v>28352.06089446666</v>
      </c>
      <c r="CA17">
        <v>38154.067199999998</v>
      </c>
      <c r="CB17">
        <v>1144.6220159999998</v>
      </c>
      <c r="CC17">
        <v>1073.6818008888888</v>
      </c>
      <c r="CD17">
        <v>692.41679999999997</v>
      </c>
      <c r="CE17">
        <v>242.30639429333326</v>
      </c>
      <c r="CF17">
        <v>225.47317818666664</v>
      </c>
      <c r="CG17">
        <v>338.20976727999999</v>
      </c>
      <c r="CH17">
        <v>535.19924097088528</v>
      </c>
      <c r="CI17">
        <v>563.68294546666664</v>
      </c>
      <c r="CJ17">
        <v>322.10454026666662</v>
      </c>
      <c r="CK17">
        <v>644.20908053333324</v>
      </c>
      <c r="CL17">
        <v>1014.6293018399999</v>
      </c>
      <c r="CM17">
        <v>4578.231248837551</v>
      </c>
      <c r="CN17">
        <v>1610.5227013333333</v>
      </c>
      <c r="CO17">
        <v>7333.3759661708846</v>
      </c>
      <c r="CQ17">
        <v>1161.4632328767123</v>
      </c>
      <c r="CR17">
        <v>348.43896986301365</v>
      </c>
      <c r="CS17">
        <v>1189.9190820821916</v>
      </c>
      <c r="CT17">
        <v>48228.931117659457</v>
      </c>
      <c r="CV17">
        <v>3180</v>
      </c>
      <c r="CY17">
        <v>0</v>
      </c>
      <c r="CZ17">
        <v>1045.9866666666667</v>
      </c>
      <c r="DB17">
        <v>33914.7264</v>
      </c>
      <c r="DE17" s="61">
        <v>52454.91778432612</v>
      </c>
    </row>
    <row r="18" spans="1:109" hidden="1" x14ac:dyDescent="0.3">
      <c r="A18">
        <v>1011</v>
      </c>
      <c r="B18" t="s">
        <v>602</v>
      </c>
      <c r="C18" t="s">
        <v>603</v>
      </c>
      <c r="D18" t="s">
        <v>604</v>
      </c>
      <c r="E18" t="s">
        <v>624</v>
      </c>
      <c r="F18" t="s">
        <v>625</v>
      </c>
      <c r="G18" t="s">
        <v>626</v>
      </c>
      <c r="H18" t="s">
        <v>622</v>
      </c>
      <c r="I18" t="s">
        <v>623</v>
      </c>
      <c r="J18" s="3">
        <v>42387</v>
      </c>
      <c r="K18">
        <v>9.043835616438356</v>
      </c>
      <c r="L18">
        <v>9</v>
      </c>
      <c r="M18" t="s">
        <v>627</v>
      </c>
      <c r="N18" t="s">
        <v>627</v>
      </c>
      <c r="O18">
        <v>1.0562</v>
      </c>
      <c r="P18">
        <v>3439.4559999999997</v>
      </c>
      <c r="Q18">
        <v>3439.4559999999997</v>
      </c>
      <c r="R18">
        <v>797.61718499999995</v>
      </c>
      <c r="S18">
        <v>842.44327079699997</v>
      </c>
      <c r="T18">
        <v>36.33</v>
      </c>
      <c r="U18">
        <v>878.77327079700001</v>
      </c>
      <c r="V18">
        <v>30.4</v>
      </c>
      <c r="W18">
        <v>24247.562423999996</v>
      </c>
      <c r="AE18">
        <v>41.666666666666664</v>
      </c>
      <c r="AF18">
        <v>2424.7562423999998</v>
      </c>
      <c r="AG18">
        <v>2424.7562423999998</v>
      </c>
      <c r="AH18">
        <v>1212.3781211999999</v>
      </c>
      <c r="AI18">
        <v>2424.7562423999998</v>
      </c>
      <c r="AJ18">
        <v>0</v>
      </c>
      <c r="AK18">
        <v>0</v>
      </c>
      <c r="AL18">
        <v>4849.5124847999996</v>
      </c>
      <c r="AM18">
        <v>32734.209272399992</v>
      </c>
      <c r="AN18">
        <v>32775.87593906666</v>
      </c>
      <c r="AO18">
        <v>32734.209272399992</v>
      </c>
      <c r="AQ18">
        <v>24247.562423999996</v>
      </c>
      <c r="AR18">
        <v>24076.191999999999</v>
      </c>
      <c r="AS18">
        <v>29097.074908799994</v>
      </c>
      <c r="AT18" t="s">
        <v>544</v>
      </c>
      <c r="AU18">
        <v>3439.4559999999997</v>
      </c>
      <c r="AV18">
        <v>3439.4559999999997</v>
      </c>
      <c r="AW18">
        <v>1410.0564847999999</v>
      </c>
      <c r="AX18">
        <v>30548.798060266661</v>
      </c>
      <c r="AY18">
        <v>15487.72</v>
      </c>
      <c r="AZ18">
        <v>15061.078060266662</v>
      </c>
      <c r="BA18">
        <v>0.21359999999999998</v>
      </c>
      <c r="BB18">
        <v>3217.0462736729587</v>
      </c>
      <c r="BC18">
        <v>1640.18</v>
      </c>
      <c r="BD18">
        <v>4857.226273672959</v>
      </c>
      <c r="BE18">
        <v>0</v>
      </c>
      <c r="BF18">
        <v>4857.226273672959</v>
      </c>
      <c r="BG18">
        <v>1.3888888888888888</v>
      </c>
      <c r="BH18">
        <v>1048.9738423999997</v>
      </c>
      <c r="BI18">
        <v>880.16215968588892</v>
      </c>
      <c r="BJ18">
        <v>2640.4864790576667</v>
      </c>
      <c r="BK18">
        <v>0</v>
      </c>
      <c r="BL18">
        <v>0</v>
      </c>
      <c r="BM18">
        <v>79.761718500000001</v>
      </c>
      <c r="BN18">
        <v>0</v>
      </c>
      <c r="BO18">
        <v>0</v>
      </c>
      <c r="BP18">
        <v>923.59387818588891</v>
      </c>
      <c r="BQ18">
        <v>923.59387818588891</v>
      </c>
      <c r="BR18">
        <v>70.100865382306679</v>
      </c>
      <c r="BS18">
        <v>69.269540863941671</v>
      </c>
      <c r="BT18">
        <v>103.90431129591251</v>
      </c>
      <c r="BU18">
        <v>173.17385215985419</v>
      </c>
      <c r="BV18">
        <v>311.71293388773745</v>
      </c>
      <c r="BW18">
        <v>728.16150358975256</v>
      </c>
      <c r="BX18">
        <v>27190.488161803947</v>
      </c>
      <c r="BY18">
        <v>2424.7562423999998</v>
      </c>
      <c r="BZ18">
        <v>24765.731919403948</v>
      </c>
      <c r="CA18">
        <v>32734.209272399992</v>
      </c>
      <c r="CB18">
        <v>982.02627817199971</v>
      </c>
      <c r="CC18">
        <v>923.59387818588891</v>
      </c>
      <c r="CD18">
        <v>692.41679999999997</v>
      </c>
      <c r="CE18">
        <v>192.77737980134336</v>
      </c>
      <c r="CF18">
        <v>193.95471441903666</v>
      </c>
      <c r="CG18">
        <v>290.93207162855504</v>
      </c>
      <c r="CH18">
        <v>460.38476405319824</v>
      </c>
      <c r="CI18">
        <v>484.88678604759167</v>
      </c>
      <c r="CJ18">
        <v>277.07816345576668</v>
      </c>
      <c r="CK18">
        <v>554.15632691153337</v>
      </c>
      <c r="CL18">
        <v>872.79621488566499</v>
      </c>
      <c r="CM18">
        <v>4019.38322120269</v>
      </c>
      <c r="CN18">
        <v>1385.3908172788335</v>
      </c>
      <c r="CO18">
        <v>6386.8003166535227</v>
      </c>
      <c r="CQ18">
        <v>996.47516810958894</v>
      </c>
      <c r="CR18">
        <v>365.37422830684932</v>
      </c>
      <c r="CS18">
        <v>1022.8817600644929</v>
      </c>
      <c r="CT18">
        <v>41547.407412201108</v>
      </c>
      <c r="CV18">
        <v>3180</v>
      </c>
      <c r="CY18">
        <v>1737.14</v>
      </c>
      <c r="DB18">
        <v>29097.074908799994</v>
      </c>
      <c r="DC18">
        <v>348.95751843750003</v>
      </c>
      <c r="DE18" s="61">
        <v>46813.504930638606</v>
      </c>
    </row>
    <row r="19" spans="1:109" hidden="1" x14ac:dyDescent="0.3">
      <c r="A19">
        <v>1719</v>
      </c>
      <c r="B19" t="s">
        <v>637</v>
      </c>
      <c r="C19" t="s">
        <v>603</v>
      </c>
      <c r="D19" t="s">
        <v>604</v>
      </c>
      <c r="E19" t="s">
        <v>783</v>
      </c>
      <c r="F19" t="s">
        <v>634</v>
      </c>
      <c r="G19" t="s">
        <v>635</v>
      </c>
      <c r="H19" t="s">
        <v>622</v>
      </c>
      <c r="I19" t="s">
        <v>623</v>
      </c>
      <c r="J19" s="3">
        <v>45166</v>
      </c>
      <c r="K19">
        <v>1.4301369863013698</v>
      </c>
      <c r="L19">
        <v>1</v>
      </c>
      <c r="M19" t="s">
        <v>676</v>
      </c>
      <c r="N19" t="s">
        <v>676</v>
      </c>
      <c r="O19">
        <v>1.0507</v>
      </c>
      <c r="P19">
        <v>3439.4559999999997</v>
      </c>
      <c r="Q19">
        <v>3439.4559999999997</v>
      </c>
      <c r="R19">
        <v>515.19000000000005</v>
      </c>
      <c r="S19">
        <v>541.31013300000006</v>
      </c>
      <c r="T19">
        <v>445.39</v>
      </c>
      <c r="U19">
        <v>986.70013300000005</v>
      </c>
      <c r="V19">
        <v>30.4</v>
      </c>
      <c r="W19">
        <v>15661.776000000002</v>
      </c>
      <c r="AA19">
        <v>15634.285714285716</v>
      </c>
      <c r="AE19">
        <v>41.666666666666664</v>
      </c>
      <c r="AF19">
        <v>1566.1776</v>
      </c>
      <c r="AG19">
        <v>1566.1776</v>
      </c>
      <c r="AH19">
        <v>783.08880000000011</v>
      </c>
      <c r="AI19">
        <v>1566.1776000000002</v>
      </c>
      <c r="AJ19">
        <v>0</v>
      </c>
      <c r="AK19">
        <v>0</v>
      </c>
      <c r="AL19">
        <v>3132.3552</v>
      </c>
      <c r="AM19">
        <v>21143.397600000004</v>
      </c>
      <c r="AN19">
        <v>36819.349980952386</v>
      </c>
      <c r="AO19">
        <v>36777.683314285721</v>
      </c>
      <c r="AQ19">
        <v>31296.061714285715</v>
      </c>
      <c r="AR19">
        <v>24076.191999999999</v>
      </c>
      <c r="AS19">
        <v>18794.131200000003</v>
      </c>
      <c r="AT19">
        <v>0</v>
      </c>
      <c r="AU19">
        <v>5282.0607999999957</v>
      </c>
      <c r="AV19">
        <v>3132.3552</v>
      </c>
      <c r="AW19">
        <v>0</v>
      </c>
      <c r="AX19">
        <v>34470.083580952385</v>
      </c>
      <c r="AY19">
        <v>31236.5</v>
      </c>
      <c r="AZ19">
        <v>3233.5835809523851</v>
      </c>
      <c r="BA19">
        <v>0.23519999999999999</v>
      </c>
      <c r="BB19">
        <v>760.53885824000099</v>
      </c>
      <c r="BC19">
        <v>5004.12</v>
      </c>
      <c r="BD19">
        <v>5764.6588582400009</v>
      </c>
      <c r="BE19">
        <v>0</v>
      </c>
      <c r="BF19">
        <v>5764.6588582400009</v>
      </c>
      <c r="BG19">
        <v>522.53174603174602</v>
      </c>
      <c r="BH19">
        <v>190.39520000000016</v>
      </c>
      <c r="BI19">
        <v>1509.2318790317461</v>
      </c>
      <c r="BJ19">
        <v>4527.6956370952385</v>
      </c>
      <c r="BK19">
        <v>0</v>
      </c>
      <c r="BL19">
        <v>0</v>
      </c>
      <c r="BM19">
        <v>51.519000000000013</v>
      </c>
      <c r="BN19">
        <v>0</v>
      </c>
      <c r="BO19">
        <v>0</v>
      </c>
      <c r="BP19">
        <v>1115.3608790317462</v>
      </c>
      <c r="BQ19">
        <v>1115.3608790317462</v>
      </c>
      <c r="BR19">
        <v>93.112905483809541</v>
      </c>
      <c r="BS19">
        <v>83.65206592738096</v>
      </c>
      <c r="BT19">
        <v>125.47809889107144</v>
      </c>
      <c r="BU19">
        <v>209.13016481845244</v>
      </c>
      <c r="BV19">
        <v>376.43429667321431</v>
      </c>
      <c r="BW19">
        <v>887.80753179392877</v>
      </c>
      <c r="BX19">
        <v>30166.883590918456</v>
      </c>
      <c r="BY19">
        <v>1566.1776000000002</v>
      </c>
      <c r="BZ19">
        <v>28600.705990918457</v>
      </c>
      <c r="CA19">
        <v>36777.683314285721</v>
      </c>
      <c r="CB19">
        <v>1103.3304994285716</v>
      </c>
      <c r="CC19">
        <v>1115.3608790317462</v>
      </c>
      <c r="CD19">
        <v>692.41679999999997</v>
      </c>
      <c r="CE19">
        <v>256.0604900804762</v>
      </c>
      <c r="CF19">
        <v>234.2257845966667</v>
      </c>
      <c r="CG19">
        <v>351.33867689500005</v>
      </c>
      <c r="CH19">
        <v>555.97505273183356</v>
      </c>
      <c r="CI19">
        <v>585.56446149166686</v>
      </c>
      <c r="CJ19">
        <v>334.60826370952384</v>
      </c>
      <c r="CK19">
        <v>669.21652741904768</v>
      </c>
      <c r="CL19">
        <v>1054.0160306850003</v>
      </c>
      <c r="CM19">
        <v>4733.4220876092149</v>
      </c>
      <c r="CN19">
        <v>1673.0413185476195</v>
      </c>
      <c r="CO19">
        <v>7509.7939055854058</v>
      </c>
      <c r="CQ19">
        <v>643.6346301369864</v>
      </c>
      <c r="CR19">
        <v>150.18141369863014</v>
      </c>
      <c r="CS19">
        <v>658.11640931506849</v>
      </c>
      <c r="CT19">
        <v>45781.076339688472</v>
      </c>
      <c r="CY19">
        <v>0</v>
      </c>
      <c r="DB19">
        <v>18794.1312</v>
      </c>
      <c r="DE19" s="61">
        <v>45781.076339688472</v>
      </c>
    </row>
    <row r="20" spans="1:109" hidden="1" x14ac:dyDescent="0.3">
      <c r="A20">
        <v>1720</v>
      </c>
      <c r="B20" t="s">
        <v>602</v>
      </c>
      <c r="C20" t="s">
        <v>603</v>
      </c>
      <c r="D20" t="s">
        <v>604</v>
      </c>
      <c r="E20" t="s">
        <v>784</v>
      </c>
      <c r="F20" t="s">
        <v>785</v>
      </c>
      <c r="G20" t="s">
        <v>772</v>
      </c>
      <c r="H20" t="s">
        <v>622</v>
      </c>
      <c r="I20" t="s">
        <v>623</v>
      </c>
      <c r="J20" s="3">
        <v>45167</v>
      </c>
      <c r="K20">
        <v>1.4273972602739726</v>
      </c>
      <c r="L20">
        <v>1</v>
      </c>
      <c r="M20" t="s">
        <v>676</v>
      </c>
      <c r="N20" t="s">
        <v>676</v>
      </c>
      <c r="O20">
        <v>1.0507</v>
      </c>
      <c r="P20">
        <v>3439.4559999999997</v>
      </c>
      <c r="Q20">
        <v>3439.4559999999997</v>
      </c>
      <c r="R20">
        <v>852.83</v>
      </c>
      <c r="S20">
        <v>896.06848100000002</v>
      </c>
      <c r="T20">
        <v>41.85</v>
      </c>
      <c r="U20">
        <v>937.91848100000004</v>
      </c>
      <c r="V20">
        <v>30.4</v>
      </c>
      <c r="W20">
        <v>25926.031999999999</v>
      </c>
      <c r="AE20">
        <v>41.666666666666664</v>
      </c>
      <c r="AF20">
        <v>2592.6032000000005</v>
      </c>
      <c r="AG20">
        <v>2592.6032000000005</v>
      </c>
      <c r="AH20">
        <v>1296.3016</v>
      </c>
      <c r="AI20">
        <v>2592.6032</v>
      </c>
      <c r="AJ20">
        <v>0</v>
      </c>
      <c r="AK20">
        <v>0</v>
      </c>
      <c r="AL20">
        <v>5185.2064000000009</v>
      </c>
      <c r="AM20">
        <v>35000.143199999999</v>
      </c>
      <c r="AN20">
        <v>35041.80986666667</v>
      </c>
      <c r="AO20">
        <v>35000.143199999999</v>
      </c>
      <c r="AQ20">
        <v>25926.031999999999</v>
      </c>
      <c r="AR20">
        <v>24076.191999999999</v>
      </c>
      <c r="AS20">
        <v>31111.238400000002</v>
      </c>
      <c r="AT20" t="s">
        <v>544</v>
      </c>
      <c r="AU20">
        <v>3439.4559999999997</v>
      </c>
      <c r="AV20">
        <v>3439.4559999999997</v>
      </c>
      <c r="AW20">
        <v>1745.7504000000013</v>
      </c>
      <c r="AX20">
        <v>32898.655466666671</v>
      </c>
      <c r="AY20">
        <v>31236.5</v>
      </c>
      <c r="AZ20">
        <v>1662.1554666666707</v>
      </c>
      <c r="BA20">
        <v>0.23519999999999999</v>
      </c>
      <c r="BB20">
        <v>390.93896576000094</v>
      </c>
      <c r="BC20">
        <v>5004.12</v>
      </c>
      <c r="BD20">
        <v>5395.0589657600012</v>
      </c>
      <c r="BE20">
        <v>0</v>
      </c>
      <c r="BF20">
        <v>5395.0589657600012</v>
      </c>
      <c r="BG20">
        <v>1.3888888888888888</v>
      </c>
      <c r="BH20">
        <v>1216.8208</v>
      </c>
      <c r="BI20">
        <v>939.30736988888896</v>
      </c>
      <c r="BJ20">
        <v>2817.922109666667</v>
      </c>
      <c r="BK20">
        <v>0</v>
      </c>
      <c r="BL20">
        <v>0</v>
      </c>
      <c r="BM20">
        <v>85.283000000000001</v>
      </c>
      <c r="BN20">
        <v>0</v>
      </c>
      <c r="BO20">
        <v>0</v>
      </c>
      <c r="BP20">
        <v>982.74036988888895</v>
      </c>
      <c r="BQ20">
        <v>982.74036988888895</v>
      </c>
      <c r="BR20">
        <v>77.198444386666679</v>
      </c>
      <c r="BS20">
        <v>73.705527741666671</v>
      </c>
      <c r="BT20">
        <v>110.5582916125</v>
      </c>
      <c r="BU20">
        <v>184.26381935416669</v>
      </c>
      <c r="BV20">
        <v>331.67487483750006</v>
      </c>
      <c r="BW20">
        <v>777.40095793250009</v>
      </c>
      <c r="BX20">
        <v>28869.349942974171</v>
      </c>
      <c r="BY20">
        <v>2592.6032</v>
      </c>
      <c r="BZ20">
        <v>26276.74674297417</v>
      </c>
      <c r="CA20">
        <v>35000.143199999999</v>
      </c>
      <c r="CB20">
        <v>1050.0042959999998</v>
      </c>
      <c r="CC20">
        <v>982.74036988888895</v>
      </c>
      <c r="CD20">
        <v>692.41679999999997</v>
      </c>
      <c r="CE20">
        <v>212.29572206333336</v>
      </c>
      <c r="CF20">
        <v>206.37547767666669</v>
      </c>
      <c r="CG20">
        <v>309.56321651500002</v>
      </c>
      <c r="CH20">
        <v>489.86757491888437</v>
      </c>
      <c r="CI20">
        <v>515.93869419166674</v>
      </c>
      <c r="CJ20">
        <v>294.82211096666668</v>
      </c>
      <c r="CK20">
        <v>589.64422193333337</v>
      </c>
      <c r="CL20">
        <v>928.68964954500007</v>
      </c>
      <c r="CM20">
        <v>4239.6134678105518</v>
      </c>
      <c r="CN20">
        <v>1474.1105548333335</v>
      </c>
      <c r="CO20">
        <v>6763.7283186438854</v>
      </c>
      <c r="CQ20">
        <v>1065.4533698630137</v>
      </c>
      <c r="CR20">
        <v>248.60578630136987</v>
      </c>
      <c r="CS20">
        <v>1089.4260706849313</v>
      </c>
      <c r="CT20">
        <v>44209.02341215987</v>
      </c>
      <c r="CY20">
        <v>0</v>
      </c>
      <c r="DB20">
        <v>31111.238400000002</v>
      </c>
      <c r="DE20" s="61">
        <v>44209.02341215987</v>
      </c>
    </row>
    <row r="21" spans="1:109" hidden="1" x14ac:dyDescent="0.3">
      <c r="A21">
        <v>1776</v>
      </c>
      <c r="B21" t="s">
        <v>602</v>
      </c>
      <c r="C21" t="s">
        <v>603</v>
      </c>
      <c r="D21" t="s">
        <v>604</v>
      </c>
      <c r="E21" t="s">
        <v>809</v>
      </c>
      <c r="F21" t="s">
        <v>785</v>
      </c>
      <c r="G21" t="s">
        <v>772</v>
      </c>
      <c r="H21" t="s">
        <v>622</v>
      </c>
      <c r="I21" t="s">
        <v>623</v>
      </c>
      <c r="J21" s="3">
        <v>45456</v>
      </c>
      <c r="K21">
        <v>0.63561643835616444</v>
      </c>
      <c r="L21">
        <v>0</v>
      </c>
      <c r="M21" t="s">
        <v>678</v>
      </c>
      <c r="N21" t="s">
        <v>678</v>
      </c>
      <c r="O21">
        <v>1.0492999999999999</v>
      </c>
      <c r="P21">
        <v>3439.4559999999997</v>
      </c>
      <c r="Q21">
        <v>3439.4559999999997</v>
      </c>
      <c r="R21">
        <v>852.83</v>
      </c>
      <c r="S21">
        <v>894.87451899999996</v>
      </c>
      <c r="T21">
        <v>40.880000000000003</v>
      </c>
      <c r="U21">
        <v>935.75451899999996</v>
      </c>
      <c r="V21">
        <v>30.4</v>
      </c>
      <c r="W21">
        <v>25926.031999999999</v>
      </c>
      <c r="AE21">
        <v>41.666666666666664</v>
      </c>
      <c r="AF21">
        <v>2592.6032000000005</v>
      </c>
      <c r="AG21">
        <v>2592.6032000000005</v>
      </c>
      <c r="AH21">
        <v>1296.3016</v>
      </c>
      <c r="AI21">
        <v>2592.6032</v>
      </c>
      <c r="AJ21">
        <v>0</v>
      </c>
      <c r="AK21">
        <v>0</v>
      </c>
      <c r="AL21">
        <v>5185.2064000000009</v>
      </c>
      <c r="AM21">
        <v>35000.143199999999</v>
      </c>
      <c r="AN21">
        <v>35041.80986666667</v>
      </c>
      <c r="AO21">
        <v>35000.143199999999</v>
      </c>
      <c r="AQ21">
        <v>25926.031999999999</v>
      </c>
      <c r="AR21">
        <v>24076.191999999999</v>
      </c>
      <c r="AS21">
        <v>31111.238400000002</v>
      </c>
      <c r="AT21" t="s">
        <v>544</v>
      </c>
      <c r="AU21">
        <v>3439.4559999999997</v>
      </c>
      <c r="AV21">
        <v>3439.4559999999997</v>
      </c>
      <c r="AW21">
        <v>1745.7504000000013</v>
      </c>
      <c r="AX21">
        <v>32898.655466666671</v>
      </c>
      <c r="AY21">
        <v>31236.5</v>
      </c>
      <c r="AZ21">
        <v>1662.1554666666707</v>
      </c>
      <c r="BA21">
        <v>0.23519999999999999</v>
      </c>
      <c r="BB21">
        <v>390.93896576000094</v>
      </c>
      <c r="BC21">
        <v>5004.12</v>
      </c>
      <c r="BD21">
        <v>5395.0589657600012</v>
      </c>
      <c r="BE21">
        <v>0</v>
      </c>
      <c r="BF21">
        <v>5395.0589657600012</v>
      </c>
      <c r="BG21">
        <v>1.3888888888888888</v>
      </c>
      <c r="BH21">
        <v>1216.8208</v>
      </c>
      <c r="BI21">
        <v>937.14340788888887</v>
      </c>
      <c r="BJ21">
        <v>2811.4302236666667</v>
      </c>
      <c r="BK21">
        <v>0</v>
      </c>
      <c r="BL21">
        <v>0</v>
      </c>
      <c r="BM21">
        <v>85.283000000000001</v>
      </c>
      <c r="BN21">
        <v>0</v>
      </c>
      <c r="BO21">
        <v>0</v>
      </c>
      <c r="BP21">
        <v>981.54640788888889</v>
      </c>
      <c r="BQ21">
        <v>981.54640788888889</v>
      </c>
      <c r="BR21">
        <v>77.055168946666683</v>
      </c>
      <c r="BS21">
        <v>73.61598059166667</v>
      </c>
      <c r="BT21">
        <v>110.42397088749999</v>
      </c>
      <c r="BU21">
        <v>184.03995147916669</v>
      </c>
      <c r="BV21">
        <v>331.27191266250003</v>
      </c>
      <c r="BW21">
        <v>776.4069845675001</v>
      </c>
      <c r="BX21">
        <v>28870.34391633917</v>
      </c>
      <c r="BY21">
        <v>2592.6032</v>
      </c>
      <c r="BZ21">
        <v>26277.740716339169</v>
      </c>
      <c r="CA21">
        <v>35000.143199999999</v>
      </c>
      <c r="CB21">
        <v>1050.0042959999998</v>
      </c>
      <c r="CC21">
        <v>981.54640788888889</v>
      </c>
      <c r="CD21">
        <v>692.41679999999997</v>
      </c>
      <c r="CE21">
        <v>211.90171460333335</v>
      </c>
      <c r="CF21">
        <v>206.12474565666668</v>
      </c>
      <c r="CG21">
        <v>309.18711848500004</v>
      </c>
      <c r="CH21">
        <v>489.27241948678238</v>
      </c>
      <c r="CI21">
        <v>515.31186414166677</v>
      </c>
      <c r="CJ21">
        <v>294.46392236666668</v>
      </c>
      <c r="CK21">
        <v>588.92784473333336</v>
      </c>
      <c r="CL21">
        <v>927.56135545500001</v>
      </c>
      <c r="CM21">
        <v>4235.1677849284497</v>
      </c>
      <c r="CN21">
        <v>1472.3196118333335</v>
      </c>
      <c r="CO21">
        <v>6757.4916927617833</v>
      </c>
      <c r="CQ21">
        <v>1065.4533698630137</v>
      </c>
      <c r="CR21">
        <v>213.0906739726027</v>
      </c>
      <c r="CS21">
        <v>1088.3606173150683</v>
      </c>
      <c r="CT21">
        <v>44166.206220579137</v>
      </c>
      <c r="CY21">
        <v>0</v>
      </c>
      <c r="DB21">
        <v>31111.238400000002</v>
      </c>
      <c r="DE21" s="61">
        <v>44166.206220579137</v>
      </c>
    </row>
    <row r="22" spans="1:109" hidden="1" x14ac:dyDescent="0.3">
      <c r="A22">
        <v>1785</v>
      </c>
      <c r="B22" t="s">
        <v>602</v>
      </c>
      <c r="C22" t="s">
        <v>603</v>
      </c>
      <c r="D22" t="s">
        <v>604</v>
      </c>
      <c r="E22" t="s">
        <v>814</v>
      </c>
      <c r="F22" t="s">
        <v>815</v>
      </c>
      <c r="G22" t="s">
        <v>772</v>
      </c>
      <c r="H22" t="s">
        <v>622</v>
      </c>
      <c r="I22" t="s">
        <v>623</v>
      </c>
      <c r="J22" s="3">
        <v>45523</v>
      </c>
      <c r="K22">
        <v>0.45205479452054792</v>
      </c>
      <c r="L22">
        <v>0</v>
      </c>
      <c r="M22" t="s">
        <v>678</v>
      </c>
      <c r="N22" t="s">
        <v>678</v>
      </c>
      <c r="O22">
        <v>1.0492999999999999</v>
      </c>
      <c r="P22">
        <v>3439.4559999999997</v>
      </c>
      <c r="Q22">
        <v>3439.4559999999997</v>
      </c>
      <c r="R22">
        <v>852.83</v>
      </c>
      <c r="S22">
        <v>894.87451899999996</v>
      </c>
      <c r="T22">
        <v>41.85</v>
      </c>
      <c r="U22">
        <v>936.72451899999999</v>
      </c>
      <c r="V22">
        <v>30.4</v>
      </c>
      <c r="W22">
        <v>25926.031999999999</v>
      </c>
      <c r="AE22">
        <v>41.666666666666664</v>
      </c>
      <c r="AF22">
        <v>2592.6032000000005</v>
      </c>
      <c r="AG22">
        <v>2592.6032000000005</v>
      </c>
      <c r="AH22">
        <v>1296.3016</v>
      </c>
      <c r="AI22">
        <v>2592.6032</v>
      </c>
      <c r="AJ22">
        <v>0</v>
      </c>
      <c r="AK22">
        <v>0</v>
      </c>
      <c r="AL22">
        <v>5185.2064000000009</v>
      </c>
      <c r="AM22">
        <v>35000.143199999999</v>
      </c>
      <c r="AN22">
        <v>35041.80986666667</v>
      </c>
      <c r="AO22">
        <v>35000.143199999999</v>
      </c>
      <c r="AQ22">
        <v>25926.031999999999</v>
      </c>
      <c r="AR22">
        <v>24076.191999999999</v>
      </c>
      <c r="AS22">
        <v>31111.238400000002</v>
      </c>
      <c r="AT22" t="s">
        <v>544</v>
      </c>
      <c r="AU22">
        <v>3439.4559999999997</v>
      </c>
      <c r="AV22">
        <v>3439.4559999999997</v>
      </c>
      <c r="AW22">
        <v>1745.7504000000013</v>
      </c>
      <c r="AX22">
        <v>32898.655466666671</v>
      </c>
      <c r="AY22">
        <v>31236.5</v>
      </c>
      <c r="AZ22">
        <v>1662.1554666666707</v>
      </c>
      <c r="BA22">
        <v>0.23519999999999999</v>
      </c>
      <c r="BB22">
        <v>390.93896576000094</v>
      </c>
      <c r="BC22">
        <v>5004.12</v>
      </c>
      <c r="BD22">
        <v>5395.0589657600012</v>
      </c>
      <c r="BE22">
        <v>0</v>
      </c>
      <c r="BF22">
        <v>5395.0589657600012</v>
      </c>
      <c r="BG22">
        <v>1.3888888888888888</v>
      </c>
      <c r="BH22">
        <v>1216.8208</v>
      </c>
      <c r="BI22">
        <v>938.1134078888889</v>
      </c>
      <c r="BJ22">
        <v>2814.340223666667</v>
      </c>
      <c r="BK22">
        <v>0</v>
      </c>
      <c r="BL22">
        <v>0</v>
      </c>
      <c r="BM22">
        <v>85.283000000000001</v>
      </c>
      <c r="BN22">
        <v>0</v>
      </c>
      <c r="BO22">
        <v>0</v>
      </c>
      <c r="BP22">
        <v>981.54640788888889</v>
      </c>
      <c r="BQ22">
        <v>981.54640788888889</v>
      </c>
      <c r="BR22">
        <v>77.055168946666683</v>
      </c>
      <c r="BS22">
        <v>73.61598059166667</v>
      </c>
      <c r="BT22">
        <v>110.42397088749999</v>
      </c>
      <c r="BU22">
        <v>184.03995147916669</v>
      </c>
      <c r="BV22">
        <v>331.27191266250003</v>
      </c>
      <c r="BW22">
        <v>776.4069845675001</v>
      </c>
      <c r="BX22">
        <v>28870.34391633917</v>
      </c>
      <c r="BY22">
        <v>2592.6032</v>
      </c>
      <c r="BZ22">
        <v>26277.740716339169</v>
      </c>
      <c r="CA22">
        <v>35000.143199999999</v>
      </c>
      <c r="CB22">
        <v>1050.0042959999998</v>
      </c>
      <c r="CC22">
        <v>981.54640788888889</v>
      </c>
      <c r="CD22">
        <v>692.41679999999997</v>
      </c>
      <c r="CE22">
        <v>211.90171460333335</v>
      </c>
      <c r="CF22">
        <v>206.12474565666668</v>
      </c>
      <c r="CG22">
        <v>309.18711848500004</v>
      </c>
      <c r="CH22">
        <v>489.27241948678238</v>
      </c>
      <c r="CI22">
        <v>515.31186414166677</v>
      </c>
      <c r="CJ22">
        <v>294.46392236666668</v>
      </c>
      <c r="CK22">
        <v>588.92784473333336</v>
      </c>
      <c r="CL22">
        <v>927.56135545500001</v>
      </c>
      <c r="CM22">
        <v>4235.1677849284497</v>
      </c>
      <c r="CN22">
        <v>1472.3196118333335</v>
      </c>
      <c r="CO22">
        <v>6757.4916927617833</v>
      </c>
      <c r="CQ22">
        <v>1065.4533698630137</v>
      </c>
      <c r="CR22">
        <v>213.0906739726027</v>
      </c>
      <c r="CS22">
        <v>1088.3606173150683</v>
      </c>
      <c r="CT22">
        <v>44166.206220579137</v>
      </c>
      <c r="CY22">
        <v>0</v>
      </c>
      <c r="DB22">
        <v>31111.238400000002</v>
      </c>
      <c r="DE22" s="61">
        <v>44166.206220579137</v>
      </c>
    </row>
    <row r="23" spans="1:109" hidden="1" x14ac:dyDescent="0.3">
      <c r="A23">
        <v>1520</v>
      </c>
      <c r="B23" t="s">
        <v>602</v>
      </c>
      <c r="C23" t="s">
        <v>603</v>
      </c>
      <c r="D23" t="s">
        <v>604</v>
      </c>
      <c r="E23" t="s">
        <v>747</v>
      </c>
      <c r="F23" t="s">
        <v>748</v>
      </c>
      <c r="G23" t="s">
        <v>607</v>
      </c>
      <c r="H23" t="s">
        <v>622</v>
      </c>
      <c r="I23" t="s">
        <v>623</v>
      </c>
      <c r="J23" s="3">
        <v>44713</v>
      </c>
      <c r="K23">
        <v>2.6712328767123288</v>
      </c>
      <c r="L23">
        <v>2</v>
      </c>
      <c r="M23" t="s">
        <v>735</v>
      </c>
      <c r="N23" t="s">
        <v>735</v>
      </c>
      <c r="O23">
        <v>1.0521</v>
      </c>
      <c r="P23">
        <v>3439.4559999999997</v>
      </c>
      <c r="Q23">
        <v>3439.4559999999997</v>
      </c>
      <c r="R23">
        <v>818.45</v>
      </c>
      <c r="S23">
        <v>861.09124500000007</v>
      </c>
      <c r="T23">
        <v>38.42</v>
      </c>
      <c r="U23">
        <v>899.51124500000003</v>
      </c>
      <c r="V23">
        <v>30.4</v>
      </c>
      <c r="W23">
        <v>24880.880000000001</v>
      </c>
      <c r="AE23">
        <v>41.666666666666664</v>
      </c>
      <c r="AF23">
        <v>2488.0880000000002</v>
      </c>
      <c r="AG23">
        <v>2488.0880000000002</v>
      </c>
      <c r="AH23">
        <v>1244.0440000000001</v>
      </c>
      <c r="AI23">
        <v>2488.0880000000002</v>
      </c>
      <c r="AJ23">
        <v>0</v>
      </c>
      <c r="AK23">
        <v>0</v>
      </c>
      <c r="AL23">
        <v>4976.1760000000004</v>
      </c>
      <c r="AM23">
        <v>33589.188000000002</v>
      </c>
      <c r="AN23">
        <v>33630.854666666673</v>
      </c>
      <c r="AO23">
        <v>33589.188000000002</v>
      </c>
      <c r="AQ23">
        <v>24880.880000000001</v>
      </c>
      <c r="AR23">
        <v>24076.191999999999</v>
      </c>
      <c r="AS23">
        <v>29857.056</v>
      </c>
      <c r="AT23" t="s">
        <v>544</v>
      </c>
      <c r="AU23">
        <v>3439.4559999999997</v>
      </c>
      <c r="AV23">
        <v>3439.4559999999997</v>
      </c>
      <c r="AW23">
        <v>1536.7200000000007</v>
      </c>
      <c r="AX23">
        <v>31435.44266666667</v>
      </c>
      <c r="AY23">
        <v>31236.5</v>
      </c>
      <c r="AZ23">
        <v>198.94266666666954</v>
      </c>
      <c r="BA23">
        <v>0.23519999999999999</v>
      </c>
      <c r="BB23">
        <v>46.791315200000675</v>
      </c>
      <c r="BC23">
        <v>5004.12</v>
      </c>
      <c r="BD23">
        <v>5050.9113152000009</v>
      </c>
      <c r="BE23">
        <v>0</v>
      </c>
      <c r="BF23">
        <v>5050.9113152000009</v>
      </c>
      <c r="BG23">
        <v>1.3888888888888888</v>
      </c>
      <c r="BH23">
        <v>1112.3056000000001</v>
      </c>
      <c r="BI23">
        <v>900.90013388888894</v>
      </c>
      <c r="BJ23">
        <v>2702.7004016666669</v>
      </c>
      <c r="BK23">
        <v>0</v>
      </c>
      <c r="BL23">
        <v>0</v>
      </c>
      <c r="BM23">
        <v>81.845000000000013</v>
      </c>
      <c r="BN23">
        <v>0</v>
      </c>
      <c r="BO23">
        <v>0</v>
      </c>
      <c r="BP23">
        <v>944.32513388888901</v>
      </c>
      <c r="BQ23">
        <v>944.32513388888901</v>
      </c>
      <c r="BR23">
        <v>72.588616066666674</v>
      </c>
      <c r="BS23">
        <v>70.824385041666673</v>
      </c>
      <c r="BT23">
        <v>106.2365775625</v>
      </c>
      <c r="BU23">
        <v>177.06096260416669</v>
      </c>
      <c r="BV23">
        <v>318.70973268750004</v>
      </c>
      <c r="BW23">
        <v>745.4202739625</v>
      </c>
      <c r="BX23">
        <v>27834.523077504175</v>
      </c>
      <c r="BY23">
        <v>2488.0880000000002</v>
      </c>
      <c r="BZ23">
        <v>25346.435077504175</v>
      </c>
      <c r="CA23">
        <v>33589.188000000002</v>
      </c>
      <c r="CB23">
        <v>1007.67564</v>
      </c>
      <c r="CC23">
        <v>944.32513388888901</v>
      </c>
      <c r="CD23">
        <v>692.41679999999997</v>
      </c>
      <c r="CE23">
        <v>199.61869418333333</v>
      </c>
      <c r="CF23">
        <v>198.30827811666668</v>
      </c>
      <c r="CG23">
        <v>297.46241717500004</v>
      </c>
      <c r="CH23">
        <v>470.7186938147284</v>
      </c>
      <c r="CI23">
        <v>495.77069529166681</v>
      </c>
      <c r="CJ23">
        <v>283.29754016666669</v>
      </c>
      <c r="CK23">
        <v>566.59508033333339</v>
      </c>
      <c r="CL23">
        <v>892.38725152500012</v>
      </c>
      <c r="CM23">
        <v>4096.5754506063959</v>
      </c>
      <c r="CN23">
        <v>1416.4877008333335</v>
      </c>
      <c r="CO23">
        <v>6520.7387914397295</v>
      </c>
      <c r="CQ23">
        <v>1022.5019178082192</v>
      </c>
      <c r="CR23">
        <v>272.66717808219181</v>
      </c>
      <c r="CS23">
        <v>1046.5307128767124</v>
      </c>
      <c r="CT23">
        <v>42493.29326687353</v>
      </c>
      <c r="CY23">
        <v>1302.8599999999999</v>
      </c>
      <c r="DB23">
        <v>29857.056</v>
      </c>
      <c r="DE23" s="61">
        <v>43796.153266873531</v>
      </c>
    </row>
    <row r="24" spans="1:109" hidden="1" x14ac:dyDescent="0.3">
      <c r="A24">
        <v>1136</v>
      </c>
      <c r="B24" t="s">
        <v>687</v>
      </c>
      <c r="C24" t="s">
        <v>603</v>
      </c>
      <c r="D24" t="s">
        <v>604</v>
      </c>
      <c r="E24" t="s">
        <v>688</v>
      </c>
      <c r="F24" t="s">
        <v>689</v>
      </c>
      <c r="G24" t="s">
        <v>607</v>
      </c>
      <c r="H24" t="s">
        <v>622</v>
      </c>
      <c r="I24" t="s">
        <v>623</v>
      </c>
      <c r="J24" s="3">
        <v>44145</v>
      </c>
      <c r="K24">
        <v>4.2273972602739729</v>
      </c>
      <c r="L24">
        <v>4</v>
      </c>
      <c r="M24" t="s">
        <v>668</v>
      </c>
      <c r="N24" t="s">
        <v>668</v>
      </c>
      <c r="O24">
        <v>1.0548</v>
      </c>
      <c r="P24">
        <v>3439.4559999999997</v>
      </c>
      <c r="Q24">
        <v>3439.4559999999997</v>
      </c>
      <c r="R24">
        <v>640</v>
      </c>
      <c r="S24">
        <v>675.072</v>
      </c>
      <c r="T24">
        <v>808.63</v>
      </c>
      <c r="U24">
        <v>1483.702</v>
      </c>
      <c r="V24">
        <v>30.4</v>
      </c>
      <c r="W24">
        <v>19456</v>
      </c>
      <c r="Z24">
        <v>3257.1428571428569</v>
      </c>
      <c r="AE24">
        <v>41.666666666666664</v>
      </c>
      <c r="AF24">
        <v>1945.6</v>
      </c>
      <c r="AG24">
        <v>1945.6</v>
      </c>
      <c r="AH24">
        <v>972.80000000000007</v>
      </c>
      <c r="AI24">
        <v>1945.6000000000001</v>
      </c>
      <c r="AJ24">
        <v>0</v>
      </c>
      <c r="AK24">
        <v>0</v>
      </c>
      <c r="AL24">
        <v>3891.2</v>
      </c>
      <c r="AM24">
        <v>26265.599999999999</v>
      </c>
      <c r="AN24">
        <v>29564.409523809518</v>
      </c>
      <c r="AO24">
        <v>29522.742857142854</v>
      </c>
      <c r="AQ24">
        <v>22713.142857142855</v>
      </c>
      <c r="AR24">
        <v>24076.191999999999</v>
      </c>
      <c r="AS24">
        <v>23347.200000000001</v>
      </c>
      <c r="AT24">
        <v>0</v>
      </c>
      <c r="AU24">
        <v>728.99199999999837</v>
      </c>
      <c r="AV24">
        <v>728.99199999999837</v>
      </c>
      <c r="AW24">
        <v>3162.2080000000014</v>
      </c>
      <c r="AX24">
        <v>29808.217523809522</v>
      </c>
      <c r="AY24">
        <v>15487.72</v>
      </c>
      <c r="AZ24">
        <v>14320.497523809523</v>
      </c>
      <c r="BA24">
        <v>0.21359999999999998</v>
      </c>
      <c r="BB24">
        <v>3058.858271085714</v>
      </c>
      <c r="BC24">
        <v>1640.18</v>
      </c>
      <c r="BD24">
        <v>4699.0382710857139</v>
      </c>
      <c r="BE24">
        <v>0</v>
      </c>
      <c r="BF24">
        <v>4699.0382710857139</v>
      </c>
      <c r="BG24">
        <v>109.96031746031744</v>
      </c>
      <c r="BH24">
        <v>569.81760000000008</v>
      </c>
      <c r="BI24">
        <v>1593.6623174603174</v>
      </c>
      <c r="BJ24">
        <v>4780.986952380953</v>
      </c>
      <c r="BK24">
        <v>0</v>
      </c>
      <c r="BL24">
        <v>0</v>
      </c>
      <c r="BM24">
        <v>64.000000000000014</v>
      </c>
      <c r="BN24">
        <v>0</v>
      </c>
      <c r="BO24">
        <v>0</v>
      </c>
      <c r="BP24">
        <v>849.03231746031736</v>
      </c>
      <c r="BQ24">
        <v>849.03231746031736</v>
      </c>
      <c r="BR24">
        <v>61.153478095238079</v>
      </c>
      <c r="BS24">
        <v>63.677423809523795</v>
      </c>
      <c r="BT24">
        <v>95.516135714285696</v>
      </c>
      <c r="BU24">
        <v>159.19355952380951</v>
      </c>
      <c r="BV24">
        <v>286.54840714285712</v>
      </c>
      <c r="BW24">
        <v>666.08900428571428</v>
      </c>
      <c r="BX24">
        <v>24199.282248438089</v>
      </c>
      <c r="BY24">
        <v>1945.6000000000001</v>
      </c>
      <c r="BZ24">
        <v>22253.68224843809</v>
      </c>
      <c r="CA24">
        <v>29522.74285714285</v>
      </c>
      <c r="CB24">
        <v>885.68228571428551</v>
      </c>
      <c r="CC24">
        <v>849.03231746031736</v>
      </c>
      <c r="CD24">
        <v>692.41679999999997</v>
      </c>
      <c r="CE24">
        <v>168.17206476190472</v>
      </c>
      <c r="CF24">
        <v>178.29678666666663</v>
      </c>
      <c r="CG24">
        <v>267.44517999999999</v>
      </c>
      <c r="CH24">
        <v>423.21798831676188</v>
      </c>
      <c r="CI24">
        <v>445.74196666666666</v>
      </c>
      <c r="CJ24">
        <v>254.70969523809518</v>
      </c>
      <c r="CK24">
        <v>509.41939047619036</v>
      </c>
      <c r="CL24">
        <v>802.33553999999992</v>
      </c>
      <c r="CM24">
        <v>3741.7554121262856</v>
      </c>
      <c r="CN24">
        <v>1273.5484761904761</v>
      </c>
      <c r="CO24">
        <v>5900.9861740310471</v>
      </c>
      <c r="CQ24">
        <v>799.56164383561645</v>
      </c>
      <c r="CR24">
        <v>266.52054794520546</v>
      </c>
      <c r="CS24">
        <v>819.95046575342451</v>
      </c>
      <c r="CT24">
        <v>37351.42835537481</v>
      </c>
      <c r="CV24">
        <v>4406.42</v>
      </c>
      <c r="CY24">
        <v>0</v>
      </c>
      <c r="DB24">
        <v>23347.199999999997</v>
      </c>
      <c r="DC24">
        <v>280</v>
      </c>
      <c r="DE24" s="61">
        <v>42037.848355374808</v>
      </c>
    </row>
    <row r="25" spans="1:109" hidden="1" x14ac:dyDescent="0.3">
      <c r="A25">
        <v>1059</v>
      </c>
      <c r="B25" t="s">
        <v>602</v>
      </c>
      <c r="C25" t="s">
        <v>603</v>
      </c>
      <c r="D25" t="s">
        <v>604</v>
      </c>
      <c r="E25" t="s">
        <v>667</v>
      </c>
      <c r="F25" t="s">
        <v>613</v>
      </c>
      <c r="G25" t="s">
        <v>607</v>
      </c>
      <c r="H25" t="s">
        <v>622</v>
      </c>
      <c r="I25" t="s">
        <v>623</v>
      </c>
      <c r="J25" s="3">
        <v>43865</v>
      </c>
      <c r="K25">
        <v>4.9945205479452053</v>
      </c>
      <c r="L25">
        <v>4</v>
      </c>
      <c r="M25" t="s">
        <v>668</v>
      </c>
      <c r="N25" t="s">
        <v>668</v>
      </c>
      <c r="O25">
        <v>1.0548</v>
      </c>
      <c r="P25">
        <v>3439.4559999999997</v>
      </c>
      <c r="Q25">
        <v>3439.4559999999997</v>
      </c>
      <c r="R25">
        <v>684.09</v>
      </c>
      <c r="S25">
        <v>721.57813199999998</v>
      </c>
      <c r="T25">
        <v>72.25</v>
      </c>
      <c r="U25">
        <v>793.82813199999998</v>
      </c>
      <c r="V25">
        <v>30.4</v>
      </c>
      <c r="W25">
        <v>20796.335999999999</v>
      </c>
      <c r="AE25">
        <v>41.666666666666664</v>
      </c>
      <c r="AF25">
        <v>2079.6336000000001</v>
      </c>
      <c r="AG25">
        <v>2079.6336000000001</v>
      </c>
      <c r="AH25">
        <v>1039.8168000000001</v>
      </c>
      <c r="AI25">
        <v>2079.6336000000001</v>
      </c>
      <c r="AJ25">
        <v>0</v>
      </c>
      <c r="AK25">
        <v>0</v>
      </c>
      <c r="AL25">
        <v>4159.2672000000002</v>
      </c>
      <c r="AM25">
        <v>28075.053599999999</v>
      </c>
      <c r="AN25">
        <v>28116.720266666671</v>
      </c>
      <c r="AO25">
        <v>28075.053599999999</v>
      </c>
      <c r="AQ25">
        <v>20796.335999999999</v>
      </c>
      <c r="AR25">
        <v>24076.191999999999</v>
      </c>
      <c r="AS25">
        <v>24955.603199999998</v>
      </c>
      <c r="AT25" t="s">
        <v>544</v>
      </c>
      <c r="AU25">
        <v>3439.4559999999997</v>
      </c>
      <c r="AV25">
        <v>3439.4559999999997</v>
      </c>
      <c r="AW25">
        <v>719.81120000000055</v>
      </c>
      <c r="AX25">
        <v>25717.081066666669</v>
      </c>
      <c r="AY25">
        <v>15487.72</v>
      </c>
      <c r="AZ25">
        <v>10229.36106666667</v>
      </c>
      <c r="BA25">
        <v>0.21359999999999998</v>
      </c>
      <c r="BB25">
        <v>2184.9915238400004</v>
      </c>
      <c r="BC25">
        <v>1640.18</v>
      </c>
      <c r="BD25">
        <v>3825.1715238400002</v>
      </c>
      <c r="BE25">
        <v>0</v>
      </c>
      <c r="BF25">
        <v>3825.1715238400002</v>
      </c>
      <c r="BG25">
        <v>1.3888888888888888</v>
      </c>
      <c r="BH25">
        <v>703.85120000000006</v>
      </c>
      <c r="BI25">
        <v>795.2170208888889</v>
      </c>
      <c r="BJ25">
        <v>2385.6510626666668</v>
      </c>
      <c r="BK25">
        <v>0</v>
      </c>
      <c r="BL25">
        <v>0</v>
      </c>
      <c r="BM25">
        <v>68.409000000000006</v>
      </c>
      <c r="BN25">
        <v>0</v>
      </c>
      <c r="BO25">
        <v>0</v>
      </c>
      <c r="BP25">
        <v>791.37602088888889</v>
      </c>
      <c r="BQ25">
        <v>791.37602088888889</v>
      </c>
      <c r="BR25">
        <v>54.234722506666664</v>
      </c>
      <c r="BS25">
        <v>59.353201566666669</v>
      </c>
      <c r="BT25">
        <v>89.029802349999997</v>
      </c>
      <c r="BU25">
        <v>148.38300391666669</v>
      </c>
      <c r="BV25">
        <v>267.08940704999998</v>
      </c>
      <c r="BW25">
        <v>618.09013739</v>
      </c>
      <c r="BX25">
        <v>23673.45860543667</v>
      </c>
      <c r="BY25">
        <v>2079.6336000000001</v>
      </c>
      <c r="BZ25">
        <v>21593.825005436669</v>
      </c>
      <c r="CA25">
        <v>28075.053600000003</v>
      </c>
      <c r="CB25">
        <v>842.25160800000003</v>
      </c>
      <c r="CC25">
        <v>791.37602088888889</v>
      </c>
      <c r="CD25">
        <v>692.41679999999997</v>
      </c>
      <c r="CE25">
        <v>149.14548689333333</v>
      </c>
      <c r="CF25">
        <v>166.18896438666667</v>
      </c>
      <c r="CG25">
        <v>249.28344658</v>
      </c>
      <c r="CH25">
        <v>394.47799650850538</v>
      </c>
      <c r="CI25">
        <v>415.4724109666667</v>
      </c>
      <c r="CJ25">
        <v>237.41280626666668</v>
      </c>
      <c r="CK25">
        <v>474.82561253333336</v>
      </c>
      <c r="CL25">
        <v>747.85033973999998</v>
      </c>
      <c r="CM25">
        <v>3527.0738638751718</v>
      </c>
      <c r="CN25">
        <v>1187.0640313333336</v>
      </c>
      <c r="CO25">
        <v>5556.3895032085056</v>
      </c>
      <c r="CQ25">
        <v>854.64394520547944</v>
      </c>
      <c r="CR25">
        <v>284.88131506849311</v>
      </c>
      <c r="CS25">
        <v>876.43736580821917</v>
      </c>
      <c r="CT25">
        <v>35689.072395957366</v>
      </c>
      <c r="CV25">
        <v>4406.42</v>
      </c>
      <c r="CY25">
        <v>0</v>
      </c>
      <c r="CZ25">
        <v>1252.6675</v>
      </c>
      <c r="DB25">
        <v>24955.603200000001</v>
      </c>
      <c r="DC25">
        <v>299.28937500000001</v>
      </c>
      <c r="DE25" s="61">
        <v>41647.449270957368</v>
      </c>
    </row>
    <row r="26" spans="1:109" hidden="1" x14ac:dyDescent="0.3">
      <c r="A26">
        <v>1161</v>
      </c>
      <c r="B26" t="s">
        <v>602</v>
      </c>
      <c r="C26" t="s">
        <v>603</v>
      </c>
      <c r="D26" t="s">
        <v>604</v>
      </c>
      <c r="E26" t="s">
        <v>692</v>
      </c>
      <c r="F26" t="s">
        <v>616</v>
      </c>
      <c r="G26" t="s">
        <v>617</v>
      </c>
      <c r="H26" t="s">
        <v>608</v>
      </c>
      <c r="I26" t="s">
        <v>609</v>
      </c>
      <c r="J26" s="3">
        <v>44179</v>
      </c>
      <c r="K26">
        <v>4.1342465753424653</v>
      </c>
      <c r="L26">
        <v>4</v>
      </c>
      <c r="M26" t="s">
        <v>668</v>
      </c>
      <c r="N26" t="s">
        <v>668</v>
      </c>
      <c r="O26">
        <v>1.0548</v>
      </c>
      <c r="P26">
        <v>3439.4559999999997</v>
      </c>
      <c r="Q26">
        <v>3439.4559999999997</v>
      </c>
      <c r="R26">
        <v>386.02</v>
      </c>
      <c r="S26">
        <v>407.17389599999996</v>
      </c>
      <c r="T26">
        <v>271.02999999999997</v>
      </c>
      <c r="U26">
        <v>678.20389599999999</v>
      </c>
      <c r="V26">
        <v>30.4</v>
      </c>
      <c r="W26">
        <v>11735.007999999998</v>
      </c>
      <c r="AB26">
        <v>15634.285714285716</v>
      </c>
      <c r="AC26">
        <v>750</v>
      </c>
      <c r="AE26">
        <v>41.666666666666664</v>
      </c>
      <c r="AF26">
        <v>1173.5008</v>
      </c>
      <c r="AG26">
        <v>1173.5008</v>
      </c>
      <c r="AH26">
        <v>586.7503999999999</v>
      </c>
      <c r="AI26">
        <v>1173.5007999999998</v>
      </c>
      <c r="AJ26">
        <v>0</v>
      </c>
      <c r="AK26">
        <v>0</v>
      </c>
      <c r="AL26">
        <v>2347.0016000000001</v>
      </c>
      <c r="AM26">
        <v>15842.260799999998</v>
      </c>
      <c r="AN26">
        <v>32268.213180952385</v>
      </c>
      <c r="AO26">
        <v>32226.546514285714</v>
      </c>
      <c r="AQ26">
        <v>28119.293714285712</v>
      </c>
      <c r="AR26">
        <v>24076.191999999999</v>
      </c>
      <c r="AS26">
        <v>14082.009599999998</v>
      </c>
      <c r="AT26">
        <v>0</v>
      </c>
      <c r="AU26">
        <v>9994.1824000000015</v>
      </c>
      <c r="AV26">
        <v>2347.0016000000001</v>
      </c>
      <c r="AW26">
        <v>0</v>
      </c>
      <c r="AX26">
        <v>30507.961980952383</v>
      </c>
      <c r="AY26">
        <v>15487.72</v>
      </c>
      <c r="AZ26">
        <v>15020.241980952384</v>
      </c>
      <c r="BA26">
        <v>0.21359999999999998</v>
      </c>
      <c r="BB26">
        <v>3208.3236871314289</v>
      </c>
      <c r="BC26">
        <v>1640.18</v>
      </c>
      <c r="BD26">
        <v>4848.5036871314287</v>
      </c>
      <c r="BE26">
        <v>0</v>
      </c>
      <c r="BF26">
        <v>4848.5036871314287</v>
      </c>
      <c r="BG26">
        <v>547.53174603174614</v>
      </c>
      <c r="BH26">
        <v>0</v>
      </c>
      <c r="BI26">
        <v>1225.735642031746</v>
      </c>
      <c r="BJ26">
        <v>3677.2069260952385</v>
      </c>
      <c r="BK26">
        <v>0</v>
      </c>
      <c r="BL26">
        <v>0</v>
      </c>
      <c r="BM26">
        <v>38.601999999999997</v>
      </c>
      <c r="BN26">
        <v>0</v>
      </c>
      <c r="BO26">
        <v>0</v>
      </c>
      <c r="BP26">
        <v>993.30764203174613</v>
      </c>
      <c r="BQ26">
        <v>993.30764203174613</v>
      </c>
      <c r="BR26">
        <v>78.466517043809532</v>
      </c>
      <c r="BS26">
        <v>74.498073152380954</v>
      </c>
      <c r="BT26">
        <v>111.74710972857144</v>
      </c>
      <c r="BU26">
        <v>186.24518288095243</v>
      </c>
      <c r="BV26">
        <v>335.24132918571428</v>
      </c>
      <c r="BW26">
        <v>786.19821199142871</v>
      </c>
      <c r="BX26">
        <v>26633.511281829527</v>
      </c>
      <c r="BY26">
        <v>1173.5007999999998</v>
      </c>
      <c r="BZ26">
        <v>25460.010481829529</v>
      </c>
      <c r="CA26">
        <v>32226.546514285714</v>
      </c>
      <c r="CB26">
        <v>966.79639542857137</v>
      </c>
      <c r="CC26">
        <v>993.30764203174613</v>
      </c>
      <c r="CD26">
        <v>692.41679999999997</v>
      </c>
      <c r="CE26">
        <v>215.78292187047617</v>
      </c>
      <c r="CF26">
        <v>208.59460482666668</v>
      </c>
      <c r="CG26">
        <v>312.89190724000002</v>
      </c>
      <c r="CH26">
        <v>495.13505363120657</v>
      </c>
      <c r="CI26">
        <v>521.48651206666682</v>
      </c>
      <c r="CJ26">
        <v>297.99229260952382</v>
      </c>
      <c r="CK26">
        <v>595.98458521904763</v>
      </c>
      <c r="CL26">
        <v>938.67572172000018</v>
      </c>
      <c r="CM26">
        <v>4278.9603991835875</v>
      </c>
      <c r="CN26">
        <v>1489.9614630476194</v>
      </c>
      <c r="CO26">
        <v>6735.7182576597788</v>
      </c>
      <c r="CQ26">
        <v>482.26060273972598</v>
      </c>
      <c r="CR26">
        <v>160.75353424657533</v>
      </c>
      <c r="CS26">
        <v>494.55824810958893</v>
      </c>
      <c r="CT26">
        <v>40141.503823708059</v>
      </c>
      <c r="CY26">
        <v>0</v>
      </c>
      <c r="DB26">
        <v>14082.009599999998</v>
      </c>
      <c r="DC26">
        <v>164.50874999999999</v>
      </c>
      <c r="DE26" s="61">
        <v>40306.01257370806</v>
      </c>
    </row>
    <row r="27" spans="1:109" hidden="1" x14ac:dyDescent="0.3">
      <c r="A27">
        <v>1040</v>
      </c>
      <c r="B27" t="s">
        <v>602</v>
      </c>
      <c r="C27" t="s">
        <v>603</v>
      </c>
      <c r="D27" t="s">
        <v>604</v>
      </c>
      <c r="E27" t="s">
        <v>651</v>
      </c>
      <c r="F27" t="s">
        <v>652</v>
      </c>
      <c r="G27" t="s">
        <v>653</v>
      </c>
      <c r="H27" t="s">
        <v>622</v>
      </c>
      <c r="I27" t="s">
        <v>623</v>
      </c>
      <c r="J27" s="3">
        <v>43619</v>
      </c>
      <c r="K27">
        <v>5.6684931506849319</v>
      </c>
      <c r="L27">
        <v>5</v>
      </c>
      <c r="M27" t="s">
        <v>654</v>
      </c>
      <c r="N27" t="s">
        <v>654</v>
      </c>
      <c r="O27">
        <v>1.0562</v>
      </c>
      <c r="P27">
        <v>3439.4559999999997</v>
      </c>
      <c r="Q27">
        <v>3439.4559999999997</v>
      </c>
      <c r="R27">
        <v>719.78</v>
      </c>
      <c r="S27">
        <v>760.23163599999998</v>
      </c>
      <c r="T27">
        <v>28.55</v>
      </c>
      <c r="U27">
        <v>788.78163599999993</v>
      </c>
      <c r="V27">
        <v>30.4</v>
      </c>
      <c r="W27">
        <v>21881.311999999998</v>
      </c>
      <c r="AE27">
        <v>41.666666666666664</v>
      </c>
      <c r="AF27">
        <v>2188.1311999999998</v>
      </c>
      <c r="AG27">
        <v>2188.1311999999998</v>
      </c>
      <c r="AH27">
        <v>1094.0655999999999</v>
      </c>
      <c r="AI27">
        <v>2188.1311999999998</v>
      </c>
      <c r="AJ27">
        <v>0</v>
      </c>
      <c r="AK27">
        <v>0</v>
      </c>
      <c r="AL27">
        <v>4376.2623999999996</v>
      </c>
      <c r="AM27">
        <v>29539.771199999999</v>
      </c>
      <c r="AN27">
        <v>29581.437866666663</v>
      </c>
      <c r="AO27">
        <v>29539.771199999999</v>
      </c>
      <c r="AQ27">
        <v>21881.311999999998</v>
      </c>
      <c r="AR27">
        <v>24076.191999999999</v>
      </c>
      <c r="AS27">
        <v>26257.574399999998</v>
      </c>
      <c r="AT27" t="s">
        <v>544</v>
      </c>
      <c r="AU27">
        <v>3439.4559999999997</v>
      </c>
      <c r="AV27">
        <v>3439.4559999999997</v>
      </c>
      <c r="AW27">
        <v>936.80639999999994</v>
      </c>
      <c r="AX27">
        <v>27236.047466666667</v>
      </c>
      <c r="AY27">
        <v>15487.72</v>
      </c>
      <c r="AZ27">
        <v>11748.327466666668</v>
      </c>
      <c r="BA27">
        <v>0.21359999999999998</v>
      </c>
      <c r="BB27">
        <v>2509.44274688</v>
      </c>
      <c r="BC27">
        <v>1640.18</v>
      </c>
      <c r="BD27">
        <v>4149.6227468799998</v>
      </c>
      <c r="BE27">
        <v>0</v>
      </c>
      <c r="BF27">
        <v>4149.6227468799998</v>
      </c>
      <c r="BG27">
        <v>1.3888888888888888</v>
      </c>
      <c r="BH27">
        <v>812.34879999999976</v>
      </c>
      <c r="BI27">
        <v>790.17052488888885</v>
      </c>
      <c r="BJ27">
        <v>2370.5115746666665</v>
      </c>
      <c r="BK27">
        <v>0</v>
      </c>
      <c r="BL27">
        <v>0</v>
      </c>
      <c r="BM27">
        <v>71.977999999999994</v>
      </c>
      <c r="BN27">
        <v>0</v>
      </c>
      <c r="BO27">
        <v>0</v>
      </c>
      <c r="BP27">
        <v>833.59852488888885</v>
      </c>
      <c r="BQ27">
        <v>833.59852488888885</v>
      </c>
      <c r="BR27">
        <v>59.301422986666665</v>
      </c>
      <c r="BS27">
        <v>62.519889366666668</v>
      </c>
      <c r="BT27">
        <v>93.779834049999991</v>
      </c>
      <c r="BU27">
        <v>156.29972341666667</v>
      </c>
      <c r="BV27">
        <v>281.33950214999993</v>
      </c>
      <c r="BW27">
        <v>653.24037196999984</v>
      </c>
      <c r="BX27">
        <v>24778.574747816663</v>
      </c>
      <c r="BY27">
        <v>2188.1311999999998</v>
      </c>
      <c r="BZ27">
        <v>22590.443547816663</v>
      </c>
      <c r="CA27">
        <v>29539.771199999999</v>
      </c>
      <c r="CB27">
        <v>886.19313599999998</v>
      </c>
      <c r="CC27">
        <v>833.59852488888885</v>
      </c>
      <c r="CD27">
        <v>692.41679999999997</v>
      </c>
      <c r="CE27">
        <v>163.07891321333332</v>
      </c>
      <c r="CF27">
        <v>175.05569022666666</v>
      </c>
      <c r="CG27">
        <v>262.58353533999997</v>
      </c>
      <c r="CH27">
        <v>415.52469029988936</v>
      </c>
      <c r="CI27">
        <v>437.63922556666665</v>
      </c>
      <c r="CJ27">
        <v>250.07955746666667</v>
      </c>
      <c r="CK27">
        <v>500.15911493333334</v>
      </c>
      <c r="CL27">
        <v>787.75060601999996</v>
      </c>
      <c r="CM27">
        <v>3684.2881330665559</v>
      </c>
      <c r="CN27">
        <v>1250.3977873333333</v>
      </c>
      <c r="CO27">
        <v>5820.8790563998891</v>
      </c>
      <c r="CQ27">
        <v>1799.45</v>
      </c>
      <c r="CR27">
        <v>329.71839999999997</v>
      </c>
      <c r="CS27">
        <v>950.06818799999996</v>
      </c>
      <c r="CT27">
        <v>38481.553511066544</v>
      </c>
      <c r="CY27">
        <v>0</v>
      </c>
      <c r="DB27">
        <v>26257.574399999998</v>
      </c>
      <c r="DC27">
        <v>629.8075</v>
      </c>
      <c r="DE27" s="61">
        <v>39111.361011066547</v>
      </c>
    </row>
    <row r="28" spans="1:109" x14ac:dyDescent="0.3">
      <c r="A28">
        <v>1066</v>
      </c>
      <c r="B28" t="s">
        <v>602</v>
      </c>
      <c r="C28" t="s">
        <v>603</v>
      </c>
      <c r="D28" t="s">
        <v>604</v>
      </c>
      <c r="E28" t="s">
        <v>671</v>
      </c>
      <c r="F28" t="s">
        <v>672</v>
      </c>
      <c r="G28" t="s">
        <v>630</v>
      </c>
      <c r="H28" t="s">
        <v>622</v>
      </c>
      <c r="I28" t="s">
        <v>623</v>
      </c>
      <c r="J28" s="3">
        <v>43892</v>
      </c>
      <c r="K28">
        <v>4.9205479452054792</v>
      </c>
      <c r="L28">
        <v>4</v>
      </c>
      <c r="M28" t="s">
        <v>668</v>
      </c>
      <c r="N28" t="s">
        <v>668</v>
      </c>
      <c r="O28">
        <v>1.0548</v>
      </c>
      <c r="P28">
        <v>3439.4559999999997</v>
      </c>
      <c r="Q28">
        <v>3439.4559999999997</v>
      </c>
      <c r="R28">
        <v>652.93595300000004</v>
      </c>
      <c r="S28">
        <v>688.71684322440001</v>
      </c>
      <c r="T28">
        <v>21.87</v>
      </c>
      <c r="U28">
        <v>710.58684322440001</v>
      </c>
      <c r="V28">
        <v>30.4</v>
      </c>
      <c r="W28">
        <v>19849.2529712</v>
      </c>
      <c r="AE28">
        <v>41.666666666666664</v>
      </c>
      <c r="AF28">
        <v>1984.9252971200001</v>
      </c>
      <c r="AG28">
        <v>1984.9252971200001</v>
      </c>
      <c r="AH28">
        <v>992.46264856000005</v>
      </c>
      <c r="AI28">
        <v>1984.9252971200001</v>
      </c>
      <c r="AJ28">
        <v>0</v>
      </c>
      <c r="AK28">
        <v>0</v>
      </c>
      <c r="AL28">
        <v>3969.8505942400002</v>
      </c>
      <c r="AM28">
        <v>26796.491511119999</v>
      </c>
      <c r="AN28">
        <v>26838.158177786667</v>
      </c>
      <c r="AO28">
        <v>26796.491511119999</v>
      </c>
      <c r="AQ28">
        <v>19849.2529712</v>
      </c>
      <c r="AR28">
        <v>24076.191999999999</v>
      </c>
      <c r="AS28">
        <v>23819.10356544</v>
      </c>
      <c r="AT28">
        <v>0</v>
      </c>
      <c r="AU28">
        <v>257.08843455999886</v>
      </c>
      <c r="AV28">
        <v>257.08843455999886</v>
      </c>
      <c r="AW28">
        <v>3712.7621596800013</v>
      </c>
      <c r="AX28">
        <v>27573.53239178667</v>
      </c>
      <c r="AY28">
        <v>15487.72</v>
      </c>
      <c r="AZ28">
        <v>12085.812391786671</v>
      </c>
      <c r="BA28">
        <v>0.21359999999999998</v>
      </c>
      <c r="BB28">
        <v>2581.5295268856325</v>
      </c>
      <c r="BC28">
        <v>1640.18</v>
      </c>
      <c r="BD28">
        <v>4221.7095268856328</v>
      </c>
      <c r="BE28">
        <v>0</v>
      </c>
      <c r="BF28">
        <v>4221.7095268856328</v>
      </c>
      <c r="BG28">
        <v>1.3888888888888888</v>
      </c>
      <c r="BH28">
        <v>609.14289712000004</v>
      </c>
      <c r="BI28">
        <v>711.97573211328893</v>
      </c>
      <c r="BJ28">
        <v>2135.9271963398669</v>
      </c>
      <c r="BK28">
        <v>0</v>
      </c>
      <c r="BL28">
        <v>0</v>
      </c>
      <c r="BM28">
        <v>65.293595300000007</v>
      </c>
      <c r="BN28">
        <v>0</v>
      </c>
      <c r="BO28">
        <v>0</v>
      </c>
      <c r="BP28">
        <v>755.39932741328892</v>
      </c>
      <c r="BQ28">
        <v>755.39932741328892</v>
      </c>
      <c r="BR28">
        <v>49.917519289594672</v>
      </c>
      <c r="BS28">
        <v>56.654949555996666</v>
      </c>
      <c r="BT28">
        <v>84.982424333994999</v>
      </c>
      <c r="BU28">
        <v>141.63737388999169</v>
      </c>
      <c r="BV28">
        <v>254.94727300198502</v>
      </c>
      <c r="BW28">
        <v>588.13954007156303</v>
      </c>
      <c r="BX28">
        <v>22028.309110829472</v>
      </c>
      <c r="BY28">
        <v>1984.9252971200001</v>
      </c>
      <c r="BZ28">
        <v>20043.383813709472</v>
      </c>
      <c r="CA28">
        <v>26796.491511119999</v>
      </c>
      <c r="CB28">
        <v>803.89474533359999</v>
      </c>
      <c r="CC28">
        <v>755.39932741328892</v>
      </c>
      <c r="CD28">
        <v>692.41679999999997</v>
      </c>
      <c r="CE28">
        <v>137.27317804638534</v>
      </c>
      <c r="CF28">
        <v>158.63385875679069</v>
      </c>
      <c r="CG28">
        <v>237.95078813518603</v>
      </c>
      <c r="CH28">
        <v>376.54465813502958</v>
      </c>
      <c r="CI28">
        <v>396.58464689197672</v>
      </c>
      <c r="CJ28">
        <v>226.61979822398666</v>
      </c>
      <c r="CK28">
        <v>453.23959644797333</v>
      </c>
      <c r="CL28">
        <v>713.85236440555798</v>
      </c>
      <c r="CM28">
        <v>3393.1156890428865</v>
      </c>
      <c r="CN28">
        <v>1133.0989911199335</v>
      </c>
      <c r="CO28">
        <v>5330.109425496421</v>
      </c>
      <c r="CQ28">
        <v>815.72272484383564</v>
      </c>
      <c r="CR28">
        <v>271.90757494794519</v>
      </c>
      <c r="CS28">
        <v>836.52365432735337</v>
      </c>
      <c r="CT28">
        <v>34092.421557402224</v>
      </c>
      <c r="CY28">
        <v>0</v>
      </c>
      <c r="CZ28">
        <v>3582.2024999999999</v>
      </c>
      <c r="DB28">
        <v>23819.10356544</v>
      </c>
      <c r="DC28">
        <v>285.65947943750001</v>
      </c>
      <c r="DE28" s="61">
        <v>37960.283536839721</v>
      </c>
    </row>
    <row r="29" spans="1:109" hidden="1" x14ac:dyDescent="0.3">
      <c r="A29">
        <v>1771</v>
      </c>
      <c r="B29" t="s">
        <v>611</v>
      </c>
      <c r="C29" t="s">
        <v>603</v>
      </c>
      <c r="D29" t="s">
        <v>604</v>
      </c>
      <c r="E29" t="s">
        <v>807</v>
      </c>
      <c r="F29" t="s">
        <v>616</v>
      </c>
      <c r="G29" t="s">
        <v>617</v>
      </c>
      <c r="H29" t="s">
        <v>608</v>
      </c>
      <c r="I29" t="s">
        <v>609</v>
      </c>
      <c r="J29" s="3">
        <v>45441</v>
      </c>
      <c r="K29">
        <v>0.67671232876712328</v>
      </c>
      <c r="L29">
        <v>0</v>
      </c>
      <c r="M29" t="s">
        <v>678</v>
      </c>
      <c r="N29" t="s">
        <v>678</v>
      </c>
      <c r="O29">
        <v>1.0492999999999999</v>
      </c>
      <c r="P29">
        <v>3439.4559999999997</v>
      </c>
      <c r="Q29">
        <v>3439.4559999999997</v>
      </c>
      <c r="R29">
        <v>336.97</v>
      </c>
      <c r="S29">
        <v>353.58262100000002</v>
      </c>
      <c r="T29">
        <v>360.12</v>
      </c>
      <c r="U29">
        <v>713.70262100000002</v>
      </c>
      <c r="V29">
        <v>30.4</v>
      </c>
      <c r="W29">
        <v>10243.888000000001</v>
      </c>
      <c r="AB29">
        <v>15634.285714285716</v>
      </c>
      <c r="AC29">
        <v>750</v>
      </c>
      <c r="AE29">
        <v>41.666666666666664</v>
      </c>
      <c r="AF29">
        <v>1024.3887999999999</v>
      </c>
      <c r="AG29">
        <v>1024.3887999999999</v>
      </c>
      <c r="AH29">
        <v>512.19440000000009</v>
      </c>
      <c r="AI29">
        <v>1024.3888000000002</v>
      </c>
      <c r="AJ29">
        <v>0</v>
      </c>
      <c r="AK29">
        <v>0</v>
      </c>
      <c r="AL29">
        <v>2048.7775999999999</v>
      </c>
      <c r="AM29">
        <v>13829.248800000001</v>
      </c>
      <c r="AN29">
        <v>30255.201180952386</v>
      </c>
      <c r="AO29">
        <v>30213.534514285719</v>
      </c>
      <c r="AQ29">
        <v>26628.173714285716</v>
      </c>
      <c r="AR29">
        <v>24076.191999999999</v>
      </c>
      <c r="AS29">
        <v>12292.6656</v>
      </c>
      <c r="AT29">
        <v>0</v>
      </c>
      <c r="AU29">
        <v>11783.526399999999</v>
      </c>
      <c r="AV29">
        <v>2048.7775999999999</v>
      </c>
      <c r="AW29">
        <v>0</v>
      </c>
      <c r="AX29">
        <v>28718.617980952386</v>
      </c>
      <c r="AY29">
        <v>15487.72</v>
      </c>
      <c r="AZ29">
        <v>13230.897980952386</v>
      </c>
      <c r="BA29">
        <v>0.21359999999999998</v>
      </c>
      <c r="BB29">
        <v>2826.1198087314297</v>
      </c>
      <c r="BC29">
        <v>1640.18</v>
      </c>
      <c r="BD29">
        <v>4466.2998087314299</v>
      </c>
      <c r="BE29">
        <v>0</v>
      </c>
      <c r="BF29">
        <v>4466.2998087314299</v>
      </c>
      <c r="BG29">
        <v>547.53174603174614</v>
      </c>
      <c r="BH29">
        <v>0</v>
      </c>
      <c r="BI29">
        <v>1261.2343670317462</v>
      </c>
      <c r="BJ29">
        <v>3783.7031010952387</v>
      </c>
      <c r="BK29">
        <v>0</v>
      </c>
      <c r="BL29">
        <v>0</v>
      </c>
      <c r="BM29">
        <v>33.69700000000001</v>
      </c>
      <c r="BN29">
        <v>0</v>
      </c>
      <c r="BO29">
        <v>0</v>
      </c>
      <c r="BP29">
        <v>934.81136703174627</v>
      </c>
      <c r="BQ29">
        <v>934.81136703174627</v>
      </c>
      <c r="BR29">
        <v>71.446964043809558</v>
      </c>
      <c r="BS29">
        <v>70.11085252738097</v>
      </c>
      <c r="BT29">
        <v>105.16627879107145</v>
      </c>
      <c r="BU29">
        <v>175.27713131845243</v>
      </c>
      <c r="BV29">
        <v>315.49883637321437</v>
      </c>
      <c r="BW29">
        <v>737.50006305392878</v>
      </c>
      <c r="BX29">
        <v>25051.401309167028</v>
      </c>
      <c r="BY29">
        <v>1024.3888000000002</v>
      </c>
      <c r="BZ29">
        <v>24027.012509167027</v>
      </c>
      <c r="CA29">
        <v>30213.534514285719</v>
      </c>
      <c r="CB29">
        <v>906.4060354285715</v>
      </c>
      <c r="CC29">
        <v>934.81136703174627</v>
      </c>
      <c r="CD29">
        <v>692.41679999999997</v>
      </c>
      <c r="CE29">
        <v>196.47915112047627</v>
      </c>
      <c r="CF29">
        <v>196.31038707666673</v>
      </c>
      <c r="CG29">
        <v>294.46558061500008</v>
      </c>
      <c r="CH29">
        <v>465.97635693568162</v>
      </c>
      <c r="CI29">
        <v>490.77596769166684</v>
      </c>
      <c r="CJ29">
        <v>280.44341010952388</v>
      </c>
      <c r="CK29">
        <v>560.88682021904776</v>
      </c>
      <c r="CL29">
        <v>883.39674184500018</v>
      </c>
      <c r="CM29">
        <v>4061.1512156130634</v>
      </c>
      <c r="CN29">
        <v>1402.2170505476195</v>
      </c>
      <c r="CO29">
        <v>6369.7743015892547</v>
      </c>
      <c r="CQ29">
        <v>420.98169863013703</v>
      </c>
      <c r="CR29">
        <v>84.196339726027389</v>
      </c>
      <c r="CS29">
        <v>430.03280515068496</v>
      </c>
      <c r="CT29">
        <v>37560.18632604849</v>
      </c>
      <c r="CY29">
        <v>0</v>
      </c>
      <c r="DB29">
        <v>12292.665600000002</v>
      </c>
      <c r="DE29" s="61">
        <v>37560.18632604849</v>
      </c>
    </row>
    <row r="30" spans="1:109" hidden="1" x14ac:dyDescent="0.3">
      <c r="A30">
        <v>1034</v>
      </c>
      <c r="B30" t="s">
        <v>602</v>
      </c>
      <c r="C30" t="s">
        <v>603</v>
      </c>
      <c r="D30" t="s">
        <v>604</v>
      </c>
      <c r="E30" t="s">
        <v>649</v>
      </c>
      <c r="F30" t="s">
        <v>650</v>
      </c>
      <c r="G30" t="s">
        <v>621</v>
      </c>
      <c r="H30" t="s">
        <v>622</v>
      </c>
      <c r="I30" t="s">
        <v>623</v>
      </c>
      <c r="J30" s="3">
        <v>43339</v>
      </c>
      <c r="K30">
        <v>6.4356164383561643</v>
      </c>
      <c r="L30">
        <v>6</v>
      </c>
      <c r="M30" t="s">
        <v>648</v>
      </c>
      <c r="N30" t="s">
        <v>648</v>
      </c>
      <c r="O30">
        <v>1.0562</v>
      </c>
      <c r="P30">
        <v>3439.4559999999997</v>
      </c>
      <c r="Q30">
        <v>3439.4559999999997</v>
      </c>
      <c r="R30">
        <v>690</v>
      </c>
      <c r="S30">
        <v>728.77800000000002</v>
      </c>
      <c r="T30">
        <v>25.57</v>
      </c>
      <c r="U30">
        <v>754.34800000000007</v>
      </c>
      <c r="V30">
        <v>30.4</v>
      </c>
      <c r="W30">
        <v>20976</v>
      </c>
      <c r="AE30">
        <v>41.666666666666664</v>
      </c>
      <c r="AF30">
        <v>2097.6</v>
      </c>
      <c r="AG30">
        <v>2097.6</v>
      </c>
      <c r="AH30">
        <v>1048.8</v>
      </c>
      <c r="AI30">
        <v>2097.6</v>
      </c>
      <c r="AJ30">
        <v>0</v>
      </c>
      <c r="AK30">
        <v>0</v>
      </c>
      <c r="AL30">
        <v>4195.2</v>
      </c>
      <c r="AM30">
        <v>28317.599999999999</v>
      </c>
      <c r="AN30">
        <v>28359.266666666663</v>
      </c>
      <c r="AO30">
        <v>28317.599999999999</v>
      </c>
      <c r="AQ30">
        <v>20976</v>
      </c>
      <c r="AR30">
        <v>24076.191999999999</v>
      </c>
      <c r="AS30">
        <v>25171.200000000001</v>
      </c>
      <c r="AT30" t="s">
        <v>544</v>
      </c>
      <c r="AU30">
        <v>3439.4559999999997</v>
      </c>
      <c r="AV30">
        <v>3439.4559999999997</v>
      </c>
      <c r="AW30">
        <v>755.74400000000014</v>
      </c>
      <c r="AX30">
        <v>25968.610666666664</v>
      </c>
      <c r="AY30">
        <v>15487.72</v>
      </c>
      <c r="AZ30">
        <v>10480.890666666664</v>
      </c>
      <c r="BA30">
        <v>0.21359999999999998</v>
      </c>
      <c r="BB30">
        <v>2238.7182463999993</v>
      </c>
      <c r="BC30">
        <v>1640.18</v>
      </c>
      <c r="BD30">
        <v>3878.8982463999992</v>
      </c>
      <c r="BE30">
        <v>0</v>
      </c>
      <c r="BF30">
        <v>3878.8982463999992</v>
      </c>
      <c r="BG30">
        <v>1.3888888888888888</v>
      </c>
      <c r="BH30">
        <v>721.81759999999986</v>
      </c>
      <c r="BI30">
        <v>755.73688888888898</v>
      </c>
      <c r="BJ30">
        <v>2267.2106666666673</v>
      </c>
      <c r="BK30">
        <v>0</v>
      </c>
      <c r="BL30">
        <v>0</v>
      </c>
      <c r="BM30">
        <v>69</v>
      </c>
      <c r="BN30">
        <v>0</v>
      </c>
      <c r="BO30">
        <v>0</v>
      </c>
      <c r="BP30">
        <v>799.16688888888893</v>
      </c>
      <c r="BQ30">
        <v>799.16688888888893</v>
      </c>
      <c r="BR30">
        <v>55.169626666666673</v>
      </c>
      <c r="BS30">
        <v>59.937516666666667</v>
      </c>
      <c r="BT30">
        <v>89.906274999999994</v>
      </c>
      <c r="BU30">
        <v>149.84379166666668</v>
      </c>
      <c r="BV30">
        <v>269.71882500000004</v>
      </c>
      <c r="BW30">
        <v>624.57603500000005</v>
      </c>
      <c r="BX30">
        <v>23855.792385266664</v>
      </c>
      <c r="BY30">
        <v>2097.6</v>
      </c>
      <c r="BZ30">
        <v>21758.192385266666</v>
      </c>
      <c r="CA30">
        <v>28317.599999999995</v>
      </c>
      <c r="CB30">
        <v>849.52799999999979</v>
      </c>
      <c r="CC30">
        <v>799.16688888888893</v>
      </c>
      <c r="CD30">
        <v>692.41679999999997</v>
      </c>
      <c r="CE30">
        <v>151.71647333333334</v>
      </c>
      <c r="CF30">
        <v>167.82504666666668</v>
      </c>
      <c r="CG30">
        <v>251.73757000000001</v>
      </c>
      <c r="CH30">
        <v>398.36151827133341</v>
      </c>
      <c r="CI30">
        <v>419.56261666666677</v>
      </c>
      <c r="CJ30">
        <v>239.75006666666667</v>
      </c>
      <c r="CK30">
        <v>479.50013333333334</v>
      </c>
      <c r="CL30">
        <v>755.21271000000002</v>
      </c>
      <c r="CM30">
        <v>3556.0829349380001</v>
      </c>
      <c r="CN30">
        <v>1198.7503333333334</v>
      </c>
      <c r="CO30">
        <v>5604.3612682713338</v>
      </c>
      <c r="CQ30">
        <v>1725</v>
      </c>
      <c r="CR30">
        <v>316.07671232876714</v>
      </c>
      <c r="CS30">
        <v>910.76030136986287</v>
      </c>
      <c r="CT30">
        <v>36915.464948636625</v>
      </c>
      <c r="CY30">
        <v>0</v>
      </c>
      <c r="DB30">
        <v>25171.199999999997</v>
      </c>
      <c r="DC30">
        <v>603.75</v>
      </c>
      <c r="DE30" s="61">
        <v>37519.214948636625</v>
      </c>
    </row>
    <row r="31" spans="1:109" hidden="1" x14ac:dyDescent="0.3">
      <c r="A31">
        <v>1817</v>
      </c>
      <c r="B31" t="s">
        <v>602</v>
      </c>
      <c r="C31" t="s">
        <v>603</v>
      </c>
      <c r="D31" t="s">
        <v>604</v>
      </c>
      <c r="E31" t="s">
        <v>840</v>
      </c>
      <c r="F31" t="s">
        <v>813</v>
      </c>
      <c r="G31" t="s">
        <v>772</v>
      </c>
      <c r="H31" t="s">
        <v>622</v>
      </c>
      <c r="I31" t="s">
        <v>623</v>
      </c>
      <c r="J31" s="3">
        <v>45565</v>
      </c>
      <c r="K31">
        <v>0.33698630136986302</v>
      </c>
      <c r="L31">
        <v>0</v>
      </c>
      <c r="M31" t="s">
        <v>678</v>
      </c>
      <c r="N31" t="s">
        <v>678</v>
      </c>
      <c r="O31">
        <v>1.0492999999999999</v>
      </c>
      <c r="P31">
        <v>3439.4559999999997</v>
      </c>
      <c r="Q31">
        <v>3439.4559999999997</v>
      </c>
      <c r="R31">
        <v>719.76</v>
      </c>
      <c r="S31">
        <v>755.24416799999995</v>
      </c>
      <c r="T31">
        <v>47.62</v>
      </c>
      <c r="U31">
        <v>802.86416799999995</v>
      </c>
      <c r="V31">
        <v>30.4</v>
      </c>
      <c r="W31">
        <v>21880.703999999998</v>
      </c>
      <c r="AE31">
        <v>41.666666666666664</v>
      </c>
      <c r="AF31">
        <v>2188.0704000000001</v>
      </c>
      <c r="AG31">
        <v>2188.0704000000001</v>
      </c>
      <c r="AH31">
        <v>1094.0352</v>
      </c>
      <c r="AI31">
        <v>2188.0704000000001</v>
      </c>
      <c r="AJ31">
        <v>0</v>
      </c>
      <c r="AK31">
        <v>0</v>
      </c>
      <c r="AL31">
        <v>4376.1408000000001</v>
      </c>
      <c r="AM31">
        <v>29538.950399999998</v>
      </c>
      <c r="AN31">
        <v>29580.617066666666</v>
      </c>
      <c r="AO31">
        <v>29538.950399999998</v>
      </c>
      <c r="AQ31">
        <v>21880.703999999998</v>
      </c>
      <c r="AR31">
        <v>24076.191999999999</v>
      </c>
      <c r="AS31">
        <v>26256.844799999999</v>
      </c>
      <c r="AT31" t="s">
        <v>544</v>
      </c>
      <c r="AU31">
        <v>3439.4559999999997</v>
      </c>
      <c r="AV31">
        <v>3439.4559999999997</v>
      </c>
      <c r="AW31">
        <v>936.68480000000045</v>
      </c>
      <c r="AX31">
        <v>27235.196266666666</v>
      </c>
      <c r="AY31">
        <v>15487.72</v>
      </c>
      <c r="AZ31">
        <v>11747.476266666667</v>
      </c>
      <c r="BA31">
        <v>0.21359999999999998</v>
      </c>
      <c r="BB31">
        <v>2509.2609305599999</v>
      </c>
      <c r="BC31">
        <v>1640.18</v>
      </c>
      <c r="BD31">
        <v>4149.4409305600002</v>
      </c>
      <c r="BE31">
        <v>0</v>
      </c>
      <c r="BF31">
        <v>4149.4409305600002</v>
      </c>
      <c r="BG31">
        <v>1.3888888888888888</v>
      </c>
      <c r="BH31">
        <v>812.28800000000001</v>
      </c>
      <c r="BI31">
        <v>804.25305688888886</v>
      </c>
      <c r="BJ31">
        <v>2412.7591706666667</v>
      </c>
      <c r="BK31">
        <v>0</v>
      </c>
      <c r="BL31">
        <v>0</v>
      </c>
      <c r="BM31">
        <v>71.975999999999999</v>
      </c>
      <c r="BN31">
        <v>0</v>
      </c>
      <c r="BO31">
        <v>0</v>
      </c>
      <c r="BP31">
        <v>828.60905688888886</v>
      </c>
      <c r="BQ31">
        <v>828.60905688888886</v>
      </c>
      <c r="BR31">
        <v>58.702686826666664</v>
      </c>
      <c r="BS31">
        <v>62.145679266666669</v>
      </c>
      <c r="BT31">
        <v>93.218518899999992</v>
      </c>
      <c r="BU31">
        <v>155.36419816666668</v>
      </c>
      <c r="BV31">
        <v>279.65555669999998</v>
      </c>
      <c r="BW31">
        <v>649.08663985999999</v>
      </c>
      <c r="BX31">
        <v>24782.089496246666</v>
      </c>
      <c r="BY31">
        <v>2188.0704000000001</v>
      </c>
      <c r="BZ31">
        <v>22594.019096246666</v>
      </c>
      <c r="CA31">
        <v>29538.950399999998</v>
      </c>
      <c r="CB31">
        <v>886.16851199999985</v>
      </c>
      <c r="CC31">
        <v>828.60905688888886</v>
      </c>
      <c r="CD31">
        <v>692.41679999999997</v>
      </c>
      <c r="CE31">
        <v>161.43238877333332</v>
      </c>
      <c r="CF31">
        <v>174.00790194666666</v>
      </c>
      <c r="CG31">
        <v>261.01185291999997</v>
      </c>
      <c r="CH31">
        <v>413.03758519646135</v>
      </c>
      <c r="CI31">
        <v>435.01975486666669</v>
      </c>
      <c r="CJ31">
        <v>248.58271706666667</v>
      </c>
      <c r="CK31">
        <v>497.16543413333335</v>
      </c>
      <c r="CL31">
        <v>783.03555875999996</v>
      </c>
      <c r="CM31">
        <v>3665.7099936631275</v>
      </c>
      <c r="CN31">
        <v>1242.9135853333335</v>
      </c>
      <c r="CO31">
        <v>5794.7920909964614</v>
      </c>
      <c r="CQ31">
        <v>899.20701369863013</v>
      </c>
      <c r="CR31">
        <v>179.84140273972599</v>
      </c>
      <c r="CS31">
        <v>918.53996449315059</v>
      </c>
      <c r="CT31">
        <v>37372.997538594631</v>
      </c>
      <c r="CY31">
        <v>0</v>
      </c>
      <c r="DB31">
        <v>26256.844799999999</v>
      </c>
      <c r="DE31" s="61">
        <v>37372.997538594631</v>
      </c>
    </row>
    <row r="32" spans="1:109" hidden="1" x14ac:dyDescent="0.3">
      <c r="A32">
        <v>1362</v>
      </c>
      <c r="B32" t="s">
        <v>602</v>
      </c>
      <c r="C32" t="s">
        <v>603</v>
      </c>
      <c r="D32" t="s">
        <v>604</v>
      </c>
      <c r="E32" t="s">
        <v>717</v>
      </c>
      <c r="F32" t="s">
        <v>718</v>
      </c>
      <c r="G32" t="s">
        <v>626</v>
      </c>
      <c r="H32" t="s">
        <v>622</v>
      </c>
      <c r="I32" t="s">
        <v>623</v>
      </c>
      <c r="J32" s="3">
        <v>44452</v>
      </c>
      <c r="K32">
        <v>3.3863013698630136</v>
      </c>
      <c r="L32">
        <v>3</v>
      </c>
      <c r="M32" t="s">
        <v>698</v>
      </c>
      <c r="N32" t="s">
        <v>698</v>
      </c>
      <c r="O32">
        <v>1.0533999999999999</v>
      </c>
      <c r="P32">
        <v>3439.4559999999997</v>
      </c>
      <c r="Q32">
        <v>3439.4559999999997</v>
      </c>
      <c r="R32">
        <v>690</v>
      </c>
      <c r="S32">
        <v>726.84599999999989</v>
      </c>
      <c r="T32">
        <v>25.57</v>
      </c>
      <c r="U32">
        <v>752.41599999999994</v>
      </c>
      <c r="V32">
        <v>30.4</v>
      </c>
      <c r="W32">
        <v>20976</v>
      </c>
      <c r="AE32">
        <v>41.666666666666664</v>
      </c>
      <c r="AF32">
        <v>2097.6</v>
      </c>
      <c r="AG32">
        <v>2097.6</v>
      </c>
      <c r="AH32">
        <v>1048.8</v>
      </c>
      <c r="AI32">
        <v>2097.6</v>
      </c>
      <c r="AJ32">
        <v>0</v>
      </c>
      <c r="AK32">
        <v>0</v>
      </c>
      <c r="AL32">
        <v>4195.2</v>
      </c>
      <c r="AM32">
        <v>28317.599999999999</v>
      </c>
      <c r="AN32">
        <v>28359.266666666663</v>
      </c>
      <c r="AO32">
        <v>28317.599999999999</v>
      </c>
      <c r="AQ32">
        <v>20976</v>
      </c>
      <c r="AR32">
        <v>24076.191999999999</v>
      </c>
      <c r="AS32">
        <v>25171.200000000001</v>
      </c>
      <c r="AT32" t="s">
        <v>544</v>
      </c>
      <c r="AU32">
        <v>3439.4559999999997</v>
      </c>
      <c r="AV32">
        <v>3439.4559999999997</v>
      </c>
      <c r="AW32">
        <v>755.74400000000014</v>
      </c>
      <c r="AX32">
        <v>25968.610666666664</v>
      </c>
      <c r="AY32">
        <v>15487.72</v>
      </c>
      <c r="AZ32">
        <v>10480.890666666664</v>
      </c>
      <c r="BA32">
        <v>0.21359999999999998</v>
      </c>
      <c r="BB32">
        <v>2238.7182463999993</v>
      </c>
      <c r="BC32">
        <v>1640.18</v>
      </c>
      <c r="BD32">
        <v>3878.8982463999992</v>
      </c>
      <c r="BE32">
        <v>0</v>
      </c>
      <c r="BF32">
        <v>3878.8982463999992</v>
      </c>
      <c r="BG32">
        <v>1.3888888888888888</v>
      </c>
      <c r="BH32">
        <v>721.81759999999986</v>
      </c>
      <c r="BI32">
        <v>753.80488888888885</v>
      </c>
      <c r="BJ32">
        <v>2261.414666666667</v>
      </c>
      <c r="BK32">
        <v>0</v>
      </c>
      <c r="BL32">
        <v>0</v>
      </c>
      <c r="BM32">
        <v>69</v>
      </c>
      <c r="BN32">
        <v>0</v>
      </c>
      <c r="BO32">
        <v>0</v>
      </c>
      <c r="BP32">
        <v>797.2348888888888</v>
      </c>
      <c r="BQ32">
        <v>797.2348888888888</v>
      </c>
      <c r="BR32">
        <v>54.937786666666653</v>
      </c>
      <c r="BS32">
        <v>59.79261666666666</v>
      </c>
      <c r="BT32">
        <v>89.688924999999983</v>
      </c>
      <c r="BU32">
        <v>149.48154166666666</v>
      </c>
      <c r="BV32">
        <v>269.06677499999995</v>
      </c>
      <c r="BW32">
        <v>622.96764499999995</v>
      </c>
      <c r="BX32">
        <v>23857.400775266662</v>
      </c>
      <c r="BY32">
        <v>2097.6</v>
      </c>
      <c r="BZ32">
        <v>21759.800775266664</v>
      </c>
      <c r="CA32">
        <v>28317.599999999995</v>
      </c>
      <c r="CB32">
        <v>849.52799999999979</v>
      </c>
      <c r="CC32">
        <v>797.2348888888888</v>
      </c>
      <c r="CD32">
        <v>692.41679999999997</v>
      </c>
      <c r="CE32">
        <v>151.07891333333328</v>
      </c>
      <c r="CF32">
        <v>167.41932666666665</v>
      </c>
      <c r="CG32">
        <v>251.12899000000002</v>
      </c>
      <c r="CH32">
        <v>397.39847229933332</v>
      </c>
      <c r="CI32">
        <v>418.54831666666666</v>
      </c>
      <c r="CJ32">
        <v>239.17046666666664</v>
      </c>
      <c r="CK32">
        <v>478.34093333333328</v>
      </c>
      <c r="CL32">
        <v>753.38697000000002</v>
      </c>
      <c r="CM32">
        <v>3548.8891889659999</v>
      </c>
      <c r="CN32">
        <v>1195.8523333333333</v>
      </c>
      <c r="CO32">
        <v>5594.2695222993325</v>
      </c>
      <c r="CQ32">
        <v>862.02739726027391</v>
      </c>
      <c r="CR32">
        <v>258.60821917808215</v>
      </c>
      <c r="CS32">
        <v>883.14706849315053</v>
      </c>
      <c r="CT32">
        <v>35957.3188738975</v>
      </c>
      <c r="CY32">
        <v>1302.82</v>
      </c>
      <c r="DB32">
        <v>25171.199999999997</v>
      </c>
      <c r="DE32" s="61">
        <v>37260.1388738975</v>
      </c>
    </row>
    <row r="33" spans="1:109" hidden="1" x14ac:dyDescent="0.3">
      <c r="A33">
        <v>1061</v>
      </c>
      <c r="B33" t="s">
        <v>637</v>
      </c>
      <c r="C33" t="s">
        <v>603</v>
      </c>
      <c r="D33" t="s">
        <v>604</v>
      </c>
      <c r="E33" t="s">
        <v>669</v>
      </c>
      <c r="F33" t="s">
        <v>670</v>
      </c>
      <c r="G33" t="s">
        <v>665</v>
      </c>
      <c r="H33" t="s">
        <v>622</v>
      </c>
      <c r="I33" t="s">
        <v>623</v>
      </c>
      <c r="J33" s="3">
        <v>43871</v>
      </c>
      <c r="K33">
        <v>4.978082191780822</v>
      </c>
      <c r="L33">
        <v>4</v>
      </c>
      <c r="M33" t="s">
        <v>668</v>
      </c>
      <c r="N33" t="s">
        <v>668</v>
      </c>
      <c r="O33">
        <v>1.0548</v>
      </c>
      <c r="P33">
        <v>3439.4559999999997</v>
      </c>
      <c r="Q33">
        <v>3439.4559999999997</v>
      </c>
      <c r="R33">
        <v>650</v>
      </c>
      <c r="S33">
        <v>685.62</v>
      </c>
      <c r="T33">
        <v>61.94</v>
      </c>
      <c r="U33">
        <v>747.56</v>
      </c>
      <c r="V33">
        <v>30.4</v>
      </c>
      <c r="W33">
        <v>19760</v>
      </c>
      <c r="AD33">
        <v>1271.5</v>
      </c>
      <c r="AE33">
        <v>41.666666666666664</v>
      </c>
      <c r="AF33">
        <v>1976</v>
      </c>
      <c r="AG33">
        <v>1976</v>
      </c>
      <c r="AH33">
        <v>988</v>
      </c>
      <c r="AI33">
        <v>1976</v>
      </c>
      <c r="AJ33">
        <v>0</v>
      </c>
      <c r="AK33">
        <v>0</v>
      </c>
      <c r="AL33">
        <v>3952</v>
      </c>
      <c r="AM33">
        <v>26676</v>
      </c>
      <c r="AN33">
        <v>27989.166666666668</v>
      </c>
      <c r="AO33">
        <v>27947.5</v>
      </c>
      <c r="AQ33">
        <v>21031.5</v>
      </c>
      <c r="AR33">
        <v>24076.191999999999</v>
      </c>
      <c r="AS33">
        <v>23712</v>
      </c>
      <c r="AT33">
        <v>0</v>
      </c>
      <c r="AU33">
        <v>364.1919999999991</v>
      </c>
      <c r="AV33">
        <v>364.1919999999991</v>
      </c>
      <c r="AW33">
        <v>3587.8080000000009</v>
      </c>
      <c r="AX33">
        <v>28612.974666666669</v>
      </c>
      <c r="AY33">
        <v>15487.72</v>
      </c>
      <c r="AZ33">
        <v>13125.254666666669</v>
      </c>
      <c r="BA33">
        <v>0.21359999999999998</v>
      </c>
      <c r="BB33">
        <v>2803.5543968000002</v>
      </c>
      <c r="BC33">
        <v>1640.18</v>
      </c>
      <c r="BD33">
        <v>4443.7343968000005</v>
      </c>
      <c r="BE33">
        <v>0</v>
      </c>
      <c r="BF33">
        <v>4443.7343968000005</v>
      </c>
      <c r="BG33">
        <v>43.772222222222226</v>
      </c>
      <c r="BH33">
        <v>600.21759999999995</v>
      </c>
      <c r="BI33">
        <v>791.33222222222219</v>
      </c>
      <c r="BJ33">
        <v>2373.9966666666669</v>
      </c>
      <c r="BK33">
        <v>0</v>
      </c>
      <c r="BL33">
        <v>0</v>
      </c>
      <c r="BM33">
        <v>65</v>
      </c>
      <c r="BN33">
        <v>0</v>
      </c>
      <c r="BO33">
        <v>0</v>
      </c>
      <c r="BP33">
        <v>794.39222222222224</v>
      </c>
      <c r="BQ33">
        <v>794.39222222222224</v>
      </c>
      <c r="BR33">
        <v>54.596666666666664</v>
      </c>
      <c r="BS33">
        <v>59.579416666666667</v>
      </c>
      <c r="BT33">
        <v>89.369124999999997</v>
      </c>
      <c r="BU33">
        <v>148.94854166666667</v>
      </c>
      <c r="BV33">
        <v>268.10737499999999</v>
      </c>
      <c r="BW33">
        <v>620.60112499999991</v>
      </c>
      <c r="BX33">
        <v>22924.831144866665</v>
      </c>
      <c r="BY33">
        <v>1976</v>
      </c>
      <c r="BZ33">
        <v>20948.831144866665</v>
      </c>
      <c r="CA33">
        <v>27947.5</v>
      </c>
      <c r="CB33">
        <v>838.42499999999995</v>
      </c>
      <c r="CC33">
        <v>794.39222222222224</v>
      </c>
      <c r="CD33">
        <v>692.41679999999997</v>
      </c>
      <c r="CE33">
        <v>150.14083333333335</v>
      </c>
      <c r="CF33">
        <v>166.82236666666668</v>
      </c>
      <c r="CG33">
        <v>250.23355000000004</v>
      </c>
      <c r="CH33">
        <v>395.98148540333335</v>
      </c>
      <c r="CI33">
        <v>417.05591666666669</v>
      </c>
      <c r="CJ33">
        <v>238.31766666666667</v>
      </c>
      <c r="CK33">
        <v>476.63533333333334</v>
      </c>
      <c r="CL33">
        <v>750.70065000000011</v>
      </c>
      <c r="CM33">
        <v>3538.3046020700003</v>
      </c>
      <c r="CN33">
        <v>1191.5883333333334</v>
      </c>
      <c r="CO33">
        <v>5568.3179354033336</v>
      </c>
      <c r="CQ33">
        <v>812.05479452054794</v>
      </c>
      <c r="CR33">
        <v>270.6849315068493</v>
      </c>
      <c r="CS33">
        <v>832.76219178082192</v>
      </c>
      <c r="CT33">
        <v>35472.986519878214</v>
      </c>
      <c r="CY33">
        <v>0</v>
      </c>
      <c r="DB33">
        <v>23712</v>
      </c>
      <c r="DC33">
        <v>284.375</v>
      </c>
      <c r="DE33" s="61">
        <v>35757.361519878214</v>
      </c>
    </row>
    <row r="34" spans="1:109" hidden="1" x14ac:dyDescent="0.3">
      <c r="A34">
        <v>1276</v>
      </c>
      <c r="B34" t="s">
        <v>637</v>
      </c>
      <c r="C34" t="s">
        <v>603</v>
      </c>
      <c r="D34" t="s">
        <v>604</v>
      </c>
      <c r="E34" t="s">
        <v>705</v>
      </c>
      <c r="F34" t="s">
        <v>706</v>
      </c>
      <c r="G34" t="s">
        <v>635</v>
      </c>
      <c r="H34" t="s">
        <v>622</v>
      </c>
      <c r="I34" t="s">
        <v>623</v>
      </c>
      <c r="J34" s="3">
        <v>44271</v>
      </c>
      <c r="K34">
        <v>3.882191780821918</v>
      </c>
      <c r="L34">
        <v>3</v>
      </c>
      <c r="M34" t="s">
        <v>698</v>
      </c>
      <c r="N34" t="s">
        <v>698</v>
      </c>
      <c r="O34">
        <v>1.0533999999999999</v>
      </c>
      <c r="P34">
        <v>3439.4559999999997</v>
      </c>
      <c r="Q34">
        <v>3439.4559999999997</v>
      </c>
      <c r="R34">
        <v>684.09</v>
      </c>
      <c r="S34">
        <v>720.620406</v>
      </c>
      <c r="T34">
        <v>24.98</v>
      </c>
      <c r="U34">
        <v>745.60040600000002</v>
      </c>
      <c r="V34">
        <v>30.4</v>
      </c>
      <c r="W34">
        <v>20796.335999999999</v>
      </c>
      <c r="AE34">
        <v>41.666666666666664</v>
      </c>
      <c r="AF34">
        <v>2079.6336000000001</v>
      </c>
      <c r="AG34">
        <v>2079.6336000000001</v>
      </c>
      <c r="AH34">
        <v>1039.8168000000001</v>
      </c>
      <c r="AI34">
        <v>2079.6336000000001</v>
      </c>
      <c r="AJ34">
        <v>0</v>
      </c>
      <c r="AK34">
        <v>0</v>
      </c>
      <c r="AL34">
        <v>4159.2672000000002</v>
      </c>
      <c r="AM34">
        <v>28075.053599999999</v>
      </c>
      <c r="AN34">
        <v>28116.720266666671</v>
      </c>
      <c r="AO34">
        <v>28075.053599999999</v>
      </c>
      <c r="AQ34">
        <v>20796.335999999999</v>
      </c>
      <c r="AR34">
        <v>24076.191999999999</v>
      </c>
      <c r="AS34">
        <v>24955.603199999998</v>
      </c>
      <c r="AT34" t="s">
        <v>544</v>
      </c>
      <c r="AU34">
        <v>3439.4559999999997</v>
      </c>
      <c r="AV34">
        <v>3439.4559999999997</v>
      </c>
      <c r="AW34">
        <v>719.81120000000055</v>
      </c>
      <c r="AX34">
        <v>25717.081066666669</v>
      </c>
      <c r="AY34">
        <v>15487.72</v>
      </c>
      <c r="AZ34">
        <v>10229.36106666667</v>
      </c>
      <c r="BA34">
        <v>0.21359999999999998</v>
      </c>
      <c r="BB34">
        <v>2184.9915238400004</v>
      </c>
      <c r="BC34">
        <v>1640.18</v>
      </c>
      <c r="BD34">
        <v>3825.1715238400002</v>
      </c>
      <c r="BE34">
        <v>0</v>
      </c>
      <c r="BF34">
        <v>3825.1715238400002</v>
      </c>
      <c r="BG34">
        <v>1.3888888888888888</v>
      </c>
      <c r="BH34">
        <v>703.85120000000006</v>
      </c>
      <c r="BI34">
        <v>746.98929488888894</v>
      </c>
      <c r="BJ34">
        <v>2240.967884666667</v>
      </c>
      <c r="BK34">
        <v>0</v>
      </c>
      <c r="BL34">
        <v>0</v>
      </c>
      <c r="BM34">
        <v>68.409000000000006</v>
      </c>
      <c r="BN34">
        <v>0</v>
      </c>
      <c r="BO34">
        <v>0</v>
      </c>
      <c r="BP34">
        <v>790.41829488888891</v>
      </c>
      <c r="BQ34">
        <v>790.41829488888891</v>
      </c>
      <c r="BR34">
        <v>54.119795386666674</v>
      </c>
      <c r="BS34">
        <v>59.281372116666667</v>
      </c>
      <c r="BT34">
        <v>88.922058175000004</v>
      </c>
      <c r="BU34">
        <v>148.20343029166668</v>
      </c>
      <c r="BV34">
        <v>266.766174525</v>
      </c>
      <c r="BW34">
        <v>617.29283049500009</v>
      </c>
      <c r="BX34">
        <v>23674.255912331671</v>
      </c>
      <c r="BY34">
        <v>2079.6336000000001</v>
      </c>
      <c r="BZ34">
        <v>21594.62231233167</v>
      </c>
      <c r="CA34">
        <v>28075.053600000003</v>
      </c>
      <c r="CB34">
        <v>842.25160800000003</v>
      </c>
      <c r="CC34">
        <v>790.41829488888891</v>
      </c>
      <c r="CD34">
        <v>692.41679999999997</v>
      </c>
      <c r="CE34">
        <v>148.82943731333333</v>
      </c>
      <c r="CF34">
        <v>165.98784192666668</v>
      </c>
      <c r="CG34">
        <v>248.98176289</v>
      </c>
      <c r="CH34">
        <v>394.00059787155936</v>
      </c>
      <c r="CI34">
        <v>414.96960481666673</v>
      </c>
      <c r="CJ34">
        <v>237.12548846666667</v>
      </c>
      <c r="CK34">
        <v>474.25097693333333</v>
      </c>
      <c r="CL34">
        <v>746.94528867000008</v>
      </c>
      <c r="CM34">
        <v>3523.5077988882263</v>
      </c>
      <c r="CN34">
        <v>1185.6274423333334</v>
      </c>
      <c r="CO34">
        <v>5551.3868492215597</v>
      </c>
      <c r="CQ34">
        <v>854.64394520547944</v>
      </c>
      <c r="CR34">
        <v>256.39318356164381</v>
      </c>
      <c r="CS34">
        <v>875.5827218630136</v>
      </c>
      <c r="CT34">
        <v>35654.72696651837</v>
      </c>
      <c r="CY34">
        <v>0</v>
      </c>
      <c r="DB34">
        <v>24955.603200000001</v>
      </c>
      <c r="DE34" s="61">
        <v>35654.72696651837</v>
      </c>
    </row>
    <row r="35" spans="1:109" hidden="1" x14ac:dyDescent="0.3">
      <c r="A35">
        <v>1310</v>
      </c>
      <c r="B35" t="s">
        <v>602</v>
      </c>
      <c r="C35" t="s">
        <v>603</v>
      </c>
      <c r="D35" t="s">
        <v>604</v>
      </c>
      <c r="E35" t="s">
        <v>708</v>
      </c>
      <c r="F35" t="s">
        <v>709</v>
      </c>
      <c r="G35" t="s">
        <v>653</v>
      </c>
      <c r="H35" t="s">
        <v>622</v>
      </c>
      <c r="I35" t="s">
        <v>623</v>
      </c>
      <c r="J35" s="3">
        <v>44340</v>
      </c>
      <c r="K35">
        <v>3.6931506849315068</v>
      </c>
      <c r="L35">
        <v>3</v>
      </c>
      <c r="M35" t="s">
        <v>698</v>
      </c>
      <c r="N35" t="s">
        <v>698</v>
      </c>
      <c r="O35">
        <v>1.0533999999999999</v>
      </c>
      <c r="P35">
        <v>3439.4559999999997</v>
      </c>
      <c r="Q35">
        <v>3439.4559999999997</v>
      </c>
      <c r="R35">
        <v>592.1</v>
      </c>
      <c r="S35">
        <v>623.71813999999995</v>
      </c>
      <c r="T35">
        <v>15.78</v>
      </c>
      <c r="U35">
        <v>639.49813999999992</v>
      </c>
      <c r="V35">
        <v>30.4</v>
      </c>
      <c r="W35">
        <v>17999.84</v>
      </c>
      <c r="AE35">
        <v>41.666666666666664</v>
      </c>
      <c r="AF35">
        <v>1799.9840000000002</v>
      </c>
      <c r="AG35">
        <v>1799.9840000000002</v>
      </c>
      <c r="AH35">
        <v>899.99200000000008</v>
      </c>
      <c r="AI35">
        <v>1799.9840000000002</v>
      </c>
      <c r="AJ35">
        <v>0</v>
      </c>
      <c r="AK35">
        <v>0</v>
      </c>
      <c r="AL35">
        <v>3599.9680000000003</v>
      </c>
      <c r="AM35">
        <v>24299.784</v>
      </c>
      <c r="AN35">
        <v>24341.450666666668</v>
      </c>
      <c r="AO35">
        <v>24299.784</v>
      </c>
      <c r="AQ35">
        <v>17999.84</v>
      </c>
      <c r="AR35">
        <v>24076.191999999999</v>
      </c>
      <c r="AS35">
        <v>21599.808000000001</v>
      </c>
      <c r="AT35">
        <v>0</v>
      </c>
      <c r="AU35">
        <v>2476.3839999999982</v>
      </c>
      <c r="AV35">
        <v>2476.3839999999982</v>
      </c>
      <c r="AW35">
        <v>1123.5840000000021</v>
      </c>
      <c r="AX35">
        <v>22765.058666666671</v>
      </c>
      <c r="AY35">
        <v>15487.72</v>
      </c>
      <c r="AZ35">
        <v>7277.338666666672</v>
      </c>
      <c r="BA35">
        <v>0.21359999999999998</v>
      </c>
      <c r="BB35">
        <v>1554.439539200001</v>
      </c>
      <c r="BC35">
        <v>1640.18</v>
      </c>
      <c r="BD35">
        <v>3194.6195392000009</v>
      </c>
      <c r="BE35">
        <v>0</v>
      </c>
      <c r="BF35">
        <v>3194.6195392000009</v>
      </c>
      <c r="BG35">
        <v>1.3888888888888888</v>
      </c>
      <c r="BH35">
        <v>424.2016000000001</v>
      </c>
      <c r="BI35">
        <v>640.88702888888884</v>
      </c>
      <c r="BJ35">
        <v>1922.6610866666667</v>
      </c>
      <c r="BK35">
        <v>0</v>
      </c>
      <c r="BL35">
        <v>0</v>
      </c>
      <c r="BM35">
        <v>59.210000000000008</v>
      </c>
      <c r="BN35">
        <v>0</v>
      </c>
      <c r="BO35">
        <v>0</v>
      </c>
      <c r="BP35">
        <v>684.3170288888889</v>
      </c>
      <c r="BQ35">
        <v>684.3170288888889</v>
      </c>
      <c r="BR35">
        <v>41.387643466666667</v>
      </c>
      <c r="BS35">
        <v>51.323777166666673</v>
      </c>
      <c r="BT35">
        <v>76.985665749999995</v>
      </c>
      <c r="BU35">
        <v>128.30944291666668</v>
      </c>
      <c r="BV35">
        <v>230.95699725</v>
      </c>
      <c r="BW35">
        <v>528.96352654999998</v>
      </c>
      <c r="BX35">
        <v>20617.867600916667</v>
      </c>
      <c r="BY35">
        <v>1799.9840000000002</v>
      </c>
      <c r="BZ35">
        <v>18817.883600916666</v>
      </c>
      <c r="CA35">
        <v>24299.784</v>
      </c>
      <c r="CB35">
        <v>728.99351999999999</v>
      </c>
      <c r="CC35">
        <v>684.3170288888889</v>
      </c>
      <c r="CD35">
        <v>692.41679999999997</v>
      </c>
      <c r="CE35">
        <v>113.81601953333333</v>
      </c>
      <c r="CF35">
        <v>143.70657606666668</v>
      </c>
      <c r="CG35">
        <v>215.55986410000003</v>
      </c>
      <c r="CH35">
        <v>341.11219370727338</v>
      </c>
      <c r="CI35">
        <v>359.26644016666671</v>
      </c>
      <c r="CJ35">
        <v>205.29510866666669</v>
      </c>
      <c r="CK35">
        <v>410.59021733333338</v>
      </c>
      <c r="CL35">
        <v>646.67959229999997</v>
      </c>
      <c r="CM35">
        <v>3128.4428118739402</v>
      </c>
      <c r="CN35">
        <v>1026.4755433333335</v>
      </c>
      <c r="CO35">
        <v>4883.9118752072736</v>
      </c>
      <c r="CQ35">
        <v>739.71945205479449</v>
      </c>
      <c r="CR35">
        <v>221.91583561643833</v>
      </c>
      <c r="CS35">
        <v>757.84257863013681</v>
      </c>
      <c r="CT35">
        <v>30944.840408175307</v>
      </c>
      <c r="CY35">
        <v>2171.4299999999998</v>
      </c>
      <c r="CZ35">
        <v>1252.6678333333332</v>
      </c>
      <c r="DB35">
        <v>21599.808000000001</v>
      </c>
      <c r="DC35">
        <v>259.04374999999999</v>
      </c>
      <c r="DE35" s="61">
        <v>34627.981991508634</v>
      </c>
    </row>
    <row r="36" spans="1:109" hidden="1" x14ac:dyDescent="0.3">
      <c r="A36">
        <v>1732</v>
      </c>
      <c r="B36" t="s">
        <v>602</v>
      </c>
      <c r="C36" t="s">
        <v>603</v>
      </c>
      <c r="D36" t="s">
        <v>604</v>
      </c>
      <c r="E36" t="s">
        <v>790</v>
      </c>
      <c r="F36" t="s">
        <v>791</v>
      </c>
      <c r="G36" t="s">
        <v>653</v>
      </c>
      <c r="H36" t="s">
        <v>622</v>
      </c>
      <c r="I36" t="s">
        <v>623</v>
      </c>
      <c r="J36" s="3">
        <v>45210</v>
      </c>
      <c r="K36">
        <v>1.3095890410958904</v>
      </c>
      <c r="L36">
        <v>1</v>
      </c>
      <c r="M36" t="s">
        <v>676</v>
      </c>
      <c r="N36" t="s">
        <v>676</v>
      </c>
      <c r="O36">
        <v>1.0507</v>
      </c>
      <c r="P36">
        <v>3439.4559999999997</v>
      </c>
      <c r="Q36">
        <v>3439.4559999999997</v>
      </c>
      <c r="R36">
        <v>565.29999999999995</v>
      </c>
      <c r="S36">
        <v>593.96070999999995</v>
      </c>
      <c r="T36">
        <v>135.43</v>
      </c>
      <c r="U36">
        <v>729.3907099999999</v>
      </c>
      <c r="V36">
        <v>30.4</v>
      </c>
      <c r="W36">
        <v>17185.12</v>
      </c>
      <c r="AD36">
        <v>3853</v>
      </c>
      <c r="AE36">
        <v>41.666666666666664</v>
      </c>
      <c r="AF36">
        <v>1718.5119999999999</v>
      </c>
      <c r="AG36">
        <v>1718.5119999999999</v>
      </c>
      <c r="AH36">
        <v>859.25599999999997</v>
      </c>
      <c r="AI36">
        <v>1718.5119999999999</v>
      </c>
      <c r="AJ36">
        <v>0</v>
      </c>
      <c r="AK36">
        <v>0</v>
      </c>
      <c r="AL36">
        <v>3437.0239999999999</v>
      </c>
      <c r="AM36">
        <v>23199.912</v>
      </c>
      <c r="AN36">
        <v>27094.578666666665</v>
      </c>
      <c r="AO36">
        <v>27052.912</v>
      </c>
      <c r="AQ36">
        <v>21038.12</v>
      </c>
      <c r="AR36">
        <v>24076.191999999999</v>
      </c>
      <c r="AS36">
        <v>20622.144</v>
      </c>
      <c r="AT36">
        <v>0</v>
      </c>
      <c r="AU36">
        <v>3454.0479999999989</v>
      </c>
      <c r="AV36">
        <v>3437.0239999999999</v>
      </c>
      <c r="AW36">
        <v>0</v>
      </c>
      <c r="AX36">
        <v>24516.810666666664</v>
      </c>
      <c r="AY36">
        <v>15487.72</v>
      </c>
      <c r="AZ36">
        <v>9029.0906666666651</v>
      </c>
      <c r="BA36">
        <v>0.21359999999999998</v>
      </c>
      <c r="BB36">
        <v>1928.6137663999996</v>
      </c>
      <c r="BC36">
        <v>1640.18</v>
      </c>
      <c r="BD36">
        <v>3568.7937663999996</v>
      </c>
      <c r="BE36">
        <v>0</v>
      </c>
      <c r="BF36">
        <v>3568.7937663999996</v>
      </c>
      <c r="BG36">
        <v>129.82222222222222</v>
      </c>
      <c r="BH36">
        <v>342.72959999999989</v>
      </c>
      <c r="BI36">
        <v>859.21293222222209</v>
      </c>
      <c r="BJ36">
        <v>2577.6387966666662</v>
      </c>
      <c r="BK36">
        <v>0</v>
      </c>
      <c r="BL36">
        <v>0</v>
      </c>
      <c r="BM36">
        <v>56.53</v>
      </c>
      <c r="BN36">
        <v>0</v>
      </c>
      <c r="BO36">
        <v>0</v>
      </c>
      <c r="BP36">
        <v>780.31293222222212</v>
      </c>
      <c r="BQ36">
        <v>780.31293222222212</v>
      </c>
      <c r="BR36">
        <v>52.907151866666652</v>
      </c>
      <c r="BS36">
        <v>58.523469916666663</v>
      </c>
      <c r="BT36">
        <v>87.785204874999991</v>
      </c>
      <c r="BU36">
        <v>146.30867479166665</v>
      </c>
      <c r="BV36">
        <v>263.35561462499993</v>
      </c>
      <c r="BW36">
        <v>608.88011607499993</v>
      </c>
      <c r="BX36">
        <v>22916.904784191665</v>
      </c>
      <c r="BY36">
        <v>1718.5119999999999</v>
      </c>
      <c r="BZ36">
        <v>21198.392784191667</v>
      </c>
      <c r="CA36">
        <v>27052.911999999997</v>
      </c>
      <c r="CB36">
        <v>811.58735999999988</v>
      </c>
      <c r="CC36">
        <v>780.31293222222212</v>
      </c>
      <c r="CD36">
        <v>692.41679999999997</v>
      </c>
      <c r="CE36">
        <v>145.49466763333328</v>
      </c>
      <c r="CF36">
        <v>163.86571576666665</v>
      </c>
      <c r="CG36">
        <v>245.79857364999998</v>
      </c>
      <c r="CH36">
        <v>388.96336763774332</v>
      </c>
      <c r="CI36">
        <v>409.66428941666663</v>
      </c>
      <c r="CJ36">
        <v>234.09387966666665</v>
      </c>
      <c r="CK36">
        <v>468.1877593333333</v>
      </c>
      <c r="CL36">
        <v>737.39572094999983</v>
      </c>
      <c r="CM36">
        <v>3485.8807740544098</v>
      </c>
      <c r="CN36">
        <v>1170.4693983333332</v>
      </c>
      <c r="CO36">
        <v>5467.937532387743</v>
      </c>
      <c r="CQ36">
        <v>706.23780821917796</v>
      </c>
      <c r="CR36">
        <v>164.78882191780821</v>
      </c>
      <c r="CS36">
        <v>722.12815890410968</v>
      </c>
      <c r="CT36">
        <v>34155.670988095502</v>
      </c>
      <c r="CY36">
        <v>0</v>
      </c>
      <c r="DB36">
        <v>20622.143999999997</v>
      </c>
      <c r="DE36" s="61">
        <v>34155.670988095502</v>
      </c>
    </row>
    <row r="37" spans="1:109" hidden="1" x14ac:dyDescent="0.3">
      <c r="A37">
        <v>1351</v>
      </c>
      <c r="B37" t="s">
        <v>637</v>
      </c>
      <c r="C37" t="s">
        <v>603</v>
      </c>
      <c r="D37" t="s">
        <v>604</v>
      </c>
      <c r="E37" t="s">
        <v>716</v>
      </c>
      <c r="F37" t="s">
        <v>689</v>
      </c>
      <c r="G37" t="s">
        <v>607</v>
      </c>
      <c r="H37" t="s">
        <v>622</v>
      </c>
      <c r="I37" t="s">
        <v>623</v>
      </c>
      <c r="J37" s="3">
        <v>44434</v>
      </c>
      <c r="K37">
        <v>3.4356164383561643</v>
      </c>
      <c r="L37">
        <v>3</v>
      </c>
      <c r="M37" t="s">
        <v>698</v>
      </c>
      <c r="N37" t="s">
        <v>698</v>
      </c>
      <c r="O37">
        <v>1.0533999999999999</v>
      </c>
      <c r="P37">
        <v>3439.4559999999997</v>
      </c>
      <c r="Q37">
        <v>3439.4559999999997</v>
      </c>
      <c r="R37">
        <v>566.70000000000005</v>
      </c>
      <c r="S37">
        <v>596.96177999999998</v>
      </c>
      <c r="T37">
        <v>154.78</v>
      </c>
      <c r="U37">
        <v>751.74177999999995</v>
      </c>
      <c r="V37">
        <v>30.4</v>
      </c>
      <c r="W37">
        <v>17227.68</v>
      </c>
      <c r="AE37">
        <v>41.666666666666664</v>
      </c>
      <c r="AF37">
        <v>1722.7680000000003</v>
      </c>
      <c r="AG37">
        <v>1722.7680000000003</v>
      </c>
      <c r="AH37">
        <v>861.38400000000001</v>
      </c>
      <c r="AI37">
        <v>1722.768</v>
      </c>
      <c r="AJ37">
        <v>0</v>
      </c>
      <c r="AK37">
        <v>0</v>
      </c>
      <c r="AL37">
        <v>3445.5360000000005</v>
      </c>
      <c r="AM37">
        <v>23257.367999999999</v>
      </c>
      <c r="AN37">
        <v>23299.03466666667</v>
      </c>
      <c r="AO37">
        <v>23257.367999999999</v>
      </c>
      <c r="AQ37">
        <v>17227.68</v>
      </c>
      <c r="AR37">
        <v>24076.191999999999</v>
      </c>
      <c r="AS37">
        <v>20673.216</v>
      </c>
      <c r="AT37">
        <v>0</v>
      </c>
      <c r="AU37">
        <v>3402.9759999999987</v>
      </c>
      <c r="AV37">
        <v>3402.9759999999987</v>
      </c>
      <c r="AW37">
        <v>42.560000000001764</v>
      </c>
      <c r="AX37">
        <v>20757.44266666667</v>
      </c>
      <c r="AY37">
        <v>15487.72</v>
      </c>
      <c r="AZ37">
        <v>5269.7226666666702</v>
      </c>
      <c r="BA37">
        <v>0.21359999999999998</v>
      </c>
      <c r="BB37">
        <v>1125.6127616000006</v>
      </c>
      <c r="BC37">
        <v>1640.18</v>
      </c>
      <c r="BD37">
        <v>2765.7927616000006</v>
      </c>
      <c r="BE37">
        <v>0</v>
      </c>
      <c r="BF37">
        <v>2765.7927616000006</v>
      </c>
      <c r="BG37">
        <v>1.3888888888888888</v>
      </c>
      <c r="BH37">
        <v>346.98559999999998</v>
      </c>
      <c r="BI37">
        <v>753.13066888888886</v>
      </c>
      <c r="BJ37">
        <v>2259.3920066666665</v>
      </c>
      <c r="BK37">
        <v>0</v>
      </c>
      <c r="BL37">
        <v>0</v>
      </c>
      <c r="BM37">
        <v>56.67</v>
      </c>
      <c r="BN37">
        <v>0</v>
      </c>
      <c r="BO37">
        <v>0</v>
      </c>
      <c r="BP37">
        <v>655.02066888888885</v>
      </c>
      <c r="BQ37">
        <v>655.02066888888885</v>
      </c>
      <c r="BR37">
        <v>37.872080266666657</v>
      </c>
      <c r="BS37">
        <v>49.126550166666661</v>
      </c>
      <c r="BT37">
        <v>73.689825249999998</v>
      </c>
      <c r="BU37">
        <v>122.81637541666667</v>
      </c>
      <c r="BV37">
        <v>221.06947574999998</v>
      </c>
      <c r="BW37">
        <v>504.57430684999997</v>
      </c>
      <c r="BX37">
        <v>20028.667598216667</v>
      </c>
      <c r="BY37">
        <v>1722.768</v>
      </c>
      <c r="BZ37">
        <v>18305.899598216667</v>
      </c>
      <c r="CA37">
        <v>23257.367999999999</v>
      </c>
      <c r="CB37">
        <v>697.7210399999999</v>
      </c>
      <c r="CC37">
        <v>655.02066888888885</v>
      </c>
      <c r="CD37">
        <v>692.41679999999997</v>
      </c>
      <c r="CE37">
        <v>104.1482207333333</v>
      </c>
      <c r="CF37">
        <v>137.55434046666667</v>
      </c>
      <c r="CG37">
        <v>206.3315107</v>
      </c>
      <c r="CH37">
        <v>326.50880784171335</v>
      </c>
      <c r="CI37">
        <v>343.88585116666667</v>
      </c>
      <c r="CJ37">
        <v>196.50620066666664</v>
      </c>
      <c r="CK37">
        <v>393.01240133333329</v>
      </c>
      <c r="CL37">
        <v>618.99453210000001</v>
      </c>
      <c r="CM37">
        <v>3019.3586650083803</v>
      </c>
      <c r="CN37">
        <v>982.53100333333339</v>
      </c>
      <c r="CO37">
        <v>4699.6107083417137</v>
      </c>
      <c r="CQ37">
        <v>707.98684931506853</v>
      </c>
      <c r="CR37">
        <v>212.39605479452052</v>
      </c>
      <c r="CS37">
        <v>725.3325271232876</v>
      </c>
      <c r="CT37">
        <v>29644.360806241257</v>
      </c>
      <c r="CV37">
        <v>4406.42</v>
      </c>
      <c r="CY37">
        <v>0</v>
      </c>
      <c r="DB37">
        <v>20673.216</v>
      </c>
      <c r="DE37" s="61">
        <v>34050.780806241259</v>
      </c>
    </row>
    <row r="38" spans="1:109" hidden="1" x14ac:dyDescent="0.3">
      <c r="A38">
        <v>1075</v>
      </c>
      <c r="B38" t="s">
        <v>662</v>
      </c>
      <c r="C38" t="s">
        <v>603</v>
      </c>
      <c r="D38" t="s">
        <v>604</v>
      </c>
      <c r="E38" t="s">
        <v>674</v>
      </c>
      <c r="F38" t="s">
        <v>675</v>
      </c>
      <c r="G38" t="s">
        <v>665</v>
      </c>
      <c r="H38" t="s">
        <v>622</v>
      </c>
      <c r="I38" t="s">
        <v>623</v>
      </c>
      <c r="J38" s="3">
        <v>45229</v>
      </c>
      <c r="K38">
        <v>1.2575342465753425</v>
      </c>
      <c r="L38">
        <v>1</v>
      </c>
      <c r="M38" t="s">
        <v>676</v>
      </c>
      <c r="N38" t="s">
        <v>676</v>
      </c>
      <c r="O38">
        <v>1.0507</v>
      </c>
      <c r="P38">
        <v>3439.4559999999997</v>
      </c>
      <c r="Q38">
        <v>3439.4559999999997</v>
      </c>
      <c r="R38">
        <v>360</v>
      </c>
      <c r="S38">
        <v>378.25200000000001</v>
      </c>
      <c r="T38">
        <v>362.44</v>
      </c>
      <c r="U38">
        <v>740.69200000000001</v>
      </c>
      <c r="V38">
        <v>30.4</v>
      </c>
      <c r="W38">
        <v>10944</v>
      </c>
      <c r="AA38">
        <v>10857.142857142857</v>
      </c>
      <c r="AC38">
        <v>750</v>
      </c>
      <c r="AE38">
        <v>41.666666666666664</v>
      </c>
      <c r="AF38">
        <v>1094.3999999999999</v>
      </c>
      <c r="AG38">
        <v>1094.3999999999999</v>
      </c>
      <c r="AH38">
        <v>547.20000000000005</v>
      </c>
      <c r="AI38">
        <v>1094.4000000000001</v>
      </c>
      <c r="AJ38">
        <v>0</v>
      </c>
      <c r="AK38">
        <v>0</v>
      </c>
      <c r="AL38">
        <v>2188.7999999999997</v>
      </c>
      <c r="AM38">
        <v>14774.4</v>
      </c>
      <c r="AN38">
        <v>26423.209523809528</v>
      </c>
      <c r="AO38">
        <v>26381.542857142857</v>
      </c>
      <c r="AQ38">
        <v>22551.142857142855</v>
      </c>
      <c r="AR38">
        <v>24076.191999999999</v>
      </c>
      <c r="AS38">
        <v>13132.8</v>
      </c>
      <c r="AT38">
        <v>0</v>
      </c>
      <c r="AU38">
        <v>10943.392</v>
      </c>
      <c r="AV38">
        <v>2188.7999999999997</v>
      </c>
      <c r="AW38">
        <v>0</v>
      </c>
      <c r="AX38">
        <v>24781.609523809526</v>
      </c>
      <c r="AY38">
        <v>15487.72</v>
      </c>
      <c r="AZ38">
        <v>9293.8895238095265</v>
      </c>
      <c r="BA38">
        <v>0.21359999999999998</v>
      </c>
      <c r="BB38">
        <v>1985.1748022857148</v>
      </c>
      <c r="BC38">
        <v>1640.18</v>
      </c>
      <c r="BD38">
        <v>3625.3548022857149</v>
      </c>
      <c r="BE38">
        <v>0</v>
      </c>
      <c r="BF38">
        <v>3625.3548022857149</v>
      </c>
      <c r="BG38">
        <v>388.29365079365078</v>
      </c>
      <c r="BH38">
        <v>0</v>
      </c>
      <c r="BI38">
        <v>1128.9856507936508</v>
      </c>
      <c r="BJ38">
        <v>3386.9569523809532</v>
      </c>
      <c r="BK38">
        <v>0</v>
      </c>
      <c r="BL38">
        <v>0</v>
      </c>
      <c r="BM38">
        <v>36.000000000000007</v>
      </c>
      <c r="BN38">
        <v>0</v>
      </c>
      <c r="BO38">
        <v>0</v>
      </c>
      <c r="BP38">
        <v>802.54565079365079</v>
      </c>
      <c r="BQ38">
        <v>802.54565079365079</v>
      </c>
      <c r="BR38">
        <v>55.575078095238098</v>
      </c>
      <c r="BS38">
        <v>60.190923809523802</v>
      </c>
      <c r="BT38">
        <v>90.2863857142857</v>
      </c>
      <c r="BU38">
        <v>150.47730952380954</v>
      </c>
      <c r="BV38">
        <v>270.85915714285716</v>
      </c>
      <c r="BW38">
        <v>627.38885428571427</v>
      </c>
      <c r="BX38">
        <v>22170.465867238101</v>
      </c>
      <c r="BY38">
        <v>1094.4000000000001</v>
      </c>
      <c r="BZ38">
        <v>21076.0658672381</v>
      </c>
      <c r="CA38">
        <v>26381.54285714286</v>
      </c>
      <c r="CB38">
        <v>791.44628571428575</v>
      </c>
      <c r="CC38">
        <v>802.54565079365079</v>
      </c>
      <c r="CD38">
        <v>692.41679999999997</v>
      </c>
      <c r="CE38">
        <v>152.83146476190475</v>
      </c>
      <c r="CF38">
        <v>168.53458666666666</v>
      </c>
      <c r="CG38">
        <v>252.80188000000004</v>
      </c>
      <c r="CH38">
        <v>400.04573309676192</v>
      </c>
      <c r="CI38">
        <v>421.33646666666669</v>
      </c>
      <c r="CJ38">
        <v>240.76369523809521</v>
      </c>
      <c r="CK38">
        <v>481.52739047619042</v>
      </c>
      <c r="CL38">
        <v>758.40563999999995</v>
      </c>
      <c r="CM38">
        <v>3568.6636569062857</v>
      </c>
      <c r="CN38">
        <v>1203.8184761904763</v>
      </c>
      <c r="CO38">
        <v>5563.9284188110469</v>
      </c>
      <c r="CQ38">
        <v>449.75342465753425</v>
      </c>
      <c r="CR38">
        <v>104.94246575342466</v>
      </c>
      <c r="CS38">
        <v>459.87287671232878</v>
      </c>
      <c r="CT38">
        <v>33001.706709743863</v>
      </c>
      <c r="CY38">
        <v>0</v>
      </c>
      <c r="DB38">
        <v>13132.8</v>
      </c>
      <c r="DE38" s="61">
        <v>33001.706709743863</v>
      </c>
    </row>
    <row r="39" spans="1:109" hidden="1" x14ac:dyDescent="0.3">
      <c r="A39">
        <v>1322</v>
      </c>
      <c r="B39" t="s">
        <v>710</v>
      </c>
      <c r="C39" t="s">
        <v>603</v>
      </c>
      <c r="D39" t="s">
        <v>604</v>
      </c>
      <c r="E39" t="s">
        <v>711</v>
      </c>
      <c r="F39" t="s">
        <v>689</v>
      </c>
      <c r="G39" t="s">
        <v>607</v>
      </c>
      <c r="H39" t="s">
        <v>608</v>
      </c>
      <c r="I39" t="s">
        <v>609</v>
      </c>
      <c r="J39" s="3">
        <v>44410</v>
      </c>
      <c r="K39">
        <v>3.5013698630136987</v>
      </c>
      <c r="L39">
        <v>3</v>
      </c>
      <c r="M39" t="s">
        <v>698</v>
      </c>
      <c r="N39" t="s">
        <v>698</v>
      </c>
      <c r="O39">
        <v>1.0533999999999999</v>
      </c>
      <c r="P39">
        <v>3439.4559999999997</v>
      </c>
      <c r="Q39">
        <v>3439.4559999999997</v>
      </c>
      <c r="R39">
        <v>515.19000000000005</v>
      </c>
      <c r="S39">
        <v>542.70114599999999</v>
      </c>
      <c r="T39">
        <v>133.9</v>
      </c>
      <c r="U39">
        <v>676.60114599999997</v>
      </c>
      <c r="V39">
        <v>30.4</v>
      </c>
      <c r="W39">
        <v>15661.776000000002</v>
      </c>
      <c r="AD39">
        <v>3580.35</v>
      </c>
      <c r="AE39">
        <v>41.666666666666664</v>
      </c>
      <c r="AF39">
        <v>1566.1776</v>
      </c>
      <c r="AG39">
        <v>1566.1776</v>
      </c>
      <c r="AH39">
        <v>783.08880000000011</v>
      </c>
      <c r="AI39">
        <v>1566.1776000000002</v>
      </c>
      <c r="AJ39">
        <v>0</v>
      </c>
      <c r="AK39">
        <v>0</v>
      </c>
      <c r="AL39">
        <v>3132.3552</v>
      </c>
      <c r="AM39">
        <v>21143.397600000004</v>
      </c>
      <c r="AN39">
        <v>24765.414266666667</v>
      </c>
      <c r="AO39">
        <v>24723.747600000002</v>
      </c>
      <c r="AQ39">
        <v>19242.126</v>
      </c>
      <c r="AR39">
        <v>24076.191999999999</v>
      </c>
      <c r="AS39">
        <v>18794.131200000003</v>
      </c>
      <c r="AT39">
        <v>0</v>
      </c>
      <c r="AU39">
        <v>5282.0607999999957</v>
      </c>
      <c r="AV39">
        <v>3132.3552</v>
      </c>
      <c r="AW39">
        <v>0</v>
      </c>
      <c r="AX39">
        <v>22416.147866666666</v>
      </c>
      <c r="AY39">
        <v>15487.72</v>
      </c>
      <c r="AZ39">
        <v>6928.4278666666669</v>
      </c>
      <c r="BA39">
        <v>0.21359999999999998</v>
      </c>
      <c r="BB39">
        <v>1479.91219232</v>
      </c>
      <c r="BC39">
        <v>1640.18</v>
      </c>
      <c r="BD39">
        <v>3120.0921923200003</v>
      </c>
      <c r="BE39">
        <v>0</v>
      </c>
      <c r="BF39">
        <v>3120.0921923200003</v>
      </c>
      <c r="BG39">
        <v>120.73388888888888</v>
      </c>
      <c r="BH39">
        <v>190.39520000000016</v>
      </c>
      <c r="BI39">
        <v>797.33503488888891</v>
      </c>
      <c r="BJ39">
        <v>2392.0051046666667</v>
      </c>
      <c r="BK39">
        <v>0</v>
      </c>
      <c r="BL39">
        <v>0</v>
      </c>
      <c r="BM39">
        <v>51.519000000000013</v>
      </c>
      <c r="BN39">
        <v>0</v>
      </c>
      <c r="BO39">
        <v>0</v>
      </c>
      <c r="BP39">
        <v>714.95403488888894</v>
      </c>
      <c r="BQ39">
        <v>714.95403488888894</v>
      </c>
      <c r="BR39">
        <v>45.064084186666669</v>
      </c>
      <c r="BS39">
        <v>53.621552616666669</v>
      </c>
      <c r="BT39">
        <v>80.432328924999993</v>
      </c>
      <c r="BU39">
        <v>134.05388154166667</v>
      </c>
      <c r="BV39">
        <v>241.29698677500002</v>
      </c>
      <c r="BW39">
        <v>554.46883404499999</v>
      </c>
      <c r="BX39">
        <v>21090.853240301665</v>
      </c>
      <c r="BY39">
        <v>1566.1776000000002</v>
      </c>
      <c r="BZ39">
        <v>19524.675640301666</v>
      </c>
      <c r="CA39">
        <v>24723.747599999999</v>
      </c>
      <c r="CB39">
        <v>741.71242799999993</v>
      </c>
      <c r="CC39">
        <v>714.95403488888894</v>
      </c>
      <c r="CD39">
        <v>692.41679999999997</v>
      </c>
      <c r="CE39">
        <v>123.92623151333333</v>
      </c>
      <c r="CF39">
        <v>150.1403473266667</v>
      </c>
      <c r="CG39">
        <v>225.21052099000005</v>
      </c>
      <c r="CH39">
        <v>356.38385272509936</v>
      </c>
      <c r="CI39">
        <v>375.35086831666672</v>
      </c>
      <c r="CJ39">
        <v>214.48621046666668</v>
      </c>
      <c r="CK39">
        <v>428.97242093333335</v>
      </c>
      <c r="CL39">
        <v>675.63156297</v>
      </c>
      <c r="CM39">
        <v>3242.5188152417659</v>
      </c>
      <c r="CN39">
        <v>1072.4310523333334</v>
      </c>
      <c r="CO39">
        <v>5056.6622955750991</v>
      </c>
      <c r="CQ39">
        <v>643.6346301369864</v>
      </c>
      <c r="CR39">
        <v>193.09038904109588</v>
      </c>
      <c r="CS39">
        <v>659.4036785753425</v>
      </c>
      <c r="CT39">
        <v>31318.205259995189</v>
      </c>
      <c r="CY39">
        <v>0</v>
      </c>
      <c r="DB39">
        <v>18794.1312</v>
      </c>
      <c r="DE39" s="61">
        <v>31318.205259995189</v>
      </c>
    </row>
    <row r="40" spans="1:109" hidden="1" x14ac:dyDescent="0.3">
      <c r="A40">
        <v>1051</v>
      </c>
      <c r="B40" t="s">
        <v>662</v>
      </c>
      <c r="C40" t="s">
        <v>603</v>
      </c>
      <c r="D40" t="s">
        <v>604</v>
      </c>
      <c r="E40" t="s">
        <v>663</v>
      </c>
      <c r="F40" t="s">
        <v>664</v>
      </c>
      <c r="G40" t="s">
        <v>665</v>
      </c>
      <c r="H40" t="s">
        <v>622</v>
      </c>
      <c r="I40" t="s">
        <v>623</v>
      </c>
      <c r="J40" s="3">
        <v>43794</v>
      </c>
      <c r="K40">
        <v>5.1890410958904107</v>
      </c>
      <c r="L40">
        <v>5</v>
      </c>
      <c r="M40" t="s">
        <v>654</v>
      </c>
      <c r="N40" t="s">
        <v>654</v>
      </c>
      <c r="O40">
        <v>1.0562</v>
      </c>
      <c r="P40">
        <v>3439.4559999999997</v>
      </c>
      <c r="Q40">
        <v>3439.4559999999997</v>
      </c>
      <c r="R40">
        <v>336.97</v>
      </c>
      <c r="S40">
        <v>355.90771400000006</v>
      </c>
      <c r="T40">
        <v>355.39</v>
      </c>
      <c r="U40">
        <v>711.29771400000004</v>
      </c>
      <c r="V40">
        <v>30.4</v>
      </c>
      <c r="W40">
        <v>10243.888000000001</v>
      </c>
      <c r="AA40">
        <v>10857.142857142857</v>
      </c>
      <c r="AE40">
        <v>41.666666666666664</v>
      </c>
      <c r="AF40">
        <v>1024.3887999999999</v>
      </c>
      <c r="AG40">
        <v>1024.3887999999999</v>
      </c>
      <c r="AH40">
        <v>512.19440000000009</v>
      </c>
      <c r="AI40">
        <v>1024.3888000000002</v>
      </c>
      <c r="AJ40">
        <v>0</v>
      </c>
      <c r="AK40">
        <v>0</v>
      </c>
      <c r="AL40">
        <v>2048.7775999999999</v>
      </c>
      <c r="AM40">
        <v>13829.248800000001</v>
      </c>
      <c r="AN40">
        <v>24728.058323809528</v>
      </c>
      <c r="AO40">
        <v>24686.391657142856</v>
      </c>
      <c r="AQ40">
        <v>21101.030857142858</v>
      </c>
      <c r="AR40">
        <v>24076.191999999999</v>
      </c>
      <c r="AS40">
        <v>12292.6656</v>
      </c>
      <c r="AT40">
        <v>0</v>
      </c>
      <c r="AU40">
        <v>11783.526399999999</v>
      </c>
      <c r="AV40">
        <v>2048.7775999999999</v>
      </c>
      <c r="AW40">
        <v>0</v>
      </c>
      <c r="AX40">
        <v>23191.475123809527</v>
      </c>
      <c r="AY40">
        <v>15487.72</v>
      </c>
      <c r="AZ40">
        <v>7703.7551238095275</v>
      </c>
      <c r="BA40">
        <v>0.21359999999999998</v>
      </c>
      <c r="BB40">
        <v>1645.5220944457149</v>
      </c>
      <c r="BC40">
        <v>1640.18</v>
      </c>
      <c r="BD40">
        <v>3285.7020944457149</v>
      </c>
      <c r="BE40">
        <v>0</v>
      </c>
      <c r="BF40">
        <v>3285.7020944457149</v>
      </c>
      <c r="BG40">
        <v>363.29365079365078</v>
      </c>
      <c r="BH40">
        <v>0</v>
      </c>
      <c r="BI40">
        <v>1074.5913647936509</v>
      </c>
      <c r="BJ40">
        <v>3223.7740943809531</v>
      </c>
      <c r="BK40">
        <v>0</v>
      </c>
      <c r="BL40">
        <v>0</v>
      </c>
      <c r="BM40">
        <v>33.69700000000001</v>
      </c>
      <c r="BN40">
        <v>0</v>
      </c>
      <c r="BO40">
        <v>0</v>
      </c>
      <c r="BP40">
        <v>752.89836479365101</v>
      </c>
      <c r="BQ40">
        <v>752.89836479365101</v>
      </c>
      <c r="BR40">
        <v>49.617403775238124</v>
      </c>
      <c r="BS40">
        <v>56.467377359523823</v>
      </c>
      <c r="BT40">
        <v>84.701066039285735</v>
      </c>
      <c r="BU40">
        <v>141.16844339880959</v>
      </c>
      <c r="BV40">
        <v>254.10319811785723</v>
      </c>
      <c r="BW40">
        <v>586.05748869071454</v>
      </c>
      <c r="BX40">
        <v>20856.298740673097</v>
      </c>
      <c r="BY40">
        <v>1024.3888000000002</v>
      </c>
      <c r="BZ40">
        <v>19831.909940673097</v>
      </c>
      <c r="CA40">
        <v>24686.39165714286</v>
      </c>
      <c r="CB40">
        <v>740.59174971428581</v>
      </c>
      <c r="CC40">
        <v>752.89836479365101</v>
      </c>
      <c r="CD40">
        <v>692.41679999999997</v>
      </c>
      <c r="CE40">
        <v>136.4478603819048</v>
      </c>
      <c r="CF40">
        <v>158.1086566066667</v>
      </c>
      <c r="CG40">
        <v>237.16298491000009</v>
      </c>
      <c r="CH40">
        <v>375.29800079705598</v>
      </c>
      <c r="CI40">
        <v>395.27164151666682</v>
      </c>
      <c r="CJ40">
        <v>225.86950943809529</v>
      </c>
      <c r="CK40">
        <v>451.73901887619058</v>
      </c>
      <c r="CL40">
        <v>711.48895473000016</v>
      </c>
      <c r="CM40">
        <v>3383.803427256581</v>
      </c>
      <c r="CN40">
        <v>1129.3475471904767</v>
      </c>
      <c r="CO40">
        <v>5253.7427241613432</v>
      </c>
      <c r="CQ40">
        <v>420.98169863013703</v>
      </c>
      <c r="CR40">
        <v>154.35995616438359</v>
      </c>
      <c r="CS40">
        <v>432.1377136438357</v>
      </c>
      <c r="CT40">
        <v>30989.280416409227</v>
      </c>
      <c r="CY40">
        <v>0</v>
      </c>
      <c r="DB40">
        <v>12292.665600000002</v>
      </c>
      <c r="DC40">
        <v>143.049375</v>
      </c>
      <c r="DE40" s="61">
        <v>31132.329791409225</v>
      </c>
    </row>
    <row r="41" spans="1:109" hidden="1" x14ac:dyDescent="0.3">
      <c r="A41">
        <v>1435</v>
      </c>
      <c r="B41" t="s">
        <v>602</v>
      </c>
      <c r="C41" t="s">
        <v>603</v>
      </c>
      <c r="D41" t="s">
        <v>604</v>
      </c>
      <c r="E41" t="s">
        <v>732</v>
      </c>
      <c r="F41" t="s">
        <v>733</v>
      </c>
      <c r="G41" t="s">
        <v>653</v>
      </c>
      <c r="H41" t="s">
        <v>622</v>
      </c>
      <c r="I41" t="s">
        <v>623</v>
      </c>
      <c r="J41" s="3">
        <v>44588</v>
      </c>
      <c r="K41">
        <v>3.0136986301369864</v>
      </c>
      <c r="L41">
        <v>3</v>
      </c>
      <c r="M41" t="s">
        <v>698</v>
      </c>
      <c r="N41" t="s">
        <v>698</v>
      </c>
      <c r="O41">
        <v>1.0533999999999999</v>
      </c>
      <c r="P41">
        <v>3439.4559999999997</v>
      </c>
      <c r="Q41">
        <v>3439.4559999999997</v>
      </c>
      <c r="R41">
        <v>591.1</v>
      </c>
      <c r="S41">
        <v>622.66473999999994</v>
      </c>
      <c r="T41">
        <v>25.77</v>
      </c>
      <c r="U41">
        <v>648.43473999999992</v>
      </c>
      <c r="V41">
        <v>30.4</v>
      </c>
      <c r="W41">
        <v>17969.439999999999</v>
      </c>
      <c r="AE41">
        <v>41.666666666666664</v>
      </c>
      <c r="AF41">
        <v>1796.9440000000002</v>
      </c>
      <c r="AG41">
        <v>1796.9440000000002</v>
      </c>
      <c r="AH41">
        <v>898.47199999999998</v>
      </c>
      <c r="AI41">
        <v>1796.944</v>
      </c>
      <c r="AJ41">
        <v>0</v>
      </c>
      <c r="AK41">
        <v>0</v>
      </c>
      <c r="AL41">
        <v>3593.8880000000004</v>
      </c>
      <c r="AM41">
        <v>24258.743999999999</v>
      </c>
      <c r="AN41">
        <v>24300.410666666667</v>
      </c>
      <c r="AO41">
        <v>24258.743999999999</v>
      </c>
      <c r="AQ41">
        <v>17969.439999999999</v>
      </c>
      <c r="AR41">
        <v>24076.191999999999</v>
      </c>
      <c r="AS41">
        <v>21563.327999999998</v>
      </c>
      <c r="AT41">
        <v>0</v>
      </c>
      <c r="AU41">
        <v>2512.8640000000014</v>
      </c>
      <c r="AV41">
        <v>2512.8640000000014</v>
      </c>
      <c r="AW41">
        <v>1081.023999999999</v>
      </c>
      <c r="AX41">
        <v>22686.018666666663</v>
      </c>
      <c r="AY41">
        <v>15487.72</v>
      </c>
      <c r="AZ41">
        <v>7198.2986666666638</v>
      </c>
      <c r="BA41">
        <v>0.21359999999999998</v>
      </c>
      <c r="BB41">
        <v>1537.5565951999993</v>
      </c>
      <c r="BC41">
        <v>1640.18</v>
      </c>
      <c r="BD41">
        <v>3177.7365951999991</v>
      </c>
      <c r="BE41">
        <v>0</v>
      </c>
      <c r="BF41">
        <v>3177.7365951999991</v>
      </c>
      <c r="BG41">
        <v>1.3888888888888888</v>
      </c>
      <c r="BH41">
        <v>421.16159999999991</v>
      </c>
      <c r="BI41">
        <v>649.82362888888883</v>
      </c>
      <c r="BJ41">
        <v>1949.4708866666665</v>
      </c>
      <c r="BK41">
        <v>0</v>
      </c>
      <c r="BL41">
        <v>0</v>
      </c>
      <c r="BM41">
        <v>59.11</v>
      </c>
      <c r="BN41">
        <v>0</v>
      </c>
      <c r="BO41">
        <v>0</v>
      </c>
      <c r="BP41">
        <v>683.16362888888887</v>
      </c>
      <c r="BQ41">
        <v>683.16362888888887</v>
      </c>
      <c r="BR41">
        <v>41.249235466666661</v>
      </c>
      <c r="BS41">
        <v>51.237272166666664</v>
      </c>
      <c r="BT41">
        <v>76.855908249999999</v>
      </c>
      <c r="BU41">
        <v>128.09318041666666</v>
      </c>
      <c r="BV41">
        <v>230.56772474999997</v>
      </c>
      <c r="BW41">
        <v>528.00332104999995</v>
      </c>
      <c r="BX41">
        <v>20594.670750416666</v>
      </c>
      <c r="BY41">
        <v>1796.944</v>
      </c>
      <c r="BZ41">
        <v>18797.726750416667</v>
      </c>
      <c r="CA41">
        <v>24258.743999999999</v>
      </c>
      <c r="CB41">
        <v>727.76231999999993</v>
      </c>
      <c r="CC41">
        <v>683.16362888888887</v>
      </c>
      <c r="CD41">
        <v>692.41679999999997</v>
      </c>
      <c r="CE41">
        <v>113.43539753333332</v>
      </c>
      <c r="CF41">
        <v>143.46436206666667</v>
      </c>
      <c r="CG41">
        <v>215.19654309999999</v>
      </c>
      <c r="CH41">
        <v>340.53725725587333</v>
      </c>
      <c r="CI41">
        <v>358.66090516666668</v>
      </c>
      <c r="CJ41">
        <v>204.94908866666665</v>
      </c>
      <c r="CK41">
        <v>409.89817733333331</v>
      </c>
      <c r="CL41">
        <v>645.58962929999996</v>
      </c>
      <c r="CM41">
        <v>3124.1481604225401</v>
      </c>
      <c r="CN41">
        <v>1024.7454433333332</v>
      </c>
      <c r="CO41">
        <v>4876.6559237558731</v>
      </c>
      <c r="CQ41">
        <v>738.47013698630133</v>
      </c>
      <c r="CR41">
        <v>221.54104109589039</v>
      </c>
      <c r="CS41">
        <v>756.56265534246563</v>
      </c>
      <c r="CT41">
        <v>30893.640423847195</v>
      </c>
      <c r="CY41">
        <v>0</v>
      </c>
      <c r="DB41">
        <v>21563.327999999998</v>
      </c>
      <c r="DE41" s="61">
        <v>30893.640423847195</v>
      </c>
    </row>
    <row r="42" spans="1:109" hidden="1" x14ac:dyDescent="0.3">
      <c r="A42">
        <v>1727</v>
      </c>
      <c r="B42" t="s">
        <v>602</v>
      </c>
      <c r="C42" t="s">
        <v>603</v>
      </c>
      <c r="D42" t="s">
        <v>604</v>
      </c>
      <c r="E42" t="s">
        <v>787</v>
      </c>
      <c r="F42" t="s">
        <v>788</v>
      </c>
      <c r="G42" t="s">
        <v>653</v>
      </c>
      <c r="H42" t="s">
        <v>622</v>
      </c>
      <c r="I42" t="s">
        <v>623</v>
      </c>
      <c r="J42" s="3">
        <v>45198</v>
      </c>
      <c r="K42">
        <v>1.3424657534246576</v>
      </c>
      <c r="L42">
        <v>1</v>
      </c>
      <c r="M42" t="s">
        <v>676</v>
      </c>
      <c r="N42" t="s">
        <v>676</v>
      </c>
      <c r="O42">
        <v>1.0507</v>
      </c>
      <c r="P42">
        <v>3439.4559999999997</v>
      </c>
      <c r="Q42">
        <v>3439.4559999999997</v>
      </c>
      <c r="R42">
        <v>592.1</v>
      </c>
      <c r="S42">
        <v>622.11946999999998</v>
      </c>
      <c r="T42">
        <v>15.78</v>
      </c>
      <c r="U42">
        <v>637.89946999999995</v>
      </c>
      <c r="V42">
        <v>30.4</v>
      </c>
      <c r="W42">
        <v>17999.84</v>
      </c>
      <c r="AE42">
        <v>41.666666666666664</v>
      </c>
      <c r="AF42">
        <v>1799.9840000000002</v>
      </c>
      <c r="AG42">
        <v>1799.9840000000002</v>
      </c>
      <c r="AH42">
        <v>899.99200000000008</v>
      </c>
      <c r="AI42">
        <v>1799.9840000000002</v>
      </c>
      <c r="AJ42">
        <v>0</v>
      </c>
      <c r="AK42">
        <v>0</v>
      </c>
      <c r="AL42">
        <v>3599.9680000000003</v>
      </c>
      <c r="AM42">
        <v>24299.784</v>
      </c>
      <c r="AN42">
        <v>24341.450666666668</v>
      </c>
      <c r="AO42">
        <v>24299.784</v>
      </c>
      <c r="AQ42">
        <v>17999.84</v>
      </c>
      <c r="AR42">
        <v>24076.191999999999</v>
      </c>
      <c r="AS42">
        <v>21599.808000000001</v>
      </c>
      <c r="AT42">
        <v>0</v>
      </c>
      <c r="AU42">
        <v>2476.3839999999982</v>
      </c>
      <c r="AV42">
        <v>2476.3839999999982</v>
      </c>
      <c r="AW42">
        <v>1123.5840000000021</v>
      </c>
      <c r="AX42">
        <v>22765.058666666671</v>
      </c>
      <c r="AY42">
        <v>15487.72</v>
      </c>
      <c r="AZ42">
        <v>7277.338666666672</v>
      </c>
      <c r="BA42">
        <v>0.21359999999999998</v>
      </c>
      <c r="BB42">
        <v>1554.439539200001</v>
      </c>
      <c r="BC42">
        <v>1640.18</v>
      </c>
      <c r="BD42">
        <v>3194.6195392000009</v>
      </c>
      <c r="BE42">
        <v>0</v>
      </c>
      <c r="BF42">
        <v>3194.6195392000009</v>
      </c>
      <c r="BG42">
        <v>1.3888888888888888</v>
      </c>
      <c r="BH42">
        <v>424.2016000000001</v>
      </c>
      <c r="BI42">
        <v>639.28835888888887</v>
      </c>
      <c r="BJ42">
        <v>1917.8650766666667</v>
      </c>
      <c r="BK42">
        <v>0</v>
      </c>
      <c r="BL42">
        <v>0</v>
      </c>
      <c r="BM42">
        <v>59.210000000000008</v>
      </c>
      <c r="BN42">
        <v>0</v>
      </c>
      <c r="BO42">
        <v>0</v>
      </c>
      <c r="BP42">
        <v>682.71835888888893</v>
      </c>
      <c r="BQ42">
        <v>682.71835888888893</v>
      </c>
      <c r="BR42">
        <v>41.19580306666667</v>
      </c>
      <c r="BS42">
        <v>51.203876916666673</v>
      </c>
      <c r="BT42">
        <v>76.805815375000009</v>
      </c>
      <c r="BU42">
        <v>128.00969229166668</v>
      </c>
      <c r="BV42">
        <v>230.417446125</v>
      </c>
      <c r="BW42">
        <v>527.63263377500004</v>
      </c>
      <c r="BX42">
        <v>20619.198493691667</v>
      </c>
      <c r="BY42">
        <v>1799.9840000000002</v>
      </c>
      <c r="BZ42">
        <v>18819.214493691667</v>
      </c>
      <c r="CA42">
        <v>24299.784</v>
      </c>
      <c r="CB42">
        <v>728.99351999999999</v>
      </c>
      <c r="CC42">
        <v>682.71835888888893</v>
      </c>
      <c r="CD42">
        <v>692.41679999999997</v>
      </c>
      <c r="CE42">
        <v>113.28845843333335</v>
      </c>
      <c r="CF42">
        <v>143.37085536666666</v>
      </c>
      <c r="CG42">
        <v>215.05628305000002</v>
      </c>
      <c r="CH42">
        <v>340.31530307370338</v>
      </c>
      <c r="CI42">
        <v>358.42713841666671</v>
      </c>
      <c r="CJ42">
        <v>204.81550766666669</v>
      </c>
      <c r="CK42">
        <v>409.63101533333338</v>
      </c>
      <c r="CL42">
        <v>645.16884915000003</v>
      </c>
      <c r="CM42">
        <v>3122.4902104903699</v>
      </c>
      <c r="CN42">
        <v>1024.0775383333335</v>
      </c>
      <c r="CO42">
        <v>4875.5612688237034</v>
      </c>
      <c r="CQ42">
        <v>739.71945205479449</v>
      </c>
      <c r="CR42">
        <v>172.60120547945206</v>
      </c>
      <c r="CS42">
        <v>756.36313972602727</v>
      </c>
      <c r="CT42">
        <v>30885.695732750646</v>
      </c>
      <c r="CY42">
        <v>0</v>
      </c>
      <c r="DB42">
        <v>21599.808000000001</v>
      </c>
      <c r="DE42" s="61">
        <v>30885.695732750646</v>
      </c>
    </row>
    <row r="43" spans="1:109" hidden="1" x14ac:dyDescent="0.3">
      <c r="A43">
        <v>1175</v>
      </c>
      <c r="B43" t="s">
        <v>694</v>
      </c>
      <c r="C43" t="s">
        <v>603</v>
      </c>
      <c r="D43" t="s">
        <v>604</v>
      </c>
      <c r="E43" t="s">
        <v>695</v>
      </c>
      <c r="F43" t="s">
        <v>689</v>
      </c>
      <c r="G43" t="s">
        <v>607</v>
      </c>
      <c r="H43" t="s">
        <v>622</v>
      </c>
      <c r="I43" t="s">
        <v>623</v>
      </c>
      <c r="J43" s="3">
        <v>43831</v>
      </c>
      <c r="K43">
        <v>5.087671232876712</v>
      </c>
      <c r="L43">
        <v>5</v>
      </c>
      <c r="M43" t="s">
        <v>654</v>
      </c>
      <c r="N43" t="s">
        <v>654</v>
      </c>
      <c r="O43">
        <v>1.0562</v>
      </c>
      <c r="P43">
        <v>3439.4559999999997</v>
      </c>
      <c r="Q43">
        <v>3439.4559999999997</v>
      </c>
      <c r="R43">
        <v>525.19000000000005</v>
      </c>
      <c r="S43">
        <v>554.70567800000003</v>
      </c>
      <c r="T43">
        <v>180.71</v>
      </c>
      <c r="U43">
        <v>735.41567800000007</v>
      </c>
      <c r="V43">
        <v>30.4</v>
      </c>
      <c r="W43">
        <v>15965.776000000002</v>
      </c>
      <c r="AE43">
        <v>41.666666666666664</v>
      </c>
      <c r="AF43">
        <v>1596.5776000000001</v>
      </c>
      <c r="AG43">
        <v>1596.5776000000001</v>
      </c>
      <c r="AH43">
        <v>798.28880000000015</v>
      </c>
      <c r="AI43">
        <v>1596.5776000000003</v>
      </c>
      <c r="AJ43">
        <v>0</v>
      </c>
      <c r="AK43">
        <v>0</v>
      </c>
      <c r="AL43">
        <v>3193.1552000000001</v>
      </c>
      <c r="AM43">
        <v>21553.797600000002</v>
      </c>
      <c r="AN43">
        <v>21595.464266666666</v>
      </c>
      <c r="AO43">
        <v>21553.797600000002</v>
      </c>
      <c r="AQ43">
        <v>15965.776000000002</v>
      </c>
      <c r="AR43">
        <v>24076.191999999999</v>
      </c>
      <c r="AS43">
        <v>19158.931200000003</v>
      </c>
      <c r="AT43">
        <v>0</v>
      </c>
      <c r="AU43">
        <v>4917.2607999999964</v>
      </c>
      <c r="AV43">
        <v>3193.1552000000001</v>
      </c>
      <c r="AW43">
        <v>0</v>
      </c>
      <c r="AX43">
        <v>19200.597866666667</v>
      </c>
      <c r="AY43">
        <v>15487.72</v>
      </c>
      <c r="AZ43">
        <v>3712.8778666666676</v>
      </c>
      <c r="BA43">
        <v>0.21359999999999998</v>
      </c>
      <c r="BB43">
        <v>793.0707123200001</v>
      </c>
      <c r="BC43">
        <v>1640.18</v>
      </c>
      <c r="BD43">
        <v>2433.2507123200003</v>
      </c>
      <c r="BE43">
        <v>0</v>
      </c>
      <c r="BF43">
        <v>2433.2507123200003</v>
      </c>
      <c r="BG43">
        <v>1.3888888888888888</v>
      </c>
      <c r="BH43">
        <v>220.79520000000025</v>
      </c>
      <c r="BI43">
        <v>736.80456688888898</v>
      </c>
      <c r="BJ43">
        <v>2210.4137006666674</v>
      </c>
      <c r="BK43">
        <v>0</v>
      </c>
      <c r="BL43">
        <v>0</v>
      </c>
      <c r="BM43">
        <v>52.519000000000013</v>
      </c>
      <c r="BN43">
        <v>0</v>
      </c>
      <c r="BO43">
        <v>0</v>
      </c>
      <c r="BP43">
        <v>608.61356688888895</v>
      </c>
      <c r="BQ43">
        <v>608.61356688888895</v>
      </c>
      <c r="BR43">
        <v>32.303228026666673</v>
      </c>
      <c r="BS43">
        <v>45.646017516666674</v>
      </c>
      <c r="BT43">
        <v>68.469026275000004</v>
      </c>
      <c r="BU43">
        <v>114.11504379166668</v>
      </c>
      <c r="BV43">
        <v>205.40707882500001</v>
      </c>
      <c r="BW43">
        <v>465.94039443500003</v>
      </c>
      <c r="BX43">
        <v>18696.273159911663</v>
      </c>
      <c r="BY43">
        <v>1596.5776000000003</v>
      </c>
      <c r="BZ43">
        <v>17099.695559911663</v>
      </c>
      <c r="CA43">
        <v>21553.797600000002</v>
      </c>
      <c r="CB43">
        <v>646.61392799999999</v>
      </c>
      <c r="CC43">
        <v>608.61356688888895</v>
      </c>
      <c r="CD43">
        <v>692.41679999999997</v>
      </c>
      <c r="CE43">
        <v>88.833877073333355</v>
      </c>
      <c r="CF43">
        <v>127.80884904666667</v>
      </c>
      <c r="CG43">
        <v>191.71327357000004</v>
      </c>
      <c r="CH43">
        <v>303.37621330067134</v>
      </c>
      <c r="CI43">
        <v>319.52212261666671</v>
      </c>
      <c r="CJ43">
        <v>182.5840700666667</v>
      </c>
      <c r="CK43">
        <v>365.1681401333334</v>
      </c>
      <c r="CL43">
        <v>575.13982071000009</v>
      </c>
      <c r="CM43">
        <v>2846.5631665173387</v>
      </c>
      <c r="CN43">
        <v>912.92035033333343</v>
      </c>
      <c r="CO43">
        <v>4406.0974448506722</v>
      </c>
      <c r="CQ43">
        <v>656.1277808219179</v>
      </c>
      <c r="CR43">
        <v>240.58018630136991</v>
      </c>
      <c r="CS43">
        <v>673.5151670136986</v>
      </c>
      <c r="CT43">
        <v>27571.784845654322</v>
      </c>
      <c r="CY43">
        <v>1737.14</v>
      </c>
      <c r="DB43">
        <v>19158.931200000003</v>
      </c>
      <c r="DC43">
        <v>225.395625</v>
      </c>
      <c r="DE43" s="61">
        <v>29534.320470654322</v>
      </c>
    </row>
    <row r="44" spans="1:109" hidden="1" x14ac:dyDescent="0.3">
      <c r="A44">
        <v>1024</v>
      </c>
      <c r="B44" t="s">
        <v>602</v>
      </c>
      <c r="C44" t="s">
        <v>603</v>
      </c>
      <c r="D44" t="s">
        <v>604</v>
      </c>
      <c r="E44" t="s">
        <v>645</v>
      </c>
      <c r="F44" t="s">
        <v>646</v>
      </c>
      <c r="G44" t="s">
        <v>621</v>
      </c>
      <c r="H44" t="s">
        <v>622</v>
      </c>
      <c r="I44" t="s">
        <v>623</v>
      </c>
      <c r="J44" s="3">
        <v>43115</v>
      </c>
      <c r="K44">
        <v>7.0493150684931507</v>
      </c>
      <c r="L44">
        <v>7</v>
      </c>
      <c r="M44" t="s">
        <v>636</v>
      </c>
      <c r="N44" t="s">
        <v>636</v>
      </c>
      <c r="O44">
        <v>1.0562</v>
      </c>
      <c r="P44">
        <v>3439.4559999999997</v>
      </c>
      <c r="Q44">
        <v>3439.4559999999997</v>
      </c>
      <c r="R44">
        <v>544.32000000000005</v>
      </c>
      <c r="S44">
        <v>574.91078400000004</v>
      </c>
      <c r="T44">
        <v>11</v>
      </c>
      <c r="U44">
        <v>585.91078400000004</v>
      </c>
      <c r="V44">
        <v>30.4</v>
      </c>
      <c r="W44">
        <v>16547.328000000001</v>
      </c>
      <c r="AE44">
        <v>41.666666666666664</v>
      </c>
      <c r="AF44">
        <v>1654.7328000000002</v>
      </c>
      <c r="AG44">
        <v>1654.7328000000002</v>
      </c>
      <c r="AH44">
        <v>827.36640000000011</v>
      </c>
      <c r="AI44">
        <v>1654.7328000000002</v>
      </c>
      <c r="AJ44">
        <v>0</v>
      </c>
      <c r="AK44">
        <v>0</v>
      </c>
      <c r="AL44">
        <v>3309.4656000000004</v>
      </c>
      <c r="AM44">
        <v>22338.892800000001</v>
      </c>
      <c r="AN44">
        <v>22380.559466666673</v>
      </c>
      <c r="AO44">
        <v>22338.892800000001</v>
      </c>
      <c r="AQ44">
        <v>16547.328000000001</v>
      </c>
      <c r="AR44">
        <v>24076.191999999999</v>
      </c>
      <c r="AS44">
        <v>19856.793600000001</v>
      </c>
      <c r="AT44">
        <v>0</v>
      </c>
      <c r="AU44">
        <v>4219.3983999999982</v>
      </c>
      <c r="AV44">
        <v>3309.4656000000004</v>
      </c>
      <c r="AW44">
        <v>0</v>
      </c>
      <c r="AX44">
        <v>19898.460266666672</v>
      </c>
      <c r="AY44">
        <v>15487.72</v>
      </c>
      <c r="AZ44">
        <v>4410.7402666666731</v>
      </c>
      <c r="BA44">
        <v>0.21359999999999998</v>
      </c>
      <c r="BB44">
        <v>942.13412096000127</v>
      </c>
      <c r="BC44">
        <v>1640.18</v>
      </c>
      <c r="BD44">
        <v>2582.3141209600012</v>
      </c>
      <c r="BE44">
        <v>0</v>
      </c>
      <c r="BF44">
        <v>2582.3141209600012</v>
      </c>
      <c r="BG44">
        <v>1.3888888888888888</v>
      </c>
      <c r="BH44">
        <v>278.95040000000017</v>
      </c>
      <c r="BI44">
        <v>587.29967288888895</v>
      </c>
      <c r="BJ44">
        <v>1761.899018666667</v>
      </c>
      <c r="BK44">
        <v>0</v>
      </c>
      <c r="BL44">
        <v>0</v>
      </c>
      <c r="BM44">
        <v>54.432000000000009</v>
      </c>
      <c r="BN44">
        <v>0</v>
      </c>
      <c r="BO44">
        <v>0</v>
      </c>
      <c r="BP44">
        <v>630.73167288888897</v>
      </c>
      <c r="BQ44">
        <v>630.73167288888897</v>
      </c>
      <c r="BR44">
        <v>34.957400746666671</v>
      </c>
      <c r="BS44">
        <v>47.304875466666672</v>
      </c>
      <c r="BT44">
        <v>70.957313200000002</v>
      </c>
      <c r="BU44">
        <v>118.26218866666667</v>
      </c>
      <c r="BV44">
        <v>212.87193960000002</v>
      </c>
      <c r="BW44">
        <v>484.35371768000005</v>
      </c>
      <c r="BX44">
        <v>19313.891628026671</v>
      </c>
      <c r="BY44">
        <v>1654.7328000000002</v>
      </c>
      <c r="BZ44">
        <v>17659.15882802667</v>
      </c>
      <c r="CA44">
        <v>22338.892800000005</v>
      </c>
      <c r="CB44">
        <v>670.16678400000012</v>
      </c>
      <c r="CC44">
        <v>630.73167288888897</v>
      </c>
      <c r="CD44">
        <v>692.41679999999997</v>
      </c>
      <c r="CE44">
        <v>96.132852053333352</v>
      </c>
      <c r="CF44">
        <v>132.45365130666667</v>
      </c>
      <c r="CG44">
        <v>198.68047696000005</v>
      </c>
      <c r="CH44">
        <v>314.40144771659737</v>
      </c>
      <c r="CI44">
        <v>331.13412826666672</v>
      </c>
      <c r="CJ44">
        <v>189.21950186666669</v>
      </c>
      <c r="CK44">
        <v>378.43900373333338</v>
      </c>
      <c r="CL44">
        <v>596.04143088000001</v>
      </c>
      <c r="CM44">
        <v>2928.9192927832642</v>
      </c>
      <c r="CN44">
        <v>946.09750933333339</v>
      </c>
      <c r="CO44">
        <v>4545.1835861165973</v>
      </c>
      <c r="CQ44">
        <v>680.02717808219188</v>
      </c>
      <c r="CR44">
        <v>249.34329863013701</v>
      </c>
      <c r="CS44">
        <v>698.04789830136997</v>
      </c>
      <c r="CT44">
        <v>28553.161427796971</v>
      </c>
      <c r="CY44">
        <v>0</v>
      </c>
      <c r="DB44">
        <v>19856.793600000005</v>
      </c>
      <c r="DC44">
        <v>238.14</v>
      </c>
      <c r="DE44" s="61">
        <v>28791.301427796971</v>
      </c>
    </row>
    <row r="45" spans="1:109" hidden="1" x14ac:dyDescent="0.3">
      <c r="A45">
        <v>1229</v>
      </c>
      <c r="B45" t="s">
        <v>602</v>
      </c>
      <c r="C45" t="s">
        <v>603</v>
      </c>
      <c r="D45" t="s">
        <v>604</v>
      </c>
      <c r="E45" t="s">
        <v>701</v>
      </c>
      <c r="F45" t="s">
        <v>702</v>
      </c>
      <c r="G45" t="s">
        <v>607</v>
      </c>
      <c r="H45" t="s">
        <v>622</v>
      </c>
      <c r="I45" t="s">
        <v>623</v>
      </c>
      <c r="J45" s="3">
        <v>44249</v>
      </c>
      <c r="K45">
        <v>3.9424657534246577</v>
      </c>
      <c r="L45">
        <v>3</v>
      </c>
      <c r="M45" t="s">
        <v>698</v>
      </c>
      <c r="N45" t="s">
        <v>698</v>
      </c>
      <c r="O45">
        <v>1.0533999999999999</v>
      </c>
      <c r="P45">
        <v>3439.4559999999997</v>
      </c>
      <c r="Q45">
        <v>3439.4559999999997</v>
      </c>
      <c r="R45">
        <v>515</v>
      </c>
      <c r="S45">
        <v>542.50099999999998</v>
      </c>
      <c r="T45">
        <v>8.07</v>
      </c>
      <c r="U45">
        <v>550.57100000000003</v>
      </c>
      <c r="V45">
        <v>30.4</v>
      </c>
      <c r="W45">
        <v>15656</v>
      </c>
      <c r="AE45">
        <v>41.666666666666664</v>
      </c>
      <c r="AF45">
        <v>1565.6</v>
      </c>
      <c r="AG45">
        <v>1565.6</v>
      </c>
      <c r="AH45">
        <v>782.80000000000007</v>
      </c>
      <c r="AI45">
        <v>1565.6000000000001</v>
      </c>
      <c r="AJ45">
        <v>0</v>
      </c>
      <c r="AK45">
        <v>0</v>
      </c>
      <c r="AL45">
        <v>3131.2</v>
      </c>
      <c r="AM45">
        <v>21135.599999999999</v>
      </c>
      <c r="AN45">
        <v>21177.266666666663</v>
      </c>
      <c r="AO45">
        <v>21135.599999999999</v>
      </c>
      <c r="AQ45">
        <v>15656</v>
      </c>
      <c r="AR45">
        <v>24076.191999999999</v>
      </c>
      <c r="AS45">
        <v>18787.2</v>
      </c>
      <c r="AT45">
        <v>0</v>
      </c>
      <c r="AU45">
        <v>5288.9919999999984</v>
      </c>
      <c r="AV45">
        <v>3131.2</v>
      </c>
      <c r="AW45">
        <v>0</v>
      </c>
      <c r="AX45">
        <v>18828.866666666665</v>
      </c>
      <c r="AY45">
        <v>15487.72</v>
      </c>
      <c r="AZ45">
        <v>3341.1466666666656</v>
      </c>
      <c r="BA45">
        <v>0.21359999999999998</v>
      </c>
      <c r="BB45">
        <v>713.66892799999971</v>
      </c>
      <c r="BC45">
        <v>1640.18</v>
      </c>
      <c r="BD45">
        <v>2353.8489279999999</v>
      </c>
      <c r="BE45">
        <v>0</v>
      </c>
      <c r="BF45">
        <v>2353.8489279999999</v>
      </c>
      <c r="BG45">
        <v>1.3888888888888888</v>
      </c>
      <c r="BH45">
        <v>189.81760000000008</v>
      </c>
      <c r="BI45">
        <v>551.95988888888894</v>
      </c>
      <c r="BJ45">
        <v>1655.8796666666669</v>
      </c>
      <c r="BK45">
        <v>0</v>
      </c>
      <c r="BL45">
        <v>0</v>
      </c>
      <c r="BM45">
        <v>51.500000000000007</v>
      </c>
      <c r="BN45">
        <v>0</v>
      </c>
      <c r="BO45">
        <v>0</v>
      </c>
      <c r="BP45">
        <v>595.38988888888889</v>
      </c>
      <c r="BQ45">
        <v>595.38988888888889</v>
      </c>
      <c r="BR45">
        <v>30.716386666666665</v>
      </c>
      <c r="BS45">
        <v>44.654241666666671</v>
      </c>
      <c r="BT45">
        <v>66.981362500000003</v>
      </c>
      <c r="BU45">
        <v>111.63560416666668</v>
      </c>
      <c r="BV45">
        <v>200.94408749999999</v>
      </c>
      <c r="BW45">
        <v>454.93168249999997</v>
      </c>
      <c r="BX45">
        <v>18368.486056166665</v>
      </c>
      <c r="BY45">
        <v>1565.6000000000001</v>
      </c>
      <c r="BZ45">
        <v>16802.886056166666</v>
      </c>
      <c r="CA45">
        <v>21135.599999999995</v>
      </c>
      <c r="CB45">
        <v>634.06799999999987</v>
      </c>
      <c r="CC45">
        <v>595.38988888888889</v>
      </c>
      <c r="CD45">
        <v>692.41679999999997</v>
      </c>
      <c r="CE45">
        <v>84.470063333333314</v>
      </c>
      <c r="CF45">
        <v>125.03187666666668</v>
      </c>
      <c r="CG45">
        <v>187.54781500000001</v>
      </c>
      <c r="CH45">
        <v>296.78459330433333</v>
      </c>
      <c r="CI45">
        <v>312.57969166666669</v>
      </c>
      <c r="CJ45">
        <v>178.61696666666668</v>
      </c>
      <c r="CK45">
        <v>357.23393333333337</v>
      </c>
      <c r="CL45">
        <v>562.64344500000004</v>
      </c>
      <c r="CM45">
        <v>2797.325184971</v>
      </c>
      <c r="CN45">
        <v>893.08483333333345</v>
      </c>
      <c r="CO45">
        <v>4324.4780183043331</v>
      </c>
      <c r="CQ45">
        <v>643.39726027397262</v>
      </c>
      <c r="CR45">
        <v>193.01917808219176</v>
      </c>
      <c r="CS45">
        <v>659.16049315068494</v>
      </c>
      <c r="CT45">
        <v>26997.321616477846</v>
      </c>
      <c r="CY45">
        <v>0</v>
      </c>
      <c r="DB45">
        <v>18787.199999999997</v>
      </c>
      <c r="DE45" s="61">
        <v>26997.321616477846</v>
      </c>
    </row>
    <row r="46" spans="1:109" hidden="1" x14ac:dyDescent="0.3">
      <c r="A46">
        <v>1473</v>
      </c>
      <c r="B46" t="s">
        <v>602</v>
      </c>
      <c r="C46" t="s">
        <v>603</v>
      </c>
      <c r="D46" t="s">
        <v>604</v>
      </c>
      <c r="E46" t="s">
        <v>743</v>
      </c>
      <c r="F46" t="s">
        <v>729</v>
      </c>
      <c r="G46" t="s">
        <v>626</v>
      </c>
      <c r="H46" t="s">
        <v>622</v>
      </c>
      <c r="I46" t="s">
        <v>623</v>
      </c>
      <c r="J46" s="3">
        <v>44628</v>
      </c>
      <c r="K46">
        <v>2.904109589041096</v>
      </c>
      <c r="L46">
        <v>2</v>
      </c>
      <c r="M46" t="s">
        <v>735</v>
      </c>
      <c r="N46" t="s">
        <v>735</v>
      </c>
      <c r="O46">
        <v>1.0521</v>
      </c>
      <c r="P46">
        <v>3439.4559999999997</v>
      </c>
      <c r="Q46">
        <v>3439.4559999999997</v>
      </c>
      <c r="R46">
        <v>513.41999999999996</v>
      </c>
      <c r="S46">
        <v>540.16918199999998</v>
      </c>
      <c r="T46">
        <v>18.010000000000002</v>
      </c>
      <c r="U46">
        <v>558.17918199999997</v>
      </c>
      <c r="V46">
        <v>30.4</v>
      </c>
      <c r="W46">
        <v>15607.967999999997</v>
      </c>
      <c r="AE46">
        <v>41.666666666666664</v>
      </c>
      <c r="AF46">
        <v>1560.7967999999998</v>
      </c>
      <c r="AG46">
        <v>1560.7967999999998</v>
      </c>
      <c r="AH46">
        <v>780.39839999999992</v>
      </c>
      <c r="AI46">
        <v>1560.7967999999998</v>
      </c>
      <c r="AJ46">
        <v>0</v>
      </c>
      <c r="AK46">
        <v>0</v>
      </c>
      <c r="AL46">
        <v>3121.5935999999997</v>
      </c>
      <c r="AM46">
        <v>21070.756799999996</v>
      </c>
      <c r="AN46">
        <v>21112.42346666666</v>
      </c>
      <c r="AO46">
        <v>21070.756799999996</v>
      </c>
      <c r="AQ46">
        <v>15607.967999999997</v>
      </c>
      <c r="AR46">
        <v>24076.191999999999</v>
      </c>
      <c r="AS46">
        <v>18729.561599999997</v>
      </c>
      <c r="AT46">
        <v>0</v>
      </c>
      <c r="AU46">
        <v>5346.6304000000018</v>
      </c>
      <c r="AV46">
        <v>3121.5935999999997</v>
      </c>
      <c r="AW46">
        <v>0</v>
      </c>
      <c r="AX46">
        <v>18771.228266666662</v>
      </c>
      <c r="AY46">
        <v>15487.72</v>
      </c>
      <c r="AZ46">
        <v>3283.5082666666622</v>
      </c>
      <c r="BA46">
        <v>0.21359999999999998</v>
      </c>
      <c r="BB46">
        <v>701.35736575999897</v>
      </c>
      <c r="BC46">
        <v>1640.18</v>
      </c>
      <c r="BD46">
        <v>2341.5373657599989</v>
      </c>
      <c r="BE46">
        <v>0</v>
      </c>
      <c r="BF46">
        <v>2341.5373657599989</v>
      </c>
      <c r="BG46">
        <v>1.3888888888888888</v>
      </c>
      <c r="BH46">
        <v>185.0143999999998</v>
      </c>
      <c r="BI46">
        <v>559.56807088888888</v>
      </c>
      <c r="BJ46">
        <v>1678.7042126666668</v>
      </c>
      <c r="BK46">
        <v>0</v>
      </c>
      <c r="BL46">
        <v>0</v>
      </c>
      <c r="BM46">
        <v>51.341999999999999</v>
      </c>
      <c r="BN46">
        <v>0</v>
      </c>
      <c r="BO46">
        <v>0</v>
      </c>
      <c r="BP46">
        <v>592.90007088888888</v>
      </c>
      <c r="BQ46">
        <v>592.90007088888888</v>
      </c>
      <c r="BR46">
        <v>30.417608506666664</v>
      </c>
      <c r="BS46">
        <v>44.467505316666667</v>
      </c>
      <c r="BT46">
        <v>66.70125797499999</v>
      </c>
      <c r="BU46">
        <v>111.16876329166668</v>
      </c>
      <c r="BV46">
        <v>200.10377392499998</v>
      </c>
      <c r="BW46">
        <v>452.85890901499999</v>
      </c>
      <c r="BX46">
        <v>18318.027191891659</v>
      </c>
      <c r="BY46">
        <v>1560.7967999999998</v>
      </c>
      <c r="BZ46">
        <v>16757.230391891659</v>
      </c>
      <c r="CA46">
        <v>21070.756799999996</v>
      </c>
      <c r="CB46">
        <v>632.12270399999989</v>
      </c>
      <c r="CC46">
        <v>592.90007088888888</v>
      </c>
      <c r="CD46">
        <v>692.41679999999997</v>
      </c>
      <c r="CE46">
        <v>83.648423393333317</v>
      </c>
      <c r="CF46">
        <v>124.50901488666666</v>
      </c>
      <c r="CG46">
        <v>186.76352233000003</v>
      </c>
      <c r="CH46">
        <v>295.54349123605533</v>
      </c>
      <c r="CI46">
        <v>311.27253721666671</v>
      </c>
      <c r="CJ46">
        <v>177.87002126666667</v>
      </c>
      <c r="CK46">
        <v>355.74004253333334</v>
      </c>
      <c r="CL46">
        <v>560.29056699</v>
      </c>
      <c r="CM46">
        <v>2788.0544198527223</v>
      </c>
      <c r="CN46">
        <v>889.35010633333343</v>
      </c>
      <c r="CO46">
        <v>4309.5272301860559</v>
      </c>
      <c r="CQ46">
        <v>641.42334246575331</v>
      </c>
      <c r="CR46">
        <v>171.04622465753422</v>
      </c>
      <c r="CS46">
        <v>656.4967910136985</v>
      </c>
      <c r="CT46">
        <v>26890.917054989703</v>
      </c>
      <c r="CY46">
        <v>0</v>
      </c>
      <c r="DB46">
        <v>18729.561599999997</v>
      </c>
      <c r="DE46" s="61">
        <v>26890.917054989703</v>
      </c>
    </row>
    <row r="47" spans="1:109" x14ac:dyDescent="0.3">
      <c r="A47">
        <v>1012</v>
      </c>
      <c r="B47" t="s">
        <v>602</v>
      </c>
      <c r="C47" t="s">
        <v>603</v>
      </c>
      <c r="D47" t="s">
        <v>604</v>
      </c>
      <c r="E47" t="s">
        <v>628</v>
      </c>
      <c r="F47" t="s">
        <v>629</v>
      </c>
      <c r="G47" t="s">
        <v>630</v>
      </c>
      <c r="H47" t="s">
        <v>622</v>
      </c>
      <c r="I47" t="s">
        <v>623</v>
      </c>
      <c r="J47" s="3">
        <v>42606</v>
      </c>
      <c r="K47">
        <v>8.4438356164383563</v>
      </c>
      <c r="L47">
        <v>8</v>
      </c>
      <c r="M47" t="s">
        <v>631</v>
      </c>
      <c r="N47" t="s">
        <v>631</v>
      </c>
      <c r="O47">
        <v>1.0562</v>
      </c>
      <c r="P47">
        <v>3439.4559999999997</v>
      </c>
      <c r="Q47">
        <v>3439.4559999999997</v>
      </c>
      <c r="R47">
        <v>328.95</v>
      </c>
      <c r="S47">
        <v>347.43698999999998</v>
      </c>
      <c r="T47">
        <v>230.24</v>
      </c>
      <c r="U47">
        <v>577.67698999999993</v>
      </c>
      <c r="V47">
        <v>30.4</v>
      </c>
      <c r="W47">
        <v>10000.08</v>
      </c>
      <c r="X47">
        <v>1719.7714285714285</v>
      </c>
      <c r="AD47">
        <v>5100</v>
      </c>
      <c r="AE47">
        <v>41.666666666666664</v>
      </c>
      <c r="AF47">
        <v>1000.008</v>
      </c>
      <c r="AG47">
        <v>1000.008</v>
      </c>
      <c r="AH47">
        <v>500.00400000000002</v>
      </c>
      <c r="AI47">
        <v>1000.008</v>
      </c>
      <c r="AJ47">
        <v>0</v>
      </c>
      <c r="AK47">
        <v>0</v>
      </c>
      <c r="AL47">
        <v>2000.0160000000001</v>
      </c>
      <c r="AM47">
        <v>13500.108</v>
      </c>
      <c r="AN47">
        <v>20361.5460952381</v>
      </c>
      <c r="AO47">
        <v>20319.879428571428</v>
      </c>
      <c r="AQ47">
        <v>15100.08</v>
      </c>
      <c r="AR47">
        <v>24076.191999999999</v>
      </c>
      <c r="AS47">
        <v>12000.096</v>
      </c>
      <c r="AT47">
        <v>0</v>
      </c>
      <c r="AU47">
        <v>12076.096</v>
      </c>
      <c r="AV47">
        <v>2000.0160000000001</v>
      </c>
      <c r="AW47">
        <v>0</v>
      </c>
      <c r="AX47">
        <v>18861.534095238098</v>
      </c>
      <c r="AY47">
        <v>15487.72</v>
      </c>
      <c r="AZ47">
        <v>3373.8140952380982</v>
      </c>
      <c r="BA47">
        <v>0.21359999999999998</v>
      </c>
      <c r="BB47">
        <v>720.64669074285769</v>
      </c>
      <c r="BC47">
        <v>1640.18</v>
      </c>
      <c r="BD47">
        <v>2360.8266907428579</v>
      </c>
      <c r="BE47">
        <v>0</v>
      </c>
      <c r="BF47">
        <v>2360.8266907428579</v>
      </c>
      <c r="BG47">
        <v>228.71460317460318</v>
      </c>
      <c r="BH47">
        <v>0</v>
      </c>
      <c r="BI47">
        <v>806.39159317460314</v>
      </c>
      <c r="BJ47">
        <v>2419.1747795238093</v>
      </c>
      <c r="BK47">
        <v>0</v>
      </c>
      <c r="BL47">
        <v>0</v>
      </c>
      <c r="BM47">
        <v>32.895000000000003</v>
      </c>
      <c r="BN47">
        <v>0</v>
      </c>
      <c r="BO47">
        <v>0</v>
      </c>
      <c r="BP47">
        <v>609.04659317460312</v>
      </c>
      <c r="BQ47">
        <v>609.04659317460312</v>
      </c>
      <c r="BR47">
        <v>32.355191180952367</v>
      </c>
      <c r="BS47">
        <v>45.678494488095239</v>
      </c>
      <c r="BT47">
        <v>68.517741732142852</v>
      </c>
      <c r="BU47">
        <v>114.19623622023809</v>
      </c>
      <c r="BV47">
        <v>205.55322519642854</v>
      </c>
      <c r="BW47">
        <v>466.30088881785707</v>
      </c>
      <c r="BX47">
        <v>17534.418515677386</v>
      </c>
      <c r="BY47">
        <v>1000.008</v>
      </c>
      <c r="BZ47">
        <v>16534.410515677384</v>
      </c>
      <c r="CA47">
        <v>22039.650857142864</v>
      </c>
      <c r="CB47">
        <v>661.18952571428588</v>
      </c>
      <c r="CC47">
        <v>609.04659317460312</v>
      </c>
      <c r="CD47">
        <v>692.41679999999997</v>
      </c>
      <c r="CE47">
        <v>88.976775747619016</v>
      </c>
      <c r="CF47">
        <v>127.89978456666665</v>
      </c>
      <c r="CG47">
        <v>191.84967685000001</v>
      </c>
      <c r="CH47">
        <v>303.59206434633762</v>
      </c>
      <c r="CI47">
        <v>319.74946141666663</v>
      </c>
      <c r="CJ47">
        <v>182.71397795238096</v>
      </c>
      <c r="CK47">
        <v>365.42795590476192</v>
      </c>
      <c r="CL47">
        <v>575.54903054999988</v>
      </c>
      <c r="CM47">
        <v>2848.1755273344324</v>
      </c>
      <c r="CN47">
        <v>913.56988976190473</v>
      </c>
      <c r="CO47">
        <v>4422.9349428106234</v>
      </c>
      <c r="CQ47">
        <v>822.38</v>
      </c>
      <c r="CR47">
        <v>150.68613698630136</v>
      </c>
      <c r="CS47">
        <v>434.19522410958899</v>
      </c>
      <c r="CT47">
        <v>26191.742399144616</v>
      </c>
      <c r="CY47">
        <v>0</v>
      </c>
      <c r="DB47">
        <v>12000.096</v>
      </c>
      <c r="DC47">
        <v>287.83125000000001</v>
      </c>
      <c r="DE47" s="61">
        <v>26479.573649144615</v>
      </c>
    </row>
    <row r="48" spans="1:109" x14ac:dyDescent="0.3">
      <c r="A48">
        <v>1013</v>
      </c>
      <c r="B48" t="s">
        <v>602</v>
      </c>
      <c r="C48" t="s">
        <v>603</v>
      </c>
      <c r="D48" t="s">
        <v>604</v>
      </c>
      <c r="E48" t="s">
        <v>632</v>
      </c>
      <c r="F48" t="s">
        <v>629</v>
      </c>
      <c r="G48" t="s">
        <v>630</v>
      </c>
      <c r="H48" t="s">
        <v>622</v>
      </c>
      <c r="I48" t="s">
        <v>623</v>
      </c>
      <c r="J48" s="3">
        <v>42639</v>
      </c>
      <c r="K48">
        <v>8.3534246575342461</v>
      </c>
      <c r="L48">
        <v>8</v>
      </c>
      <c r="M48" t="s">
        <v>631</v>
      </c>
      <c r="N48" t="s">
        <v>631</v>
      </c>
      <c r="O48">
        <v>1.0562</v>
      </c>
      <c r="P48">
        <v>3439.4559999999997</v>
      </c>
      <c r="Q48">
        <v>3439.4559999999997</v>
      </c>
      <c r="R48">
        <v>328.95</v>
      </c>
      <c r="S48">
        <v>347.43698999999998</v>
      </c>
      <c r="T48">
        <v>242.52</v>
      </c>
      <c r="U48">
        <v>589.95699000000002</v>
      </c>
      <c r="V48">
        <v>30.4</v>
      </c>
      <c r="W48">
        <v>10000.08</v>
      </c>
      <c r="X48">
        <v>1463.5428571428572</v>
      </c>
      <c r="AD48">
        <v>5465</v>
      </c>
      <c r="AE48">
        <v>41.666666666666664</v>
      </c>
      <c r="AF48">
        <v>1000.008</v>
      </c>
      <c r="AG48">
        <v>1000.008</v>
      </c>
      <c r="AH48">
        <v>500.00400000000002</v>
      </c>
      <c r="AI48">
        <v>1000.008</v>
      </c>
      <c r="AJ48">
        <v>0</v>
      </c>
      <c r="AK48">
        <v>0</v>
      </c>
      <c r="AL48">
        <v>2000.0160000000001</v>
      </c>
      <c r="AM48">
        <v>13500.108</v>
      </c>
      <c r="AN48">
        <v>20470.317523809532</v>
      </c>
      <c r="AO48">
        <v>20428.650857142857</v>
      </c>
      <c r="AQ48">
        <v>15465.08</v>
      </c>
      <c r="AR48">
        <v>24076.191999999999</v>
      </c>
      <c r="AS48">
        <v>12000.096</v>
      </c>
      <c r="AT48">
        <v>0</v>
      </c>
      <c r="AU48">
        <v>12076.096</v>
      </c>
      <c r="AV48">
        <v>2000.0160000000001</v>
      </c>
      <c r="AW48">
        <v>0</v>
      </c>
      <c r="AX48">
        <v>18970.305523809529</v>
      </c>
      <c r="AY48">
        <v>15487.72</v>
      </c>
      <c r="AZ48">
        <v>3482.5855238095301</v>
      </c>
      <c r="BA48">
        <v>0.21359999999999998</v>
      </c>
      <c r="BB48">
        <v>743.88026788571551</v>
      </c>
      <c r="BC48">
        <v>1640.18</v>
      </c>
      <c r="BD48">
        <v>2384.0602678857158</v>
      </c>
      <c r="BE48">
        <v>0</v>
      </c>
      <c r="BF48">
        <v>2384.0602678857158</v>
      </c>
      <c r="BG48">
        <v>232.34031746031749</v>
      </c>
      <c r="BH48">
        <v>0</v>
      </c>
      <c r="BI48">
        <v>822.29730746031748</v>
      </c>
      <c r="BJ48">
        <v>2466.8919223809526</v>
      </c>
      <c r="BK48">
        <v>0</v>
      </c>
      <c r="BL48">
        <v>0</v>
      </c>
      <c r="BM48">
        <v>32.895000000000003</v>
      </c>
      <c r="BN48">
        <v>0</v>
      </c>
      <c r="BO48">
        <v>0</v>
      </c>
      <c r="BP48">
        <v>612.67230746031748</v>
      </c>
      <c r="BQ48">
        <v>612.67230746031748</v>
      </c>
      <c r="BR48">
        <v>32.790276895238094</v>
      </c>
      <c r="BS48">
        <v>45.950423059523814</v>
      </c>
      <c r="BT48">
        <v>68.925634589285721</v>
      </c>
      <c r="BU48">
        <v>114.87605764880954</v>
      </c>
      <c r="BV48">
        <v>206.77690376785714</v>
      </c>
      <c r="BW48">
        <v>469.31929596071427</v>
      </c>
      <c r="BX48">
        <v>17616.937959963103</v>
      </c>
      <c r="BY48">
        <v>1000.008</v>
      </c>
      <c r="BZ48">
        <v>16616.929959963101</v>
      </c>
      <c r="CA48">
        <v>21892.19371428572</v>
      </c>
      <c r="CB48">
        <v>656.76581142857162</v>
      </c>
      <c r="CC48">
        <v>612.67230746031748</v>
      </c>
      <c r="CD48">
        <v>692.41679999999997</v>
      </c>
      <c r="CE48">
        <v>90.173261461904758</v>
      </c>
      <c r="CF48">
        <v>128.66118456666669</v>
      </c>
      <c r="CG48">
        <v>192.99177685000001</v>
      </c>
      <c r="CH48">
        <v>305.39937777205193</v>
      </c>
      <c r="CI48">
        <v>321.6529614166667</v>
      </c>
      <c r="CJ48">
        <v>183.80169223809526</v>
      </c>
      <c r="CK48">
        <v>367.60338447619051</v>
      </c>
      <c r="CL48">
        <v>578.97533054999997</v>
      </c>
      <c r="CM48">
        <v>2861.6757693315753</v>
      </c>
      <c r="CN48">
        <v>919.00846119047628</v>
      </c>
      <c r="CO48">
        <v>4437.4500419506239</v>
      </c>
      <c r="CQ48">
        <v>410.96219178082191</v>
      </c>
      <c r="CR48">
        <v>150.68613698630136</v>
      </c>
      <c r="CS48">
        <v>421.85268986301372</v>
      </c>
      <c r="CT48">
        <v>25891.268584390295</v>
      </c>
      <c r="CY48">
        <v>0</v>
      </c>
      <c r="DB48">
        <v>12000.096</v>
      </c>
      <c r="DC48">
        <v>143.91562500000001</v>
      </c>
      <c r="DE48" s="61">
        <v>26035.184209390296</v>
      </c>
    </row>
    <row r="49" spans="1:109" hidden="1" x14ac:dyDescent="0.3">
      <c r="A49">
        <v>1023</v>
      </c>
      <c r="B49" t="s">
        <v>602</v>
      </c>
      <c r="C49" t="s">
        <v>603</v>
      </c>
      <c r="D49" t="s">
        <v>604</v>
      </c>
      <c r="E49" t="s">
        <v>643</v>
      </c>
      <c r="F49" t="s">
        <v>644</v>
      </c>
      <c r="G49" t="s">
        <v>626</v>
      </c>
      <c r="H49" t="s">
        <v>608</v>
      </c>
      <c r="I49" t="s">
        <v>609</v>
      </c>
      <c r="J49" s="3">
        <v>43108</v>
      </c>
      <c r="K49">
        <v>7.0684931506849313</v>
      </c>
      <c r="L49">
        <v>7</v>
      </c>
      <c r="M49" t="s">
        <v>636</v>
      </c>
      <c r="N49" t="s">
        <v>636</v>
      </c>
      <c r="O49">
        <v>1.0562</v>
      </c>
      <c r="P49">
        <v>3439.4559999999997</v>
      </c>
      <c r="Q49">
        <v>3439.4559999999997</v>
      </c>
      <c r="R49">
        <v>414</v>
      </c>
      <c r="S49">
        <v>437.26679999999999</v>
      </c>
      <c r="T49">
        <v>110.83</v>
      </c>
      <c r="U49">
        <v>548.09680000000003</v>
      </c>
      <c r="V49">
        <v>30.4</v>
      </c>
      <c r="W49">
        <v>12585.599999999999</v>
      </c>
      <c r="AD49">
        <v>3175.78</v>
      </c>
      <c r="AE49">
        <v>41.666666666666664</v>
      </c>
      <c r="AF49">
        <v>1258.5600000000002</v>
      </c>
      <c r="AG49">
        <v>1258.5600000000002</v>
      </c>
      <c r="AH49">
        <v>629.28</v>
      </c>
      <c r="AI49">
        <v>1258.56</v>
      </c>
      <c r="AJ49">
        <v>0</v>
      </c>
      <c r="AK49">
        <v>0</v>
      </c>
      <c r="AL49">
        <v>2517.1200000000003</v>
      </c>
      <c r="AM49">
        <v>16990.560000000001</v>
      </c>
      <c r="AN49">
        <v>20208.006666666668</v>
      </c>
      <c r="AO49">
        <v>20166.34</v>
      </c>
      <c r="AQ49">
        <v>15761.38</v>
      </c>
      <c r="AR49">
        <v>24076.191999999999</v>
      </c>
      <c r="AS49">
        <v>15102.72</v>
      </c>
      <c r="AT49">
        <v>0</v>
      </c>
      <c r="AU49">
        <v>8973.4719999999998</v>
      </c>
      <c r="AV49">
        <v>2517.1200000000003</v>
      </c>
      <c r="AW49">
        <v>0</v>
      </c>
      <c r="AX49">
        <v>18320.166666666668</v>
      </c>
      <c r="AY49">
        <v>15487.72</v>
      </c>
      <c r="AZ49">
        <v>2832.4466666666685</v>
      </c>
      <c r="BA49">
        <v>0.21359999999999998</v>
      </c>
      <c r="BB49">
        <v>605.01060800000039</v>
      </c>
      <c r="BC49">
        <v>1640.18</v>
      </c>
      <c r="BD49">
        <v>2245.1906080000003</v>
      </c>
      <c r="BE49">
        <v>0</v>
      </c>
      <c r="BF49">
        <v>2245.1906080000003</v>
      </c>
      <c r="BG49">
        <v>107.24822222222222</v>
      </c>
      <c r="BH49">
        <v>0</v>
      </c>
      <c r="BI49">
        <v>655.34502222222227</v>
      </c>
      <c r="BJ49">
        <v>1966.035066666667</v>
      </c>
      <c r="BK49">
        <v>0</v>
      </c>
      <c r="BL49">
        <v>0</v>
      </c>
      <c r="BM49">
        <v>41.4</v>
      </c>
      <c r="BN49">
        <v>0</v>
      </c>
      <c r="BO49">
        <v>0</v>
      </c>
      <c r="BP49">
        <v>585.91502222222221</v>
      </c>
      <c r="BQ49">
        <v>585.91502222222221</v>
      </c>
      <c r="BR49">
        <v>29.579402666666663</v>
      </c>
      <c r="BS49">
        <v>43.943626666666667</v>
      </c>
      <c r="BT49">
        <v>65.91543999999999</v>
      </c>
      <c r="BU49">
        <v>109.85906666666668</v>
      </c>
      <c r="BV49">
        <v>197.74632</v>
      </c>
      <c r="BW49">
        <v>447.04385600000001</v>
      </c>
      <c r="BX49">
        <v>17515.772202666667</v>
      </c>
      <c r="BY49">
        <v>1258.56</v>
      </c>
      <c r="BZ49">
        <v>16257.212202666668</v>
      </c>
      <c r="CA49">
        <v>20166.34</v>
      </c>
      <c r="CB49">
        <v>604.99019999999996</v>
      </c>
      <c r="CC49">
        <v>585.91502222222221</v>
      </c>
      <c r="CD49">
        <v>692.41679999999997</v>
      </c>
      <c r="CE49">
        <v>81.34335733333333</v>
      </c>
      <c r="CF49">
        <v>123.04215466666668</v>
      </c>
      <c r="CG49">
        <v>184.563232</v>
      </c>
      <c r="CH49">
        <v>292.06164704213336</v>
      </c>
      <c r="CI49">
        <v>307.60538666666673</v>
      </c>
      <c r="CJ49">
        <v>175.77450666666667</v>
      </c>
      <c r="CK49">
        <v>351.54901333333333</v>
      </c>
      <c r="CL49">
        <v>553.68969600000003</v>
      </c>
      <c r="CM49">
        <v>2762.0457937087999</v>
      </c>
      <c r="CN49">
        <v>878.87253333333342</v>
      </c>
      <c r="CO49">
        <v>4245.9085270421328</v>
      </c>
      <c r="CQ49">
        <v>517.21643835616442</v>
      </c>
      <c r="CR49">
        <v>189.64602739726027</v>
      </c>
      <c r="CS49">
        <v>530.92267397260275</v>
      </c>
      <c r="CT49">
        <v>25691.70033343483</v>
      </c>
      <c r="CY49">
        <v>0</v>
      </c>
      <c r="DB49">
        <v>15102.719999999998</v>
      </c>
      <c r="DC49">
        <v>181.125</v>
      </c>
      <c r="DE49" s="61">
        <v>25872.82533343483</v>
      </c>
    </row>
    <row r="50" spans="1:109" hidden="1" x14ac:dyDescent="0.3">
      <c r="A50">
        <v>1419</v>
      </c>
      <c r="B50" t="s">
        <v>602</v>
      </c>
      <c r="C50" t="s">
        <v>603</v>
      </c>
      <c r="D50" t="s">
        <v>604</v>
      </c>
      <c r="E50" t="s">
        <v>728</v>
      </c>
      <c r="F50" t="s">
        <v>729</v>
      </c>
      <c r="G50" t="s">
        <v>626</v>
      </c>
      <c r="H50" t="s">
        <v>622</v>
      </c>
      <c r="I50" t="s">
        <v>623</v>
      </c>
      <c r="J50" s="3">
        <v>44564</v>
      </c>
      <c r="K50">
        <v>3.0794520547945203</v>
      </c>
      <c r="L50">
        <v>3</v>
      </c>
      <c r="M50" t="s">
        <v>698</v>
      </c>
      <c r="N50" t="s">
        <v>698</v>
      </c>
      <c r="O50">
        <v>1.0533999999999999</v>
      </c>
      <c r="P50">
        <v>3439.4559999999997</v>
      </c>
      <c r="Q50">
        <v>3439.4559999999997</v>
      </c>
      <c r="R50">
        <v>376.02</v>
      </c>
      <c r="S50">
        <v>396.09946799999994</v>
      </c>
      <c r="T50">
        <v>130</v>
      </c>
      <c r="U50">
        <v>526.09946799999989</v>
      </c>
      <c r="V50">
        <v>30.4</v>
      </c>
      <c r="W50">
        <v>11431.008</v>
      </c>
      <c r="AD50">
        <v>3797.32</v>
      </c>
      <c r="AE50">
        <v>41.666666666666664</v>
      </c>
      <c r="AF50">
        <v>1143.1007999999999</v>
      </c>
      <c r="AG50">
        <v>1143.1007999999999</v>
      </c>
      <c r="AH50">
        <v>571.55039999999997</v>
      </c>
      <c r="AI50">
        <v>1143.1007999999999</v>
      </c>
      <c r="AJ50">
        <v>0</v>
      </c>
      <c r="AK50">
        <v>0</v>
      </c>
      <c r="AL50">
        <v>2286.2015999999999</v>
      </c>
      <c r="AM50">
        <v>15431.8608</v>
      </c>
      <c r="AN50">
        <v>19270.847466666666</v>
      </c>
      <c r="AO50">
        <v>19229.180800000002</v>
      </c>
      <c r="AQ50">
        <v>15228.328</v>
      </c>
      <c r="AR50">
        <v>24076.191999999999</v>
      </c>
      <c r="AS50">
        <v>13717.2096</v>
      </c>
      <c r="AT50">
        <v>0</v>
      </c>
      <c r="AU50">
        <v>10358.982399999999</v>
      </c>
      <c r="AV50">
        <v>2286.2015999999999</v>
      </c>
      <c r="AW50">
        <v>0</v>
      </c>
      <c r="AX50">
        <v>17556.196266666666</v>
      </c>
      <c r="AY50">
        <v>15487.72</v>
      </c>
      <c r="AZ50">
        <v>2068.4762666666666</v>
      </c>
      <c r="BA50">
        <v>0.21359999999999998</v>
      </c>
      <c r="BB50">
        <v>441.82653055999992</v>
      </c>
      <c r="BC50">
        <v>1640.18</v>
      </c>
      <c r="BD50">
        <v>2082.0065305600001</v>
      </c>
      <c r="BE50">
        <v>0</v>
      </c>
      <c r="BF50">
        <v>2082.0065305600001</v>
      </c>
      <c r="BG50">
        <v>127.96622222222223</v>
      </c>
      <c r="BH50">
        <v>0</v>
      </c>
      <c r="BI50">
        <v>654.06569022222209</v>
      </c>
      <c r="BJ50">
        <v>1962.1970706666664</v>
      </c>
      <c r="BK50">
        <v>0</v>
      </c>
      <c r="BL50">
        <v>0</v>
      </c>
      <c r="BM50">
        <v>37.601999999999997</v>
      </c>
      <c r="BN50">
        <v>0</v>
      </c>
      <c r="BO50">
        <v>0</v>
      </c>
      <c r="BP50">
        <v>561.66769022222206</v>
      </c>
      <c r="BQ50">
        <v>561.66769022222206</v>
      </c>
      <c r="BR50">
        <v>26.669722826666646</v>
      </c>
      <c r="BS50">
        <v>42.125076766666652</v>
      </c>
      <c r="BT50">
        <v>63.187615149999978</v>
      </c>
      <c r="BU50">
        <v>105.31269191666665</v>
      </c>
      <c r="BV50">
        <v>189.56284544999994</v>
      </c>
      <c r="BW50">
        <v>426.85795210999987</v>
      </c>
      <c r="BX50">
        <v>16761.982983996666</v>
      </c>
      <c r="BY50">
        <v>1143.1007999999999</v>
      </c>
      <c r="BZ50">
        <v>15618.882183996666</v>
      </c>
      <c r="CA50">
        <v>19229.180799999998</v>
      </c>
      <c r="CB50">
        <v>576.87542399999995</v>
      </c>
      <c r="CC50">
        <v>561.66769022222206</v>
      </c>
      <c r="CD50">
        <v>692.41679999999997</v>
      </c>
      <c r="CE50">
        <v>73.341737773333264</v>
      </c>
      <c r="CF50">
        <v>117.95021494666663</v>
      </c>
      <c r="CG50">
        <v>176.92532241999996</v>
      </c>
      <c r="CH50">
        <v>279.97505521276128</v>
      </c>
      <c r="CI50">
        <v>294.87553736666661</v>
      </c>
      <c r="CJ50">
        <v>168.50030706666661</v>
      </c>
      <c r="CK50">
        <v>337.00061413333322</v>
      </c>
      <c r="CL50">
        <v>530.7759672599999</v>
      </c>
      <c r="CM50">
        <v>2671.7615561794273</v>
      </c>
      <c r="CN50">
        <v>842.50153533333321</v>
      </c>
      <c r="CO50">
        <v>4091.1385155127605</v>
      </c>
      <c r="CQ50">
        <v>469.76745205479449</v>
      </c>
      <c r="CR50">
        <v>140.93023561643832</v>
      </c>
      <c r="CS50">
        <v>481.27675463013702</v>
      </c>
      <c r="CT50">
        <v>24453.960424480796</v>
      </c>
      <c r="CY50">
        <v>0</v>
      </c>
      <c r="DB50">
        <v>13717.2096</v>
      </c>
      <c r="DE50" s="61">
        <v>24453.960424480796</v>
      </c>
    </row>
    <row r="51" spans="1:109" hidden="1" x14ac:dyDescent="0.3">
      <c r="A51">
        <v>1376</v>
      </c>
      <c r="B51" t="s">
        <v>637</v>
      </c>
      <c r="C51" t="s">
        <v>603</v>
      </c>
      <c r="D51" t="s">
        <v>604</v>
      </c>
      <c r="E51" t="s">
        <v>720</v>
      </c>
      <c r="F51" t="s">
        <v>646</v>
      </c>
      <c r="G51" t="s">
        <v>665</v>
      </c>
      <c r="H51" t="s">
        <v>622</v>
      </c>
      <c r="I51" t="s">
        <v>623</v>
      </c>
      <c r="J51" s="3">
        <v>44476</v>
      </c>
      <c r="K51">
        <v>3.3205479452054796</v>
      </c>
      <c r="L51">
        <v>3</v>
      </c>
      <c r="M51" t="s">
        <v>698</v>
      </c>
      <c r="N51" t="s">
        <v>698</v>
      </c>
      <c r="O51">
        <v>1.0533999999999999</v>
      </c>
      <c r="P51">
        <v>3439.4559999999997</v>
      </c>
      <c r="Q51">
        <v>3439.4559999999997</v>
      </c>
      <c r="R51">
        <v>418</v>
      </c>
      <c r="S51">
        <v>440.32119999999998</v>
      </c>
      <c r="T51">
        <v>243.68</v>
      </c>
      <c r="U51">
        <v>684.00119999999993</v>
      </c>
      <c r="V51">
        <v>30.4</v>
      </c>
      <c r="W51">
        <v>12707.199999999999</v>
      </c>
      <c r="AD51">
        <v>1700</v>
      </c>
      <c r="AE51">
        <v>41.666666666666664</v>
      </c>
      <c r="AF51">
        <v>1270.72</v>
      </c>
      <c r="AG51">
        <v>1270.72</v>
      </c>
      <c r="AH51">
        <v>635.36</v>
      </c>
      <c r="AI51">
        <v>1270.72</v>
      </c>
      <c r="AJ51">
        <v>0</v>
      </c>
      <c r="AK51">
        <v>0</v>
      </c>
      <c r="AL51">
        <v>2541.44</v>
      </c>
      <c r="AM51">
        <v>17154.72</v>
      </c>
      <c r="AN51">
        <v>18896.386666666665</v>
      </c>
      <c r="AO51">
        <v>18854.72</v>
      </c>
      <c r="AQ51">
        <v>14407.199999999999</v>
      </c>
      <c r="AR51">
        <v>24076.191999999999</v>
      </c>
      <c r="AS51">
        <v>15248.64</v>
      </c>
      <c r="AT51">
        <v>0</v>
      </c>
      <c r="AU51">
        <v>8827.5519999999997</v>
      </c>
      <c r="AV51">
        <v>2541.44</v>
      </c>
      <c r="AW51">
        <v>0</v>
      </c>
      <c r="AX51">
        <v>16990.306666666664</v>
      </c>
      <c r="AY51">
        <v>15487.72</v>
      </c>
      <c r="AZ51">
        <v>1502.5866666666643</v>
      </c>
      <c r="BA51">
        <v>0.21359999999999998</v>
      </c>
      <c r="BB51">
        <v>320.9525119999995</v>
      </c>
      <c r="BC51">
        <v>1640.18</v>
      </c>
      <c r="BD51">
        <v>1961.1325119999997</v>
      </c>
      <c r="BE51">
        <v>0</v>
      </c>
      <c r="BF51">
        <v>1961.1325119999997</v>
      </c>
      <c r="BG51">
        <v>58.055555555555557</v>
      </c>
      <c r="BH51">
        <v>0</v>
      </c>
      <c r="BI51">
        <v>742.05675555555547</v>
      </c>
      <c r="BJ51">
        <v>2226.1702666666665</v>
      </c>
      <c r="BK51">
        <v>0</v>
      </c>
      <c r="BL51">
        <v>0</v>
      </c>
      <c r="BM51">
        <v>41.800000000000004</v>
      </c>
      <c r="BN51">
        <v>0</v>
      </c>
      <c r="BO51">
        <v>0</v>
      </c>
      <c r="BP51">
        <v>540.17675555555547</v>
      </c>
      <c r="BQ51">
        <v>540.17675555555547</v>
      </c>
      <c r="BR51">
        <v>24.090810666666655</v>
      </c>
      <c r="BS51">
        <v>40.513256666666663</v>
      </c>
      <c r="BT51">
        <v>60.769884999999995</v>
      </c>
      <c r="BU51">
        <v>101.28314166666665</v>
      </c>
      <c r="BV51">
        <v>182.30965499999996</v>
      </c>
      <c r="BW51">
        <v>408.96674899999994</v>
      </c>
      <c r="BX51">
        <v>16526.287405666666</v>
      </c>
      <c r="BY51">
        <v>1270.72</v>
      </c>
      <c r="BZ51">
        <v>15255.567405666667</v>
      </c>
      <c r="CA51">
        <v>18854.72</v>
      </c>
      <c r="CB51">
        <v>565.64160000000004</v>
      </c>
      <c r="CC51">
        <v>540.17675555555547</v>
      </c>
      <c r="CD51">
        <v>692.41679999999997</v>
      </c>
      <c r="CE51">
        <v>66.249729333333292</v>
      </c>
      <c r="CF51">
        <v>113.43711866666665</v>
      </c>
      <c r="CG51">
        <v>170.15567799999999</v>
      </c>
      <c r="CH51">
        <v>269.26244751853329</v>
      </c>
      <c r="CI51">
        <v>283.59279666666669</v>
      </c>
      <c r="CJ51">
        <v>162.05302666666665</v>
      </c>
      <c r="CK51">
        <v>324.10605333333331</v>
      </c>
      <c r="CL51">
        <v>510.4670339999999</v>
      </c>
      <c r="CM51">
        <v>2591.7406841851994</v>
      </c>
      <c r="CN51">
        <v>810.26513333333321</v>
      </c>
      <c r="CO51">
        <v>3967.6474175185326</v>
      </c>
      <c r="CQ51">
        <v>522.21369863013695</v>
      </c>
      <c r="CR51">
        <v>156.66410958904106</v>
      </c>
      <c r="CS51">
        <v>535.00793424657536</v>
      </c>
      <c r="CT51">
        <v>24077.919826650952</v>
      </c>
      <c r="CY51">
        <v>0</v>
      </c>
      <c r="DB51">
        <v>15248.639999999998</v>
      </c>
      <c r="DE51" s="61">
        <v>24077.919826650952</v>
      </c>
    </row>
    <row r="52" spans="1:109" hidden="1" x14ac:dyDescent="0.3">
      <c r="A52">
        <v>1523</v>
      </c>
      <c r="B52" t="s">
        <v>602</v>
      </c>
      <c r="C52" t="s">
        <v>603</v>
      </c>
      <c r="D52" t="s">
        <v>604</v>
      </c>
      <c r="E52" t="s">
        <v>749</v>
      </c>
      <c r="F52" t="s">
        <v>750</v>
      </c>
      <c r="G52" t="s">
        <v>653</v>
      </c>
      <c r="H52" t="s">
        <v>622</v>
      </c>
      <c r="I52" t="s">
        <v>623</v>
      </c>
      <c r="J52" s="3">
        <v>44741</v>
      </c>
      <c r="K52">
        <v>2.5945205479452054</v>
      </c>
      <c r="L52">
        <v>2</v>
      </c>
      <c r="M52" t="s">
        <v>735</v>
      </c>
      <c r="N52" t="s">
        <v>735</v>
      </c>
      <c r="O52">
        <v>1.0521</v>
      </c>
      <c r="P52">
        <v>3439.4559999999997</v>
      </c>
      <c r="Q52">
        <v>3439.4559999999997</v>
      </c>
      <c r="R52">
        <v>454.73</v>
      </c>
      <c r="S52">
        <v>478.42143300000004</v>
      </c>
      <c r="T52">
        <v>12.14</v>
      </c>
      <c r="U52">
        <v>490.56143300000002</v>
      </c>
      <c r="V52">
        <v>30.4</v>
      </c>
      <c r="W52">
        <v>13823.791999999999</v>
      </c>
      <c r="AE52">
        <v>41.666666666666664</v>
      </c>
      <c r="AF52">
        <v>1382.3792000000001</v>
      </c>
      <c r="AG52">
        <v>1382.3792000000001</v>
      </c>
      <c r="AH52">
        <v>691.18960000000004</v>
      </c>
      <c r="AI52">
        <v>1382.3792000000001</v>
      </c>
      <c r="AJ52">
        <v>0</v>
      </c>
      <c r="AK52">
        <v>0</v>
      </c>
      <c r="AL52">
        <v>2764.7584000000002</v>
      </c>
      <c r="AM52">
        <v>18662.119200000001</v>
      </c>
      <c r="AN52">
        <v>18703.785866666665</v>
      </c>
      <c r="AO52">
        <v>18662.119200000001</v>
      </c>
      <c r="AQ52">
        <v>13823.791999999999</v>
      </c>
      <c r="AR52">
        <v>24076.191999999999</v>
      </c>
      <c r="AS52">
        <v>16588.5504</v>
      </c>
      <c r="AT52">
        <v>0</v>
      </c>
      <c r="AU52">
        <v>7487.641599999999</v>
      </c>
      <c r="AV52">
        <v>2764.7584000000002</v>
      </c>
      <c r="AW52">
        <v>0</v>
      </c>
      <c r="AX52">
        <v>16630.217066666664</v>
      </c>
      <c r="AY52">
        <v>15487.72</v>
      </c>
      <c r="AZ52">
        <v>1142.497066666665</v>
      </c>
      <c r="BA52">
        <v>0.21359999999999998</v>
      </c>
      <c r="BB52">
        <v>244.03737343999961</v>
      </c>
      <c r="BC52">
        <v>1640.18</v>
      </c>
      <c r="BD52">
        <v>1884.2173734399996</v>
      </c>
      <c r="BE52">
        <v>0</v>
      </c>
      <c r="BF52">
        <v>1884.2173734399996</v>
      </c>
      <c r="BG52">
        <v>1.3888888888888888</v>
      </c>
      <c r="BH52">
        <v>6.5968000000000302</v>
      </c>
      <c r="BI52">
        <v>491.95032188888894</v>
      </c>
      <c r="BJ52">
        <v>1475.850965666667</v>
      </c>
      <c r="BK52">
        <v>0</v>
      </c>
      <c r="BL52">
        <v>0</v>
      </c>
      <c r="BM52">
        <v>45.473000000000006</v>
      </c>
      <c r="BN52">
        <v>0</v>
      </c>
      <c r="BO52">
        <v>0</v>
      </c>
      <c r="BP52">
        <v>525.28332188888896</v>
      </c>
      <c r="BQ52">
        <v>525.28332188888896</v>
      </c>
      <c r="BR52">
        <v>22.303598626666677</v>
      </c>
      <c r="BS52">
        <v>39.396249141666672</v>
      </c>
      <c r="BT52">
        <v>59.094373712500008</v>
      </c>
      <c r="BU52">
        <v>98.490622854166674</v>
      </c>
      <c r="BV52">
        <v>177.28312113750002</v>
      </c>
      <c r="BW52">
        <v>396.56796547250008</v>
      </c>
      <c r="BX52">
        <v>16423.000527754168</v>
      </c>
      <c r="BY52">
        <v>1382.3792000000001</v>
      </c>
      <c r="BZ52">
        <v>15040.621327754168</v>
      </c>
      <c r="CA52">
        <v>18662.119200000001</v>
      </c>
      <c r="CB52">
        <v>559.86357599999997</v>
      </c>
      <c r="CC52">
        <v>525.28332188888896</v>
      </c>
      <c r="CD52">
        <v>692.41679999999997</v>
      </c>
      <c r="CE52">
        <v>61.334896223333345</v>
      </c>
      <c r="CF52">
        <v>110.30949759666667</v>
      </c>
      <c r="CG52">
        <v>165.46424639500003</v>
      </c>
      <c r="CH52">
        <v>261.8385027452764</v>
      </c>
      <c r="CI52">
        <v>275.77374399166672</v>
      </c>
      <c r="CJ52">
        <v>157.58499656666669</v>
      </c>
      <c r="CK52">
        <v>315.16999313333338</v>
      </c>
      <c r="CL52">
        <v>496.3927391850001</v>
      </c>
      <c r="CM52">
        <v>2536.2854158369432</v>
      </c>
      <c r="CN52">
        <v>787.92498283333339</v>
      </c>
      <c r="CO52">
        <v>3884.0739746702766</v>
      </c>
      <c r="CQ52">
        <v>568.10104109589042</v>
      </c>
      <c r="CR52">
        <v>151.49361095890413</v>
      </c>
      <c r="CS52">
        <v>581.4514155616439</v>
      </c>
      <c r="CT52">
        <v>23888.90590895338</v>
      </c>
      <c r="CY52">
        <v>0</v>
      </c>
      <c r="DB52">
        <v>16588.5504</v>
      </c>
      <c r="DE52" s="61">
        <v>23888.90590895338</v>
      </c>
    </row>
    <row r="53" spans="1:109" x14ac:dyDescent="0.3">
      <c r="A53">
        <v>1741</v>
      </c>
      <c r="B53" t="s">
        <v>602</v>
      </c>
      <c r="C53" t="s">
        <v>603</v>
      </c>
      <c r="D53" t="s">
        <v>604</v>
      </c>
      <c r="E53" t="s">
        <v>800</v>
      </c>
      <c r="F53" t="s">
        <v>801</v>
      </c>
      <c r="G53" t="s">
        <v>630</v>
      </c>
      <c r="H53" t="s">
        <v>622</v>
      </c>
      <c r="I53" t="s">
        <v>623</v>
      </c>
      <c r="J53" s="3">
        <v>45230</v>
      </c>
      <c r="K53">
        <v>1.2547945205479452</v>
      </c>
      <c r="L53">
        <v>1</v>
      </c>
      <c r="M53" t="s">
        <v>676</v>
      </c>
      <c r="N53" t="s">
        <v>676</v>
      </c>
      <c r="O53">
        <v>1.0507</v>
      </c>
      <c r="P53">
        <v>3439.4559999999997</v>
      </c>
      <c r="Q53">
        <v>3439.4559999999997</v>
      </c>
      <c r="R53">
        <v>394.73</v>
      </c>
      <c r="S53">
        <v>414.74281100000002</v>
      </c>
      <c r="T53">
        <v>0</v>
      </c>
      <c r="U53">
        <v>414.74281100000002</v>
      </c>
      <c r="V53">
        <v>30.4</v>
      </c>
      <c r="W53">
        <v>11999.791999999999</v>
      </c>
      <c r="AE53">
        <v>41.666666666666664</v>
      </c>
      <c r="AF53">
        <v>1199.9792000000002</v>
      </c>
      <c r="AG53">
        <v>1199.9792000000002</v>
      </c>
      <c r="AH53">
        <v>599.9896</v>
      </c>
      <c r="AI53">
        <v>1199.9792</v>
      </c>
      <c r="AJ53">
        <v>0</v>
      </c>
      <c r="AK53">
        <v>0</v>
      </c>
      <c r="AL53">
        <v>2399.9584000000004</v>
      </c>
      <c r="AM53">
        <v>16199.719200000001</v>
      </c>
      <c r="AN53">
        <v>16241.385866666666</v>
      </c>
      <c r="AO53">
        <v>16199.719200000001</v>
      </c>
      <c r="AQ53">
        <v>11999.791999999999</v>
      </c>
      <c r="AR53">
        <v>24076.191999999999</v>
      </c>
      <c r="AS53">
        <v>14399.750400000001</v>
      </c>
      <c r="AT53">
        <v>0</v>
      </c>
      <c r="AU53">
        <v>9676.4415999999983</v>
      </c>
      <c r="AV53">
        <v>2399.9584000000004</v>
      </c>
      <c r="AW53">
        <v>0</v>
      </c>
      <c r="AX53">
        <v>14441.417066666665</v>
      </c>
      <c r="AY53">
        <v>12935.83</v>
      </c>
      <c r="AZ53">
        <v>1505.5870666666651</v>
      </c>
      <c r="BA53">
        <v>0.17920000000000003</v>
      </c>
      <c r="BB53">
        <v>269.80120234666646</v>
      </c>
      <c r="BC53">
        <v>1182.8800000000001</v>
      </c>
      <c r="BD53">
        <v>1452.6812023466666</v>
      </c>
      <c r="BE53">
        <v>0</v>
      </c>
      <c r="BF53">
        <v>1452.6812023466666</v>
      </c>
      <c r="BG53">
        <v>1.3888888888888888</v>
      </c>
      <c r="BH53">
        <v>0</v>
      </c>
      <c r="BI53">
        <v>416.13169988888893</v>
      </c>
      <c r="BJ53">
        <v>1248.395099666667</v>
      </c>
      <c r="BK53">
        <v>0</v>
      </c>
      <c r="BL53">
        <v>0</v>
      </c>
      <c r="BM53">
        <v>39.472999999999999</v>
      </c>
      <c r="BN53">
        <v>0</v>
      </c>
      <c r="BO53">
        <v>0</v>
      </c>
      <c r="BP53">
        <v>455.60469988888894</v>
      </c>
      <c r="BQ53">
        <v>455.60469988888894</v>
      </c>
      <c r="BR53">
        <v>13.942163986666673</v>
      </c>
      <c r="BS53">
        <v>34.170352491666669</v>
      </c>
      <c r="BT53">
        <v>51.255528737500008</v>
      </c>
      <c r="BU53">
        <v>85.425881229166677</v>
      </c>
      <c r="BV53">
        <v>153.76658621250002</v>
      </c>
      <c r="BW53">
        <v>338.5605126575</v>
      </c>
      <c r="BX53">
        <v>14450.1441516625</v>
      </c>
      <c r="BY53">
        <v>1199.9792</v>
      </c>
      <c r="BZ53">
        <v>13250.1649516625</v>
      </c>
      <c r="CA53">
        <v>16199.7192</v>
      </c>
      <c r="CB53">
        <v>485.99157599999995</v>
      </c>
      <c r="CC53">
        <v>455.60469988888894</v>
      </c>
      <c r="CD53">
        <v>692.41679999999997</v>
      </c>
      <c r="CE53">
        <v>38.340950963333349</v>
      </c>
      <c r="CF53">
        <v>95.676986976666683</v>
      </c>
      <c r="CG53">
        <v>143.51548046500002</v>
      </c>
      <c r="CH53">
        <v>227.10573035831436</v>
      </c>
      <c r="CI53">
        <v>239.19246744166671</v>
      </c>
      <c r="CJ53">
        <v>136.68140996666668</v>
      </c>
      <c r="CK53">
        <v>273.36281993333336</v>
      </c>
      <c r="CL53">
        <v>430.54644139500004</v>
      </c>
      <c r="CM53">
        <v>2276.8390874999814</v>
      </c>
      <c r="CN53">
        <v>683.40704983333342</v>
      </c>
      <c r="CO53">
        <v>3446.2377133333148</v>
      </c>
      <c r="CQ53">
        <v>493.14213698630141</v>
      </c>
      <c r="CR53">
        <v>115.06649863013699</v>
      </c>
      <c r="CS53">
        <v>504.23783506849315</v>
      </c>
      <c r="CT53">
        <v>20800.070050684913</v>
      </c>
      <c r="CV53">
        <v>3000</v>
      </c>
      <c r="CY53">
        <v>0</v>
      </c>
      <c r="DB53">
        <v>14399.750399999999</v>
      </c>
      <c r="DE53" s="61">
        <v>23800.070050684913</v>
      </c>
    </row>
    <row r="54" spans="1:109" x14ac:dyDescent="0.3">
      <c r="A54">
        <v>1914</v>
      </c>
      <c r="B54" t="s">
        <v>602</v>
      </c>
      <c r="C54" t="s">
        <v>603</v>
      </c>
      <c r="D54" t="s">
        <v>604</v>
      </c>
      <c r="E54" t="s">
        <v>899</v>
      </c>
      <c r="F54" t="s">
        <v>900</v>
      </c>
      <c r="G54" t="s">
        <v>630</v>
      </c>
      <c r="H54" t="s">
        <v>622</v>
      </c>
      <c r="I54" t="s">
        <v>623</v>
      </c>
      <c r="J54" s="3">
        <v>45687</v>
      </c>
      <c r="K54">
        <v>2.7397260273972603E-3</v>
      </c>
      <c r="L54">
        <v>0</v>
      </c>
      <c r="M54" t="s">
        <v>678</v>
      </c>
      <c r="N54" t="s">
        <v>678</v>
      </c>
      <c r="O54">
        <v>1.0492999999999999</v>
      </c>
      <c r="P54">
        <v>3439.4559999999997</v>
      </c>
      <c r="Q54">
        <v>3439.4559999999997</v>
      </c>
      <c r="R54">
        <v>394.73</v>
      </c>
      <c r="S54">
        <v>414.19018899999998</v>
      </c>
      <c r="T54">
        <v>1</v>
      </c>
      <c r="U54">
        <v>415.19018899999998</v>
      </c>
      <c r="V54">
        <v>30.4</v>
      </c>
      <c r="W54">
        <v>11999.791999999999</v>
      </c>
      <c r="AE54">
        <v>41.666666666666664</v>
      </c>
      <c r="AF54">
        <v>1199.9792000000002</v>
      </c>
      <c r="AG54">
        <v>1199.9792000000002</v>
      </c>
      <c r="AH54">
        <v>599.9896</v>
      </c>
      <c r="AI54">
        <v>1199.9792</v>
      </c>
      <c r="AJ54">
        <v>0</v>
      </c>
      <c r="AK54">
        <v>0</v>
      </c>
      <c r="AL54">
        <v>2399.9584000000004</v>
      </c>
      <c r="AM54">
        <v>16199.719200000001</v>
      </c>
      <c r="AN54">
        <v>16241.385866666666</v>
      </c>
      <c r="AO54">
        <v>16199.719200000001</v>
      </c>
      <c r="AQ54">
        <v>11999.791999999999</v>
      </c>
      <c r="AR54">
        <v>24076.191999999999</v>
      </c>
      <c r="AS54">
        <v>14399.750400000001</v>
      </c>
      <c r="AT54">
        <v>0</v>
      </c>
      <c r="AU54">
        <v>9676.4415999999983</v>
      </c>
      <c r="AV54">
        <v>2399.9584000000004</v>
      </c>
      <c r="AW54">
        <v>0</v>
      </c>
      <c r="AX54">
        <v>14441.417066666665</v>
      </c>
      <c r="AY54">
        <v>12935.83</v>
      </c>
      <c r="AZ54">
        <v>1505.5870666666651</v>
      </c>
      <c r="BA54">
        <v>0.17920000000000003</v>
      </c>
      <c r="BB54">
        <v>269.80120234666646</v>
      </c>
      <c r="BC54">
        <v>1182.8800000000001</v>
      </c>
      <c r="BD54">
        <v>1452.6812023466666</v>
      </c>
      <c r="BE54">
        <v>0</v>
      </c>
      <c r="BF54">
        <v>1452.6812023466666</v>
      </c>
      <c r="BG54">
        <v>1.3888888888888888</v>
      </c>
      <c r="BH54">
        <v>0</v>
      </c>
      <c r="BI54">
        <v>416.57907788888889</v>
      </c>
      <c r="BJ54">
        <v>1249.7372336666667</v>
      </c>
      <c r="BK54">
        <v>0</v>
      </c>
      <c r="BL54">
        <v>0</v>
      </c>
      <c r="BM54">
        <v>39.472999999999999</v>
      </c>
      <c r="BN54">
        <v>0</v>
      </c>
      <c r="BO54">
        <v>0</v>
      </c>
      <c r="BP54">
        <v>455.0520778888889</v>
      </c>
      <c r="BQ54">
        <v>455.0520778888889</v>
      </c>
      <c r="BR54">
        <v>13.875849346666667</v>
      </c>
      <c r="BS54">
        <v>34.128905841666665</v>
      </c>
      <c r="BT54">
        <v>51.193358762499997</v>
      </c>
      <c r="BU54">
        <v>85.322264604166676</v>
      </c>
      <c r="BV54">
        <v>153.58007628749999</v>
      </c>
      <c r="BW54">
        <v>338.10045484249997</v>
      </c>
      <c r="BX54">
        <v>14450.604209477498</v>
      </c>
      <c r="BY54">
        <v>1199.9792</v>
      </c>
      <c r="BZ54">
        <v>13250.625009477499</v>
      </c>
      <c r="CA54">
        <v>16199.7192</v>
      </c>
      <c r="CB54">
        <v>485.99157599999995</v>
      </c>
      <c r="CC54">
        <v>455.0520778888889</v>
      </c>
      <c r="CD54">
        <v>692.41679999999997</v>
      </c>
      <c r="CE54">
        <v>38.15858570333333</v>
      </c>
      <c r="CF54">
        <v>95.560936356666673</v>
      </c>
      <c r="CG54">
        <v>143.34140453500004</v>
      </c>
      <c r="CH54">
        <v>226.83026431735234</v>
      </c>
      <c r="CI54">
        <v>238.90234089166671</v>
      </c>
      <c r="CJ54">
        <v>136.51562336666666</v>
      </c>
      <c r="CK54">
        <v>273.03124673333332</v>
      </c>
      <c r="CL54">
        <v>430.024213605</v>
      </c>
      <c r="CM54">
        <v>2274.7814155090191</v>
      </c>
      <c r="CN54">
        <v>682.57811683333341</v>
      </c>
      <c r="CO54">
        <v>3443.3511083423523</v>
      </c>
      <c r="CQ54">
        <v>493.14213698630141</v>
      </c>
      <c r="CR54">
        <v>98.628427397260268</v>
      </c>
      <c r="CS54">
        <v>503.74469293150679</v>
      </c>
      <c r="CT54">
        <v>20780.252232324088</v>
      </c>
      <c r="CV54">
        <v>3000</v>
      </c>
      <c r="CY54">
        <v>0</v>
      </c>
      <c r="DB54">
        <v>14399.750399999999</v>
      </c>
      <c r="DE54" s="61">
        <v>23780.252232324088</v>
      </c>
    </row>
    <row r="55" spans="1:109" hidden="1" x14ac:dyDescent="0.3">
      <c r="A55">
        <v>1025</v>
      </c>
      <c r="B55" t="s">
        <v>611</v>
      </c>
      <c r="C55" t="s">
        <v>603</v>
      </c>
      <c r="D55" t="s">
        <v>604</v>
      </c>
      <c r="E55" t="s">
        <v>647</v>
      </c>
      <c r="F55" t="s">
        <v>616</v>
      </c>
      <c r="G55" t="s">
        <v>617</v>
      </c>
      <c r="H55" t="s">
        <v>608</v>
      </c>
      <c r="I55" t="s">
        <v>609</v>
      </c>
      <c r="J55" s="3">
        <v>43157</v>
      </c>
      <c r="K55">
        <v>6.934246575342466</v>
      </c>
      <c r="L55">
        <v>6</v>
      </c>
      <c r="M55" t="s">
        <v>648</v>
      </c>
      <c r="N55" t="s">
        <v>648</v>
      </c>
      <c r="O55">
        <v>1.0562</v>
      </c>
      <c r="P55">
        <v>3439.4559999999997</v>
      </c>
      <c r="Q55">
        <v>3439.4559999999997</v>
      </c>
      <c r="R55">
        <v>386.02</v>
      </c>
      <c r="S55">
        <v>407.71432399999998</v>
      </c>
      <c r="T55">
        <v>84.1</v>
      </c>
      <c r="U55">
        <v>491.81432399999994</v>
      </c>
      <c r="V55">
        <v>30.4</v>
      </c>
      <c r="W55">
        <v>11735.007999999998</v>
      </c>
      <c r="AC55">
        <v>750</v>
      </c>
      <c r="AD55">
        <v>1893.26</v>
      </c>
      <c r="AE55">
        <v>41.666666666666664</v>
      </c>
      <c r="AF55">
        <v>1173.5008</v>
      </c>
      <c r="AG55">
        <v>1173.5008</v>
      </c>
      <c r="AH55">
        <v>586.7503999999999</v>
      </c>
      <c r="AI55">
        <v>1173.5007999999998</v>
      </c>
      <c r="AJ55">
        <v>0</v>
      </c>
      <c r="AK55">
        <v>0</v>
      </c>
      <c r="AL55">
        <v>2347.0016000000001</v>
      </c>
      <c r="AM55">
        <v>15842.260799999998</v>
      </c>
      <c r="AN55">
        <v>18527.187466666663</v>
      </c>
      <c r="AO55">
        <v>18485.520799999995</v>
      </c>
      <c r="AQ55">
        <v>14378.267999999998</v>
      </c>
      <c r="AR55">
        <v>24076.191999999999</v>
      </c>
      <c r="AS55">
        <v>14082.009599999998</v>
      </c>
      <c r="AT55">
        <v>0</v>
      </c>
      <c r="AU55">
        <v>9994.1824000000015</v>
      </c>
      <c r="AV55">
        <v>2347.0016000000001</v>
      </c>
      <c r="AW55">
        <v>0</v>
      </c>
      <c r="AX55">
        <v>16766.936266666664</v>
      </c>
      <c r="AY55">
        <v>15487.72</v>
      </c>
      <c r="AZ55">
        <v>1279.2162666666645</v>
      </c>
      <c r="BA55">
        <v>0.21359999999999998</v>
      </c>
      <c r="BB55">
        <v>273.24059455999952</v>
      </c>
      <c r="BC55">
        <v>1640.18</v>
      </c>
      <c r="BD55">
        <v>1913.4205945599997</v>
      </c>
      <c r="BE55">
        <v>0</v>
      </c>
      <c r="BF55">
        <v>1913.4205945599997</v>
      </c>
      <c r="BG55">
        <v>89.497555555555564</v>
      </c>
      <c r="BH55">
        <v>0</v>
      </c>
      <c r="BI55">
        <v>581.31187955555549</v>
      </c>
      <c r="BJ55">
        <v>1743.9356386666668</v>
      </c>
      <c r="BK55">
        <v>0</v>
      </c>
      <c r="BL55">
        <v>0</v>
      </c>
      <c r="BM55">
        <v>38.601999999999997</v>
      </c>
      <c r="BN55">
        <v>0</v>
      </c>
      <c r="BO55">
        <v>0</v>
      </c>
      <c r="BP55">
        <v>535.81387955555545</v>
      </c>
      <c r="BQ55">
        <v>535.81387955555545</v>
      </c>
      <c r="BR55">
        <v>23.567265546666651</v>
      </c>
      <c r="BS55">
        <v>40.186040966666653</v>
      </c>
      <c r="BT55">
        <v>60.279061449999986</v>
      </c>
      <c r="BU55">
        <v>100.46510241666665</v>
      </c>
      <c r="BV55">
        <v>180.83718434999994</v>
      </c>
      <c r="BW55">
        <v>405.3346547299999</v>
      </c>
      <c r="BX55">
        <v>16208.432217376661</v>
      </c>
      <c r="BY55">
        <v>1173.5007999999998</v>
      </c>
      <c r="BZ55">
        <v>15034.931417376662</v>
      </c>
      <c r="CA55">
        <v>18485.520799999998</v>
      </c>
      <c r="CB55">
        <v>554.56562399999996</v>
      </c>
      <c r="CC55">
        <v>535.81387955555545</v>
      </c>
      <c r="CD55">
        <v>692.41679999999997</v>
      </c>
      <c r="CE55">
        <v>64.809980253333293</v>
      </c>
      <c r="CF55">
        <v>112.52091470666664</v>
      </c>
      <c r="CG55">
        <v>168.78137205999997</v>
      </c>
      <c r="CH55">
        <v>267.08768035593727</v>
      </c>
      <c r="CI55">
        <v>281.30228676666667</v>
      </c>
      <c r="CJ55">
        <v>160.74416386666661</v>
      </c>
      <c r="CK55">
        <v>321.48832773333322</v>
      </c>
      <c r="CL55">
        <v>506.34411617999996</v>
      </c>
      <c r="CM55">
        <v>2575.4956419226037</v>
      </c>
      <c r="CN55">
        <v>803.72081933333322</v>
      </c>
      <c r="CO55">
        <v>3933.7820852559366</v>
      </c>
      <c r="CQ55">
        <v>482.26060273972598</v>
      </c>
      <c r="CR55">
        <v>176.82888767123288</v>
      </c>
      <c r="CS55">
        <v>495.04050871232863</v>
      </c>
      <c r="CT55">
        <v>23615.099551045889</v>
      </c>
      <c r="CY55">
        <v>0</v>
      </c>
      <c r="DB55">
        <v>14082.009599999998</v>
      </c>
      <c r="DC55">
        <v>164.50874999999999</v>
      </c>
      <c r="DE55" s="61">
        <v>23779.60830104589</v>
      </c>
    </row>
    <row r="56" spans="1:109" hidden="1" x14ac:dyDescent="0.3">
      <c r="A56">
        <v>1045</v>
      </c>
      <c r="B56" t="s">
        <v>602</v>
      </c>
      <c r="C56" t="s">
        <v>603</v>
      </c>
      <c r="D56" t="s">
        <v>604</v>
      </c>
      <c r="E56" t="s">
        <v>656</v>
      </c>
      <c r="F56" t="s">
        <v>657</v>
      </c>
      <c r="G56" t="s">
        <v>653</v>
      </c>
      <c r="H56" t="s">
        <v>622</v>
      </c>
      <c r="I56" t="s">
        <v>623</v>
      </c>
      <c r="J56" s="3">
        <v>43731</v>
      </c>
      <c r="K56">
        <v>5.3616438356164382</v>
      </c>
      <c r="L56">
        <v>5</v>
      </c>
      <c r="M56" t="s">
        <v>654</v>
      </c>
      <c r="N56" t="s">
        <v>654</v>
      </c>
      <c r="O56">
        <v>1.0562</v>
      </c>
      <c r="P56">
        <v>3439.4559999999997</v>
      </c>
      <c r="Q56">
        <v>3439.4559999999997</v>
      </c>
      <c r="R56">
        <v>402.04</v>
      </c>
      <c r="S56">
        <v>424.63464800000003</v>
      </c>
      <c r="T56">
        <v>9.9600000000000009</v>
      </c>
      <c r="U56">
        <v>434.59464800000001</v>
      </c>
      <c r="V56">
        <v>30.4</v>
      </c>
      <c r="W56">
        <v>12222.016</v>
      </c>
      <c r="AE56">
        <v>41.666666666666664</v>
      </c>
      <c r="AF56">
        <v>1222.2016000000001</v>
      </c>
      <c r="AG56">
        <v>1222.2016000000001</v>
      </c>
      <c r="AH56">
        <v>611.10080000000005</v>
      </c>
      <c r="AI56">
        <v>1222.2016000000001</v>
      </c>
      <c r="AJ56">
        <v>0</v>
      </c>
      <c r="AK56">
        <v>0</v>
      </c>
      <c r="AL56">
        <v>2444.4032000000002</v>
      </c>
      <c r="AM56">
        <v>16499.721600000001</v>
      </c>
      <c r="AN56">
        <v>16541.388266666665</v>
      </c>
      <c r="AO56">
        <v>16499.721600000001</v>
      </c>
      <c r="AQ56">
        <v>12222.016</v>
      </c>
      <c r="AR56">
        <v>24076.191999999999</v>
      </c>
      <c r="AS56">
        <v>14666.4192</v>
      </c>
      <c r="AT56">
        <v>0</v>
      </c>
      <c r="AU56">
        <v>9409.7727999999988</v>
      </c>
      <c r="AV56">
        <v>2444.4032000000002</v>
      </c>
      <c r="AW56">
        <v>0</v>
      </c>
      <c r="AX56">
        <v>14708.085866666666</v>
      </c>
      <c r="AY56">
        <v>12935.83</v>
      </c>
      <c r="AZ56">
        <v>1772.2558666666664</v>
      </c>
      <c r="BA56">
        <v>0.17920000000000003</v>
      </c>
      <c r="BB56">
        <v>317.58825130666668</v>
      </c>
      <c r="BC56">
        <v>1182.8800000000001</v>
      </c>
      <c r="BD56">
        <v>1500.4682513066668</v>
      </c>
      <c r="BE56">
        <v>0</v>
      </c>
      <c r="BF56">
        <v>1500.4682513066668</v>
      </c>
      <c r="BG56">
        <v>1.3888888888888888</v>
      </c>
      <c r="BH56">
        <v>0</v>
      </c>
      <c r="BI56">
        <v>435.98353688888892</v>
      </c>
      <c r="BJ56">
        <v>1307.9506106666668</v>
      </c>
      <c r="BK56">
        <v>0</v>
      </c>
      <c r="BL56">
        <v>0</v>
      </c>
      <c r="BM56">
        <v>40.204000000000008</v>
      </c>
      <c r="BN56">
        <v>0</v>
      </c>
      <c r="BO56">
        <v>0</v>
      </c>
      <c r="BP56">
        <v>466.22753688888895</v>
      </c>
      <c r="BQ56">
        <v>466.22753688888895</v>
      </c>
      <c r="BR56">
        <v>15.216904426666671</v>
      </c>
      <c r="BS56">
        <v>34.967065266666673</v>
      </c>
      <c r="BT56">
        <v>52.450597900000005</v>
      </c>
      <c r="BU56">
        <v>87.417663166666685</v>
      </c>
      <c r="BV56">
        <v>157.35179370000003</v>
      </c>
      <c r="BW56">
        <v>347.40402446000007</v>
      </c>
      <c r="BX56">
        <v>14693.515990899998</v>
      </c>
      <c r="BY56">
        <v>1222.2016000000001</v>
      </c>
      <c r="BZ56">
        <v>13471.314390899997</v>
      </c>
      <c r="CA56">
        <v>16499.721600000001</v>
      </c>
      <c r="CB56">
        <v>494.991648</v>
      </c>
      <c r="CC56">
        <v>466.22753688888895</v>
      </c>
      <c r="CD56">
        <v>692.41679999999997</v>
      </c>
      <c r="CE56">
        <v>41.846487173333344</v>
      </c>
      <c r="CF56">
        <v>97.907782746666683</v>
      </c>
      <c r="CG56">
        <v>146.86167412000003</v>
      </c>
      <c r="CH56">
        <v>232.40090654054137</v>
      </c>
      <c r="CI56">
        <v>244.76945686666673</v>
      </c>
      <c r="CJ56">
        <v>139.86826106666669</v>
      </c>
      <c r="CK56">
        <v>279.73652213333338</v>
      </c>
      <c r="CL56">
        <v>440.58502236000004</v>
      </c>
      <c r="CM56">
        <v>2316.3929130072083</v>
      </c>
      <c r="CN56">
        <v>699.34130533333348</v>
      </c>
      <c r="CO56">
        <v>3510.7258663405419</v>
      </c>
      <c r="CQ56">
        <v>502.27463013698633</v>
      </c>
      <c r="CR56">
        <v>184.16736438356165</v>
      </c>
      <c r="CS56">
        <v>515.58490783561649</v>
      </c>
      <c r="CT56">
        <v>21254.141035363369</v>
      </c>
      <c r="CV56">
        <v>1590</v>
      </c>
      <c r="CY56">
        <v>0</v>
      </c>
      <c r="DB56">
        <v>14666.4192</v>
      </c>
      <c r="DC56">
        <v>175.89250000000001</v>
      </c>
      <c r="DE56" s="61">
        <v>23020.033535363371</v>
      </c>
    </row>
    <row r="57" spans="1:109" x14ac:dyDescent="0.3">
      <c r="A57">
        <v>1530</v>
      </c>
      <c r="B57" t="s">
        <v>602</v>
      </c>
      <c r="C57" t="s">
        <v>603</v>
      </c>
      <c r="D57" t="s">
        <v>604</v>
      </c>
      <c r="E57" t="s">
        <v>752</v>
      </c>
      <c r="F57" t="s">
        <v>629</v>
      </c>
      <c r="G57" t="s">
        <v>630</v>
      </c>
      <c r="H57" t="s">
        <v>622</v>
      </c>
      <c r="I57" t="s">
        <v>623</v>
      </c>
      <c r="J57" s="3">
        <v>45061</v>
      </c>
      <c r="K57">
        <v>1.7178082191780821</v>
      </c>
      <c r="L57">
        <v>1</v>
      </c>
      <c r="M57" t="s">
        <v>676</v>
      </c>
      <c r="N57" t="s">
        <v>676</v>
      </c>
      <c r="O57">
        <v>1.0507</v>
      </c>
      <c r="P57">
        <v>3439.4559999999997</v>
      </c>
      <c r="Q57">
        <v>3439.4559999999997</v>
      </c>
      <c r="R57">
        <v>288.8</v>
      </c>
      <c r="S57">
        <v>303.44216</v>
      </c>
      <c r="T57">
        <v>210.24</v>
      </c>
      <c r="U57">
        <v>513.68216000000007</v>
      </c>
      <c r="V57">
        <v>30.4</v>
      </c>
      <c r="W57">
        <v>8779.52</v>
      </c>
      <c r="X57">
        <v>1459.1999999999998</v>
      </c>
      <c r="AD57">
        <v>4760.45</v>
      </c>
      <c r="AE57">
        <v>41.666666666666664</v>
      </c>
      <c r="AF57">
        <v>877.952</v>
      </c>
      <c r="AG57">
        <v>877.952</v>
      </c>
      <c r="AH57">
        <v>438.97600000000006</v>
      </c>
      <c r="AI57">
        <v>877.95200000000011</v>
      </c>
      <c r="AJ57">
        <v>0</v>
      </c>
      <c r="AK57">
        <v>0</v>
      </c>
      <c r="AL57">
        <v>1755.904</v>
      </c>
      <c r="AM57">
        <v>11852.352000000001</v>
      </c>
      <c r="AN57">
        <v>18113.668666666668</v>
      </c>
      <c r="AO57">
        <v>18072.002</v>
      </c>
      <c r="AQ57">
        <v>13581.636666666667</v>
      </c>
      <c r="AR57">
        <v>24076.191999999999</v>
      </c>
      <c r="AS57">
        <v>10535.424000000001</v>
      </c>
      <c r="AT57">
        <v>0</v>
      </c>
      <c r="AU57">
        <v>13540.767999999998</v>
      </c>
      <c r="AV57">
        <v>1755.904</v>
      </c>
      <c r="AW57">
        <v>0</v>
      </c>
      <c r="AX57">
        <v>16796.740666666668</v>
      </c>
      <c r="AY57">
        <v>15487.72</v>
      </c>
      <c r="AZ57">
        <v>1309.0206666666691</v>
      </c>
      <c r="BA57">
        <v>0.21359999999999998</v>
      </c>
      <c r="BB57">
        <v>279.60681440000047</v>
      </c>
      <c r="BC57">
        <v>1640.18</v>
      </c>
      <c r="BD57">
        <v>1919.7868144000006</v>
      </c>
      <c r="BE57">
        <v>0</v>
      </c>
      <c r="BF57">
        <v>1919.7868144000006</v>
      </c>
      <c r="BG57">
        <v>208.71055555555554</v>
      </c>
      <c r="BH57">
        <v>0</v>
      </c>
      <c r="BI57">
        <v>722.39271555555558</v>
      </c>
      <c r="BJ57">
        <v>2167.1781466666666</v>
      </c>
      <c r="BK57">
        <v>0</v>
      </c>
      <c r="BL57">
        <v>0</v>
      </c>
      <c r="BM57">
        <v>28.880000000000006</v>
      </c>
      <c r="BN57">
        <v>0</v>
      </c>
      <c r="BO57">
        <v>0</v>
      </c>
      <c r="BP57">
        <v>541.03271555555557</v>
      </c>
      <c r="BQ57">
        <v>541.03271555555557</v>
      </c>
      <c r="BR57">
        <v>24.193525866666665</v>
      </c>
      <c r="BS57">
        <v>40.577453666666671</v>
      </c>
      <c r="BT57">
        <v>60.866180499999999</v>
      </c>
      <c r="BU57">
        <v>101.44363416666667</v>
      </c>
      <c r="BV57">
        <v>182.59854150000001</v>
      </c>
      <c r="BW57">
        <v>409.67933570000002</v>
      </c>
      <c r="BX57">
        <v>15784.202516566667</v>
      </c>
      <c r="BY57">
        <v>877.95200000000011</v>
      </c>
      <c r="BZ57">
        <v>14906.250516566668</v>
      </c>
      <c r="CA57">
        <v>19531.202000000005</v>
      </c>
      <c r="CB57">
        <v>585.93606000000011</v>
      </c>
      <c r="CC57">
        <v>541.03271555555557</v>
      </c>
      <c r="CD57">
        <v>692.41679999999997</v>
      </c>
      <c r="CE57">
        <v>66.532196133333329</v>
      </c>
      <c r="CF57">
        <v>113.61687026666668</v>
      </c>
      <c r="CG57">
        <v>170.42530540000001</v>
      </c>
      <c r="CH57">
        <v>269.68911875569336</v>
      </c>
      <c r="CI57">
        <v>284.04217566666671</v>
      </c>
      <c r="CJ57">
        <v>162.30981466666668</v>
      </c>
      <c r="CK57">
        <v>324.61962933333336</v>
      </c>
      <c r="CL57">
        <v>511.27591620000004</v>
      </c>
      <c r="CM57">
        <v>2594.9278264223603</v>
      </c>
      <c r="CN57">
        <v>811.54907333333335</v>
      </c>
      <c r="CO57">
        <v>3992.4129597556939</v>
      </c>
      <c r="CQ57">
        <v>360.80219178082194</v>
      </c>
      <c r="CR57">
        <v>84.187178082191778</v>
      </c>
      <c r="CS57">
        <v>368.92024109589039</v>
      </c>
      <c r="CT57">
        <v>22919.991237381266</v>
      </c>
      <c r="CY57">
        <v>0</v>
      </c>
      <c r="DB57">
        <v>10535.423999999999</v>
      </c>
      <c r="DE57" s="61">
        <v>22919.991237381266</v>
      </c>
    </row>
    <row r="58" spans="1:109" hidden="1" x14ac:dyDescent="0.3">
      <c r="A58">
        <v>1230</v>
      </c>
      <c r="B58" t="s">
        <v>687</v>
      </c>
      <c r="C58" t="s">
        <v>603</v>
      </c>
      <c r="D58" t="s">
        <v>604</v>
      </c>
      <c r="E58" t="s">
        <v>703</v>
      </c>
      <c r="F58" t="s">
        <v>616</v>
      </c>
      <c r="G58" t="s">
        <v>617</v>
      </c>
      <c r="H58" t="s">
        <v>622</v>
      </c>
      <c r="I58" t="s">
        <v>623</v>
      </c>
      <c r="J58" s="3">
        <v>44249</v>
      </c>
      <c r="K58">
        <v>3.9424657534246577</v>
      </c>
      <c r="L58">
        <v>3</v>
      </c>
      <c r="M58" t="s">
        <v>698</v>
      </c>
      <c r="N58" t="s">
        <v>698</v>
      </c>
      <c r="O58">
        <v>1.0533999999999999</v>
      </c>
      <c r="P58">
        <v>3439.4559999999997</v>
      </c>
      <c r="Q58">
        <v>3439.4559999999997</v>
      </c>
      <c r="R58">
        <v>339.23</v>
      </c>
      <c r="S58">
        <v>357.34488199999998</v>
      </c>
      <c r="T58">
        <v>570.46</v>
      </c>
      <c r="U58">
        <v>927.80488200000002</v>
      </c>
      <c r="V58">
        <v>30.4</v>
      </c>
      <c r="W58">
        <v>10312.592000000001</v>
      </c>
      <c r="Z58">
        <v>3257.1428571428569</v>
      </c>
      <c r="AC58">
        <v>750</v>
      </c>
      <c r="AE58">
        <v>41.666666666666664</v>
      </c>
      <c r="AF58">
        <v>1031.2592</v>
      </c>
      <c r="AG58">
        <v>1031.2592</v>
      </c>
      <c r="AH58">
        <v>515.6296000000001</v>
      </c>
      <c r="AI58">
        <v>1031.2592000000002</v>
      </c>
      <c r="AJ58">
        <v>0</v>
      </c>
      <c r="AK58">
        <v>0</v>
      </c>
      <c r="AL58">
        <v>2062.5183999999999</v>
      </c>
      <c r="AM58">
        <v>13921.999200000002</v>
      </c>
      <c r="AN58">
        <v>17970.808723809525</v>
      </c>
      <c r="AO58">
        <v>17929.142057142861</v>
      </c>
      <c r="AQ58">
        <v>14319.734857142857</v>
      </c>
      <c r="AR58">
        <v>24076.191999999999</v>
      </c>
      <c r="AS58">
        <v>12375.110400000001</v>
      </c>
      <c r="AT58">
        <v>0</v>
      </c>
      <c r="AU58">
        <v>11701.081599999998</v>
      </c>
      <c r="AV58">
        <v>2062.5183999999999</v>
      </c>
      <c r="AW58">
        <v>0</v>
      </c>
      <c r="AX58">
        <v>16423.919923809524</v>
      </c>
      <c r="AY58">
        <v>15487.72</v>
      </c>
      <c r="AZ58">
        <v>936.19992380952499</v>
      </c>
      <c r="BA58">
        <v>0.21359999999999998</v>
      </c>
      <c r="BB58">
        <v>199.97230372571451</v>
      </c>
      <c r="BC58">
        <v>1640.18</v>
      </c>
      <c r="BD58">
        <v>1840.1523037257145</v>
      </c>
      <c r="BE58">
        <v>0</v>
      </c>
      <c r="BF58">
        <v>1840.1523037257145</v>
      </c>
      <c r="BG58">
        <v>134.96031746031744</v>
      </c>
      <c r="BH58">
        <v>0</v>
      </c>
      <c r="BI58">
        <v>1062.7651994603175</v>
      </c>
      <c r="BJ58">
        <v>3188.2955983809525</v>
      </c>
      <c r="BK58">
        <v>0</v>
      </c>
      <c r="BL58">
        <v>0</v>
      </c>
      <c r="BM58">
        <v>33.923000000000009</v>
      </c>
      <c r="BN58">
        <v>0</v>
      </c>
      <c r="BO58">
        <v>0</v>
      </c>
      <c r="BP58">
        <v>526.22819946031746</v>
      </c>
      <c r="BQ58">
        <v>526.22819946031746</v>
      </c>
      <c r="BR58">
        <v>22.416983935238093</v>
      </c>
      <c r="BS58">
        <v>39.467114959523812</v>
      </c>
      <c r="BT58">
        <v>59.200672439285711</v>
      </c>
      <c r="BU58">
        <v>98.667787398809523</v>
      </c>
      <c r="BV58">
        <v>177.60201731785713</v>
      </c>
      <c r="BW58">
        <v>397.35457605071429</v>
      </c>
      <c r="BX58">
        <v>15733.301844033096</v>
      </c>
      <c r="BY58">
        <v>1031.2592000000002</v>
      </c>
      <c r="BZ58">
        <v>14702.042644033096</v>
      </c>
      <c r="CA58">
        <v>17929.142057142857</v>
      </c>
      <c r="CB58">
        <v>537.87426171428569</v>
      </c>
      <c r="CC58">
        <v>526.22819946031746</v>
      </c>
      <c r="CD58">
        <v>692.41679999999997</v>
      </c>
      <c r="CE58">
        <v>61.646705821904753</v>
      </c>
      <c r="CF58">
        <v>110.50792188666667</v>
      </c>
      <c r="CG58">
        <v>165.76188283000002</v>
      </c>
      <c r="CH58">
        <v>262.30949681318396</v>
      </c>
      <c r="CI58">
        <v>276.26980471666673</v>
      </c>
      <c r="CJ58">
        <v>157.86845983809525</v>
      </c>
      <c r="CK58">
        <v>315.7369196761905</v>
      </c>
      <c r="CL58">
        <v>497.28564849000003</v>
      </c>
      <c r="CM58">
        <v>2539.8036400727078</v>
      </c>
      <c r="CN58">
        <v>789.34229919047618</v>
      </c>
      <c r="CO58">
        <v>3867.0202009774698</v>
      </c>
      <c r="CQ58">
        <v>423.8051506849315</v>
      </c>
      <c r="CR58">
        <v>127.14154520547945</v>
      </c>
      <c r="CS58">
        <v>434.18837687671237</v>
      </c>
      <c r="CT58">
        <v>22822.963997554118</v>
      </c>
      <c r="CY58">
        <v>0</v>
      </c>
      <c r="DB58">
        <v>12375.110400000001</v>
      </c>
      <c r="DE58" s="61">
        <v>22822.963997554118</v>
      </c>
    </row>
    <row r="59" spans="1:109" hidden="1" x14ac:dyDescent="0.3">
      <c r="A59">
        <v>1478</v>
      </c>
      <c r="B59" t="s">
        <v>687</v>
      </c>
      <c r="C59" t="s">
        <v>603</v>
      </c>
      <c r="D59" t="s">
        <v>604</v>
      </c>
      <c r="E59" t="s">
        <v>744</v>
      </c>
      <c r="F59" t="s">
        <v>616</v>
      </c>
      <c r="G59" t="s">
        <v>617</v>
      </c>
      <c r="H59" t="s">
        <v>622</v>
      </c>
      <c r="I59" t="s">
        <v>623</v>
      </c>
      <c r="J59" s="3">
        <v>44636</v>
      </c>
      <c r="K59">
        <v>2.882191780821918</v>
      </c>
      <c r="L59">
        <v>2</v>
      </c>
      <c r="M59" t="s">
        <v>735</v>
      </c>
      <c r="N59" t="s">
        <v>735</v>
      </c>
      <c r="O59">
        <v>1.0521</v>
      </c>
      <c r="P59">
        <v>3439.4559999999997</v>
      </c>
      <c r="Q59">
        <v>3439.4559999999997</v>
      </c>
      <c r="R59">
        <v>339.23</v>
      </c>
      <c r="S59">
        <v>356.90388300000001</v>
      </c>
      <c r="T59">
        <v>554.01</v>
      </c>
      <c r="U59">
        <v>910.91388299999994</v>
      </c>
      <c r="V59">
        <v>30.4</v>
      </c>
      <c r="W59">
        <v>10312.592000000001</v>
      </c>
      <c r="Z59">
        <v>3257.1428571428569</v>
      </c>
      <c r="AC59">
        <v>750</v>
      </c>
      <c r="AE59">
        <v>41.666666666666664</v>
      </c>
      <c r="AF59">
        <v>1031.2592</v>
      </c>
      <c r="AG59">
        <v>1031.2592</v>
      </c>
      <c r="AH59">
        <v>515.6296000000001</v>
      </c>
      <c r="AI59">
        <v>1031.2592000000002</v>
      </c>
      <c r="AJ59">
        <v>0</v>
      </c>
      <c r="AK59">
        <v>0</v>
      </c>
      <c r="AL59">
        <v>2062.5183999999999</v>
      </c>
      <c r="AM59">
        <v>13921.999200000002</v>
      </c>
      <c r="AN59">
        <v>17970.808723809525</v>
      </c>
      <c r="AO59">
        <v>17929.142057142861</v>
      </c>
      <c r="AQ59">
        <v>14319.734857142857</v>
      </c>
      <c r="AR59">
        <v>24076.191999999999</v>
      </c>
      <c r="AS59">
        <v>12375.110400000001</v>
      </c>
      <c r="AT59">
        <v>0</v>
      </c>
      <c r="AU59">
        <v>11701.081599999998</v>
      </c>
      <c r="AV59">
        <v>2062.5183999999999</v>
      </c>
      <c r="AW59">
        <v>0</v>
      </c>
      <c r="AX59">
        <v>16423.919923809524</v>
      </c>
      <c r="AY59">
        <v>15487.72</v>
      </c>
      <c r="AZ59">
        <v>936.19992380952499</v>
      </c>
      <c r="BA59">
        <v>0.21359999999999998</v>
      </c>
      <c r="BB59">
        <v>199.97230372571451</v>
      </c>
      <c r="BC59">
        <v>1640.18</v>
      </c>
      <c r="BD59">
        <v>1840.1523037257145</v>
      </c>
      <c r="BE59">
        <v>0</v>
      </c>
      <c r="BF59">
        <v>1840.1523037257145</v>
      </c>
      <c r="BG59">
        <v>134.96031746031744</v>
      </c>
      <c r="BH59">
        <v>0</v>
      </c>
      <c r="BI59">
        <v>1045.8742004603173</v>
      </c>
      <c r="BJ59">
        <v>3137.6226013809519</v>
      </c>
      <c r="BK59">
        <v>0</v>
      </c>
      <c r="BL59">
        <v>0</v>
      </c>
      <c r="BM59">
        <v>33.923000000000009</v>
      </c>
      <c r="BN59">
        <v>0</v>
      </c>
      <c r="BO59">
        <v>0</v>
      </c>
      <c r="BP59">
        <v>525.78720046031731</v>
      </c>
      <c r="BQ59">
        <v>525.78720046031731</v>
      </c>
      <c r="BR59">
        <v>22.364064055238075</v>
      </c>
      <c r="BS59">
        <v>39.434040034523797</v>
      </c>
      <c r="BT59">
        <v>59.151060051785699</v>
      </c>
      <c r="BU59">
        <v>98.585100086309495</v>
      </c>
      <c r="BV59">
        <v>177.45318015535707</v>
      </c>
      <c r="BW59">
        <v>396.98744438321415</v>
      </c>
      <c r="BX59">
        <v>15733.668975700597</v>
      </c>
      <c r="BY59">
        <v>1031.2592000000002</v>
      </c>
      <c r="BZ59">
        <v>14702.409775700597</v>
      </c>
      <c r="CA59">
        <v>17929.142057142857</v>
      </c>
      <c r="CB59">
        <v>537.87426171428569</v>
      </c>
      <c r="CC59">
        <v>525.78720046031731</v>
      </c>
      <c r="CD59">
        <v>692.41679999999997</v>
      </c>
      <c r="CE59">
        <v>61.501176151904701</v>
      </c>
      <c r="CF59">
        <v>110.41531209666664</v>
      </c>
      <c r="CG59">
        <v>165.62296814499996</v>
      </c>
      <c r="CH59">
        <v>262.08967160065481</v>
      </c>
      <c r="CI59">
        <v>276.03828024166666</v>
      </c>
      <c r="CJ59">
        <v>157.73616013809519</v>
      </c>
      <c r="CK59">
        <v>315.47232027619037</v>
      </c>
      <c r="CL59">
        <v>496.86890443499982</v>
      </c>
      <c r="CM59">
        <v>2538.1615930851781</v>
      </c>
      <c r="CN59">
        <v>788.68080069047596</v>
      </c>
      <c r="CO59">
        <v>3864.7166554899395</v>
      </c>
      <c r="CQ59">
        <v>423.8051506849315</v>
      </c>
      <c r="CR59">
        <v>113.01470684931508</v>
      </c>
      <c r="CS59">
        <v>433.76457172602744</v>
      </c>
      <c r="CT59">
        <v>22806.109808559733</v>
      </c>
      <c r="CY59">
        <v>0</v>
      </c>
      <c r="DB59">
        <v>12375.110400000001</v>
      </c>
      <c r="DE59" s="61">
        <v>22806.109808559733</v>
      </c>
    </row>
    <row r="60" spans="1:109" hidden="1" x14ac:dyDescent="0.3">
      <c r="A60">
        <v>1082</v>
      </c>
      <c r="B60" t="s">
        <v>602</v>
      </c>
      <c r="C60" t="s">
        <v>603</v>
      </c>
      <c r="D60" t="s">
        <v>604</v>
      </c>
      <c r="E60" t="s">
        <v>680</v>
      </c>
      <c r="F60" t="s">
        <v>681</v>
      </c>
      <c r="G60" t="s">
        <v>653</v>
      </c>
      <c r="H60" t="s">
        <v>608</v>
      </c>
      <c r="I60" t="s">
        <v>609</v>
      </c>
      <c r="J60" s="3">
        <v>44025</v>
      </c>
      <c r="K60">
        <v>4.5561643835616437</v>
      </c>
      <c r="L60">
        <v>4</v>
      </c>
      <c r="M60" t="s">
        <v>668</v>
      </c>
      <c r="N60" t="s">
        <v>668</v>
      </c>
      <c r="O60">
        <v>1.0548</v>
      </c>
      <c r="P60">
        <v>3439.4559999999997</v>
      </c>
      <c r="Q60">
        <v>3439.4559999999997</v>
      </c>
      <c r="R60">
        <v>428.07</v>
      </c>
      <c r="S60">
        <v>451.52823599999999</v>
      </c>
      <c r="T60">
        <v>0</v>
      </c>
      <c r="U60">
        <v>451.52823599999999</v>
      </c>
      <c r="V60">
        <v>30.4</v>
      </c>
      <c r="W60">
        <v>13013.328</v>
      </c>
      <c r="AE60">
        <v>41.666666666666664</v>
      </c>
      <c r="AF60">
        <v>1301.3327999999999</v>
      </c>
      <c r="AG60">
        <v>1301.3327999999999</v>
      </c>
      <c r="AH60">
        <v>650.66640000000007</v>
      </c>
      <c r="AI60">
        <v>1301.3328000000001</v>
      </c>
      <c r="AJ60">
        <v>0</v>
      </c>
      <c r="AK60">
        <v>0</v>
      </c>
      <c r="AL60">
        <v>2602.6655999999998</v>
      </c>
      <c r="AM60">
        <v>17567.9928</v>
      </c>
      <c r="AN60">
        <v>17609.659466666664</v>
      </c>
      <c r="AO60">
        <v>17567.9928</v>
      </c>
      <c r="AQ60">
        <v>13013.328</v>
      </c>
      <c r="AR60">
        <v>24076.191999999999</v>
      </c>
      <c r="AS60">
        <v>15615.9936</v>
      </c>
      <c r="AT60">
        <v>0</v>
      </c>
      <c r="AU60">
        <v>8460.1983999999993</v>
      </c>
      <c r="AV60">
        <v>2602.6655999999998</v>
      </c>
      <c r="AW60">
        <v>0</v>
      </c>
      <c r="AX60">
        <v>15657.660266666666</v>
      </c>
      <c r="AY60">
        <v>15487.72</v>
      </c>
      <c r="AZ60">
        <v>169.9402666666665</v>
      </c>
      <c r="BA60">
        <v>0.21359999999999998</v>
      </c>
      <c r="BB60">
        <v>36.299240959999963</v>
      </c>
      <c r="BC60">
        <v>1640.18</v>
      </c>
      <c r="BD60">
        <v>1676.47924096</v>
      </c>
      <c r="BE60">
        <v>0</v>
      </c>
      <c r="BF60">
        <v>1676.47924096</v>
      </c>
      <c r="BG60">
        <v>1.3888888888888888</v>
      </c>
      <c r="BH60">
        <v>0</v>
      </c>
      <c r="BI60">
        <v>452.91712488888891</v>
      </c>
      <c r="BJ60">
        <v>1358.7513746666668</v>
      </c>
      <c r="BK60">
        <v>0</v>
      </c>
      <c r="BL60">
        <v>0</v>
      </c>
      <c r="BM60">
        <v>42.807000000000009</v>
      </c>
      <c r="BN60">
        <v>0</v>
      </c>
      <c r="BO60">
        <v>0</v>
      </c>
      <c r="BP60">
        <v>495.72412488888892</v>
      </c>
      <c r="BQ60">
        <v>495.72412488888892</v>
      </c>
      <c r="BR60">
        <v>18.75649498666667</v>
      </c>
      <c r="BS60">
        <v>37.179309366666672</v>
      </c>
      <c r="BT60">
        <v>55.768964050000001</v>
      </c>
      <c r="BU60">
        <v>92.94827341666668</v>
      </c>
      <c r="BV60">
        <v>167.30689215000001</v>
      </c>
      <c r="BW60">
        <v>371.95993397000001</v>
      </c>
      <c r="BX60">
        <v>15561.220291736665</v>
      </c>
      <c r="BY60">
        <v>1301.3328000000001</v>
      </c>
      <c r="BZ60">
        <v>14259.887491736665</v>
      </c>
      <c r="CA60">
        <v>17567.9928</v>
      </c>
      <c r="CB60">
        <v>527.03978399999994</v>
      </c>
      <c r="CC60">
        <v>495.72412488888892</v>
      </c>
      <c r="CD60">
        <v>692.41679999999997</v>
      </c>
      <c r="CE60">
        <v>51.58036121333334</v>
      </c>
      <c r="CF60">
        <v>104.10206622666668</v>
      </c>
      <c r="CG60">
        <v>156.15309934000001</v>
      </c>
      <c r="CH60">
        <v>247.10410025748936</v>
      </c>
      <c r="CI60">
        <v>260.25516556666668</v>
      </c>
      <c r="CJ60">
        <v>148.71723746666669</v>
      </c>
      <c r="CK60">
        <v>297.43447493333338</v>
      </c>
      <c r="CL60">
        <v>468.45929802000001</v>
      </c>
      <c r="CM60">
        <v>2426.2226030241563</v>
      </c>
      <c r="CN60">
        <v>743.58618733333344</v>
      </c>
      <c r="CO60">
        <v>3696.8485743574897</v>
      </c>
      <c r="CQ60">
        <v>534.79430136986298</v>
      </c>
      <c r="CR60">
        <v>178.26476712328764</v>
      </c>
      <c r="CS60">
        <v>548.43155605479456</v>
      </c>
      <c r="CT60">
        <v>22567.9986655721</v>
      </c>
      <c r="CY60">
        <v>0</v>
      </c>
      <c r="DB60">
        <v>15615.9936</v>
      </c>
      <c r="DC60">
        <v>187.28062499999999</v>
      </c>
      <c r="DE60" s="61">
        <v>22755.2792905721</v>
      </c>
    </row>
    <row r="61" spans="1:109" hidden="1" x14ac:dyDescent="0.3">
      <c r="A61">
        <v>1500</v>
      </c>
      <c r="B61" t="s">
        <v>687</v>
      </c>
      <c r="C61" t="s">
        <v>603</v>
      </c>
      <c r="D61" t="s">
        <v>604</v>
      </c>
      <c r="E61" t="s">
        <v>746</v>
      </c>
      <c r="F61" t="s">
        <v>616</v>
      </c>
      <c r="G61" t="s">
        <v>617</v>
      </c>
      <c r="H61" t="s">
        <v>622</v>
      </c>
      <c r="I61" t="s">
        <v>623</v>
      </c>
      <c r="J61" s="3">
        <v>44678</v>
      </c>
      <c r="K61">
        <v>2.7671232876712328</v>
      </c>
      <c r="L61">
        <v>2</v>
      </c>
      <c r="M61" t="s">
        <v>735</v>
      </c>
      <c r="N61" t="s">
        <v>735</v>
      </c>
      <c r="O61">
        <v>1.0521</v>
      </c>
      <c r="P61">
        <v>3439.4559999999997</v>
      </c>
      <c r="Q61">
        <v>3439.4559999999997</v>
      </c>
      <c r="R61">
        <v>336.97</v>
      </c>
      <c r="S61">
        <v>354.52613700000006</v>
      </c>
      <c r="T61">
        <v>612.21</v>
      </c>
      <c r="U61">
        <v>966.7361370000001</v>
      </c>
      <c r="V61">
        <v>30.4</v>
      </c>
      <c r="W61">
        <v>10243.888000000001</v>
      </c>
      <c r="Z61">
        <v>3257.1428571428569</v>
      </c>
      <c r="AC61">
        <v>750</v>
      </c>
      <c r="AE61">
        <v>41.666666666666664</v>
      </c>
      <c r="AF61">
        <v>1024.3887999999999</v>
      </c>
      <c r="AG61">
        <v>1024.3887999999999</v>
      </c>
      <c r="AH61">
        <v>512.19440000000009</v>
      </c>
      <c r="AI61">
        <v>1024.3888000000002</v>
      </c>
      <c r="AJ61">
        <v>0</v>
      </c>
      <c r="AK61">
        <v>0</v>
      </c>
      <c r="AL61">
        <v>2048.7775999999999</v>
      </c>
      <c r="AM61">
        <v>13829.248800000001</v>
      </c>
      <c r="AN61">
        <v>17878.058323809524</v>
      </c>
      <c r="AO61">
        <v>17836.391657142856</v>
      </c>
      <c r="AQ61">
        <v>14251.030857142858</v>
      </c>
      <c r="AR61">
        <v>24076.191999999999</v>
      </c>
      <c r="AS61">
        <v>12292.6656</v>
      </c>
      <c r="AT61">
        <v>0</v>
      </c>
      <c r="AU61">
        <v>11783.526399999999</v>
      </c>
      <c r="AV61">
        <v>2048.7775999999999</v>
      </c>
      <c r="AW61">
        <v>0</v>
      </c>
      <c r="AX61">
        <v>16341.475123809525</v>
      </c>
      <c r="AY61">
        <v>15487.72</v>
      </c>
      <c r="AZ61">
        <v>853.75512380952568</v>
      </c>
      <c r="BA61">
        <v>0.21359999999999998</v>
      </c>
      <c r="BB61">
        <v>182.36209444571466</v>
      </c>
      <c r="BC61">
        <v>1640.18</v>
      </c>
      <c r="BD61">
        <v>1822.5420944457146</v>
      </c>
      <c r="BE61">
        <v>0</v>
      </c>
      <c r="BF61">
        <v>1822.5420944457146</v>
      </c>
      <c r="BG61">
        <v>134.96031746031744</v>
      </c>
      <c r="BH61">
        <v>0</v>
      </c>
      <c r="BI61">
        <v>1101.6964544603175</v>
      </c>
      <c r="BJ61">
        <v>3305.0893633809524</v>
      </c>
      <c r="BK61">
        <v>0</v>
      </c>
      <c r="BL61">
        <v>0</v>
      </c>
      <c r="BM61">
        <v>33.69700000000001</v>
      </c>
      <c r="BN61">
        <v>0</v>
      </c>
      <c r="BO61">
        <v>0</v>
      </c>
      <c r="BP61">
        <v>523.18345446031753</v>
      </c>
      <c r="BQ61">
        <v>523.18345446031753</v>
      </c>
      <c r="BR61">
        <v>22.051614535238102</v>
      </c>
      <c r="BS61">
        <v>39.238759084523814</v>
      </c>
      <c r="BT61">
        <v>58.858138626785724</v>
      </c>
      <c r="BU61">
        <v>98.096897711309538</v>
      </c>
      <c r="BV61">
        <v>176.57441588035715</v>
      </c>
      <c r="BW61">
        <v>394.81982583821434</v>
      </c>
      <c r="BX61">
        <v>15660.696403525595</v>
      </c>
      <c r="BY61">
        <v>1024.3888000000002</v>
      </c>
      <c r="BZ61">
        <v>14636.307603525594</v>
      </c>
      <c r="CA61">
        <v>17836.39165714286</v>
      </c>
      <c r="CB61">
        <v>535.09174971428581</v>
      </c>
      <c r="CC61">
        <v>523.18345446031753</v>
      </c>
      <c r="CD61">
        <v>692.41679999999997</v>
      </c>
      <c r="CE61">
        <v>60.641939971904783</v>
      </c>
      <c r="CF61">
        <v>109.86852543666669</v>
      </c>
      <c r="CG61">
        <v>164.80278815500006</v>
      </c>
      <c r="CH61">
        <v>260.79177972828893</v>
      </c>
      <c r="CI61">
        <v>274.67131359166677</v>
      </c>
      <c r="CJ61">
        <v>156.95503633809525</v>
      </c>
      <c r="CK61">
        <v>313.91007267619051</v>
      </c>
      <c r="CL61">
        <v>494.40836446500009</v>
      </c>
      <c r="CM61">
        <v>2528.466620362813</v>
      </c>
      <c r="CN61">
        <v>784.7751816904763</v>
      </c>
      <c r="CO61">
        <v>3848.333551767575</v>
      </c>
      <c r="CQ61">
        <v>420.98169863013703</v>
      </c>
      <c r="CR61">
        <v>112.26178630136987</v>
      </c>
      <c r="CS61">
        <v>430.87476854794522</v>
      </c>
      <c r="CT61">
        <v>22690.510129056554</v>
      </c>
      <c r="CY61">
        <v>0</v>
      </c>
      <c r="DB61">
        <v>12292.665600000002</v>
      </c>
      <c r="DE61" s="61">
        <v>22690.510129056554</v>
      </c>
    </row>
    <row r="62" spans="1:109" hidden="1" x14ac:dyDescent="0.3">
      <c r="A62">
        <v>1554</v>
      </c>
      <c r="B62" t="s">
        <v>687</v>
      </c>
      <c r="C62" t="s">
        <v>603</v>
      </c>
      <c r="D62" t="s">
        <v>604</v>
      </c>
      <c r="E62" t="s">
        <v>756</v>
      </c>
      <c r="F62" t="s">
        <v>616</v>
      </c>
      <c r="G62" t="s">
        <v>617</v>
      </c>
      <c r="H62" t="s">
        <v>622</v>
      </c>
      <c r="I62" t="s">
        <v>623</v>
      </c>
      <c r="J62" s="3">
        <v>44810</v>
      </c>
      <c r="K62">
        <v>2.4054794520547946</v>
      </c>
      <c r="L62">
        <v>2</v>
      </c>
      <c r="M62" t="s">
        <v>735</v>
      </c>
      <c r="N62" t="s">
        <v>735</v>
      </c>
      <c r="O62">
        <v>1.0521</v>
      </c>
      <c r="P62">
        <v>3439.4559999999997</v>
      </c>
      <c r="Q62">
        <v>3439.4559999999997</v>
      </c>
      <c r="R62">
        <v>336.97</v>
      </c>
      <c r="S62">
        <v>354.52613700000006</v>
      </c>
      <c r="T62">
        <v>570.86</v>
      </c>
      <c r="U62">
        <v>925.38613700000008</v>
      </c>
      <c r="V62">
        <v>30.4</v>
      </c>
      <c r="W62">
        <v>10243.888000000001</v>
      </c>
      <c r="Z62">
        <v>3257.1428571428569</v>
      </c>
      <c r="AC62">
        <v>750</v>
      </c>
      <c r="AE62">
        <v>41.666666666666664</v>
      </c>
      <c r="AF62">
        <v>1024.3887999999999</v>
      </c>
      <c r="AG62">
        <v>1024.3887999999999</v>
      </c>
      <c r="AH62">
        <v>512.19440000000009</v>
      </c>
      <c r="AI62">
        <v>1024.3888000000002</v>
      </c>
      <c r="AJ62">
        <v>0</v>
      </c>
      <c r="AK62">
        <v>0</v>
      </c>
      <c r="AL62">
        <v>2048.7775999999999</v>
      </c>
      <c r="AM62">
        <v>13829.248800000001</v>
      </c>
      <c r="AN62">
        <v>17878.058323809524</v>
      </c>
      <c r="AO62">
        <v>17836.391657142856</v>
      </c>
      <c r="AQ62">
        <v>14251.030857142858</v>
      </c>
      <c r="AR62">
        <v>24076.191999999999</v>
      </c>
      <c r="AS62">
        <v>12292.6656</v>
      </c>
      <c r="AT62">
        <v>0</v>
      </c>
      <c r="AU62">
        <v>11783.526399999999</v>
      </c>
      <c r="AV62">
        <v>2048.7775999999999</v>
      </c>
      <c r="AW62">
        <v>0</v>
      </c>
      <c r="AX62">
        <v>16341.475123809525</v>
      </c>
      <c r="AY62">
        <v>15487.72</v>
      </c>
      <c r="AZ62">
        <v>853.75512380952568</v>
      </c>
      <c r="BA62">
        <v>0.21359999999999998</v>
      </c>
      <c r="BB62">
        <v>182.36209444571466</v>
      </c>
      <c r="BC62">
        <v>1640.18</v>
      </c>
      <c r="BD62">
        <v>1822.5420944457146</v>
      </c>
      <c r="BE62">
        <v>0</v>
      </c>
      <c r="BF62">
        <v>1822.5420944457146</v>
      </c>
      <c r="BG62">
        <v>134.96031746031744</v>
      </c>
      <c r="BH62">
        <v>0</v>
      </c>
      <c r="BI62">
        <v>1060.3464544603175</v>
      </c>
      <c r="BJ62">
        <v>3181.0393633809526</v>
      </c>
      <c r="BK62">
        <v>0</v>
      </c>
      <c r="BL62">
        <v>0</v>
      </c>
      <c r="BM62">
        <v>33.69700000000001</v>
      </c>
      <c r="BN62">
        <v>0</v>
      </c>
      <c r="BO62">
        <v>0</v>
      </c>
      <c r="BP62">
        <v>523.18345446031765</v>
      </c>
      <c r="BQ62">
        <v>523.18345446031765</v>
      </c>
      <c r="BR62">
        <v>22.051614535238116</v>
      </c>
      <c r="BS62">
        <v>39.238759084523828</v>
      </c>
      <c r="BT62">
        <v>58.858138626785738</v>
      </c>
      <c r="BU62">
        <v>98.096897711309566</v>
      </c>
      <c r="BV62">
        <v>176.57441588035721</v>
      </c>
      <c r="BW62">
        <v>394.81982583821446</v>
      </c>
      <c r="BX62">
        <v>15660.696403525595</v>
      </c>
      <c r="BY62">
        <v>1024.3888000000002</v>
      </c>
      <c r="BZ62">
        <v>14636.307603525594</v>
      </c>
      <c r="CA62">
        <v>17836.39165714286</v>
      </c>
      <c r="CB62">
        <v>535.09174971428581</v>
      </c>
      <c r="CC62">
        <v>523.18345446031765</v>
      </c>
      <c r="CD62">
        <v>692.41679999999997</v>
      </c>
      <c r="CE62">
        <v>60.641939971904819</v>
      </c>
      <c r="CF62">
        <v>109.8685254366667</v>
      </c>
      <c r="CG62">
        <v>164.80278815500009</v>
      </c>
      <c r="CH62">
        <v>260.79177972828899</v>
      </c>
      <c r="CI62">
        <v>274.67131359166683</v>
      </c>
      <c r="CJ62">
        <v>156.95503633809531</v>
      </c>
      <c r="CK62">
        <v>313.91007267619062</v>
      </c>
      <c r="CL62">
        <v>494.4083644650002</v>
      </c>
      <c r="CM62">
        <v>2528.4666203628135</v>
      </c>
      <c r="CN62">
        <v>784.77518169047653</v>
      </c>
      <c r="CO62">
        <v>3848.333551767576</v>
      </c>
      <c r="CQ62">
        <v>420.98169863013703</v>
      </c>
      <c r="CR62">
        <v>112.26178630136987</v>
      </c>
      <c r="CS62">
        <v>430.87476854794522</v>
      </c>
      <c r="CT62">
        <v>22690.510129056554</v>
      </c>
      <c r="CY62">
        <v>0</v>
      </c>
      <c r="DB62">
        <v>12292.665600000002</v>
      </c>
      <c r="DE62" s="61">
        <v>22690.510129056554</v>
      </c>
    </row>
    <row r="63" spans="1:109" hidden="1" x14ac:dyDescent="0.3">
      <c r="A63">
        <v>1672</v>
      </c>
      <c r="B63" t="s">
        <v>687</v>
      </c>
      <c r="C63" t="s">
        <v>603</v>
      </c>
      <c r="D63" t="s">
        <v>604</v>
      </c>
      <c r="E63" t="s">
        <v>774</v>
      </c>
      <c r="F63" t="s">
        <v>616</v>
      </c>
      <c r="G63" t="s">
        <v>617</v>
      </c>
      <c r="H63" t="s">
        <v>622</v>
      </c>
      <c r="I63" t="s">
        <v>623</v>
      </c>
      <c r="J63" s="3">
        <v>44943</v>
      </c>
      <c r="K63">
        <v>2.0410958904109591</v>
      </c>
      <c r="L63">
        <v>2</v>
      </c>
      <c r="M63" t="s">
        <v>735</v>
      </c>
      <c r="N63" t="s">
        <v>735</v>
      </c>
      <c r="O63">
        <v>1.0521</v>
      </c>
      <c r="P63">
        <v>3439.4559999999997</v>
      </c>
      <c r="Q63">
        <v>3439.4559999999997</v>
      </c>
      <c r="R63">
        <v>336.97</v>
      </c>
      <c r="S63">
        <v>354.52613700000006</v>
      </c>
      <c r="T63">
        <v>543.4</v>
      </c>
      <c r="U63">
        <v>897.92613700000004</v>
      </c>
      <c r="V63">
        <v>30.4</v>
      </c>
      <c r="W63">
        <v>10243.888000000001</v>
      </c>
      <c r="Z63">
        <v>3257.1428571428569</v>
      </c>
      <c r="AC63">
        <v>750</v>
      </c>
      <c r="AE63">
        <v>41.666666666666664</v>
      </c>
      <c r="AF63">
        <v>1024.3887999999999</v>
      </c>
      <c r="AG63">
        <v>1024.3887999999999</v>
      </c>
      <c r="AH63">
        <v>512.19440000000009</v>
      </c>
      <c r="AI63">
        <v>1024.3888000000002</v>
      </c>
      <c r="AJ63">
        <v>0</v>
      </c>
      <c r="AK63">
        <v>0</v>
      </c>
      <c r="AL63">
        <v>2048.7775999999999</v>
      </c>
      <c r="AM63">
        <v>13829.248800000001</v>
      </c>
      <c r="AN63">
        <v>17878.058323809524</v>
      </c>
      <c r="AO63">
        <v>17836.391657142856</v>
      </c>
      <c r="AQ63">
        <v>14251.030857142858</v>
      </c>
      <c r="AR63">
        <v>24076.191999999999</v>
      </c>
      <c r="AS63">
        <v>12292.6656</v>
      </c>
      <c r="AT63">
        <v>0</v>
      </c>
      <c r="AU63">
        <v>11783.526399999999</v>
      </c>
      <c r="AV63">
        <v>2048.7775999999999</v>
      </c>
      <c r="AW63">
        <v>0</v>
      </c>
      <c r="AX63">
        <v>16341.475123809525</v>
      </c>
      <c r="AY63">
        <v>15487.72</v>
      </c>
      <c r="AZ63">
        <v>853.75512380952568</v>
      </c>
      <c r="BA63">
        <v>0.21359999999999998</v>
      </c>
      <c r="BB63">
        <v>182.36209444571466</v>
      </c>
      <c r="BC63">
        <v>1640.18</v>
      </c>
      <c r="BD63">
        <v>1822.5420944457146</v>
      </c>
      <c r="BE63">
        <v>0</v>
      </c>
      <c r="BF63">
        <v>1822.5420944457146</v>
      </c>
      <c r="BG63">
        <v>134.96031746031744</v>
      </c>
      <c r="BH63">
        <v>0</v>
      </c>
      <c r="BI63">
        <v>1032.8864544603175</v>
      </c>
      <c r="BJ63">
        <v>3098.659363380953</v>
      </c>
      <c r="BK63">
        <v>0</v>
      </c>
      <c r="BL63">
        <v>0</v>
      </c>
      <c r="BM63">
        <v>33.69700000000001</v>
      </c>
      <c r="BN63">
        <v>0</v>
      </c>
      <c r="BO63">
        <v>0</v>
      </c>
      <c r="BP63">
        <v>523.18345446031765</v>
      </c>
      <c r="BQ63">
        <v>523.18345446031765</v>
      </c>
      <c r="BR63">
        <v>22.051614535238116</v>
      </c>
      <c r="BS63">
        <v>39.238759084523828</v>
      </c>
      <c r="BT63">
        <v>58.858138626785738</v>
      </c>
      <c r="BU63">
        <v>98.096897711309566</v>
      </c>
      <c r="BV63">
        <v>176.57441588035721</v>
      </c>
      <c r="BW63">
        <v>394.81982583821446</v>
      </c>
      <c r="BX63">
        <v>15660.696403525595</v>
      </c>
      <c r="BY63">
        <v>1024.3888000000002</v>
      </c>
      <c r="BZ63">
        <v>14636.307603525594</v>
      </c>
      <c r="CA63">
        <v>17836.39165714286</v>
      </c>
      <c r="CB63">
        <v>535.09174971428581</v>
      </c>
      <c r="CC63">
        <v>523.18345446031765</v>
      </c>
      <c r="CD63">
        <v>692.41679999999997</v>
      </c>
      <c r="CE63">
        <v>60.641939971904819</v>
      </c>
      <c r="CF63">
        <v>109.8685254366667</v>
      </c>
      <c r="CG63">
        <v>164.80278815500009</v>
      </c>
      <c r="CH63">
        <v>260.79177972828899</v>
      </c>
      <c r="CI63">
        <v>274.67131359166683</v>
      </c>
      <c r="CJ63">
        <v>156.95503633809531</v>
      </c>
      <c r="CK63">
        <v>313.91007267619062</v>
      </c>
      <c r="CL63">
        <v>494.4083644650002</v>
      </c>
      <c r="CM63">
        <v>2528.4666203628135</v>
      </c>
      <c r="CN63">
        <v>784.77518169047653</v>
      </c>
      <c r="CO63">
        <v>3848.333551767576</v>
      </c>
      <c r="CQ63">
        <v>420.98169863013703</v>
      </c>
      <c r="CR63">
        <v>112.26178630136987</v>
      </c>
      <c r="CS63">
        <v>430.87476854794522</v>
      </c>
      <c r="CT63">
        <v>22690.510129056554</v>
      </c>
      <c r="CY63">
        <v>0</v>
      </c>
      <c r="DB63">
        <v>12292.665600000002</v>
      </c>
      <c r="DE63" s="61">
        <v>22690.510129056554</v>
      </c>
    </row>
    <row r="64" spans="1:109" x14ac:dyDescent="0.3">
      <c r="A64">
        <v>1761</v>
      </c>
      <c r="B64" t="s">
        <v>602</v>
      </c>
      <c r="C64" t="s">
        <v>603</v>
      </c>
      <c r="D64" t="s">
        <v>604</v>
      </c>
      <c r="E64" t="s">
        <v>803</v>
      </c>
      <c r="F64" t="s">
        <v>629</v>
      </c>
      <c r="G64" t="s">
        <v>630</v>
      </c>
      <c r="H64" t="s">
        <v>622</v>
      </c>
      <c r="I64" t="s">
        <v>623</v>
      </c>
      <c r="J64" s="3">
        <v>45314</v>
      </c>
      <c r="K64">
        <v>1.0246575342465754</v>
      </c>
      <c r="L64">
        <v>1</v>
      </c>
      <c r="M64" t="s">
        <v>676</v>
      </c>
      <c r="N64" t="s">
        <v>676</v>
      </c>
      <c r="O64">
        <v>1.0507</v>
      </c>
      <c r="P64">
        <v>3439.4559999999997</v>
      </c>
      <c r="Q64">
        <v>3439.4559999999997</v>
      </c>
      <c r="R64">
        <v>288.8</v>
      </c>
      <c r="S64">
        <v>303.44216</v>
      </c>
      <c r="T64">
        <v>187.24</v>
      </c>
      <c r="U64">
        <v>490.68216000000001</v>
      </c>
      <c r="V64">
        <v>30.4</v>
      </c>
      <c r="W64">
        <v>8779.52</v>
      </c>
      <c r="X64">
        <v>1122.3245714285715</v>
      </c>
      <c r="AD64">
        <v>4760</v>
      </c>
      <c r="AE64">
        <v>41.666666666666664</v>
      </c>
      <c r="AF64">
        <v>877.952</v>
      </c>
      <c r="AG64">
        <v>877.952</v>
      </c>
      <c r="AH64">
        <v>438.97600000000006</v>
      </c>
      <c r="AI64">
        <v>877.95200000000011</v>
      </c>
      <c r="AJ64">
        <v>0</v>
      </c>
      <c r="AK64">
        <v>0</v>
      </c>
      <c r="AL64">
        <v>1755.904</v>
      </c>
      <c r="AM64">
        <v>11852.352000000001</v>
      </c>
      <c r="AN64">
        <v>17776.343238095236</v>
      </c>
      <c r="AO64">
        <v>17734.676571428572</v>
      </c>
      <c r="AQ64">
        <v>13581.186666666666</v>
      </c>
      <c r="AR64">
        <v>24076.191999999999</v>
      </c>
      <c r="AS64">
        <v>10535.424000000001</v>
      </c>
      <c r="AT64">
        <v>0</v>
      </c>
      <c r="AU64">
        <v>13540.767999999998</v>
      </c>
      <c r="AV64">
        <v>1755.904</v>
      </c>
      <c r="AW64">
        <v>0</v>
      </c>
      <c r="AX64">
        <v>16459.415238095236</v>
      </c>
      <c r="AY64">
        <v>15487.72</v>
      </c>
      <c r="AZ64">
        <v>971.69523809523707</v>
      </c>
      <c r="BA64">
        <v>0.21359999999999998</v>
      </c>
      <c r="BB64">
        <v>207.55410285714262</v>
      </c>
      <c r="BC64">
        <v>1640.18</v>
      </c>
      <c r="BD64">
        <v>1847.7341028571427</v>
      </c>
      <c r="BE64">
        <v>0</v>
      </c>
      <c r="BF64">
        <v>1847.7341028571427</v>
      </c>
      <c r="BG64">
        <v>197.46637460317461</v>
      </c>
      <c r="BH64">
        <v>0</v>
      </c>
      <c r="BI64">
        <v>688.14853460317465</v>
      </c>
      <c r="BJ64">
        <v>2064.4456038095241</v>
      </c>
      <c r="BK64">
        <v>0</v>
      </c>
      <c r="BL64">
        <v>0</v>
      </c>
      <c r="BM64">
        <v>28.880000000000006</v>
      </c>
      <c r="BN64">
        <v>0</v>
      </c>
      <c r="BO64">
        <v>0</v>
      </c>
      <c r="BP64">
        <v>529.78853460317464</v>
      </c>
      <c r="BQ64">
        <v>529.78853460317464</v>
      </c>
      <c r="BR64">
        <v>22.844224152380956</v>
      </c>
      <c r="BS64">
        <v>39.734140095238097</v>
      </c>
      <c r="BT64">
        <v>59.601210142857148</v>
      </c>
      <c r="BU64">
        <v>99.335350238095245</v>
      </c>
      <c r="BV64">
        <v>178.80363042857144</v>
      </c>
      <c r="BW64">
        <v>400.31855505714293</v>
      </c>
      <c r="BX64">
        <v>15528.29058018095</v>
      </c>
      <c r="BY64">
        <v>877.95200000000011</v>
      </c>
      <c r="BZ64">
        <v>14650.338580180951</v>
      </c>
      <c r="CA64">
        <v>18857.001142857145</v>
      </c>
      <c r="CB64">
        <v>565.7100342857143</v>
      </c>
      <c r="CC64">
        <v>529.78853460317464</v>
      </c>
      <c r="CD64">
        <v>692.41679999999997</v>
      </c>
      <c r="CE64">
        <v>62.821616419047622</v>
      </c>
      <c r="CF64">
        <v>111.25559226666668</v>
      </c>
      <c r="CG64">
        <v>166.88338840000003</v>
      </c>
      <c r="CH64">
        <v>264.0842206321791</v>
      </c>
      <c r="CI64">
        <v>278.13898066666673</v>
      </c>
      <c r="CJ64">
        <v>158.93656038095239</v>
      </c>
      <c r="CK64">
        <v>317.87312076190477</v>
      </c>
      <c r="CL64">
        <v>500.6501652</v>
      </c>
      <c r="CM64">
        <v>2553.0604447274172</v>
      </c>
      <c r="CN64">
        <v>794.68280190476196</v>
      </c>
      <c r="CO64">
        <v>3913.4532809178936</v>
      </c>
      <c r="CQ64">
        <v>360.80219178082194</v>
      </c>
      <c r="CR64">
        <v>84.187178082191778</v>
      </c>
      <c r="CS64">
        <v>368.92024109589039</v>
      </c>
      <c r="CT64">
        <v>22503.706129972034</v>
      </c>
      <c r="CY64">
        <v>0</v>
      </c>
      <c r="DB64">
        <v>10535.423999999999</v>
      </c>
      <c r="DE64" s="61">
        <v>22503.706129972034</v>
      </c>
    </row>
    <row r="65" spans="1:109" x14ac:dyDescent="0.3">
      <c r="A65">
        <v>1526</v>
      </c>
      <c r="B65" t="s">
        <v>602</v>
      </c>
      <c r="C65" t="s">
        <v>603</v>
      </c>
      <c r="D65" t="s">
        <v>604</v>
      </c>
      <c r="E65" t="s">
        <v>751</v>
      </c>
      <c r="F65" t="s">
        <v>629</v>
      </c>
      <c r="G65" t="s">
        <v>630</v>
      </c>
      <c r="H65" t="s">
        <v>622</v>
      </c>
      <c r="I65" t="s">
        <v>623</v>
      </c>
      <c r="J65" s="3">
        <v>45061</v>
      </c>
      <c r="K65">
        <v>1.7178082191780821</v>
      </c>
      <c r="L65">
        <v>1</v>
      </c>
      <c r="M65" t="s">
        <v>676</v>
      </c>
      <c r="N65" t="s">
        <v>676</v>
      </c>
      <c r="O65">
        <v>1.0507</v>
      </c>
      <c r="P65">
        <v>3439.4559999999997</v>
      </c>
      <c r="Q65">
        <v>3439.4559999999997</v>
      </c>
      <c r="R65">
        <v>288.8</v>
      </c>
      <c r="S65">
        <v>303.44216</v>
      </c>
      <c r="T65">
        <v>215.15</v>
      </c>
      <c r="U65">
        <v>518.59216000000004</v>
      </c>
      <c r="V65">
        <v>30.4</v>
      </c>
      <c r="W65">
        <v>8779.52</v>
      </c>
      <c r="X65">
        <v>1459.1999999999998</v>
      </c>
      <c r="AD65">
        <v>4400</v>
      </c>
      <c r="AE65">
        <v>41.666666666666664</v>
      </c>
      <c r="AF65">
        <v>877.952</v>
      </c>
      <c r="AG65">
        <v>877.952</v>
      </c>
      <c r="AH65">
        <v>438.97600000000006</v>
      </c>
      <c r="AI65">
        <v>877.95200000000011</v>
      </c>
      <c r="AJ65">
        <v>0</v>
      </c>
      <c r="AK65">
        <v>0</v>
      </c>
      <c r="AL65">
        <v>1755.904</v>
      </c>
      <c r="AM65">
        <v>11852.352000000001</v>
      </c>
      <c r="AN65">
        <v>17753.218666666668</v>
      </c>
      <c r="AO65">
        <v>17711.552</v>
      </c>
      <c r="AQ65">
        <v>13221.186666666666</v>
      </c>
      <c r="AR65">
        <v>24076.191999999999</v>
      </c>
      <c r="AS65">
        <v>10535.424000000001</v>
      </c>
      <c r="AT65">
        <v>0</v>
      </c>
      <c r="AU65">
        <v>13540.767999999998</v>
      </c>
      <c r="AV65">
        <v>1755.904</v>
      </c>
      <c r="AW65">
        <v>0</v>
      </c>
      <c r="AX65">
        <v>16436.290666666668</v>
      </c>
      <c r="AY65">
        <v>15487.72</v>
      </c>
      <c r="AZ65">
        <v>948.57066666666833</v>
      </c>
      <c r="BA65">
        <v>0.21359999999999998</v>
      </c>
      <c r="BB65">
        <v>202.61469440000033</v>
      </c>
      <c r="BC65">
        <v>1640.18</v>
      </c>
      <c r="BD65">
        <v>1842.7946944000005</v>
      </c>
      <c r="BE65">
        <v>0</v>
      </c>
      <c r="BF65">
        <v>1842.7946944000005</v>
      </c>
      <c r="BG65">
        <v>196.69555555555556</v>
      </c>
      <c r="BH65">
        <v>0</v>
      </c>
      <c r="BI65">
        <v>715.28771555555556</v>
      </c>
      <c r="BJ65">
        <v>2145.8631466666666</v>
      </c>
      <c r="BK65">
        <v>0</v>
      </c>
      <c r="BL65">
        <v>0</v>
      </c>
      <c r="BM65">
        <v>28.880000000000006</v>
      </c>
      <c r="BN65">
        <v>0</v>
      </c>
      <c r="BO65">
        <v>0</v>
      </c>
      <c r="BP65">
        <v>529.01771555555558</v>
      </c>
      <c r="BQ65">
        <v>529.01771555555558</v>
      </c>
      <c r="BR65">
        <v>22.751725866666668</v>
      </c>
      <c r="BS65">
        <v>39.67632866666667</v>
      </c>
      <c r="BT65">
        <v>59.514493000000002</v>
      </c>
      <c r="BU65">
        <v>99.190821666666679</v>
      </c>
      <c r="BV65">
        <v>178.54347899999999</v>
      </c>
      <c r="BW65">
        <v>399.67684819999999</v>
      </c>
      <c r="BX65">
        <v>15510.747124066667</v>
      </c>
      <c r="BY65">
        <v>877.95200000000011</v>
      </c>
      <c r="BZ65">
        <v>14632.795124066668</v>
      </c>
      <c r="CA65">
        <v>19170.752000000004</v>
      </c>
      <c r="CB65">
        <v>575.12256000000014</v>
      </c>
      <c r="CC65">
        <v>529.01771555555558</v>
      </c>
      <c r="CD65">
        <v>692.41679999999997</v>
      </c>
      <c r="CE65">
        <v>62.567246133333335</v>
      </c>
      <c r="CF65">
        <v>111.09372026666666</v>
      </c>
      <c r="CG65">
        <v>166.6405804</v>
      </c>
      <c r="CH65">
        <v>263.69998969069331</v>
      </c>
      <c r="CI65">
        <v>277.73430066666668</v>
      </c>
      <c r="CJ65">
        <v>158.70531466666668</v>
      </c>
      <c r="CK65">
        <v>317.41062933333336</v>
      </c>
      <c r="CL65">
        <v>499.92174120000004</v>
      </c>
      <c r="CM65">
        <v>2550.1903223573599</v>
      </c>
      <c r="CN65">
        <v>793.52657333333343</v>
      </c>
      <c r="CO65">
        <v>3918.8394556906937</v>
      </c>
      <c r="CQ65">
        <v>360.80219178082194</v>
      </c>
      <c r="CR65">
        <v>84.187178082191778</v>
      </c>
      <c r="CS65">
        <v>368.92024109589039</v>
      </c>
      <c r="CT65">
        <v>22485.967733316265</v>
      </c>
      <c r="CY65">
        <v>0</v>
      </c>
      <c r="DB65">
        <v>10535.423999999999</v>
      </c>
      <c r="DE65" s="61">
        <v>22485.967733316265</v>
      </c>
    </row>
    <row r="66" spans="1:109" hidden="1" x14ac:dyDescent="0.3">
      <c r="A66">
        <v>1005</v>
      </c>
      <c r="B66" t="s">
        <v>602</v>
      </c>
      <c r="C66" t="s">
        <v>603</v>
      </c>
      <c r="D66" t="s">
        <v>604</v>
      </c>
      <c r="E66" t="s">
        <v>615</v>
      </c>
      <c r="F66" t="s">
        <v>616</v>
      </c>
      <c r="G66" t="s">
        <v>617</v>
      </c>
      <c r="H66" t="s">
        <v>608</v>
      </c>
      <c r="I66" t="s">
        <v>609</v>
      </c>
      <c r="J66" s="3">
        <v>40679</v>
      </c>
      <c r="K66">
        <v>13.723287671232876</v>
      </c>
      <c r="L66">
        <v>13</v>
      </c>
      <c r="M66" t="s">
        <v>618</v>
      </c>
      <c r="N66" t="s">
        <v>618</v>
      </c>
      <c r="O66">
        <v>1.0575000000000001</v>
      </c>
      <c r="P66">
        <v>3439.4559999999997</v>
      </c>
      <c r="Q66">
        <v>3439.4559999999997</v>
      </c>
      <c r="R66">
        <v>386.02</v>
      </c>
      <c r="S66">
        <v>408.21615000000003</v>
      </c>
      <c r="T66">
        <v>23.95</v>
      </c>
      <c r="U66">
        <v>432.16615000000002</v>
      </c>
      <c r="V66">
        <v>30.4</v>
      </c>
      <c r="W66">
        <v>11735.007999999998</v>
      </c>
      <c r="AC66">
        <v>750</v>
      </c>
      <c r="AE66">
        <v>41.666666666666664</v>
      </c>
      <c r="AF66">
        <v>1173.5008</v>
      </c>
      <c r="AG66">
        <v>1173.5008</v>
      </c>
      <c r="AH66">
        <v>586.7503999999999</v>
      </c>
      <c r="AI66">
        <v>1173.5007999999998</v>
      </c>
      <c r="AJ66">
        <v>0</v>
      </c>
      <c r="AK66">
        <v>0</v>
      </c>
      <c r="AL66">
        <v>2347.0016000000001</v>
      </c>
      <c r="AM66">
        <v>15842.260799999998</v>
      </c>
      <c r="AN66">
        <v>16633.927466666661</v>
      </c>
      <c r="AO66">
        <v>16592.260799999996</v>
      </c>
      <c r="AQ66">
        <v>12485.007999999998</v>
      </c>
      <c r="AR66">
        <v>24076.191999999999</v>
      </c>
      <c r="AS66">
        <v>14082.009599999998</v>
      </c>
      <c r="AT66">
        <v>0</v>
      </c>
      <c r="AU66">
        <v>9994.1824000000015</v>
      </c>
      <c r="AV66">
        <v>2347.0016000000001</v>
      </c>
      <c r="AW66">
        <v>0</v>
      </c>
      <c r="AX66">
        <v>14873.676266666664</v>
      </c>
      <c r="AY66">
        <v>12935.83</v>
      </c>
      <c r="AZ66">
        <v>1937.8462666666637</v>
      </c>
      <c r="BA66">
        <v>0.17920000000000003</v>
      </c>
      <c r="BB66">
        <v>347.26205098666617</v>
      </c>
      <c r="BC66">
        <v>1182.8800000000001</v>
      </c>
      <c r="BD66">
        <v>1530.1420509866662</v>
      </c>
      <c r="BE66">
        <v>0</v>
      </c>
      <c r="BF66">
        <v>1530.1420509866662</v>
      </c>
      <c r="BG66">
        <v>26.388888888888889</v>
      </c>
      <c r="BH66">
        <v>0</v>
      </c>
      <c r="BI66">
        <v>458.55503888888893</v>
      </c>
      <c r="BJ66">
        <v>1375.665116666667</v>
      </c>
      <c r="BK66">
        <v>0</v>
      </c>
      <c r="BL66">
        <v>0</v>
      </c>
      <c r="BM66">
        <v>38.601999999999997</v>
      </c>
      <c r="BN66">
        <v>0</v>
      </c>
      <c r="BO66">
        <v>0</v>
      </c>
      <c r="BP66">
        <v>473.20703888888892</v>
      </c>
      <c r="BQ66">
        <v>473.20703888888892</v>
      </c>
      <c r="BR66">
        <v>16.054444666666669</v>
      </c>
      <c r="BS66">
        <v>35.490527916666672</v>
      </c>
      <c r="BT66">
        <v>53.235791874999997</v>
      </c>
      <c r="BU66">
        <v>88.726319791666668</v>
      </c>
      <c r="BV66">
        <v>159.707375625</v>
      </c>
      <c r="BW66">
        <v>353.21445987499999</v>
      </c>
      <c r="BX66">
        <v>14750.570955804995</v>
      </c>
      <c r="BY66">
        <v>1173.5007999999998</v>
      </c>
      <c r="BZ66">
        <v>13577.070155804995</v>
      </c>
      <c r="CA66">
        <v>16592.260799999996</v>
      </c>
      <c r="CB66">
        <v>497.76782399999985</v>
      </c>
      <c r="CC66">
        <v>473.20703888888892</v>
      </c>
      <c r="CD66">
        <v>692.41679999999997</v>
      </c>
      <c r="CE66">
        <v>44.149722833333335</v>
      </c>
      <c r="CF66">
        <v>99.373478166666672</v>
      </c>
      <c r="CG66">
        <v>149.06021725000002</v>
      </c>
      <c r="CH66">
        <v>235.87998588198334</v>
      </c>
      <c r="CI66">
        <v>248.43369541666672</v>
      </c>
      <c r="CJ66">
        <v>141.96211166666669</v>
      </c>
      <c r="CK66">
        <v>283.92422333333337</v>
      </c>
      <c r="CL66">
        <v>447.18065175000004</v>
      </c>
      <c r="CM66">
        <v>2342.3808862986502</v>
      </c>
      <c r="CN66">
        <v>709.81055833333335</v>
      </c>
      <c r="CO66">
        <v>3549.9592686319838</v>
      </c>
      <c r="CQ66">
        <v>482.26060273972598</v>
      </c>
      <c r="CR66">
        <v>192.90424109589037</v>
      </c>
      <c r="CS66">
        <v>495.52276931506839</v>
      </c>
      <c r="CT66">
        <v>21354.574348449332</v>
      </c>
      <c r="CY66">
        <v>0</v>
      </c>
      <c r="DB66">
        <v>14082.009599999998</v>
      </c>
      <c r="DC66">
        <v>164.50874999999999</v>
      </c>
      <c r="DE66" s="61">
        <v>21519.083098449333</v>
      </c>
    </row>
    <row r="67" spans="1:109" hidden="1" x14ac:dyDescent="0.3">
      <c r="A67">
        <v>1228</v>
      </c>
      <c r="B67" t="s">
        <v>637</v>
      </c>
      <c r="C67" t="s">
        <v>603</v>
      </c>
      <c r="D67" t="s">
        <v>604</v>
      </c>
      <c r="E67" t="s">
        <v>700</v>
      </c>
      <c r="F67" t="s">
        <v>616</v>
      </c>
      <c r="G67" t="s">
        <v>617</v>
      </c>
      <c r="H67" t="s">
        <v>622</v>
      </c>
      <c r="I67" t="s">
        <v>623</v>
      </c>
      <c r="J67" s="3">
        <v>44249</v>
      </c>
      <c r="K67">
        <v>3.9424657534246577</v>
      </c>
      <c r="L67">
        <v>3</v>
      </c>
      <c r="M67" t="s">
        <v>698</v>
      </c>
      <c r="N67" t="s">
        <v>698</v>
      </c>
      <c r="O67">
        <v>1.0533999999999999</v>
      </c>
      <c r="P67">
        <v>3439.4559999999997</v>
      </c>
      <c r="Q67">
        <v>3439.4559999999997</v>
      </c>
      <c r="R67">
        <v>386.02</v>
      </c>
      <c r="S67">
        <v>406.63346799999994</v>
      </c>
      <c r="T67">
        <v>126.71</v>
      </c>
      <c r="U67">
        <v>533.34346799999992</v>
      </c>
      <c r="V67">
        <v>30.4</v>
      </c>
      <c r="W67">
        <v>11735.007999999998</v>
      </c>
      <c r="AC67">
        <v>750</v>
      </c>
      <c r="AE67">
        <v>41.666666666666664</v>
      </c>
      <c r="AF67">
        <v>1173.5008</v>
      </c>
      <c r="AG67">
        <v>1173.5008</v>
      </c>
      <c r="AH67">
        <v>586.7503999999999</v>
      </c>
      <c r="AI67">
        <v>1173.5007999999998</v>
      </c>
      <c r="AJ67">
        <v>0</v>
      </c>
      <c r="AK67">
        <v>0</v>
      </c>
      <c r="AL67">
        <v>2347.0016000000001</v>
      </c>
      <c r="AM67">
        <v>15842.260799999998</v>
      </c>
      <c r="AN67">
        <v>16633.927466666661</v>
      </c>
      <c r="AO67">
        <v>16592.260799999996</v>
      </c>
      <c r="AQ67">
        <v>12485.007999999998</v>
      </c>
      <c r="AR67">
        <v>24076.191999999999</v>
      </c>
      <c r="AS67">
        <v>14082.009599999998</v>
      </c>
      <c r="AT67">
        <v>0</v>
      </c>
      <c r="AU67">
        <v>9994.1824000000015</v>
      </c>
      <c r="AV67">
        <v>2347.0016000000001</v>
      </c>
      <c r="AW67">
        <v>0</v>
      </c>
      <c r="AX67">
        <v>14873.676266666664</v>
      </c>
      <c r="AY67">
        <v>12935.83</v>
      </c>
      <c r="AZ67">
        <v>1937.8462666666637</v>
      </c>
      <c r="BA67">
        <v>0.17920000000000003</v>
      </c>
      <c r="BB67">
        <v>347.26205098666617</v>
      </c>
      <c r="BC67">
        <v>1182.8800000000001</v>
      </c>
      <c r="BD67">
        <v>1530.1420509866662</v>
      </c>
      <c r="BE67">
        <v>0</v>
      </c>
      <c r="BF67">
        <v>1530.1420509866662</v>
      </c>
      <c r="BG67">
        <v>26.388888888888889</v>
      </c>
      <c r="BH67">
        <v>0</v>
      </c>
      <c r="BI67">
        <v>559.73235688888883</v>
      </c>
      <c r="BJ67">
        <v>1679.1970706666664</v>
      </c>
      <c r="BK67">
        <v>0</v>
      </c>
      <c r="BL67">
        <v>0</v>
      </c>
      <c r="BM67">
        <v>38.601999999999997</v>
      </c>
      <c r="BN67">
        <v>0</v>
      </c>
      <c r="BO67">
        <v>0</v>
      </c>
      <c r="BP67">
        <v>471.62435688888883</v>
      </c>
      <c r="BQ67">
        <v>471.62435688888883</v>
      </c>
      <c r="BR67">
        <v>15.864522826666658</v>
      </c>
      <c r="BS67">
        <v>35.371826766666665</v>
      </c>
      <c r="BT67">
        <v>53.057740149999987</v>
      </c>
      <c r="BU67">
        <v>88.429566916666658</v>
      </c>
      <c r="BV67">
        <v>159.17322044999997</v>
      </c>
      <c r="BW67">
        <v>351.89687710999993</v>
      </c>
      <c r="BX67">
        <v>14751.888538569994</v>
      </c>
      <c r="BY67">
        <v>1173.5007999999998</v>
      </c>
      <c r="BZ67">
        <v>13578.387738569994</v>
      </c>
      <c r="CA67">
        <v>16592.260799999996</v>
      </c>
      <c r="CB67">
        <v>497.76782399999985</v>
      </c>
      <c r="CC67">
        <v>471.62435688888883</v>
      </c>
      <c r="CD67">
        <v>692.41679999999997</v>
      </c>
      <c r="CE67">
        <v>43.627437773333298</v>
      </c>
      <c r="CF67">
        <v>99.041114946666667</v>
      </c>
      <c r="CG67">
        <v>148.56167241999998</v>
      </c>
      <c r="CH67">
        <v>235.09106480276131</v>
      </c>
      <c r="CI67">
        <v>247.60278736666666</v>
      </c>
      <c r="CJ67">
        <v>141.48730706666666</v>
      </c>
      <c r="CK67">
        <v>282.97461413333332</v>
      </c>
      <c r="CL67">
        <v>445.68501725999994</v>
      </c>
      <c r="CM67">
        <v>2336.4878157694279</v>
      </c>
      <c r="CN67">
        <v>707.43653533333327</v>
      </c>
      <c r="CO67">
        <v>3541.6921751027612</v>
      </c>
      <c r="CQ67">
        <v>482.26060273972598</v>
      </c>
      <c r="CR67">
        <v>144.67818082191778</v>
      </c>
      <c r="CS67">
        <v>494.07598750684917</v>
      </c>
      <c r="CT67">
        <v>21296.634412837917</v>
      </c>
      <c r="CY67">
        <v>0</v>
      </c>
      <c r="DB67">
        <v>14082.009599999998</v>
      </c>
      <c r="DE67" s="61">
        <v>21296.634412837917</v>
      </c>
    </row>
    <row r="68" spans="1:109" hidden="1" x14ac:dyDescent="0.3">
      <c r="A68">
        <v>1280</v>
      </c>
      <c r="B68" t="s">
        <v>637</v>
      </c>
      <c r="C68" t="s">
        <v>603</v>
      </c>
      <c r="D68" t="s">
        <v>604</v>
      </c>
      <c r="E68" t="s">
        <v>707</v>
      </c>
      <c r="F68" t="s">
        <v>616</v>
      </c>
      <c r="G68" t="s">
        <v>617</v>
      </c>
      <c r="H68" t="s">
        <v>622</v>
      </c>
      <c r="I68" t="s">
        <v>623</v>
      </c>
      <c r="J68" s="3">
        <v>44277</v>
      </c>
      <c r="K68">
        <v>3.8657534246575342</v>
      </c>
      <c r="L68">
        <v>3</v>
      </c>
      <c r="M68" t="s">
        <v>698</v>
      </c>
      <c r="N68" t="s">
        <v>698</v>
      </c>
      <c r="O68">
        <v>1.0533999999999999</v>
      </c>
      <c r="P68">
        <v>3439.4559999999997</v>
      </c>
      <c r="Q68">
        <v>3439.4559999999997</v>
      </c>
      <c r="R68">
        <v>386.02</v>
      </c>
      <c r="S68">
        <v>406.63346799999994</v>
      </c>
      <c r="T68">
        <v>210.68</v>
      </c>
      <c r="U68">
        <v>617.31346799999994</v>
      </c>
      <c r="V68">
        <v>30.4</v>
      </c>
      <c r="W68">
        <v>11735.007999999998</v>
      </c>
      <c r="AC68">
        <v>750</v>
      </c>
      <c r="AE68">
        <v>41.666666666666664</v>
      </c>
      <c r="AF68">
        <v>1173.5008</v>
      </c>
      <c r="AG68">
        <v>1173.5008</v>
      </c>
      <c r="AH68">
        <v>586.7503999999999</v>
      </c>
      <c r="AI68">
        <v>1173.5007999999998</v>
      </c>
      <c r="AJ68">
        <v>0</v>
      </c>
      <c r="AK68">
        <v>0</v>
      </c>
      <c r="AL68">
        <v>2347.0016000000001</v>
      </c>
      <c r="AM68">
        <v>15842.260799999998</v>
      </c>
      <c r="AN68">
        <v>16633.927466666661</v>
      </c>
      <c r="AO68">
        <v>16592.260799999996</v>
      </c>
      <c r="AQ68">
        <v>12485.007999999998</v>
      </c>
      <c r="AR68">
        <v>24076.191999999999</v>
      </c>
      <c r="AS68">
        <v>14082.009599999998</v>
      </c>
      <c r="AT68">
        <v>0</v>
      </c>
      <c r="AU68">
        <v>9994.1824000000015</v>
      </c>
      <c r="AV68">
        <v>2347.0016000000001</v>
      </c>
      <c r="AW68">
        <v>0</v>
      </c>
      <c r="AX68">
        <v>14873.676266666664</v>
      </c>
      <c r="AY68">
        <v>12935.83</v>
      </c>
      <c r="AZ68">
        <v>1937.8462666666637</v>
      </c>
      <c r="BA68">
        <v>0.17920000000000003</v>
      </c>
      <c r="BB68">
        <v>347.26205098666617</v>
      </c>
      <c r="BC68">
        <v>1182.8800000000001</v>
      </c>
      <c r="BD68">
        <v>1530.1420509866662</v>
      </c>
      <c r="BE68">
        <v>0</v>
      </c>
      <c r="BF68">
        <v>1530.1420509866662</v>
      </c>
      <c r="BG68">
        <v>26.388888888888889</v>
      </c>
      <c r="BH68">
        <v>0</v>
      </c>
      <c r="BI68">
        <v>643.70235688888886</v>
      </c>
      <c r="BJ68">
        <v>1931.1070706666667</v>
      </c>
      <c r="BK68">
        <v>0</v>
      </c>
      <c r="BL68">
        <v>0</v>
      </c>
      <c r="BM68">
        <v>38.601999999999997</v>
      </c>
      <c r="BN68">
        <v>0</v>
      </c>
      <c r="BO68">
        <v>0</v>
      </c>
      <c r="BP68">
        <v>471.62435688888883</v>
      </c>
      <c r="BQ68">
        <v>471.62435688888883</v>
      </c>
      <c r="BR68">
        <v>15.864522826666658</v>
      </c>
      <c r="BS68">
        <v>35.371826766666665</v>
      </c>
      <c r="BT68">
        <v>53.057740149999987</v>
      </c>
      <c r="BU68">
        <v>88.429566916666658</v>
      </c>
      <c r="BV68">
        <v>159.17322044999997</v>
      </c>
      <c r="BW68">
        <v>351.89687710999993</v>
      </c>
      <c r="BX68">
        <v>14751.888538569994</v>
      </c>
      <c r="BY68">
        <v>1173.5007999999998</v>
      </c>
      <c r="BZ68">
        <v>13578.387738569994</v>
      </c>
      <c r="CA68">
        <v>16592.260799999996</v>
      </c>
      <c r="CB68">
        <v>497.76782399999985</v>
      </c>
      <c r="CC68">
        <v>471.62435688888883</v>
      </c>
      <c r="CD68">
        <v>692.41679999999997</v>
      </c>
      <c r="CE68">
        <v>43.627437773333298</v>
      </c>
      <c r="CF68">
        <v>99.041114946666667</v>
      </c>
      <c r="CG68">
        <v>148.56167241999998</v>
      </c>
      <c r="CH68">
        <v>235.09106480276131</v>
      </c>
      <c r="CI68">
        <v>247.60278736666666</v>
      </c>
      <c r="CJ68">
        <v>141.48730706666666</v>
      </c>
      <c r="CK68">
        <v>282.97461413333332</v>
      </c>
      <c r="CL68">
        <v>445.68501725999994</v>
      </c>
      <c r="CM68">
        <v>2336.4878157694279</v>
      </c>
      <c r="CN68">
        <v>707.43653533333327</v>
      </c>
      <c r="CO68">
        <v>3541.6921751027612</v>
      </c>
      <c r="CQ68">
        <v>482.26060273972598</v>
      </c>
      <c r="CR68">
        <v>144.67818082191778</v>
      </c>
      <c r="CS68">
        <v>494.07598750684917</v>
      </c>
      <c r="CT68">
        <v>21296.634412837917</v>
      </c>
      <c r="CY68">
        <v>0</v>
      </c>
      <c r="DB68">
        <v>14082.009599999998</v>
      </c>
      <c r="DE68" s="61">
        <v>21296.634412837917</v>
      </c>
    </row>
    <row r="69" spans="1:109" hidden="1" x14ac:dyDescent="0.3">
      <c r="A69">
        <v>1462</v>
      </c>
      <c r="B69" t="s">
        <v>602</v>
      </c>
      <c r="C69" t="s">
        <v>603</v>
      </c>
      <c r="D69" t="s">
        <v>604</v>
      </c>
      <c r="E69" t="s">
        <v>737</v>
      </c>
      <c r="F69" t="s">
        <v>616</v>
      </c>
      <c r="G69" t="s">
        <v>617</v>
      </c>
      <c r="H69" t="s">
        <v>622</v>
      </c>
      <c r="I69" t="s">
        <v>623</v>
      </c>
      <c r="J69" s="3">
        <v>44616</v>
      </c>
      <c r="K69">
        <v>2.9369863013698629</v>
      </c>
      <c r="L69">
        <v>2</v>
      </c>
      <c r="M69" t="s">
        <v>735</v>
      </c>
      <c r="N69" t="s">
        <v>735</v>
      </c>
      <c r="O69">
        <v>1.0521</v>
      </c>
      <c r="P69">
        <v>3439.4559999999997</v>
      </c>
      <c r="Q69">
        <v>3439.4559999999997</v>
      </c>
      <c r="R69">
        <v>386.02</v>
      </c>
      <c r="S69">
        <v>406.131642</v>
      </c>
      <c r="T69">
        <v>90.51</v>
      </c>
      <c r="U69">
        <v>496.64164199999999</v>
      </c>
      <c r="V69">
        <v>30.4</v>
      </c>
      <c r="W69">
        <v>11735.007999999998</v>
      </c>
      <c r="AC69">
        <v>750</v>
      </c>
      <c r="AE69">
        <v>41.666666666666664</v>
      </c>
      <c r="AF69">
        <v>1173.5008</v>
      </c>
      <c r="AG69">
        <v>1173.5008</v>
      </c>
      <c r="AH69">
        <v>586.7503999999999</v>
      </c>
      <c r="AI69">
        <v>1173.5007999999998</v>
      </c>
      <c r="AJ69">
        <v>0</v>
      </c>
      <c r="AK69">
        <v>0</v>
      </c>
      <c r="AL69">
        <v>2347.0016000000001</v>
      </c>
      <c r="AM69">
        <v>15842.260799999998</v>
      </c>
      <c r="AN69">
        <v>16633.927466666661</v>
      </c>
      <c r="AO69">
        <v>16592.260799999996</v>
      </c>
      <c r="AQ69">
        <v>12485.007999999998</v>
      </c>
      <c r="AR69">
        <v>24076.191999999999</v>
      </c>
      <c r="AS69">
        <v>14082.009599999998</v>
      </c>
      <c r="AT69">
        <v>0</v>
      </c>
      <c r="AU69">
        <v>9994.1824000000015</v>
      </c>
      <c r="AV69">
        <v>2347.0016000000001</v>
      </c>
      <c r="AW69">
        <v>0</v>
      </c>
      <c r="AX69">
        <v>14873.676266666664</v>
      </c>
      <c r="AY69">
        <v>12935.83</v>
      </c>
      <c r="AZ69">
        <v>1937.8462666666637</v>
      </c>
      <c r="BA69">
        <v>0.17920000000000003</v>
      </c>
      <c r="BB69">
        <v>347.26205098666617</v>
      </c>
      <c r="BC69">
        <v>1182.8800000000001</v>
      </c>
      <c r="BD69">
        <v>1530.1420509866662</v>
      </c>
      <c r="BE69">
        <v>0</v>
      </c>
      <c r="BF69">
        <v>1530.1420509866662</v>
      </c>
      <c r="BG69">
        <v>26.388888888888889</v>
      </c>
      <c r="BH69">
        <v>0</v>
      </c>
      <c r="BI69">
        <v>523.03053088888885</v>
      </c>
      <c r="BJ69">
        <v>1569.0915926666667</v>
      </c>
      <c r="BK69">
        <v>0</v>
      </c>
      <c r="BL69">
        <v>0</v>
      </c>
      <c r="BM69">
        <v>38.601999999999997</v>
      </c>
      <c r="BN69">
        <v>0</v>
      </c>
      <c r="BO69">
        <v>0</v>
      </c>
      <c r="BP69">
        <v>471.12253088888883</v>
      </c>
      <c r="BQ69">
        <v>471.12253088888883</v>
      </c>
      <c r="BR69">
        <v>15.804303706666657</v>
      </c>
      <c r="BS69">
        <v>35.334189816666665</v>
      </c>
      <c r="BT69">
        <v>53.001284724999991</v>
      </c>
      <c r="BU69">
        <v>88.335474541666656</v>
      </c>
      <c r="BV69">
        <v>159.00385417499996</v>
      </c>
      <c r="BW69">
        <v>351.47910696499991</v>
      </c>
      <c r="BX69">
        <v>14752.306308714995</v>
      </c>
      <c r="BY69">
        <v>1173.5007999999998</v>
      </c>
      <c r="BZ69">
        <v>13578.805508714995</v>
      </c>
      <c r="CA69">
        <v>16592.260799999996</v>
      </c>
      <c r="CB69">
        <v>497.76782399999985</v>
      </c>
      <c r="CC69">
        <v>471.12253088888883</v>
      </c>
      <c r="CD69">
        <v>692.41679999999997</v>
      </c>
      <c r="CE69">
        <v>43.461835193333307</v>
      </c>
      <c r="CF69">
        <v>98.935731486666654</v>
      </c>
      <c r="CG69">
        <v>148.40359723</v>
      </c>
      <c r="CH69">
        <v>234.8409190947153</v>
      </c>
      <c r="CI69">
        <v>247.33932871666667</v>
      </c>
      <c r="CJ69">
        <v>141.33675926666666</v>
      </c>
      <c r="CK69">
        <v>282.67351853333332</v>
      </c>
      <c r="CL69">
        <v>445.21079168999995</v>
      </c>
      <c r="CM69">
        <v>2334.6192812113818</v>
      </c>
      <c r="CN69">
        <v>706.68379633333325</v>
      </c>
      <c r="CO69">
        <v>3539.0709015447151</v>
      </c>
      <c r="CQ69">
        <v>482.26060273972598</v>
      </c>
      <c r="CR69">
        <v>128.60282739726026</v>
      </c>
      <c r="CS69">
        <v>493.59372690410942</v>
      </c>
      <c r="CT69">
        <v>21277.45552525247</v>
      </c>
      <c r="CY69">
        <v>0</v>
      </c>
      <c r="DB69">
        <v>14082.009599999998</v>
      </c>
      <c r="DE69" s="61">
        <v>21277.45552525247</v>
      </c>
    </row>
    <row r="70" spans="1:109" hidden="1" x14ac:dyDescent="0.3">
      <c r="A70">
        <v>1154</v>
      </c>
      <c r="B70" t="s">
        <v>602</v>
      </c>
      <c r="C70" t="s">
        <v>603</v>
      </c>
      <c r="D70" t="s">
        <v>604</v>
      </c>
      <c r="E70" t="s">
        <v>690</v>
      </c>
      <c r="F70" t="s">
        <v>691</v>
      </c>
      <c r="G70" t="s">
        <v>626</v>
      </c>
      <c r="H70" t="s">
        <v>622</v>
      </c>
      <c r="I70" t="s">
        <v>623</v>
      </c>
      <c r="J70" s="3">
        <v>44179</v>
      </c>
      <c r="K70">
        <v>4.1342465753424653</v>
      </c>
      <c r="L70">
        <v>4</v>
      </c>
      <c r="M70" t="s">
        <v>668</v>
      </c>
      <c r="N70" t="s">
        <v>668</v>
      </c>
      <c r="O70">
        <v>1.0548</v>
      </c>
      <c r="P70">
        <v>3439.4559999999997</v>
      </c>
      <c r="Q70">
        <v>3439.4559999999997</v>
      </c>
      <c r="R70">
        <v>394.74</v>
      </c>
      <c r="S70">
        <v>416.37175200000001</v>
      </c>
      <c r="T70">
        <v>12.37</v>
      </c>
      <c r="U70">
        <v>428.74175200000002</v>
      </c>
      <c r="V70">
        <v>30.4</v>
      </c>
      <c r="W70">
        <v>12000.096</v>
      </c>
      <c r="AE70">
        <v>41.666666666666664</v>
      </c>
      <c r="AF70">
        <v>1200.0096000000001</v>
      </c>
      <c r="AG70">
        <v>1200.0096000000001</v>
      </c>
      <c r="AH70">
        <v>600.00480000000005</v>
      </c>
      <c r="AI70">
        <v>1200.0096000000001</v>
      </c>
      <c r="AJ70">
        <v>0</v>
      </c>
      <c r="AK70">
        <v>0</v>
      </c>
      <c r="AL70">
        <v>2400.0192000000002</v>
      </c>
      <c r="AM70">
        <v>16200.1296</v>
      </c>
      <c r="AN70">
        <v>16241.796266666664</v>
      </c>
      <c r="AO70">
        <v>16200.1296</v>
      </c>
      <c r="AQ70">
        <v>12000.096</v>
      </c>
      <c r="AR70">
        <v>24076.191999999999</v>
      </c>
      <c r="AS70">
        <v>14400.1152</v>
      </c>
      <c r="AT70">
        <v>0</v>
      </c>
      <c r="AU70">
        <v>9676.0767999999989</v>
      </c>
      <c r="AV70">
        <v>2400.0192000000002</v>
      </c>
      <c r="AW70">
        <v>0</v>
      </c>
      <c r="AX70">
        <v>14441.781866666664</v>
      </c>
      <c r="AY70">
        <v>12935.83</v>
      </c>
      <c r="AZ70">
        <v>1505.9518666666645</v>
      </c>
      <c r="BA70">
        <v>0.17920000000000003</v>
      </c>
      <c r="BB70">
        <v>269.86657450666632</v>
      </c>
      <c r="BC70">
        <v>1182.8800000000001</v>
      </c>
      <c r="BD70">
        <v>1452.7465745066665</v>
      </c>
      <c r="BE70">
        <v>0</v>
      </c>
      <c r="BF70">
        <v>1452.7465745066665</v>
      </c>
      <c r="BG70">
        <v>1.3888888888888888</v>
      </c>
      <c r="BH70">
        <v>0</v>
      </c>
      <c r="BI70">
        <v>430.13064088888893</v>
      </c>
      <c r="BJ70">
        <v>1290.3919226666669</v>
      </c>
      <c r="BK70">
        <v>0</v>
      </c>
      <c r="BL70">
        <v>0</v>
      </c>
      <c r="BM70">
        <v>39.474000000000004</v>
      </c>
      <c r="BN70">
        <v>0</v>
      </c>
      <c r="BO70">
        <v>0</v>
      </c>
      <c r="BP70">
        <v>457.23464088888892</v>
      </c>
      <c r="BQ70">
        <v>457.23464088888892</v>
      </c>
      <c r="BR70">
        <v>14.137756906666668</v>
      </c>
      <c r="BS70">
        <v>34.29259806666667</v>
      </c>
      <c r="BT70">
        <v>51.438897100000005</v>
      </c>
      <c r="BU70">
        <v>85.731495166666676</v>
      </c>
      <c r="BV70">
        <v>154.3166913</v>
      </c>
      <c r="BW70">
        <v>339.91743854000003</v>
      </c>
      <c r="BX70">
        <v>14449.132253619999</v>
      </c>
      <c r="BY70">
        <v>1200.0096000000001</v>
      </c>
      <c r="BZ70">
        <v>13249.122653619999</v>
      </c>
      <c r="CA70">
        <v>16200.129599999998</v>
      </c>
      <c r="CB70">
        <v>486.00388799999996</v>
      </c>
      <c r="CC70">
        <v>457.23464088888892</v>
      </c>
      <c r="CD70">
        <v>692.41679999999997</v>
      </c>
      <c r="CE70">
        <v>38.878831493333337</v>
      </c>
      <c r="CF70">
        <v>96.019274586666683</v>
      </c>
      <c r="CG70">
        <v>144.02891188000001</v>
      </c>
      <c r="CH70">
        <v>227.91820867852536</v>
      </c>
      <c r="CI70">
        <v>240.04818646666669</v>
      </c>
      <c r="CJ70">
        <v>137.17039226666668</v>
      </c>
      <c r="CK70">
        <v>274.34078453333336</v>
      </c>
      <c r="CL70">
        <v>432.08673564000003</v>
      </c>
      <c r="CM70">
        <v>2282.9081255451924</v>
      </c>
      <c r="CN70">
        <v>685.85196133333341</v>
      </c>
      <c r="CO70">
        <v>3454.7639748785255</v>
      </c>
      <c r="CQ70">
        <v>493.15463013698633</v>
      </c>
      <c r="CR70">
        <v>164.38487671232875</v>
      </c>
      <c r="CS70">
        <v>505.73007320547936</v>
      </c>
      <c r="CT70">
        <v>20859.829821599982</v>
      </c>
      <c r="CY70">
        <v>0</v>
      </c>
      <c r="DB70">
        <v>14400.115199999998</v>
      </c>
      <c r="DC70">
        <v>171.75245547945167</v>
      </c>
      <c r="DE70" s="61">
        <v>21031.582277079433</v>
      </c>
    </row>
    <row r="71" spans="1:109" hidden="1" x14ac:dyDescent="0.3">
      <c r="A71">
        <v>1392</v>
      </c>
      <c r="B71" t="s">
        <v>602</v>
      </c>
      <c r="C71" t="s">
        <v>603</v>
      </c>
      <c r="D71" t="s">
        <v>604</v>
      </c>
      <c r="E71" t="s">
        <v>722</v>
      </c>
      <c r="F71" t="s">
        <v>723</v>
      </c>
      <c r="G71" t="s">
        <v>607</v>
      </c>
      <c r="H71" t="s">
        <v>622</v>
      </c>
      <c r="I71" t="s">
        <v>623</v>
      </c>
      <c r="J71" s="3">
        <v>45404</v>
      </c>
      <c r="K71">
        <v>0.77808219178082194</v>
      </c>
      <c r="L71">
        <v>0</v>
      </c>
      <c r="M71" t="s">
        <v>678</v>
      </c>
      <c r="N71" t="s">
        <v>678</v>
      </c>
      <c r="O71">
        <v>1.0492999999999999</v>
      </c>
      <c r="P71">
        <v>3439.4559999999997</v>
      </c>
      <c r="Q71">
        <v>3439.4559999999997</v>
      </c>
      <c r="R71">
        <v>394.74</v>
      </c>
      <c r="S71">
        <v>414.20068199999997</v>
      </c>
      <c r="T71">
        <v>0</v>
      </c>
      <c r="U71">
        <v>414.20068199999997</v>
      </c>
      <c r="V71">
        <v>30.4</v>
      </c>
      <c r="W71">
        <v>12000.096</v>
      </c>
      <c r="AE71">
        <v>41.666666666666664</v>
      </c>
      <c r="AF71">
        <v>1200.0096000000001</v>
      </c>
      <c r="AG71">
        <v>1200.0096000000001</v>
      </c>
      <c r="AH71">
        <v>600.00480000000005</v>
      </c>
      <c r="AI71">
        <v>1200.0096000000001</v>
      </c>
      <c r="AJ71">
        <v>0</v>
      </c>
      <c r="AK71">
        <v>0</v>
      </c>
      <c r="AL71">
        <v>2400.0192000000002</v>
      </c>
      <c r="AM71">
        <v>16200.1296</v>
      </c>
      <c r="AN71">
        <v>16241.796266666664</v>
      </c>
      <c r="AO71">
        <v>16200.1296</v>
      </c>
      <c r="AQ71">
        <v>12000.096</v>
      </c>
      <c r="AR71">
        <v>24076.191999999999</v>
      </c>
      <c r="AS71">
        <v>14400.1152</v>
      </c>
      <c r="AT71">
        <v>0</v>
      </c>
      <c r="AU71">
        <v>9676.0767999999989</v>
      </c>
      <c r="AV71">
        <v>2400.0192000000002</v>
      </c>
      <c r="AW71">
        <v>0</v>
      </c>
      <c r="AX71">
        <v>14441.781866666664</v>
      </c>
      <c r="AY71">
        <v>12935.83</v>
      </c>
      <c r="AZ71">
        <v>1505.9518666666645</v>
      </c>
      <c r="BA71">
        <v>0.17920000000000003</v>
      </c>
      <c r="BB71">
        <v>269.86657450666632</v>
      </c>
      <c r="BC71">
        <v>1182.8800000000001</v>
      </c>
      <c r="BD71">
        <v>1452.7465745066665</v>
      </c>
      <c r="BE71">
        <v>0</v>
      </c>
      <c r="BF71">
        <v>1452.7465745066665</v>
      </c>
      <c r="BG71">
        <v>1.3888888888888888</v>
      </c>
      <c r="BH71">
        <v>0</v>
      </c>
      <c r="BI71">
        <v>415.58957088888889</v>
      </c>
      <c r="BJ71">
        <v>1246.7687126666667</v>
      </c>
      <c r="BK71">
        <v>0</v>
      </c>
      <c r="BL71">
        <v>0</v>
      </c>
      <c r="BM71">
        <v>39.474000000000004</v>
      </c>
      <c r="BN71">
        <v>0</v>
      </c>
      <c r="BO71">
        <v>0</v>
      </c>
      <c r="BP71">
        <v>455.06357088888888</v>
      </c>
      <c r="BQ71">
        <v>455.06357088888888</v>
      </c>
      <c r="BR71">
        <v>13.877228506666665</v>
      </c>
      <c r="BS71">
        <v>34.129767816666664</v>
      </c>
      <c r="BT71">
        <v>51.194651725</v>
      </c>
      <c r="BU71">
        <v>85.324419541666671</v>
      </c>
      <c r="BV71">
        <v>153.583955175</v>
      </c>
      <c r="BW71">
        <v>338.110022765</v>
      </c>
      <c r="BX71">
        <v>14450.939669394998</v>
      </c>
      <c r="BY71">
        <v>1200.0096000000001</v>
      </c>
      <c r="BZ71">
        <v>13250.930069394999</v>
      </c>
      <c r="CA71">
        <v>16200.129599999998</v>
      </c>
      <c r="CB71">
        <v>486.00388799999996</v>
      </c>
      <c r="CC71">
        <v>455.06357088888888</v>
      </c>
      <c r="CD71">
        <v>692.41679999999997</v>
      </c>
      <c r="CE71">
        <v>38.16237839333332</v>
      </c>
      <c r="CF71">
        <v>95.563349886666657</v>
      </c>
      <c r="CG71">
        <v>143.34502483</v>
      </c>
      <c r="CH71">
        <v>226.83599324455534</v>
      </c>
      <c r="CI71">
        <v>238.90837471666666</v>
      </c>
      <c r="CJ71">
        <v>136.51907126666666</v>
      </c>
      <c r="CK71">
        <v>273.03814253333331</v>
      </c>
      <c r="CL71">
        <v>430.03507449</v>
      </c>
      <c r="CM71">
        <v>2274.8242093612221</v>
      </c>
      <c r="CN71">
        <v>682.59535633333337</v>
      </c>
      <c r="CO71">
        <v>3443.4234536945551</v>
      </c>
      <c r="CQ71">
        <v>493.15463013698633</v>
      </c>
      <c r="CR71">
        <v>98.630926027397251</v>
      </c>
      <c r="CS71">
        <v>503.75745468493142</v>
      </c>
      <c r="CT71">
        <v>20780.762731210532</v>
      </c>
      <c r="CY71">
        <v>0</v>
      </c>
      <c r="DB71">
        <v>14400.115199999998</v>
      </c>
      <c r="DE71" s="61">
        <v>20780.762731210532</v>
      </c>
    </row>
    <row r="72" spans="1:109" hidden="1" x14ac:dyDescent="0.3">
      <c r="A72">
        <v>1841</v>
      </c>
      <c r="B72" t="s">
        <v>687</v>
      </c>
      <c r="C72" t="s">
        <v>603</v>
      </c>
      <c r="D72" t="s">
        <v>604</v>
      </c>
      <c r="E72" t="s">
        <v>853</v>
      </c>
      <c r="F72" t="s">
        <v>616</v>
      </c>
      <c r="G72" t="s">
        <v>617</v>
      </c>
      <c r="H72" t="s">
        <v>622</v>
      </c>
      <c r="I72" t="s">
        <v>623</v>
      </c>
      <c r="J72" s="3">
        <v>45579</v>
      </c>
      <c r="K72">
        <v>0.29863013698630136</v>
      </c>
      <c r="L72">
        <v>0</v>
      </c>
      <c r="M72" t="s">
        <v>678</v>
      </c>
      <c r="N72" t="s">
        <v>678</v>
      </c>
      <c r="O72">
        <v>1.0492999999999999</v>
      </c>
      <c r="P72">
        <v>3439.4559999999997</v>
      </c>
      <c r="Q72">
        <v>3439.4559999999997</v>
      </c>
      <c r="R72">
        <v>294.81</v>
      </c>
      <c r="S72">
        <v>309.344133</v>
      </c>
      <c r="T72">
        <v>0</v>
      </c>
      <c r="U72">
        <v>309.344133</v>
      </c>
      <c r="V72">
        <v>30.4</v>
      </c>
      <c r="W72">
        <v>8962.2240000000002</v>
      </c>
      <c r="Z72">
        <v>3257.1428571428569</v>
      </c>
      <c r="AC72">
        <v>750</v>
      </c>
      <c r="AE72">
        <v>41.666666666666664</v>
      </c>
      <c r="AF72">
        <v>896.22239999999999</v>
      </c>
      <c r="AG72">
        <v>896.22239999999999</v>
      </c>
      <c r="AH72">
        <v>448.11120000000005</v>
      </c>
      <c r="AI72">
        <v>896.22240000000011</v>
      </c>
      <c r="AJ72">
        <v>0</v>
      </c>
      <c r="AK72">
        <v>0</v>
      </c>
      <c r="AL72">
        <v>1792.4448</v>
      </c>
      <c r="AM72">
        <v>12099.002399999999</v>
      </c>
      <c r="AN72">
        <v>16147.811923809524</v>
      </c>
      <c r="AO72">
        <v>16106.145257142856</v>
      </c>
      <c r="AQ72">
        <v>12969.366857142857</v>
      </c>
      <c r="AR72">
        <v>24076.191999999999</v>
      </c>
      <c r="AS72">
        <v>10754.668799999999</v>
      </c>
      <c r="AT72">
        <v>0</v>
      </c>
      <c r="AU72">
        <v>13321.5232</v>
      </c>
      <c r="AV72">
        <v>1792.4448</v>
      </c>
      <c r="AW72">
        <v>0</v>
      </c>
      <c r="AX72">
        <v>14803.478323809524</v>
      </c>
      <c r="AY72">
        <v>12935.83</v>
      </c>
      <c r="AZ72">
        <v>1867.6483238095243</v>
      </c>
      <c r="BA72">
        <v>0.17920000000000003</v>
      </c>
      <c r="BB72">
        <v>334.68257962666678</v>
      </c>
      <c r="BC72">
        <v>1182.8800000000001</v>
      </c>
      <c r="BD72">
        <v>1517.5625796266668</v>
      </c>
      <c r="BE72">
        <v>0</v>
      </c>
      <c r="BF72">
        <v>1517.5625796266668</v>
      </c>
      <c r="BG72">
        <v>134.96031746031744</v>
      </c>
      <c r="BH72">
        <v>0</v>
      </c>
      <c r="BI72">
        <v>444.30445046031741</v>
      </c>
      <c r="BJ72">
        <v>1332.9133513809522</v>
      </c>
      <c r="BK72">
        <v>0</v>
      </c>
      <c r="BL72">
        <v>0</v>
      </c>
      <c r="BM72">
        <v>29.481000000000005</v>
      </c>
      <c r="BN72">
        <v>0</v>
      </c>
      <c r="BO72">
        <v>0</v>
      </c>
      <c r="BP72">
        <v>473.78545046031741</v>
      </c>
      <c r="BQ72">
        <v>473.78545046031741</v>
      </c>
      <c r="BR72">
        <v>16.123854055238088</v>
      </c>
      <c r="BS72">
        <v>35.533908784523803</v>
      </c>
      <c r="BT72">
        <v>53.300863176785704</v>
      </c>
      <c r="BU72">
        <v>88.834771961309528</v>
      </c>
      <c r="BV72">
        <v>159.90258953035712</v>
      </c>
      <c r="BW72">
        <v>353.69598750821422</v>
      </c>
      <c r="BX72">
        <v>14276.553356674644</v>
      </c>
      <c r="BY72">
        <v>896.22240000000011</v>
      </c>
      <c r="BZ72">
        <v>13380.330956674643</v>
      </c>
      <c r="CA72">
        <v>16106.145257142858</v>
      </c>
      <c r="CB72">
        <v>483.18435771428574</v>
      </c>
      <c r="CC72">
        <v>473.78545046031741</v>
      </c>
      <c r="CD72">
        <v>692.41679999999997</v>
      </c>
      <c r="CE72">
        <v>44.340598651904735</v>
      </c>
      <c r="CF72">
        <v>99.494944596666656</v>
      </c>
      <c r="CG72">
        <v>149.24241689500002</v>
      </c>
      <c r="CH72">
        <v>236.16830727640487</v>
      </c>
      <c r="CI72">
        <v>248.73736149166666</v>
      </c>
      <c r="CJ72">
        <v>142.13563513809521</v>
      </c>
      <c r="CK72">
        <v>284.27127027619042</v>
      </c>
      <c r="CL72">
        <v>447.72725068499994</v>
      </c>
      <c r="CM72">
        <v>2344.5345850109284</v>
      </c>
      <c r="CN72">
        <v>710.67817569047622</v>
      </c>
      <c r="CO72">
        <v>3538.3971184156903</v>
      </c>
      <c r="CQ72">
        <v>368.31057534246577</v>
      </c>
      <c r="CR72">
        <v>73.662115068493137</v>
      </c>
      <c r="CS72">
        <v>376.22925271232873</v>
      </c>
      <c r="CT72">
        <v>20504.410985348499</v>
      </c>
      <c r="CY72">
        <v>0</v>
      </c>
      <c r="DB72">
        <v>10754.668800000001</v>
      </c>
      <c r="DE72" s="61">
        <v>20504.410985348499</v>
      </c>
    </row>
    <row r="73" spans="1:109" hidden="1" x14ac:dyDescent="0.3">
      <c r="A73">
        <v>1330</v>
      </c>
      <c r="B73" t="s">
        <v>687</v>
      </c>
      <c r="C73" t="s">
        <v>603</v>
      </c>
      <c r="D73" t="s">
        <v>604</v>
      </c>
      <c r="E73" t="s">
        <v>712</v>
      </c>
      <c r="F73" t="s">
        <v>616</v>
      </c>
      <c r="G73" t="s">
        <v>617</v>
      </c>
      <c r="H73" t="s">
        <v>622</v>
      </c>
      <c r="I73" t="s">
        <v>623</v>
      </c>
      <c r="J73" s="3">
        <v>44426</v>
      </c>
      <c r="K73">
        <v>3.4575342465753423</v>
      </c>
      <c r="L73">
        <v>3</v>
      </c>
      <c r="M73" t="s">
        <v>698</v>
      </c>
      <c r="N73" t="s">
        <v>698</v>
      </c>
      <c r="O73">
        <v>1.0533999999999999</v>
      </c>
      <c r="P73">
        <v>3439.4559999999997</v>
      </c>
      <c r="Q73">
        <v>3439.4559999999997</v>
      </c>
      <c r="R73">
        <v>288.8</v>
      </c>
      <c r="S73">
        <v>304.22191999999995</v>
      </c>
      <c r="T73">
        <v>233.55</v>
      </c>
      <c r="U73">
        <v>537.77191999999991</v>
      </c>
      <c r="V73">
        <v>30.4</v>
      </c>
      <c r="W73">
        <v>8779.52</v>
      </c>
      <c r="Z73">
        <v>3257.1428571428569</v>
      </c>
      <c r="AC73">
        <v>750</v>
      </c>
      <c r="AE73">
        <v>41.666666666666664</v>
      </c>
      <c r="AF73">
        <v>877.952</v>
      </c>
      <c r="AG73">
        <v>877.952</v>
      </c>
      <c r="AH73">
        <v>438.97600000000006</v>
      </c>
      <c r="AI73">
        <v>877.95200000000011</v>
      </c>
      <c r="AJ73">
        <v>0</v>
      </c>
      <c r="AK73">
        <v>0</v>
      </c>
      <c r="AL73">
        <v>1755.904</v>
      </c>
      <c r="AM73">
        <v>11852.352000000001</v>
      </c>
      <c r="AN73">
        <v>15901.161523809522</v>
      </c>
      <c r="AO73">
        <v>15859.494857142858</v>
      </c>
      <c r="AQ73">
        <v>12828.329523809523</v>
      </c>
      <c r="AR73">
        <v>24076.191999999999</v>
      </c>
      <c r="AS73">
        <v>10535.424000000001</v>
      </c>
      <c r="AT73">
        <v>0</v>
      </c>
      <c r="AU73">
        <v>13540.767999999998</v>
      </c>
      <c r="AV73">
        <v>1755.904</v>
      </c>
      <c r="AW73">
        <v>0</v>
      </c>
      <c r="AX73">
        <v>14584.233523809522</v>
      </c>
      <c r="AY73">
        <v>12935.83</v>
      </c>
      <c r="AZ73">
        <v>1648.4035238095221</v>
      </c>
      <c r="BA73">
        <v>0.17920000000000003</v>
      </c>
      <c r="BB73">
        <v>295.3939114666664</v>
      </c>
      <c r="BC73">
        <v>1182.8800000000001</v>
      </c>
      <c r="BD73">
        <v>1478.2739114666665</v>
      </c>
      <c r="BE73">
        <v>0</v>
      </c>
      <c r="BF73">
        <v>1478.2739114666665</v>
      </c>
      <c r="BG73">
        <v>134.96031746031744</v>
      </c>
      <c r="BH73">
        <v>0</v>
      </c>
      <c r="BI73">
        <v>672.73223746031738</v>
      </c>
      <c r="BJ73">
        <v>2018.1967123809522</v>
      </c>
      <c r="BK73">
        <v>0</v>
      </c>
      <c r="BL73">
        <v>0</v>
      </c>
      <c r="BM73">
        <v>28.880000000000006</v>
      </c>
      <c r="BN73">
        <v>0</v>
      </c>
      <c r="BO73">
        <v>0</v>
      </c>
      <c r="BP73">
        <v>468.06223746031736</v>
      </c>
      <c r="BQ73">
        <v>468.06223746031736</v>
      </c>
      <c r="BR73">
        <v>15.437068495238083</v>
      </c>
      <c r="BS73">
        <v>35.104667809523804</v>
      </c>
      <c r="BT73">
        <v>52.657001714285705</v>
      </c>
      <c r="BU73">
        <v>87.761669523809516</v>
      </c>
      <c r="BV73">
        <v>157.97100514285711</v>
      </c>
      <c r="BW73">
        <v>348.93141268571424</v>
      </c>
      <c r="BX73">
        <v>14073.956199657143</v>
      </c>
      <c r="BY73">
        <v>877.95200000000011</v>
      </c>
      <c r="BZ73">
        <v>13196.004199657144</v>
      </c>
      <c r="CA73">
        <v>15859.494857142856</v>
      </c>
      <c r="CB73">
        <v>475.78484571428567</v>
      </c>
      <c r="CC73">
        <v>468.06223746031736</v>
      </c>
      <c r="CD73">
        <v>692.41679999999997</v>
      </c>
      <c r="CE73">
        <v>42.451938361904723</v>
      </c>
      <c r="CF73">
        <v>98.293069866666656</v>
      </c>
      <c r="CG73">
        <v>147.43960479999998</v>
      </c>
      <c r="CH73">
        <v>233.31545156908186</v>
      </c>
      <c r="CI73">
        <v>245.73267466666661</v>
      </c>
      <c r="CJ73">
        <v>140.41867123809521</v>
      </c>
      <c r="CK73">
        <v>280.83734247619043</v>
      </c>
      <c r="CL73">
        <v>442.31881439999989</v>
      </c>
      <c r="CM73">
        <v>2323.2243673786052</v>
      </c>
      <c r="CN73">
        <v>702.09335619047613</v>
      </c>
      <c r="CO73">
        <v>3501.1025692833668</v>
      </c>
      <c r="CQ73">
        <v>360.80219178082194</v>
      </c>
      <c r="CR73">
        <v>108.24065753424657</v>
      </c>
      <c r="CS73">
        <v>369.64184547945206</v>
      </c>
      <c r="CT73">
        <v>20240.94878788741</v>
      </c>
      <c r="CY73">
        <v>0</v>
      </c>
      <c r="DB73">
        <v>10535.423999999999</v>
      </c>
      <c r="DE73" s="61">
        <v>20240.94878788741</v>
      </c>
    </row>
    <row r="74" spans="1:109" hidden="1" x14ac:dyDescent="0.3">
      <c r="A74">
        <v>1738</v>
      </c>
      <c r="B74" t="s">
        <v>687</v>
      </c>
      <c r="C74" t="s">
        <v>603</v>
      </c>
      <c r="D74" t="s">
        <v>604</v>
      </c>
      <c r="E74" t="s">
        <v>797</v>
      </c>
      <c r="F74" t="s">
        <v>616</v>
      </c>
      <c r="G74" t="s">
        <v>617</v>
      </c>
      <c r="H74" t="s">
        <v>622</v>
      </c>
      <c r="I74" t="s">
        <v>623</v>
      </c>
      <c r="J74" s="3">
        <v>45222</v>
      </c>
      <c r="K74">
        <v>1.2767123287671234</v>
      </c>
      <c r="L74">
        <v>1</v>
      </c>
      <c r="M74" t="s">
        <v>676</v>
      </c>
      <c r="N74" t="s">
        <v>676</v>
      </c>
      <c r="O74">
        <v>1.0507</v>
      </c>
      <c r="P74">
        <v>3439.4559999999997</v>
      </c>
      <c r="Q74">
        <v>3439.4559999999997</v>
      </c>
      <c r="R74">
        <v>288.8</v>
      </c>
      <c r="S74">
        <v>303.44216</v>
      </c>
      <c r="T74">
        <v>134.30000000000001</v>
      </c>
      <c r="U74">
        <v>437.74216000000001</v>
      </c>
      <c r="V74">
        <v>30.4</v>
      </c>
      <c r="W74">
        <v>8779.52</v>
      </c>
      <c r="Z74">
        <v>3257.1428571428569</v>
      </c>
      <c r="AC74">
        <v>750</v>
      </c>
      <c r="AE74">
        <v>41.666666666666664</v>
      </c>
      <c r="AF74">
        <v>877.952</v>
      </c>
      <c r="AG74">
        <v>877.952</v>
      </c>
      <c r="AH74">
        <v>438.97600000000006</v>
      </c>
      <c r="AI74">
        <v>877.95200000000011</v>
      </c>
      <c r="AJ74">
        <v>0</v>
      </c>
      <c r="AK74">
        <v>0</v>
      </c>
      <c r="AL74">
        <v>1755.904</v>
      </c>
      <c r="AM74">
        <v>11852.352000000001</v>
      </c>
      <c r="AN74">
        <v>15901.161523809522</v>
      </c>
      <c r="AO74">
        <v>15859.494857142858</v>
      </c>
      <c r="AQ74">
        <v>12828.329523809523</v>
      </c>
      <c r="AR74">
        <v>24076.191999999999</v>
      </c>
      <c r="AS74">
        <v>10535.424000000001</v>
      </c>
      <c r="AT74">
        <v>0</v>
      </c>
      <c r="AU74">
        <v>13540.767999999998</v>
      </c>
      <c r="AV74">
        <v>1755.904</v>
      </c>
      <c r="AW74">
        <v>0</v>
      </c>
      <c r="AX74">
        <v>14584.233523809522</v>
      </c>
      <c r="AY74">
        <v>12935.83</v>
      </c>
      <c r="AZ74">
        <v>1648.4035238095221</v>
      </c>
      <c r="BA74">
        <v>0.17920000000000003</v>
      </c>
      <c r="BB74">
        <v>295.3939114666664</v>
      </c>
      <c r="BC74">
        <v>1182.8800000000001</v>
      </c>
      <c r="BD74">
        <v>1478.2739114666665</v>
      </c>
      <c r="BE74">
        <v>0</v>
      </c>
      <c r="BF74">
        <v>1478.2739114666665</v>
      </c>
      <c r="BG74">
        <v>134.96031746031744</v>
      </c>
      <c r="BH74">
        <v>0</v>
      </c>
      <c r="BI74">
        <v>572.70247746031748</v>
      </c>
      <c r="BJ74">
        <v>1718.1074323809526</v>
      </c>
      <c r="BK74">
        <v>0</v>
      </c>
      <c r="BL74">
        <v>0</v>
      </c>
      <c r="BM74">
        <v>28.880000000000006</v>
      </c>
      <c r="BN74">
        <v>0</v>
      </c>
      <c r="BO74">
        <v>0</v>
      </c>
      <c r="BP74">
        <v>467.28247746031747</v>
      </c>
      <c r="BQ74">
        <v>467.28247746031747</v>
      </c>
      <c r="BR74">
        <v>15.343497295238095</v>
      </c>
      <c r="BS74">
        <v>35.046185809523813</v>
      </c>
      <c r="BT74">
        <v>52.569278714285709</v>
      </c>
      <c r="BU74">
        <v>87.615464523809521</v>
      </c>
      <c r="BV74">
        <v>157.70783614285713</v>
      </c>
      <c r="BW74">
        <v>348.28226248571423</v>
      </c>
      <c r="BX74">
        <v>14074.605349857142</v>
      </c>
      <c r="BY74">
        <v>877.95200000000011</v>
      </c>
      <c r="BZ74">
        <v>13196.653349857143</v>
      </c>
      <c r="CA74">
        <v>15859.494857142856</v>
      </c>
      <c r="CB74">
        <v>475.78484571428567</v>
      </c>
      <c r="CC74">
        <v>467.28247746031747</v>
      </c>
      <c r="CD74">
        <v>692.41679999999997</v>
      </c>
      <c r="CE74">
        <v>42.194617561904757</v>
      </c>
      <c r="CF74">
        <v>98.129320266666667</v>
      </c>
      <c r="CG74">
        <v>147.19398040000002</v>
      </c>
      <c r="CH74">
        <v>232.92676382212193</v>
      </c>
      <c r="CI74">
        <v>245.32330066666671</v>
      </c>
      <c r="CJ74">
        <v>140.18474323809525</v>
      </c>
      <c r="CK74">
        <v>280.3694864761905</v>
      </c>
      <c r="CL74">
        <v>441.58194120000002</v>
      </c>
      <c r="CM74">
        <v>2320.3209536316458</v>
      </c>
      <c r="CN74">
        <v>700.92371619047617</v>
      </c>
      <c r="CO74">
        <v>3497.0295155364079</v>
      </c>
      <c r="CQ74">
        <v>360.80219178082194</v>
      </c>
      <c r="CR74">
        <v>84.187178082191778</v>
      </c>
      <c r="CS74">
        <v>368.92024109589039</v>
      </c>
      <c r="CT74">
        <v>20212.100650304834</v>
      </c>
      <c r="CY74">
        <v>0</v>
      </c>
      <c r="DB74">
        <v>10535.423999999999</v>
      </c>
      <c r="DE74" s="61">
        <v>20212.100650304834</v>
      </c>
    </row>
    <row r="75" spans="1:109" hidden="1" x14ac:dyDescent="0.3">
      <c r="A75">
        <v>1577</v>
      </c>
      <c r="B75" t="s">
        <v>687</v>
      </c>
      <c r="C75" t="s">
        <v>603</v>
      </c>
      <c r="D75" t="s">
        <v>604</v>
      </c>
      <c r="E75" t="s">
        <v>758</v>
      </c>
      <c r="F75" t="s">
        <v>616</v>
      </c>
      <c r="G75" t="s">
        <v>617</v>
      </c>
      <c r="H75" t="s">
        <v>622</v>
      </c>
      <c r="I75" t="s">
        <v>623</v>
      </c>
      <c r="J75" s="3">
        <v>45558</v>
      </c>
      <c r="K75">
        <v>0.35616438356164382</v>
      </c>
      <c r="L75">
        <v>0</v>
      </c>
      <c r="M75" t="s">
        <v>678</v>
      </c>
      <c r="N75" t="s">
        <v>678</v>
      </c>
      <c r="O75">
        <v>1.0492999999999999</v>
      </c>
      <c r="P75">
        <v>3439.4559999999997</v>
      </c>
      <c r="Q75">
        <v>3439.4559999999997</v>
      </c>
      <c r="R75">
        <v>288.8</v>
      </c>
      <c r="S75">
        <v>303.03783999999996</v>
      </c>
      <c r="T75">
        <v>130.08000000000001</v>
      </c>
      <c r="U75">
        <v>433.11784</v>
      </c>
      <c r="V75">
        <v>30.4</v>
      </c>
      <c r="W75">
        <v>8779.52</v>
      </c>
      <c r="Z75">
        <v>3257.1428571428569</v>
      </c>
      <c r="AC75">
        <v>750</v>
      </c>
      <c r="AE75">
        <v>41.666666666666664</v>
      </c>
      <c r="AF75">
        <v>877.952</v>
      </c>
      <c r="AG75">
        <v>877.952</v>
      </c>
      <c r="AH75">
        <v>438.97600000000006</v>
      </c>
      <c r="AI75">
        <v>877.95200000000011</v>
      </c>
      <c r="AJ75">
        <v>0</v>
      </c>
      <c r="AK75">
        <v>0</v>
      </c>
      <c r="AL75">
        <v>1755.904</v>
      </c>
      <c r="AM75">
        <v>11852.352000000001</v>
      </c>
      <c r="AN75">
        <v>15901.161523809522</v>
      </c>
      <c r="AO75">
        <v>15859.494857142858</v>
      </c>
      <c r="AQ75">
        <v>12828.329523809523</v>
      </c>
      <c r="AR75">
        <v>24076.191999999999</v>
      </c>
      <c r="AS75">
        <v>10535.424000000001</v>
      </c>
      <c r="AT75">
        <v>0</v>
      </c>
      <c r="AU75">
        <v>13540.767999999998</v>
      </c>
      <c r="AV75">
        <v>1755.904</v>
      </c>
      <c r="AW75">
        <v>0</v>
      </c>
      <c r="AX75">
        <v>14584.233523809522</v>
      </c>
      <c r="AY75">
        <v>12935.83</v>
      </c>
      <c r="AZ75">
        <v>1648.4035238095221</v>
      </c>
      <c r="BA75">
        <v>0.17920000000000003</v>
      </c>
      <c r="BB75">
        <v>295.3939114666664</v>
      </c>
      <c r="BC75">
        <v>1182.8800000000001</v>
      </c>
      <c r="BD75">
        <v>1478.2739114666665</v>
      </c>
      <c r="BE75">
        <v>0</v>
      </c>
      <c r="BF75">
        <v>1478.2739114666665</v>
      </c>
      <c r="BG75">
        <v>134.96031746031744</v>
      </c>
      <c r="BH75">
        <v>0</v>
      </c>
      <c r="BI75">
        <v>568.07815746031747</v>
      </c>
      <c r="BJ75">
        <v>1704.2344723809526</v>
      </c>
      <c r="BK75">
        <v>0</v>
      </c>
      <c r="BL75">
        <v>0</v>
      </c>
      <c r="BM75">
        <v>28.880000000000006</v>
      </c>
      <c r="BN75">
        <v>0</v>
      </c>
      <c r="BO75">
        <v>0</v>
      </c>
      <c r="BP75">
        <v>466.87815746031742</v>
      </c>
      <c r="BQ75">
        <v>466.87815746031742</v>
      </c>
      <c r="BR75">
        <v>15.294978895238089</v>
      </c>
      <c r="BS75">
        <v>35.015861809523805</v>
      </c>
      <c r="BT75">
        <v>52.523792714285712</v>
      </c>
      <c r="BU75">
        <v>87.539654523809517</v>
      </c>
      <c r="BV75">
        <v>157.57137814285713</v>
      </c>
      <c r="BW75">
        <v>347.94566608571427</v>
      </c>
      <c r="BX75">
        <v>14074.941946257142</v>
      </c>
      <c r="BY75">
        <v>877.95200000000011</v>
      </c>
      <c r="BZ75">
        <v>13196.989946257143</v>
      </c>
      <c r="CA75">
        <v>15859.494857142856</v>
      </c>
      <c r="CB75">
        <v>475.78484571428567</v>
      </c>
      <c r="CC75">
        <v>466.87815746031742</v>
      </c>
      <c r="CD75">
        <v>692.41679999999997</v>
      </c>
      <c r="CE75">
        <v>42.06119196190474</v>
      </c>
      <c r="CF75">
        <v>98.044413066666664</v>
      </c>
      <c r="CG75">
        <v>147.0666196</v>
      </c>
      <c r="CH75">
        <v>232.72522202740188</v>
      </c>
      <c r="CI75">
        <v>245.11103266666669</v>
      </c>
      <c r="CJ75">
        <v>140.06344723809522</v>
      </c>
      <c r="CK75">
        <v>280.12689447619044</v>
      </c>
      <c r="CL75">
        <v>441.19985879999996</v>
      </c>
      <c r="CM75">
        <v>2318.815479836926</v>
      </c>
      <c r="CN75">
        <v>700.31723619047614</v>
      </c>
      <c r="CO75">
        <v>3494.9175617416877</v>
      </c>
      <c r="CQ75">
        <v>360.80219178082194</v>
      </c>
      <c r="CR75">
        <v>72.160438356164377</v>
      </c>
      <c r="CS75">
        <v>368.55943890410958</v>
      </c>
      <c r="CT75">
        <v>20197.601154592307</v>
      </c>
      <c r="CY75">
        <v>0</v>
      </c>
      <c r="DB75">
        <v>10535.423999999999</v>
      </c>
      <c r="DE75" s="61">
        <v>20197.601154592307</v>
      </c>
    </row>
    <row r="76" spans="1:109" hidden="1" x14ac:dyDescent="0.3">
      <c r="A76">
        <v>1683</v>
      </c>
      <c r="B76" t="s">
        <v>687</v>
      </c>
      <c r="C76" t="s">
        <v>603</v>
      </c>
      <c r="D76" t="s">
        <v>604</v>
      </c>
      <c r="E76" t="s">
        <v>777</v>
      </c>
      <c r="F76" t="s">
        <v>616</v>
      </c>
      <c r="G76" t="s">
        <v>617</v>
      </c>
      <c r="H76" t="s">
        <v>622</v>
      </c>
      <c r="I76" t="s">
        <v>623</v>
      </c>
      <c r="J76" s="3">
        <v>45560</v>
      </c>
      <c r="K76">
        <v>0.35068493150684932</v>
      </c>
      <c r="L76">
        <v>0</v>
      </c>
      <c r="M76" t="s">
        <v>678</v>
      </c>
      <c r="N76" t="s">
        <v>678</v>
      </c>
      <c r="O76">
        <v>1.0492999999999999</v>
      </c>
      <c r="P76">
        <v>3439.4559999999997</v>
      </c>
      <c r="Q76">
        <v>3439.4559999999997</v>
      </c>
      <c r="R76">
        <v>288.8</v>
      </c>
      <c r="S76">
        <v>303.03783999999996</v>
      </c>
      <c r="T76">
        <v>34.19</v>
      </c>
      <c r="U76">
        <v>337.22783999999996</v>
      </c>
      <c r="V76">
        <v>30.4</v>
      </c>
      <c r="W76">
        <v>8779.52</v>
      </c>
      <c r="Z76">
        <v>3257.1428571428569</v>
      </c>
      <c r="AC76">
        <v>750</v>
      </c>
      <c r="AE76">
        <v>41.666666666666664</v>
      </c>
      <c r="AF76">
        <v>877.952</v>
      </c>
      <c r="AG76">
        <v>877.952</v>
      </c>
      <c r="AH76">
        <v>438.97600000000006</v>
      </c>
      <c r="AI76">
        <v>877.95200000000011</v>
      </c>
      <c r="AJ76">
        <v>0</v>
      </c>
      <c r="AK76">
        <v>0</v>
      </c>
      <c r="AL76">
        <v>1755.904</v>
      </c>
      <c r="AM76">
        <v>11852.352000000001</v>
      </c>
      <c r="AN76">
        <v>15901.161523809522</v>
      </c>
      <c r="AO76">
        <v>15859.494857142858</v>
      </c>
      <c r="AQ76">
        <v>12828.329523809523</v>
      </c>
      <c r="AR76">
        <v>24076.191999999999</v>
      </c>
      <c r="AS76">
        <v>10535.424000000001</v>
      </c>
      <c r="AT76">
        <v>0</v>
      </c>
      <c r="AU76">
        <v>13540.767999999998</v>
      </c>
      <c r="AV76">
        <v>1755.904</v>
      </c>
      <c r="AW76">
        <v>0</v>
      </c>
      <c r="AX76">
        <v>14584.233523809522</v>
      </c>
      <c r="AY76">
        <v>12935.83</v>
      </c>
      <c r="AZ76">
        <v>1648.4035238095221</v>
      </c>
      <c r="BA76">
        <v>0.17920000000000003</v>
      </c>
      <c r="BB76">
        <v>295.3939114666664</v>
      </c>
      <c r="BC76">
        <v>1182.8800000000001</v>
      </c>
      <c r="BD76">
        <v>1478.2739114666665</v>
      </c>
      <c r="BE76">
        <v>0</v>
      </c>
      <c r="BF76">
        <v>1478.2739114666665</v>
      </c>
      <c r="BG76">
        <v>134.96031746031744</v>
      </c>
      <c r="BH76">
        <v>0</v>
      </c>
      <c r="BI76">
        <v>472.18815746031737</v>
      </c>
      <c r="BJ76">
        <v>1416.5644723809521</v>
      </c>
      <c r="BK76">
        <v>0</v>
      </c>
      <c r="BL76">
        <v>0</v>
      </c>
      <c r="BM76">
        <v>28.880000000000006</v>
      </c>
      <c r="BN76">
        <v>0</v>
      </c>
      <c r="BO76">
        <v>0</v>
      </c>
      <c r="BP76">
        <v>466.87815746031737</v>
      </c>
      <c r="BQ76">
        <v>466.87815746031737</v>
      </c>
      <c r="BR76">
        <v>15.294978895238083</v>
      </c>
      <c r="BS76">
        <v>35.015861809523805</v>
      </c>
      <c r="BT76">
        <v>52.523792714285705</v>
      </c>
      <c r="BU76">
        <v>87.539654523809503</v>
      </c>
      <c r="BV76">
        <v>157.57137814285713</v>
      </c>
      <c r="BW76">
        <v>347.94566608571427</v>
      </c>
      <c r="BX76">
        <v>14074.941946257142</v>
      </c>
      <c r="BY76">
        <v>877.95200000000011</v>
      </c>
      <c r="BZ76">
        <v>13196.989946257143</v>
      </c>
      <c r="CA76">
        <v>15859.494857142856</v>
      </c>
      <c r="CB76">
        <v>475.78484571428567</v>
      </c>
      <c r="CC76">
        <v>466.87815746031737</v>
      </c>
      <c r="CD76">
        <v>692.41679999999997</v>
      </c>
      <c r="CE76">
        <v>42.061191961904726</v>
      </c>
      <c r="CF76">
        <v>98.04441306666665</v>
      </c>
      <c r="CG76">
        <v>147.0666196</v>
      </c>
      <c r="CH76">
        <v>232.72522202740186</v>
      </c>
      <c r="CI76">
        <v>245.11103266666663</v>
      </c>
      <c r="CJ76">
        <v>140.06344723809522</v>
      </c>
      <c r="CK76">
        <v>280.12689447619044</v>
      </c>
      <c r="CL76">
        <v>441.1998587999999</v>
      </c>
      <c r="CM76">
        <v>2318.8154798369251</v>
      </c>
      <c r="CN76">
        <v>700.31723619047602</v>
      </c>
      <c r="CO76">
        <v>3494.9175617416868</v>
      </c>
      <c r="CQ76">
        <v>360.80219178082194</v>
      </c>
      <c r="CR76">
        <v>72.160438356164377</v>
      </c>
      <c r="CS76">
        <v>368.55943890410958</v>
      </c>
      <c r="CT76">
        <v>20197.601154592307</v>
      </c>
      <c r="CY76">
        <v>0</v>
      </c>
      <c r="DB76">
        <v>10535.423999999999</v>
      </c>
      <c r="DE76" s="61">
        <v>20197.601154592307</v>
      </c>
    </row>
    <row r="77" spans="1:109" hidden="1" x14ac:dyDescent="0.3">
      <c r="A77">
        <v>1837</v>
      </c>
      <c r="B77" t="s">
        <v>687</v>
      </c>
      <c r="C77" t="s">
        <v>603</v>
      </c>
      <c r="D77" t="s">
        <v>604</v>
      </c>
      <c r="E77" t="s">
        <v>849</v>
      </c>
      <c r="F77" t="s">
        <v>616</v>
      </c>
      <c r="G77" t="s">
        <v>617</v>
      </c>
      <c r="H77" t="s">
        <v>622</v>
      </c>
      <c r="I77" t="s">
        <v>623</v>
      </c>
      <c r="J77" s="3">
        <v>45579</v>
      </c>
      <c r="K77">
        <v>0.29863013698630136</v>
      </c>
      <c r="L77">
        <v>0</v>
      </c>
      <c r="M77" t="s">
        <v>678</v>
      </c>
      <c r="N77" t="s">
        <v>678</v>
      </c>
      <c r="O77">
        <v>1.0492999999999999</v>
      </c>
      <c r="P77">
        <v>3439.4559999999997</v>
      </c>
      <c r="Q77">
        <v>3439.4559999999997</v>
      </c>
      <c r="R77">
        <v>288.8</v>
      </c>
      <c r="S77">
        <v>303.03783999999996</v>
      </c>
      <c r="T77">
        <v>163.28</v>
      </c>
      <c r="U77">
        <v>466.31783999999993</v>
      </c>
      <c r="V77">
        <v>30.4</v>
      </c>
      <c r="W77">
        <v>8779.52</v>
      </c>
      <c r="Z77">
        <v>3257.1428571428569</v>
      </c>
      <c r="AC77">
        <v>750</v>
      </c>
      <c r="AE77">
        <v>41.666666666666664</v>
      </c>
      <c r="AF77">
        <v>877.952</v>
      </c>
      <c r="AG77">
        <v>877.952</v>
      </c>
      <c r="AH77">
        <v>438.97600000000006</v>
      </c>
      <c r="AI77">
        <v>877.95200000000011</v>
      </c>
      <c r="AJ77">
        <v>0</v>
      </c>
      <c r="AK77">
        <v>0</v>
      </c>
      <c r="AL77">
        <v>1755.904</v>
      </c>
      <c r="AM77">
        <v>11852.352000000001</v>
      </c>
      <c r="AN77">
        <v>15901.161523809522</v>
      </c>
      <c r="AO77">
        <v>15859.494857142858</v>
      </c>
      <c r="AQ77">
        <v>12828.329523809523</v>
      </c>
      <c r="AR77">
        <v>24076.191999999999</v>
      </c>
      <c r="AS77">
        <v>10535.424000000001</v>
      </c>
      <c r="AT77">
        <v>0</v>
      </c>
      <c r="AU77">
        <v>13540.767999999998</v>
      </c>
      <c r="AV77">
        <v>1755.904</v>
      </c>
      <c r="AW77">
        <v>0</v>
      </c>
      <c r="AX77">
        <v>14584.233523809522</v>
      </c>
      <c r="AY77">
        <v>12935.83</v>
      </c>
      <c r="AZ77">
        <v>1648.4035238095221</v>
      </c>
      <c r="BA77">
        <v>0.17920000000000003</v>
      </c>
      <c r="BB77">
        <v>295.3939114666664</v>
      </c>
      <c r="BC77">
        <v>1182.8800000000001</v>
      </c>
      <c r="BD77">
        <v>1478.2739114666665</v>
      </c>
      <c r="BE77">
        <v>0</v>
      </c>
      <c r="BF77">
        <v>1478.2739114666665</v>
      </c>
      <c r="BG77">
        <v>134.96031746031744</v>
      </c>
      <c r="BH77">
        <v>0</v>
      </c>
      <c r="BI77">
        <v>601.2781574603174</v>
      </c>
      <c r="BJ77">
        <v>1803.8344723809523</v>
      </c>
      <c r="BK77">
        <v>0</v>
      </c>
      <c r="BL77">
        <v>0</v>
      </c>
      <c r="BM77">
        <v>28.880000000000006</v>
      </c>
      <c r="BN77">
        <v>0</v>
      </c>
      <c r="BO77">
        <v>0</v>
      </c>
      <c r="BP77">
        <v>466.87815746031742</v>
      </c>
      <c r="BQ77">
        <v>466.87815746031742</v>
      </c>
      <c r="BR77">
        <v>15.294978895238089</v>
      </c>
      <c r="BS77">
        <v>35.015861809523805</v>
      </c>
      <c r="BT77">
        <v>52.523792714285712</v>
      </c>
      <c r="BU77">
        <v>87.539654523809517</v>
      </c>
      <c r="BV77">
        <v>157.57137814285713</v>
      </c>
      <c r="BW77">
        <v>347.94566608571427</v>
      </c>
      <c r="BX77">
        <v>14074.941946257142</v>
      </c>
      <c r="BY77">
        <v>877.95200000000011</v>
      </c>
      <c r="BZ77">
        <v>13196.989946257143</v>
      </c>
      <c r="CA77">
        <v>15859.494857142856</v>
      </c>
      <c r="CB77">
        <v>475.78484571428567</v>
      </c>
      <c r="CC77">
        <v>466.87815746031742</v>
      </c>
      <c r="CD77">
        <v>692.41679999999997</v>
      </c>
      <c r="CE77">
        <v>42.06119196190474</v>
      </c>
      <c r="CF77">
        <v>98.044413066666664</v>
      </c>
      <c r="CG77">
        <v>147.0666196</v>
      </c>
      <c r="CH77">
        <v>232.72522202740188</v>
      </c>
      <c r="CI77">
        <v>245.11103266666669</v>
      </c>
      <c r="CJ77">
        <v>140.06344723809522</v>
      </c>
      <c r="CK77">
        <v>280.12689447619044</v>
      </c>
      <c r="CL77">
        <v>441.19985879999996</v>
      </c>
      <c r="CM77">
        <v>2318.815479836926</v>
      </c>
      <c r="CN77">
        <v>700.31723619047614</v>
      </c>
      <c r="CO77">
        <v>3494.9175617416877</v>
      </c>
      <c r="CQ77">
        <v>360.80219178082194</v>
      </c>
      <c r="CR77">
        <v>72.160438356164377</v>
      </c>
      <c r="CS77">
        <v>368.55943890410958</v>
      </c>
      <c r="CT77">
        <v>20197.601154592307</v>
      </c>
      <c r="CY77">
        <v>0</v>
      </c>
      <c r="DB77">
        <v>10535.423999999999</v>
      </c>
      <c r="DE77" s="61">
        <v>20197.601154592307</v>
      </c>
    </row>
    <row r="78" spans="1:109" hidden="1" x14ac:dyDescent="0.3">
      <c r="A78">
        <v>1881</v>
      </c>
      <c r="B78" t="s">
        <v>687</v>
      </c>
      <c r="C78" t="s">
        <v>603</v>
      </c>
      <c r="D78" t="s">
        <v>604</v>
      </c>
      <c r="E78" t="s">
        <v>876</v>
      </c>
      <c r="F78" t="s">
        <v>616</v>
      </c>
      <c r="G78" t="s">
        <v>617</v>
      </c>
      <c r="H78" t="s">
        <v>622</v>
      </c>
      <c r="I78" t="s">
        <v>623</v>
      </c>
      <c r="J78" s="3">
        <v>45607</v>
      </c>
      <c r="K78">
        <v>0.22191780821917809</v>
      </c>
      <c r="L78">
        <v>0</v>
      </c>
      <c r="M78" t="s">
        <v>678</v>
      </c>
      <c r="N78" t="s">
        <v>678</v>
      </c>
      <c r="O78">
        <v>1.0492999999999999</v>
      </c>
      <c r="P78">
        <v>3439.4559999999997</v>
      </c>
      <c r="Q78">
        <v>3439.4559999999997</v>
      </c>
      <c r="R78">
        <v>288.8</v>
      </c>
      <c r="S78">
        <v>303.03783999999996</v>
      </c>
      <c r="T78">
        <v>101.55</v>
      </c>
      <c r="U78">
        <v>404.58783999999997</v>
      </c>
      <c r="V78">
        <v>30.4</v>
      </c>
      <c r="W78">
        <v>8779.52</v>
      </c>
      <c r="Z78">
        <v>3257.1428571428569</v>
      </c>
      <c r="AC78">
        <v>750</v>
      </c>
      <c r="AE78">
        <v>41.666666666666664</v>
      </c>
      <c r="AF78">
        <v>877.952</v>
      </c>
      <c r="AG78">
        <v>877.952</v>
      </c>
      <c r="AH78">
        <v>438.97600000000006</v>
      </c>
      <c r="AI78">
        <v>877.95200000000011</v>
      </c>
      <c r="AJ78">
        <v>0</v>
      </c>
      <c r="AK78">
        <v>0</v>
      </c>
      <c r="AL78">
        <v>1755.904</v>
      </c>
      <c r="AM78">
        <v>11852.352000000001</v>
      </c>
      <c r="AN78">
        <v>15901.161523809522</v>
      </c>
      <c r="AO78">
        <v>15859.494857142858</v>
      </c>
      <c r="AQ78">
        <v>12828.329523809523</v>
      </c>
      <c r="AR78">
        <v>24076.191999999999</v>
      </c>
      <c r="AS78">
        <v>10535.424000000001</v>
      </c>
      <c r="AT78">
        <v>0</v>
      </c>
      <c r="AU78">
        <v>13540.767999999998</v>
      </c>
      <c r="AV78">
        <v>1755.904</v>
      </c>
      <c r="AW78">
        <v>0</v>
      </c>
      <c r="AX78">
        <v>14584.233523809522</v>
      </c>
      <c r="AY78">
        <v>12935.83</v>
      </c>
      <c r="AZ78">
        <v>1648.4035238095221</v>
      </c>
      <c r="BA78">
        <v>0.17920000000000003</v>
      </c>
      <c r="BB78">
        <v>295.3939114666664</v>
      </c>
      <c r="BC78">
        <v>1182.8800000000001</v>
      </c>
      <c r="BD78">
        <v>1478.2739114666665</v>
      </c>
      <c r="BE78">
        <v>0</v>
      </c>
      <c r="BF78">
        <v>1478.2739114666665</v>
      </c>
      <c r="BG78">
        <v>134.96031746031744</v>
      </c>
      <c r="BH78">
        <v>0</v>
      </c>
      <c r="BI78">
        <v>539.54815746031738</v>
      </c>
      <c r="BJ78">
        <v>1618.6444723809523</v>
      </c>
      <c r="BK78">
        <v>0</v>
      </c>
      <c r="BL78">
        <v>0</v>
      </c>
      <c r="BM78">
        <v>28.880000000000006</v>
      </c>
      <c r="BN78">
        <v>0</v>
      </c>
      <c r="BO78">
        <v>0</v>
      </c>
      <c r="BP78">
        <v>466.87815746031737</v>
      </c>
      <c r="BQ78">
        <v>466.87815746031737</v>
      </c>
      <c r="BR78">
        <v>15.294978895238083</v>
      </c>
      <c r="BS78">
        <v>35.015861809523805</v>
      </c>
      <c r="BT78">
        <v>52.523792714285705</v>
      </c>
      <c r="BU78">
        <v>87.539654523809503</v>
      </c>
      <c r="BV78">
        <v>157.57137814285713</v>
      </c>
      <c r="BW78">
        <v>347.94566608571427</v>
      </c>
      <c r="BX78">
        <v>14074.941946257142</v>
      </c>
      <c r="BY78">
        <v>877.95200000000011</v>
      </c>
      <c r="BZ78">
        <v>13196.989946257143</v>
      </c>
      <c r="CA78">
        <v>15859.494857142856</v>
      </c>
      <c r="CB78">
        <v>475.78484571428567</v>
      </c>
      <c r="CC78">
        <v>466.87815746031737</v>
      </c>
      <c r="CD78">
        <v>692.41679999999997</v>
      </c>
      <c r="CE78">
        <v>42.061191961904726</v>
      </c>
      <c r="CF78">
        <v>98.04441306666665</v>
      </c>
      <c r="CG78">
        <v>147.0666196</v>
      </c>
      <c r="CH78">
        <v>232.72522202740186</v>
      </c>
      <c r="CI78">
        <v>245.11103266666663</v>
      </c>
      <c r="CJ78">
        <v>140.06344723809522</v>
      </c>
      <c r="CK78">
        <v>280.12689447619044</v>
      </c>
      <c r="CL78">
        <v>441.1998587999999</v>
      </c>
      <c r="CM78">
        <v>2318.8154798369251</v>
      </c>
      <c r="CN78">
        <v>700.31723619047602</v>
      </c>
      <c r="CO78">
        <v>3494.9175617416868</v>
      </c>
      <c r="CQ78">
        <v>360.80219178082194</v>
      </c>
      <c r="CR78">
        <v>72.160438356164377</v>
      </c>
      <c r="CS78">
        <v>368.55943890410958</v>
      </c>
      <c r="CT78">
        <v>20197.601154592307</v>
      </c>
      <c r="CY78">
        <v>0</v>
      </c>
      <c r="DB78">
        <v>10535.423999999999</v>
      </c>
      <c r="DE78" s="61">
        <v>20197.601154592307</v>
      </c>
    </row>
    <row r="79" spans="1:109" hidden="1" x14ac:dyDescent="0.3">
      <c r="A79">
        <v>1883</v>
      </c>
      <c r="B79" t="s">
        <v>687</v>
      </c>
      <c r="C79" t="s">
        <v>603</v>
      </c>
      <c r="D79" t="s">
        <v>604</v>
      </c>
      <c r="E79" t="s">
        <v>877</v>
      </c>
      <c r="F79" t="s">
        <v>616</v>
      </c>
      <c r="G79" t="s">
        <v>617</v>
      </c>
      <c r="H79" t="s">
        <v>622</v>
      </c>
      <c r="I79" t="s">
        <v>623</v>
      </c>
      <c r="J79" s="3">
        <v>45621</v>
      </c>
      <c r="K79">
        <v>0.18356164383561643</v>
      </c>
      <c r="L79">
        <v>0</v>
      </c>
      <c r="M79" t="s">
        <v>678</v>
      </c>
      <c r="N79" t="s">
        <v>678</v>
      </c>
      <c r="O79">
        <v>1.0492999999999999</v>
      </c>
      <c r="P79">
        <v>3439.4559999999997</v>
      </c>
      <c r="Q79">
        <v>3439.4559999999997</v>
      </c>
      <c r="R79">
        <v>288.8</v>
      </c>
      <c r="S79">
        <v>303.03783999999996</v>
      </c>
      <c r="T79">
        <v>126.06</v>
      </c>
      <c r="U79">
        <v>429.09783999999996</v>
      </c>
      <c r="V79">
        <v>30.4</v>
      </c>
      <c r="W79">
        <v>8779.52</v>
      </c>
      <c r="Z79">
        <v>3257.1428571428569</v>
      </c>
      <c r="AC79">
        <v>750</v>
      </c>
      <c r="AE79">
        <v>41.666666666666664</v>
      </c>
      <c r="AF79">
        <v>877.952</v>
      </c>
      <c r="AG79">
        <v>877.952</v>
      </c>
      <c r="AH79">
        <v>438.97600000000006</v>
      </c>
      <c r="AI79">
        <v>877.95200000000011</v>
      </c>
      <c r="AJ79">
        <v>0</v>
      </c>
      <c r="AK79">
        <v>0</v>
      </c>
      <c r="AL79">
        <v>1755.904</v>
      </c>
      <c r="AM79">
        <v>11852.352000000001</v>
      </c>
      <c r="AN79">
        <v>15901.161523809522</v>
      </c>
      <c r="AO79">
        <v>15859.494857142858</v>
      </c>
      <c r="AQ79">
        <v>12828.329523809523</v>
      </c>
      <c r="AR79">
        <v>24076.191999999999</v>
      </c>
      <c r="AS79">
        <v>10535.424000000001</v>
      </c>
      <c r="AT79">
        <v>0</v>
      </c>
      <c r="AU79">
        <v>13540.767999999998</v>
      </c>
      <c r="AV79">
        <v>1755.904</v>
      </c>
      <c r="AW79">
        <v>0</v>
      </c>
      <c r="AX79">
        <v>14584.233523809522</v>
      </c>
      <c r="AY79">
        <v>12935.83</v>
      </c>
      <c r="AZ79">
        <v>1648.4035238095221</v>
      </c>
      <c r="BA79">
        <v>0.17920000000000003</v>
      </c>
      <c r="BB79">
        <v>295.3939114666664</v>
      </c>
      <c r="BC79">
        <v>1182.8800000000001</v>
      </c>
      <c r="BD79">
        <v>1478.2739114666665</v>
      </c>
      <c r="BE79">
        <v>0</v>
      </c>
      <c r="BF79">
        <v>1478.2739114666665</v>
      </c>
      <c r="BG79">
        <v>134.96031746031744</v>
      </c>
      <c r="BH79">
        <v>0</v>
      </c>
      <c r="BI79">
        <v>564.05815746031737</v>
      </c>
      <c r="BJ79">
        <v>1692.1744723809525</v>
      </c>
      <c r="BK79">
        <v>0</v>
      </c>
      <c r="BL79">
        <v>0</v>
      </c>
      <c r="BM79">
        <v>28.880000000000006</v>
      </c>
      <c r="BN79">
        <v>0</v>
      </c>
      <c r="BO79">
        <v>0</v>
      </c>
      <c r="BP79">
        <v>466.87815746031737</v>
      </c>
      <c r="BQ79">
        <v>466.87815746031737</v>
      </c>
      <c r="BR79">
        <v>15.294978895238083</v>
      </c>
      <c r="BS79">
        <v>35.015861809523805</v>
      </c>
      <c r="BT79">
        <v>52.523792714285705</v>
      </c>
      <c r="BU79">
        <v>87.539654523809503</v>
      </c>
      <c r="BV79">
        <v>157.57137814285713</v>
      </c>
      <c r="BW79">
        <v>347.94566608571427</v>
      </c>
      <c r="BX79">
        <v>14074.941946257142</v>
      </c>
      <c r="BY79">
        <v>877.95200000000011</v>
      </c>
      <c r="BZ79">
        <v>13196.989946257143</v>
      </c>
      <c r="CA79">
        <v>15859.494857142856</v>
      </c>
      <c r="CB79">
        <v>475.78484571428567</v>
      </c>
      <c r="CC79">
        <v>466.87815746031737</v>
      </c>
      <c r="CD79">
        <v>692.41679999999997</v>
      </c>
      <c r="CE79">
        <v>42.061191961904726</v>
      </c>
      <c r="CF79">
        <v>98.04441306666665</v>
      </c>
      <c r="CG79">
        <v>147.0666196</v>
      </c>
      <c r="CH79">
        <v>232.72522202740186</v>
      </c>
      <c r="CI79">
        <v>245.11103266666663</v>
      </c>
      <c r="CJ79">
        <v>140.06344723809522</v>
      </c>
      <c r="CK79">
        <v>280.12689447619044</v>
      </c>
      <c r="CL79">
        <v>441.1998587999999</v>
      </c>
      <c r="CM79">
        <v>2318.8154798369251</v>
      </c>
      <c r="CN79">
        <v>700.31723619047602</v>
      </c>
      <c r="CO79">
        <v>3494.9175617416868</v>
      </c>
      <c r="CQ79">
        <v>360.80219178082194</v>
      </c>
      <c r="CR79">
        <v>72.160438356164377</v>
      </c>
      <c r="CS79">
        <v>368.55943890410958</v>
      </c>
      <c r="CT79">
        <v>20197.601154592307</v>
      </c>
      <c r="CY79">
        <v>0</v>
      </c>
      <c r="DB79">
        <v>10535.423999999999</v>
      </c>
      <c r="DE79" s="61">
        <v>20197.601154592307</v>
      </c>
    </row>
    <row r="80" spans="1:109" hidden="1" x14ac:dyDescent="0.3">
      <c r="A80">
        <v>1496</v>
      </c>
      <c r="B80" t="s">
        <v>684</v>
      </c>
      <c r="C80" t="s">
        <v>603</v>
      </c>
      <c r="D80" t="s">
        <v>604</v>
      </c>
      <c r="E80" t="s">
        <v>745</v>
      </c>
      <c r="F80" t="s">
        <v>691</v>
      </c>
      <c r="G80" t="s">
        <v>626</v>
      </c>
      <c r="H80" t="s">
        <v>622</v>
      </c>
      <c r="I80" t="s">
        <v>623</v>
      </c>
      <c r="J80" s="3">
        <v>44677</v>
      </c>
      <c r="K80">
        <v>2.7698630136986302</v>
      </c>
      <c r="L80">
        <v>2</v>
      </c>
      <c r="M80" t="s">
        <v>735</v>
      </c>
      <c r="N80" t="s">
        <v>735</v>
      </c>
      <c r="O80">
        <v>1.0521</v>
      </c>
      <c r="P80">
        <v>3439.4559999999997</v>
      </c>
      <c r="Q80">
        <v>3439.4559999999997</v>
      </c>
      <c r="R80">
        <v>326.97000000000003</v>
      </c>
      <c r="S80">
        <v>344.00513700000005</v>
      </c>
      <c r="T80">
        <v>152.35</v>
      </c>
      <c r="U80">
        <v>496.35513700000001</v>
      </c>
      <c r="V80">
        <v>30.4</v>
      </c>
      <c r="W80">
        <v>9939.8880000000008</v>
      </c>
      <c r="Y80">
        <v>496.99439999999993</v>
      </c>
      <c r="Z80">
        <v>1628.5714285714284</v>
      </c>
      <c r="AE80">
        <v>41.666666666666664</v>
      </c>
      <c r="AF80">
        <v>993.98880000000008</v>
      </c>
      <c r="AG80">
        <v>993.98880000000008</v>
      </c>
      <c r="AH80">
        <v>496.99440000000004</v>
      </c>
      <c r="AI80">
        <v>993.98880000000008</v>
      </c>
      <c r="AJ80">
        <v>0</v>
      </c>
      <c r="AK80">
        <v>0</v>
      </c>
      <c r="AL80">
        <v>1987.9776000000002</v>
      </c>
      <c r="AM80">
        <v>13418.8488</v>
      </c>
      <c r="AN80">
        <v>15586.081295238095</v>
      </c>
      <c r="AO80">
        <v>15544.414628571427</v>
      </c>
      <c r="AQ80">
        <v>12065.45382857143</v>
      </c>
      <c r="AR80">
        <v>24076.191999999999</v>
      </c>
      <c r="AS80">
        <v>11927.865600000001</v>
      </c>
      <c r="AT80">
        <v>0</v>
      </c>
      <c r="AU80">
        <v>12148.326399999998</v>
      </c>
      <c r="AV80">
        <v>1987.9776000000002</v>
      </c>
      <c r="AW80">
        <v>0</v>
      </c>
      <c r="AX80">
        <v>14095.098095238096</v>
      </c>
      <c r="AY80">
        <v>12935.83</v>
      </c>
      <c r="AZ80">
        <v>1159.2680952380961</v>
      </c>
      <c r="BA80">
        <v>0.17920000000000003</v>
      </c>
      <c r="BB80">
        <v>207.74084266666685</v>
      </c>
      <c r="BC80">
        <v>1182.8800000000001</v>
      </c>
      <c r="BD80">
        <v>1390.6208426666669</v>
      </c>
      <c r="BE80">
        <v>0</v>
      </c>
      <c r="BF80">
        <v>1390.6208426666669</v>
      </c>
      <c r="BG80">
        <v>72.241083174603162</v>
      </c>
      <c r="BH80">
        <v>0</v>
      </c>
      <c r="BI80">
        <v>568.59622017460322</v>
      </c>
      <c r="BJ80">
        <v>1705.78866052381</v>
      </c>
      <c r="BK80">
        <v>0</v>
      </c>
      <c r="BL80">
        <v>0</v>
      </c>
      <c r="BM80">
        <v>32.697000000000003</v>
      </c>
      <c r="BN80">
        <v>0</v>
      </c>
      <c r="BO80">
        <v>0</v>
      </c>
      <c r="BP80">
        <v>448.9432201746032</v>
      </c>
      <c r="BQ80">
        <v>448.9432201746032</v>
      </c>
      <c r="BR80">
        <v>13.142786420952381</v>
      </c>
      <c r="BS80">
        <v>33.670741513095244</v>
      </c>
      <c r="BT80">
        <v>50.506112269642855</v>
      </c>
      <c r="BU80">
        <v>84.176853782738107</v>
      </c>
      <c r="BV80">
        <v>151.51833680892855</v>
      </c>
      <c r="BW80">
        <v>333.01483079535717</v>
      </c>
      <c r="BX80">
        <v>13862.445621776071</v>
      </c>
      <c r="BY80">
        <v>993.98880000000008</v>
      </c>
      <c r="BZ80">
        <v>12868.456821776072</v>
      </c>
      <c r="CA80">
        <v>15544.414628571427</v>
      </c>
      <c r="CB80">
        <v>466.33243885714279</v>
      </c>
      <c r="CC80">
        <v>448.9432201746032</v>
      </c>
      <c r="CD80">
        <v>692.41679999999997</v>
      </c>
      <c r="CE80">
        <v>36.142662657619049</v>
      </c>
      <c r="CF80">
        <v>94.278076236666664</v>
      </c>
      <c r="CG80">
        <v>141.41711435500002</v>
      </c>
      <c r="CH80">
        <v>223.78517590365465</v>
      </c>
      <c r="CI80">
        <v>235.69519059166672</v>
      </c>
      <c r="CJ80">
        <v>134.68296605238098</v>
      </c>
      <c r="CK80">
        <v>269.36593210476195</v>
      </c>
      <c r="CL80">
        <v>424.25134306500001</v>
      </c>
      <c r="CM80">
        <v>2252.0352609667498</v>
      </c>
      <c r="CN80">
        <v>673.41483026190485</v>
      </c>
      <c r="CO80">
        <v>3391.7825300857976</v>
      </c>
      <c r="CQ80">
        <v>408.48854794520548</v>
      </c>
      <c r="CR80">
        <v>108.9302794520548</v>
      </c>
      <c r="CS80">
        <v>418.08802882191782</v>
      </c>
      <c r="CT80">
        <v>19913.370681543074</v>
      </c>
      <c r="CY80">
        <v>0</v>
      </c>
      <c r="DB80">
        <v>11927.865600000001</v>
      </c>
      <c r="DE80" s="61">
        <v>19913.370681543074</v>
      </c>
    </row>
    <row r="81" spans="1:109" hidden="1" x14ac:dyDescent="0.3">
      <c r="A81">
        <v>1594</v>
      </c>
      <c r="B81" t="s">
        <v>602</v>
      </c>
      <c r="C81" t="s">
        <v>603</v>
      </c>
      <c r="D81" t="s">
        <v>604</v>
      </c>
      <c r="E81" t="s">
        <v>761</v>
      </c>
      <c r="F81" t="s">
        <v>681</v>
      </c>
      <c r="G81" t="s">
        <v>626</v>
      </c>
      <c r="H81" t="s">
        <v>622</v>
      </c>
      <c r="I81" t="s">
        <v>623</v>
      </c>
      <c r="J81" s="3">
        <v>44853</v>
      </c>
      <c r="K81">
        <v>2.2876712328767121</v>
      </c>
      <c r="L81">
        <v>2</v>
      </c>
      <c r="M81" t="s">
        <v>735</v>
      </c>
      <c r="N81" t="s">
        <v>735</v>
      </c>
      <c r="O81">
        <v>1.0521</v>
      </c>
      <c r="P81">
        <v>3439.4559999999997</v>
      </c>
      <c r="Q81">
        <v>3439.4559999999997</v>
      </c>
      <c r="R81">
        <v>376.02</v>
      </c>
      <c r="S81">
        <v>395.61064199999998</v>
      </c>
      <c r="T81">
        <v>9.81</v>
      </c>
      <c r="U81">
        <v>405.42064199999999</v>
      </c>
      <c r="V81">
        <v>30.4</v>
      </c>
      <c r="W81">
        <v>11431.008</v>
      </c>
      <c r="AE81">
        <v>41.666666666666664</v>
      </c>
      <c r="AF81">
        <v>1143.1007999999999</v>
      </c>
      <c r="AG81">
        <v>1143.1007999999999</v>
      </c>
      <c r="AH81">
        <v>571.55039999999997</v>
      </c>
      <c r="AI81">
        <v>1143.1007999999999</v>
      </c>
      <c r="AJ81">
        <v>0</v>
      </c>
      <c r="AK81">
        <v>0</v>
      </c>
      <c r="AL81">
        <v>2286.2015999999999</v>
      </c>
      <c r="AM81">
        <v>15431.8608</v>
      </c>
      <c r="AN81">
        <v>15473.527466666666</v>
      </c>
      <c r="AO81">
        <v>15431.8608</v>
      </c>
      <c r="AQ81">
        <v>11431.008</v>
      </c>
      <c r="AR81">
        <v>24076.191999999999</v>
      </c>
      <c r="AS81">
        <v>13717.2096</v>
      </c>
      <c r="AT81">
        <v>0</v>
      </c>
      <c r="AU81">
        <v>10358.982399999999</v>
      </c>
      <c r="AV81">
        <v>2286.2015999999999</v>
      </c>
      <c r="AW81">
        <v>0</v>
      </c>
      <c r="AX81">
        <v>13758.876266666666</v>
      </c>
      <c r="AY81">
        <v>12935.83</v>
      </c>
      <c r="AZ81">
        <v>823.04626666666627</v>
      </c>
      <c r="BA81">
        <v>0.17920000000000003</v>
      </c>
      <c r="BB81">
        <v>147.48989098666661</v>
      </c>
      <c r="BC81">
        <v>1182.8800000000001</v>
      </c>
      <c r="BD81">
        <v>1330.3698909866666</v>
      </c>
      <c r="BE81">
        <v>0</v>
      </c>
      <c r="BF81">
        <v>1330.3698909866666</v>
      </c>
      <c r="BG81">
        <v>1.3888888888888888</v>
      </c>
      <c r="BH81">
        <v>0</v>
      </c>
      <c r="BI81">
        <v>406.8095308888889</v>
      </c>
      <c r="BJ81">
        <v>1220.4285926666669</v>
      </c>
      <c r="BK81">
        <v>0</v>
      </c>
      <c r="BL81">
        <v>0</v>
      </c>
      <c r="BM81">
        <v>37.601999999999997</v>
      </c>
      <c r="BN81">
        <v>0</v>
      </c>
      <c r="BO81">
        <v>0</v>
      </c>
      <c r="BP81">
        <v>434.60153088888887</v>
      </c>
      <c r="BQ81">
        <v>434.60153088888887</v>
      </c>
      <c r="BR81">
        <v>11.421783706666664</v>
      </c>
      <c r="BS81">
        <v>32.595114816666666</v>
      </c>
      <c r="BT81">
        <v>48.892672224999998</v>
      </c>
      <c r="BU81">
        <v>81.487787041666664</v>
      </c>
      <c r="BV81">
        <v>146.67801667500001</v>
      </c>
      <c r="BW81">
        <v>321.07537446499998</v>
      </c>
      <c r="BX81">
        <v>13822.082201215</v>
      </c>
      <c r="BY81">
        <v>1143.1007999999999</v>
      </c>
      <c r="BZ81">
        <v>12678.981401215</v>
      </c>
      <c r="CA81">
        <v>15431.8608</v>
      </c>
      <c r="CB81">
        <v>462.95582400000001</v>
      </c>
      <c r="CC81">
        <v>434.60153088888887</v>
      </c>
      <c r="CD81">
        <v>692.41679999999997</v>
      </c>
      <c r="CE81">
        <v>31.409905193333319</v>
      </c>
      <c r="CF81">
        <v>91.266321486666669</v>
      </c>
      <c r="CG81">
        <v>136.89948223000002</v>
      </c>
      <c r="CH81">
        <v>216.63625970371533</v>
      </c>
      <c r="CI81">
        <v>228.16580371666669</v>
      </c>
      <c r="CJ81">
        <v>130.38045926666666</v>
      </c>
      <c r="CK81">
        <v>260.76091853333332</v>
      </c>
      <c r="CL81">
        <v>410.69844669000003</v>
      </c>
      <c r="CM81">
        <v>2198.6343968203819</v>
      </c>
      <c r="CN81">
        <v>651.90229633333331</v>
      </c>
      <c r="CO81">
        <v>3313.4925171537152</v>
      </c>
      <c r="CQ81">
        <v>469.76745205479449</v>
      </c>
      <c r="CR81">
        <v>125.27132054794519</v>
      </c>
      <c r="CS81">
        <v>480.80698717808218</v>
      </c>
      <c r="CT81">
        <v>19862.865743601204</v>
      </c>
      <c r="CY81">
        <v>0</v>
      </c>
      <c r="DB81">
        <v>13717.2096</v>
      </c>
      <c r="DE81" s="61">
        <v>19862.865743601204</v>
      </c>
    </row>
    <row r="82" spans="1:109" hidden="1" x14ac:dyDescent="0.3">
      <c r="A82">
        <v>1371</v>
      </c>
      <c r="B82" t="s">
        <v>637</v>
      </c>
      <c r="C82" t="s">
        <v>603</v>
      </c>
      <c r="D82" t="s">
        <v>604</v>
      </c>
      <c r="E82" t="s">
        <v>719</v>
      </c>
      <c r="F82" t="s">
        <v>616</v>
      </c>
      <c r="G82" t="s">
        <v>617</v>
      </c>
      <c r="H82" t="s">
        <v>622</v>
      </c>
      <c r="I82" t="s">
        <v>623</v>
      </c>
      <c r="J82" s="3">
        <v>44463</v>
      </c>
      <c r="K82">
        <v>3.3561643835616439</v>
      </c>
      <c r="L82">
        <v>3</v>
      </c>
      <c r="M82" t="s">
        <v>698</v>
      </c>
      <c r="N82" t="s">
        <v>698</v>
      </c>
      <c r="O82">
        <v>1.0533999999999999</v>
      </c>
      <c r="P82">
        <v>3439.4559999999997</v>
      </c>
      <c r="Q82">
        <v>3439.4559999999997</v>
      </c>
      <c r="R82">
        <v>336.97</v>
      </c>
      <c r="S82">
        <v>354.96419800000001</v>
      </c>
      <c r="T82">
        <v>32.729999999999997</v>
      </c>
      <c r="U82">
        <v>387.69419800000003</v>
      </c>
      <c r="V82">
        <v>30.4</v>
      </c>
      <c r="W82">
        <v>10243.888000000001</v>
      </c>
      <c r="Y82">
        <v>651.42857142857133</v>
      </c>
      <c r="AC82">
        <v>750</v>
      </c>
      <c r="AE82">
        <v>41.666666666666664</v>
      </c>
      <c r="AF82">
        <v>1024.3887999999999</v>
      </c>
      <c r="AG82">
        <v>1024.3887999999999</v>
      </c>
      <c r="AH82">
        <v>512.19440000000009</v>
      </c>
      <c r="AI82">
        <v>1024.3888000000002</v>
      </c>
      <c r="AJ82">
        <v>0</v>
      </c>
      <c r="AK82">
        <v>0</v>
      </c>
      <c r="AL82">
        <v>2048.7775999999999</v>
      </c>
      <c r="AM82">
        <v>13829.248800000001</v>
      </c>
      <c r="AN82">
        <v>15272.34403809524</v>
      </c>
      <c r="AO82">
        <v>15230.677371428572</v>
      </c>
      <c r="AQ82">
        <v>11645.316571428571</v>
      </c>
      <c r="AR82">
        <v>24076.191999999999</v>
      </c>
      <c r="AS82">
        <v>12292.6656</v>
      </c>
      <c r="AT82">
        <v>0</v>
      </c>
      <c r="AU82">
        <v>11783.526399999999</v>
      </c>
      <c r="AV82">
        <v>2048.7775999999999</v>
      </c>
      <c r="AW82">
        <v>0</v>
      </c>
      <c r="AX82">
        <v>13735.760838095239</v>
      </c>
      <c r="AY82">
        <v>12935.83</v>
      </c>
      <c r="AZ82">
        <v>799.93083809523887</v>
      </c>
      <c r="BA82">
        <v>0.17920000000000003</v>
      </c>
      <c r="BB82">
        <v>143.34760618666684</v>
      </c>
      <c r="BC82">
        <v>1182.8800000000001</v>
      </c>
      <c r="BD82">
        <v>1326.2276061866669</v>
      </c>
      <c r="BE82">
        <v>0</v>
      </c>
      <c r="BF82">
        <v>1326.2276061866669</v>
      </c>
      <c r="BG82">
        <v>48.103174603174601</v>
      </c>
      <c r="BH82">
        <v>0</v>
      </c>
      <c r="BI82">
        <v>435.79737260317461</v>
      </c>
      <c r="BJ82">
        <v>1307.3921178095241</v>
      </c>
      <c r="BK82">
        <v>0</v>
      </c>
      <c r="BL82">
        <v>0</v>
      </c>
      <c r="BM82">
        <v>33.69700000000001</v>
      </c>
      <c r="BN82">
        <v>0</v>
      </c>
      <c r="BO82">
        <v>0</v>
      </c>
      <c r="BP82">
        <v>436.76437260317459</v>
      </c>
      <c r="BQ82">
        <v>436.76437260317459</v>
      </c>
      <c r="BR82">
        <v>11.681324712380949</v>
      </c>
      <c r="BS82">
        <v>32.757327945238096</v>
      </c>
      <c r="BT82">
        <v>49.13599191785714</v>
      </c>
      <c r="BU82">
        <v>81.893319863095243</v>
      </c>
      <c r="BV82">
        <v>147.40797575357141</v>
      </c>
      <c r="BW82">
        <v>322.87594019214282</v>
      </c>
      <c r="BX82">
        <v>13623.240491716429</v>
      </c>
      <c r="BY82">
        <v>1024.3888000000002</v>
      </c>
      <c r="BZ82">
        <v>12598.851691716429</v>
      </c>
      <c r="CA82">
        <v>15230.677371428574</v>
      </c>
      <c r="CB82">
        <v>456.92032114285718</v>
      </c>
      <c r="CC82">
        <v>436.76437260317459</v>
      </c>
      <c r="CD82">
        <v>692.41679999999997</v>
      </c>
      <c r="CE82">
        <v>32.123642959047608</v>
      </c>
      <c r="CF82">
        <v>91.720518246666671</v>
      </c>
      <c r="CG82">
        <v>137.58077737000002</v>
      </c>
      <c r="CH82">
        <v>217.71437357587706</v>
      </c>
      <c r="CI82">
        <v>229.30129561666666</v>
      </c>
      <c r="CJ82">
        <v>131.02931178095238</v>
      </c>
      <c r="CK82">
        <v>262.05862356190477</v>
      </c>
      <c r="CL82">
        <v>412.74233210999995</v>
      </c>
      <c r="CM82">
        <v>2206.6876752211151</v>
      </c>
      <c r="CN82">
        <v>655.14655890476195</v>
      </c>
      <c r="CO82">
        <v>3318.7545552687343</v>
      </c>
      <c r="CQ82">
        <v>420.98169863013703</v>
      </c>
      <c r="CR82">
        <v>126.29450958904108</v>
      </c>
      <c r="CS82">
        <v>431.29575024657538</v>
      </c>
      <c r="CT82">
        <v>19569.670551829731</v>
      </c>
      <c r="CY82">
        <v>0</v>
      </c>
      <c r="DB82">
        <v>12292.665600000002</v>
      </c>
      <c r="DE82" s="61">
        <v>19569.670551829731</v>
      </c>
    </row>
    <row r="83" spans="1:109" hidden="1" x14ac:dyDescent="0.3">
      <c r="A83">
        <v>1118</v>
      </c>
      <c r="B83" t="s">
        <v>684</v>
      </c>
      <c r="C83" t="s">
        <v>603</v>
      </c>
      <c r="D83" t="s">
        <v>604</v>
      </c>
      <c r="E83" t="s">
        <v>685</v>
      </c>
      <c r="F83" t="s">
        <v>616</v>
      </c>
      <c r="G83" t="s">
        <v>617</v>
      </c>
      <c r="H83" t="s">
        <v>622</v>
      </c>
      <c r="I83" t="s">
        <v>623</v>
      </c>
      <c r="J83" s="3">
        <v>44130</v>
      </c>
      <c r="K83">
        <v>4.2684931506849315</v>
      </c>
      <c r="L83">
        <v>4</v>
      </c>
      <c r="M83" t="s">
        <v>668</v>
      </c>
      <c r="N83" t="s">
        <v>668</v>
      </c>
      <c r="O83">
        <v>1.0548</v>
      </c>
      <c r="P83">
        <v>3439.4559999999997</v>
      </c>
      <c r="Q83">
        <v>3439.4559999999997</v>
      </c>
      <c r="R83">
        <v>336.97</v>
      </c>
      <c r="S83">
        <v>355.43595600000003</v>
      </c>
      <c r="T83">
        <v>51.73</v>
      </c>
      <c r="U83">
        <v>407.16595600000005</v>
      </c>
      <c r="V83">
        <v>30.4</v>
      </c>
      <c r="W83">
        <v>10243.888000000001</v>
      </c>
      <c r="Y83">
        <v>512.19439999999986</v>
      </c>
      <c r="AC83">
        <v>750</v>
      </c>
      <c r="AE83">
        <v>41.666666666666664</v>
      </c>
      <c r="AF83">
        <v>1024.3887999999999</v>
      </c>
      <c r="AG83">
        <v>1024.3887999999999</v>
      </c>
      <c r="AH83">
        <v>512.19440000000009</v>
      </c>
      <c r="AI83">
        <v>1024.3888000000002</v>
      </c>
      <c r="AJ83">
        <v>0</v>
      </c>
      <c r="AK83">
        <v>0</v>
      </c>
      <c r="AL83">
        <v>2048.7775999999999</v>
      </c>
      <c r="AM83">
        <v>13829.248800000001</v>
      </c>
      <c r="AN83">
        <v>15133.109866666669</v>
      </c>
      <c r="AO83">
        <v>15091.443200000002</v>
      </c>
      <c r="AQ83">
        <v>11506.082400000001</v>
      </c>
      <c r="AR83">
        <v>24076.191999999999</v>
      </c>
      <c r="AS83">
        <v>12292.6656</v>
      </c>
      <c r="AT83">
        <v>0</v>
      </c>
      <c r="AU83">
        <v>11783.526399999999</v>
      </c>
      <c r="AV83">
        <v>2048.7775999999999</v>
      </c>
      <c r="AW83">
        <v>0</v>
      </c>
      <c r="AX83">
        <v>13596.526666666668</v>
      </c>
      <c r="AY83">
        <v>12935.83</v>
      </c>
      <c r="AZ83">
        <v>660.69666666666853</v>
      </c>
      <c r="BA83">
        <v>0.17920000000000003</v>
      </c>
      <c r="BB83">
        <v>118.39684266666701</v>
      </c>
      <c r="BC83">
        <v>1182.8800000000001</v>
      </c>
      <c r="BD83">
        <v>1301.2768426666671</v>
      </c>
      <c r="BE83">
        <v>0</v>
      </c>
      <c r="BF83">
        <v>1301.2768426666671</v>
      </c>
      <c r="BG83">
        <v>43.462035555555552</v>
      </c>
      <c r="BH83">
        <v>0</v>
      </c>
      <c r="BI83">
        <v>450.62799155555558</v>
      </c>
      <c r="BJ83">
        <v>1351.883974666667</v>
      </c>
      <c r="BK83">
        <v>0</v>
      </c>
      <c r="BL83">
        <v>0</v>
      </c>
      <c r="BM83">
        <v>33.69700000000001</v>
      </c>
      <c r="BN83">
        <v>0</v>
      </c>
      <c r="BO83">
        <v>0</v>
      </c>
      <c r="BP83">
        <v>432.59499155555557</v>
      </c>
      <c r="BQ83">
        <v>432.59499155555557</v>
      </c>
      <c r="BR83">
        <v>11.180998986666667</v>
      </c>
      <c r="BS83">
        <v>32.444624366666666</v>
      </c>
      <c r="BT83">
        <v>48.666936550000003</v>
      </c>
      <c r="BU83">
        <v>81.111560916666676</v>
      </c>
      <c r="BV83">
        <v>146.00080964999998</v>
      </c>
      <c r="BW83">
        <v>319.40493046999995</v>
      </c>
      <c r="BX83">
        <v>13512.428093530003</v>
      </c>
      <c r="BY83">
        <v>1024.3888000000002</v>
      </c>
      <c r="BZ83">
        <v>12488.039293530002</v>
      </c>
      <c r="CA83">
        <v>15091.443200000003</v>
      </c>
      <c r="CB83">
        <v>452.7432960000001</v>
      </c>
      <c r="CC83">
        <v>432.59499155555557</v>
      </c>
      <c r="CD83">
        <v>692.41679999999997</v>
      </c>
      <c r="CE83">
        <v>30.747747213333334</v>
      </c>
      <c r="CF83">
        <v>90.844948226666673</v>
      </c>
      <c r="CG83">
        <v>136.26742234</v>
      </c>
      <c r="CH83">
        <v>215.63605803568933</v>
      </c>
      <c r="CI83">
        <v>227.1123705666667</v>
      </c>
      <c r="CJ83">
        <v>129.77849746666666</v>
      </c>
      <c r="CK83">
        <v>259.55699493333333</v>
      </c>
      <c r="CL83">
        <v>408.80226701999999</v>
      </c>
      <c r="CM83">
        <v>2191.1631058023559</v>
      </c>
      <c r="CN83">
        <v>648.89248733333341</v>
      </c>
      <c r="CO83">
        <v>3292.7988891356895</v>
      </c>
      <c r="CQ83">
        <v>420.98169863013703</v>
      </c>
      <c r="CR83">
        <v>140.32723287671232</v>
      </c>
      <c r="CS83">
        <v>431.71673194520554</v>
      </c>
      <c r="CT83">
        <v>19418.934419254416</v>
      </c>
      <c r="CY83">
        <v>0</v>
      </c>
      <c r="DB83">
        <v>12292.665600000002</v>
      </c>
      <c r="DC83">
        <v>118.75057705479416</v>
      </c>
      <c r="DE83" s="61">
        <v>19537.68499630921</v>
      </c>
    </row>
    <row r="84" spans="1:109" hidden="1" x14ac:dyDescent="0.3">
      <c r="A84">
        <v>1645</v>
      </c>
      <c r="B84" t="s">
        <v>684</v>
      </c>
      <c r="C84" t="s">
        <v>603</v>
      </c>
      <c r="D84" t="s">
        <v>604</v>
      </c>
      <c r="E84" t="s">
        <v>768</v>
      </c>
      <c r="F84" t="s">
        <v>616</v>
      </c>
      <c r="G84" t="s">
        <v>617</v>
      </c>
      <c r="H84" t="s">
        <v>622</v>
      </c>
      <c r="I84" t="s">
        <v>623</v>
      </c>
      <c r="J84" s="3">
        <v>45180</v>
      </c>
      <c r="K84">
        <v>1.3917808219178083</v>
      </c>
      <c r="L84">
        <v>1</v>
      </c>
      <c r="M84" t="s">
        <v>676</v>
      </c>
      <c r="N84" t="s">
        <v>676</v>
      </c>
      <c r="O84">
        <v>1.0507</v>
      </c>
      <c r="P84">
        <v>3439.4559999999997</v>
      </c>
      <c r="Q84">
        <v>3439.4559999999997</v>
      </c>
      <c r="R84">
        <v>336.97</v>
      </c>
      <c r="S84">
        <v>354.05437900000004</v>
      </c>
      <c r="T84">
        <v>96.79</v>
      </c>
      <c r="U84">
        <v>450.84437900000006</v>
      </c>
      <c r="V84">
        <v>30.4</v>
      </c>
      <c r="W84">
        <v>10243.888000000001</v>
      </c>
      <c r="Y84">
        <v>512.19439999999986</v>
      </c>
      <c r="AC84">
        <v>750</v>
      </c>
      <c r="AE84">
        <v>41.666666666666664</v>
      </c>
      <c r="AF84">
        <v>1024.3887999999999</v>
      </c>
      <c r="AG84">
        <v>1024.3887999999999</v>
      </c>
      <c r="AH84">
        <v>512.19440000000009</v>
      </c>
      <c r="AI84">
        <v>1024.3888000000002</v>
      </c>
      <c r="AJ84">
        <v>0</v>
      </c>
      <c r="AK84">
        <v>0</v>
      </c>
      <c r="AL84">
        <v>2048.7775999999999</v>
      </c>
      <c r="AM84">
        <v>13829.248800000001</v>
      </c>
      <c r="AN84">
        <v>15133.109866666669</v>
      </c>
      <c r="AO84">
        <v>15091.443200000002</v>
      </c>
      <c r="AQ84">
        <v>11506.082400000001</v>
      </c>
      <c r="AR84">
        <v>24076.191999999999</v>
      </c>
      <c r="AS84">
        <v>12292.6656</v>
      </c>
      <c r="AT84">
        <v>0</v>
      </c>
      <c r="AU84">
        <v>11783.526399999999</v>
      </c>
      <c r="AV84">
        <v>2048.7775999999999</v>
      </c>
      <c r="AW84">
        <v>0</v>
      </c>
      <c r="AX84">
        <v>13596.526666666668</v>
      </c>
      <c r="AY84">
        <v>12935.83</v>
      </c>
      <c r="AZ84">
        <v>660.69666666666853</v>
      </c>
      <c r="BA84">
        <v>0.17920000000000003</v>
      </c>
      <c r="BB84">
        <v>118.39684266666701</v>
      </c>
      <c r="BC84">
        <v>1182.8800000000001</v>
      </c>
      <c r="BD84">
        <v>1301.2768426666671</v>
      </c>
      <c r="BE84">
        <v>0</v>
      </c>
      <c r="BF84">
        <v>1301.2768426666671</v>
      </c>
      <c r="BG84">
        <v>43.462035555555552</v>
      </c>
      <c r="BH84">
        <v>0</v>
      </c>
      <c r="BI84">
        <v>494.30641455555559</v>
      </c>
      <c r="BJ84">
        <v>1482.9192436666669</v>
      </c>
      <c r="BK84">
        <v>0</v>
      </c>
      <c r="BL84">
        <v>0</v>
      </c>
      <c r="BM84">
        <v>33.69700000000001</v>
      </c>
      <c r="BN84">
        <v>0</v>
      </c>
      <c r="BO84">
        <v>0</v>
      </c>
      <c r="BP84">
        <v>431.21341455555563</v>
      </c>
      <c r="BQ84">
        <v>431.21341455555563</v>
      </c>
      <c r="BR84">
        <v>11.015209746666674</v>
      </c>
      <c r="BS84">
        <v>32.341006091666671</v>
      </c>
      <c r="BT84">
        <v>48.511509137500006</v>
      </c>
      <c r="BU84">
        <v>80.852515229166684</v>
      </c>
      <c r="BV84">
        <v>145.53452741250001</v>
      </c>
      <c r="BW84">
        <v>318.25476761750008</v>
      </c>
      <c r="BX84">
        <v>13513.578256382503</v>
      </c>
      <c r="BY84">
        <v>1024.3888000000002</v>
      </c>
      <c r="BZ84">
        <v>12489.189456382503</v>
      </c>
      <c r="CA84">
        <v>15091.443200000003</v>
      </c>
      <c r="CB84">
        <v>452.7432960000001</v>
      </c>
      <c r="CC84">
        <v>431.21341455555563</v>
      </c>
      <c r="CD84">
        <v>692.41679999999997</v>
      </c>
      <c r="CE84">
        <v>30.291826803333354</v>
      </c>
      <c r="CF84">
        <v>90.554817056666693</v>
      </c>
      <c r="CG84">
        <v>135.83222558500003</v>
      </c>
      <c r="CH84">
        <v>214.94738196692236</v>
      </c>
      <c r="CI84">
        <v>226.38704264166674</v>
      </c>
      <c r="CJ84">
        <v>129.36402436666668</v>
      </c>
      <c r="CK84">
        <v>258.72804873333337</v>
      </c>
      <c r="CL84">
        <v>407.49667675500007</v>
      </c>
      <c r="CM84">
        <v>2186.0188439085891</v>
      </c>
      <c r="CN84">
        <v>646.82012183333347</v>
      </c>
      <c r="CO84">
        <v>3285.5822617419226</v>
      </c>
      <c r="CQ84">
        <v>420.98169863013703</v>
      </c>
      <c r="CR84">
        <v>98.229063013698635</v>
      </c>
      <c r="CS84">
        <v>430.45378684931512</v>
      </c>
      <c r="CT84">
        <v>19368.356676901742</v>
      </c>
      <c r="CY84">
        <v>0</v>
      </c>
      <c r="DB84">
        <v>12292.665600000002</v>
      </c>
      <c r="DE84" s="61">
        <v>19368.356676901742</v>
      </c>
    </row>
    <row r="85" spans="1:109" hidden="1" x14ac:dyDescent="0.3">
      <c r="A85">
        <v>1646</v>
      </c>
      <c r="B85" t="s">
        <v>694</v>
      </c>
      <c r="C85" t="s">
        <v>603</v>
      </c>
      <c r="D85" t="s">
        <v>604</v>
      </c>
      <c r="E85" t="s">
        <v>769</v>
      </c>
      <c r="F85" t="s">
        <v>616</v>
      </c>
      <c r="G85" t="s">
        <v>617</v>
      </c>
      <c r="H85" t="s">
        <v>622</v>
      </c>
      <c r="I85" t="s">
        <v>623</v>
      </c>
      <c r="J85" s="3">
        <v>45180</v>
      </c>
      <c r="K85">
        <v>1.3917808219178083</v>
      </c>
      <c r="L85">
        <v>1</v>
      </c>
      <c r="M85" t="s">
        <v>676</v>
      </c>
      <c r="N85" t="s">
        <v>676</v>
      </c>
      <c r="O85">
        <v>1.0507</v>
      </c>
      <c r="P85">
        <v>3439.4559999999997</v>
      </c>
      <c r="Q85">
        <v>3439.4559999999997</v>
      </c>
      <c r="R85">
        <v>336.97</v>
      </c>
      <c r="S85">
        <v>354.05437900000004</v>
      </c>
      <c r="T85">
        <v>100.05</v>
      </c>
      <c r="U85">
        <v>454.10437900000005</v>
      </c>
      <c r="V85">
        <v>30.4</v>
      </c>
      <c r="W85">
        <v>10243.888000000001</v>
      </c>
      <c r="Y85">
        <v>512.19439999999986</v>
      </c>
      <c r="AC85">
        <v>750</v>
      </c>
      <c r="AE85">
        <v>41.666666666666664</v>
      </c>
      <c r="AF85">
        <v>1024.3887999999999</v>
      </c>
      <c r="AG85">
        <v>1024.3887999999999</v>
      </c>
      <c r="AH85">
        <v>512.19440000000009</v>
      </c>
      <c r="AI85">
        <v>1024.3888000000002</v>
      </c>
      <c r="AJ85">
        <v>0</v>
      </c>
      <c r="AK85">
        <v>0</v>
      </c>
      <c r="AL85">
        <v>2048.7775999999999</v>
      </c>
      <c r="AM85">
        <v>13829.248800000001</v>
      </c>
      <c r="AN85">
        <v>15133.109866666669</v>
      </c>
      <c r="AO85">
        <v>15091.443200000002</v>
      </c>
      <c r="AQ85">
        <v>11506.082400000001</v>
      </c>
      <c r="AR85">
        <v>24076.191999999999</v>
      </c>
      <c r="AS85">
        <v>12292.6656</v>
      </c>
      <c r="AT85">
        <v>0</v>
      </c>
      <c r="AU85">
        <v>11783.526399999999</v>
      </c>
      <c r="AV85">
        <v>2048.7775999999999</v>
      </c>
      <c r="AW85">
        <v>0</v>
      </c>
      <c r="AX85">
        <v>13596.526666666668</v>
      </c>
      <c r="AY85">
        <v>12935.83</v>
      </c>
      <c r="AZ85">
        <v>660.69666666666853</v>
      </c>
      <c r="BA85">
        <v>0.17920000000000003</v>
      </c>
      <c r="BB85">
        <v>118.39684266666701</v>
      </c>
      <c r="BC85">
        <v>1182.8800000000001</v>
      </c>
      <c r="BD85">
        <v>1301.2768426666671</v>
      </c>
      <c r="BE85">
        <v>0</v>
      </c>
      <c r="BF85">
        <v>1301.2768426666671</v>
      </c>
      <c r="BG85">
        <v>43.462035555555552</v>
      </c>
      <c r="BH85">
        <v>0</v>
      </c>
      <c r="BI85">
        <v>497.56641455555558</v>
      </c>
      <c r="BJ85">
        <v>1492.6992436666669</v>
      </c>
      <c r="BK85">
        <v>0</v>
      </c>
      <c r="BL85">
        <v>0</v>
      </c>
      <c r="BM85">
        <v>33.69700000000001</v>
      </c>
      <c r="BN85">
        <v>0</v>
      </c>
      <c r="BO85">
        <v>0</v>
      </c>
      <c r="BP85">
        <v>431.21341455555563</v>
      </c>
      <c r="BQ85">
        <v>431.21341455555563</v>
      </c>
      <c r="BR85">
        <v>11.015209746666674</v>
      </c>
      <c r="BS85">
        <v>32.341006091666671</v>
      </c>
      <c r="BT85">
        <v>48.511509137500006</v>
      </c>
      <c r="BU85">
        <v>80.852515229166684</v>
      </c>
      <c r="BV85">
        <v>145.53452741250001</v>
      </c>
      <c r="BW85">
        <v>318.25476761750008</v>
      </c>
      <c r="BX85">
        <v>13513.578256382503</v>
      </c>
      <c r="BY85">
        <v>1024.3888000000002</v>
      </c>
      <c r="BZ85">
        <v>12489.189456382503</v>
      </c>
      <c r="CA85">
        <v>15091.443200000003</v>
      </c>
      <c r="CB85">
        <v>452.7432960000001</v>
      </c>
      <c r="CC85">
        <v>431.21341455555563</v>
      </c>
      <c r="CD85">
        <v>692.41679999999997</v>
      </c>
      <c r="CE85">
        <v>30.291826803333354</v>
      </c>
      <c r="CF85">
        <v>90.554817056666693</v>
      </c>
      <c r="CG85">
        <v>135.83222558500003</v>
      </c>
      <c r="CH85">
        <v>214.94738196692236</v>
      </c>
      <c r="CI85">
        <v>226.38704264166674</v>
      </c>
      <c r="CJ85">
        <v>129.36402436666668</v>
      </c>
      <c r="CK85">
        <v>258.72804873333337</v>
      </c>
      <c r="CL85">
        <v>407.49667675500007</v>
      </c>
      <c r="CM85">
        <v>2186.0188439085891</v>
      </c>
      <c r="CN85">
        <v>646.82012183333347</v>
      </c>
      <c r="CO85">
        <v>3285.5822617419226</v>
      </c>
      <c r="CQ85">
        <v>420.98169863013703</v>
      </c>
      <c r="CR85">
        <v>98.229063013698635</v>
      </c>
      <c r="CS85">
        <v>430.45378684931512</v>
      </c>
      <c r="CT85">
        <v>19368.356676901742</v>
      </c>
      <c r="CY85">
        <v>0</v>
      </c>
      <c r="DB85">
        <v>12292.665600000002</v>
      </c>
      <c r="DE85" s="61">
        <v>19368.356676901742</v>
      </c>
    </row>
    <row r="86" spans="1:109" hidden="1" x14ac:dyDescent="0.3">
      <c r="A86">
        <v>1052</v>
      </c>
      <c r="B86" t="s">
        <v>637</v>
      </c>
      <c r="C86" t="s">
        <v>603</v>
      </c>
      <c r="D86" t="s">
        <v>604</v>
      </c>
      <c r="E86" t="s">
        <v>666</v>
      </c>
      <c r="F86" t="s">
        <v>616</v>
      </c>
      <c r="G86" t="s">
        <v>617</v>
      </c>
      <c r="H86" t="s">
        <v>622</v>
      </c>
      <c r="I86" t="s">
        <v>623</v>
      </c>
      <c r="J86" s="3">
        <v>43794</v>
      </c>
      <c r="K86">
        <v>5.1890410958904107</v>
      </c>
      <c r="L86">
        <v>5</v>
      </c>
      <c r="M86" t="s">
        <v>654</v>
      </c>
      <c r="N86" t="s">
        <v>654</v>
      </c>
      <c r="O86">
        <v>1.0562</v>
      </c>
      <c r="P86">
        <v>3439.4559999999997</v>
      </c>
      <c r="Q86">
        <v>3439.4559999999997</v>
      </c>
      <c r="R86">
        <v>336.97</v>
      </c>
      <c r="S86">
        <v>355.90771400000006</v>
      </c>
      <c r="T86">
        <v>378.41</v>
      </c>
      <c r="U86">
        <v>734.31771400000002</v>
      </c>
      <c r="V86">
        <v>30.4</v>
      </c>
      <c r="W86">
        <v>10243.888000000001</v>
      </c>
      <c r="AC86">
        <v>750</v>
      </c>
      <c r="AE86">
        <v>41.666666666666664</v>
      </c>
      <c r="AF86">
        <v>1024.3887999999999</v>
      </c>
      <c r="AG86">
        <v>1024.3887999999999</v>
      </c>
      <c r="AH86">
        <v>512.19440000000009</v>
      </c>
      <c r="AI86">
        <v>1024.3888000000002</v>
      </c>
      <c r="AJ86">
        <v>0</v>
      </c>
      <c r="AK86">
        <v>0</v>
      </c>
      <c r="AL86">
        <v>2048.7775999999999</v>
      </c>
      <c r="AM86">
        <v>13829.248800000001</v>
      </c>
      <c r="AN86">
        <v>14620.915466666669</v>
      </c>
      <c r="AO86">
        <v>14579.248800000001</v>
      </c>
      <c r="AQ86">
        <v>10993.888000000001</v>
      </c>
      <c r="AR86">
        <v>24076.191999999999</v>
      </c>
      <c r="AS86">
        <v>12292.6656</v>
      </c>
      <c r="AT86">
        <v>0</v>
      </c>
      <c r="AU86">
        <v>11783.526399999999</v>
      </c>
      <c r="AV86">
        <v>2048.7775999999999</v>
      </c>
      <c r="AW86">
        <v>0</v>
      </c>
      <c r="AX86">
        <v>13084.332266666668</v>
      </c>
      <c r="AY86">
        <v>12935.83</v>
      </c>
      <c r="AZ86">
        <v>148.50226666666822</v>
      </c>
      <c r="BA86">
        <v>0.17920000000000003</v>
      </c>
      <c r="BB86">
        <v>26.61160618666695</v>
      </c>
      <c r="BC86">
        <v>1182.8800000000001</v>
      </c>
      <c r="BD86">
        <v>1209.491606186667</v>
      </c>
      <c r="BE86">
        <v>0</v>
      </c>
      <c r="BF86">
        <v>1209.491606186667</v>
      </c>
      <c r="BG86">
        <v>26.388888888888889</v>
      </c>
      <c r="BH86">
        <v>0</v>
      </c>
      <c r="BI86">
        <v>760.70660288888894</v>
      </c>
      <c r="BJ86">
        <v>2282.1198086666668</v>
      </c>
      <c r="BK86">
        <v>0</v>
      </c>
      <c r="BL86">
        <v>0</v>
      </c>
      <c r="BM86">
        <v>33.69700000000001</v>
      </c>
      <c r="BN86">
        <v>0</v>
      </c>
      <c r="BO86">
        <v>0</v>
      </c>
      <c r="BP86">
        <v>415.99360288888892</v>
      </c>
      <c r="BQ86">
        <v>415.99360288888892</v>
      </c>
      <c r="BR86">
        <v>9.1888323466666684</v>
      </c>
      <c r="BS86">
        <v>31.19952021666667</v>
      </c>
      <c r="BT86">
        <v>46.799280324999998</v>
      </c>
      <c r="BU86">
        <v>77.998800541666682</v>
      </c>
      <c r="BV86">
        <v>140.39784097500001</v>
      </c>
      <c r="BW86">
        <v>305.58427440500003</v>
      </c>
      <c r="BX86">
        <v>13105.839586075001</v>
      </c>
      <c r="BY86">
        <v>1024.3888000000002</v>
      </c>
      <c r="BZ86">
        <v>12081.450786075</v>
      </c>
      <c r="CA86">
        <v>14579.248800000003</v>
      </c>
      <c r="CB86">
        <v>437.37746400000009</v>
      </c>
      <c r="CC86">
        <v>415.99360288888892</v>
      </c>
      <c r="CD86">
        <v>692.41679999999997</v>
      </c>
      <c r="CE86">
        <v>25.269288953333337</v>
      </c>
      <c r="CF86">
        <v>87.358656606666671</v>
      </c>
      <c r="CG86">
        <v>131.03798491000003</v>
      </c>
      <c r="CH86">
        <v>207.36074722562734</v>
      </c>
      <c r="CI86">
        <v>218.3966415166667</v>
      </c>
      <c r="CJ86">
        <v>124.79808086666668</v>
      </c>
      <c r="CK86">
        <v>249.59616173333336</v>
      </c>
      <c r="CL86">
        <v>393.11395473000005</v>
      </c>
      <c r="CM86">
        <v>2129.348316542294</v>
      </c>
      <c r="CN86">
        <v>623.99040433333346</v>
      </c>
      <c r="CO86">
        <v>3190.7161848756277</v>
      </c>
      <c r="CQ86">
        <v>420.98169863013703</v>
      </c>
      <c r="CR86">
        <v>154.35995616438359</v>
      </c>
      <c r="CS86">
        <v>432.1377136438357</v>
      </c>
      <c r="CT86">
        <v>18819.11101998065</v>
      </c>
      <c r="CY86">
        <v>0</v>
      </c>
      <c r="DB86">
        <v>12292.665600000002</v>
      </c>
      <c r="DC86">
        <v>143.049375</v>
      </c>
      <c r="DE86" s="61">
        <v>18962.160394980649</v>
      </c>
    </row>
    <row r="87" spans="1:109" hidden="1" x14ac:dyDescent="0.3">
      <c r="A87">
        <v>1089</v>
      </c>
      <c r="B87" t="s">
        <v>637</v>
      </c>
      <c r="C87" t="s">
        <v>603</v>
      </c>
      <c r="D87" t="s">
        <v>604</v>
      </c>
      <c r="E87" t="s">
        <v>682</v>
      </c>
      <c r="F87" t="s">
        <v>616</v>
      </c>
      <c r="G87" t="s">
        <v>617</v>
      </c>
      <c r="H87" t="s">
        <v>622</v>
      </c>
      <c r="I87" t="s">
        <v>623</v>
      </c>
      <c r="J87" s="3">
        <v>44046</v>
      </c>
      <c r="K87">
        <v>4.4986301369863018</v>
      </c>
      <c r="L87">
        <v>4</v>
      </c>
      <c r="M87" t="s">
        <v>668</v>
      </c>
      <c r="N87" t="s">
        <v>668</v>
      </c>
      <c r="O87">
        <v>1.0548</v>
      </c>
      <c r="P87">
        <v>3439.4559999999997</v>
      </c>
      <c r="Q87">
        <v>3439.4559999999997</v>
      </c>
      <c r="R87">
        <v>336.97</v>
      </c>
      <c r="S87">
        <v>355.43595600000003</v>
      </c>
      <c r="T87">
        <v>364.53</v>
      </c>
      <c r="U87">
        <v>719.96595600000001</v>
      </c>
      <c r="V87">
        <v>30.4</v>
      </c>
      <c r="W87">
        <v>10243.888000000001</v>
      </c>
      <c r="AC87">
        <v>750</v>
      </c>
      <c r="AE87">
        <v>41.666666666666664</v>
      </c>
      <c r="AF87">
        <v>1024.3887999999999</v>
      </c>
      <c r="AG87">
        <v>1024.3887999999999</v>
      </c>
      <c r="AH87">
        <v>512.19440000000009</v>
      </c>
      <c r="AI87">
        <v>1024.3888000000002</v>
      </c>
      <c r="AJ87">
        <v>0</v>
      </c>
      <c r="AK87">
        <v>0</v>
      </c>
      <c r="AL87">
        <v>2048.7775999999999</v>
      </c>
      <c r="AM87">
        <v>13829.248800000001</v>
      </c>
      <c r="AN87">
        <v>14620.915466666669</v>
      </c>
      <c r="AO87">
        <v>14579.248800000001</v>
      </c>
      <c r="AQ87">
        <v>10993.888000000001</v>
      </c>
      <c r="AR87">
        <v>24076.191999999999</v>
      </c>
      <c r="AS87">
        <v>12292.6656</v>
      </c>
      <c r="AT87">
        <v>0</v>
      </c>
      <c r="AU87">
        <v>11783.526399999999</v>
      </c>
      <c r="AV87">
        <v>2048.7775999999999</v>
      </c>
      <c r="AW87">
        <v>0</v>
      </c>
      <c r="AX87">
        <v>13084.332266666668</v>
      </c>
      <c r="AY87">
        <v>12935.83</v>
      </c>
      <c r="AZ87">
        <v>148.50226666666822</v>
      </c>
      <c r="BA87">
        <v>0.17920000000000003</v>
      </c>
      <c r="BB87">
        <v>26.61160618666695</v>
      </c>
      <c r="BC87">
        <v>1182.8800000000001</v>
      </c>
      <c r="BD87">
        <v>1209.491606186667</v>
      </c>
      <c r="BE87">
        <v>0</v>
      </c>
      <c r="BF87">
        <v>1209.491606186667</v>
      </c>
      <c r="BG87">
        <v>26.388888888888889</v>
      </c>
      <c r="BH87">
        <v>0</v>
      </c>
      <c r="BI87">
        <v>746.35484488888892</v>
      </c>
      <c r="BJ87">
        <v>2239.064534666667</v>
      </c>
      <c r="BK87">
        <v>0</v>
      </c>
      <c r="BL87">
        <v>0</v>
      </c>
      <c r="BM87">
        <v>33.69700000000001</v>
      </c>
      <c r="BN87">
        <v>0</v>
      </c>
      <c r="BO87">
        <v>0</v>
      </c>
      <c r="BP87">
        <v>415.52184488888895</v>
      </c>
      <c r="BQ87">
        <v>415.52184488888895</v>
      </c>
      <c r="BR87">
        <v>9.1322213866666715</v>
      </c>
      <c r="BS87">
        <v>31.16413836666667</v>
      </c>
      <c r="BT87">
        <v>46.746207550000008</v>
      </c>
      <c r="BU87">
        <v>77.910345916666685</v>
      </c>
      <c r="BV87">
        <v>140.23862265</v>
      </c>
      <c r="BW87">
        <v>305.19153587000005</v>
      </c>
      <c r="BX87">
        <v>13106.23232461</v>
      </c>
      <c r="BY87">
        <v>1024.3888000000002</v>
      </c>
      <c r="BZ87">
        <v>12081.84352461</v>
      </c>
      <c r="CA87">
        <v>14579.248800000003</v>
      </c>
      <c r="CB87">
        <v>437.37746400000009</v>
      </c>
      <c r="CC87">
        <v>415.52184488888895</v>
      </c>
      <c r="CD87">
        <v>692.41679999999997</v>
      </c>
      <c r="CE87">
        <v>25.113608813333347</v>
      </c>
      <c r="CF87">
        <v>87.259587426666684</v>
      </c>
      <c r="CG87">
        <v>130.88938114000001</v>
      </c>
      <c r="CH87">
        <v>207.12558954360938</v>
      </c>
      <c r="CI87">
        <v>218.14896856666672</v>
      </c>
      <c r="CJ87">
        <v>124.65655346666668</v>
      </c>
      <c r="CK87">
        <v>249.31310693333336</v>
      </c>
      <c r="CL87">
        <v>392.66814342000004</v>
      </c>
      <c r="CM87">
        <v>2127.5917393102764</v>
      </c>
      <c r="CN87">
        <v>623.28276733333348</v>
      </c>
      <c r="CO87">
        <v>3188.2519706436101</v>
      </c>
      <c r="CQ87">
        <v>420.98169863013703</v>
      </c>
      <c r="CR87">
        <v>140.32723287671232</v>
      </c>
      <c r="CS87">
        <v>431.71673194520554</v>
      </c>
      <c r="CT87">
        <v>18802.193100762335</v>
      </c>
      <c r="CY87">
        <v>0</v>
      </c>
      <c r="DB87">
        <v>12292.665600000002</v>
      </c>
      <c r="DC87">
        <v>143.049375</v>
      </c>
      <c r="DE87" s="61">
        <v>18945.242475762334</v>
      </c>
    </row>
    <row r="88" spans="1:109" hidden="1" x14ac:dyDescent="0.3">
      <c r="A88">
        <v>1122</v>
      </c>
      <c r="B88" t="s">
        <v>637</v>
      </c>
      <c r="C88" t="s">
        <v>603</v>
      </c>
      <c r="D88" t="s">
        <v>604</v>
      </c>
      <c r="E88" t="s">
        <v>686</v>
      </c>
      <c r="F88" t="s">
        <v>616</v>
      </c>
      <c r="G88" t="s">
        <v>617</v>
      </c>
      <c r="H88" t="s">
        <v>622</v>
      </c>
      <c r="I88" t="s">
        <v>623</v>
      </c>
      <c r="J88" s="3">
        <v>44137</v>
      </c>
      <c r="K88">
        <v>4.2493150684931509</v>
      </c>
      <c r="L88">
        <v>4</v>
      </c>
      <c r="M88" t="s">
        <v>668</v>
      </c>
      <c r="N88" t="s">
        <v>668</v>
      </c>
      <c r="O88">
        <v>1.0548</v>
      </c>
      <c r="P88">
        <v>3439.4559999999997</v>
      </c>
      <c r="Q88">
        <v>3439.4559999999997</v>
      </c>
      <c r="R88">
        <v>336.97</v>
      </c>
      <c r="S88">
        <v>355.43595600000003</v>
      </c>
      <c r="T88">
        <v>333.09</v>
      </c>
      <c r="U88">
        <v>688.52595599999995</v>
      </c>
      <c r="V88">
        <v>30.4</v>
      </c>
      <c r="W88">
        <v>10243.888000000001</v>
      </c>
      <c r="AC88">
        <v>750</v>
      </c>
      <c r="AE88">
        <v>41.666666666666664</v>
      </c>
      <c r="AF88">
        <v>1024.3887999999999</v>
      </c>
      <c r="AG88">
        <v>1024.3887999999999</v>
      </c>
      <c r="AH88">
        <v>512.19440000000009</v>
      </c>
      <c r="AI88">
        <v>1024.3888000000002</v>
      </c>
      <c r="AJ88">
        <v>0</v>
      </c>
      <c r="AK88">
        <v>0</v>
      </c>
      <c r="AL88">
        <v>2048.7775999999999</v>
      </c>
      <c r="AM88">
        <v>13829.248800000001</v>
      </c>
      <c r="AN88">
        <v>14620.915466666669</v>
      </c>
      <c r="AO88">
        <v>14579.248800000001</v>
      </c>
      <c r="AQ88">
        <v>10993.888000000001</v>
      </c>
      <c r="AR88">
        <v>24076.191999999999</v>
      </c>
      <c r="AS88">
        <v>12292.6656</v>
      </c>
      <c r="AT88">
        <v>0</v>
      </c>
      <c r="AU88">
        <v>11783.526399999999</v>
      </c>
      <c r="AV88">
        <v>2048.7775999999999</v>
      </c>
      <c r="AW88">
        <v>0</v>
      </c>
      <c r="AX88">
        <v>13084.332266666668</v>
      </c>
      <c r="AY88">
        <v>12935.83</v>
      </c>
      <c r="AZ88">
        <v>148.50226666666822</v>
      </c>
      <c r="BA88">
        <v>0.17920000000000003</v>
      </c>
      <c r="BB88">
        <v>26.61160618666695</v>
      </c>
      <c r="BC88">
        <v>1182.8800000000001</v>
      </c>
      <c r="BD88">
        <v>1209.491606186667</v>
      </c>
      <c r="BE88">
        <v>0</v>
      </c>
      <c r="BF88">
        <v>1209.491606186667</v>
      </c>
      <c r="BG88">
        <v>26.388888888888889</v>
      </c>
      <c r="BH88">
        <v>0</v>
      </c>
      <c r="BI88">
        <v>714.91484488888887</v>
      </c>
      <c r="BJ88">
        <v>2144.7445346666668</v>
      </c>
      <c r="BK88">
        <v>0</v>
      </c>
      <c r="BL88">
        <v>0</v>
      </c>
      <c r="BM88">
        <v>33.69700000000001</v>
      </c>
      <c r="BN88">
        <v>0</v>
      </c>
      <c r="BO88">
        <v>0</v>
      </c>
      <c r="BP88">
        <v>415.52184488888889</v>
      </c>
      <c r="BQ88">
        <v>415.52184488888889</v>
      </c>
      <c r="BR88">
        <v>9.1322213866666662</v>
      </c>
      <c r="BS88">
        <v>31.16413836666667</v>
      </c>
      <c r="BT88">
        <v>46.746207550000001</v>
      </c>
      <c r="BU88">
        <v>77.910345916666671</v>
      </c>
      <c r="BV88">
        <v>140.23862265</v>
      </c>
      <c r="BW88">
        <v>305.19153587</v>
      </c>
      <c r="BX88">
        <v>13106.23232461</v>
      </c>
      <c r="BY88">
        <v>1024.3888000000002</v>
      </c>
      <c r="BZ88">
        <v>12081.84352461</v>
      </c>
      <c r="CA88">
        <v>14579.248800000003</v>
      </c>
      <c r="CB88">
        <v>437.37746400000009</v>
      </c>
      <c r="CC88">
        <v>415.52184488888889</v>
      </c>
      <c r="CD88">
        <v>692.41679999999997</v>
      </c>
      <c r="CE88">
        <v>25.113608813333329</v>
      </c>
      <c r="CF88">
        <v>87.25958742666667</v>
      </c>
      <c r="CG88">
        <v>130.88938114000001</v>
      </c>
      <c r="CH88">
        <v>207.12558954360935</v>
      </c>
      <c r="CI88">
        <v>218.1489685666667</v>
      </c>
      <c r="CJ88">
        <v>124.65655346666668</v>
      </c>
      <c r="CK88">
        <v>249.31310693333336</v>
      </c>
      <c r="CL88">
        <v>392.66814341999998</v>
      </c>
      <c r="CM88">
        <v>2127.5917393102764</v>
      </c>
      <c r="CN88">
        <v>623.28276733333337</v>
      </c>
      <c r="CO88">
        <v>3188.2519706436096</v>
      </c>
      <c r="CQ88">
        <v>420.98169863013703</v>
      </c>
      <c r="CR88">
        <v>140.32723287671232</v>
      </c>
      <c r="CS88">
        <v>431.71673194520554</v>
      </c>
      <c r="CT88">
        <v>18802.193100762335</v>
      </c>
      <c r="CY88">
        <v>0</v>
      </c>
      <c r="DB88">
        <v>12292.665600000002</v>
      </c>
      <c r="DC88">
        <v>143.049375</v>
      </c>
      <c r="DE88" s="61">
        <v>18945.242475762334</v>
      </c>
    </row>
    <row r="89" spans="1:109" hidden="1" x14ac:dyDescent="0.3">
      <c r="A89">
        <v>1067</v>
      </c>
      <c r="B89" t="s">
        <v>602</v>
      </c>
      <c r="C89" t="s">
        <v>603</v>
      </c>
      <c r="D89" t="s">
        <v>604</v>
      </c>
      <c r="E89" t="s">
        <v>673</v>
      </c>
      <c r="F89" t="s">
        <v>616</v>
      </c>
      <c r="G89" t="s">
        <v>617</v>
      </c>
      <c r="H89" t="s">
        <v>608</v>
      </c>
      <c r="I89" t="s">
        <v>609</v>
      </c>
      <c r="J89" s="3">
        <v>43894</v>
      </c>
      <c r="K89">
        <v>4.9150684931506845</v>
      </c>
      <c r="L89">
        <v>4</v>
      </c>
      <c r="M89" t="s">
        <v>668</v>
      </c>
      <c r="N89" t="s">
        <v>668</v>
      </c>
      <c r="O89">
        <v>1.0548</v>
      </c>
      <c r="P89">
        <v>3439.4559999999997</v>
      </c>
      <c r="Q89">
        <v>3439.4559999999997</v>
      </c>
      <c r="R89">
        <v>336.97</v>
      </c>
      <c r="S89">
        <v>355.43595600000003</v>
      </c>
      <c r="T89">
        <v>19.03</v>
      </c>
      <c r="U89">
        <v>374.46595600000001</v>
      </c>
      <c r="V89">
        <v>30.4</v>
      </c>
      <c r="W89">
        <v>10243.888000000001</v>
      </c>
      <c r="AC89">
        <v>750</v>
      </c>
      <c r="AE89">
        <v>41.666666666666664</v>
      </c>
      <c r="AF89">
        <v>1024.3887999999999</v>
      </c>
      <c r="AG89">
        <v>1024.3887999999999</v>
      </c>
      <c r="AH89">
        <v>512.19440000000009</v>
      </c>
      <c r="AI89">
        <v>1024.3888000000002</v>
      </c>
      <c r="AJ89">
        <v>0</v>
      </c>
      <c r="AK89">
        <v>0</v>
      </c>
      <c r="AL89">
        <v>2048.7775999999999</v>
      </c>
      <c r="AM89">
        <v>13829.248800000001</v>
      </c>
      <c r="AN89">
        <v>14620.915466666669</v>
      </c>
      <c r="AO89">
        <v>14579.248800000001</v>
      </c>
      <c r="AQ89">
        <v>10993.888000000001</v>
      </c>
      <c r="AR89">
        <v>24076.191999999999</v>
      </c>
      <c r="AS89">
        <v>12292.6656</v>
      </c>
      <c r="AT89">
        <v>0</v>
      </c>
      <c r="AU89">
        <v>11783.526399999999</v>
      </c>
      <c r="AV89">
        <v>2048.7775999999999</v>
      </c>
      <c r="AW89">
        <v>0</v>
      </c>
      <c r="AX89">
        <v>13084.332266666668</v>
      </c>
      <c r="AY89">
        <v>12935.83</v>
      </c>
      <c r="AZ89">
        <v>148.50226666666822</v>
      </c>
      <c r="BA89">
        <v>0.17920000000000003</v>
      </c>
      <c r="BB89">
        <v>26.61160618666695</v>
      </c>
      <c r="BC89">
        <v>1182.8800000000001</v>
      </c>
      <c r="BD89">
        <v>1209.491606186667</v>
      </c>
      <c r="BE89">
        <v>0</v>
      </c>
      <c r="BF89">
        <v>1209.491606186667</v>
      </c>
      <c r="BG89">
        <v>26.388888888888889</v>
      </c>
      <c r="BH89">
        <v>0</v>
      </c>
      <c r="BI89">
        <v>400.85484488888892</v>
      </c>
      <c r="BJ89">
        <v>1202.5645346666668</v>
      </c>
      <c r="BK89">
        <v>0</v>
      </c>
      <c r="BL89">
        <v>0</v>
      </c>
      <c r="BM89">
        <v>33.69700000000001</v>
      </c>
      <c r="BN89">
        <v>0</v>
      </c>
      <c r="BO89">
        <v>0</v>
      </c>
      <c r="BP89">
        <v>415.52184488888895</v>
      </c>
      <c r="BQ89">
        <v>415.52184488888895</v>
      </c>
      <c r="BR89">
        <v>9.1322213866666715</v>
      </c>
      <c r="BS89">
        <v>31.16413836666667</v>
      </c>
      <c r="BT89">
        <v>46.746207550000008</v>
      </c>
      <c r="BU89">
        <v>77.910345916666685</v>
      </c>
      <c r="BV89">
        <v>140.23862265</v>
      </c>
      <c r="BW89">
        <v>305.19153587000005</v>
      </c>
      <c r="BX89">
        <v>13106.23232461</v>
      </c>
      <c r="BY89">
        <v>1024.3888000000002</v>
      </c>
      <c r="BZ89">
        <v>12081.84352461</v>
      </c>
      <c r="CA89">
        <v>14579.248800000003</v>
      </c>
      <c r="CB89">
        <v>437.37746400000009</v>
      </c>
      <c r="CC89">
        <v>415.52184488888895</v>
      </c>
      <c r="CD89">
        <v>692.41679999999997</v>
      </c>
      <c r="CE89">
        <v>25.113608813333347</v>
      </c>
      <c r="CF89">
        <v>87.259587426666684</v>
      </c>
      <c r="CG89">
        <v>130.88938114000001</v>
      </c>
      <c r="CH89">
        <v>207.12558954360938</v>
      </c>
      <c r="CI89">
        <v>218.14896856666672</v>
      </c>
      <c r="CJ89">
        <v>124.65655346666668</v>
      </c>
      <c r="CK89">
        <v>249.31310693333336</v>
      </c>
      <c r="CL89">
        <v>392.66814342000004</v>
      </c>
      <c r="CM89">
        <v>2127.5917393102764</v>
      </c>
      <c r="CN89">
        <v>623.28276733333348</v>
      </c>
      <c r="CO89">
        <v>3188.2519706436101</v>
      </c>
      <c r="CQ89">
        <v>420.98169863013703</v>
      </c>
      <c r="CR89">
        <v>140.32723287671232</v>
      </c>
      <c r="CS89">
        <v>431.71673194520554</v>
      </c>
      <c r="CT89">
        <v>18802.193100762335</v>
      </c>
      <c r="CY89">
        <v>0</v>
      </c>
      <c r="DB89">
        <v>12292.665600000002</v>
      </c>
      <c r="DC89">
        <v>141.48171061643833</v>
      </c>
      <c r="DE89" s="61">
        <v>18943.674811378773</v>
      </c>
    </row>
    <row r="90" spans="1:109" hidden="1" x14ac:dyDescent="0.3">
      <c r="A90">
        <v>1681</v>
      </c>
      <c r="B90" t="s">
        <v>611</v>
      </c>
      <c r="C90" t="s">
        <v>603</v>
      </c>
      <c r="D90" t="s">
        <v>604</v>
      </c>
      <c r="E90" t="s">
        <v>776</v>
      </c>
      <c r="F90" t="s">
        <v>616</v>
      </c>
      <c r="G90" t="s">
        <v>617</v>
      </c>
      <c r="H90" t="s">
        <v>608</v>
      </c>
      <c r="I90" t="s">
        <v>609</v>
      </c>
      <c r="J90" s="3">
        <v>44956</v>
      </c>
      <c r="K90">
        <v>2.0054794520547947</v>
      </c>
      <c r="L90">
        <v>2</v>
      </c>
      <c r="M90" t="s">
        <v>735</v>
      </c>
      <c r="N90" t="s">
        <v>735</v>
      </c>
      <c r="O90">
        <v>1.0521</v>
      </c>
      <c r="P90">
        <v>3439.4559999999997</v>
      </c>
      <c r="Q90">
        <v>3439.4559999999997</v>
      </c>
      <c r="R90">
        <v>339.23</v>
      </c>
      <c r="S90">
        <v>356.90388300000001</v>
      </c>
      <c r="T90">
        <v>36.479999999999997</v>
      </c>
      <c r="U90">
        <v>393.38388300000003</v>
      </c>
      <c r="V90">
        <v>30.4</v>
      </c>
      <c r="W90">
        <v>10312.592000000001</v>
      </c>
      <c r="AC90">
        <v>750</v>
      </c>
      <c r="AE90">
        <v>41.666666666666664</v>
      </c>
      <c r="AF90">
        <v>1031.2592</v>
      </c>
      <c r="AG90">
        <v>1031.2592</v>
      </c>
      <c r="AH90">
        <v>515.6296000000001</v>
      </c>
      <c r="AI90">
        <v>1031.2592000000002</v>
      </c>
      <c r="AJ90">
        <v>0</v>
      </c>
      <c r="AK90">
        <v>0</v>
      </c>
      <c r="AL90">
        <v>2062.5183999999999</v>
      </c>
      <c r="AM90">
        <v>13921.999200000002</v>
      </c>
      <c r="AN90">
        <v>14713.665866666668</v>
      </c>
      <c r="AO90">
        <v>14671.999200000002</v>
      </c>
      <c r="AQ90">
        <v>11062.592000000001</v>
      </c>
      <c r="AR90">
        <v>24076.191999999999</v>
      </c>
      <c r="AS90">
        <v>12375.110400000001</v>
      </c>
      <c r="AT90">
        <v>0</v>
      </c>
      <c r="AU90">
        <v>11701.081599999998</v>
      </c>
      <c r="AV90">
        <v>2062.5183999999999</v>
      </c>
      <c r="AW90">
        <v>0</v>
      </c>
      <c r="AX90">
        <v>13166.777066666667</v>
      </c>
      <c r="AY90">
        <v>12935.83</v>
      </c>
      <c r="AZ90">
        <v>230.94706666666752</v>
      </c>
      <c r="BA90">
        <v>0.17920000000000003</v>
      </c>
      <c r="BB90">
        <v>41.385714346666823</v>
      </c>
      <c r="BC90">
        <v>1182.8800000000001</v>
      </c>
      <c r="BD90">
        <v>1224.265714346667</v>
      </c>
      <c r="BE90">
        <v>0</v>
      </c>
      <c r="BF90">
        <v>1224.265714346667</v>
      </c>
      <c r="BG90">
        <v>26.388888888888889</v>
      </c>
      <c r="BH90">
        <v>0</v>
      </c>
      <c r="BI90">
        <v>419.77277188888894</v>
      </c>
      <c r="BJ90">
        <v>1259.3183156666669</v>
      </c>
      <c r="BK90">
        <v>0</v>
      </c>
      <c r="BL90">
        <v>0</v>
      </c>
      <c r="BM90">
        <v>33.923000000000009</v>
      </c>
      <c r="BN90">
        <v>0</v>
      </c>
      <c r="BO90">
        <v>0</v>
      </c>
      <c r="BP90">
        <v>417.21577188888892</v>
      </c>
      <c r="BQ90">
        <v>417.21577188888892</v>
      </c>
      <c r="BR90">
        <v>9.3354926266666691</v>
      </c>
      <c r="BS90">
        <v>31.291182891666669</v>
      </c>
      <c r="BT90">
        <v>46.936774337499998</v>
      </c>
      <c r="BU90">
        <v>78.227957229166677</v>
      </c>
      <c r="BV90">
        <v>140.81032301250002</v>
      </c>
      <c r="BW90">
        <v>306.60173009750002</v>
      </c>
      <c r="BX90">
        <v>13182.7984222225</v>
      </c>
      <c r="BY90">
        <v>1031.2592000000002</v>
      </c>
      <c r="BZ90">
        <v>12151.5392222225</v>
      </c>
      <c r="CA90">
        <v>14671.999200000002</v>
      </c>
      <c r="CB90">
        <v>440.15997600000003</v>
      </c>
      <c r="CC90">
        <v>417.21577188888892</v>
      </c>
      <c r="CD90">
        <v>692.41679999999997</v>
      </c>
      <c r="CE90">
        <v>25.67260472333334</v>
      </c>
      <c r="CF90">
        <v>87.615312096666671</v>
      </c>
      <c r="CG90">
        <v>131.42296814500003</v>
      </c>
      <c r="CH90">
        <v>207.96996302922636</v>
      </c>
      <c r="CI90">
        <v>219.03828024166671</v>
      </c>
      <c r="CJ90">
        <v>125.16473156666667</v>
      </c>
      <c r="CK90">
        <v>250.32946313333335</v>
      </c>
      <c r="CL90">
        <v>394.26890443500002</v>
      </c>
      <c r="CM90">
        <v>2133.8990273708932</v>
      </c>
      <c r="CN90">
        <v>625.82365783333341</v>
      </c>
      <c r="CO90">
        <v>3199.8826612042267</v>
      </c>
      <c r="CQ90">
        <v>423.8051506849315</v>
      </c>
      <c r="CR90">
        <v>113.01470684931508</v>
      </c>
      <c r="CS90">
        <v>433.76457172602744</v>
      </c>
      <c r="CT90">
        <v>18884.132957131165</v>
      </c>
      <c r="CY90">
        <v>0</v>
      </c>
      <c r="DB90">
        <v>12375.110400000001</v>
      </c>
      <c r="DE90" s="61">
        <v>18884.132957131165</v>
      </c>
    </row>
    <row r="91" spans="1:109" hidden="1" x14ac:dyDescent="0.3">
      <c r="A91">
        <v>1852</v>
      </c>
      <c r="B91" t="s">
        <v>637</v>
      </c>
      <c r="C91" t="s">
        <v>603</v>
      </c>
      <c r="D91" t="s">
        <v>604</v>
      </c>
      <c r="E91" t="s">
        <v>862</v>
      </c>
      <c r="F91" t="s">
        <v>616</v>
      </c>
      <c r="G91" t="s">
        <v>617</v>
      </c>
      <c r="H91" t="s">
        <v>622</v>
      </c>
      <c r="I91" t="s">
        <v>623</v>
      </c>
      <c r="J91" s="3">
        <v>45586</v>
      </c>
      <c r="K91">
        <v>0.27945205479452057</v>
      </c>
      <c r="L91">
        <v>0</v>
      </c>
      <c r="M91" t="s">
        <v>678</v>
      </c>
      <c r="N91" t="s">
        <v>678</v>
      </c>
      <c r="O91">
        <v>1.0492999999999999</v>
      </c>
      <c r="P91">
        <v>3439.4559999999997</v>
      </c>
      <c r="Q91">
        <v>3439.4559999999997</v>
      </c>
      <c r="R91">
        <v>339.23</v>
      </c>
      <c r="S91">
        <v>355.95403899999997</v>
      </c>
      <c r="T91">
        <v>0</v>
      </c>
      <c r="U91">
        <v>355.95403899999997</v>
      </c>
      <c r="V91">
        <v>30.4</v>
      </c>
      <c r="W91">
        <v>10312.592000000001</v>
      </c>
      <c r="AC91">
        <v>750</v>
      </c>
      <c r="AE91">
        <v>41.666666666666664</v>
      </c>
      <c r="AF91">
        <v>1031.2592</v>
      </c>
      <c r="AG91">
        <v>1031.2592</v>
      </c>
      <c r="AH91">
        <v>515.6296000000001</v>
      </c>
      <c r="AI91">
        <v>1031.2592000000002</v>
      </c>
      <c r="AJ91">
        <v>0</v>
      </c>
      <c r="AK91">
        <v>0</v>
      </c>
      <c r="AL91">
        <v>2062.5183999999999</v>
      </c>
      <c r="AM91">
        <v>13921.999200000002</v>
      </c>
      <c r="AN91">
        <v>14713.665866666668</v>
      </c>
      <c r="AO91">
        <v>14671.999200000002</v>
      </c>
      <c r="AQ91">
        <v>11062.592000000001</v>
      </c>
      <c r="AR91">
        <v>24076.191999999999</v>
      </c>
      <c r="AS91">
        <v>12375.110400000001</v>
      </c>
      <c r="AT91">
        <v>0</v>
      </c>
      <c r="AU91">
        <v>11701.081599999998</v>
      </c>
      <c r="AV91">
        <v>2062.5183999999999</v>
      </c>
      <c r="AW91">
        <v>0</v>
      </c>
      <c r="AX91">
        <v>13166.777066666667</v>
      </c>
      <c r="AY91">
        <v>12935.83</v>
      </c>
      <c r="AZ91">
        <v>230.94706666666752</v>
      </c>
      <c r="BA91">
        <v>0.17920000000000003</v>
      </c>
      <c r="BB91">
        <v>41.385714346666823</v>
      </c>
      <c r="BC91">
        <v>1182.8800000000001</v>
      </c>
      <c r="BD91">
        <v>1224.265714346667</v>
      </c>
      <c r="BE91">
        <v>0</v>
      </c>
      <c r="BF91">
        <v>1224.265714346667</v>
      </c>
      <c r="BG91">
        <v>26.388888888888889</v>
      </c>
      <c r="BH91">
        <v>0</v>
      </c>
      <c r="BI91">
        <v>382.34292788888888</v>
      </c>
      <c r="BJ91">
        <v>1147.0287836666666</v>
      </c>
      <c r="BK91">
        <v>0</v>
      </c>
      <c r="BL91">
        <v>0</v>
      </c>
      <c r="BM91">
        <v>33.923000000000009</v>
      </c>
      <c r="BN91">
        <v>0</v>
      </c>
      <c r="BO91">
        <v>0</v>
      </c>
      <c r="BP91">
        <v>416.26592788888888</v>
      </c>
      <c r="BQ91">
        <v>416.26592788888888</v>
      </c>
      <c r="BR91">
        <v>9.2215113466666647</v>
      </c>
      <c r="BS91">
        <v>31.219944591666664</v>
      </c>
      <c r="BT91">
        <v>46.829916887499998</v>
      </c>
      <c r="BU91">
        <v>78.04986147916668</v>
      </c>
      <c r="BV91">
        <v>140.4897506625</v>
      </c>
      <c r="BW91">
        <v>305.81098496750002</v>
      </c>
      <c r="BX91">
        <v>13183.5891673525</v>
      </c>
      <c r="BY91">
        <v>1031.2592000000002</v>
      </c>
      <c r="BZ91">
        <v>12152.3299673525</v>
      </c>
      <c r="CA91">
        <v>14671.999200000002</v>
      </c>
      <c r="CB91">
        <v>440.15997600000003</v>
      </c>
      <c r="CC91">
        <v>416.26592788888888</v>
      </c>
      <c r="CD91">
        <v>692.41679999999997</v>
      </c>
      <c r="CE91">
        <v>25.359156203333324</v>
      </c>
      <c r="CF91">
        <v>87.415844856666666</v>
      </c>
      <c r="CG91">
        <v>131.12376728500001</v>
      </c>
      <c r="CH91">
        <v>207.49649334070233</v>
      </c>
      <c r="CI91">
        <v>218.53961214166668</v>
      </c>
      <c r="CJ91">
        <v>124.87977836666666</v>
      </c>
      <c r="CK91">
        <v>249.75955673333331</v>
      </c>
      <c r="CL91">
        <v>393.37130185499996</v>
      </c>
      <c r="CM91">
        <v>2130.3623107823687</v>
      </c>
      <c r="CN91">
        <v>624.39889183333344</v>
      </c>
      <c r="CO91">
        <v>3194.921178615702</v>
      </c>
      <c r="CQ91">
        <v>423.8051506849315</v>
      </c>
      <c r="CR91">
        <v>84.761030136986292</v>
      </c>
      <c r="CS91">
        <v>432.91696142465759</v>
      </c>
      <c r="CT91">
        <v>18850.070187528945</v>
      </c>
      <c r="CY91">
        <v>0</v>
      </c>
      <c r="DB91">
        <v>12375.110400000001</v>
      </c>
      <c r="DE91" s="61">
        <v>18850.070187528945</v>
      </c>
    </row>
    <row r="92" spans="1:109" hidden="1" x14ac:dyDescent="0.3">
      <c r="A92">
        <v>1248</v>
      </c>
      <c r="B92" t="s">
        <v>637</v>
      </c>
      <c r="C92" t="s">
        <v>603</v>
      </c>
      <c r="D92" t="s">
        <v>604</v>
      </c>
      <c r="E92" t="s">
        <v>704</v>
      </c>
      <c r="F92" t="s">
        <v>616</v>
      </c>
      <c r="G92" t="s">
        <v>617</v>
      </c>
      <c r="H92" t="s">
        <v>622</v>
      </c>
      <c r="I92" t="s">
        <v>623</v>
      </c>
      <c r="J92" s="3">
        <v>44256</v>
      </c>
      <c r="K92">
        <v>3.9232876712328766</v>
      </c>
      <c r="L92">
        <v>3</v>
      </c>
      <c r="M92" t="s">
        <v>698</v>
      </c>
      <c r="N92" t="s">
        <v>698</v>
      </c>
      <c r="O92">
        <v>1.0533999999999999</v>
      </c>
      <c r="P92">
        <v>3439.4559999999997</v>
      </c>
      <c r="Q92">
        <v>3439.4559999999997</v>
      </c>
      <c r="R92">
        <v>336.97</v>
      </c>
      <c r="S92">
        <v>354.96419800000001</v>
      </c>
      <c r="T92">
        <v>77.760000000000005</v>
      </c>
      <c r="U92">
        <v>432.724198</v>
      </c>
      <c r="V92">
        <v>30.4</v>
      </c>
      <c r="W92">
        <v>10243.888000000001</v>
      </c>
      <c r="AC92">
        <v>750</v>
      </c>
      <c r="AE92">
        <v>41.666666666666664</v>
      </c>
      <c r="AF92">
        <v>1024.3887999999999</v>
      </c>
      <c r="AG92">
        <v>1024.3887999999999</v>
      </c>
      <c r="AH92">
        <v>512.19440000000009</v>
      </c>
      <c r="AI92">
        <v>1024.3888000000002</v>
      </c>
      <c r="AJ92">
        <v>0</v>
      </c>
      <c r="AK92">
        <v>0</v>
      </c>
      <c r="AL92">
        <v>2048.7775999999999</v>
      </c>
      <c r="AM92">
        <v>13829.248800000001</v>
      </c>
      <c r="AN92">
        <v>14620.915466666669</v>
      </c>
      <c r="AO92">
        <v>14579.248800000001</v>
      </c>
      <c r="AQ92">
        <v>10993.888000000001</v>
      </c>
      <c r="AR92">
        <v>24076.191999999999</v>
      </c>
      <c r="AS92">
        <v>12292.6656</v>
      </c>
      <c r="AT92">
        <v>0</v>
      </c>
      <c r="AU92">
        <v>11783.526399999999</v>
      </c>
      <c r="AV92">
        <v>2048.7775999999999</v>
      </c>
      <c r="AW92">
        <v>0</v>
      </c>
      <c r="AX92">
        <v>13084.332266666668</v>
      </c>
      <c r="AY92">
        <v>12935.83</v>
      </c>
      <c r="AZ92">
        <v>148.50226666666822</v>
      </c>
      <c r="BA92">
        <v>0.17920000000000003</v>
      </c>
      <c r="BB92">
        <v>26.61160618666695</v>
      </c>
      <c r="BC92">
        <v>1182.8800000000001</v>
      </c>
      <c r="BD92">
        <v>1209.491606186667</v>
      </c>
      <c r="BE92">
        <v>0</v>
      </c>
      <c r="BF92">
        <v>1209.491606186667</v>
      </c>
      <c r="BG92">
        <v>26.388888888888889</v>
      </c>
      <c r="BH92">
        <v>0</v>
      </c>
      <c r="BI92">
        <v>459.11308688888892</v>
      </c>
      <c r="BJ92">
        <v>1377.3392606666669</v>
      </c>
      <c r="BK92">
        <v>0</v>
      </c>
      <c r="BL92">
        <v>0</v>
      </c>
      <c r="BM92">
        <v>33.69700000000001</v>
      </c>
      <c r="BN92">
        <v>0</v>
      </c>
      <c r="BO92">
        <v>0</v>
      </c>
      <c r="BP92">
        <v>415.05008688888893</v>
      </c>
      <c r="BQ92">
        <v>415.05008688888893</v>
      </c>
      <c r="BR92">
        <v>9.0756104266666693</v>
      </c>
      <c r="BS92">
        <v>31.128756516666666</v>
      </c>
      <c r="BT92">
        <v>46.693134774999997</v>
      </c>
      <c r="BU92">
        <v>77.821891291666674</v>
      </c>
      <c r="BV92">
        <v>140.07940432500001</v>
      </c>
      <c r="BW92">
        <v>304.79879733500002</v>
      </c>
      <c r="BX92">
        <v>13106.625063145002</v>
      </c>
      <c r="BY92">
        <v>1024.3888000000002</v>
      </c>
      <c r="BZ92">
        <v>12082.236263145001</v>
      </c>
      <c r="CA92">
        <v>14579.248800000003</v>
      </c>
      <c r="CB92">
        <v>437.37746400000009</v>
      </c>
      <c r="CC92">
        <v>415.05008688888893</v>
      </c>
      <c r="CD92">
        <v>692.41679999999997</v>
      </c>
      <c r="CE92">
        <v>24.957928673333338</v>
      </c>
      <c r="CF92">
        <v>87.160518246666683</v>
      </c>
      <c r="CG92">
        <v>130.74077737000002</v>
      </c>
      <c r="CH92">
        <v>206.89043186159134</v>
      </c>
      <c r="CI92">
        <v>217.90129561666672</v>
      </c>
      <c r="CJ92">
        <v>124.51502606666666</v>
      </c>
      <c r="CK92">
        <v>249.03005213333333</v>
      </c>
      <c r="CL92">
        <v>392.22233211000002</v>
      </c>
      <c r="CM92">
        <v>2125.8351620782578</v>
      </c>
      <c r="CN92">
        <v>622.57513033333339</v>
      </c>
      <c r="CO92">
        <v>3185.7877564115915</v>
      </c>
      <c r="CQ92">
        <v>420.98169863013703</v>
      </c>
      <c r="CR92">
        <v>126.29450958904108</v>
      </c>
      <c r="CS92">
        <v>431.29575024657538</v>
      </c>
      <c r="CT92">
        <v>18785.275181544017</v>
      </c>
      <c r="CY92">
        <v>0</v>
      </c>
      <c r="DB92">
        <v>12292.665600000002</v>
      </c>
      <c r="DE92" s="61">
        <v>18785.275181544017</v>
      </c>
    </row>
    <row r="93" spans="1:109" hidden="1" x14ac:dyDescent="0.3">
      <c r="A93">
        <v>1428</v>
      </c>
      <c r="B93" t="s">
        <v>611</v>
      </c>
      <c r="C93" t="s">
        <v>603</v>
      </c>
      <c r="D93" t="s">
        <v>604</v>
      </c>
      <c r="E93" t="s">
        <v>730</v>
      </c>
      <c r="F93" t="s">
        <v>616</v>
      </c>
      <c r="G93" t="s">
        <v>617</v>
      </c>
      <c r="H93" t="s">
        <v>608</v>
      </c>
      <c r="I93" t="s">
        <v>609</v>
      </c>
      <c r="J93" s="3">
        <v>44580</v>
      </c>
      <c r="K93">
        <v>3.0356164383561643</v>
      </c>
      <c r="L93">
        <v>3</v>
      </c>
      <c r="M93" t="s">
        <v>698</v>
      </c>
      <c r="N93" t="s">
        <v>698</v>
      </c>
      <c r="O93">
        <v>1.0533999999999999</v>
      </c>
      <c r="P93">
        <v>3439.4559999999997</v>
      </c>
      <c r="Q93">
        <v>3439.4559999999997</v>
      </c>
      <c r="R93">
        <v>336.97</v>
      </c>
      <c r="S93">
        <v>354.96419800000001</v>
      </c>
      <c r="T93">
        <v>22.91</v>
      </c>
      <c r="U93">
        <v>377.87419800000004</v>
      </c>
      <c r="V93">
        <v>30.4</v>
      </c>
      <c r="W93">
        <v>10243.888000000001</v>
      </c>
      <c r="AC93">
        <v>750</v>
      </c>
      <c r="AE93">
        <v>41.666666666666664</v>
      </c>
      <c r="AF93">
        <v>1024.3887999999999</v>
      </c>
      <c r="AG93">
        <v>1024.3887999999999</v>
      </c>
      <c r="AH93">
        <v>512.19440000000009</v>
      </c>
      <c r="AI93">
        <v>1024.3888000000002</v>
      </c>
      <c r="AJ93">
        <v>0</v>
      </c>
      <c r="AK93">
        <v>0</v>
      </c>
      <c r="AL93">
        <v>2048.7775999999999</v>
      </c>
      <c r="AM93">
        <v>13829.248800000001</v>
      </c>
      <c r="AN93">
        <v>14620.915466666669</v>
      </c>
      <c r="AO93">
        <v>14579.248800000001</v>
      </c>
      <c r="AQ93">
        <v>10993.888000000001</v>
      </c>
      <c r="AR93">
        <v>24076.191999999999</v>
      </c>
      <c r="AS93">
        <v>12292.6656</v>
      </c>
      <c r="AT93">
        <v>0</v>
      </c>
      <c r="AU93">
        <v>11783.526399999999</v>
      </c>
      <c r="AV93">
        <v>2048.7775999999999</v>
      </c>
      <c r="AW93">
        <v>0</v>
      </c>
      <c r="AX93">
        <v>13084.332266666668</v>
      </c>
      <c r="AY93">
        <v>12935.83</v>
      </c>
      <c r="AZ93">
        <v>148.50226666666822</v>
      </c>
      <c r="BA93">
        <v>0.17920000000000003</v>
      </c>
      <c r="BB93">
        <v>26.61160618666695</v>
      </c>
      <c r="BC93">
        <v>1182.8800000000001</v>
      </c>
      <c r="BD93">
        <v>1209.491606186667</v>
      </c>
      <c r="BE93">
        <v>0</v>
      </c>
      <c r="BF93">
        <v>1209.491606186667</v>
      </c>
      <c r="BG93">
        <v>26.388888888888889</v>
      </c>
      <c r="BH93">
        <v>0</v>
      </c>
      <c r="BI93">
        <v>404.26308688888895</v>
      </c>
      <c r="BJ93">
        <v>1212.7892606666669</v>
      </c>
      <c r="BK93">
        <v>0</v>
      </c>
      <c r="BL93">
        <v>0</v>
      </c>
      <c r="BM93">
        <v>33.69700000000001</v>
      </c>
      <c r="BN93">
        <v>0</v>
      </c>
      <c r="BO93">
        <v>0</v>
      </c>
      <c r="BP93">
        <v>415.05008688888893</v>
      </c>
      <c r="BQ93">
        <v>415.05008688888893</v>
      </c>
      <c r="BR93">
        <v>9.0756104266666693</v>
      </c>
      <c r="BS93">
        <v>31.128756516666666</v>
      </c>
      <c r="BT93">
        <v>46.693134774999997</v>
      </c>
      <c r="BU93">
        <v>77.821891291666674</v>
      </c>
      <c r="BV93">
        <v>140.07940432500001</v>
      </c>
      <c r="BW93">
        <v>304.79879733500002</v>
      </c>
      <c r="BX93">
        <v>13106.625063145002</v>
      </c>
      <c r="BY93">
        <v>1024.3888000000002</v>
      </c>
      <c r="BZ93">
        <v>12082.236263145001</v>
      </c>
      <c r="CA93">
        <v>14579.248800000003</v>
      </c>
      <c r="CB93">
        <v>437.37746400000009</v>
      </c>
      <c r="CC93">
        <v>415.05008688888893</v>
      </c>
      <c r="CD93">
        <v>692.41679999999997</v>
      </c>
      <c r="CE93">
        <v>24.957928673333338</v>
      </c>
      <c r="CF93">
        <v>87.160518246666683</v>
      </c>
      <c r="CG93">
        <v>130.74077737000002</v>
      </c>
      <c r="CH93">
        <v>206.89043186159134</v>
      </c>
      <c r="CI93">
        <v>217.90129561666672</v>
      </c>
      <c r="CJ93">
        <v>124.51502606666666</v>
      </c>
      <c r="CK93">
        <v>249.03005213333333</v>
      </c>
      <c r="CL93">
        <v>392.22233211000002</v>
      </c>
      <c r="CM93">
        <v>2125.8351620782578</v>
      </c>
      <c r="CN93">
        <v>622.57513033333339</v>
      </c>
      <c r="CO93">
        <v>3185.7877564115915</v>
      </c>
      <c r="CQ93">
        <v>420.98169863013703</v>
      </c>
      <c r="CR93">
        <v>126.29450958904108</v>
      </c>
      <c r="CS93">
        <v>431.29575024657538</v>
      </c>
      <c r="CT93">
        <v>18785.275181544017</v>
      </c>
      <c r="CY93">
        <v>0</v>
      </c>
      <c r="DB93">
        <v>12292.665600000002</v>
      </c>
      <c r="DE93" s="61">
        <v>18785.275181544017</v>
      </c>
    </row>
    <row r="94" spans="1:109" hidden="1" x14ac:dyDescent="0.3">
      <c r="A94">
        <v>1440</v>
      </c>
      <c r="B94" t="s">
        <v>602</v>
      </c>
      <c r="C94" t="s">
        <v>603</v>
      </c>
      <c r="D94" t="s">
        <v>604</v>
      </c>
      <c r="E94" t="s">
        <v>734</v>
      </c>
      <c r="F94" t="s">
        <v>616</v>
      </c>
      <c r="G94" t="s">
        <v>617</v>
      </c>
      <c r="H94" t="s">
        <v>622</v>
      </c>
      <c r="I94" t="s">
        <v>623</v>
      </c>
      <c r="J94" s="3">
        <v>44601</v>
      </c>
      <c r="K94">
        <v>2.978082191780822</v>
      </c>
      <c r="L94">
        <v>2</v>
      </c>
      <c r="M94" t="s">
        <v>735</v>
      </c>
      <c r="N94" t="s">
        <v>735</v>
      </c>
      <c r="O94">
        <v>1.0521</v>
      </c>
      <c r="P94">
        <v>3439.4559999999997</v>
      </c>
      <c r="Q94">
        <v>3439.4559999999997</v>
      </c>
      <c r="R94">
        <v>336.97</v>
      </c>
      <c r="S94">
        <v>354.52613700000006</v>
      </c>
      <c r="T94">
        <v>404.08</v>
      </c>
      <c r="U94">
        <v>758.60613699999999</v>
      </c>
      <c r="V94">
        <v>30.4</v>
      </c>
      <c r="W94">
        <v>10243.888000000001</v>
      </c>
      <c r="AC94">
        <v>750</v>
      </c>
      <c r="AE94">
        <v>41.666666666666664</v>
      </c>
      <c r="AF94">
        <v>1024.3887999999999</v>
      </c>
      <c r="AG94">
        <v>1024.3887999999999</v>
      </c>
      <c r="AH94">
        <v>512.19440000000009</v>
      </c>
      <c r="AI94">
        <v>1024.3888000000002</v>
      </c>
      <c r="AJ94">
        <v>0</v>
      </c>
      <c r="AK94">
        <v>0</v>
      </c>
      <c r="AL94">
        <v>2048.7775999999999</v>
      </c>
      <c r="AM94">
        <v>13829.248800000001</v>
      </c>
      <c r="AN94">
        <v>14620.915466666669</v>
      </c>
      <c r="AO94">
        <v>14579.248800000001</v>
      </c>
      <c r="AQ94">
        <v>10993.888000000001</v>
      </c>
      <c r="AR94">
        <v>24076.191999999999</v>
      </c>
      <c r="AS94">
        <v>12292.6656</v>
      </c>
      <c r="AT94">
        <v>0</v>
      </c>
      <c r="AU94">
        <v>11783.526399999999</v>
      </c>
      <c r="AV94">
        <v>2048.7775999999999</v>
      </c>
      <c r="AW94">
        <v>0</v>
      </c>
      <c r="AX94">
        <v>13084.332266666668</v>
      </c>
      <c r="AY94">
        <v>12935.83</v>
      </c>
      <c r="AZ94">
        <v>148.50226666666822</v>
      </c>
      <c r="BA94">
        <v>0.17920000000000003</v>
      </c>
      <c r="BB94">
        <v>26.61160618666695</v>
      </c>
      <c r="BC94">
        <v>1182.8800000000001</v>
      </c>
      <c r="BD94">
        <v>1209.491606186667</v>
      </c>
      <c r="BE94">
        <v>0</v>
      </c>
      <c r="BF94">
        <v>1209.491606186667</v>
      </c>
      <c r="BG94">
        <v>26.388888888888889</v>
      </c>
      <c r="BH94">
        <v>0</v>
      </c>
      <c r="BI94">
        <v>784.9950258888889</v>
      </c>
      <c r="BJ94">
        <v>2354.9850776666667</v>
      </c>
      <c r="BK94">
        <v>0</v>
      </c>
      <c r="BL94">
        <v>0</v>
      </c>
      <c r="BM94">
        <v>33.69700000000001</v>
      </c>
      <c r="BN94">
        <v>0</v>
      </c>
      <c r="BO94">
        <v>0</v>
      </c>
      <c r="BP94">
        <v>414.61202588888892</v>
      </c>
      <c r="BQ94">
        <v>414.61202588888892</v>
      </c>
      <c r="BR94">
        <v>9.0230431066666679</v>
      </c>
      <c r="BS94">
        <v>31.095901941666671</v>
      </c>
      <c r="BT94">
        <v>46.643852912500002</v>
      </c>
      <c r="BU94">
        <v>77.739754854166677</v>
      </c>
      <c r="BV94">
        <v>139.93155873750001</v>
      </c>
      <c r="BW94">
        <v>304.43411155249999</v>
      </c>
      <c r="BX94">
        <v>13106.989748927501</v>
      </c>
      <c r="BY94">
        <v>1024.3888000000002</v>
      </c>
      <c r="BZ94">
        <v>12082.6009489275</v>
      </c>
      <c r="CA94">
        <v>14579.248800000003</v>
      </c>
      <c r="CB94">
        <v>437.37746400000009</v>
      </c>
      <c r="CC94">
        <v>414.61202588888892</v>
      </c>
      <c r="CD94">
        <v>692.41679999999997</v>
      </c>
      <c r="CE94">
        <v>24.813368543333336</v>
      </c>
      <c r="CF94">
        <v>87.068525436666675</v>
      </c>
      <c r="CG94">
        <v>130.60278815500004</v>
      </c>
      <c r="CH94">
        <v>206.67207115686037</v>
      </c>
      <c r="CI94">
        <v>217.67131359166672</v>
      </c>
      <c r="CJ94">
        <v>124.38360776666669</v>
      </c>
      <c r="CK94">
        <v>248.76721553333337</v>
      </c>
      <c r="CL94">
        <v>391.80836446500007</v>
      </c>
      <c r="CM94">
        <v>2124.2040546485277</v>
      </c>
      <c r="CN94">
        <v>621.91803883333341</v>
      </c>
      <c r="CO94">
        <v>3183.4995574818613</v>
      </c>
      <c r="CQ94">
        <v>420.98169863013703</v>
      </c>
      <c r="CR94">
        <v>112.26178630136987</v>
      </c>
      <c r="CS94">
        <v>430.87476854794522</v>
      </c>
      <c r="CT94">
        <v>18768.533277627983</v>
      </c>
      <c r="CY94">
        <v>0</v>
      </c>
      <c r="DB94">
        <v>12292.665600000002</v>
      </c>
      <c r="DE94" s="61">
        <v>18768.533277627983</v>
      </c>
    </row>
    <row r="95" spans="1:109" hidden="1" x14ac:dyDescent="0.3">
      <c r="A95">
        <v>1470</v>
      </c>
      <c r="B95" t="s">
        <v>637</v>
      </c>
      <c r="C95" t="s">
        <v>603</v>
      </c>
      <c r="D95" t="s">
        <v>604</v>
      </c>
      <c r="E95" t="s">
        <v>740</v>
      </c>
      <c r="F95" t="s">
        <v>616</v>
      </c>
      <c r="G95" t="s">
        <v>617</v>
      </c>
      <c r="H95" t="s">
        <v>622</v>
      </c>
      <c r="I95" t="s">
        <v>623</v>
      </c>
      <c r="J95" s="3">
        <v>44628</v>
      </c>
      <c r="K95">
        <v>2.904109589041096</v>
      </c>
      <c r="L95">
        <v>2</v>
      </c>
      <c r="M95" t="s">
        <v>735</v>
      </c>
      <c r="N95" t="s">
        <v>735</v>
      </c>
      <c r="O95">
        <v>1.0521</v>
      </c>
      <c r="P95">
        <v>3439.4559999999997</v>
      </c>
      <c r="Q95">
        <v>3439.4559999999997</v>
      </c>
      <c r="R95">
        <v>336.97</v>
      </c>
      <c r="S95">
        <v>354.52613700000006</v>
      </c>
      <c r="T95">
        <v>45.3</v>
      </c>
      <c r="U95">
        <v>399.82613700000007</v>
      </c>
      <c r="V95">
        <v>30.4</v>
      </c>
      <c r="W95">
        <v>10243.888000000001</v>
      </c>
      <c r="AC95">
        <v>750</v>
      </c>
      <c r="AE95">
        <v>41.666666666666664</v>
      </c>
      <c r="AF95">
        <v>1024.3887999999999</v>
      </c>
      <c r="AG95">
        <v>1024.3887999999999</v>
      </c>
      <c r="AH95">
        <v>512.19440000000009</v>
      </c>
      <c r="AI95">
        <v>1024.3888000000002</v>
      </c>
      <c r="AJ95">
        <v>0</v>
      </c>
      <c r="AK95">
        <v>0</v>
      </c>
      <c r="AL95">
        <v>2048.7775999999999</v>
      </c>
      <c r="AM95">
        <v>13829.248800000001</v>
      </c>
      <c r="AN95">
        <v>14620.915466666669</v>
      </c>
      <c r="AO95">
        <v>14579.248800000001</v>
      </c>
      <c r="AQ95">
        <v>10993.888000000001</v>
      </c>
      <c r="AR95">
        <v>24076.191999999999</v>
      </c>
      <c r="AS95">
        <v>12292.6656</v>
      </c>
      <c r="AT95">
        <v>0</v>
      </c>
      <c r="AU95">
        <v>11783.526399999999</v>
      </c>
      <c r="AV95">
        <v>2048.7775999999999</v>
      </c>
      <c r="AW95">
        <v>0</v>
      </c>
      <c r="AX95">
        <v>13084.332266666668</v>
      </c>
      <c r="AY95">
        <v>12935.83</v>
      </c>
      <c r="AZ95">
        <v>148.50226666666822</v>
      </c>
      <c r="BA95">
        <v>0.17920000000000003</v>
      </c>
      <c r="BB95">
        <v>26.61160618666695</v>
      </c>
      <c r="BC95">
        <v>1182.8800000000001</v>
      </c>
      <c r="BD95">
        <v>1209.491606186667</v>
      </c>
      <c r="BE95">
        <v>0</v>
      </c>
      <c r="BF95">
        <v>1209.491606186667</v>
      </c>
      <c r="BG95">
        <v>26.388888888888889</v>
      </c>
      <c r="BH95">
        <v>0</v>
      </c>
      <c r="BI95">
        <v>426.21502588888899</v>
      </c>
      <c r="BJ95">
        <v>1278.645077666667</v>
      </c>
      <c r="BK95">
        <v>0</v>
      </c>
      <c r="BL95">
        <v>0</v>
      </c>
      <c r="BM95">
        <v>33.69700000000001</v>
      </c>
      <c r="BN95">
        <v>0</v>
      </c>
      <c r="BO95">
        <v>0</v>
      </c>
      <c r="BP95">
        <v>414.61202588888898</v>
      </c>
      <c r="BQ95">
        <v>414.61202588888898</v>
      </c>
      <c r="BR95">
        <v>9.023043106666675</v>
      </c>
      <c r="BS95">
        <v>31.095901941666671</v>
      </c>
      <c r="BT95">
        <v>46.643852912500009</v>
      </c>
      <c r="BU95">
        <v>77.739754854166691</v>
      </c>
      <c r="BV95">
        <v>139.93155873750004</v>
      </c>
      <c r="BW95">
        <v>304.4341115525001</v>
      </c>
      <c r="BX95">
        <v>13106.989748927501</v>
      </c>
      <c r="BY95">
        <v>1024.3888000000002</v>
      </c>
      <c r="BZ95">
        <v>12082.6009489275</v>
      </c>
      <c r="CA95">
        <v>14579.248800000003</v>
      </c>
      <c r="CB95">
        <v>437.37746400000009</v>
      </c>
      <c r="CC95">
        <v>414.61202588888898</v>
      </c>
      <c r="CD95">
        <v>692.41679999999997</v>
      </c>
      <c r="CE95">
        <v>24.813368543333358</v>
      </c>
      <c r="CF95">
        <v>87.06852543666669</v>
      </c>
      <c r="CG95">
        <v>130.60278815500004</v>
      </c>
      <c r="CH95">
        <v>206.6720711568604</v>
      </c>
      <c r="CI95">
        <v>217.67131359166675</v>
      </c>
      <c r="CJ95">
        <v>124.38360776666669</v>
      </c>
      <c r="CK95">
        <v>248.76721553333337</v>
      </c>
      <c r="CL95">
        <v>391.80836446500012</v>
      </c>
      <c r="CM95">
        <v>2124.2040546485277</v>
      </c>
      <c r="CN95">
        <v>621.91803883333353</v>
      </c>
      <c r="CO95">
        <v>3183.4995574818613</v>
      </c>
      <c r="CQ95">
        <v>420.98169863013703</v>
      </c>
      <c r="CR95">
        <v>112.26178630136987</v>
      </c>
      <c r="CS95">
        <v>430.87476854794522</v>
      </c>
      <c r="CT95">
        <v>18768.533277627983</v>
      </c>
      <c r="CY95">
        <v>0</v>
      </c>
      <c r="DB95">
        <v>12292.665600000002</v>
      </c>
      <c r="DE95" s="61">
        <v>18768.533277627983</v>
      </c>
    </row>
    <row r="96" spans="1:109" hidden="1" x14ac:dyDescent="0.3">
      <c r="A96">
        <v>1544</v>
      </c>
      <c r="B96" t="s">
        <v>637</v>
      </c>
      <c r="C96" t="s">
        <v>603</v>
      </c>
      <c r="D96" t="s">
        <v>604</v>
      </c>
      <c r="E96" t="s">
        <v>754</v>
      </c>
      <c r="F96" t="s">
        <v>616</v>
      </c>
      <c r="G96" t="s">
        <v>617</v>
      </c>
      <c r="H96" t="s">
        <v>622</v>
      </c>
      <c r="I96" t="s">
        <v>623</v>
      </c>
      <c r="J96" s="3">
        <v>44797</v>
      </c>
      <c r="K96">
        <v>2.441095890410959</v>
      </c>
      <c r="L96">
        <v>2</v>
      </c>
      <c r="M96" t="s">
        <v>735</v>
      </c>
      <c r="N96" t="s">
        <v>735</v>
      </c>
      <c r="O96">
        <v>1.0521</v>
      </c>
      <c r="P96">
        <v>3439.4559999999997</v>
      </c>
      <c r="Q96">
        <v>3439.4559999999997</v>
      </c>
      <c r="R96">
        <v>336.97</v>
      </c>
      <c r="S96">
        <v>354.52613700000006</v>
      </c>
      <c r="T96">
        <v>352.82</v>
      </c>
      <c r="U96">
        <v>707.346137</v>
      </c>
      <c r="V96">
        <v>30.4</v>
      </c>
      <c r="W96">
        <v>10243.888000000001</v>
      </c>
      <c r="AC96">
        <v>750</v>
      </c>
      <c r="AE96">
        <v>41.666666666666664</v>
      </c>
      <c r="AF96">
        <v>1024.3887999999999</v>
      </c>
      <c r="AG96">
        <v>1024.3887999999999</v>
      </c>
      <c r="AH96">
        <v>512.19440000000009</v>
      </c>
      <c r="AI96">
        <v>1024.3888000000002</v>
      </c>
      <c r="AJ96">
        <v>0</v>
      </c>
      <c r="AK96">
        <v>0</v>
      </c>
      <c r="AL96">
        <v>2048.7775999999999</v>
      </c>
      <c r="AM96">
        <v>13829.248800000001</v>
      </c>
      <c r="AN96">
        <v>14620.915466666669</v>
      </c>
      <c r="AO96">
        <v>14579.248800000001</v>
      </c>
      <c r="AQ96">
        <v>10993.888000000001</v>
      </c>
      <c r="AR96">
        <v>24076.191999999999</v>
      </c>
      <c r="AS96">
        <v>12292.6656</v>
      </c>
      <c r="AT96">
        <v>0</v>
      </c>
      <c r="AU96">
        <v>11783.526399999999</v>
      </c>
      <c r="AV96">
        <v>2048.7775999999999</v>
      </c>
      <c r="AW96">
        <v>0</v>
      </c>
      <c r="AX96">
        <v>13084.332266666668</v>
      </c>
      <c r="AY96">
        <v>12935.83</v>
      </c>
      <c r="AZ96">
        <v>148.50226666666822</v>
      </c>
      <c r="BA96">
        <v>0.17920000000000003</v>
      </c>
      <c r="BB96">
        <v>26.61160618666695</v>
      </c>
      <c r="BC96">
        <v>1182.8800000000001</v>
      </c>
      <c r="BD96">
        <v>1209.491606186667</v>
      </c>
      <c r="BE96">
        <v>0</v>
      </c>
      <c r="BF96">
        <v>1209.491606186667</v>
      </c>
      <c r="BG96">
        <v>26.388888888888889</v>
      </c>
      <c r="BH96">
        <v>0</v>
      </c>
      <c r="BI96">
        <v>733.73502588888891</v>
      </c>
      <c r="BJ96">
        <v>2201.205077666667</v>
      </c>
      <c r="BK96">
        <v>0</v>
      </c>
      <c r="BL96">
        <v>0</v>
      </c>
      <c r="BM96">
        <v>33.69700000000001</v>
      </c>
      <c r="BN96">
        <v>0</v>
      </c>
      <c r="BO96">
        <v>0</v>
      </c>
      <c r="BP96">
        <v>414.61202588888892</v>
      </c>
      <c r="BQ96">
        <v>414.61202588888892</v>
      </c>
      <c r="BR96">
        <v>9.0230431066666679</v>
      </c>
      <c r="BS96">
        <v>31.095901941666671</v>
      </c>
      <c r="BT96">
        <v>46.643852912500002</v>
      </c>
      <c r="BU96">
        <v>77.739754854166677</v>
      </c>
      <c r="BV96">
        <v>139.93155873750001</v>
      </c>
      <c r="BW96">
        <v>304.43411155249999</v>
      </c>
      <c r="BX96">
        <v>13106.989748927501</v>
      </c>
      <c r="BY96">
        <v>1024.3888000000002</v>
      </c>
      <c r="BZ96">
        <v>12082.6009489275</v>
      </c>
      <c r="CA96">
        <v>14579.248800000003</v>
      </c>
      <c r="CB96">
        <v>437.37746400000009</v>
      </c>
      <c r="CC96">
        <v>414.61202588888892</v>
      </c>
      <c r="CD96">
        <v>692.41679999999997</v>
      </c>
      <c r="CE96">
        <v>24.813368543333336</v>
      </c>
      <c r="CF96">
        <v>87.068525436666675</v>
      </c>
      <c r="CG96">
        <v>130.60278815500004</v>
      </c>
      <c r="CH96">
        <v>206.67207115686037</v>
      </c>
      <c r="CI96">
        <v>217.67131359166672</v>
      </c>
      <c r="CJ96">
        <v>124.38360776666669</v>
      </c>
      <c r="CK96">
        <v>248.76721553333337</v>
      </c>
      <c r="CL96">
        <v>391.80836446500007</v>
      </c>
      <c r="CM96">
        <v>2124.2040546485277</v>
      </c>
      <c r="CN96">
        <v>621.91803883333341</v>
      </c>
      <c r="CO96">
        <v>3183.4995574818613</v>
      </c>
      <c r="CQ96">
        <v>420.98169863013703</v>
      </c>
      <c r="CR96">
        <v>112.26178630136987</v>
      </c>
      <c r="CS96">
        <v>430.87476854794522</v>
      </c>
      <c r="CT96">
        <v>18768.533277627983</v>
      </c>
      <c r="CY96">
        <v>0</v>
      </c>
      <c r="DB96">
        <v>12292.665600000002</v>
      </c>
      <c r="DE96" s="61">
        <v>18768.533277627983</v>
      </c>
    </row>
    <row r="97" spans="1:109" hidden="1" x14ac:dyDescent="0.3">
      <c r="A97">
        <v>1549</v>
      </c>
      <c r="B97" t="s">
        <v>637</v>
      </c>
      <c r="C97" t="s">
        <v>603</v>
      </c>
      <c r="D97" t="s">
        <v>604</v>
      </c>
      <c r="E97" t="s">
        <v>755</v>
      </c>
      <c r="F97" t="s">
        <v>616</v>
      </c>
      <c r="G97" t="s">
        <v>617</v>
      </c>
      <c r="H97" t="s">
        <v>622</v>
      </c>
      <c r="I97" t="s">
        <v>623</v>
      </c>
      <c r="J97" s="3">
        <v>44805</v>
      </c>
      <c r="K97">
        <v>2.419178082191781</v>
      </c>
      <c r="L97">
        <v>2</v>
      </c>
      <c r="M97" t="s">
        <v>735</v>
      </c>
      <c r="N97" t="s">
        <v>735</v>
      </c>
      <c r="O97">
        <v>1.0521</v>
      </c>
      <c r="P97">
        <v>3439.4559999999997</v>
      </c>
      <c r="Q97">
        <v>3439.4559999999997</v>
      </c>
      <c r="R97">
        <v>336.97</v>
      </c>
      <c r="S97">
        <v>354.52613700000006</v>
      </c>
      <c r="T97">
        <v>26.66</v>
      </c>
      <c r="U97">
        <v>381.18613700000009</v>
      </c>
      <c r="V97">
        <v>30.4</v>
      </c>
      <c r="W97">
        <v>10243.888000000001</v>
      </c>
      <c r="AC97">
        <v>750</v>
      </c>
      <c r="AE97">
        <v>41.666666666666664</v>
      </c>
      <c r="AF97">
        <v>1024.3887999999999</v>
      </c>
      <c r="AG97">
        <v>1024.3887999999999</v>
      </c>
      <c r="AH97">
        <v>512.19440000000009</v>
      </c>
      <c r="AI97">
        <v>1024.3888000000002</v>
      </c>
      <c r="AJ97">
        <v>0</v>
      </c>
      <c r="AK97">
        <v>0</v>
      </c>
      <c r="AL97">
        <v>2048.7775999999999</v>
      </c>
      <c r="AM97">
        <v>13829.248800000001</v>
      </c>
      <c r="AN97">
        <v>14620.915466666669</v>
      </c>
      <c r="AO97">
        <v>14579.248800000001</v>
      </c>
      <c r="AQ97">
        <v>10993.888000000001</v>
      </c>
      <c r="AR97">
        <v>24076.191999999999</v>
      </c>
      <c r="AS97">
        <v>12292.6656</v>
      </c>
      <c r="AT97">
        <v>0</v>
      </c>
      <c r="AU97">
        <v>11783.526399999999</v>
      </c>
      <c r="AV97">
        <v>2048.7775999999999</v>
      </c>
      <c r="AW97">
        <v>0</v>
      </c>
      <c r="AX97">
        <v>13084.332266666668</v>
      </c>
      <c r="AY97">
        <v>12935.83</v>
      </c>
      <c r="AZ97">
        <v>148.50226666666822</v>
      </c>
      <c r="BA97">
        <v>0.17920000000000003</v>
      </c>
      <c r="BB97">
        <v>26.61160618666695</v>
      </c>
      <c r="BC97">
        <v>1182.8800000000001</v>
      </c>
      <c r="BD97">
        <v>1209.491606186667</v>
      </c>
      <c r="BE97">
        <v>0</v>
      </c>
      <c r="BF97">
        <v>1209.491606186667</v>
      </c>
      <c r="BG97">
        <v>26.388888888888889</v>
      </c>
      <c r="BH97">
        <v>0</v>
      </c>
      <c r="BI97">
        <v>407.575025888889</v>
      </c>
      <c r="BJ97">
        <v>1222.7250776666669</v>
      </c>
      <c r="BK97">
        <v>0</v>
      </c>
      <c r="BL97">
        <v>0</v>
      </c>
      <c r="BM97">
        <v>33.69700000000001</v>
      </c>
      <c r="BN97">
        <v>0</v>
      </c>
      <c r="BO97">
        <v>0</v>
      </c>
      <c r="BP97">
        <v>414.61202588888898</v>
      </c>
      <c r="BQ97">
        <v>414.61202588888898</v>
      </c>
      <c r="BR97">
        <v>9.023043106666675</v>
      </c>
      <c r="BS97">
        <v>31.095901941666671</v>
      </c>
      <c r="BT97">
        <v>46.643852912500009</v>
      </c>
      <c r="BU97">
        <v>77.739754854166691</v>
      </c>
      <c r="BV97">
        <v>139.93155873750004</v>
      </c>
      <c r="BW97">
        <v>304.4341115525001</v>
      </c>
      <c r="BX97">
        <v>13106.989748927501</v>
      </c>
      <c r="BY97">
        <v>1024.3888000000002</v>
      </c>
      <c r="BZ97">
        <v>12082.6009489275</v>
      </c>
      <c r="CA97">
        <v>14579.248800000003</v>
      </c>
      <c r="CB97">
        <v>437.37746400000009</v>
      </c>
      <c r="CC97">
        <v>414.61202588888898</v>
      </c>
      <c r="CD97">
        <v>692.41679999999997</v>
      </c>
      <c r="CE97">
        <v>24.813368543333358</v>
      </c>
      <c r="CF97">
        <v>87.06852543666669</v>
      </c>
      <c r="CG97">
        <v>130.60278815500004</v>
      </c>
      <c r="CH97">
        <v>206.6720711568604</v>
      </c>
      <c r="CI97">
        <v>217.67131359166675</v>
      </c>
      <c r="CJ97">
        <v>124.38360776666669</v>
      </c>
      <c r="CK97">
        <v>248.76721553333337</v>
      </c>
      <c r="CL97">
        <v>391.80836446500012</v>
      </c>
      <c r="CM97">
        <v>2124.2040546485277</v>
      </c>
      <c r="CN97">
        <v>621.91803883333353</v>
      </c>
      <c r="CO97">
        <v>3183.4995574818613</v>
      </c>
      <c r="CQ97">
        <v>420.98169863013703</v>
      </c>
      <c r="CR97">
        <v>112.26178630136987</v>
      </c>
      <c r="CS97">
        <v>430.87476854794522</v>
      </c>
      <c r="CT97">
        <v>18768.533277627983</v>
      </c>
      <c r="CY97">
        <v>0</v>
      </c>
      <c r="DB97">
        <v>12292.665600000002</v>
      </c>
      <c r="DE97" s="61">
        <v>18768.533277627983</v>
      </c>
    </row>
    <row r="98" spans="1:109" hidden="1" x14ac:dyDescent="0.3">
      <c r="A98">
        <v>1579</v>
      </c>
      <c r="B98" t="s">
        <v>637</v>
      </c>
      <c r="C98" t="s">
        <v>603</v>
      </c>
      <c r="D98" t="s">
        <v>604</v>
      </c>
      <c r="E98" t="s">
        <v>759</v>
      </c>
      <c r="F98" t="s">
        <v>616</v>
      </c>
      <c r="G98" t="s">
        <v>617</v>
      </c>
      <c r="H98" t="s">
        <v>622</v>
      </c>
      <c r="I98" t="s">
        <v>623</v>
      </c>
      <c r="J98" s="3">
        <v>44839</v>
      </c>
      <c r="K98">
        <v>2.3260273972602739</v>
      </c>
      <c r="L98">
        <v>2</v>
      </c>
      <c r="M98" t="s">
        <v>735</v>
      </c>
      <c r="N98" t="s">
        <v>735</v>
      </c>
      <c r="O98">
        <v>1.0521</v>
      </c>
      <c r="P98">
        <v>3439.4559999999997</v>
      </c>
      <c r="Q98">
        <v>3439.4559999999997</v>
      </c>
      <c r="R98">
        <v>336.97</v>
      </c>
      <c r="S98">
        <v>354.52613700000006</v>
      </c>
      <c r="T98">
        <v>353.47</v>
      </c>
      <c r="U98">
        <v>707.99613700000009</v>
      </c>
      <c r="V98">
        <v>30.4</v>
      </c>
      <c r="W98">
        <v>10243.888000000001</v>
      </c>
      <c r="AC98">
        <v>750</v>
      </c>
      <c r="AE98">
        <v>41.666666666666664</v>
      </c>
      <c r="AF98">
        <v>1024.3887999999999</v>
      </c>
      <c r="AG98">
        <v>1024.3887999999999</v>
      </c>
      <c r="AH98">
        <v>512.19440000000009</v>
      </c>
      <c r="AI98">
        <v>1024.3888000000002</v>
      </c>
      <c r="AJ98">
        <v>0</v>
      </c>
      <c r="AK98">
        <v>0</v>
      </c>
      <c r="AL98">
        <v>2048.7775999999999</v>
      </c>
      <c r="AM98">
        <v>13829.248800000001</v>
      </c>
      <c r="AN98">
        <v>14620.915466666669</v>
      </c>
      <c r="AO98">
        <v>14579.248800000001</v>
      </c>
      <c r="AQ98">
        <v>10993.888000000001</v>
      </c>
      <c r="AR98">
        <v>24076.191999999999</v>
      </c>
      <c r="AS98">
        <v>12292.6656</v>
      </c>
      <c r="AT98">
        <v>0</v>
      </c>
      <c r="AU98">
        <v>11783.526399999999</v>
      </c>
      <c r="AV98">
        <v>2048.7775999999999</v>
      </c>
      <c r="AW98">
        <v>0</v>
      </c>
      <c r="AX98">
        <v>13084.332266666668</v>
      </c>
      <c r="AY98">
        <v>12935.83</v>
      </c>
      <c r="AZ98">
        <v>148.50226666666822</v>
      </c>
      <c r="BA98">
        <v>0.17920000000000003</v>
      </c>
      <c r="BB98">
        <v>26.61160618666695</v>
      </c>
      <c r="BC98">
        <v>1182.8800000000001</v>
      </c>
      <c r="BD98">
        <v>1209.491606186667</v>
      </c>
      <c r="BE98">
        <v>0</v>
      </c>
      <c r="BF98">
        <v>1209.491606186667</v>
      </c>
      <c r="BG98">
        <v>26.388888888888889</v>
      </c>
      <c r="BH98">
        <v>0</v>
      </c>
      <c r="BI98">
        <v>734.385025888889</v>
      </c>
      <c r="BJ98">
        <v>2203.1550776666672</v>
      </c>
      <c r="BK98">
        <v>0</v>
      </c>
      <c r="BL98">
        <v>0</v>
      </c>
      <c r="BM98">
        <v>33.69700000000001</v>
      </c>
      <c r="BN98">
        <v>0</v>
      </c>
      <c r="BO98">
        <v>0</v>
      </c>
      <c r="BP98">
        <v>414.61202588888898</v>
      </c>
      <c r="BQ98">
        <v>414.61202588888898</v>
      </c>
      <c r="BR98">
        <v>9.023043106666675</v>
      </c>
      <c r="BS98">
        <v>31.095901941666671</v>
      </c>
      <c r="BT98">
        <v>46.643852912500009</v>
      </c>
      <c r="BU98">
        <v>77.739754854166691</v>
      </c>
      <c r="BV98">
        <v>139.93155873750004</v>
      </c>
      <c r="BW98">
        <v>304.4341115525001</v>
      </c>
      <c r="BX98">
        <v>13106.989748927501</v>
      </c>
      <c r="BY98">
        <v>1024.3888000000002</v>
      </c>
      <c r="BZ98">
        <v>12082.6009489275</v>
      </c>
      <c r="CA98">
        <v>14579.248800000003</v>
      </c>
      <c r="CB98">
        <v>437.37746400000009</v>
      </c>
      <c r="CC98">
        <v>414.61202588888898</v>
      </c>
      <c r="CD98">
        <v>692.41679999999997</v>
      </c>
      <c r="CE98">
        <v>24.813368543333358</v>
      </c>
      <c r="CF98">
        <v>87.06852543666669</v>
      </c>
      <c r="CG98">
        <v>130.60278815500004</v>
      </c>
      <c r="CH98">
        <v>206.6720711568604</v>
      </c>
      <c r="CI98">
        <v>217.67131359166675</v>
      </c>
      <c r="CJ98">
        <v>124.38360776666669</v>
      </c>
      <c r="CK98">
        <v>248.76721553333337</v>
      </c>
      <c r="CL98">
        <v>391.80836446500012</v>
      </c>
      <c r="CM98">
        <v>2124.2040546485277</v>
      </c>
      <c r="CN98">
        <v>621.91803883333353</v>
      </c>
      <c r="CO98">
        <v>3183.4995574818613</v>
      </c>
      <c r="CQ98">
        <v>420.98169863013703</v>
      </c>
      <c r="CR98">
        <v>112.26178630136987</v>
      </c>
      <c r="CS98">
        <v>430.87476854794522</v>
      </c>
      <c r="CT98">
        <v>18768.533277627983</v>
      </c>
      <c r="CY98">
        <v>0</v>
      </c>
      <c r="DB98">
        <v>12292.665600000002</v>
      </c>
      <c r="DE98" s="61">
        <v>18768.533277627983</v>
      </c>
    </row>
    <row r="99" spans="1:109" hidden="1" x14ac:dyDescent="0.3">
      <c r="A99">
        <v>1452</v>
      </c>
      <c r="B99" t="s">
        <v>637</v>
      </c>
      <c r="C99" t="s">
        <v>603</v>
      </c>
      <c r="D99" t="s">
        <v>604</v>
      </c>
      <c r="E99" t="s">
        <v>736</v>
      </c>
      <c r="F99" t="s">
        <v>616</v>
      </c>
      <c r="G99" t="s">
        <v>617</v>
      </c>
      <c r="H99" t="s">
        <v>622</v>
      </c>
      <c r="I99" t="s">
        <v>623</v>
      </c>
      <c r="J99" s="3">
        <v>45404</v>
      </c>
      <c r="K99">
        <v>0.77808219178082194</v>
      </c>
      <c r="L99">
        <v>0</v>
      </c>
      <c r="M99" t="s">
        <v>678</v>
      </c>
      <c r="N99" t="s">
        <v>678</v>
      </c>
      <c r="O99">
        <v>1.0492999999999999</v>
      </c>
      <c r="P99">
        <v>3439.4559999999997</v>
      </c>
      <c r="Q99">
        <v>3439.4559999999997</v>
      </c>
      <c r="R99">
        <v>336.97</v>
      </c>
      <c r="S99">
        <v>353.58262100000002</v>
      </c>
      <c r="T99">
        <v>50.78</v>
      </c>
      <c r="U99">
        <v>404.36262099999999</v>
      </c>
      <c r="V99">
        <v>30.4</v>
      </c>
      <c r="W99">
        <v>10243.888000000001</v>
      </c>
      <c r="AC99">
        <v>750</v>
      </c>
      <c r="AE99">
        <v>41.666666666666664</v>
      </c>
      <c r="AF99">
        <v>1024.3887999999999</v>
      </c>
      <c r="AG99">
        <v>1024.3887999999999</v>
      </c>
      <c r="AH99">
        <v>512.19440000000009</v>
      </c>
      <c r="AI99">
        <v>1024.3888000000002</v>
      </c>
      <c r="AJ99">
        <v>0</v>
      </c>
      <c r="AK99">
        <v>0</v>
      </c>
      <c r="AL99">
        <v>2048.7775999999999</v>
      </c>
      <c r="AM99">
        <v>13829.248800000001</v>
      </c>
      <c r="AN99">
        <v>14620.915466666669</v>
      </c>
      <c r="AO99">
        <v>14579.248800000001</v>
      </c>
      <c r="AQ99">
        <v>10993.888000000001</v>
      </c>
      <c r="AR99">
        <v>24076.191999999999</v>
      </c>
      <c r="AS99">
        <v>12292.6656</v>
      </c>
      <c r="AT99">
        <v>0</v>
      </c>
      <c r="AU99">
        <v>11783.526399999999</v>
      </c>
      <c r="AV99">
        <v>2048.7775999999999</v>
      </c>
      <c r="AW99">
        <v>0</v>
      </c>
      <c r="AX99">
        <v>13084.332266666668</v>
      </c>
      <c r="AY99">
        <v>12935.83</v>
      </c>
      <c r="AZ99">
        <v>148.50226666666822</v>
      </c>
      <c r="BA99">
        <v>0.17920000000000003</v>
      </c>
      <c r="BB99">
        <v>26.61160618666695</v>
      </c>
      <c r="BC99">
        <v>1182.8800000000001</v>
      </c>
      <c r="BD99">
        <v>1209.491606186667</v>
      </c>
      <c r="BE99">
        <v>0</v>
      </c>
      <c r="BF99">
        <v>1209.491606186667</v>
      </c>
      <c r="BG99">
        <v>26.388888888888889</v>
      </c>
      <c r="BH99">
        <v>0</v>
      </c>
      <c r="BI99">
        <v>430.7515098888889</v>
      </c>
      <c r="BJ99">
        <v>1292.2545296666667</v>
      </c>
      <c r="BK99">
        <v>0</v>
      </c>
      <c r="BL99">
        <v>0</v>
      </c>
      <c r="BM99">
        <v>33.69700000000001</v>
      </c>
      <c r="BN99">
        <v>0</v>
      </c>
      <c r="BO99">
        <v>0</v>
      </c>
      <c r="BP99">
        <v>413.66850988888893</v>
      </c>
      <c r="BQ99">
        <v>413.66850988888893</v>
      </c>
      <c r="BR99">
        <v>8.9098211866666706</v>
      </c>
      <c r="BS99">
        <v>31.025138241666667</v>
      </c>
      <c r="BT99">
        <v>46.537707362500008</v>
      </c>
      <c r="BU99">
        <v>77.562845604166682</v>
      </c>
      <c r="BV99">
        <v>139.61312208750002</v>
      </c>
      <c r="BW99">
        <v>303.64863448250003</v>
      </c>
      <c r="BX99">
        <v>13107.7752259975</v>
      </c>
      <c r="BY99">
        <v>1024.3888000000002</v>
      </c>
      <c r="BZ99">
        <v>12083.3864259975</v>
      </c>
      <c r="CA99">
        <v>14579.248800000003</v>
      </c>
      <c r="CB99">
        <v>437.37746400000009</v>
      </c>
      <c r="CC99">
        <v>413.66850988888893</v>
      </c>
      <c r="CD99">
        <v>692.41679999999997</v>
      </c>
      <c r="CE99">
        <v>24.502008263333341</v>
      </c>
      <c r="CF99">
        <v>86.870387076666674</v>
      </c>
      <c r="CG99">
        <v>130.30558061500003</v>
      </c>
      <c r="CH99">
        <v>206.20175579282434</v>
      </c>
      <c r="CI99">
        <v>217.17596769166673</v>
      </c>
      <c r="CJ99">
        <v>124.10055296666667</v>
      </c>
      <c r="CK99">
        <v>248.20110593333334</v>
      </c>
      <c r="CL99">
        <v>390.91674184500005</v>
      </c>
      <c r="CM99">
        <v>2120.6909001844911</v>
      </c>
      <c r="CN99">
        <v>620.50276483333346</v>
      </c>
      <c r="CO99">
        <v>3178.5711290178247</v>
      </c>
      <c r="CQ99">
        <v>420.98169863013703</v>
      </c>
      <c r="CR99">
        <v>84.196339726027389</v>
      </c>
      <c r="CS99">
        <v>430.03280515068496</v>
      </c>
      <c r="CT99">
        <v>18734.697439191343</v>
      </c>
      <c r="CY99">
        <v>0</v>
      </c>
      <c r="DB99">
        <v>12292.665600000002</v>
      </c>
      <c r="DE99" s="61">
        <v>18734.697439191343</v>
      </c>
    </row>
    <row r="100" spans="1:109" hidden="1" x14ac:dyDescent="0.3">
      <c r="A100">
        <v>1581</v>
      </c>
      <c r="B100" t="s">
        <v>637</v>
      </c>
      <c r="C100" t="s">
        <v>603</v>
      </c>
      <c r="D100" t="s">
        <v>604</v>
      </c>
      <c r="E100" t="s">
        <v>760</v>
      </c>
      <c r="F100" t="s">
        <v>616</v>
      </c>
      <c r="G100" t="s">
        <v>617</v>
      </c>
      <c r="H100" t="s">
        <v>622</v>
      </c>
      <c r="I100" t="s">
        <v>623</v>
      </c>
      <c r="J100" s="3">
        <v>45453</v>
      </c>
      <c r="K100">
        <v>0.64383561643835618</v>
      </c>
      <c r="L100">
        <v>0</v>
      </c>
      <c r="M100" t="s">
        <v>678</v>
      </c>
      <c r="N100" t="s">
        <v>678</v>
      </c>
      <c r="O100">
        <v>1.0492999999999999</v>
      </c>
      <c r="P100">
        <v>3439.4559999999997</v>
      </c>
      <c r="Q100">
        <v>3439.4559999999997</v>
      </c>
      <c r="R100">
        <v>336.97</v>
      </c>
      <c r="S100">
        <v>353.58262100000002</v>
      </c>
      <c r="T100">
        <v>258.49</v>
      </c>
      <c r="U100">
        <v>612.07262100000003</v>
      </c>
      <c r="V100">
        <v>30.4</v>
      </c>
      <c r="W100">
        <v>10243.888000000001</v>
      </c>
      <c r="AC100">
        <v>750</v>
      </c>
      <c r="AE100">
        <v>41.666666666666664</v>
      </c>
      <c r="AF100">
        <v>1024.3887999999999</v>
      </c>
      <c r="AG100">
        <v>1024.3887999999999</v>
      </c>
      <c r="AH100">
        <v>512.19440000000009</v>
      </c>
      <c r="AI100">
        <v>1024.3888000000002</v>
      </c>
      <c r="AJ100">
        <v>0</v>
      </c>
      <c r="AK100">
        <v>0</v>
      </c>
      <c r="AL100">
        <v>2048.7775999999999</v>
      </c>
      <c r="AM100">
        <v>13829.248800000001</v>
      </c>
      <c r="AN100">
        <v>14620.915466666669</v>
      </c>
      <c r="AO100">
        <v>14579.248800000001</v>
      </c>
      <c r="AQ100">
        <v>10993.888000000001</v>
      </c>
      <c r="AR100">
        <v>24076.191999999999</v>
      </c>
      <c r="AS100">
        <v>12292.6656</v>
      </c>
      <c r="AT100">
        <v>0</v>
      </c>
      <c r="AU100">
        <v>11783.526399999999</v>
      </c>
      <c r="AV100">
        <v>2048.7775999999999</v>
      </c>
      <c r="AW100">
        <v>0</v>
      </c>
      <c r="AX100">
        <v>13084.332266666668</v>
      </c>
      <c r="AY100">
        <v>12935.83</v>
      </c>
      <c r="AZ100">
        <v>148.50226666666822</v>
      </c>
      <c r="BA100">
        <v>0.17920000000000003</v>
      </c>
      <c r="BB100">
        <v>26.61160618666695</v>
      </c>
      <c r="BC100">
        <v>1182.8800000000001</v>
      </c>
      <c r="BD100">
        <v>1209.491606186667</v>
      </c>
      <c r="BE100">
        <v>0</v>
      </c>
      <c r="BF100">
        <v>1209.491606186667</v>
      </c>
      <c r="BG100">
        <v>26.388888888888889</v>
      </c>
      <c r="BH100">
        <v>0</v>
      </c>
      <c r="BI100">
        <v>638.46150988888894</v>
      </c>
      <c r="BJ100">
        <v>1915.3845296666668</v>
      </c>
      <c r="BK100">
        <v>0</v>
      </c>
      <c r="BL100">
        <v>0</v>
      </c>
      <c r="BM100">
        <v>33.69700000000001</v>
      </c>
      <c r="BN100">
        <v>0</v>
      </c>
      <c r="BO100">
        <v>0</v>
      </c>
      <c r="BP100">
        <v>413.66850988888893</v>
      </c>
      <c r="BQ100">
        <v>413.66850988888893</v>
      </c>
      <c r="BR100">
        <v>8.9098211866666706</v>
      </c>
      <c r="BS100">
        <v>31.025138241666667</v>
      </c>
      <c r="BT100">
        <v>46.537707362500008</v>
      </c>
      <c r="BU100">
        <v>77.562845604166682</v>
      </c>
      <c r="BV100">
        <v>139.61312208750002</v>
      </c>
      <c r="BW100">
        <v>303.64863448250003</v>
      </c>
      <c r="BX100">
        <v>13107.7752259975</v>
      </c>
      <c r="BY100">
        <v>1024.3888000000002</v>
      </c>
      <c r="BZ100">
        <v>12083.3864259975</v>
      </c>
      <c r="CA100">
        <v>14579.248800000003</v>
      </c>
      <c r="CB100">
        <v>437.37746400000009</v>
      </c>
      <c r="CC100">
        <v>413.66850988888893</v>
      </c>
      <c r="CD100">
        <v>692.41679999999997</v>
      </c>
      <c r="CE100">
        <v>24.502008263333341</v>
      </c>
      <c r="CF100">
        <v>86.870387076666674</v>
      </c>
      <c r="CG100">
        <v>130.30558061500003</v>
      </c>
      <c r="CH100">
        <v>206.20175579282434</v>
      </c>
      <c r="CI100">
        <v>217.17596769166673</v>
      </c>
      <c r="CJ100">
        <v>124.10055296666667</v>
      </c>
      <c r="CK100">
        <v>248.20110593333334</v>
      </c>
      <c r="CL100">
        <v>390.91674184500005</v>
      </c>
      <c r="CM100">
        <v>2120.6909001844911</v>
      </c>
      <c r="CN100">
        <v>620.50276483333346</v>
      </c>
      <c r="CO100">
        <v>3178.5711290178247</v>
      </c>
      <c r="CQ100">
        <v>420.98169863013703</v>
      </c>
      <c r="CR100">
        <v>84.196339726027389</v>
      </c>
      <c r="CS100">
        <v>430.03280515068496</v>
      </c>
      <c r="CT100">
        <v>18734.697439191343</v>
      </c>
      <c r="CY100">
        <v>0</v>
      </c>
      <c r="DB100">
        <v>12292.665600000002</v>
      </c>
      <c r="DE100" s="61">
        <v>18734.697439191343</v>
      </c>
    </row>
    <row r="101" spans="1:109" hidden="1" x14ac:dyDescent="0.3">
      <c r="A101">
        <v>1740</v>
      </c>
      <c r="B101" t="s">
        <v>637</v>
      </c>
      <c r="C101" t="s">
        <v>603</v>
      </c>
      <c r="D101" t="s">
        <v>604</v>
      </c>
      <c r="E101" t="s">
        <v>798</v>
      </c>
      <c r="F101" t="s">
        <v>799</v>
      </c>
      <c r="G101" t="s">
        <v>665</v>
      </c>
      <c r="H101" t="s">
        <v>622</v>
      </c>
      <c r="I101" t="s">
        <v>623</v>
      </c>
      <c r="J101" s="3">
        <v>45222</v>
      </c>
      <c r="K101">
        <v>1.2767123287671234</v>
      </c>
      <c r="L101">
        <v>1</v>
      </c>
      <c r="M101" t="s">
        <v>676</v>
      </c>
      <c r="N101" t="s">
        <v>676</v>
      </c>
      <c r="O101">
        <v>1.0507</v>
      </c>
      <c r="P101">
        <v>3439.4559999999997</v>
      </c>
      <c r="Q101">
        <v>3439.4559999999997</v>
      </c>
      <c r="R101">
        <v>339.23</v>
      </c>
      <c r="S101">
        <v>356.42896100000002</v>
      </c>
      <c r="T101">
        <v>15.17</v>
      </c>
      <c r="U101">
        <v>371.59896100000003</v>
      </c>
      <c r="V101">
        <v>30.4</v>
      </c>
      <c r="W101">
        <v>10312.592000000001</v>
      </c>
      <c r="AE101">
        <v>41.666666666666664</v>
      </c>
      <c r="AF101">
        <v>1031.2592</v>
      </c>
      <c r="AG101">
        <v>1031.2592</v>
      </c>
      <c r="AH101">
        <v>515.6296000000001</v>
      </c>
      <c r="AI101">
        <v>1031.2592000000002</v>
      </c>
      <c r="AJ101">
        <v>0</v>
      </c>
      <c r="AK101">
        <v>0</v>
      </c>
      <c r="AL101">
        <v>2062.5183999999999</v>
      </c>
      <c r="AM101">
        <v>13921.999200000002</v>
      </c>
      <c r="AN101">
        <v>13963.665866666668</v>
      </c>
      <c r="AO101">
        <v>13921.999200000002</v>
      </c>
      <c r="AQ101">
        <v>10312.592000000001</v>
      </c>
      <c r="AR101">
        <v>24076.191999999999</v>
      </c>
      <c r="AS101">
        <v>12375.110400000001</v>
      </c>
      <c r="AT101">
        <v>0</v>
      </c>
      <c r="AU101">
        <v>11701.081599999998</v>
      </c>
      <c r="AV101">
        <v>2062.5183999999999</v>
      </c>
      <c r="AW101">
        <v>0</v>
      </c>
      <c r="AX101">
        <v>12416.777066666667</v>
      </c>
      <c r="AY101">
        <v>11128.02</v>
      </c>
      <c r="AZ101">
        <v>1288.757066666667</v>
      </c>
      <c r="BA101">
        <v>0.16</v>
      </c>
      <c r="BB101">
        <v>206.20113066666673</v>
      </c>
      <c r="BC101">
        <v>893.63</v>
      </c>
      <c r="BD101">
        <v>1099.8311306666667</v>
      </c>
      <c r="BE101">
        <v>0</v>
      </c>
      <c r="BF101">
        <v>1099.8311306666667</v>
      </c>
      <c r="BG101">
        <v>1.3888888888888888</v>
      </c>
      <c r="BH101">
        <v>0</v>
      </c>
      <c r="BI101">
        <v>372.98784988888895</v>
      </c>
      <c r="BJ101">
        <v>1118.9635496666667</v>
      </c>
      <c r="BK101">
        <v>0</v>
      </c>
      <c r="BL101">
        <v>0</v>
      </c>
      <c r="BM101">
        <v>33.923000000000009</v>
      </c>
      <c r="BN101">
        <v>0</v>
      </c>
      <c r="BO101">
        <v>0</v>
      </c>
      <c r="BP101">
        <v>391.74084988888893</v>
      </c>
      <c r="BQ101">
        <v>391.74084988888893</v>
      </c>
      <c r="BR101">
        <v>6.2785019866666696</v>
      </c>
      <c r="BS101">
        <v>29.38056374166667</v>
      </c>
      <c r="BT101">
        <v>44.070845612500008</v>
      </c>
      <c r="BU101">
        <v>73.451409354166671</v>
      </c>
      <c r="BV101">
        <v>132.21253683750001</v>
      </c>
      <c r="BW101">
        <v>285.39385753250002</v>
      </c>
      <c r="BX101">
        <v>12578.440878467502</v>
      </c>
      <c r="BY101">
        <v>1031.2592000000002</v>
      </c>
      <c r="BZ101">
        <v>11547.181678467501</v>
      </c>
      <c r="CA101">
        <v>13921.999200000002</v>
      </c>
      <c r="CB101">
        <v>417.65997600000003</v>
      </c>
      <c r="CC101">
        <v>391.74084988888893</v>
      </c>
      <c r="CD101">
        <v>692.41679999999997</v>
      </c>
      <c r="CE101">
        <v>17.265880463333342</v>
      </c>
      <c r="CF101">
        <v>82.265578476666676</v>
      </c>
      <c r="CG101">
        <v>123.39836771500001</v>
      </c>
      <c r="CH101">
        <v>195.27145318496437</v>
      </c>
      <c r="CI101">
        <v>205.66394619166672</v>
      </c>
      <c r="CJ101">
        <v>117.52225496666668</v>
      </c>
      <c r="CK101">
        <v>235.04450993333336</v>
      </c>
      <c r="CL101">
        <v>370.19510314500008</v>
      </c>
      <c r="CM101">
        <v>2039.0438940766312</v>
      </c>
      <c r="CN101">
        <v>587.61127483333337</v>
      </c>
      <c r="CO101">
        <v>3044.3151449099646</v>
      </c>
      <c r="CQ101">
        <v>423.8051506849315</v>
      </c>
      <c r="CR101">
        <v>98.887868493150691</v>
      </c>
      <c r="CS101">
        <v>433.34076657534251</v>
      </c>
      <c r="CT101">
        <v>17964.014797330063</v>
      </c>
      <c r="CY101">
        <v>0</v>
      </c>
      <c r="DB101">
        <v>12375.110400000001</v>
      </c>
      <c r="DE101" s="61">
        <v>17964.014797330063</v>
      </c>
    </row>
    <row r="102" spans="1:109" hidden="1" x14ac:dyDescent="0.3">
      <c r="A102">
        <v>1843</v>
      </c>
      <c r="B102" t="s">
        <v>637</v>
      </c>
      <c r="C102" t="s">
        <v>603</v>
      </c>
      <c r="D102" t="s">
        <v>604</v>
      </c>
      <c r="E102" t="s">
        <v>854</v>
      </c>
      <c r="F102" t="s">
        <v>855</v>
      </c>
      <c r="G102" t="s">
        <v>665</v>
      </c>
      <c r="H102" t="s">
        <v>622</v>
      </c>
      <c r="I102" t="s">
        <v>623</v>
      </c>
      <c r="J102" s="3">
        <v>45579</v>
      </c>
      <c r="K102">
        <v>0.29863013698630136</v>
      </c>
      <c r="L102">
        <v>0</v>
      </c>
      <c r="M102" t="s">
        <v>678</v>
      </c>
      <c r="N102" t="s">
        <v>678</v>
      </c>
      <c r="O102">
        <v>1.0492999999999999</v>
      </c>
      <c r="P102">
        <v>3439.4559999999997</v>
      </c>
      <c r="Q102">
        <v>3439.4559999999997</v>
      </c>
      <c r="R102">
        <v>339.23</v>
      </c>
      <c r="S102">
        <v>355.95403899999997</v>
      </c>
      <c r="T102">
        <v>9.94</v>
      </c>
      <c r="U102">
        <v>365.89403899999996</v>
      </c>
      <c r="V102">
        <v>30.4</v>
      </c>
      <c r="W102">
        <v>10312.592000000001</v>
      </c>
      <c r="AE102">
        <v>41.666666666666664</v>
      </c>
      <c r="AF102">
        <v>1031.2592</v>
      </c>
      <c r="AG102">
        <v>1031.2592</v>
      </c>
      <c r="AH102">
        <v>515.6296000000001</v>
      </c>
      <c r="AI102">
        <v>1031.2592000000002</v>
      </c>
      <c r="AJ102">
        <v>0</v>
      </c>
      <c r="AK102">
        <v>0</v>
      </c>
      <c r="AL102">
        <v>2062.5183999999999</v>
      </c>
      <c r="AM102">
        <v>13921.999200000002</v>
      </c>
      <c r="AN102">
        <v>13963.665866666668</v>
      </c>
      <c r="AO102">
        <v>13921.999200000002</v>
      </c>
      <c r="AQ102">
        <v>10312.592000000001</v>
      </c>
      <c r="AR102">
        <v>24076.191999999999</v>
      </c>
      <c r="AS102">
        <v>12375.110400000001</v>
      </c>
      <c r="AT102">
        <v>0</v>
      </c>
      <c r="AU102">
        <v>11701.081599999998</v>
      </c>
      <c r="AV102">
        <v>2062.5183999999999</v>
      </c>
      <c r="AW102">
        <v>0</v>
      </c>
      <c r="AX102">
        <v>12416.777066666667</v>
      </c>
      <c r="AY102">
        <v>11128.02</v>
      </c>
      <c r="AZ102">
        <v>1288.757066666667</v>
      </c>
      <c r="BA102">
        <v>0.16</v>
      </c>
      <c r="BB102">
        <v>206.20113066666673</v>
      </c>
      <c r="BC102">
        <v>893.63</v>
      </c>
      <c r="BD102">
        <v>1099.8311306666667</v>
      </c>
      <c r="BE102">
        <v>0</v>
      </c>
      <c r="BF102">
        <v>1099.8311306666667</v>
      </c>
      <c r="BG102">
        <v>1.3888888888888888</v>
      </c>
      <c r="BH102">
        <v>0</v>
      </c>
      <c r="BI102">
        <v>367.28292788888888</v>
      </c>
      <c r="BJ102">
        <v>1101.8487836666668</v>
      </c>
      <c r="BK102">
        <v>0</v>
      </c>
      <c r="BL102">
        <v>0</v>
      </c>
      <c r="BM102">
        <v>33.923000000000009</v>
      </c>
      <c r="BN102">
        <v>0</v>
      </c>
      <c r="BO102">
        <v>0</v>
      </c>
      <c r="BP102">
        <v>391.26592788888888</v>
      </c>
      <c r="BQ102">
        <v>391.26592788888888</v>
      </c>
      <c r="BR102">
        <v>6.2215113466666638</v>
      </c>
      <c r="BS102">
        <v>29.344944591666668</v>
      </c>
      <c r="BT102">
        <v>44.017416887499998</v>
      </c>
      <c r="BU102">
        <v>73.36236147916668</v>
      </c>
      <c r="BV102">
        <v>132.0522506625</v>
      </c>
      <c r="BW102">
        <v>284.99848496750002</v>
      </c>
      <c r="BX102">
        <v>12578.836251032501</v>
      </c>
      <c r="BY102">
        <v>1031.2592000000002</v>
      </c>
      <c r="BZ102">
        <v>11547.5770510325</v>
      </c>
      <c r="CA102">
        <v>13921.999200000002</v>
      </c>
      <c r="CB102">
        <v>417.65997600000003</v>
      </c>
      <c r="CC102">
        <v>391.26592788888888</v>
      </c>
      <c r="CD102">
        <v>692.41679999999997</v>
      </c>
      <c r="CE102">
        <v>17.109156203333324</v>
      </c>
      <c r="CF102">
        <v>82.165844856666666</v>
      </c>
      <c r="CG102">
        <v>123.248767285</v>
      </c>
      <c r="CH102">
        <v>195.03471834070234</v>
      </c>
      <c r="CI102">
        <v>205.41461214166668</v>
      </c>
      <c r="CJ102">
        <v>117.37977836666667</v>
      </c>
      <c r="CK102">
        <v>234.75955673333334</v>
      </c>
      <c r="CL102">
        <v>369.74630185500001</v>
      </c>
      <c r="CM102">
        <v>2037.2755357823689</v>
      </c>
      <c r="CN102">
        <v>586.89889183333344</v>
      </c>
      <c r="CO102">
        <v>3041.8344036157023</v>
      </c>
      <c r="CQ102">
        <v>423.8051506849315</v>
      </c>
      <c r="CR102">
        <v>84.761030136986292</v>
      </c>
      <c r="CS102">
        <v>432.91696142465759</v>
      </c>
      <c r="CT102">
        <v>17946.983412528942</v>
      </c>
      <c r="CY102">
        <v>0</v>
      </c>
      <c r="DB102">
        <v>12375.110400000001</v>
      </c>
      <c r="DE102" s="61">
        <v>17946.983412528942</v>
      </c>
    </row>
    <row r="103" spans="1:109" hidden="1" x14ac:dyDescent="0.3">
      <c r="A103">
        <v>1216</v>
      </c>
      <c r="B103" t="s">
        <v>687</v>
      </c>
      <c r="C103" t="s">
        <v>603</v>
      </c>
      <c r="D103" t="s">
        <v>604</v>
      </c>
      <c r="E103" t="s">
        <v>699</v>
      </c>
      <c r="F103" t="s">
        <v>691</v>
      </c>
      <c r="G103" t="s">
        <v>626</v>
      </c>
      <c r="H103" t="s">
        <v>622</v>
      </c>
      <c r="I103" t="s">
        <v>623</v>
      </c>
      <c r="J103" s="3">
        <v>45574</v>
      </c>
      <c r="K103">
        <v>0.31232876712328766</v>
      </c>
      <c r="L103">
        <v>0</v>
      </c>
      <c r="M103" t="s">
        <v>678</v>
      </c>
      <c r="N103" t="s">
        <v>678</v>
      </c>
      <c r="O103">
        <v>1.0492999999999999</v>
      </c>
      <c r="P103">
        <v>3439.4559999999997</v>
      </c>
      <c r="Q103">
        <v>3439.4559999999997</v>
      </c>
      <c r="R103">
        <v>300</v>
      </c>
      <c r="S103">
        <v>314.78999999999996</v>
      </c>
      <c r="T103">
        <v>92.45</v>
      </c>
      <c r="U103">
        <v>407.23999999999995</v>
      </c>
      <c r="V103">
        <v>30.4</v>
      </c>
      <c r="W103">
        <v>9120</v>
      </c>
      <c r="Z103">
        <v>1628.5714285714284</v>
      </c>
      <c r="AE103">
        <v>41.666666666666664</v>
      </c>
      <c r="AF103">
        <v>912</v>
      </c>
      <c r="AG103">
        <v>912</v>
      </c>
      <c r="AH103">
        <v>456</v>
      </c>
      <c r="AI103">
        <v>912</v>
      </c>
      <c r="AJ103">
        <v>0</v>
      </c>
      <c r="AK103">
        <v>0</v>
      </c>
      <c r="AL103">
        <v>1824</v>
      </c>
      <c r="AM103">
        <v>12312</v>
      </c>
      <c r="AN103">
        <v>13982.238095238094</v>
      </c>
      <c r="AO103">
        <v>13940.571428571428</v>
      </c>
      <c r="AQ103">
        <v>10748.571428571428</v>
      </c>
      <c r="AR103">
        <v>24076.191999999999</v>
      </c>
      <c r="AS103">
        <v>10944</v>
      </c>
      <c r="AT103">
        <v>0</v>
      </c>
      <c r="AU103">
        <v>13132.191999999999</v>
      </c>
      <c r="AV103">
        <v>1824</v>
      </c>
      <c r="AW103">
        <v>0</v>
      </c>
      <c r="AX103">
        <v>12614.238095238094</v>
      </c>
      <c r="AY103">
        <v>11128.02</v>
      </c>
      <c r="AZ103">
        <v>1486.2180952380932</v>
      </c>
      <c r="BA103">
        <v>0.16</v>
      </c>
      <c r="BB103">
        <v>237.79489523809491</v>
      </c>
      <c r="BC103">
        <v>893.63</v>
      </c>
      <c r="BD103">
        <v>1131.4248952380949</v>
      </c>
      <c r="BE103">
        <v>0</v>
      </c>
      <c r="BF103">
        <v>1131.4248952380949</v>
      </c>
      <c r="BG103">
        <v>55.67460317460317</v>
      </c>
      <c r="BH103">
        <v>0</v>
      </c>
      <c r="BI103">
        <v>462.91460317460314</v>
      </c>
      <c r="BJ103">
        <v>1388.7438095238094</v>
      </c>
      <c r="BK103">
        <v>0</v>
      </c>
      <c r="BL103">
        <v>0</v>
      </c>
      <c r="BM103">
        <v>30</v>
      </c>
      <c r="BN103">
        <v>0</v>
      </c>
      <c r="BO103">
        <v>0</v>
      </c>
      <c r="BP103">
        <v>400.46460317460316</v>
      </c>
      <c r="BQ103">
        <v>400.46460317460316</v>
      </c>
      <c r="BR103">
        <v>7.3253523809523768</v>
      </c>
      <c r="BS103">
        <v>30.034845238095237</v>
      </c>
      <c r="BT103">
        <v>45.052267857142851</v>
      </c>
      <c r="BU103">
        <v>75.087113095238095</v>
      </c>
      <c r="BV103">
        <v>135.15680357142855</v>
      </c>
      <c r="BW103">
        <v>292.65638214285713</v>
      </c>
      <c r="BX103">
        <v>12558.156817857142</v>
      </c>
      <c r="BY103">
        <v>912</v>
      </c>
      <c r="BZ103">
        <v>11646.156817857142</v>
      </c>
      <c r="CA103">
        <v>13940.571428571428</v>
      </c>
      <c r="CB103">
        <v>418.21714285714279</v>
      </c>
      <c r="CC103">
        <v>400.46460317460316</v>
      </c>
      <c r="CD103">
        <v>692.41679999999997</v>
      </c>
      <c r="CE103">
        <v>20.144719047619038</v>
      </c>
      <c r="CF103">
        <v>84.097566666666665</v>
      </c>
      <c r="CG103">
        <v>126.14635</v>
      </c>
      <c r="CH103">
        <v>199.61999120904761</v>
      </c>
      <c r="CI103">
        <v>210.24391666666668</v>
      </c>
      <c r="CJ103">
        <v>120.13938095238095</v>
      </c>
      <c r="CK103">
        <v>240.27876190476189</v>
      </c>
      <c r="CL103">
        <v>378.43905000000001</v>
      </c>
      <c r="CM103">
        <v>2071.5265364471429</v>
      </c>
      <c r="CN103">
        <v>600.69690476190476</v>
      </c>
      <c r="CO103">
        <v>3090.4405840661902</v>
      </c>
      <c r="CQ103">
        <v>374.79452054794518</v>
      </c>
      <c r="CR103">
        <v>74.958904109589028</v>
      </c>
      <c r="CS103">
        <v>382.85260273972602</v>
      </c>
      <c r="CT103">
        <v>17905.284706701546</v>
      </c>
      <c r="CY103">
        <v>0</v>
      </c>
      <c r="DB103">
        <v>10944</v>
      </c>
      <c r="DE103" s="61">
        <v>17905.284706701546</v>
      </c>
    </row>
    <row r="104" spans="1:109" hidden="1" x14ac:dyDescent="0.3">
      <c r="A104">
        <v>1913</v>
      </c>
      <c r="B104" t="s">
        <v>602</v>
      </c>
      <c r="C104" t="s">
        <v>603</v>
      </c>
      <c r="D104" t="s">
        <v>604</v>
      </c>
      <c r="E104" t="s">
        <v>898</v>
      </c>
      <c r="F104" t="s">
        <v>855</v>
      </c>
      <c r="G104" t="s">
        <v>665</v>
      </c>
      <c r="H104" t="s">
        <v>622</v>
      </c>
      <c r="I104" t="s">
        <v>623</v>
      </c>
      <c r="J104" s="3">
        <v>45686</v>
      </c>
      <c r="K104">
        <v>5.4794520547945206E-3</v>
      </c>
      <c r="L104">
        <v>0</v>
      </c>
      <c r="M104" t="s">
        <v>678</v>
      </c>
      <c r="N104" t="s">
        <v>678</v>
      </c>
      <c r="O104">
        <v>1.0492999999999999</v>
      </c>
      <c r="P104">
        <v>3439.4559999999997</v>
      </c>
      <c r="Q104">
        <v>3439.4559999999997</v>
      </c>
      <c r="R104">
        <v>337.23</v>
      </c>
      <c r="S104">
        <v>353.85543899999999</v>
      </c>
      <c r="T104">
        <v>0</v>
      </c>
      <c r="U104">
        <v>353.85543899999999</v>
      </c>
      <c r="V104">
        <v>30.4</v>
      </c>
      <c r="W104">
        <v>10251.791999999999</v>
      </c>
      <c r="AE104">
        <v>41.666666666666664</v>
      </c>
      <c r="AF104">
        <v>1025.1792</v>
      </c>
      <c r="AG104">
        <v>1025.1792</v>
      </c>
      <c r="AH104">
        <v>512.58960000000002</v>
      </c>
      <c r="AI104">
        <v>1025.1792</v>
      </c>
      <c r="AJ104">
        <v>0</v>
      </c>
      <c r="AK104">
        <v>0</v>
      </c>
      <c r="AL104">
        <v>2050.3584000000001</v>
      </c>
      <c r="AM104">
        <v>13839.919199999998</v>
      </c>
      <c r="AN104">
        <v>13881.585866666666</v>
      </c>
      <c r="AO104">
        <v>13839.919199999998</v>
      </c>
      <c r="AQ104">
        <v>10251.791999999999</v>
      </c>
      <c r="AR104">
        <v>24076.191999999999</v>
      </c>
      <c r="AS104">
        <v>12302.150399999999</v>
      </c>
      <c r="AT104">
        <v>0</v>
      </c>
      <c r="AU104">
        <v>11774.0416</v>
      </c>
      <c r="AV104">
        <v>2050.3584000000001</v>
      </c>
      <c r="AW104">
        <v>0</v>
      </c>
      <c r="AX104">
        <v>12343.817066666667</v>
      </c>
      <c r="AY104">
        <v>11128.02</v>
      </c>
      <c r="AZ104">
        <v>1215.7970666666661</v>
      </c>
      <c r="BA104">
        <v>0.16</v>
      </c>
      <c r="BB104">
        <v>194.52753066666656</v>
      </c>
      <c r="BC104">
        <v>893.63</v>
      </c>
      <c r="BD104">
        <v>1088.1575306666666</v>
      </c>
      <c r="BE104">
        <v>0</v>
      </c>
      <c r="BF104">
        <v>1088.1575306666666</v>
      </c>
      <c r="BG104">
        <v>1.3888888888888888</v>
      </c>
      <c r="BH104">
        <v>0</v>
      </c>
      <c r="BI104">
        <v>355.2443278888889</v>
      </c>
      <c r="BJ104">
        <v>1065.7329836666668</v>
      </c>
      <c r="BK104">
        <v>0</v>
      </c>
      <c r="BL104">
        <v>0</v>
      </c>
      <c r="BM104">
        <v>33.723000000000006</v>
      </c>
      <c r="BN104">
        <v>0</v>
      </c>
      <c r="BO104">
        <v>0</v>
      </c>
      <c r="BP104">
        <v>388.96732788888892</v>
      </c>
      <c r="BQ104">
        <v>388.96732788888892</v>
      </c>
      <c r="BR104">
        <v>5.945679346666668</v>
      </c>
      <c r="BS104">
        <v>29.172549591666669</v>
      </c>
      <c r="BT104">
        <v>43.758824387499999</v>
      </c>
      <c r="BU104">
        <v>72.931373979166679</v>
      </c>
      <c r="BV104">
        <v>131.2764731625</v>
      </c>
      <c r="BW104">
        <v>283.08490046750001</v>
      </c>
      <c r="BX104">
        <v>12510.343435532499</v>
      </c>
      <c r="BY104">
        <v>1025.1792</v>
      </c>
      <c r="BZ104">
        <v>11485.164235532498</v>
      </c>
      <c r="CA104">
        <v>13839.9192</v>
      </c>
      <c r="CB104">
        <v>415.19757599999997</v>
      </c>
      <c r="CC104">
        <v>388.96732788888892</v>
      </c>
      <c r="CD104">
        <v>692.41679999999997</v>
      </c>
      <c r="CE104">
        <v>16.350618203333337</v>
      </c>
      <c r="CF104">
        <v>81.683138856666673</v>
      </c>
      <c r="CG104">
        <v>122.52470828500003</v>
      </c>
      <c r="CH104">
        <v>193.88893290010236</v>
      </c>
      <c r="CI104">
        <v>204.20784714166669</v>
      </c>
      <c r="CJ104">
        <v>116.69019836666668</v>
      </c>
      <c r="CK104">
        <v>233.38039673333336</v>
      </c>
      <c r="CL104">
        <v>367.57412485500004</v>
      </c>
      <c r="CM104">
        <v>2028.7167653417691</v>
      </c>
      <c r="CN104">
        <v>583.45099183333343</v>
      </c>
      <c r="CO104">
        <v>3027.3653331751025</v>
      </c>
      <c r="CQ104">
        <v>421.30652054794524</v>
      </c>
      <c r="CR104">
        <v>84.261304109589034</v>
      </c>
      <c r="CS104">
        <v>430.36461073972595</v>
      </c>
      <c r="CT104">
        <v>17844.883635239032</v>
      </c>
      <c r="CY104">
        <v>0</v>
      </c>
      <c r="DB104">
        <v>12302.1504</v>
      </c>
      <c r="DE104" s="61">
        <v>17844.883635239032</v>
      </c>
    </row>
    <row r="105" spans="1:109" hidden="1" x14ac:dyDescent="0.3">
      <c r="A105">
        <v>31004</v>
      </c>
      <c r="B105" t="s">
        <v>901</v>
      </c>
      <c r="C105" t="s">
        <v>603</v>
      </c>
      <c r="D105" t="s">
        <v>604</v>
      </c>
      <c r="E105" t="s">
        <v>902</v>
      </c>
      <c r="F105" t="s">
        <v>903</v>
      </c>
      <c r="G105" t="s">
        <v>901</v>
      </c>
      <c r="H105" t="s">
        <v>623</v>
      </c>
      <c r="I105" t="s">
        <v>623</v>
      </c>
      <c r="J105" s="3">
        <v>45292</v>
      </c>
      <c r="K105">
        <v>0</v>
      </c>
      <c r="L105">
        <v>0</v>
      </c>
      <c r="M105" t="s">
        <v>904</v>
      </c>
      <c r="N105" t="s">
        <v>904</v>
      </c>
      <c r="O105">
        <v>0</v>
      </c>
      <c r="P105">
        <v>0</v>
      </c>
      <c r="Q105">
        <v>0</v>
      </c>
      <c r="R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Q105">
        <v>667.35197368421052</v>
      </c>
      <c r="CR105">
        <v>0</v>
      </c>
      <c r="CS105">
        <v>20.020559210526315</v>
      </c>
      <c r="CT105">
        <v>687.37253289473688</v>
      </c>
      <c r="CV105">
        <v>16230</v>
      </c>
      <c r="CY105">
        <v>0</v>
      </c>
      <c r="CZ105">
        <v>0</v>
      </c>
      <c r="DA105">
        <v>0</v>
      </c>
      <c r="DD105">
        <v>667</v>
      </c>
      <c r="DE105" s="61">
        <v>17584.724506578947</v>
      </c>
    </row>
    <row r="106" spans="1:109" hidden="1" x14ac:dyDescent="0.3">
      <c r="A106">
        <v>1018</v>
      </c>
      <c r="B106" t="s">
        <v>901</v>
      </c>
      <c r="C106" t="s">
        <v>603</v>
      </c>
      <c r="D106" t="s">
        <v>604</v>
      </c>
      <c r="E106" t="s">
        <v>908</v>
      </c>
      <c r="F106" t="s">
        <v>903</v>
      </c>
      <c r="G106" t="s">
        <v>901</v>
      </c>
      <c r="H106" t="s">
        <v>623</v>
      </c>
      <c r="I106" t="s">
        <v>623</v>
      </c>
      <c r="J106" s="3">
        <v>45292</v>
      </c>
      <c r="K106">
        <v>0</v>
      </c>
      <c r="L106">
        <v>0</v>
      </c>
      <c r="M106" t="s">
        <v>904</v>
      </c>
      <c r="N106" t="s">
        <v>904</v>
      </c>
      <c r="O106">
        <v>0</v>
      </c>
      <c r="P106">
        <v>0</v>
      </c>
      <c r="Q106">
        <v>0</v>
      </c>
      <c r="R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Q106">
        <v>667.35197368421052</v>
      </c>
      <c r="CR106">
        <v>0</v>
      </c>
      <c r="CS106">
        <v>20.020559210526315</v>
      </c>
      <c r="CT106">
        <v>687.37253289473688</v>
      </c>
      <c r="CV106">
        <v>16230</v>
      </c>
      <c r="CW106">
        <v>0</v>
      </c>
      <c r="CY106">
        <v>0</v>
      </c>
      <c r="CZ106">
        <v>0</v>
      </c>
      <c r="DA106">
        <v>0</v>
      </c>
      <c r="DD106">
        <v>667</v>
      </c>
      <c r="DE106" s="61">
        <v>17584.724506578947</v>
      </c>
    </row>
    <row r="107" spans="1:109" hidden="1" x14ac:dyDescent="0.3">
      <c r="A107">
        <v>1017</v>
      </c>
      <c r="B107" t="s">
        <v>611</v>
      </c>
      <c r="C107" t="s">
        <v>603</v>
      </c>
      <c r="D107" t="s">
        <v>604</v>
      </c>
      <c r="E107" t="s">
        <v>633</v>
      </c>
      <c r="F107" t="s">
        <v>634</v>
      </c>
      <c r="G107" t="s">
        <v>635</v>
      </c>
      <c r="H107" t="s">
        <v>608</v>
      </c>
      <c r="I107" t="s">
        <v>609</v>
      </c>
      <c r="J107" s="3">
        <v>42863</v>
      </c>
      <c r="K107">
        <v>7.7397260273972606</v>
      </c>
      <c r="L107">
        <v>7</v>
      </c>
      <c r="M107" t="s">
        <v>636</v>
      </c>
      <c r="N107" t="s">
        <v>636</v>
      </c>
      <c r="O107">
        <v>1.0562</v>
      </c>
      <c r="P107">
        <v>3439.4559999999997</v>
      </c>
      <c r="Q107">
        <v>3439.4559999999997</v>
      </c>
      <c r="R107">
        <v>326.97000000000003</v>
      </c>
      <c r="S107">
        <v>345.34571400000004</v>
      </c>
      <c r="T107">
        <v>0</v>
      </c>
      <c r="U107">
        <v>345.34571400000004</v>
      </c>
      <c r="V107">
        <v>30.4</v>
      </c>
      <c r="W107">
        <v>9939.8880000000008</v>
      </c>
      <c r="AE107">
        <v>41.666666666666664</v>
      </c>
      <c r="AF107">
        <v>993.98880000000008</v>
      </c>
      <c r="AG107">
        <v>993.98880000000008</v>
      </c>
      <c r="AH107">
        <v>496.99440000000004</v>
      </c>
      <c r="AI107">
        <v>993.98880000000008</v>
      </c>
      <c r="AJ107">
        <v>0</v>
      </c>
      <c r="AK107">
        <v>0</v>
      </c>
      <c r="AL107">
        <v>1987.9776000000002</v>
      </c>
      <c r="AM107">
        <v>13418.8488</v>
      </c>
      <c r="AN107">
        <v>13460.515466666664</v>
      </c>
      <c r="AO107">
        <v>13418.8488</v>
      </c>
      <c r="AQ107">
        <v>9939.8880000000008</v>
      </c>
      <c r="AR107">
        <v>24076.191999999999</v>
      </c>
      <c r="AS107">
        <v>11927.865600000001</v>
      </c>
      <c r="AT107">
        <v>0</v>
      </c>
      <c r="AU107">
        <v>12148.326399999998</v>
      </c>
      <c r="AV107">
        <v>1987.9776000000002</v>
      </c>
      <c r="AW107">
        <v>0</v>
      </c>
      <c r="AX107">
        <v>11969.532266666665</v>
      </c>
      <c r="AY107">
        <v>11128.02</v>
      </c>
      <c r="AZ107">
        <v>841.5122666666648</v>
      </c>
      <c r="BA107">
        <v>0.16</v>
      </c>
      <c r="BB107">
        <v>134.64196266666636</v>
      </c>
      <c r="BC107">
        <v>893.63</v>
      </c>
      <c r="BD107">
        <v>1028.2719626666662</v>
      </c>
      <c r="BE107">
        <v>0</v>
      </c>
      <c r="BF107">
        <v>1028.2719626666662</v>
      </c>
      <c r="BG107">
        <v>1.3888888888888888</v>
      </c>
      <c r="BH107">
        <v>0</v>
      </c>
      <c r="BI107">
        <v>346.73460288888896</v>
      </c>
      <c r="BJ107">
        <v>1040.2038086666669</v>
      </c>
      <c r="BK107">
        <v>0</v>
      </c>
      <c r="BL107">
        <v>0</v>
      </c>
      <c r="BM107">
        <v>32.697000000000003</v>
      </c>
      <c r="BN107">
        <v>0</v>
      </c>
      <c r="BO107">
        <v>0</v>
      </c>
      <c r="BP107">
        <v>379.43160288888896</v>
      </c>
      <c r="BQ107">
        <v>379.43160288888896</v>
      </c>
      <c r="BR107">
        <v>4.8013923466666739</v>
      </c>
      <c r="BS107">
        <v>28.457370216666675</v>
      </c>
      <c r="BT107">
        <v>42.686055325000012</v>
      </c>
      <c r="BU107">
        <v>71.143425541666687</v>
      </c>
      <c r="BV107">
        <v>128.05816597500001</v>
      </c>
      <c r="BW107">
        <v>275.14640940500004</v>
      </c>
      <c r="BX107">
        <v>12157.097094594998</v>
      </c>
      <c r="BY107">
        <v>993.98880000000008</v>
      </c>
      <c r="BZ107">
        <v>11163.108294594997</v>
      </c>
      <c r="CA107">
        <v>13418.8488</v>
      </c>
      <c r="CB107">
        <v>402.56546399999996</v>
      </c>
      <c r="CC107">
        <v>379.43160288888896</v>
      </c>
      <c r="CD107">
        <v>692.41679999999997</v>
      </c>
      <c r="CE107">
        <v>13.203828953333351</v>
      </c>
      <c r="CF107">
        <v>79.680636606666681</v>
      </c>
      <c r="CG107">
        <v>119.52095491000003</v>
      </c>
      <c r="CH107">
        <v>189.13565052362736</v>
      </c>
      <c r="CI107">
        <v>199.20159151666672</v>
      </c>
      <c r="CJ107">
        <v>113.8294808666667</v>
      </c>
      <c r="CK107">
        <v>227.6589617333334</v>
      </c>
      <c r="CL107">
        <v>358.56286473000006</v>
      </c>
      <c r="CM107">
        <v>1993.210769840294</v>
      </c>
      <c r="CN107">
        <v>569.1474043333335</v>
      </c>
      <c r="CO107">
        <v>2964.9236381736273</v>
      </c>
      <c r="CQ107">
        <v>408.48854794520548</v>
      </c>
      <c r="CR107">
        <v>149.77913424657535</v>
      </c>
      <c r="CS107">
        <v>419.31349446575342</v>
      </c>
      <c r="CT107">
        <v>17403.020281497826</v>
      </c>
      <c r="CY107">
        <v>0</v>
      </c>
      <c r="DB107">
        <v>11927.865600000001</v>
      </c>
      <c r="DC107">
        <v>143.049375</v>
      </c>
      <c r="DE107" s="61">
        <v>17546.069656497824</v>
      </c>
    </row>
    <row r="108" spans="1:109" hidden="1" x14ac:dyDescent="0.3">
      <c r="A108">
        <v>1471</v>
      </c>
      <c r="B108" t="s">
        <v>684</v>
      </c>
      <c r="C108" t="s">
        <v>603</v>
      </c>
      <c r="D108" t="s">
        <v>604</v>
      </c>
      <c r="E108" t="s">
        <v>741</v>
      </c>
      <c r="F108" t="s">
        <v>616</v>
      </c>
      <c r="G108" t="s">
        <v>617</v>
      </c>
      <c r="H108" t="s">
        <v>622</v>
      </c>
      <c r="I108" t="s">
        <v>623</v>
      </c>
      <c r="J108" s="3">
        <v>44628</v>
      </c>
      <c r="K108">
        <v>2.904109589041096</v>
      </c>
      <c r="L108">
        <v>2</v>
      </c>
      <c r="M108" t="s">
        <v>735</v>
      </c>
      <c r="N108" t="s">
        <v>735</v>
      </c>
      <c r="O108">
        <v>1.0521</v>
      </c>
      <c r="P108">
        <v>3439.4559999999997</v>
      </c>
      <c r="Q108">
        <v>3439.4559999999997</v>
      </c>
      <c r="R108">
        <v>294.81</v>
      </c>
      <c r="S108">
        <v>310.169601</v>
      </c>
      <c r="T108">
        <v>32.01</v>
      </c>
      <c r="U108">
        <v>342.17960099999999</v>
      </c>
      <c r="V108">
        <v>30.4</v>
      </c>
      <c r="W108">
        <v>8962.2240000000002</v>
      </c>
      <c r="Y108">
        <v>448.11119999999994</v>
      </c>
      <c r="AC108">
        <v>750</v>
      </c>
      <c r="AE108">
        <v>41.666666666666664</v>
      </c>
      <c r="AF108">
        <v>896.22239999999999</v>
      </c>
      <c r="AG108">
        <v>896.22239999999999</v>
      </c>
      <c r="AH108">
        <v>448.11120000000005</v>
      </c>
      <c r="AI108">
        <v>896.22240000000011</v>
      </c>
      <c r="AJ108">
        <v>0</v>
      </c>
      <c r="AK108">
        <v>0</v>
      </c>
      <c r="AL108">
        <v>1792.4448</v>
      </c>
      <c r="AM108">
        <v>12099.002399999999</v>
      </c>
      <c r="AN108">
        <v>13338.780266666667</v>
      </c>
      <c r="AO108">
        <v>13297.113599999999</v>
      </c>
      <c r="AQ108">
        <v>10160.3352</v>
      </c>
      <c r="AR108">
        <v>24076.191999999999</v>
      </c>
      <c r="AS108">
        <v>10754.668799999999</v>
      </c>
      <c r="AT108">
        <v>0</v>
      </c>
      <c r="AU108">
        <v>13321.5232</v>
      </c>
      <c r="AV108">
        <v>1792.4448</v>
      </c>
      <c r="AW108">
        <v>0</v>
      </c>
      <c r="AX108">
        <v>11994.446666666667</v>
      </c>
      <c r="AY108">
        <v>11128.02</v>
      </c>
      <c r="AZ108">
        <v>866.42666666666628</v>
      </c>
      <c r="BA108">
        <v>0.16</v>
      </c>
      <c r="BB108">
        <v>138.6282666666666</v>
      </c>
      <c r="BC108">
        <v>893.63</v>
      </c>
      <c r="BD108">
        <v>1032.2582666666667</v>
      </c>
      <c r="BE108">
        <v>0</v>
      </c>
      <c r="BF108">
        <v>1032.2582666666667</v>
      </c>
      <c r="BG108">
        <v>41.325928888888889</v>
      </c>
      <c r="BH108">
        <v>0</v>
      </c>
      <c r="BI108">
        <v>383.50552988888887</v>
      </c>
      <c r="BJ108">
        <v>1150.5165896666665</v>
      </c>
      <c r="BK108">
        <v>0</v>
      </c>
      <c r="BL108">
        <v>0</v>
      </c>
      <c r="BM108">
        <v>29.481000000000005</v>
      </c>
      <c r="BN108">
        <v>0</v>
      </c>
      <c r="BO108">
        <v>0</v>
      </c>
      <c r="BP108">
        <v>380.97652988888888</v>
      </c>
      <c r="BQ108">
        <v>380.97652988888888</v>
      </c>
      <c r="BR108">
        <v>4.9867835866666628</v>
      </c>
      <c r="BS108">
        <v>28.573239741666665</v>
      </c>
      <c r="BT108">
        <v>42.859859612499996</v>
      </c>
      <c r="BU108">
        <v>71.433099354166671</v>
      </c>
      <c r="BV108">
        <v>128.57957883749998</v>
      </c>
      <c r="BW108">
        <v>276.43256113249998</v>
      </c>
      <c r="BX108">
        <v>12030.089438867501</v>
      </c>
      <c r="BY108">
        <v>896.22240000000011</v>
      </c>
      <c r="BZ108">
        <v>11133.8670388675</v>
      </c>
      <c r="CA108">
        <v>13297.113600000001</v>
      </c>
      <c r="CB108">
        <v>398.913408</v>
      </c>
      <c r="CC108">
        <v>380.97652988888888</v>
      </c>
      <c r="CD108">
        <v>692.41679999999997</v>
      </c>
      <c r="CE108">
        <v>13.713654863333323</v>
      </c>
      <c r="CF108">
        <v>80.005071276666669</v>
      </c>
      <c r="CG108">
        <v>120.00760691500001</v>
      </c>
      <c r="CH108">
        <v>189.90575183024433</v>
      </c>
      <c r="CI108">
        <v>200.01267819166668</v>
      </c>
      <c r="CJ108">
        <v>114.29295896666666</v>
      </c>
      <c r="CK108">
        <v>228.58591793333332</v>
      </c>
      <c r="CL108">
        <v>360.02282074499999</v>
      </c>
      <c r="CM108">
        <v>1998.963260721911</v>
      </c>
      <c r="CN108">
        <v>571.46479483333337</v>
      </c>
      <c r="CO108">
        <v>2969.3414635552444</v>
      </c>
      <c r="CQ108">
        <v>368.31057534246577</v>
      </c>
      <c r="CR108">
        <v>98.216153424657534</v>
      </c>
      <c r="CS108">
        <v>376.96587386301366</v>
      </c>
      <c r="CT108">
        <v>17151.614332852048</v>
      </c>
      <c r="CY108">
        <v>0</v>
      </c>
      <c r="DB108">
        <v>10754.668800000001</v>
      </c>
      <c r="DE108" s="61">
        <v>17151.614332852048</v>
      </c>
    </row>
    <row r="109" spans="1:109" hidden="1" x14ac:dyDescent="0.3">
      <c r="A109">
        <v>1472</v>
      </c>
      <c r="B109" t="s">
        <v>684</v>
      </c>
      <c r="C109" t="s">
        <v>603</v>
      </c>
      <c r="D109" t="s">
        <v>604</v>
      </c>
      <c r="E109" t="s">
        <v>742</v>
      </c>
      <c r="F109" t="s">
        <v>616</v>
      </c>
      <c r="G109" t="s">
        <v>617</v>
      </c>
      <c r="H109" t="s">
        <v>622</v>
      </c>
      <c r="I109" t="s">
        <v>623</v>
      </c>
      <c r="J109" s="3">
        <v>44628</v>
      </c>
      <c r="K109">
        <v>2.904109589041096</v>
      </c>
      <c r="L109">
        <v>2</v>
      </c>
      <c r="M109" t="s">
        <v>735</v>
      </c>
      <c r="N109" t="s">
        <v>735</v>
      </c>
      <c r="O109">
        <v>1.0521</v>
      </c>
      <c r="P109">
        <v>3439.4559999999997</v>
      </c>
      <c r="Q109">
        <v>3439.4559999999997</v>
      </c>
      <c r="R109">
        <v>294.81</v>
      </c>
      <c r="S109">
        <v>310.169601</v>
      </c>
      <c r="T109">
        <v>31</v>
      </c>
      <c r="U109">
        <v>341.169601</v>
      </c>
      <c r="V109">
        <v>30.4</v>
      </c>
      <c r="W109">
        <v>8962.2240000000002</v>
      </c>
      <c r="Y109">
        <v>448.11119999999994</v>
      </c>
      <c r="AC109">
        <v>750</v>
      </c>
      <c r="AE109">
        <v>41.666666666666664</v>
      </c>
      <c r="AF109">
        <v>896.22239999999999</v>
      </c>
      <c r="AG109">
        <v>896.22239999999999</v>
      </c>
      <c r="AH109">
        <v>448.11120000000005</v>
      </c>
      <c r="AI109">
        <v>896.22240000000011</v>
      </c>
      <c r="AJ109">
        <v>0</v>
      </c>
      <c r="AK109">
        <v>0</v>
      </c>
      <c r="AL109">
        <v>1792.4448</v>
      </c>
      <c r="AM109">
        <v>12099.002399999999</v>
      </c>
      <c r="AN109">
        <v>13338.780266666667</v>
      </c>
      <c r="AO109">
        <v>13297.113599999999</v>
      </c>
      <c r="AQ109">
        <v>10160.3352</v>
      </c>
      <c r="AR109">
        <v>24076.191999999999</v>
      </c>
      <c r="AS109">
        <v>10754.668799999999</v>
      </c>
      <c r="AT109">
        <v>0</v>
      </c>
      <c r="AU109">
        <v>13321.5232</v>
      </c>
      <c r="AV109">
        <v>1792.4448</v>
      </c>
      <c r="AW109">
        <v>0</v>
      </c>
      <c r="AX109">
        <v>11994.446666666667</v>
      </c>
      <c r="AY109">
        <v>11128.02</v>
      </c>
      <c r="AZ109">
        <v>866.42666666666628</v>
      </c>
      <c r="BA109">
        <v>0.16</v>
      </c>
      <c r="BB109">
        <v>138.6282666666666</v>
      </c>
      <c r="BC109">
        <v>893.63</v>
      </c>
      <c r="BD109">
        <v>1032.2582666666667</v>
      </c>
      <c r="BE109">
        <v>0</v>
      </c>
      <c r="BF109">
        <v>1032.2582666666667</v>
      </c>
      <c r="BG109">
        <v>41.325928888888889</v>
      </c>
      <c r="BH109">
        <v>0</v>
      </c>
      <c r="BI109">
        <v>382.49552988888888</v>
      </c>
      <c r="BJ109">
        <v>1147.4865896666668</v>
      </c>
      <c r="BK109">
        <v>0</v>
      </c>
      <c r="BL109">
        <v>0</v>
      </c>
      <c r="BM109">
        <v>29.481000000000005</v>
      </c>
      <c r="BN109">
        <v>0</v>
      </c>
      <c r="BO109">
        <v>0</v>
      </c>
      <c r="BP109">
        <v>380.97652988888888</v>
      </c>
      <c r="BQ109">
        <v>380.97652988888888</v>
      </c>
      <c r="BR109">
        <v>4.9867835866666628</v>
      </c>
      <c r="BS109">
        <v>28.573239741666665</v>
      </c>
      <c r="BT109">
        <v>42.859859612499996</v>
      </c>
      <c r="BU109">
        <v>71.433099354166671</v>
      </c>
      <c r="BV109">
        <v>128.57957883749998</v>
      </c>
      <c r="BW109">
        <v>276.43256113249998</v>
      </c>
      <c r="BX109">
        <v>12030.089438867501</v>
      </c>
      <c r="BY109">
        <v>896.22240000000011</v>
      </c>
      <c r="BZ109">
        <v>11133.8670388675</v>
      </c>
      <c r="CA109">
        <v>13297.113600000001</v>
      </c>
      <c r="CB109">
        <v>398.913408</v>
      </c>
      <c r="CC109">
        <v>380.97652988888888</v>
      </c>
      <c r="CD109">
        <v>692.41679999999997</v>
      </c>
      <c r="CE109">
        <v>13.713654863333323</v>
      </c>
      <c r="CF109">
        <v>80.005071276666669</v>
      </c>
      <c r="CG109">
        <v>120.00760691500001</v>
      </c>
      <c r="CH109">
        <v>189.90575183024433</v>
      </c>
      <c r="CI109">
        <v>200.01267819166668</v>
      </c>
      <c r="CJ109">
        <v>114.29295896666666</v>
      </c>
      <c r="CK109">
        <v>228.58591793333332</v>
      </c>
      <c r="CL109">
        <v>360.02282074499999</v>
      </c>
      <c r="CM109">
        <v>1998.963260721911</v>
      </c>
      <c r="CN109">
        <v>571.46479483333337</v>
      </c>
      <c r="CO109">
        <v>2969.3414635552444</v>
      </c>
      <c r="CQ109">
        <v>368.31057534246577</v>
      </c>
      <c r="CR109">
        <v>98.216153424657534</v>
      </c>
      <c r="CS109">
        <v>376.96587386301366</v>
      </c>
      <c r="CT109">
        <v>17151.614332852048</v>
      </c>
      <c r="CY109">
        <v>0</v>
      </c>
      <c r="DB109">
        <v>10754.668800000001</v>
      </c>
      <c r="DE109" s="61">
        <v>17151.614332852048</v>
      </c>
    </row>
    <row r="110" spans="1:109" hidden="1" x14ac:dyDescent="0.3">
      <c r="A110">
        <v>1337</v>
      </c>
      <c r="B110" t="s">
        <v>694</v>
      </c>
      <c r="C110" t="s">
        <v>603</v>
      </c>
      <c r="D110" t="s">
        <v>604</v>
      </c>
      <c r="E110" t="s">
        <v>714</v>
      </c>
      <c r="F110" t="s">
        <v>616</v>
      </c>
      <c r="G110" t="s">
        <v>617</v>
      </c>
      <c r="H110" t="s">
        <v>622</v>
      </c>
      <c r="I110" t="s">
        <v>623</v>
      </c>
      <c r="J110" s="3">
        <v>45546</v>
      </c>
      <c r="K110">
        <v>0.38904109589041097</v>
      </c>
      <c r="L110">
        <v>0</v>
      </c>
      <c r="M110" t="s">
        <v>678</v>
      </c>
      <c r="N110" t="s">
        <v>678</v>
      </c>
      <c r="O110">
        <v>1.0492999999999999</v>
      </c>
      <c r="P110">
        <v>3439.4559999999997</v>
      </c>
      <c r="Q110">
        <v>3439.4559999999997</v>
      </c>
      <c r="R110">
        <v>294.81</v>
      </c>
      <c r="S110">
        <v>309.344133</v>
      </c>
      <c r="T110">
        <v>26.08</v>
      </c>
      <c r="U110">
        <v>335.42413299999998</v>
      </c>
      <c r="V110">
        <v>30.4</v>
      </c>
      <c r="W110">
        <v>8962.2240000000002</v>
      </c>
      <c r="Y110">
        <v>448.11119999999994</v>
      </c>
      <c r="AC110">
        <v>750</v>
      </c>
      <c r="AE110">
        <v>41.666666666666664</v>
      </c>
      <c r="AF110">
        <v>896.22239999999999</v>
      </c>
      <c r="AG110">
        <v>896.22239999999999</v>
      </c>
      <c r="AH110">
        <v>448.11120000000005</v>
      </c>
      <c r="AI110">
        <v>896.22240000000011</v>
      </c>
      <c r="AJ110">
        <v>0</v>
      </c>
      <c r="AK110">
        <v>0</v>
      </c>
      <c r="AL110">
        <v>1792.4448</v>
      </c>
      <c r="AM110">
        <v>12099.002399999999</v>
      </c>
      <c r="AN110">
        <v>13338.780266666667</v>
      </c>
      <c r="AO110">
        <v>13297.113599999999</v>
      </c>
      <c r="AQ110">
        <v>10160.3352</v>
      </c>
      <c r="AR110">
        <v>24076.191999999999</v>
      </c>
      <c r="AS110">
        <v>10754.668799999999</v>
      </c>
      <c r="AT110">
        <v>0</v>
      </c>
      <c r="AU110">
        <v>13321.5232</v>
      </c>
      <c r="AV110">
        <v>1792.4448</v>
      </c>
      <c r="AW110">
        <v>0</v>
      </c>
      <c r="AX110">
        <v>11994.446666666667</v>
      </c>
      <c r="AY110">
        <v>11128.02</v>
      </c>
      <c r="AZ110">
        <v>866.42666666666628</v>
      </c>
      <c r="BA110">
        <v>0.16</v>
      </c>
      <c r="BB110">
        <v>138.6282666666666</v>
      </c>
      <c r="BC110">
        <v>893.63</v>
      </c>
      <c r="BD110">
        <v>1032.2582666666667</v>
      </c>
      <c r="BE110">
        <v>0</v>
      </c>
      <c r="BF110">
        <v>1032.2582666666667</v>
      </c>
      <c r="BG110">
        <v>41.325928888888889</v>
      </c>
      <c r="BH110">
        <v>0</v>
      </c>
      <c r="BI110">
        <v>376.75006188888887</v>
      </c>
      <c r="BJ110">
        <v>1130.2501856666665</v>
      </c>
      <c r="BK110">
        <v>0</v>
      </c>
      <c r="BL110">
        <v>0</v>
      </c>
      <c r="BM110">
        <v>29.481000000000005</v>
      </c>
      <c r="BN110">
        <v>0</v>
      </c>
      <c r="BO110">
        <v>0</v>
      </c>
      <c r="BP110">
        <v>380.15106188888888</v>
      </c>
      <c r="BQ110">
        <v>380.15106188888888</v>
      </c>
      <c r="BR110">
        <v>4.8877274266666628</v>
      </c>
      <c r="BS110">
        <v>28.511329641666666</v>
      </c>
      <c r="BT110">
        <v>42.766994462499994</v>
      </c>
      <c r="BU110">
        <v>71.278324104166657</v>
      </c>
      <c r="BV110">
        <v>128.30098338749997</v>
      </c>
      <c r="BW110">
        <v>275.74535902249994</v>
      </c>
      <c r="BX110">
        <v>12030.776640977501</v>
      </c>
      <c r="BY110">
        <v>896.22240000000011</v>
      </c>
      <c r="BZ110">
        <v>11134.554240977501</v>
      </c>
      <c r="CA110">
        <v>13297.113600000001</v>
      </c>
      <c r="CB110">
        <v>398.913408</v>
      </c>
      <c r="CC110">
        <v>380.15106188888888</v>
      </c>
      <c r="CD110">
        <v>692.41679999999997</v>
      </c>
      <c r="CE110">
        <v>13.441250423333324</v>
      </c>
      <c r="CF110">
        <v>79.831722996666656</v>
      </c>
      <c r="CG110">
        <v>119.74758449500001</v>
      </c>
      <c r="CH110">
        <v>189.49427997081634</v>
      </c>
      <c r="CI110">
        <v>199.5793074916667</v>
      </c>
      <c r="CJ110">
        <v>114.04531856666667</v>
      </c>
      <c r="CK110">
        <v>228.09063713333333</v>
      </c>
      <c r="CL110">
        <v>359.24275348499998</v>
      </c>
      <c r="CM110">
        <v>1995.889654562483</v>
      </c>
      <c r="CN110">
        <v>570.22659283333326</v>
      </c>
      <c r="CO110">
        <v>2965.029655395816</v>
      </c>
      <c r="CQ110">
        <v>368.31057534246577</v>
      </c>
      <c r="CR110">
        <v>73.662115068493137</v>
      </c>
      <c r="CS110">
        <v>376.22925271232873</v>
      </c>
      <c r="CT110">
        <v>17122.011865185767</v>
      </c>
      <c r="CY110">
        <v>0</v>
      </c>
      <c r="DB110">
        <v>10754.668800000001</v>
      </c>
      <c r="DE110" s="61">
        <v>17122.011865185767</v>
      </c>
    </row>
    <row r="111" spans="1:109" hidden="1" x14ac:dyDescent="0.3">
      <c r="A111">
        <v>1349</v>
      </c>
      <c r="B111" t="s">
        <v>684</v>
      </c>
      <c r="C111" t="s">
        <v>603</v>
      </c>
      <c r="D111" t="s">
        <v>604</v>
      </c>
      <c r="E111" t="s">
        <v>715</v>
      </c>
      <c r="F111" t="s">
        <v>616</v>
      </c>
      <c r="G111" t="s">
        <v>617</v>
      </c>
      <c r="H111" t="s">
        <v>622</v>
      </c>
      <c r="I111" t="s">
        <v>623</v>
      </c>
      <c r="J111" s="3">
        <v>45467</v>
      </c>
      <c r="K111">
        <v>0.60547945205479448</v>
      </c>
      <c r="L111">
        <v>0</v>
      </c>
      <c r="M111" t="s">
        <v>678</v>
      </c>
      <c r="N111" t="s">
        <v>678</v>
      </c>
      <c r="O111">
        <v>1.0492999999999999</v>
      </c>
      <c r="P111">
        <v>3439.4559999999997</v>
      </c>
      <c r="Q111">
        <v>3439.4559999999997</v>
      </c>
      <c r="R111">
        <v>294.81</v>
      </c>
      <c r="S111">
        <v>309.344133</v>
      </c>
      <c r="T111">
        <v>31.99</v>
      </c>
      <c r="U111">
        <v>341.33413300000001</v>
      </c>
      <c r="V111">
        <v>30.4</v>
      </c>
      <c r="W111">
        <v>8962.2240000000002</v>
      </c>
      <c r="Y111">
        <v>448.11119999999994</v>
      </c>
      <c r="AC111">
        <v>750</v>
      </c>
      <c r="AE111">
        <v>41.666666666666664</v>
      </c>
      <c r="AF111">
        <v>896.22239999999999</v>
      </c>
      <c r="AG111">
        <v>896.22239999999999</v>
      </c>
      <c r="AH111">
        <v>448.11120000000005</v>
      </c>
      <c r="AI111">
        <v>896.22240000000011</v>
      </c>
      <c r="AJ111">
        <v>0</v>
      </c>
      <c r="AK111">
        <v>0</v>
      </c>
      <c r="AL111">
        <v>1792.4448</v>
      </c>
      <c r="AM111">
        <v>12099.002399999999</v>
      </c>
      <c r="AN111">
        <v>13338.780266666667</v>
      </c>
      <c r="AO111">
        <v>13297.113599999999</v>
      </c>
      <c r="AQ111">
        <v>10160.3352</v>
      </c>
      <c r="AR111">
        <v>24076.191999999999</v>
      </c>
      <c r="AS111">
        <v>10754.668799999999</v>
      </c>
      <c r="AT111">
        <v>0</v>
      </c>
      <c r="AU111">
        <v>13321.5232</v>
      </c>
      <c r="AV111">
        <v>1792.4448</v>
      </c>
      <c r="AW111">
        <v>0</v>
      </c>
      <c r="AX111">
        <v>11994.446666666667</v>
      </c>
      <c r="AY111">
        <v>11128.02</v>
      </c>
      <c r="AZ111">
        <v>866.42666666666628</v>
      </c>
      <c r="BA111">
        <v>0.16</v>
      </c>
      <c r="BB111">
        <v>138.6282666666666</v>
      </c>
      <c r="BC111">
        <v>893.63</v>
      </c>
      <c r="BD111">
        <v>1032.2582666666667</v>
      </c>
      <c r="BE111">
        <v>0</v>
      </c>
      <c r="BF111">
        <v>1032.2582666666667</v>
      </c>
      <c r="BG111">
        <v>41.325928888888889</v>
      </c>
      <c r="BH111">
        <v>0</v>
      </c>
      <c r="BI111">
        <v>382.66006188888889</v>
      </c>
      <c r="BJ111">
        <v>1147.9801856666668</v>
      </c>
      <c r="BK111">
        <v>0</v>
      </c>
      <c r="BL111">
        <v>0</v>
      </c>
      <c r="BM111">
        <v>29.481000000000005</v>
      </c>
      <c r="BN111">
        <v>0</v>
      </c>
      <c r="BO111">
        <v>0</v>
      </c>
      <c r="BP111">
        <v>380.15106188888888</v>
      </c>
      <c r="BQ111">
        <v>380.15106188888888</v>
      </c>
      <c r="BR111">
        <v>4.8877274266666628</v>
      </c>
      <c r="BS111">
        <v>28.511329641666666</v>
      </c>
      <c r="BT111">
        <v>42.766994462499994</v>
      </c>
      <c r="BU111">
        <v>71.278324104166657</v>
      </c>
      <c r="BV111">
        <v>128.30098338749997</v>
      </c>
      <c r="BW111">
        <v>275.74535902249994</v>
      </c>
      <c r="BX111">
        <v>12030.776640977501</v>
      </c>
      <c r="BY111">
        <v>896.22240000000011</v>
      </c>
      <c r="BZ111">
        <v>11134.554240977501</v>
      </c>
      <c r="CA111">
        <v>13297.113600000001</v>
      </c>
      <c r="CB111">
        <v>398.913408</v>
      </c>
      <c r="CC111">
        <v>380.15106188888888</v>
      </c>
      <c r="CD111">
        <v>692.41679999999997</v>
      </c>
      <c r="CE111">
        <v>13.441250423333324</v>
      </c>
      <c r="CF111">
        <v>79.831722996666656</v>
      </c>
      <c r="CG111">
        <v>119.74758449500001</v>
      </c>
      <c r="CH111">
        <v>189.49427997081634</v>
      </c>
      <c r="CI111">
        <v>199.5793074916667</v>
      </c>
      <c r="CJ111">
        <v>114.04531856666667</v>
      </c>
      <c r="CK111">
        <v>228.09063713333333</v>
      </c>
      <c r="CL111">
        <v>359.24275348499998</v>
      </c>
      <c r="CM111">
        <v>1995.889654562483</v>
      </c>
      <c r="CN111">
        <v>570.22659283333326</v>
      </c>
      <c r="CO111">
        <v>2965.029655395816</v>
      </c>
      <c r="CQ111">
        <v>368.31057534246577</v>
      </c>
      <c r="CR111">
        <v>73.662115068493137</v>
      </c>
      <c r="CS111">
        <v>376.22925271232873</v>
      </c>
      <c r="CT111">
        <v>17122.011865185767</v>
      </c>
      <c r="CY111">
        <v>0</v>
      </c>
      <c r="DB111">
        <v>10754.668800000001</v>
      </c>
      <c r="DE111" s="61">
        <v>17122.011865185767</v>
      </c>
    </row>
    <row r="112" spans="1:109" hidden="1" x14ac:dyDescent="0.3">
      <c r="A112">
        <v>1800</v>
      </c>
      <c r="B112" t="s">
        <v>684</v>
      </c>
      <c r="C112" t="s">
        <v>603</v>
      </c>
      <c r="D112" t="s">
        <v>604</v>
      </c>
      <c r="E112" t="s">
        <v>825</v>
      </c>
      <c r="F112" t="s">
        <v>616</v>
      </c>
      <c r="G112" t="s">
        <v>617</v>
      </c>
      <c r="H112" t="s">
        <v>622</v>
      </c>
      <c r="I112" t="s">
        <v>623</v>
      </c>
      <c r="J112" s="3">
        <v>45553</v>
      </c>
      <c r="K112">
        <v>0.36986301369863012</v>
      </c>
      <c r="L112">
        <v>0</v>
      </c>
      <c r="M112" t="s">
        <v>678</v>
      </c>
      <c r="N112" t="s">
        <v>678</v>
      </c>
      <c r="O112">
        <v>1.0492999999999999</v>
      </c>
      <c r="P112">
        <v>3439.4559999999997</v>
      </c>
      <c r="Q112">
        <v>3439.4559999999997</v>
      </c>
      <c r="R112">
        <v>294.81</v>
      </c>
      <c r="S112">
        <v>309.344133</v>
      </c>
      <c r="T112">
        <v>103.11</v>
      </c>
      <c r="U112">
        <v>412.45413300000001</v>
      </c>
      <c r="V112">
        <v>30.4</v>
      </c>
      <c r="W112">
        <v>8962.2240000000002</v>
      </c>
      <c r="Y112">
        <v>448.11119999999994</v>
      </c>
      <c r="AC112">
        <v>750</v>
      </c>
      <c r="AE112">
        <v>41.666666666666664</v>
      </c>
      <c r="AF112">
        <v>896.22239999999999</v>
      </c>
      <c r="AG112">
        <v>896.22239999999999</v>
      </c>
      <c r="AH112">
        <v>448.11120000000005</v>
      </c>
      <c r="AI112">
        <v>896.22240000000011</v>
      </c>
      <c r="AJ112">
        <v>0</v>
      </c>
      <c r="AK112">
        <v>0</v>
      </c>
      <c r="AL112">
        <v>1792.4448</v>
      </c>
      <c r="AM112">
        <v>12099.002399999999</v>
      </c>
      <c r="AN112">
        <v>13338.780266666667</v>
      </c>
      <c r="AO112">
        <v>13297.113599999999</v>
      </c>
      <c r="AQ112">
        <v>10160.3352</v>
      </c>
      <c r="AR112">
        <v>24076.191999999999</v>
      </c>
      <c r="AS112">
        <v>10754.668799999999</v>
      </c>
      <c r="AT112">
        <v>0</v>
      </c>
      <c r="AU112">
        <v>13321.5232</v>
      </c>
      <c r="AV112">
        <v>1792.4448</v>
      </c>
      <c r="AW112">
        <v>0</v>
      </c>
      <c r="AX112">
        <v>11994.446666666667</v>
      </c>
      <c r="AY112">
        <v>11128.02</v>
      </c>
      <c r="AZ112">
        <v>866.42666666666628</v>
      </c>
      <c r="BA112">
        <v>0.16</v>
      </c>
      <c r="BB112">
        <v>138.6282666666666</v>
      </c>
      <c r="BC112">
        <v>893.63</v>
      </c>
      <c r="BD112">
        <v>1032.2582666666667</v>
      </c>
      <c r="BE112">
        <v>0</v>
      </c>
      <c r="BF112">
        <v>1032.2582666666667</v>
      </c>
      <c r="BG112">
        <v>41.325928888888889</v>
      </c>
      <c r="BH112">
        <v>0</v>
      </c>
      <c r="BI112">
        <v>453.78006188888889</v>
      </c>
      <c r="BJ112">
        <v>1361.3401856666669</v>
      </c>
      <c r="BK112">
        <v>0</v>
      </c>
      <c r="BL112">
        <v>0</v>
      </c>
      <c r="BM112">
        <v>29.481000000000005</v>
      </c>
      <c r="BN112">
        <v>0</v>
      </c>
      <c r="BO112">
        <v>0</v>
      </c>
      <c r="BP112">
        <v>380.15106188888888</v>
      </c>
      <c r="BQ112">
        <v>380.15106188888888</v>
      </c>
      <c r="BR112">
        <v>4.8877274266666628</v>
      </c>
      <c r="BS112">
        <v>28.511329641666666</v>
      </c>
      <c r="BT112">
        <v>42.766994462499994</v>
      </c>
      <c r="BU112">
        <v>71.278324104166657</v>
      </c>
      <c r="BV112">
        <v>128.30098338749997</v>
      </c>
      <c r="BW112">
        <v>275.74535902249994</v>
      </c>
      <c r="BX112">
        <v>12030.776640977501</v>
      </c>
      <c r="BY112">
        <v>896.22240000000011</v>
      </c>
      <c r="BZ112">
        <v>11134.554240977501</v>
      </c>
      <c r="CA112">
        <v>13297.113600000001</v>
      </c>
      <c r="CB112">
        <v>398.913408</v>
      </c>
      <c r="CC112">
        <v>380.15106188888888</v>
      </c>
      <c r="CD112">
        <v>692.41679999999997</v>
      </c>
      <c r="CE112">
        <v>13.441250423333324</v>
      </c>
      <c r="CF112">
        <v>79.831722996666656</v>
      </c>
      <c r="CG112">
        <v>119.74758449500001</v>
      </c>
      <c r="CH112">
        <v>189.49427997081634</v>
      </c>
      <c r="CI112">
        <v>199.5793074916667</v>
      </c>
      <c r="CJ112">
        <v>114.04531856666667</v>
      </c>
      <c r="CK112">
        <v>228.09063713333333</v>
      </c>
      <c r="CL112">
        <v>359.24275348499998</v>
      </c>
      <c r="CM112">
        <v>1995.889654562483</v>
      </c>
      <c r="CN112">
        <v>570.22659283333326</v>
      </c>
      <c r="CO112">
        <v>2965.029655395816</v>
      </c>
      <c r="CQ112">
        <v>368.31057534246577</v>
      </c>
      <c r="CR112">
        <v>73.662115068493137</v>
      </c>
      <c r="CS112">
        <v>376.22925271232873</v>
      </c>
      <c r="CT112">
        <v>17122.011865185767</v>
      </c>
      <c r="CY112">
        <v>0</v>
      </c>
      <c r="DB112">
        <v>10754.668800000001</v>
      </c>
      <c r="DE112" s="61">
        <v>17122.011865185767</v>
      </c>
    </row>
    <row r="113" spans="1:109" hidden="1" x14ac:dyDescent="0.3">
      <c r="A113">
        <v>1021</v>
      </c>
      <c r="B113" t="s">
        <v>637</v>
      </c>
      <c r="C113" t="s">
        <v>603</v>
      </c>
      <c r="D113" t="s">
        <v>604</v>
      </c>
      <c r="E113" t="s">
        <v>638</v>
      </c>
      <c r="F113" t="s">
        <v>639</v>
      </c>
      <c r="G113" t="s">
        <v>640</v>
      </c>
      <c r="H113" t="s">
        <v>622</v>
      </c>
      <c r="I113" t="s">
        <v>623</v>
      </c>
      <c r="J113" s="3">
        <v>43038</v>
      </c>
      <c r="K113">
        <v>7.2602739726027394</v>
      </c>
      <c r="L113">
        <v>7</v>
      </c>
      <c r="M113" t="s">
        <v>636</v>
      </c>
      <c r="N113" t="s">
        <v>636</v>
      </c>
      <c r="O113">
        <v>1.0562</v>
      </c>
      <c r="P113">
        <v>3439.4559999999997</v>
      </c>
      <c r="Q113">
        <v>3439.4559999999997</v>
      </c>
      <c r="R113">
        <v>288.8</v>
      </c>
      <c r="S113">
        <v>305.03056000000004</v>
      </c>
      <c r="T113">
        <v>49.46</v>
      </c>
      <c r="U113">
        <v>354.49056000000002</v>
      </c>
      <c r="V113">
        <v>30.4</v>
      </c>
      <c r="W113">
        <v>8779.52</v>
      </c>
      <c r="AD113">
        <v>1172.5714285714284</v>
      </c>
      <c r="AE113">
        <v>41.666666666666664</v>
      </c>
      <c r="AF113">
        <v>877.952</v>
      </c>
      <c r="AG113">
        <v>877.952</v>
      </c>
      <c r="AH113">
        <v>438.97600000000006</v>
      </c>
      <c r="AI113">
        <v>877.95200000000011</v>
      </c>
      <c r="AJ113">
        <v>0</v>
      </c>
      <c r="AK113">
        <v>0</v>
      </c>
      <c r="AL113">
        <v>1755.904</v>
      </c>
      <c r="AM113">
        <v>11852.352000000001</v>
      </c>
      <c r="AN113">
        <v>13066.590095238093</v>
      </c>
      <c r="AO113">
        <v>13024.92342857143</v>
      </c>
      <c r="AQ113">
        <v>9993.758095238094</v>
      </c>
      <c r="AR113">
        <v>24076.191999999999</v>
      </c>
      <c r="AS113">
        <v>10535.424000000001</v>
      </c>
      <c r="AT113">
        <v>0</v>
      </c>
      <c r="AU113">
        <v>13540.767999999998</v>
      </c>
      <c r="AV113">
        <v>1755.904</v>
      </c>
      <c r="AW113">
        <v>0</v>
      </c>
      <c r="AX113">
        <v>11749.662095238093</v>
      </c>
      <c r="AY113">
        <v>11128.02</v>
      </c>
      <c r="AZ113">
        <v>621.64209523809222</v>
      </c>
      <c r="BA113">
        <v>0.16</v>
      </c>
      <c r="BB113">
        <v>99.462735238094751</v>
      </c>
      <c r="BC113">
        <v>893.63</v>
      </c>
      <c r="BD113">
        <v>993.09273523809475</v>
      </c>
      <c r="BE113">
        <v>0</v>
      </c>
      <c r="BF113">
        <v>993.09273523809475</v>
      </c>
      <c r="BG113">
        <v>40.474603174603175</v>
      </c>
      <c r="BH113">
        <v>0</v>
      </c>
      <c r="BI113">
        <v>394.96516317460316</v>
      </c>
      <c r="BJ113">
        <v>1184.8954895238096</v>
      </c>
      <c r="BK113">
        <v>0</v>
      </c>
      <c r="BL113">
        <v>0</v>
      </c>
      <c r="BM113">
        <v>28.880000000000006</v>
      </c>
      <c r="BN113">
        <v>0</v>
      </c>
      <c r="BO113">
        <v>0</v>
      </c>
      <c r="BP113">
        <v>374.38516317460318</v>
      </c>
      <c r="BQ113">
        <v>374.38516317460318</v>
      </c>
      <c r="BR113">
        <v>4.1958195809523797</v>
      </c>
      <c r="BS113">
        <v>28.078887238095238</v>
      </c>
      <c r="BT113">
        <v>42.118330857142851</v>
      </c>
      <c r="BU113">
        <v>70.1972180952381</v>
      </c>
      <c r="BV113">
        <v>126.35499257142857</v>
      </c>
      <c r="BW113">
        <v>270.9452483428571</v>
      </c>
      <c r="BX113">
        <v>11802.55211165714</v>
      </c>
      <c r="BY113">
        <v>877.95200000000011</v>
      </c>
      <c r="BZ113">
        <v>10924.600111657141</v>
      </c>
      <c r="CA113">
        <v>13024.923428571426</v>
      </c>
      <c r="CB113">
        <v>390.74770285714277</v>
      </c>
      <c r="CC113">
        <v>374.38516317460318</v>
      </c>
      <c r="CD113">
        <v>692.41679999999997</v>
      </c>
      <c r="CE113">
        <v>11.538503847619044</v>
      </c>
      <c r="CF113">
        <v>78.620884266666664</v>
      </c>
      <c r="CG113">
        <v>117.9313264</v>
      </c>
      <c r="CH113">
        <v>186.62014667280764</v>
      </c>
      <c r="CI113">
        <v>196.5522106666667</v>
      </c>
      <c r="CJ113">
        <v>112.31554895238095</v>
      </c>
      <c r="CK113">
        <v>224.6310979047619</v>
      </c>
      <c r="CL113">
        <v>353.79397919999997</v>
      </c>
      <c r="CM113">
        <v>1974.4204979109029</v>
      </c>
      <c r="CN113">
        <v>561.5777447619048</v>
      </c>
      <c r="CO113">
        <v>2926.7459455299504</v>
      </c>
      <c r="CQ113">
        <v>360.80219178082194</v>
      </c>
      <c r="CR113">
        <v>132.29413698630137</v>
      </c>
      <c r="CS113">
        <v>370.36344986301373</v>
      </c>
      <c r="CT113">
        <v>16856.795819398179</v>
      </c>
      <c r="CY113">
        <v>0</v>
      </c>
      <c r="DB113">
        <v>10535.423999999999</v>
      </c>
      <c r="DC113">
        <v>113.27749999999999</v>
      </c>
      <c r="DE113" s="61">
        <v>16970.07331939818</v>
      </c>
    </row>
    <row r="114" spans="1:109" hidden="1" x14ac:dyDescent="0.3">
      <c r="A114">
        <v>1206</v>
      </c>
      <c r="B114" t="s">
        <v>684</v>
      </c>
      <c r="C114" t="s">
        <v>603</v>
      </c>
      <c r="D114" t="s">
        <v>604</v>
      </c>
      <c r="E114" t="s">
        <v>697</v>
      </c>
      <c r="F114" t="s">
        <v>616</v>
      </c>
      <c r="G114" t="s">
        <v>617</v>
      </c>
      <c r="H114" t="s">
        <v>622</v>
      </c>
      <c r="I114" t="s">
        <v>623</v>
      </c>
      <c r="J114" s="3">
        <v>44462</v>
      </c>
      <c r="K114">
        <v>3.3589041095890413</v>
      </c>
      <c r="L114">
        <v>3</v>
      </c>
      <c r="M114" t="s">
        <v>698</v>
      </c>
      <c r="N114" t="s">
        <v>698</v>
      </c>
      <c r="O114">
        <v>1.0533999999999999</v>
      </c>
      <c r="P114">
        <v>3439.4559999999997</v>
      </c>
      <c r="Q114">
        <v>3439.4559999999997</v>
      </c>
      <c r="R114">
        <v>288.8</v>
      </c>
      <c r="S114">
        <v>304.22191999999995</v>
      </c>
      <c r="T114">
        <v>36.25</v>
      </c>
      <c r="U114">
        <v>340.47191999999995</v>
      </c>
      <c r="V114">
        <v>30.4</v>
      </c>
      <c r="W114">
        <v>8779.52</v>
      </c>
      <c r="Y114">
        <v>438.97599999999994</v>
      </c>
      <c r="AC114">
        <v>750</v>
      </c>
      <c r="AE114">
        <v>41.666666666666664</v>
      </c>
      <c r="AF114">
        <v>877.952</v>
      </c>
      <c r="AG114">
        <v>877.952</v>
      </c>
      <c r="AH114">
        <v>438.97600000000006</v>
      </c>
      <c r="AI114">
        <v>877.95200000000011</v>
      </c>
      <c r="AJ114">
        <v>0</v>
      </c>
      <c r="AK114">
        <v>0</v>
      </c>
      <c r="AL114">
        <v>1755.904</v>
      </c>
      <c r="AM114">
        <v>11852.352000000001</v>
      </c>
      <c r="AN114">
        <v>13082.994666666666</v>
      </c>
      <c r="AO114">
        <v>13041.328000000001</v>
      </c>
      <c r="AQ114">
        <v>10010.162666666667</v>
      </c>
      <c r="AR114">
        <v>24076.191999999999</v>
      </c>
      <c r="AS114">
        <v>10535.424000000001</v>
      </c>
      <c r="AT114">
        <v>0</v>
      </c>
      <c r="AU114">
        <v>13540.767999999998</v>
      </c>
      <c r="AV114">
        <v>1755.904</v>
      </c>
      <c r="AW114">
        <v>0</v>
      </c>
      <c r="AX114">
        <v>11766.066666666666</v>
      </c>
      <c r="AY114">
        <v>11128.02</v>
      </c>
      <c r="AZ114">
        <v>638.04666666666526</v>
      </c>
      <c r="BA114">
        <v>0.16</v>
      </c>
      <c r="BB114">
        <v>102.08746666666644</v>
      </c>
      <c r="BC114">
        <v>893.63</v>
      </c>
      <c r="BD114">
        <v>995.7174666666665</v>
      </c>
      <c r="BE114">
        <v>0</v>
      </c>
      <c r="BF114">
        <v>995.7174666666665</v>
      </c>
      <c r="BG114">
        <v>41.02142222222222</v>
      </c>
      <c r="BH114">
        <v>0</v>
      </c>
      <c r="BI114">
        <v>381.49334222222217</v>
      </c>
      <c r="BJ114">
        <v>1144.4800266666666</v>
      </c>
      <c r="BK114">
        <v>0</v>
      </c>
      <c r="BL114">
        <v>0</v>
      </c>
      <c r="BM114">
        <v>28.880000000000006</v>
      </c>
      <c r="BN114">
        <v>0</v>
      </c>
      <c r="BO114">
        <v>0</v>
      </c>
      <c r="BP114">
        <v>374.12334222222216</v>
      </c>
      <c r="BQ114">
        <v>374.12334222222216</v>
      </c>
      <c r="BR114">
        <v>4.1644010666666578</v>
      </c>
      <c r="BS114">
        <v>28.059250666666664</v>
      </c>
      <c r="BT114">
        <v>42.088875999999992</v>
      </c>
      <c r="BU114">
        <v>70.14812666666667</v>
      </c>
      <c r="BV114">
        <v>126.26662799999997</v>
      </c>
      <c r="BW114">
        <v>270.72728239999992</v>
      </c>
      <c r="BX114">
        <v>11816.549917599999</v>
      </c>
      <c r="BY114">
        <v>877.95200000000011</v>
      </c>
      <c r="BZ114">
        <v>10938.5979176</v>
      </c>
      <c r="CA114">
        <v>13041.328</v>
      </c>
      <c r="CB114">
        <v>391.23983999999996</v>
      </c>
      <c r="CC114">
        <v>374.12334222222216</v>
      </c>
      <c r="CD114">
        <v>692.41679999999997</v>
      </c>
      <c r="CE114">
        <v>11.452102933333308</v>
      </c>
      <c r="CF114">
        <v>78.56590186666665</v>
      </c>
      <c r="CG114">
        <v>117.84885279999999</v>
      </c>
      <c r="CH114">
        <v>186.48963652085331</v>
      </c>
      <c r="CI114">
        <v>196.41475466666665</v>
      </c>
      <c r="CJ114">
        <v>112.23700266666665</v>
      </c>
      <c r="CK114">
        <v>224.47400533333331</v>
      </c>
      <c r="CL114">
        <v>353.54655839999992</v>
      </c>
      <c r="CM114">
        <v>1973.4456151875197</v>
      </c>
      <c r="CN114">
        <v>561.18501333333336</v>
      </c>
      <c r="CO114">
        <v>2925.8704685208527</v>
      </c>
      <c r="CQ114">
        <v>360.80219178082194</v>
      </c>
      <c r="CR114">
        <v>108.24065753424657</v>
      </c>
      <c r="CS114">
        <v>369.64184547945206</v>
      </c>
      <c r="CT114">
        <v>16847.549829982036</v>
      </c>
      <c r="CY114">
        <v>0</v>
      </c>
      <c r="DB114">
        <v>10535.423999999999</v>
      </c>
      <c r="DE114" s="61">
        <v>16847.549829982036</v>
      </c>
    </row>
    <row r="115" spans="1:109" hidden="1" x14ac:dyDescent="0.3">
      <c r="A115">
        <v>1604</v>
      </c>
      <c r="B115" t="s">
        <v>684</v>
      </c>
      <c r="C115" t="s">
        <v>603</v>
      </c>
      <c r="D115" t="s">
        <v>604</v>
      </c>
      <c r="E115" t="s">
        <v>762</v>
      </c>
      <c r="F115" t="s">
        <v>616</v>
      </c>
      <c r="G115" t="s">
        <v>617</v>
      </c>
      <c r="H115" t="s">
        <v>622</v>
      </c>
      <c r="I115" t="s">
        <v>623</v>
      </c>
      <c r="J115" s="3">
        <v>44862</v>
      </c>
      <c r="K115">
        <v>2.2630136986301368</v>
      </c>
      <c r="L115">
        <v>2</v>
      </c>
      <c r="M115" t="s">
        <v>735</v>
      </c>
      <c r="N115" t="s">
        <v>735</v>
      </c>
      <c r="O115">
        <v>1.0521</v>
      </c>
      <c r="P115">
        <v>3439.4559999999997</v>
      </c>
      <c r="Q115">
        <v>3439.4559999999997</v>
      </c>
      <c r="R115">
        <v>288.8</v>
      </c>
      <c r="S115">
        <v>303.84648000000004</v>
      </c>
      <c r="T115">
        <v>47.44</v>
      </c>
      <c r="U115">
        <v>351.28648000000004</v>
      </c>
      <c r="V115">
        <v>30.4</v>
      </c>
      <c r="W115">
        <v>8779.52</v>
      </c>
      <c r="Y115">
        <v>438.97599999999994</v>
      </c>
      <c r="AC115">
        <v>750</v>
      </c>
      <c r="AE115">
        <v>41.666666666666664</v>
      </c>
      <c r="AF115">
        <v>877.952</v>
      </c>
      <c r="AG115">
        <v>877.952</v>
      </c>
      <c r="AH115">
        <v>438.97600000000006</v>
      </c>
      <c r="AI115">
        <v>877.95200000000011</v>
      </c>
      <c r="AJ115">
        <v>0</v>
      </c>
      <c r="AK115">
        <v>0</v>
      </c>
      <c r="AL115">
        <v>1755.904</v>
      </c>
      <c r="AM115">
        <v>11852.352000000001</v>
      </c>
      <c r="AN115">
        <v>13082.994666666666</v>
      </c>
      <c r="AO115">
        <v>13041.328000000001</v>
      </c>
      <c r="AQ115">
        <v>10010.162666666667</v>
      </c>
      <c r="AR115">
        <v>24076.191999999999</v>
      </c>
      <c r="AS115">
        <v>10535.424000000001</v>
      </c>
      <c r="AT115">
        <v>0</v>
      </c>
      <c r="AU115">
        <v>13540.767999999998</v>
      </c>
      <c r="AV115">
        <v>1755.904</v>
      </c>
      <c r="AW115">
        <v>0</v>
      </c>
      <c r="AX115">
        <v>11766.066666666666</v>
      </c>
      <c r="AY115">
        <v>11128.02</v>
      </c>
      <c r="AZ115">
        <v>638.04666666666526</v>
      </c>
      <c r="BA115">
        <v>0.16</v>
      </c>
      <c r="BB115">
        <v>102.08746666666644</v>
      </c>
      <c r="BC115">
        <v>893.63</v>
      </c>
      <c r="BD115">
        <v>995.7174666666665</v>
      </c>
      <c r="BE115">
        <v>0</v>
      </c>
      <c r="BF115">
        <v>995.7174666666665</v>
      </c>
      <c r="BG115">
        <v>41.02142222222222</v>
      </c>
      <c r="BH115">
        <v>0</v>
      </c>
      <c r="BI115">
        <v>392.30790222222225</v>
      </c>
      <c r="BJ115">
        <v>1176.9237066666669</v>
      </c>
      <c r="BK115">
        <v>0</v>
      </c>
      <c r="BL115">
        <v>0</v>
      </c>
      <c r="BM115">
        <v>28.880000000000006</v>
      </c>
      <c r="BN115">
        <v>0</v>
      </c>
      <c r="BO115">
        <v>0</v>
      </c>
      <c r="BP115">
        <v>373.74790222222225</v>
      </c>
      <c r="BQ115">
        <v>373.74790222222225</v>
      </c>
      <c r="BR115">
        <v>4.1193482666666679</v>
      </c>
      <c r="BS115">
        <v>28.03109266666667</v>
      </c>
      <c r="BT115">
        <v>42.046638999999999</v>
      </c>
      <c r="BU115">
        <v>70.077731666666665</v>
      </c>
      <c r="BV115">
        <v>126.139917</v>
      </c>
      <c r="BW115">
        <v>270.41472859999999</v>
      </c>
      <c r="BX115">
        <v>11816.862471399998</v>
      </c>
      <c r="BY115">
        <v>877.95200000000011</v>
      </c>
      <c r="BZ115">
        <v>10938.910471399999</v>
      </c>
      <c r="CA115">
        <v>13041.328</v>
      </c>
      <c r="CB115">
        <v>391.23983999999996</v>
      </c>
      <c r="CC115">
        <v>373.74790222222225</v>
      </c>
      <c r="CD115">
        <v>692.41679999999997</v>
      </c>
      <c r="CE115">
        <v>11.328207733333336</v>
      </c>
      <c r="CF115">
        <v>78.487059466666679</v>
      </c>
      <c r="CG115">
        <v>117.73058920000001</v>
      </c>
      <c r="CH115">
        <v>186.30249056861334</v>
      </c>
      <c r="CI115">
        <v>196.21764866666672</v>
      </c>
      <c r="CJ115">
        <v>112.12437066666668</v>
      </c>
      <c r="CK115">
        <v>224.24874133333336</v>
      </c>
      <c r="CL115">
        <v>353.19176759999999</v>
      </c>
      <c r="CM115">
        <v>1972.0476752352802</v>
      </c>
      <c r="CN115">
        <v>560.62185333333332</v>
      </c>
      <c r="CO115">
        <v>2923.909368568613</v>
      </c>
      <c r="CQ115">
        <v>360.80219178082194</v>
      </c>
      <c r="CR115">
        <v>96.213917808219179</v>
      </c>
      <c r="CS115">
        <v>369.28104328767125</v>
      </c>
      <c r="CT115">
        <v>16833.201188111991</v>
      </c>
      <c r="CY115">
        <v>0</v>
      </c>
      <c r="DB115">
        <v>10535.423999999999</v>
      </c>
      <c r="DE115" s="61">
        <v>16833.201188111991</v>
      </c>
    </row>
    <row r="116" spans="1:109" hidden="1" x14ac:dyDescent="0.3">
      <c r="A116">
        <v>1611</v>
      </c>
      <c r="B116" t="s">
        <v>684</v>
      </c>
      <c r="C116" t="s">
        <v>603</v>
      </c>
      <c r="D116" t="s">
        <v>604</v>
      </c>
      <c r="E116" t="s">
        <v>763</v>
      </c>
      <c r="F116" t="s">
        <v>616</v>
      </c>
      <c r="G116" t="s">
        <v>617</v>
      </c>
      <c r="H116" t="s">
        <v>622</v>
      </c>
      <c r="I116" t="s">
        <v>623</v>
      </c>
      <c r="J116" s="3">
        <v>44868</v>
      </c>
      <c r="K116">
        <v>2.2465753424657535</v>
      </c>
      <c r="L116">
        <v>2</v>
      </c>
      <c r="M116" t="s">
        <v>735</v>
      </c>
      <c r="N116" t="s">
        <v>735</v>
      </c>
      <c r="O116">
        <v>1.0521</v>
      </c>
      <c r="P116">
        <v>3439.4559999999997</v>
      </c>
      <c r="Q116">
        <v>3439.4559999999997</v>
      </c>
      <c r="R116">
        <v>288.8</v>
      </c>
      <c r="S116">
        <v>303.84648000000004</v>
      </c>
      <c r="T116">
        <v>25.26</v>
      </c>
      <c r="U116">
        <v>329.10648000000003</v>
      </c>
      <c r="V116">
        <v>30.4</v>
      </c>
      <c r="W116">
        <v>8779.52</v>
      </c>
      <c r="Y116">
        <v>438.97599999999994</v>
      </c>
      <c r="AC116">
        <v>750</v>
      </c>
      <c r="AE116">
        <v>41.666666666666664</v>
      </c>
      <c r="AF116">
        <v>877.952</v>
      </c>
      <c r="AG116">
        <v>877.952</v>
      </c>
      <c r="AH116">
        <v>438.97600000000006</v>
      </c>
      <c r="AI116">
        <v>877.95200000000011</v>
      </c>
      <c r="AJ116">
        <v>0</v>
      </c>
      <c r="AK116">
        <v>0</v>
      </c>
      <c r="AL116">
        <v>1755.904</v>
      </c>
      <c r="AM116">
        <v>11852.352000000001</v>
      </c>
      <c r="AN116">
        <v>13082.994666666666</v>
      </c>
      <c r="AO116">
        <v>13041.328000000001</v>
      </c>
      <c r="AQ116">
        <v>10010.162666666667</v>
      </c>
      <c r="AR116">
        <v>24076.191999999999</v>
      </c>
      <c r="AS116">
        <v>10535.424000000001</v>
      </c>
      <c r="AT116">
        <v>0</v>
      </c>
      <c r="AU116">
        <v>13540.767999999998</v>
      </c>
      <c r="AV116">
        <v>1755.904</v>
      </c>
      <c r="AW116">
        <v>0</v>
      </c>
      <c r="AX116">
        <v>11766.066666666666</v>
      </c>
      <c r="AY116">
        <v>11128.02</v>
      </c>
      <c r="AZ116">
        <v>638.04666666666526</v>
      </c>
      <c r="BA116">
        <v>0.16</v>
      </c>
      <c r="BB116">
        <v>102.08746666666644</v>
      </c>
      <c r="BC116">
        <v>893.63</v>
      </c>
      <c r="BD116">
        <v>995.7174666666665</v>
      </c>
      <c r="BE116">
        <v>0</v>
      </c>
      <c r="BF116">
        <v>995.7174666666665</v>
      </c>
      <c r="BG116">
        <v>41.02142222222222</v>
      </c>
      <c r="BH116">
        <v>0</v>
      </c>
      <c r="BI116">
        <v>370.12790222222225</v>
      </c>
      <c r="BJ116">
        <v>1110.3837066666667</v>
      </c>
      <c r="BK116">
        <v>0</v>
      </c>
      <c r="BL116">
        <v>0</v>
      </c>
      <c r="BM116">
        <v>28.880000000000006</v>
      </c>
      <c r="BN116">
        <v>0</v>
      </c>
      <c r="BO116">
        <v>0</v>
      </c>
      <c r="BP116">
        <v>373.74790222222225</v>
      </c>
      <c r="BQ116">
        <v>373.74790222222225</v>
      </c>
      <c r="BR116">
        <v>4.1193482666666679</v>
      </c>
      <c r="BS116">
        <v>28.03109266666667</v>
      </c>
      <c r="BT116">
        <v>42.046638999999999</v>
      </c>
      <c r="BU116">
        <v>70.077731666666665</v>
      </c>
      <c r="BV116">
        <v>126.139917</v>
      </c>
      <c r="BW116">
        <v>270.41472859999999</v>
      </c>
      <c r="BX116">
        <v>11816.862471399998</v>
      </c>
      <c r="BY116">
        <v>877.95200000000011</v>
      </c>
      <c r="BZ116">
        <v>10938.910471399999</v>
      </c>
      <c r="CA116">
        <v>13041.328</v>
      </c>
      <c r="CB116">
        <v>391.23983999999996</v>
      </c>
      <c r="CC116">
        <v>373.74790222222225</v>
      </c>
      <c r="CD116">
        <v>692.41679999999997</v>
      </c>
      <c r="CE116">
        <v>11.328207733333336</v>
      </c>
      <c r="CF116">
        <v>78.487059466666679</v>
      </c>
      <c r="CG116">
        <v>117.73058920000001</v>
      </c>
      <c r="CH116">
        <v>186.30249056861334</v>
      </c>
      <c r="CI116">
        <v>196.21764866666672</v>
      </c>
      <c r="CJ116">
        <v>112.12437066666668</v>
      </c>
      <c r="CK116">
        <v>224.24874133333336</v>
      </c>
      <c r="CL116">
        <v>353.19176759999999</v>
      </c>
      <c r="CM116">
        <v>1972.0476752352802</v>
      </c>
      <c r="CN116">
        <v>560.62185333333332</v>
      </c>
      <c r="CO116">
        <v>2923.909368568613</v>
      </c>
      <c r="CQ116">
        <v>360.80219178082194</v>
      </c>
      <c r="CR116">
        <v>96.213917808219179</v>
      </c>
      <c r="CS116">
        <v>369.28104328767125</v>
      </c>
      <c r="CT116">
        <v>16833.201188111991</v>
      </c>
      <c r="CY116">
        <v>0</v>
      </c>
      <c r="DB116">
        <v>10535.423999999999</v>
      </c>
      <c r="DE116" s="61">
        <v>16833.201188111991</v>
      </c>
    </row>
    <row r="117" spans="1:109" hidden="1" x14ac:dyDescent="0.3">
      <c r="A117">
        <v>1673</v>
      </c>
      <c r="B117" t="s">
        <v>684</v>
      </c>
      <c r="C117" t="s">
        <v>603</v>
      </c>
      <c r="D117" t="s">
        <v>604</v>
      </c>
      <c r="E117" t="s">
        <v>775</v>
      </c>
      <c r="F117" t="s">
        <v>616</v>
      </c>
      <c r="G117" t="s">
        <v>617</v>
      </c>
      <c r="H117" t="s">
        <v>622</v>
      </c>
      <c r="I117" t="s">
        <v>623</v>
      </c>
      <c r="J117" s="3">
        <v>44943</v>
      </c>
      <c r="K117">
        <v>2.0410958904109591</v>
      </c>
      <c r="L117">
        <v>2</v>
      </c>
      <c r="M117" t="s">
        <v>735</v>
      </c>
      <c r="N117" t="s">
        <v>735</v>
      </c>
      <c r="O117">
        <v>1.0521</v>
      </c>
      <c r="P117">
        <v>3439.4559999999997</v>
      </c>
      <c r="Q117">
        <v>3439.4559999999997</v>
      </c>
      <c r="R117">
        <v>288.8</v>
      </c>
      <c r="S117">
        <v>303.84648000000004</v>
      </c>
      <c r="T117">
        <v>33.369999999999997</v>
      </c>
      <c r="U117">
        <v>337.21648000000005</v>
      </c>
      <c r="V117">
        <v>30.4</v>
      </c>
      <c r="W117">
        <v>8779.52</v>
      </c>
      <c r="Y117">
        <v>438.97599999999994</v>
      </c>
      <c r="AC117">
        <v>750</v>
      </c>
      <c r="AE117">
        <v>41.666666666666664</v>
      </c>
      <c r="AF117">
        <v>877.952</v>
      </c>
      <c r="AG117">
        <v>877.952</v>
      </c>
      <c r="AH117">
        <v>438.97600000000006</v>
      </c>
      <c r="AI117">
        <v>877.95200000000011</v>
      </c>
      <c r="AJ117">
        <v>0</v>
      </c>
      <c r="AK117">
        <v>0</v>
      </c>
      <c r="AL117">
        <v>1755.904</v>
      </c>
      <c r="AM117">
        <v>11852.352000000001</v>
      </c>
      <c r="AN117">
        <v>13082.994666666666</v>
      </c>
      <c r="AO117">
        <v>13041.328000000001</v>
      </c>
      <c r="AQ117">
        <v>10010.162666666667</v>
      </c>
      <c r="AR117">
        <v>24076.191999999999</v>
      </c>
      <c r="AS117">
        <v>10535.424000000001</v>
      </c>
      <c r="AT117">
        <v>0</v>
      </c>
      <c r="AU117">
        <v>13540.767999999998</v>
      </c>
      <c r="AV117">
        <v>1755.904</v>
      </c>
      <c r="AW117">
        <v>0</v>
      </c>
      <c r="AX117">
        <v>11766.066666666666</v>
      </c>
      <c r="AY117">
        <v>11128.02</v>
      </c>
      <c r="AZ117">
        <v>638.04666666666526</v>
      </c>
      <c r="BA117">
        <v>0.16</v>
      </c>
      <c r="BB117">
        <v>102.08746666666644</v>
      </c>
      <c r="BC117">
        <v>893.63</v>
      </c>
      <c r="BD117">
        <v>995.7174666666665</v>
      </c>
      <c r="BE117">
        <v>0</v>
      </c>
      <c r="BF117">
        <v>995.7174666666665</v>
      </c>
      <c r="BG117">
        <v>41.02142222222222</v>
      </c>
      <c r="BH117">
        <v>0</v>
      </c>
      <c r="BI117">
        <v>378.23790222222226</v>
      </c>
      <c r="BJ117">
        <v>1134.7137066666669</v>
      </c>
      <c r="BK117">
        <v>0</v>
      </c>
      <c r="BL117">
        <v>0</v>
      </c>
      <c r="BM117">
        <v>28.880000000000006</v>
      </c>
      <c r="BN117">
        <v>0</v>
      </c>
      <c r="BO117">
        <v>0</v>
      </c>
      <c r="BP117">
        <v>373.74790222222225</v>
      </c>
      <c r="BQ117">
        <v>373.74790222222225</v>
      </c>
      <c r="BR117">
        <v>4.1193482666666679</v>
      </c>
      <c r="BS117">
        <v>28.03109266666667</v>
      </c>
      <c r="BT117">
        <v>42.046638999999999</v>
      </c>
      <c r="BU117">
        <v>70.077731666666665</v>
      </c>
      <c r="BV117">
        <v>126.139917</v>
      </c>
      <c r="BW117">
        <v>270.41472859999999</v>
      </c>
      <c r="BX117">
        <v>11816.862471399998</v>
      </c>
      <c r="BY117">
        <v>877.95200000000011</v>
      </c>
      <c r="BZ117">
        <v>10938.910471399999</v>
      </c>
      <c r="CA117">
        <v>13041.328</v>
      </c>
      <c r="CB117">
        <v>391.23983999999996</v>
      </c>
      <c r="CC117">
        <v>373.74790222222225</v>
      </c>
      <c r="CD117">
        <v>692.41679999999997</v>
      </c>
      <c r="CE117">
        <v>11.328207733333336</v>
      </c>
      <c r="CF117">
        <v>78.487059466666679</v>
      </c>
      <c r="CG117">
        <v>117.73058920000001</v>
      </c>
      <c r="CH117">
        <v>186.30249056861334</v>
      </c>
      <c r="CI117">
        <v>196.21764866666672</v>
      </c>
      <c r="CJ117">
        <v>112.12437066666668</v>
      </c>
      <c r="CK117">
        <v>224.24874133333336</v>
      </c>
      <c r="CL117">
        <v>353.19176759999999</v>
      </c>
      <c r="CM117">
        <v>1972.0476752352802</v>
      </c>
      <c r="CN117">
        <v>560.62185333333332</v>
      </c>
      <c r="CO117">
        <v>2923.909368568613</v>
      </c>
      <c r="CQ117">
        <v>360.80219178082194</v>
      </c>
      <c r="CR117">
        <v>96.213917808219179</v>
      </c>
      <c r="CS117">
        <v>369.28104328767125</v>
      </c>
      <c r="CT117">
        <v>16833.201188111991</v>
      </c>
      <c r="CY117">
        <v>0</v>
      </c>
      <c r="DB117">
        <v>10535.423999999999</v>
      </c>
      <c r="DE117" s="61">
        <v>16833.201188111991</v>
      </c>
    </row>
    <row r="118" spans="1:109" hidden="1" x14ac:dyDescent="0.3">
      <c r="A118">
        <v>1630</v>
      </c>
      <c r="B118" t="s">
        <v>684</v>
      </c>
      <c r="C118" t="s">
        <v>603</v>
      </c>
      <c r="D118" t="s">
        <v>604</v>
      </c>
      <c r="E118" t="s">
        <v>766</v>
      </c>
      <c r="F118" t="s">
        <v>616</v>
      </c>
      <c r="G118" t="s">
        <v>617</v>
      </c>
      <c r="H118" t="s">
        <v>622</v>
      </c>
      <c r="I118" t="s">
        <v>623</v>
      </c>
      <c r="J118" s="3">
        <v>45572</v>
      </c>
      <c r="K118">
        <v>0.31780821917808222</v>
      </c>
      <c r="L118">
        <v>0</v>
      </c>
      <c r="M118" t="s">
        <v>678</v>
      </c>
      <c r="N118" t="s">
        <v>678</v>
      </c>
      <c r="O118">
        <v>1.0492999999999999</v>
      </c>
      <c r="P118">
        <v>3439.4559999999997</v>
      </c>
      <c r="Q118">
        <v>3439.4559999999997</v>
      </c>
      <c r="R118">
        <v>288.8</v>
      </c>
      <c r="S118">
        <v>303.03783999999996</v>
      </c>
      <c r="T118">
        <v>41.12</v>
      </c>
      <c r="U118">
        <v>344.15783999999996</v>
      </c>
      <c r="V118">
        <v>30.4</v>
      </c>
      <c r="W118">
        <v>8779.52</v>
      </c>
      <c r="Y118">
        <v>438.97599999999994</v>
      </c>
      <c r="AC118">
        <v>750</v>
      </c>
      <c r="AE118">
        <v>41.666666666666664</v>
      </c>
      <c r="AF118">
        <v>877.952</v>
      </c>
      <c r="AG118">
        <v>877.952</v>
      </c>
      <c r="AH118">
        <v>438.97600000000006</v>
      </c>
      <c r="AI118">
        <v>877.95200000000011</v>
      </c>
      <c r="AJ118">
        <v>0</v>
      </c>
      <c r="AK118">
        <v>0</v>
      </c>
      <c r="AL118">
        <v>1755.904</v>
      </c>
      <c r="AM118">
        <v>11852.352000000001</v>
      </c>
      <c r="AN118">
        <v>13082.994666666666</v>
      </c>
      <c r="AO118">
        <v>13041.328000000001</v>
      </c>
      <c r="AQ118">
        <v>10010.162666666667</v>
      </c>
      <c r="AR118">
        <v>24076.191999999999</v>
      </c>
      <c r="AS118">
        <v>10535.424000000001</v>
      </c>
      <c r="AT118">
        <v>0</v>
      </c>
      <c r="AU118">
        <v>13540.767999999998</v>
      </c>
      <c r="AV118">
        <v>1755.904</v>
      </c>
      <c r="AW118">
        <v>0</v>
      </c>
      <c r="AX118">
        <v>11766.066666666666</v>
      </c>
      <c r="AY118">
        <v>11128.02</v>
      </c>
      <c r="AZ118">
        <v>638.04666666666526</v>
      </c>
      <c r="BA118">
        <v>0.16</v>
      </c>
      <c r="BB118">
        <v>102.08746666666644</v>
      </c>
      <c r="BC118">
        <v>893.63</v>
      </c>
      <c r="BD118">
        <v>995.7174666666665</v>
      </c>
      <c r="BE118">
        <v>0</v>
      </c>
      <c r="BF118">
        <v>995.7174666666665</v>
      </c>
      <c r="BG118">
        <v>41.02142222222222</v>
      </c>
      <c r="BH118">
        <v>0</v>
      </c>
      <c r="BI118">
        <v>385.17926222222218</v>
      </c>
      <c r="BJ118">
        <v>1155.5377866666665</v>
      </c>
      <c r="BK118">
        <v>0</v>
      </c>
      <c r="BL118">
        <v>0</v>
      </c>
      <c r="BM118">
        <v>28.880000000000006</v>
      </c>
      <c r="BN118">
        <v>0</v>
      </c>
      <c r="BO118">
        <v>0</v>
      </c>
      <c r="BP118">
        <v>372.93926222222217</v>
      </c>
      <c r="BQ118">
        <v>372.93926222222217</v>
      </c>
      <c r="BR118">
        <v>4.0223114666666584</v>
      </c>
      <c r="BS118">
        <v>27.970444666666662</v>
      </c>
      <c r="BT118">
        <v>41.955666999999991</v>
      </c>
      <c r="BU118">
        <v>69.926111666666657</v>
      </c>
      <c r="BV118">
        <v>125.86700099999999</v>
      </c>
      <c r="BW118">
        <v>269.74153579999995</v>
      </c>
      <c r="BX118">
        <v>11817.535664199999</v>
      </c>
      <c r="BY118">
        <v>877.95200000000011</v>
      </c>
      <c r="BZ118">
        <v>10939.583664199999</v>
      </c>
      <c r="CA118">
        <v>13041.328</v>
      </c>
      <c r="CB118">
        <v>391.23983999999996</v>
      </c>
      <c r="CC118">
        <v>372.93926222222217</v>
      </c>
      <c r="CD118">
        <v>692.41679999999997</v>
      </c>
      <c r="CE118">
        <v>11.06135653333331</v>
      </c>
      <c r="CF118">
        <v>78.317245066666658</v>
      </c>
      <c r="CG118">
        <v>117.4758676</v>
      </c>
      <c r="CH118">
        <v>185.89940697917331</v>
      </c>
      <c r="CI118">
        <v>195.79311266666667</v>
      </c>
      <c r="CJ118">
        <v>111.88177866666665</v>
      </c>
      <c r="CK118">
        <v>223.7635573333333</v>
      </c>
      <c r="CL118">
        <v>352.42760279999999</v>
      </c>
      <c r="CM118">
        <v>1969.0367276458396</v>
      </c>
      <c r="CN118">
        <v>559.40889333333325</v>
      </c>
      <c r="CO118">
        <v>2919.6854609791726</v>
      </c>
      <c r="CQ118">
        <v>360.80219178082194</v>
      </c>
      <c r="CR118">
        <v>72.160438356164377</v>
      </c>
      <c r="CS118">
        <v>368.55943890410958</v>
      </c>
      <c r="CT118">
        <v>16804.202196686936</v>
      </c>
      <c r="CY118">
        <v>0</v>
      </c>
      <c r="DB118">
        <v>10535.423999999999</v>
      </c>
      <c r="DE118" s="61">
        <v>16804.202196686936</v>
      </c>
    </row>
    <row r="119" spans="1:109" hidden="1" x14ac:dyDescent="0.3">
      <c r="A119">
        <v>1737</v>
      </c>
      <c r="B119" t="s">
        <v>684</v>
      </c>
      <c r="C119" t="s">
        <v>603</v>
      </c>
      <c r="D119" t="s">
        <v>604</v>
      </c>
      <c r="E119" t="s">
        <v>796</v>
      </c>
      <c r="F119" t="s">
        <v>616</v>
      </c>
      <c r="G119" t="s">
        <v>617</v>
      </c>
      <c r="H119" t="s">
        <v>622</v>
      </c>
      <c r="I119" t="s">
        <v>623</v>
      </c>
      <c r="J119" s="3">
        <v>45586</v>
      </c>
      <c r="K119">
        <v>0.27945205479452057</v>
      </c>
      <c r="L119">
        <v>0</v>
      </c>
      <c r="M119" t="s">
        <v>678</v>
      </c>
      <c r="N119" t="s">
        <v>678</v>
      </c>
      <c r="O119">
        <v>1.0492999999999999</v>
      </c>
      <c r="P119">
        <v>3439.4559999999997</v>
      </c>
      <c r="Q119">
        <v>3439.4559999999997</v>
      </c>
      <c r="R119">
        <v>288.8</v>
      </c>
      <c r="S119">
        <v>303.03783999999996</v>
      </c>
      <c r="T119">
        <v>20.21</v>
      </c>
      <c r="U119">
        <v>323.24783999999994</v>
      </c>
      <c r="V119">
        <v>30.4</v>
      </c>
      <c r="W119">
        <v>8779.52</v>
      </c>
      <c r="Y119">
        <v>438.97599999999994</v>
      </c>
      <c r="AC119">
        <v>750</v>
      </c>
      <c r="AE119">
        <v>41.666666666666664</v>
      </c>
      <c r="AF119">
        <v>877.952</v>
      </c>
      <c r="AG119">
        <v>877.952</v>
      </c>
      <c r="AH119">
        <v>438.97600000000006</v>
      </c>
      <c r="AI119">
        <v>877.95200000000011</v>
      </c>
      <c r="AJ119">
        <v>0</v>
      </c>
      <c r="AK119">
        <v>0</v>
      </c>
      <c r="AL119">
        <v>1755.904</v>
      </c>
      <c r="AM119">
        <v>11852.352000000001</v>
      </c>
      <c r="AN119">
        <v>13082.994666666666</v>
      </c>
      <c r="AO119">
        <v>13041.328000000001</v>
      </c>
      <c r="AQ119">
        <v>10010.162666666667</v>
      </c>
      <c r="AR119">
        <v>24076.191999999999</v>
      </c>
      <c r="AS119">
        <v>10535.424000000001</v>
      </c>
      <c r="AT119">
        <v>0</v>
      </c>
      <c r="AU119">
        <v>13540.767999999998</v>
      </c>
      <c r="AV119">
        <v>1755.904</v>
      </c>
      <c r="AW119">
        <v>0</v>
      </c>
      <c r="AX119">
        <v>11766.066666666666</v>
      </c>
      <c r="AY119">
        <v>11128.02</v>
      </c>
      <c r="AZ119">
        <v>638.04666666666526</v>
      </c>
      <c r="BA119">
        <v>0.16</v>
      </c>
      <c r="BB119">
        <v>102.08746666666644</v>
      </c>
      <c r="BC119">
        <v>893.63</v>
      </c>
      <c r="BD119">
        <v>995.7174666666665</v>
      </c>
      <c r="BE119">
        <v>0</v>
      </c>
      <c r="BF119">
        <v>995.7174666666665</v>
      </c>
      <c r="BG119">
        <v>41.02142222222222</v>
      </c>
      <c r="BH119">
        <v>0</v>
      </c>
      <c r="BI119">
        <v>364.26926222222215</v>
      </c>
      <c r="BJ119">
        <v>1092.8077866666665</v>
      </c>
      <c r="BK119">
        <v>0</v>
      </c>
      <c r="BL119">
        <v>0</v>
      </c>
      <c r="BM119">
        <v>28.880000000000006</v>
      </c>
      <c r="BN119">
        <v>0</v>
      </c>
      <c r="BO119">
        <v>0</v>
      </c>
      <c r="BP119">
        <v>372.93926222222217</v>
      </c>
      <c r="BQ119">
        <v>372.93926222222217</v>
      </c>
      <c r="BR119">
        <v>4.0223114666666584</v>
      </c>
      <c r="BS119">
        <v>27.970444666666662</v>
      </c>
      <c r="BT119">
        <v>41.955666999999991</v>
      </c>
      <c r="BU119">
        <v>69.926111666666657</v>
      </c>
      <c r="BV119">
        <v>125.86700099999999</v>
      </c>
      <c r="BW119">
        <v>269.74153579999995</v>
      </c>
      <c r="BX119">
        <v>11817.535664199999</v>
      </c>
      <c r="BY119">
        <v>877.95200000000011</v>
      </c>
      <c r="BZ119">
        <v>10939.583664199999</v>
      </c>
      <c r="CA119">
        <v>13041.328</v>
      </c>
      <c r="CB119">
        <v>391.23983999999996</v>
      </c>
      <c r="CC119">
        <v>372.93926222222217</v>
      </c>
      <c r="CD119">
        <v>692.41679999999997</v>
      </c>
      <c r="CE119">
        <v>11.06135653333331</v>
      </c>
      <c r="CF119">
        <v>78.317245066666658</v>
      </c>
      <c r="CG119">
        <v>117.4758676</v>
      </c>
      <c r="CH119">
        <v>185.89940697917331</v>
      </c>
      <c r="CI119">
        <v>195.79311266666667</v>
      </c>
      <c r="CJ119">
        <v>111.88177866666665</v>
      </c>
      <c r="CK119">
        <v>223.7635573333333</v>
      </c>
      <c r="CL119">
        <v>352.42760279999999</v>
      </c>
      <c r="CM119">
        <v>1969.0367276458396</v>
      </c>
      <c r="CN119">
        <v>559.40889333333325</v>
      </c>
      <c r="CO119">
        <v>2919.6854609791726</v>
      </c>
      <c r="CQ119">
        <v>360.80219178082194</v>
      </c>
      <c r="CR119">
        <v>72.160438356164377</v>
      </c>
      <c r="CS119">
        <v>368.55943890410958</v>
      </c>
      <c r="CT119">
        <v>16804.202196686936</v>
      </c>
      <c r="CY119">
        <v>0</v>
      </c>
      <c r="DB119">
        <v>10535.423999999999</v>
      </c>
      <c r="DE119" s="61">
        <v>16804.202196686936</v>
      </c>
    </row>
    <row r="120" spans="1:109" hidden="1" x14ac:dyDescent="0.3">
      <c r="A120">
        <v>1763</v>
      </c>
      <c r="B120" t="s">
        <v>684</v>
      </c>
      <c r="C120" t="s">
        <v>603</v>
      </c>
      <c r="D120" t="s">
        <v>604</v>
      </c>
      <c r="E120" t="s">
        <v>804</v>
      </c>
      <c r="F120" t="s">
        <v>616</v>
      </c>
      <c r="G120" t="s">
        <v>617</v>
      </c>
      <c r="H120" t="s">
        <v>622</v>
      </c>
      <c r="I120" t="s">
        <v>623</v>
      </c>
      <c r="J120" s="3">
        <v>45600</v>
      </c>
      <c r="K120">
        <v>0.24109589041095891</v>
      </c>
      <c r="L120">
        <v>0</v>
      </c>
      <c r="M120" t="s">
        <v>678</v>
      </c>
      <c r="N120" t="s">
        <v>678</v>
      </c>
      <c r="O120">
        <v>1.0492999999999999</v>
      </c>
      <c r="P120">
        <v>3439.4559999999997</v>
      </c>
      <c r="Q120">
        <v>3439.4559999999997</v>
      </c>
      <c r="R120">
        <v>288.8</v>
      </c>
      <c r="S120">
        <v>303.03783999999996</v>
      </c>
      <c r="T120">
        <v>16.11</v>
      </c>
      <c r="U120">
        <v>319.14783999999997</v>
      </c>
      <c r="V120">
        <v>30.4</v>
      </c>
      <c r="W120">
        <v>8779.52</v>
      </c>
      <c r="Y120">
        <v>438.97599999999994</v>
      </c>
      <c r="AC120">
        <v>750</v>
      </c>
      <c r="AE120">
        <v>41.666666666666664</v>
      </c>
      <c r="AF120">
        <v>877.952</v>
      </c>
      <c r="AG120">
        <v>877.952</v>
      </c>
      <c r="AH120">
        <v>438.97600000000006</v>
      </c>
      <c r="AI120">
        <v>877.95200000000011</v>
      </c>
      <c r="AJ120">
        <v>0</v>
      </c>
      <c r="AK120">
        <v>0</v>
      </c>
      <c r="AL120">
        <v>1755.904</v>
      </c>
      <c r="AM120">
        <v>11852.352000000001</v>
      </c>
      <c r="AN120">
        <v>13082.994666666666</v>
      </c>
      <c r="AO120">
        <v>13041.328000000001</v>
      </c>
      <c r="AQ120">
        <v>10010.162666666667</v>
      </c>
      <c r="AR120">
        <v>24076.191999999999</v>
      </c>
      <c r="AS120">
        <v>10535.424000000001</v>
      </c>
      <c r="AT120">
        <v>0</v>
      </c>
      <c r="AU120">
        <v>13540.767999999998</v>
      </c>
      <c r="AV120">
        <v>1755.904</v>
      </c>
      <c r="AW120">
        <v>0</v>
      </c>
      <c r="AX120">
        <v>11766.066666666666</v>
      </c>
      <c r="AY120">
        <v>11128.02</v>
      </c>
      <c r="AZ120">
        <v>638.04666666666526</v>
      </c>
      <c r="BA120">
        <v>0.16</v>
      </c>
      <c r="BB120">
        <v>102.08746666666644</v>
      </c>
      <c r="BC120">
        <v>893.63</v>
      </c>
      <c r="BD120">
        <v>995.7174666666665</v>
      </c>
      <c r="BE120">
        <v>0</v>
      </c>
      <c r="BF120">
        <v>995.7174666666665</v>
      </c>
      <c r="BG120">
        <v>41.02142222222222</v>
      </c>
      <c r="BH120">
        <v>0</v>
      </c>
      <c r="BI120">
        <v>360.16926222222219</v>
      </c>
      <c r="BJ120">
        <v>1080.5077866666668</v>
      </c>
      <c r="BK120">
        <v>0</v>
      </c>
      <c r="BL120">
        <v>0</v>
      </c>
      <c r="BM120">
        <v>28.880000000000006</v>
      </c>
      <c r="BN120">
        <v>0</v>
      </c>
      <c r="BO120">
        <v>0</v>
      </c>
      <c r="BP120">
        <v>372.93926222222217</v>
      </c>
      <c r="BQ120">
        <v>372.93926222222217</v>
      </c>
      <c r="BR120">
        <v>4.0223114666666584</v>
      </c>
      <c r="BS120">
        <v>27.970444666666662</v>
      </c>
      <c r="BT120">
        <v>41.955666999999991</v>
      </c>
      <c r="BU120">
        <v>69.926111666666657</v>
      </c>
      <c r="BV120">
        <v>125.86700099999999</v>
      </c>
      <c r="BW120">
        <v>269.74153579999995</v>
      </c>
      <c r="BX120">
        <v>11817.535664199999</v>
      </c>
      <c r="BY120">
        <v>877.95200000000011</v>
      </c>
      <c r="BZ120">
        <v>10939.583664199999</v>
      </c>
      <c r="CA120">
        <v>13041.328</v>
      </c>
      <c r="CB120">
        <v>391.23983999999996</v>
      </c>
      <c r="CC120">
        <v>372.93926222222217</v>
      </c>
      <c r="CD120">
        <v>692.41679999999997</v>
      </c>
      <c r="CE120">
        <v>11.06135653333331</v>
      </c>
      <c r="CF120">
        <v>78.317245066666658</v>
      </c>
      <c r="CG120">
        <v>117.4758676</v>
      </c>
      <c r="CH120">
        <v>185.89940697917331</v>
      </c>
      <c r="CI120">
        <v>195.79311266666667</v>
      </c>
      <c r="CJ120">
        <v>111.88177866666665</v>
      </c>
      <c r="CK120">
        <v>223.7635573333333</v>
      </c>
      <c r="CL120">
        <v>352.42760279999999</v>
      </c>
      <c r="CM120">
        <v>1969.0367276458396</v>
      </c>
      <c r="CN120">
        <v>559.40889333333325</v>
      </c>
      <c r="CO120">
        <v>2919.6854609791726</v>
      </c>
      <c r="CQ120">
        <v>360.80219178082194</v>
      </c>
      <c r="CR120">
        <v>72.160438356164377</v>
      </c>
      <c r="CS120">
        <v>368.55943890410958</v>
      </c>
      <c r="CT120">
        <v>16804.202196686936</v>
      </c>
      <c r="CY120">
        <v>0</v>
      </c>
      <c r="DB120">
        <v>10535.423999999999</v>
      </c>
      <c r="DE120" s="61">
        <v>16804.202196686936</v>
      </c>
    </row>
    <row r="121" spans="1:109" hidden="1" x14ac:dyDescent="0.3">
      <c r="A121">
        <v>1774</v>
      </c>
      <c r="B121" t="s">
        <v>637</v>
      </c>
      <c r="C121" t="s">
        <v>603</v>
      </c>
      <c r="D121" t="s">
        <v>604</v>
      </c>
      <c r="E121" t="s">
        <v>808</v>
      </c>
      <c r="F121" t="s">
        <v>616</v>
      </c>
      <c r="G121" t="s">
        <v>617</v>
      </c>
      <c r="H121" t="s">
        <v>622</v>
      </c>
      <c r="I121" t="s">
        <v>623</v>
      </c>
      <c r="J121" s="3">
        <v>45453</v>
      </c>
      <c r="K121">
        <v>0.64383561643835618</v>
      </c>
      <c r="L121">
        <v>0</v>
      </c>
      <c r="M121" t="s">
        <v>678</v>
      </c>
      <c r="N121" t="s">
        <v>678</v>
      </c>
      <c r="O121">
        <v>1.0492999999999999</v>
      </c>
      <c r="P121">
        <v>3439.4559999999997</v>
      </c>
      <c r="Q121">
        <v>3439.4559999999997</v>
      </c>
      <c r="R121">
        <v>288.8</v>
      </c>
      <c r="S121">
        <v>303.03783999999996</v>
      </c>
      <c r="T121">
        <v>243.14</v>
      </c>
      <c r="U121">
        <v>546.17783999999995</v>
      </c>
      <c r="V121">
        <v>30.4</v>
      </c>
      <c r="W121">
        <v>8779.52</v>
      </c>
      <c r="Y121">
        <v>438.97599999999994</v>
      </c>
      <c r="AC121">
        <v>750</v>
      </c>
      <c r="AE121">
        <v>41.666666666666664</v>
      </c>
      <c r="AF121">
        <v>877.952</v>
      </c>
      <c r="AG121">
        <v>877.952</v>
      </c>
      <c r="AH121">
        <v>438.97600000000006</v>
      </c>
      <c r="AI121">
        <v>877.95200000000011</v>
      </c>
      <c r="AJ121">
        <v>0</v>
      </c>
      <c r="AK121">
        <v>0</v>
      </c>
      <c r="AL121">
        <v>1755.904</v>
      </c>
      <c r="AM121">
        <v>11852.352000000001</v>
      </c>
      <c r="AN121">
        <v>13082.994666666666</v>
      </c>
      <c r="AO121">
        <v>13041.328000000001</v>
      </c>
      <c r="AQ121">
        <v>10010.162666666667</v>
      </c>
      <c r="AR121">
        <v>24076.191999999999</v>
      </c>
      <c r="AS121">
        <v>10535.424000000001</v>
      </c>
      <c r="AT121">
        <v>0</v>
      </c>
      <c r="AU121">
        <v>13540.767999999998</v>
      </c>
      <c r="AV121">
        <v>1755.904</v>
      </c>
      <c r="AW121">
        <v>0</v>
      </c>
      <c r="AX121">
        <v>11766.066666666666</v>
      </c>
      <c r="AY121">
        <v>11128.02</v>
      </c>
      <c r="AZ121">
        <v>638.04666666666526</v>
      </c>
      <c r="BA121">
        <v>0.16</v>
      </c>
      <c r="BB121">
        <v>102.08746666666644</v>
      </c>
      <c r="BC121">
        <v>893.63</v>
      </c>
      <c r="BD121">
        <v>995.7174666666665</v>
      </c>
      <c r="BE121">
        <v>0</v>
      </c>
      <c r="BF121">
        <v>995.7174666666665</v>
      </c>
      <c r="BG121">
        <v>41.02142222222222</v>
      </c>
      <c r="BH121">
        <v>0</v>
      </c>
      <c r="BI121">
        <v>587.19926222222216</v>
      </c>
      <c r="BJ121">
        <v>1761.5977866666665</v>
      </c>
      <c r="BK121">
        <v>0</v>
      </c>
      <c r="BL121">
        <v>0</v>
      </c>
      <c r="BM121">
        <v>28.880000000000006</v>
      </c>
      <c r="BN121">
        <v>0</v>
      </c>
      <c r="BO121">
        <v>0</v>
      </c>
      <c r="BP121">
        <v>372.93926222222217</v>
      </c>
      <c r="BQ121">
        <v>372.93926222222217</v>
      </c>
      <c r="BR121">
        <v>4.0223114666666584</v>
      </c>
      <c r="BS121">
        <v>27.970444666666662</v>
      </c>
      <c r="BT121">
        <v>41.955666999999991</v>
      </c>
      <c r="BU121">
        <v>69.926111666666657</v>
      </c>
      <c r="BV121">
        <v>125.86700099999999</v>
      </c>
      <c r="BW121">
        <v>269.74153579999995</v>
      </c>
      <c r="BX121">
        <v>11817.535664199999</v>
      </c>
      <c r="BY121">
        <v>877.95200000000011</v>
      </c>
      <c r="BZ121">
        <v>10939.583664199999</v>
      </c>
      <c r="CA121">
        <v>13041.328</v>
      </c>
      <c r="CB121">
        <v>391.23983999999996</v>
      </c>
      <c r="CC121">
        <v>372.93926222222217</v>
      </c>
      <c r="CD121">
        <v>692.41679999999997</v>
      </c>
      <c r="CE121">
        <v>11.06135653333331</v>
      </c>
      <c r="CF121">
        <v>78.317245066666658</v>
      </c>
      <c r="CG121">
        <v>117.4758676</v>
      </c>
      <c r="CH121">
        <v>185.89940697917331</v>
      </c>
      <c r="CI121">
        <v>195.79311266666667</v>
      </c>
      <c r="CJ121">
        <v>111.88177866666665</v>
      </c>
      <c r="CK121">
        <v>223.7635573333333</v>
      </c>
      <c r="CL121">
        <v>352.42760279999999</v>
      </c>
      <c r="CM121">
        <v>1969.0367276458396</v>
      </c>
      <c r="CN121">
        <v>559.40889333333325</v>
      </c>
      <c r="CO121">
        <v>2919.6854609791726</v>
      </c>
      <c r="CQ121">
        <v>360.80219178082194</v>
      </c>
      <c r="CR121">
        <v>72.160438356164377</v>
      </c>
      <c r="CS121">
        <v>368.55943890410958</v>
      </c>
      <c r="CT121">
        <v>16804.202196686936</v>
      </c>
      <c r="CY121">
        <v>0</v>
      </c>
      <c r="DB121">
        <v>10535.423999999999</v>
      </c>
      <c r="DE121" s="61">
        <v>16804.202196686936</v>
      </c>
    </row>
    <row r="122" spans="1:109" hidden="1" x14ac:dyDescent="0.3">
      <c r="A122">
        <v>1801</v>
      </c>
      <c r="B122" t="s">
        <v>684</v>
      </c>
      <c r="C122" t="s">
        <v>603</v>
      </c>
      <c r="D122" t="s">
        <v>604</v>
      </c>
      <c r="E122" t="s">
        <v>826</v>
      </c>
      <c r="F122" t="s">
        <v>616</v>
      </c>
      <c r="G122" t="s">
        <v>617</v>
      </c>
      <c r="H122" t="s">
        <v>622</v>
      </c>
      <c r="I122" t="s">
        <v>623</v>
      </c>
      <c r="J122" s="3">
        <v>45553</v>
      </c>
      <c r="K122">
        <v>0.36986301369863012</v>
      </c>
      <c r="L122">
        <v>0</v>
      </c>
      <c r="M122" t="s">
        <v>678</v>
      </c>
      <c r="N122" t="s">
        <v>678</v>
      </c>
      <c r="O122">
        <v>1.0492999999999999</v>
      </c>
      <c r="P122">
        <v>3439.4559999999997</v>
      </c>
      <c r="Q122">
        <v>3439.4559999999997</v>
      </c>
      <c r="R122">
        <v>288.8</v>
      </c>
      <c r="S122">
        <v>303.03783999999996</v>
      </c>
      <c r="T122">
        <v>36.75</v>
      </c>
      <c r="U122">
        <v>339.78783999999996</v>
      </c>
      <c r="V122">
        <v>30.4</v>
      </c>
      <c r="W122">
        <v>8779.52</v>
      </c>
      <c r="Y122">
        <v>438.97599999999994</v>
      </c>
      <c r="AC122">
        <v>750</v>
      </c>
      <c r="AE122">
        <v>41.666666666666664</v>
      </c>
      <c r="AF122">
        <v>877.952</v>
      </c>
      <c r="AG122">
        <v>877.952</v>
      </c>
      <c r="AH122">
        <v>438.97600000000006</v>
      </c>
      <c r="AI122">
        <v>877.95200000000011</v>
      </c>
      <c r="AJ122">
        <v>0</v>
      </c>
      <c r="AK122">
        <v>0</v>
      </c>
      <c r="AL122">
        <v>1755.904</v>
      </c>
      <c r="AM122">
        <v>11852.352000000001</v>
      </c>
      <c r="AN122">
        <v>13082.994666666666</v>
      </c>
      <c r="AO122">
        <v>13041.328000000001</v>
      </c>
      <c r="AQ122">
        <v>10010.162666666667</v>
      </c>
      <c r="AR122">
        <v>24076.191999999999</v>
      </c>
      <c r="AS122">
        <v>10535.424000000001</v>
      </c>
      <c r="AT122">
        <v>0</v>
      </c>
      <c r="AU122">
        <v>13540.767999999998</v>
      </c>
      <c r="AV122">
        <v>1755.904</v>
      </c>
      <c r="AW122">
        <v>0</v>
      </c>
      <c r="AX122">
        <v>11766.066666666666</v>
      </c>
      <c r="AY122">
        <v>11128.02</v>
      </c>
      <c r="AZ122">
        <v>638.04666666666526</v>
      </c>
      <c r="BA122">
        <v>0.16</v>
      </c>
      <c r="BB122">
        <v>102.08746666666644</v>
      </c>
      <c r="BC122">
        <v>893.63</v>
      </c>
      <c r="BD122">
        <v>995.7174666666665</v>
      </c>
      <c r="BE122">
        <v>0</v>
      </c>
      <c r="BF122">
        <v>995.7174666666665</v>
      </c>
      <c r="BG122">
        <v>41.02142222222222</v>
      </c>
      <c r="BH122">
        <v>0</v>
      </c>
      <c r="BI122">
        <v>380.80926222222217</v>
      </c>
      <c r="BJ122">
        <v>1142.4277866666666</v>
      </c>
      <c r="BK122">
        <v>0</v>
      </c>
      <c r="BL122">
        <v>0</v>
      </c>
      <c r="BM122">
        <v>28.880000000000006</v>
      </c>
      <c r="BN122">
        <v>0</v>
      </c>
      <c r="BO122">
        <v>0</v>
      </c>
      <c r="BP122">
        <v>372.93926222222217</v>
      </c>
      <c r="BQ122">
        <v>372.93926222222217</v>
      </c>
      <c r="BR122">
        <v>4.0223114666666584</v>
      </c>
      <c r="BS122">
        <v>27.970444666666662</v>
      </c>
      <c r="BT122">
        <v>41.955666999999991</v>
      </c>
      <c r="BU122">
        <v>69.926111666666657</v>
      </c>
      <c r="BV122">
        <v>125.86700099999999</v>
      </c>
      <c r="BW122">
        <v>269.74153579999995</v>
      </c>
      <c r="BX122">
        <v>11817.535664199999</v>
      </c>
      <c r="BY122">
        <v>877.95200000000011</v>
      </c>
      <c r="BZ122">
        <v>10939.583664199999</v>
      </c>
      <c r="CA122">
        <v>13041.328</v>
      </c>
      <c r="CB122">
        <v>391.23983999999996</v>
      </c>
      <c r="CC122">
        <v>372.93926222222217</v>
      </c>
      <c r="CD122">
        <v>692.41679999999997</v>
      </c>
      <c r="CE122">
        <v>11.06135653333331</v>
      </c>
      <c r="CF122">
        <v>78.317245066666658</v>
      </c>
      <c r="CG122">
        <v>117.4758676</v>
      </c>
      <c r="CH122">
        <v>185.89940697917331</v>
      </c>
      <c r="CI122">
        <v>195.79311266666667</v>
      </c>
      <c r="CJ122">
        <v>111.88177866666665</v>
      </c>
      <c r="CK122">
        <v>223.7635573333333</v>
      </c>
      <c r="CL122">
        <v>352.42760279999999</v>
      </c>
      <c r="CM122">
        <v>1969.0367276458396</v>
      </c>
      <c r="CN122">
        <v>559.40889333333325</v>
      </c>
      <c r="CO122">
        <v>2919.6854609791726</v>
      </c>
      <c r="CQ122">
        <v>360.80219178082194</v>
      </c>
      <c r="CR122">
        <v>72.160438356164377</v>
      </c>
      <c r="CS122">
        <v>368.55943890410958</v>
      </c>
      <c r="CT122">
        <v>16804.202196686936</v>
      </c>
      <c r="CY122">
        <v>0</v>
      </c>
      <c r="DB122">
        <v>10535.423999999999</v>
      </c>
      <c r="DE122" s="61">
        <v>16804.202196686936</v>
      </c>
    </row>
    <row r="123" spans="1:109" hidden="1" x14ac:dyDescent="0.3">
      <c r="A123">
        <v>1802</v>
      </c>
      <c r="B123" t="s">
        <v>684</v>
      </c>
      <c r="C123" t="s">
        <v>603</v>
      </c>
      <c r="D123" t="s">
        <v>604</v>
      </c>
      <c r="E123" t="s">
        <v>827</v>
      </c>
      <c r="F123" t="s">
        <v>616</v>
      </c>
      <c r="G123" t="s">
        <v>617</v>
      </c>
      <c r="H123" t="s">
        <v>622</v>
      </c>
      <c r="I123" t="s">
        <v>623</v>
      </c>
      <c r="J123" s="3">
        <v>45553</v>
      </c>
      <c r="K123">
        <v>0.36986301369863012</v>
      </c>
      <c r="L123">
        <v>0</v>
      </c>
      <c r="M123" t="s">
        <v>678</v>
      </c>
      <c r="N123" t="s">
        <v>678</v>
      </c>
      <c r="O123">
        <v>1.0492999999999999</v>
      </c>
      <c r="P123">
        <v>3439.4559999999997</v>
      </c>
      <c r="Q123">
        <v>3439.4559999999997</v>
      </c>
      <c r="R123">
        <v>288.8</v>
      </c>
      <c r="S123">
        <v>303.03783999999996</v>
      </c>
      <c r="T123">
        <v>87.49</v>
      </c>
      <c r="U123">
        <v>390.52783999999997</v>
      </c>
      <c r="V123">
        <v>30.4</v>
      </c>
      <c r="W123">
        <v>8779.52</v>
      </c>
      <c r="Y123">
        <v>438.97599999999994</v>
      </c>
      <c r="AC123">
        <v>750</v>
      </c>
      <c r="AE123">
        <v>41.666666666666664</v>
      </c>
      <c r="AF123">
        <v>877.952</v>
      </c>
      <c r="AG123">
        <v>877.952</v>
      </c>
      <c r="AH123">
        <v>438.97600000000006</v>
      </c>
      <c r="AI123">
        <v>877.95200000000011</v>
      </c>
      <c r="AJ123">
        <v>0</v>
      </c>
      <c r="AK123">
        <v>0</v>
      </c>
      <c r="AL123">
        <v>1755.904</v>
      </c>
      <c r="AM123">
        <v>11852.352000000001</v>
      </c>
      <c r="AN123">
        <v>13082.994666666666</v>
      </c>
      <c r="AO123">
        <v>13041.328000000001</v>
      </c>
      <c r="AQ123">
        <v>10010.162666666667</v>
      </c>
      <c r="AR123">
        <v>24076.191999999999</v>
      </c>
      <c r="AS123">
        <v>10535.424000000001</v>
      </c>
      <c r="AT123">
        <v>0</v>
      </c>
      <c r="AU123">
        <v>13540.767999999998</v>
      </c>
      <c r="AV123">
        <v>1755.904</v>
      </c>
      <c r="AW123">
        <v>0</v>
      </c>
      <c r="AX123">
        <v>11766.066666666666</v>
      </c>
      <c r="AY123">
        <v>11128.02</v>
      </c>
      <c r="AZ123">
        <v>638.04666666666526</v>
      </c>
      <c r="BA123">
        <v>0.16</v>
      </c>
      <c r="BB123">
        <v>102.08746666666644</v>
      </c>
      <c r="BC123">
        <v>893.63</v>
      </c>
      <c r="BD123">
        <v>995.7174666666665</v>
      </c>
      <c r="BE123">
        <v>0</v>
      </c>
      <c r="BF123">
        <v>995.7174666666665</v>
      </c>
      <c r="BG123">
        <v>41.02142222222222</v>
      </c>
      <c r="BH123">
        <v>0</v>
      </c>
      <c r="BI123">
        <v>431.54926222222218</v>
      </c>
      <c r="BJ123">
        <v>1294.6477866666667</v>
      </c>
      <c r="BK123">
        <v>0</v>
      </c>
      <c r="BL123">
        <v>0</v>
      </c>
      <c r="BM123">
        <v>28.880000000000006</v>
      </c>
      <c r="BN123">
        <v>0</v>
      </c>
      <c r="BO123">
        <v>0</v>
      </c>
      <c r="BP123">
        <v>372.93926222222217</v>
      </c>
      <c r="BQ123">
        <v>372.93926222222217</v>
      </c>
      <c r="BR123">
        <v>4.0223114666666584</v>
      </c>
      <c r="BS123">
        <v>27.970444666666662</v>
      </c>
      <c r="BT123">
        <v>41.955666999999991</v>
      </c>
      <c r="BU123">
        <v>69.926111666666657</v>
      </c>
      <c r="BV123">
        <v>125.86700099999999</v>
      </c>
      <c r="BW123">
        <v>269.74153579999995</v>
      </c>
      <c r="BX123">
        <v>11817.535664199999</v>
      </c>
      <c r="BY123">
        <v>877.95200000000011</v>
      </c>
      <c r="BZ123">
        <v>10939.583664199999</v>
      </c>
      <c r="CA123">
        <v>13041.328</v>
      </c>
      <c r="CB123">
        <v>391.23983999999996</v>
      </c>
      <c r="CC123">
        <v>372.93926222222217</v>
      </c>
      <c r="CD123">
        <v>692.41679999999997</v>
      </c>
      <c r="CE123">
        <v>11.06135653333331</v>
      </c>
      <c r="CF123">
        <v>78.317245066666658</v>
      </c>
      <c r="CG123">
        <v>117.4758676</v>
      </c>
      <c r="CH123">
        <v>185.89940697917331</v>
      </c>
      <c r="CI123">
        <v>195.79311266666667</v>
      </c>
      <c r="CJ123">
        <v>111.88177866666665</v>
      </c>
      <c r="CK123">
        <v>223.7635573333333</v>
      </c>
      <c r="CL123">
        <v>352.42760279999999</v>
      </c>
      <c r="CM123">
        <v>1969.0367276458396</v>
      </c>
      <c r="CN123">
        <v>559.40889333333325</v>
      </c>
      <c r="CO123">
        <v>2919.6854609791726</v>
      </c>
      <c r="CQ123">
        <v>360.80219178082194</v>
      </c>
      <c r="CR123">
        <v>72.160438356164377</v>
      </c>
      <c r="CS123">
        <v>368.55943890410958</v>
      </c>
      <c r="CT123">
        <v>16804.202196686936</v>
      </c>
      <c r="CY123">
        <v>0</v>
      </c>
      <c r="DB123">
        <v>10535.423999999999</v>
      </c>
      <c r="DE123" s="61">
        <v>16804.202196686936</v>
      </c>
    </row>
    <row r="124" spans="1:109" hidden="1" x14ac:dyDescent="0.3">
      <c r="A124">
        <v>1805</v>
      </c>
      <c r="B124" t="s">
        <v>684</v>
      </c>
      <c r="C124" t="s">
        <v>603</v>
      </c>
      <c r="D124" t="s">
        <v>604</v>
      </c>
      <c r="E124" t="s">
        <v>830</v>
      </c>
      <c r="F124" t="s">
        <v>616</v>
      </c>
      <c r="G124" t="s">
        <v>617</v>
      </c>
      <c r="H124" t="s">
        <v>622</v>
      </c>
      <c r="I124" t="s">
        <v>623</v>
      </c>
      <c r="J124" s="3">
        <v>45553</v>
      </c>
      <c r="K124">
        <v>0.36986301369863012</v>
      </c>
      <c r="L124">
        <v>0</v>
      </c>
      <c r="M124" t="s">
        <v>678</v>
      </c>
      <c r="N124" t="s">
        <v>678</v>
      </c>
      <c r="O124">
        <v>1.0492999999999999</v>
      </c>
      <c r="P124">
        <v>3439.4559999999997</v>
      </c>
      <c r="Q124">
        <v>3439.4559999999997</v>
      </c>
      <c r="R124">
        <v>288.8</v>
      </c>
      <c r="S124">
        <v>303.03783999999996</v>
      </c>
      <c r="T124">
        <v>52.11</v>
      </c>
      <c r="U124">
        <v>355.14783999999997</v>
      </c>
      <c r="V124">
        <v>30.4</v>
      </c>
      <c r="W124">
        <v>8779.52</v>
      </c>
      <c r="Y124">
        <v>438.97599999999994</v>
      </c>
      <c r="AC124">
        <v>750</v>
      </c>
      <c r="AE124">
        <v>41.666666666666664</v>
      </c>
      <c r="AF124">
        <v>877.952</v>
      </c>
      <c r="AG124">
        <v>877.952</v>
      </c>
      <c r="AH124">
        <v>438.97600000000006</v>
      </c>
      <c r="AI124">
        <v>877.95200000000011</v>
      </c>
      <c r="AJ124">
        <v>0</v>
      </c>
      <c r="AK124">
        <v>0</v>
      </c>
      <c r="AL124">
        <v>1755.904</v>
      </c>
      <c r="AM124">
        <v>11852.352000000001</v>
      </c>
      <c r="AN124">
        <v>13082.994666666666</v>
      </c>
      <c r="AO124">
        <v>13041.328000000001</v>
      </c>
      <c r="AQ124">
        <v>10010.162666666667</v>
      </c>
      <c r="AR124">
        <v>24076.191999999999</v>
      </c>
      <c r="AS124">
        <v>10535.424000000001</v>
      </c>
      <c r="AT124">
        <v>0</v>
      </c>
      <c r="AU124">
        <v>13540.767999999998</v>
      </c>
      <c r="AV124">
        <v>1755.904</v>
      </c>
      <c r="AW124">
        <v>0</v>
      </c>
      <c r="AX124">
        <v>11766.066666666666</v>
      </c>
      <c r="AY124">
        <v>11128.02</v>
      </c>
      <c r="AZ124">
        <v>638.04666666666526</v>
      </c>
      <c r="BA124">
        <v>0.16</v>
      </c>
      <c r="BB124">
        <v>102.08746666666644</v>
      </c>
      <c r="BC124">
        <v>893.63</v>
      </c>
      <c r="BD124">
        <v>995.7174666666665</v>
      </c>
      <c r="BE124">
        <v>0</v>
      </c>
      <c r="BF124">
        <v>995.7174666666665</v>
      </c>
      <c r="BG124">
        <v>41.02142222222222</v>
      </c>
      <c r="BH124">
        <v>0</v>
      </c>
      <c r="BI124">
        <v>396.16926222222219</v>
      </c>
      <c r="BJ124">
        <v>1188.5077866666668</v>
      </c>
      <c r="BK124">
        <v>0</v>
      </c>
      <c r="BL124">
        <v>0</v>
      </c>
      <c r="BM124">
        <v>28.880000000000006</v>
      </c>
      <c r="BN124">
        <v>0</v>
      </c>
      <c r="BO124">
        <v>0</v>
      </c>
      <c r="BP124">
        <v>372.93926222222217</v>
      </c>
      <c r="BQ124">
        <v>372.93926222222217</v>
      </c>
      <c r="BR124">
        <v>4.0223114666666584</v>
      </c>
      <c r="BS124">
        <v>27.970444666666662</v>
      </c>
      <c r="BT124">
        <v>41.955666999999991</v>
      </c>
      <c r="BU124">
        <v>69.926111666666657</v>
      </c>
      <c r="BV124">
        <v>125.86700099999999</v>
      </c>
      <c r="BW124">
        <v>269.74153579999995</v>
      </c>
      <c r="BX124">
        <v>11817.535664199999</v>
      </c>
      <c r="BY124">
        <v>877.95200000000011</v>
      </c>
      <c r="BZ124">
        <v>10939.583664199999</v>
      </c>
      <c r="CA124">
        <v>13041.328</v>
      </c>
      <c r="CB124">
        <v>391.23983999999996</v>
      </c>
      <c r="CC124">
        <v>372.93926222222217</v>
      </c>
      <c r="CD124">
        <v>692.41679999999997</v>
      </c>
      <c r="CE124">
        <v>11.06135653333331</v>
      </c>
      <c r="CF124">
        <v>78.317245066666658</v>
      </c>
      <c r="CG124">
        <v>117.4758676</v>
      </c>
      <c r="CH124">
        <v>185.89940697917331</v>
      </c>
      <c r="CI124">
        <v>195.79311266666667</v>
      </c>
      <c r="CJ124">
        <v>111.88177866666665</v>
      </c>
      <c r="CK124">
        <v>223.7635573333333</v>
      </c>
      <c r="CL124">
        <v>352.42760279999999</v>
      </c>
      <c r="CM124">
        <v>1969.0367276458396</v>
      </c>
      <c r="CN124">
        <v>559.40889333333325</v>
      </c>
      <c r="CO124">
        <v>2919.6854609791726</v>
      </c>
      <c r="CQ124">
        <v>360.80219178082194</v>
      </c>
      <c r="CR124">
        <v>72.160438356164377</v>
      </c>
      <c r="CS124">
        <v>368.55943890410958</v>
      </c>
      <c r="CT124">
        <v>16804.202196686936</v>
      </c>
      <c r="CY124">
        <v>0</v>
      </c>
      <c r="DB124">
        <v>10535.423999999999</v>
      </c>
      <c r="DE124" s="61">
        <v>16804.202196686936</v>
      </c>
    </row>
    <row r="125" spans="1:109" hidden="1" x14ac:dyDescent="0.3">
      <c r="A125">
        <v>1809</v>
      </c>
      <c r="B125" t="s">
        <v>684</v>
      </c>
      <c r="C125" t="s">
        <v>603</v>
      </c>
      <c r="D125" t="s">
        <v>604</v>
      </c>
      <c r="E125" t="s">
        <v>834</v>
      </c>
      <c r="F125" t="s">
        <v>616</v>
      </c>
      <c r="G125" t="s">
        <v>617</v>
      </c>
      <c r="H125" t="s">
        <v>622</v>
      </c>
      <c r="I125" t="s">
        <v>623</v>
      </c>
      <c r="J125" s="3">
        <v>45558</v>
      </c>
      <c r="K125">
        <v>0.35616438356164382</v>
      </c>
      <c r="L125">
        <v>0</v>
      </c>
      <c r="M125" t="s">
        <v>678</v>
      </c>
      <c r="N125" t="s">
        <v>678</v>
      </c>
      <c r="O125">
        <v>1.0492999999999999</v>
      </c>
      <c r="P125">
        <v>3439.4559999999997</v>
      </c>
      <c r="Q125">
        <v>3439.4559999999997</v>
      </c>
      <c r="R125">
        <v>288.8</v>
      </c>
      <c r="S125">
        <v>303.03783999999996</v>
      </c>
      <c r="T125">
        <v>34.99</v>
      </c>
      <c r="U125">
        <v>338.02783999999997</v>
      </c>
      <c r="V125">
        <v>30.4</v>
      </c>
      <c r="W125">
        <v>8779.52</v>
      </c>
      <c r="Y125">
        <v>438.97599999999994</v>
      </c>
      <c r="AC125">
        <v>750</v>
      </c>
      <c r="AE125">
        <v>41.666666666666664</v>
      </c>
      <c r="AF125">
        <v>877.952</v>
      </c>
      <c r="AG125">
        <v>877.952</v>
      </c>
      <c r="AH125">
        <v>438.97600000000006</v>
      </c>
      <c r="AI125">
        <v>877.95200000000011</v>
      </c>
      <c r="AJ125">
        <v>0</v>
      </c>
      <c r="AK125">
        <v>0</v>
      </c>
      <c r="AL125">
        <v>1755.904</v>
      </c>
      <c r="AM125">
        <v>11852.352000000001</v>
      </c>
      <c r="AN125">
        <v>13082.994666666666</v>
      </c>
      <c r="AO125">
        <v>13041.328000000001</v>
      </c>
      <c r="AQ125">
        <v>10010.162666666667</v>
      </c>
      <c r="AR125">
        <v>24076.191999999999</v>
      </c>
      <c r="AS125">
        <v>10535.424000000001</v>
      </c>
      <c r="AT125">
        <v>0</v>
      </c>
      <c r="AU125">
        <v>13540.767999999998</v>
      </c>
      <c r="AV125">
        <v>1755.904</v>
      </c>
      <c r="AW125">
        <v>0</v>
      </c>
      <c r="AX125">
        <v>11766.066666666666</v>
      </c>
      <c r="AY125">
        <v>11128.02</v>
      </c>
      <c r="AZ125">
        <v>638.04666666666526</v>
      </c>
      <c r="BA125">
        <v>0.16</v>
      </c>
      <c r="BB125">
        <v>102.08746666666644</v>
      </c>
      <c r="BC125">
        <v>893.63</v>
      </c>
      <c r="BD125">
        <v>995.7174666666665</v>
      </c>
      <c r="BE125">
        <v>0</v>
      </c>
      <c r="BF125">
        <v>995.7174666666665</v>
      </c>
      <c r="BG125">
        <v>41.02142222222222</v>
      </c>
      <c r="BH125">
        <v>0</v>
      </c>
      <c r="BI125">
        <v>379.04926222222218</v>
      </c>
      <c r="BJ125">
        <v>1137.1477866666667</v>
      </c>
      <c r="BK125">
        <v>0</v>
      </c>
      <c r="BL125">
        <v>0</v>
      </c>
      <c r="BM125">
        <v>28.880000000000006</v>
      </c>
      <c r="BN125">
        <v>0</v>
      </c>
      <c r="BO125">
        <v>0</v>
      </c>
      <c r="BP125">
        <v>372.93926222222217</v>
      </c>
      <c r="BQ125">
        <v>372.93926222222217</v>
      </c>
      <c r="BR125">
        <v>4.0223114666666584</v>
      </c>
      <c r="BS125">
        <v>27.970444666666662</v>
      </c>
      <c r="BT125">
        <v>41.955666999999991</v>
      </c>
      <c r="BU125">
        <v>69.926111666666657</v>
      </c>
      <c r="BV125">
        <v>125.86700099999999</v>
      </c>
      <c r="BW125">
        <v>269.74153579999995</v>
      </c>
      <c r="BX125">
        <v>11817.535664199999</v>
      </c>
      <c r="BY125">
        <v>877.95200000000011</v>
      </c>
      <c r="BZ125">
        <v>10939.583664199999</v>
      </c>
      <c r="CA125">
        <v>13041.328</v>
      </c>
      <c r="CB125">
        <v>391.23983999999996</v>
      </c>
      <c r="CC125">
        <v>372.93926222222217</v>
      </c>
      <c r="CD125">
        <v>692.41679999999997</v>
      </c>
      <c r="CE125">
        <v>11.06135653333331</v>
      </c>
      <c r="CF125">
        <v>78.317245066666658</v>
      </c>
      <c r="CG125">
        <v>117.4758676</v>
      </c>
      <c r="CH125">
        <v>185.89940697917331</v>
      </c>
      <c r="CI125">
        <v>195.79311266666667</v>
      </c>
      <c r="CJ125">
        <v>111.88177866666665</v>
      </c>
      <c r="CK125">
        <v>223.7635573333333</v>
      </c>
      <c r="CL125">
        <v>352.42760279999999</v>
      </c>
      <c r="CM125">
        <v>1969.0367276458396</v>
      </c>
      <c r="CN125">
        <v>559.40889333333325</v>
      </c>
      <c r="CO125">
        <v>2919.6854609791726</v>
      </c>
      <c r="CQ125">
        <v>360.80219178082194</v>
      </c>
      <c r="CR125">
        <v>72.160438356164377</v>
      </c>
      <c r="CS125">
        <v>368.55943890410958</v>
      </c>
      <c r="CT125">
        <v>16804.202196686936</v>
      </c>
      <c r="CY125">
        <v>0</v>
      </c>
      <c r="DB125">
        <v>10535.423999999999</v>
      </c>
      <c r="DE125" s="61">
        <v>16804.202196686936</v>
      </c>
    </row>
    <row r="126" spans="1:109" hidden="1" x14ac:dyDescent="0.3">
      <c r="A126">
        <v>1818</v>
      </c>
      <c r="B126" t="s">
        <v>684</v>
      </c>
      <c r="C126" t="s">
        <v>603</v>
      </c>
      <c r="D126" t="s">
        <v>604</v>
      </c>
      <c r="E126" t="s">
        <v>841</v>
      </c>
      <c r="F126" t="s">
        <v>616</v>
      </c>
      <c r="G126" t="s">
        <v>617</v>
      </c>
      <c r="H126" t="s">
        <v>622</v>
      </c>
      <c r="I126" t="s">
        <v>623</v>
      </c>
      <c r="J126" s="3">
        <v>45565</v>
      </c>
      <c r="K126">
        <v>0.33698630136986302</v>
      </c>
      <c r="L126">
        <v>0</v>
      </c>
      <c r="M126" t="s">
        <v>678</v>
      </c>
      <c r="N126" t="s">
        <v>678</v>
      </c>
      <c r="O126">
        <v>1.0492999999999999</v>
      </c>
      <c r="P126">
        <v>3439.4559999999997</v>
      </c>
      <c r="Q126">
        <v>3439.4559999999997</v>
      </c>
      <c r="R126">
        <v>288.8</v>
      </c>
      <c r="S126">
        <v>303.03783999999996</v>
      </c>
      <c r="T126">
        <v>24.69</v>
      </c>
      <c r="U126">
        <v>327.72783999999996</v>
      </c>
      <c r="V126">
        <v>30.4</v>
      </c>
      <c r="W126">
        <v>8779.52</v>
      </c>
      <c r="Y126">
        <v>438.97599999999994</v>
      </c>
      <c r="AC126">
        <v>750</v>
      </c>
      <c r="AE126">
        <v>41.666666666666664</v>
      </c>
      <c r="AF126">
        <v>877.952</v>
      </c>
      <c r="AG126">
        <v>877.952</v>
      </c>
      <c r="AH126">
        <v>438.97600000000006</v>
      </c>
      <c r="AI126">
        <v>877.95200000000011</v>
      </c>
      <c r="AJ126">
        <v>0</v>
      </c>
      <c r="AK126">
        <v>0</v>
      </c>
      <c r="AL126">
        <v>1755.904</v>
      </c>
      <c r="AM126">
        <v>11852.352000000001</v>
      </c>
      <c r="AN126">
        <v>13082.994666666666</v>
      </c>
      <c r="AO126">
        <v>13041.328000000001</v>
      </c>
      <c r="AQ126">
        <v>10010.162666666667</v>
      </c>
      <c r="AR126">
        <v>24076.191999999999</v>
      </c>
      <c r="AS126">
        <v>10535.424000000001</v>
      </c>
      <c r="AT126">
        <v>0</v>
      </c>
      <c r="AU126">
        <v>13540.767999999998</v>
      </c>
      <c r="AV126">
        <v>1755.904</v>
      </c>
      <c r="AW126">
        <v>0</v>
      </c>
      <c r="AX126">
        <v>11766.066666666666</v>
      </c>
      <c r="AY126">
        <v>11128.02</v>
      </c>
      <c r="AZ126">
        <v>638.04666666666526</v>
      </c>
      <c r="BA126">
        <v>0.16</v>
      </c>
      <c r="BB126">
        <v>102.08746666666644</v>
      </c>
      <c r="BC126">
        <v>893.63</v>
      </c>
      <c r="BD126">
        <v>995.7174666666665</v>
      </c>
      <c r="BE126">
        <v>0</v>
      </c>
      <c r="BF126">
        <v>995.7174666666665</v>
      </c>
      <c r="BG126">
        <v>41.02142222222222</v>
      </c>
      <c r="BH126">
        <v>0</v>
      </c>
      <c r="BI126">
        <v>368.74926222222217</v>
      </c>
      <c r="BJ126">
        <v>1106.2477866666666</v>
      </c>
      <c r="BK126">
        <v>0</v>
      </c>
      <c r="BL126">
        <v>0</v>
      </c>
      <c r="BM126">
        <v>28.880000000000006</v>
      </c>
      <c r="BN126">
        <v>0</v>
      </c>
      <c r="BO126">
        <v>0</v>
      </c>
      <c r="BP126">
        <v>372.93926222222217</v>
      </c>
      <c r="BQ126">
        <v>372.93926222222217</v>
      </c>
      <c r="BR126">
        <v>4.0223114666666584</v>
      </c>
      <c r="BS126">
        <v>27.970444666666662</v>
      </c>
      <c r="BT126">
        <v>41.955666999999991</v>
      </c>
      <c r="BU126">
        <v>69.926111666666657</v>
      </c>
      <c r="BV126">
        <v>125.86700099999999</v>
      </c>
      <c r="BW126">
        <v>269.74153579999995</v>
      </c>
      <c r="BX126">
        <v>11817.535664199999</v>
      </c>
      <c r="BY126">
        <v>877.95200000000011</v>
      </c>
      <c r="BZ126">
        <v>10939.583664199999</v>
      </c>
      <c r="CA126">
        <v>13041.328</v>
      </c>
      <c r="CB126">
        <v>391.23983999999996</v>
      </c>
      <c r="CC126">
        <v>372.93926222222217</v>
      </c>
      <c r="CD126">
        <v>692.41679999999997</v>
      </c>
      <c r="CE126">
        <v>11.06135653333331</v>
      </c>
      <c r="CF126">
        <v>78.317245066666658</v>
      </c>
      <c r="CG126">
        <v>117.4758676</v>
      </c>
      <c r="CH126">
        <v>185.89940697917331</v>
      </c>
      <c r="CI126">
        <v>195.79311266666667</v>
      </c>
      <c r="CJ126">
        <v>111.88177866666665</v>
      </c>
      <c r="CK126">
        <v>223.7635573333333</v>
      </c>
      <c r="CL126">
        <v>352.42760279999999</v>
      </c>
      <c r="CM126">
        <v>1969.0367276458396</v>
      </c>
      <c r="CN126">
        <v>559.40889333333325</v>
      </c>
      <c r="CO126">
        <v>2919.6854609791726</v>
      </c>
      <c r="CQ126">
        <v>360.80219178082194</v>
      </c>
      <c r="CR126">
        <v>72.160438356164377</v>
      </c>
      <c r="CS126">
        <v>368.55943890410958</v>
      </c>
      <c r="CT126">
        <v>16804.202196686936</v>
      </c>
      <c r="CY126">
        <v>0</v>
      </c>
      <c r="DB126">
        <v>10535.423999999999</v>
      </c>
      <c r="DE126" s="61">
        <v>16804.202196686936</v>
      </c>
    </row>
    <row r="127" spans="1:109" hidden="1" x14ac:dyDescent="0.3">
      <c r="A127">
        <v>1829</v>
      </c>
      <c r="B127" t="s">
        <v>684</v>
      </c>
      <c r="C127" t="s">
        <v>603</v>
      </c>
      <c r="D127" t="s">
        <v>604</v>
      </c>
      <c r="E127" t="s">
        <v>846</v>
      </c>
      <c r="F127" t="s">
        <v>616</v>
      </c>
      <c r="G127" t="s">
        <v>617</v>
      </c>
      <c r="H127" t="s">
        <v>622</v>
      </c>
      <c r="I127" t="s">
        <v>623</v>
      </c>
      <c r="J127" s="3">
        <v>45572</v>
      </c>
      <c r="K127">
        <v>0.31780821917808222</v>
      </c>
      <c r="L127">
        <v>0</v>
      </c>
      <c r="M127" t="s">
        <v>678</v>
      </c>
      <c r="N127" t="s">
        <v>678</v>
      </c>
      <c r="O127">
        <v>1.0492999999999999</v>
      </c>
      <c r="P127">
        <v>3439.4559999999997</v>
      </c>
      <c r="Q127">
        <v>3439.4559999999997</v>
      </c>
      <c r="R127">
        <v>288.8</v>
      </c>
      <c r="S127">
        <v>303.03783999999996</v>
      </c>
      <c r="T127">
        <v>26.08</v>
      </c>
      <c r="U127">
        <v>329.11783999999994</v>
      </c>
      <c r="V127">
        <v>30.4</v>
      </c>
      <c r="W127">
        <v>8779.52</v>
      </c>
      <c r="Y127">
        <v>438.97599999999994</v>
      </c>
      <c r="AC127">
        <v>750</v>
      </c>
      <c r="AE127">
        <v>41.666666666666664</v>
      </c>
      <c r="AF127">
        <v>877.952</v>
      </c>
      <c r="AG127">
        <v>877.952</v>
      </c>
      <c r="AH127">
        <v>438.97600000000006</v>
      </c>
      <c r="AI127">
        <v>877.95200000000011</v>
      </c>
      <c r="AJ127">
        <v>0</v>
      </c>
      <c r="AK127">
        <v>0</v>
      </c>
      <c r="AL127">
        <v>1755.904</v>
      </c>
      <c r="AM127">
        <v>11852.352000000001</v>
      </c>
      <c r="AN127">
        <v>13082.994666666666</v>
      </c>
      <c r="AO127">
        <v>13041.328000000001</v>
      </c>
      <c r="AQ127">
        <v>10010.162666666667</v>
      </c>
      <c r="AR127">
        <v>24076.191999999999</v>
      </c>
      <c r="AS127">
        <v>10535.424000000001</v>
      </c>
      <c r="AT127">
        <v>0</v>
      </c>
      <c r="AU127">
        <v>13540.767999999998</v>
      </c>
      <c r="AV127">
        <v>1755.904</v>
      </c>
      <c r="AW127">
        <v>0</v>
      </c>
      <c r="AX127">
        <v>11766.066666666666</v>
      </c>
      <c r="AY127">
        <v>11128.02</v>
      </c>
      <c r="AZ127">
        <v>638.04666666666526</v>
      </c>
      <c r="BA127">
        <v>0.16</v>
      </c>
      <c r="BB127">
        <v>102.08746666666644</v>
      </c>
      <c r="BC127">
        <v>893.63</v>
      </c>
      <c r="BD127">
        <v>995.7174666666665</v>
      </c>
      <c r="BE127">
        <v>0</v>
      </c>
      <c r="BF127">
        <v>995.7174666666665</v>
      </c>
      <c r="BG127">
        <v>41.02142222222222</v>
      </c>
      <c r="BH127">
        <v>0</v>
      </c>
      <c r="BI127">
        <v>370.13926222222216</v>
      </c>
      <c r="BJ127">
        <v>1110.4177866666666</v>
      </c>
      <c r="BK127">
        <v>0</v>
      </c>
      <c r="BL127">
        <v>0</v>
      </c>
      <c r="BM127">
        <v>28.880000000000006</v>
      </c>
      <c r="BN127">
        <v>0</v>
      </c>
      <c r="BO127">
        <v>0</v>
      </c>
      <c r="BP127">
        <v>372.93926222222217</v>
      </c>
      <c r="BQ127">
        <v>372.93926222222217</v>
      </c>
      <c r="BR127">
        <v>4.0223114666666584</v>
      </c>
      <c r="BS127">
        <v>27.970444666666662</v>
      </c>
      <c r="BT127">
        <v>41.955666999999991</v>
      </c>
      <c r="BU127">
        <v>69.926111666666657</v>
      </c>
      <c r="BV127">
        <v>125.86700099999999</v>
      </c>
      <c r="BW127">
        <v>269.74153579999995</v>
      </c>
      <c r="BX127">
        <v>11817.535664199999</v>
      </c>
      <c r="BY127">
        <v>877.95200000000011</v>
      </c>
      <c r="BZ127">
        <v>10939.583664199999</v>
      </c>
      <c r="CA127">
        <v>13041.328</v>
      </c>
      <c r="CB127">
        <v>391.23983999999996</v>
      </c>
      <c r="CC127">
        <v>372.93926222222217</v>
      </c>
      <c r="CD127">
        <v>692.41679999999997</v>
      </c>
      <c r="CE127">
        <v>11.06135653333331</v>
      </c>
      <c r="CF127">
        <v>78.317245066666658</v>
      </c>
      <c r="CG127">
        <v>117.4758676</v>
      </c>
      <c r="CH127">
        <v>185.89940697917331</v>
      </c>
      <c r="CI127">
        <v>195.79311266666667</v>
      </c>
      <c r="CJ127">
        <v>111.88177866666665</v>
      </c>
      <c r="CK127">
        <v>223.7635573333333</v>
      </c>
      <c r="CL127">
        <v>352.42760279999999</v>
      </c>
      <c r="CM127">
        <v>1969.0367276458396</v>
      </c>
      <c r="CN127">
        <v>559.40889333333325</v>
      </c>
      <c r="CO127">
        <v>2919.6854609791726</v>
      </c>
      <c r="CQ127">
        <v>360.80219178082194</v>
      </c>
      <c r="CR127">
        <v>72.160438356164377</v>
      </c>
      <c r="CS127">
        <v>368.55943890410958</v>
      </c>
      <c r="CT127">
        <v>16804.202196686936</v>
      </c>
      <c r="CY127">
        <v>0</v>
      </c>
      <c r="DB127">
        <v>10535.423999999999</v>
      </c>
      <c r="DE127" s="61">
        <v>16804.202196686936</v>
      </c>
    </row>
    <row r="128" spans="1:109" hidden="1" x14ac:dyDescent="0.3">
      <c r="A128">
        <v>1836</v>
      </c>
      <c r="B128" t="s">
        <v>684</v>
      </c>
      <c r="C128" t="s">
        <v>603</v>
      </c>
      <c r="D128" t="s">
        <v>604</v>
      </c>
      <c r="E128" t="s">
        <v>848</v>
      </c>
      <c r="F128" t="s">
        <v>616</v>
      </c>
      <c r="G128" t="s">
        <v>617</v>
      </c>
      <c r="H128" t="s">
        <v>622</v>
      </c>
      <c r="I128" t="s">
        <v>623</v>
      </c>
      <c r="J128" s="3">
        <v>45579</v>
      </c>
      <c r="K128">
        <v>0.29863013698630136</v>
      </c>
      <c r="L128">
        <v>0</v>
      </c>
      <c r="M128" t="s">
        <v>678</v>
      </c>
      <c r="N128" t="s">
        <v>678</v>
      </c>
      <c r="O128">
        <v>1.0492999999999999</v>
      </c>
      <c r="P128">
        <v>3439.4559999999997</v>
      </c>
      <c r="Q128">
        <v>3439.4559999999997</v>
      </c>
      <c r="R128">
        <v>288.8</v>
      </c>
      <c r="S128">
        <v>303.03783999999996</v>
      </c>
      <c r="T128">
        <v>34.450000000000003</v>
      </c>
      <c r="U128">
        <v>337.48783999999995</v>
      </c>
      <c r="V128">
        <v>30.4</v>
      </c>
      <c r="W128">
        <v>8779.52</v>
      </c>
      <c r="Y128">
        <v>438.97599999999994</v>
      </c>
      <c r="AC128">
        <v>750</v>
      </c>
      <c r="AE128">
        <v>41.666666666666664</v>
      </c>
      <c r="AF128">
        <v>877.952</v>
      </c>
      <c r="AG128">
        <v>877.952</v>
      </c>
      <c r="AH128">
        <v>438.97600000000006</v>
      </c>
      <c r="AI128">
        <v>877.95200000000011</v>
      </c>
      <c r="AJ128">
        <v>0</v>
      </c>
      <c r="AK128">
        <v>0</v>
      </c>
      <c r="AL128">
        <v>1755.904</v>
      </c>
      <c r="AM128">
        <v>11852.352000000001</v>
      </c>
      <c r="AN128">
        <v>13082.994666666666</v>
      </c>
      <c r="AO128">
        <v>13041.328000000001</v>
      </c>
      <c r="AQ128">
        <v>10010.162666666667</v>
      </c>
      <c r="AR128">
        <v>24076.191999999999</v>
      </c>
      <c r="AS128">
        <v>10535.424000000001</v>
      </c>
      <c r="AT128">
        <v>0</v>
      </c>
      <c r="AU128">
        <v>13540.767999999998</v>
      </c>
      <c r="AV128">
        <v>1755.904</v>
      </c>
      <c r="AW128">
        <v>0</v>
      </c>
      <c r="AX128">
        <v>11766.066666666666</v>
      </c>
      <c r="AY128">
        <v>11128.02</v>
      </c>
      <c r="AZ128">
        <v>638.04666666666526</v>
      </c>
      <c r="BA128">
        <v>0.16</v>
      </c>
      <c r="BB128">
        <v>102.08746666666644</v>
      </c>
      <c r="BC128">
        <v>893.63</v>
      </c>
      <c r="BD128">
        <v>995.7174666666665</v>
      </c>
      <c r="BE128">
        <v>0</v>
      </c>
      <c r="BF128">
        <v>995.7174666666665</v>
      </c>
      <c r="BG128">
        <v>41.02142222222222</v>
      </c>
      <c r="BH128">
        <v>0</v>
      </c>
      <c r="BI128">
        <v>378.50926222222216</v>
      </c>
      <c r="BJ128">
        <v>1135.5277866666665</v>
      </c>
      <c r="BK128">
        <v>0</v>
      </c>
      <c r="BL128">
        <v>0</v>
      </c>
      <c r="BM128">
        <v>28.880000000000006</v>
      </c>
      <c r="BN128">
        <v>0</v>
      </c>
      <c r="BO128">
        <v>0</v>
      </c>
      <c r="BP128">
        <v>372.93926222222217</v>
      </c>
      <c r="BQ128">
        <v>372.93926222222217</v>
      </c>
      <c r="BR128">
        <v>4.0223114666666584</v>
      </c>
      <c r="BS128">
        <v>27.970444666666662</v>
      </c>
      <c r="BT128">
        <v>41.955666999999991</v>
      </c>
      <c r="BU128">
        <v>69.926111666666657</v>
      </c>
      <c r="BV128">
        <v>125.86700099999999</v>
      </c>
      <c r="BW128">
        <v>269.74153579999995</v>
      </c>
      <c r="BX128">
        <v>11817.535664199999</v>
      </c>
      <c r="BY128">
        <v>877.95200000000011</v>
      </c>
      <c r="BZ128">
        <v>10939.583664199999</v>
      </c>
      <c r="CA128">
        <v>13041.328</v>
      </c>
      <c r="CB128">
        <v>391.23983999999996</v>
      </c>
      <c r="CC128">
        <v>372.93926222222217</v>
      </c>
      <c r="CD128">
        <v>692.41679999999997</v>
      </c>
      <c r="CE128">
        <v>11.06135653333331</v>
      </c>
      <c r="CF128">
        <v>78.317245066666658</v>
      </c>
      <c r="CG128">
        <v>117.4758676</v>
      </c>
      <c r="CH128">
        <v>185.89940697917331</v>
      </c>
      <c r="CI128">
        <v>195.79311266666667</v>
      </c>
      <c r="CJ128">
        <v>111.88177866666665</v>
      </c>
      <c r="CK128">
        <v>223.7635573333333</v>
      </c>
      <c r="CL128">
        <v>352.42760279999999</v>
      </c>
      <c r="CM128">
        <v>1969.0367276458396</v>
      </c>
      <c r="CN128">
        <v>559.40889333333325</v>
      </c>
      <c r="CO128">
        <v>2919.6854609791726</v>
      </c>
      <c r="CQ128">
        <v>360.80219178082194</v>
      </c>
      <c r="CR128">
        <v>72.160438356164377</v>
      </c>
      <c r="CS128">
        <v>368.55943890410958</v>
      </c>
      <c r="CT128">
        <v>16804.202196686936</v>
      </c>
      <c r="CY128">
        <v>0</v>
      </c>
      <c r="DB128">
        <v>10535.423999999999</v>
      </c>
      <c r="DE128" s="61">
        <v>16804.202196686936</v>
      </c>
    </row>
    <row r="129" spans="1:109" hidden="1" x14ac:dyDescent="0.3">
      <c r="A129">
        <v>1840</v>
      </c>
      <c r="B129" t="s">
        <v>684</v>
      </c>
      <c r="C129" t="s">
        <v>603</v>
      </c>
      <c r="D129" t="s">
        <v>604</v>
      </c>
      <c r="E129" t="s">
        <v>852</v>
      </c>
      <c r="F129" t="s">
        <v>616</v>
      </c>
      <c r="G129" t="s">
        <v>617</v>
      </c>
      <c r="H129" t="s">
        <v>622</v>
      </c>
      <c r="I129" t="s">
        <v>623</v>
      </c>
      <c r="J129" s="3">
        <v>45579</v>
      </c>
      <c r="K129">
        <v>0.29863013698630136</v>
      </c>
      <c r="L129">
        <v>0</v>
      </c>
      <c r="M129" t="s">
        <v>678</v>
      </c>
      <c r="N129" t="s">
        <v>678</v>
      </c>
      <c r="O129">
        <v>1.0492999999999999</v>
      </c>
      <c r="P129">
        <v>3439.4559999999997</v>
      </c>
      <c r="Q129">
        <v>3439.4559999999997</v>
      </c>
      <c r="R129">
        <v>288.8</v>
      </c>
      <c r="S129">
        <v>303.03783999999996</v>
      </c>
      <c r="T129">
        <v>49.36</v>
      </c>
      <c r="U129">
        <v>352.39783999999997</v>
      </c>
      <c r="V129">
        <v>30.4</v>
      </c>
      <c r="W129">
        <v>8779.52</v>
      </c>
      <c r="Y129">
        <v>438.97599999999994</v>
      </c>
      <c r="AC129">
        <v>750</v>
      </c>
      <c r="AE129">
        <v>41.666666666666664</v>
      </c>
      <c r="AF129">
        <v>877.952</v>
      </c>
      <c r="AG129">
        <v>877.952</v>
      </c>
      <c r="AH129">
        <v>438.97600000000006</v>
      </c>
      <c r="AI129">
        <v>877.95200000000011</v>
      </c>
      <c r="AJ129">
        <v>0</v>
      </c>
      <c r="AK129">
        <v>0</v>
      </c>
      <c r="AL129">
        <v>1755.904</v>
      </c>
      <c r="AM129">
        <v>11852.352000000001</v>
      </c>
      <c r="AN129">
        <v>13082.994666666666</v>
      </c>
      <c r="AO129">
        <v>13041.328000000001</v>
      </c>
      <c r="AQ129">
        <v>10010.162666666667</v>
      </c>
      <c r="AR129">
        <v>24076.191999999999</v>
      </c>
      <c r="AS129">
        <v>10535.424000000001</v>
      </c>
      <c r="AT129">
        <v>0</v>
      </c>
      <c r="AU129">
        <v>13540.767999999998</v>
      </c>
      <c r="AV129">
        <v>1755.904</v>
      </c>
      <c r="AW129">
        <v>0</v>
      </c>
      <c r="AX129">
        <v>11766.066666666666</v>
      </c>
      <c r="AY129">
        <v>11128.02</v>
      </c>
      <c r="AZ129">
        <v>638.04666666666526</v>
      </c>
      <c r="BA129">
        <v>0.16</v>
      </c>
      <c r="BB129">
        <v>102.08746666666644</v>
      </c>
      <c r="BC129">
        <v>893.63</v>
      </c>
      <c r="BD129">
        <v>995.7174666666665</v>
      </c>
      <c r="BE129">
        <v>0</v>
      </c>
      <c r="BF129">
        <v>995.7174666666665</v>
      </c>
      <c r="BG129">
        <v>41.02142222222222</v>
      </c>
      <c r="BH129">
        <v>0</v>
      </c>
      <c r="BI129">
        <v>393.41926222222219</v>
      </c>
      <c r="BJ129">
        <v>1180.2577866666668</v>
      </c>
      <c r="BK129">
        <v>0</v>
      </c>
      <c r="BL129">
        <v>0</v>
      </c>
      <c r="BM129">
        <v>28.880000000000006</v>
      </c>
      <c r="BN129">
        <v>0</v>
      </c>
      <c r="BO129">
        <v>0</v>
      </c>
      <c r="BP129">
        <v>372.93926222222217</v>
      </c>
      <c r="BQ129">
        <v>372.93926222222217</v>
      </c>
      <c r="BR129">
        <v>4.0223114666666584</v>
      </c>
      <c r="BS129">
        <v>27.970444666666662</v>
      </c>
      <c r="BT129">
        <v>41.955666999999991</v>
      </c>
      <c r="BU129">
        <v>69.926111666666657</v>
      </c>
      <c r="BV129">
        <v>125.86700099999999</v>
      </c>
      <c r="BW129">
        <v>269.74153579999995</v>
      </c>
      <c r="BX129">
        <v>11817.535664199999</v>
      </c>
      <c r="BY129">
        <v>877.95200000000011</v>
      </c>
      <c r="BZ129">
        <v>10939.583664199999</v>
      </c>
      <c r="CA129">
        <v>13041.328</v>
      </c>
      <c r="CB129">
        <v>391.23983999999996</v>
      </c>
      <c r="CC129">
        <v>372.93926222222217</v>
      </c>
      <c r="CD129">
        <v>692.41679999999997</v>
      </c>
      <c r="CE129">
        <v>11.06135653333331</v>
      </c>
      <c r="CF129">
        <v>78.317245066666658</v>
      </c>
      <c r="CG129">
        <v>117.4758676</v>
      </c>
      <c r="CH129">
        <v>185.89940697917331</v>
      </c>
      <c r="CI129">
        <v>195.79311266666667</v>
      </c>
      <c r="CJ129">
        <v>111.88177866666665</v>
      </c>
      <c r="CK129">
        <v>223.7635573333333</v>
      </c>
      <c r="CL129">
        <v>352.42760279999999</v>
      </c>
      <c r="CM129">
        <v>1969.0367276458396</v>
      </c>
      <c r="CN129">
        <v>559.40889333333325</v>
      </c>
      <c r="CO129">
        <v>2919.6854609791726</v>
      </c>
      <c r="CQ129">
        <v>360.80219178082194</v>
      </c>
      <c r="CR129">
        <v>72.160438356164377</v>
      </c>
      <c r="CS129">
        <v>368.55943890410958</v>
      </c>
      <c r="CT129">
        <v>16804.202196686936</v>
      </c>
      <c r="CY129">
        <v>0</v>
      </c>
      <c r="DB129">
        <v>10535.423999999999</v>
      </c>
      <c r="DE129" s="61">
        <v>16804.202196686936</v>
      </c>
    </row>
    <row r="130" spans="1:109" hidden="1" x14ac:dyDescent="0.3">
      <c r="A130">
        <v>1845</v>
      </c>
      <c r="B130" t="s">
        <v>684</v>
      </c>
      <c r="C130" t="s">
        <v>603</v>
      </c>
      <c r="D130" t="s">
        <v>604</v>
      </c>
      <c r="E130" t="s">
        <v>857</v>
      </c>
      <c r="F130" t="s">
        <v>616</v>
      </c>
      <c r="G130" t="s">
        <v>617</v>
      </c>
      <c r="H130" t="s">
        <v>622</v>
      </c>
      <c r="I130" t="s">
        <v>623</v>
      </c>
      <c r="J130" s="3">
        <v>45581</v>
      </c>
      <c r="K130">
        <v>0.29315068493150687</v>
      </c>
      <c r="L130">
        <v>0</v>
      </c>
      <c r="M130" t="s">
        <v>678</v>
      </c>
      <c r="N130" t="s">
        <v>678</v>
      </c>
      <c r="O130">
        <v>1.0492999999999999</v>
      </c>
      <c r="P130">
        <v>3439.4559999999997</v>
      </c>
      <c r="Q130">
        <v>3439.4559999999997</v>
      </c>
      <c r="R130">
        <v>288.8</v>
      </c>
      <c r="S130">
        <v>303.03783999999996</v>
      </c>
      <c r="T130">
        <v>30.54</v>
      </c>
      <c r="U130">
        <v>333.57783999999998</v>
      </c>
      <c r="V130">
        <v>30.4</v>
      </c>
      <c r="W130">
        <v>8779.52</v>
      </c>
      <c r="Y130">
        <v>438.97599999999994</v>
      </c>
      <c r="AC130">
        <v>750</v>
      </c>
      <c r="AE130">
        <v>41.666666666666664</v>
      </c>
      <c r="AF130">
        <v>877.952</v>
      </c>
      <c r="AG130">
        <v>877.952</v>
      </c>
      <c r="AH130">
        <v>438.97600000000006</v>
      </c>
      <c r="AI130">
        <v>877.95200000000011</v>
      </c>
      <c r="AJ130">
        <v>0</v>
      </c>
      <c r="AK130">
        <v>0</v>
      </c>
      <c r="AL130">
        <v>1755.904</v>
      </c>
      <c r="AM130">
        <v>11852.352000000001</v>
      </c>
      <c r="AN130">
        <v>13082.994666666666</v>
      </c>
      <c r="AO130">
        <v>13041.328000000001</v>
      </c>
      <c r="AQ130">
        <v>10010.162666666667</v>
      </c>
      <c r="AR130">
        <v>24076.191999999999</v>
      </c>
      <c r="AS130">
        <v>10535.424000000001</v>
      </c>
      <c r="AT130">
        <v>0</v>
      </c>
      <c r="AU130">
        <v>13540.767999999998</v>
      </c>
      <c r="AV130">
        <v>1755.904</v>
      </c>
      <c r="AW130">
        <v>0</v>
      </c>
      <c r="AX130">
        <v>11766.066666666666</v>
      </c>
      <c r="AY130">
        <v>11128.02</v>
      </c>
      <c r="AZ130">
        <v>638.04666666666526</v>
      </c>
      <c r="BA130">
        <v>0.16</v>
      </c>
      <c r="BB130">
        <v>102.08746666666644</v>
      </c>
      <c r="BC130">
        <v>893.63</v>
      </c>
      <c r="BD130">
        <v>995.7174666666665</v>
      </c>
      <c r="BE130">
        <v>0</v>
      </c>
      <c r="BF130">
        <v>995.7174666666665</v>
      </c>
      <c r="BG130">
        <v>41.02142222222222</v>
      </c>
      <c r="BH130">
        <v>0</v>
      </c>
      <c r="BI130">
        <v>374.59926222222219</v>
      </c>
      <c r="BJ130">
        <v>1123.7977866666668</v>
      </c>
      <c r="BK130">
        <v>0</v>
      </c>
      <c r="BL130">
        <v>0</v>
      </c>
      <c r="BM130">
        <v>28.880000000000006</v>
      </c>
      <c r="BN130">
        <v>0</v>
      </c>
      <c r="BO130">
        <v>0</v>
      </c>
      <c r="BP130">
        <v>372.93926222222217</v>
      </c>
      <c r="BQ130">
        <v>372.93926222222217</v>
      </c>
      <c r="BR130">
        <v>4.0223114666666584</v>
      </c>
      <c r="BS130">
        <v>27.970444666666662</v>
      </c>
      <c r="BT130">
        <v>41.955666999999991</v>
      </c>
      <c r="BU130">
        <v>69.926111666666657</v>
      </c>
      <c r="BV130">
        <v>125.86700099999999</v>
      </c>
      <c r="BW130">
        <v>269.74153579999995</v>
      </c>
      <c r="BX130">
        <v>11817.535664199999</v>
      </c>
      <c r="BY130">
        <v>877.95200000000011</v>
      </c>
      <c r="BZ130">
        <v>10939.583664199999</v>
      </c>
      <c r="CA130">
        <v>13041.328</v>
      </c>
      <c r="CB130">
        <v>391.23983999999996</v>
      </c>
      <c r="CC130">
        <v>372.93926222222217</v>
      </c>
      <c r="CD130">
        <v>692.41679999999997</v>
      </c>
      <c r="CE130">
        <v>11.06135653333331</v>
      </c>
      <c r="CF130">
        <v>78.317245066666658</v>
      </c>
      <c r="CG130">
        <v>117.4758676</v>
      </c>
      <c r="CH130">
        <v>185.89940697917331</v>
      </c>
      <c r="CI130">
        <v>195.79311266666667</v>
      </c>
      <c r="CJ130">
        <v>111.88177866666665</v>
      </c>
      <c r="CK130">
        <v>223.7635573333333</v>
      </c>
      <c r="CL130">
        <v>352.42760279999999</v>
      </c>
      <c r="CM130">
        <v>1969.0367276458396</v>
      </c>
      <c r="CN130">
        <v>559.40889333333325</v>
      </c>
      <c r="CO130">
        <v>2919.6854609791726</v>
      </c>
      <c r="CQ130">
        <v>360.80219178082194</v>
      </c>
      <c r="CR130">
        <v>72.160438356164377</v>
      </c>
      <c r="CS130">
        <v>368.55943890410958</v>
      </c>
      <c r="CT130">
        <v>16804.202196686936</v>
      </c>
      <c r="CY130">
        <v>0</v>
      </c>
      <c r="DB130">
        <v>10535.423999999999</v>
      </c>
      <c r="DE130" s="61">
        <v>16804.202196686936</v>
      </c>
    </row>
    <row r="131" spans="1:109" hidden="1" x14ac:dyDescent="0.3">
      <c r="A131">
        <v>1850</v>
      </c>
      <c r="B131" t="s">
        <v>684</v>
      </c>
      <c r="C131" t="s">
        <v>603</v>
      </c>
      <c r="D131" t="s">
        <v>604</v>
      </c>
      <c r="E131" t="s">
        <v>860</v>
      </c>
      <c r="F131" t="s">
        <v>616</v>
      </c>
      <c r="G131" t="s">
        <v>617</v>
      </c>
      <c r="H131" t="s">
        <v>622</v>
      </c>
      <c r="I131" t="s">
        <v>623</v>
      </c>
      <c r="J131" s="3">
        <v>45586</v>
      </c>
      <c r="K131">
        <v>0.27945205479452057</v>
      </c>
      <c r="L131">
        <v>0</v>
      </c>
      <c r="M131" t="s">
        <v>678</v>
      </c>
      <c r="N131" t="s">
        <v>678</v>
      </c>
      <c r="O131">
        <v>1.0492999999999999</v>
      </c>
      <c r="P131">
        <v>3439.4559999999997</v>
      </c>
      <c r="Q131">
        <v>3439.4559999999997</v>
      </c>
      <c r="R131">
        <v>288.8</v>
      </c>
      <c r="S131">
        <v>303.03783999999996</v>
      </c>
      <c r="T131">
        <v>27.41</v>
      </c>
      <c r="U131">
        <v>330.44783999999999</v>
      </c>
      <c r="V131">
        <v>30.4</v>
      </c>
      <c r="W131">
        <v>8779.52</v>
      </c>
      <c r="Y131">
        <v>438.97599999999994</v>
      </c>
      <c r="AC131">
        <v>750</v>
      </c>
      <c r="AE131">
        <v>41.666666666666664</v>
      </c>
      <c r="AF131">
        <v>877.952</v>
      </c>
      <c r="AG131">
        <v>877.952</v>
      </c>
      <c r="AH131">
        <v>438.97600000000006</v>
      </c>
      <c r="AI131">
        <v>877.95200000000011</v>
      </c>
      <c r="AJ131">
        <v>0</v>
      </c>
      <c r="AK131">
        <v>0</v>
      </c>
      <c r="AL131">
        <v>1755.904</v>
      </c>
      <c r="AM131">
        <v>11852.352000000001</v>
      </c>
      <c r="AN131">
        <v>13082.994666666666</v>
      </c>
      <c r="AO131">
        <v>13041.328000000001</v>
      </c>
      <c r="AQ131">
        <v>10010.162666666667</v>
      </c>
      <c r="AR131">
        <v>24076.191999999999</v>
      </c>
      <c r="AS131">
        <v>10535.424000000001</v>
      </c>
      <c r="AT131">
        <v>0</v>
      </c>
      <c r="AU131">
        <v>13540.767999999998</v>
      </c>
      <c r="AV131">
        <v>1755.904</v>
      </c>
      <c r="AW131">
        <v>0</v>
      </c>
      <c r="AX131">
        <v>11766.066666666666</v>
      </c>
      <c r="AY131">
        <v>11128.02</v>
      </c>
      <c r="AZ131">
        <v>638.04666666666526</v>
      </c>
      <c r="BA131">
        <v>0.16</v>
      </c>
      <c r="BB131">
        <v>102.08746666666644</v>
      </c>
      <c r="BC131">
        <v>893.63</v>
      </c>
      <c r="BD131">
        <v>995.7174666666665</v>
      </c>
      <c r="BE131">
        <v>0</v>
      </c>
      <c r="BF131">
        <v>995.7174666666665</v>
      </c>
      <c r="BG131">
        <v>41.02142222222222</v>
      </c>
      <c r="BH131">
        <v>0</v>
      </c>
      <c r="BI131">
        <v>371.4692622222222</v>
      </c>
      <c r="BJ131">
        <v>1114.4077866666667</v>
      </c>
      <c r="BK131">
        <v>0</v>
      </c>
      <c r="BL131">
        <v>0</v>
      </c>
      <c r="BM131">
        <v>28.880000000000006</v>
      </c>
      <c r="BN131">
        <v>0</v>
      </c>
      <c r="BO131">
        <v>0</v>
      </c>
      <c r="BP131">
        <v>372.93926222222217</v>
      </c>
      <c r="BQ131">
        <v>372.93926222222217</v>
      </c>
      <c r="BR131">
        <v>4.0223114666666584</v>
      </c>
      <c r="BS131">
        <v>27.970444666666662</v>
      </c>
      <c r="BT131">
        <v>41.955666999999991</v>
      </c>
      <c r="BU131">
        <v>69.926111666666657</v>
      </c>
      <c r="BV131">
        <v>125.86700099999999</v>
      </c>
      <c r="BW131">
        <v>269.74153579999995</v>
      </c>
      <c r="BX131">
        <v>11817.535664199999</v>
      </c>
      <c r="BY131">
        <v>877.95200000000011</v>
      </c>
      <c r="BZ131">
        <v>10939.583664199999</v>
      </c>
      <c r="CA131">
        <v>13041.328</v>
      </c>
      <c r="CB131">
        <v>391.23983999999996</v>
      </c>
      <c r="CC131">
        <v>372.93926222222217</v>
      </c>
      <c r="CD131">
        <v>692.41679999999997</v>
      </c>
      <c r="CE131">
        <v>11.06135653333331</v>
      </c>
      <c r="CF131">
        <v>78.317245066666658</v>
      </c>
      <c r="CG131">
        <v>117.4758676</v>
      </c>
      <c r="CH131">
        <v>185.89940697917331</v>
      </c>
      <c r="CI131">
        <v>195.79311266666667</v>
      </c>
      <c r="CJ131">
        <v>111.88177866666665</v>
      </c>
      <c r="CK131">
        <v>223.7635573333333</v>
      </c>
      <c r="CL131">
        <v>352.42760279999999</v>
      </c>
      <c r="CM131">
        <v>1969.0367276458396</v>
      </c>
      <c r="CN131">
        <v>559.40889333333325</v>
      </c>
      <c r="CO131">
        <v>2919.6854609791726</v>
      </c>
      <c r="CQ131">
        <v>360.80219178082194</v>
      </c>
      <c r="CR131">
        <v>72.160438356164377</v>
      </c>
      <c r="CS131">
        <v>368.55943890410958</v>
      </c>
      <c r="CT131">
        <v>16804.202196686936</v>
      </c>
      <c r="CY131">
        <v>0</v>
      </c>
      <c r="DB131">
        <v>10535.423999999999</v>
      </c>
      <c r="DE131" s="61">
        <v>16804.202196686936</v>
      </c>
    </row>
    <row r="132" spans="1:109" hidden="1" x14ac:dyDescent="0.3">
      <c r="A132">
        <v>1851</v>
      </c>
      <c r="B132" t="s">
        <v>684</v>
      </c>
      <c r="C132" t="s">
        <v>603</v>
      </c>
      <c r="D132" t="s">
        <v>604</v>
      </c>
      <c r="E132" t="s">
        <v>861</v>
      </c>
      <c r="F132" t="s">
        <v>616</v>
      </c>
      <c r="G132" t="s">
        <v>617</v>
      </c>
      <c r="H132" t="s">
        <v>622</v>
      </c>
      <c r="I132" t="s">
        <v>623</v>
      </c>
      <c r="J132" s="3">
        <v>45586</v>
      </c>
      <c r="K132">
        <v>0.27945205479452057</v>
      </c>
      <c r="L132">
        <v>0</v>
      </c>
      <c r="M132" t="s">
        <v>678</v>
      </c>
      <c r="N132" t="s">
        <v>678</v>
      </c>
      <c r="O132">
        <v>1.0492999999999999</v>
      </c>
      <c r="P132">
        <v>3439.4559999999997</v>
      </c>
      <c r="Q132">
        <v>3439.4559999999997</v>
      </c>
      <c r="R132">
        <v>288.8</v>
      </c>
      <c r="S132">
        <v>303.03783999999996</v>
      </c>
      <c r="T132">
        <v>21.09</v>
      </c>
      <c r="U132">
        <v>324.12783999999994</v>
      </c>
      <c r="V132">
        <v>30.4</v>
      </c>
      <c r="W132">
        <v>8779.52</v>
      </c>
      <c r="Y132">
        <v>438.97599999999994</v>
      </c>
      <c r="AC132">
        <v>750</v>
      </c>
      <c r="AE132">
        <v>41.666666666666664</v>
      </c>
      <c r="AF132">
        <v>877.952</v>
      </c>
      <c r="AG132">
        <v>877.952</v>
      </c>
      <c r="AH132">
        <v>438.97600000000006</v>
      </c>
      <c r="AI132">
        <v>877.95200000000011</v>
      </c>
      <c r="AJ132">
        <v>0</v>
      </c>
      <c r="AK132">
        <v>0</v>
      </c>
      <c r="AL132">
        <v>1755.904</v>
      </c>
      <c r="AM132">
        <v>11852.352000000001</v>
      </c>
      <c r="AN132">
        <v>13082.994666666666</v>
      </c>
      <c r="AO132">
        <v>13041.328000000001</v>
      </c>
      <c r="AQ132">
        <v>10010.162666666667</v>
      </c>
      <c r="AR132">
        <v>24076.191999999999</v>
      </c>
      <c r="AS132">
        <v>10535.424000000001</v>
      </c>
      <c r="AT132">
        <v>0</v>
      </c>
      <c r="AU132">
        <v>13540.767999999998</v>
      </c>
      <c r="AV132">
        <v>1755.904</v>
      </c>
      <c r="AW132">
        <v>0</v>
      </c>
      <c r="AX132">
        <v>11766.066666666666</v>
      </c>
      <c r="AY132">
        <v>11128.02</v>
      </c>
      <c r="AZ132">
        <v>638.04666666666526</v>
      </c>
      <c r="BA132">
        <v>0.16</v>
      </c>
      <c r="BB132">
        <v>102.08746666666644</v>
      </c>
      <c r="BC132">
        <v>893.63</v>
      </c>
      <c r="BD132">
        <v>995.7174666666665</v>
      </c>
      <c r="BE132">
        <v>0</v>
      </c>
      <c r="BF132">
        <v>995.7174666666665</v>
      </c>
      <c r="BG132">
        <v>41.02142222222222</v>
      </c>
      <c r="BH132">
        <v>0</v>
      </c>
      <c r="BI132">
        <v>365.14926222222215</v>
      </c>
      <c r="BJ132">
        <v>1095.4477866666664</v>
      </c>
      <c r="BK132">
        <v>0</v>
      </c>
      <c r="BL132">
        <v>0</v>
      </c>
      <c r="BM132">
        <v>28.880000000000006</v>
      </c>
      <c r="BN132">
        <v>0</v>
      </c>
      <c r="BO132">
        <v>0</v>
      </c>
      <c r="BP132">
        <v>372.93926222222217</v>
      </c>
      <c r="BQ132">
        <v>372.93926222222217</v>
      </c>
      <c r="BR132">
        <v>4.0223114666666584</v>
      </c>
      <c r="BS132">
        <v>27.970444666666662</v>
      </c>
      <c r="BT132">
        <v>41.955666999999991</v>
      </c>
      <c r="BU132">
        <v>69.926111666666657</v>
      </c>
      <c r="BV132">
        <v>125.86700099999999</v>
      </c>
      <c r="BW132">
        <v>269.74153579999995</v>
      </c>
      <c r="BX132">
        <v>11817.535664199999</v>
      </c>
      <c r="BY132">
        <v>877.95200000000011</v>
      </c>
      <c r="BZ132">
        <v>10939.583664199999</v>
      </c>
      <c r="CA132">
        <v>13041.328</v>
      </c>
      <c r="CB132">
        <v>391.23983999999996</v>
      </c>
      <c r="CC132">
        <v>372.93926222222217</v>
      </c>
      <c r="CD132">
        <v>692.41679999999997</v>
      </c>
      <c r="CE132">
        <v>11.06135653333331</v>
      </c>
      <c r="CF132">
        <v>78.317245066666658</v>
      </c>
      <c r="CG132">
        <v>117.4758676</v>
      </c>
      <c r="CH132">
        <v>185.89940697917331</v>
      </c>
      <c r="CI132">
        <v>195.79311266666667</v>
      </c>
      <c r="CJ132">
        <v>111.88177866666665</v>
      </c>
      <c r="CK132">
        <v>223.7635573333333</v>
      </c>
      <c r="CL132">
        <v>352.42760279999999</v>
      </c>
      <c r="CM132">
        <v>1969.0367276458396</v>
      </c>
      <c r="CN132">
        <v>559.40889333333325</v>
      </c>
      <c r="CO132">
        <v>2919.6854609791726</v>
      </c>
      <c r="CQ132">
        <v>360.80219178082194</v>
      </c>
      <c r="CR132">
        <v>72.160438356164377</v>
      </c>
      <c r="CS132">
        <v>368.55943890410958</v>
      </c>
      <c r="CT132">
        <v>16804.202196686936</v>
      </c>
      <c r="CY132">
        <v>0</v>
      </c>
      <c r="DB132">
        <v>10535.423999999999</v>
      </c>
      <c r="DE132" s="61">
        <v>16804.202196686936</v>
      </c>
    </row>
    <row r="133" spans="1:109" hidden="1" x14ac:dyDescent="0.3">
      <c r="A133">
        <v>1857</v>
      </c>
      <c r="B133" t="s">
        <v>684</v>
      </c>
      <c r="C133" t="s">
        <v>603</v>
      </c>
      <c r="D133" t="s">
        <v>604</v>
      </c>
      <c r="E133" t="s">
        <v>864</v>
      </c>
      <c r="F133" t="s">
        <v>616</v>
      </c>
      <c r="G133" t="s">
        <v>617</v>
      </c>
      <c r="H133" t="s">
        <v>622</v>
      </c>
      <c r="I133" t="s">
        <v>623</v>
      </c>
      <c r="J133" s="3">
        <v>45588</v>
      </c>
      <c r="K133">
        <v>0.27397260273972601</v>
      </c>
      <c r="L133">
        <v>0</v>
      </c>
      <c r="M133" t="s">
        <v>678</v>
      </c>
      <c r="N133" t="s">
        <v>678</v>
      </c>
      <c r="O133">
        <v>1.0492999999999999</v>
      </c>
      <c r="P133">
        <v>3439.4559999999997</v>
      </c>
      <c r="Q133">
        <v>3439.4559999999997</v>
      </c>
      <c r="R133">
        <v>288.8</v>
      </c>
      <c r="S133">
        <v>303.03783999999996</v>
      </c>
      <c r="T133">
        <v>24.39</v>
      </c>
      <c r="U133">
        <v>327.42783999999995</v>
      </c>
      <c r="V133">
        <v>30.4</v>
      </c>
      <c r="W133">
        <v>8779.52</v>
      </c>
      <c r="Y133">
        <v>438.97599999999994</v>
      </c>
      <c r="AC133">
        <v>750</v>
      </c>
      <c r="AE133">
        <v>41.666666666666664</v>
      </c>
      <c r="AF133">
        <v>877.952</v>
      </c>
      <c r="AG133">
        <v>877.952</v>
      </c>
      <c r="AH133">
        <v>438.97600000000006</v>
      </c>
      <c r="AI133">
        <v>877.95200000000011</v>
      </c>
      <c r="AJ133">
        <v>0</v>
      </c>
      <c r="AK133">
        <v>0</v>
      </c>
      <c r="AL133">
        <v>1755.904</v>
      </c>
      <c r="AM133">
        <v>11852.352000000001</v>
      </c>
      <c r="AN133">
        <v>13082.994666666666</v>
      </c>
      <c r="AO133">
        <v>13041.328000000001</v>
      </c>
      <c r="AQ133">
        <v>10010.162666666667</v>
      </c>
      <c r="AR133">
        <v>24076.191999999999</v>
      </c>
      <c r="AS133">
        <v>10535.424000000001</v>
      </c>
      <c r="AT133">
        <v>0</v>
      </c>
      <c r="AU133">
        <v>13540.767999999998</v>
      </c>
      <c r="AV133">
        <v>1755.904</v>
      </c>
      <c r="AW133">
        <v>0</v>
      </c>
      <c r="AX133">
        <v>11766.066666666666</v>
      </c>
      <c r="AY133">
        <v>11128.02</v>
      </c>
      <c r="AZ133">
        <v>638.04666666666526</v>
      </c>
      <c r="BA133">
        <v>0.16</v>
      </c>
      <c r="BB133">
        <v>102.08746666666644</v>
      </c>
      <c r="BC133">
        <v>893.63</v>
      </c>
      <c r="BD133">
        <v>995.7174666666665</v>
      </c>
      <c r="BE133">
        <v>0</v>
      </c>
      <c r="BF133">
        <v>995.7174666666665</v>
      </c>
      <c r="BG133">
        <v>41.02142222222222</v>
      </c>
      <c r="BH133">
        <v>0</v>
      </c>
      <c r="BI133">
        <v>368.44926222222216</v>
      </c>
      <c r="BJ133">
        <v>1105.3477866666665</v>
      </c>
      <c r="BK133">
        <v>0</v>
      </c>
      <c r="BL133">
        <v>0</v>
      </c>
      <c r="BM133">
        <v>28.880000000000006</v>
      </c>
      <c r="BN133">
        <v>0</v>
      </c>
      <c r="BO133">
        <v>0</v>
      </c>
      <c r="BP133">
        <v>372.93926222222217</v>
      </c>
      <c r="BQ133">
        <v>372.93926222222217</v>
      </c>
      <c r="BR133">
        <v>4.0223114666666584</v>
      </c>
      <c r="BS133">
        <v>27.970444666666662</v>
      </c>
      <c r="BT133">
        <v>41.955666999999991</v>
      </c>
      <c r="BU133">
        <v>69.926111666666657</v>
      </c>
      <c r="BV133">
        <v>125.86700099999999</v>
      </c>
      <c r="BW133">
        <v>269.74153579999995</v>
      </c>
      <c r="BX133">
        <v>11817.535664199999</v>
      </c>
      <c r="BY133">
        <v>877.95200000000011</v>
      </c>
      <c r="BZ133">
        <v>10939.583664199999</v>
      </c>
      <c r="CA133">
        <v>13041.328</v>
      </c>
      <c r="CB133">
        <v>391.23983999999996</v>
      </c>
      <c r="CC133">
        <v>372.93926222222217</v>
      </c>
      <c r="CD133">
        <v>692.41679999999997</v>
      </c>
      <c r="CE133">
        <v>11.06135653333331</v>
      </c>
      <c r="CF133">
        <v>78.317245066666658</v>
      </c>
      <c r="CG133">
        <v>117.4758676</v>
      </c>
      <c r="CH133">
        <v>185.89940697917331</v>
      </c>
      <c r="CI133">
        <v>195.79311266666667</v>
      </c>
      <c r="CJ133">
        <v>111.88177866666665</v>
      </c>
      <c r="CK133">
        <v>223.7635573333333</v>
      </c>
      <c r="CL133">
        <v>352.42760279999999</v>
      </c>
      <c r="CM133">
        <v>1969.0367276458396</v>
      </c>
      <c r="CN133">
        <v>559.40889333333325</v>
      </c>
      <c r="CO133">
        <v>2919.6854609791726</v>
      </c>
      <c r="CQ133">
        <v>360.80219178082194</v>
      </c>
      <c r="CR133">
        <v>72.160438356164377</v>
      </c>
      <c r="CS133">
        <v>368.55943890410958</v>
      </c>
      <c r="CT133">
        <v>16804.202196686936</v>
      </c>
      <c r="CY133">
        <v>0</v>
      </c>
      <c r="DB133">
        <v>10535.423999999999</v>
      </c>
      <c r="DE133" s="61">
        <v>16804.202196686936</v>
      </c>
    </row>
    <row r="134" spans="1:109" hidden="1" x14ac:dyDescent="0.3">
      <c r="A134">
        <v>1858</v>
      </c>
      <c r="B134" t="s">
        <v>684</v>
      </c>
      <c r="C134" t="s">
        <v>603</v>
      </c>
      <c r="D134" t="s">
        <v>604</v>
      </c>
      <c r="E134" t="s">
        <v>865</v>
      </c>
      <c r="F134" t="s">
        <v>616</v>
      </c>
      <c r="G134" t="s">
        <v>617</v>
      </c>
      <c r="H134" t="s">
        <v>622</v>
      </c>
      <c r="I134" t="s">
        <v>623</v>
      </c>
      <c r="J134" s="3">
        <v>45588</v>
      </c>
      <c r="K134">
        <v>0.27397260273972601</v>
      </c>
      <c r="L134">
        <v>0</v>
      </c>
      <c r="M134" t="s">
        <v>678</v>
      </c>
      <c r="N134" t="s">
        <v>678</v>
      </c>
      <c r="O134">
        <v>1.0492999999999999</v>
      </c>
      <c r="P134">
        <v>3439.4559999999997</v>
      </c>
      <c r="Q134">
        <v>3439.4559999999997</v>
      </c>
      <c r="R134">
        <v>288.8</v>
      </c>
      <c r="S134">
        <v>303.03783999999996</v>
      </c>
      <c r="T134">
        <v>69.77</v>
      </c>
      <c r="U134">
        <v>372.80783999999994</v>
      </c>
      <c r="V134">
        <v>30.4</v>
      </c>
      <c r="W134">
        <v>8779.52</v>
      </c>
      <c r="Y134">
        <v>438.97599999999994</v>
      </c>
      <c r="AC134">
        <v>750</v>
      </c>
      <c r="AE134">
        <v>41.666666666666664</v>
      </c>
      <c r="AF134">
        <v>877.952</v>
      </c>
      <c r="AG134">
        <v>877.952</v>
      </c>
      <c r="AH134">
        <v>438.97600000000006</v>
      </c>
      <c r="AI134">
        <v>877.95200000000011</v>
      </c>
      <c r="AJ134">
        <v>0</v>
      </c>
      <c r="AK134">
        <v>0</v>
      </c>
      <c r="AL134">
        <v>1755.904</v>
      </c>
      <c r="AM134">
        <v>11852.352000000001</v>
      </c>
      <c r="AN134">
        <v>13082.994666666666</v>
      </c>
      <c r="AO134">
        <v>13041.328000000001</v>
      </c>
      <c r="AQ134">
        <v>10010.162666666667</v>
      </c>
      <c r="AR134">
        <v>24076.191999999999</v>
      </c>
      <c r="AS134">
        <v>10535.424000000001</v>
      </c>
      <c r="AT134">
        <v>0</v>
      </c>
      <c r="AU134">
        <v>13540.767999999998</v>
      </c>
      <c r="AV134">
        <v>1755.904</v>
      </c>
      <c r="AW134">
        <v>0</v>
      </c>
      <c r="AX134">
        <v>11766.066666666666</v>
      </c>
      <c r="AY134">
        <v>11128.02</v>
      </c>
      <c r="AZ134">
        <v>638.04666666666526</v>
      </c>
      <c r="BA134">
        <v>0.16</v>
      </c>
      <c r="BB134">
        <v>102.08746666666644</v>
      </c>
      <c r="BC134">
        <v>893.63</v>
      </c>
      <c r="BD134">
        <v>995.7174666666665</v>
      </c>
      <c r="BE134">
        <v>0</v>
      </c>
      <c r="BF134">
        <v>995.7174666666665</v>
      </c>
      <c r="BG134">
        <v>41.02142222222222</v>
      </c>
      <c r="BH134">
        <v>0</v>
      </c>
      <c r="BI134">
        <v>413.82926222222216</v>
      </c>
      <c r="BJ134">
        <v>1241.4877866666666</v>
      </c>
      <c r="BK134">
        <v>0</v>
      </c>
      <c r="BL134">
        <v>0</v>
      </c>
      <c r="BM134">
        <v>28.880000000000006</v>
      </c>
      <c r="BN134">
        <v>0</v>
      </c>
      <c r="BO134">
        <v>0</v>
      </c>
      <c r="BP134">
        <v>372.93926222222217</v>
      </c>
      <c r="BQ134">
        <v>372.93926222222217</v>
      </c>
      <c r="BR134">
        <v>4.0223114666666584</v>
      </c>
      <c r="BS134">
        <v>27.970444666666662</v>
      </c>
      <c r="BT134">
        <v>41.955666999999991</v>
      </c>
      <c r="BU134">
        <v>69.926111666666657</v>
      </c>
      <c r="BV134">
        <v>125.86700099999999</v>
      </c>
      <c r="BW134">
        <v>269.74153579999995</v>
      </c>
      <c r="BX134">
        <v>11817.535664199999</v>
      </c>
      <c r="BY134">
        <v>877.95200000000011</v>
      </c>
      <c r="BZ134">
        <v>10939.583664199999</v>
      </c>
      <c r="CA134">
        <v>13041.328</v>
      </c>
      <c r="CB134">
        <v>391.23983999999996</v>
      </c>
      <c r="CC134">
        <v>372.93926222222217</v>
      </c>
      <c r="CD134">
        <v>692.41679999999997</v>
      </c>
      <c r="CE134">
        <v>11.06135653333331</v>
      </c>
      <c r="CF134">
        <v>78.317245066666658</v>
      </c>
      <c r="CG134">
        <v>117.4758676</v>
      </c>
      <c r="CH134">
        <v>185.89940697917331</v>
      </c>
      <c r="CI134">
        <v>195.79311266666667</v>
      </c>
      <c r="CJ134">
        <v>111.88177866666665</v>
      </c>
      <c r="CK134">
        <v>223.7635573333333</v>
      </c>
      <c r="CL134">
        <v>352.42760279999999</v>
      </c>
      <c r="CM134">
        <v>1969.0367276458396</v>
      </c>
      <c r="CN134">
        <v>559.40889333333325</v>
      </c>
      <c r="CO134">
        <v>2919.6854609791726</v>
      </c>
      <c r="CQ134">
        <v>360.80219178082194</v>
      </c>
      <c r="CR134">
        <v>72.160438356164377</v>
      </c>
      <c r="CS134">
        <v>368.55943890410958</v>
      </c>
      <c r="CT134">
        <v>16804.202196686936</v>
      </c>
      <c r="CY134">
        <v>0</v>
      </c>
      <c r="DB134">
        <v>10535.423999999999</v>
      </c>
      <c r="DE134" s="61">
        <v>16804.202196686936</v>
      </c>
    </row>
    <row r="135" spans="1:109" hidden="1" x14ac:dyDescent="0.3">
      <c r="A135">
        <v>1861</v>
      </c>
      <c r="B135" t="s">
        <v>684</v>
      </c>
      <c r="C135" t="s">
        <v>603</v>
      </c>
      <c r="D135" t="s">
        <v>604</v>
      </c>
      <c r="E135" t="s">
        <v>866</v>
      </c>
      <c r="F135" t="s">
        <v>616</v>
      </c>
      <c r="G135" t="s">
        <v>617</v>
      </c>
      <c r="H135" t="s">
        <v>622</v>
      </c>
      <c r="I135" t="s">
        <v>623</v>
      </c>
      <c r="J135" s="3">
        <v>45593</v>
      </c>
      <c r="K135">
        <v>0.26027397260273971</v>
      </c>
      <c r="L135">
        <v>0</v>
      </c>
      <c r="M135" t="s">
        <v>678</v>
      </c>
      <c r="N135" t="s">
        <v>678</v>
      </c>
      <c r="O135">
        <v>1.0492999999999999</v>
      </c>
      <c r="P135">
        <v>3439.4559999999997</v>
      </c>
      <c r="Q135">
        <v>3439.4559999999997</v>
      </c>
      <c r="R135">
        <v>288.8</v>
      </c>
      <c r="S135">
        <v>303.03783999999996</v>
      </c>
      <c r="T135">
        <v>26.58</v>
      </c>
      <c r="U135">
        <v>329.61783999999994</v>
      </c>
      <c r="V135">
        <v>30.4</v>
      </c>
      <c r="W135">
        <v>8779.52</v>
      </c>
      <c r="Y135">
        <v>438.97599999999994</v>
      </c>
      <c r="AC135">
        <v>750</v>
      </c>
      <c r="AE135">
        <v>41.666666666666664</v>
      </c>
      <c r="AF135">
        <v>877.952</v>
      </c>
      <c r="AG135">
        <v>877.952</v>
      </c>
      <c r="AH135">
        <v>438.97600000000006</v>
      </c>
      <c r="AI135">
        <v>877.95200000000011</v>
      </c>
      <c r="AJ135">
        <v>0</v>
      </c>
      <c r="AK135">
        <v>0</v>
      </c>
      <c r="AL135">
        <v>1755.904</v>
      </c>
      <c r="AM135">
        <v>11852.352000000001</v>
      </c>
      <c r="AN135">
        <v>13082.994666666666</v>
      </c>
      <c r="AO135">
        <v>13041.328000000001</v>
      </c>
      <c r="AQ135">
        <v>10010.162666666667</v>
      </c>
      <c r="AR135">
        <v>24076.191999999999</v>
      </c>
      <c r="AS135">
        <v>10535.424000000001</v>
      </c>
      <c r="AT135">
        <v>0</v>
      </c>
      <c r="AU135">
        <v>13540.767999999998</v>
      </c>
      <c r="AV135">
        <v>1755.904</v>
      </c>
      <c r="AW135">
        <v>0</v>
      </c>
      <c r="AX135">
        <v>11766.066666666666</v>
      </c>
      <c r="AY135">
        <v>11128.02</v>
      </c>
      <c r="AZ135">
        <v>638.04666666666526</v>
      </c>
      <c r="BA135">
        <v>0.16</v>
      </c>
      <c r="BB135">
        <v>102.08746666666644</v>
      </c>
      <c r="BC135">
        <v>893.63</v>
      </c>
      <c r="BD135">
        <v>995.7174666666665</v>
      </c>
      <c r="BE135">
        <v>0</v>
      </c>
      <c r="BF135">
        <v>995.7174666666665</v>
      </c>
      <c r="BG135">
        <v>41.02142222222222</v>
      </c>
      <c r="BH135">
        <v>0</v>
      </c>
      <c r="BI135">
        <v>370.63926222222216</v>
      </c>
      <c r="BJ135">
        <v>1111.9177866666666</v>
      </c>
      <c r="BK135">
        <v>0</v>
      </c>
      <c r="BL135">
        <v>0</v>
      </c>
      <c r="BM135">
        <v>28.880000000000006</v>
      </c>
      <c r="BN135">
        <v>0</v>
      </c>
      <c r="BO135">
        <v>0</v>
      </c>
      <c r="BP135">
        <v>372.93926222222217</v>
      </c>
      <c r="BQ135">
        <v>372.93926222222217</v>
      </c>
      <c r="BR135">
        <v>4.0223114666666584</v>
      </c>
      <c r="BS135">
        <v>27.970444666666662</v>
      </c>
      <c r="BT135">
        <v>41.955666999999991</v>
      </c>
      <c r="BU135">
        <v>69.926111666666657</v>
      </c>
      <c r="BV135">
        <v>125.86700099999999</v>
      </c>
      <c r="BW135">
        <v>269.74153579999995</v>
      </c>
      <c r="BX135">
        <v>11817.535664199999</v>
      </c>
      <c r="BY135">
        <v>877.95200000000011</v>
      </c>
      <c r="BZ135">
        <v>10939.583664199999</v>
      </c>
      <c r="CA135">
        <v>13041.328</v>
      </c>
      <c r="CB135">
        <v>391.23983999999996</v>
      </c>
      <c r="CC135">
        <v>372.93926222222217</v>
      </c>
      <c r="CD135">
        <v>692.41679999999997</v>
      </c>
      <c r="CE135">
        <v>11.06135653333331</v>
      </c>
      <c r="CF135">
        <v>78.317245066666658</v>
      </c>
      <c r="CG135">
        <v>117.4758676</v>
      </c>
      <c r="CH135">
        <v>185.89940697917331</v>
      </c>
      <c r="CI135">
        <v>195.79311266666667</v>
      </c>
      <c r="CJ135">
        <v>111.88177866666665</v>
      </c>
      <c r="CK135">
        <v>223.7635573333333</v>
      </c>
      <c r="CL135">
        <v>352.42760279999999</v>
      </c>
      <c r="CM135">
        <v>1969.0367276458396</v>
      </c>
      <c r="CN135">
        <v>559.40889333333325</v>
      </c>
      <c r="CO135">
        <v>2919.6854609791726</v>
      </c>
      <c r="CQ135">
        <v>360.80219178082194</v>
      </c>
      <c r="CR135">
        <v>72.160438356164377</v>
      </c>
      <c r="CS135">
        <v>368.55943890410958</v>
      </c>
      <c r="CT135">
        <v>16804.202196686936</v>
      </c>
      <c r="CY135">
        <v>0</v>
      </c>
      <c r="DB135">
        <v>10535.423999999999</v>
      </c>
      <c r="DE135" s="61">
        <v>16804.202196686936</v>
      </c>
    </row>
    <row r="136" spans="1:109" hidden="1" x14ac:dyDescent="0.3">
      <c r="A136">
        <v>1869</v>
      </c>
      <c r="B136" t="s">
        <v>684</v>
      </c>
      <c r="C136" t="s">
        <v>603</v>
      </c>
      <c r="D136" t="s">
        <v>604</v>
      </c>
      <c r="E136" t="s">
        <v>870</v>
      </c>
      <c r="F136" t="s">
        <v>616</v>
      </c>
      <c r="G136" t="s">
        <v>617</v>
      </c>
      <c r="H136" t="s">
        <v>622</v>
      </c>
      <c r="I136" t="s">
        <v>623</v>
      </c>
      <c r="J136" s="3">
        <v>45600</v>
      </c>
      <c r="K136">
        <v>0.24109589041095891</v>
      </c>
      <c r="L136">
        <v>0</v>
      </c>
      <c r="M136" t="s">
        <v>678</v>
      </c>
      <c r="N136" t="s">
        <v>678</v>
      </c>
      <c r="O136">
        <v>1.0492999999999999</v>
      </c>
      <c r="P136">
        <v>3439.4559999999997</v>
      </c>
      <c r="Q136">
        <v>3439.4559999999997</v>
      </c>
      <c r="R136">
        <v>288.8</v>
      </c>
      <c r="S136">
        <v>303.03783999999996</v>
      </c>
      <c r="T136">
        <v>25.28</v>
      </c>
      <c r="U136">
        <v>328.31783999999993</v>
      </c>
      <c r="V136">
        <v>30.4</v>
      </c>
      <c r="W136">
        <v>8779.52</v>
      </c>
      <c r="Y136">
        <v>438.97599999999994</v>
      </c>
      <c r="AC136">
        <v>750</v>
      </c>
      <c r="AE136">
        <v>41.666666666666664</v>
      </c>
      <c r="AF136">
        <v>877.952</v>
      </c>
      <c r="AG136">
        <v>877.952</v>
      </c>
      <c r="AH136">
        <v>438.97600000000006</v>
      </c>
      <c r="AI136">
        <v>877.95200000000011</v>
      </c>
      <c r="AJ136">
        <v>0</v>
      </c>
      <c r="AK136">
        <v>0</v>
      </c>
      <c r="AL136">
        <v>1755.904</v>
      </c>
      <c r="AM136">
        <v>11852.352000000001</v>
      </c>
      <c r="AN136">
        <v>13082.994666666666</v>
      </c>
      <c r="AO136">
        <v>13041.328000000001</v>
      </c>
      <c r="AQ136">
        <v>10010.162666666667</v>
      </c>
      <c r="AR136">
        <v>24076.191999999999</v>
      </c>
      <c r="AS136">
        <v>10535.424000000001</v>
      </c>
      <c r="AT136">
        <v>0</v>
      </c>
      <c r="AU136">
        <v>13540.767999999998</v>
      </c>
      <c r="AV136">
        <v>1755.904</v>
      </c>
      <c r="AW136">
        <v>0</v>
      </c>
      <c r="AX136">
        <v>11766.066666666666</v>
      </c>
      <c r="AY136">
        <v>11128.02</v>
      </c>
      <c r="AZ136">
        <v>638.04666666666526</v>
      </c>
      <c r="BA136">
        <v>0.16</v>
      </c>
      <c r="BB136">
        <v>102.08746666666644</v>
      </c>
      <c r="BC136">
        <v>893.63</v>
      </c>
      <c r="BD136">
        <v>995.7174666666665</v>
      </c>
      <c r="BE136">
        <v>0</v>
      </c>
      <c r="BF136">
        <v>995.7174666666665</v>
      </c>
      <c r="BG136">
        <v>41.02142222222222</v>
      </c>
      <c r="BH136">
        <v>0</v>
      </c>
      <c r="BI136">
        <v>369.33926222222215</v>
      </c>
      <c r="BJ136">
        <v>1108.0177866666666</v>
      </c>
      <c r="BK136">
        <v>0</v>
      </c>
      <c r="BL136">
        <v>0</v>
      </c>
      <c r="BM136">
        <v>28.880000000000006</v>
      </c>
      <c r="BN136">
        <v>0</v>
      </c>
      <c r="BO136">
        <v>0</v>
      </c>
      <c r="BP136">
        <v>372.93926222222217</v>
      </c>
      <c r="BQ136">
        <v>372.93926222222217</v>
      </c>
      <c r="BR136">
        <v>4.0223114666666584</v>
      </c>
      <c r="BS136">
        <v>27.970444666666662</v>
      </c>
      <c r="BT136">
        <v>41.955666999999991</v>
      </c>
      <c r="BU136">
        <v>69.926111666666657</v>
      </c>
      <c r="BV136">
        <v>125.86700099999999</v>
      </c>
      <c r="BW136">
        <v>269.74153579999995</v>
      </c>
      <c r="BX136">
        <v>11817.535664199999</v>
      </c>
      <c r="BY136">
        <v>877.95200000000011</v>
      </c>
      <c r="BZ136">
        <v>10939.583664199999</v>
      </c>
      <c r="CA136">
        <v>13041.328</v>
      </c>
      <c r="CB136">
        <v>391.23983999999996</v>
      </c>
      <c r="CC136">
        <v>372.93926222222217</v>
      </c>
      <c r="CD136">
        <v>692.41679999999997</v>
      </c>
      <c r="CE136">
        <v>11.06135653333331</v>
      </c>
      <c r="CF136">
        <v>78.317245066666658</v>
      </c>
      <c r="CG136">
        <v>117.4758676</v>
      </c>
      <c r="CH136">
        <v>185.89940697917331</v>
      </c>
      <c r="CI136">
        <v>195.79311266666667</v>
      </c>
      <c r="CJ136">
        <v>111.88177866666665</v>
      </c>
      <c r="CK136">
        <v>223.7635573333333</v>
      </c>
      <c r="CL136">
        <v>352.42760279999999</v>
      </c>
      <c r="CM136">
        <v>1969.0367276458396</v>
      </c>
      <c r="CN136">
        <v>559.40889333333325</v>
      </c>
      <c r="CO136">
        <v>2919.6854609791726</v>
      </c>
      <c r="CQ136">
        <v>360.80219178082194</v>
      </c>
      <c r="CR136">
        <v>72.160438356164377</v>
      </c>
      <c r="CS136">
        <v>368.55943890410958</v>
      </c>
      <c r="CT136">
        <v>16804.202196686936</v>
      </c>
      <c r="CY136">
        <v>0</v>
      </c>
      <c r="DB136">
        <v>10535.423999999999</v>
      </c>
      <c r="DE136" s="61">
        <v>16804.202196686936</v>
      </c>
    </row>
    <row r="137" spans="1:109" hidden="1" x14ac:dyDescent="0.3">
      <c r="A137">
        <v>1876</v>
      </c>
      <c r="B137" t="s">
        <v>684</v>
      </c>
      <c r="C137" t="s">
        <v>603</v>
      </c>
      <c r="D137" t="s">
        <v>604</v>
      </c>
      <c r="E137" t="s">
        <v>872</v>
      </c>
      <c r="F137" t="s">
        <v>616</v>
      </c>
      <c r="G137" t="s">
        <v>617</v>
      </c>
      <c r="H137" t="s">
        <v>622</v>
      </c>
      <c r="I137" t="s">
        <v>623</v>
      </c>
      <c r="J137" s="3">
        <v>45607</v>
      </c>
      <c r="K137">
        <v>0.22191780821917809</v>
      </c>
      <c r="L137">
        <v>0</v>
      </c>
      <c r="M137" t="s">
        <v>678</v>
      </c>
      <c r="N137" t="s">
        <v>678</v>
      </c>
      <c r="O137">
        <v>1.0492999999999999</v>
      </c>
      <c r="P137">
        <v>3439.4559999999997</v>
      </c>
      <c r="Q137">
        <v>3439.4559999999997</v>
      </c>
      <c r="R137">
        <v>288.8</v>
      </c>
      <c r="S137">
        <v>303.03783999999996</v>
      </c>
      <c r="T137">
        <v>14.5</v>
      </c>
      <c r="U137">
        <v>317.53783999999996</v>
      </c>
      <c r="V137">
        <v>30.4</v>
      </c>
      <c r="W137">
        <v>8779.52</v>
      </c>
      <c r="Y137">
        <v>438.97599999999994</v>
      </c>
      <c r="AC137">
        <v>750</v>
      </c>
      <c r="AE137">
        <v>41.666666666666664</v>
      </c>
      <c r="AF137">
        <v>877.952</v>
      </c>
      <c r="AG137">
        <v>877.952</v>
      </c>
      <c r="AH137">
        <v>438.97600000000006</v>
      </c>
      <c r="AI137">
        <v>877.95200000000011</v>
      </c>
      <c r="AJ137">
        <v>0</v>
      </c>
      <c r="AK137">
        <v>0</v>
      </c>
      <c r="AL137">
        <v>1755.904</v>
      </c>
      <c r="AM137">
        <v>11852.352000000001</v>
      </c>
      <c r="AN137">
        <v>13082.994666666666</v>
      </c>
      <c r="AO137">
        <v>13041.328000000001</v>
      </c>
      <c r="AQ137">
        <v>10010.162666666667</v>
      </c>
      <c r="AR137">
        <v>24076.191999999999</v>
      </c>
      <c r="AS137">
        <v>10535.424000000001</v>
      </c>
      <c r="AT137">
        <v>0</v>
      </c>
      <c r="AU137">
        <v>13540.767999999998</v>
      </c>
      <c r="AV137">
        <v>1755.904</v>
      </c>
      <c r="AW137">
        <v>0</v>
      </c>
      <c r="AX137">
        <v>11766.066666666666</v>
      </c>
      <c r="AY137">
        <v>11128.02</v>
      </c>
      <c r="AZ137">
        <v>638.04666666666526</v>
      </c>
      <c r="BA137">
        <v>0.16</v>
      </c>
      <c r="BB137">
        <v>102.08746666666644</v>
      </c>
      <c r="BC137">
        <v>893.63</v>
      </c>
      <c r="BD137">
        <v>995.7174666666665</v>
      </c>
      <c r="BE137">
        <v>0</v>
      </c>
      <c r="BF137">
        <v>995.7174666666665</v>
      </c>
      <c r="BG137">
        <v>41.02142222222222</v>
      </c>
      <c r="BH137">
        <v>0</v>
      </c>
      <c r="BI137">
        <v>358.55926222222217</v>
      </c>
      <c r="BJ137">
        <v>1075.6777866666666</v>
      </c>
      <c r="BK137">
        <v>0</v>
      </c>
      <c r="BL137">
        <v>0</v>
      </c>
      <c r="BM137">
        <v>28.880000000000006</v>
      </c>
      <c r="BN137">
        <v>0</v>
      </c>
      <c r="BO137">
        <v>0</v>
      </c>
      <c r="BP137">
        <v>372.93926222222217</v>
      </c>
      <c r="BQ137">
        <v>372.93926222222217</v>
      </c>
      <c r="BR137">
        <v>4.0223114666666584</v>
      </c>
      <c r="BS137">
        <v>27.970444666666662</v>
      </c>
      <c r="BT137">
        <v>41.955666999999991</v>
      </c>
      <c r="BU137">
        <v>69.926111666666657</v>
      </c>
      <c r="BV137">
        <v>125.86700099999999</v>
      </c>
      <c r="BW137">
        <v>269.74153579999995</v>
      </c>
      <c r="BX137">
        <v>11817.535664199999</v>
      </c>
      <c r="BY137">
        <v>877.95200000000011</v>
      </c>
      <c r="BZ137">
        <v>10939.583664199999</v>
      </c>
      <c r="CA137">
        <v>13041.328</v>
      </c>
      <c r="CB137">
        <v>391.23983999999996</v>
      </c>
      <c r="CC137">
        <v>372.93926222222217</v>
      </c>
      <c r="CD137">
        <v>692.41679999999997</v>
      </c>
      <c r="CE137">
        <v>11.06135653333331</v>
      </c>
      <c r="CF137">
        <v>78.317245066666658</v>
      </c>
      <c r="CG137">
        <v>117.4758676</v>
      </c>
      <c r="CH137">
        <v>185.89940697917331</v>
      </c>
      <c r="CI137">
        <v>195.79311266666667</v>
      </c>
      <c r="CJ137">
        <v>111.88177866666665</v>
      </c>
      <c r="CK137">
        <v>223.7635573333333</v>
      </c>
      <c r="CL137">
        <v>352.42760279999999</v>
      </c>
      <c r="CM137">
        <v>1969.0367276458396</v>
      </c>
      <c r="CN137">
        <v>559.40889333333325</v>
      </c>
      <c r="CO137">
        <v>2919.6854609791726</v>
      </c>
      <c r="CQ137">
        <v>360.80219178082194</v>
      </c>
      <c r="CR137">
        <v>72.160438356164377</v>
      </c>
      <c r="CS137">
        <v>368.55943890410958</v>
      </c>
      <c r="CT137">
        <v>16804.202196686936</v>
      </c>
      <c r="CY137">
        <v>0</v>
      </c>
      <c r="DB137">
        <v>10535.423999999999</v>
      </c>
      <c r="DE137" s="61">
        <v>16804.202196686936</v>
      </c>
    </row>
    <row r="138" spans="1:109" hidden="1" x14ac:dyDescent="0.3">
      <c r="A138">
        <v>1877</v>
      </c>
      <c r="B138" t="s">
        <v>684</v>
      </c>
      <c r="C138" t="s">
        <v>603</v>
      </c>
      <c r="D138" t="s">
        <v>604</v>
      </c>
      <c r="E138" t="s">
        <v>873</v>
      </c>
      <c r="F138" t="s">
        <v>616</v>
      </c>
      <c r="G138" t="s">
        <v>617</v>
      </c>
      <c r="H138" t="s">
        <v>622</v>
      </c>
      <c r="I138" t="s">
        <v>623</v>
      </c>
      <c r="J138" s="3">
        <v>45607</v>
      </c>
      <c r="K138">
        <v>0.22191780821917809</v>
      </c>
      <c r="L138">
        <v>0</v>
      </c>
      <c r="M138" t="s">
        <v>678</v>
      </c>
      <c r="N138" t="s">
        <v>678</v>
      </c>
      <c r="O138">
        <v>1.0492999999999999</v>
      </c>
      <c r="P138">
        <v>3439.4559999999997</v>
      </c>
      <c r="Q138">
        <v>3439.4559999999997</v>
      </c>
      <c r="R138">
        <v>288.8</v>
      </c>
      <c r="S138">
        <v>303.03783999999996</v>
      </c>
      <c r="T138">
        <v>12.69</v>
      </c>
      <c r="U138">
        <v>315.72783999999996</v>
      </c>
      <c r="V138">
        <v>30.4</v>
      </c>
      <c r="W138">
        <v>8779.52</v>
      </c>
      <c r="Y138">
        <v>438.97599999999994</v>
      </c>
      <c r="AC138">
        <v>750</v>
      </c>
      <c r="AE138">
        <v>41.666666666666664</v>
      </c>
      <c r="AF138">
        <v>877.952</v>
      </c>
      <c r="AG138">
        <v>877.952</v>
      </c>
      <c r="AH138">
        <v>438.97600000000006</v>
      </c>
      <c r="AI138">
        <v>877.95200000000011</v>
      </c>
      <c r="AJ138">
        <v>0</v>
      </c>
      <c r="AK138">
        <v>0</v>
      </c>
      <c r="AL138">
        <v>1755.904</v>
      </c>
      <c r="AM138">
        <v>11852.352000000001</v>
      </c>
      <c r="AN138">
        <v>13082.994666666666</v>
      </c>
      <c r="AO138">
        <v>13041.328000000001</v>
      </c>
      <c r="AQ138">
        <v>10010.162666666667</v>
      </c>
      <c r="AR138">
        <v>24076.191999999999</v>
      </c>
      <c r="AS138">
        <v>10535.424000000001</v>
      </c>
      <c r="AT138">
        <v>0</v>
      </c>
      <c r="AU138">
        <v>13540.767999999998</v>
      </c>
      <c r="AV138">
        <v>1755.904</v>
      </c>
      <c r="AW138">
        <v>0</v>
      </c>
      <c r="AX138">
        <v>11766.066666666666</v>
      </c>
      <c r="AY138">
        <v>11128.02</v>
      </c>
      <c r="AZ138">
        <v>638.04666666666526</v>
      </c>
      <c r="BA138">
        <v>0.16</v>
      </c>
      <c r="BB138">
        <v>102.08746666666644</v>
      </c>
      <c r="BC138">
        <v>893.63</v>
      </c>
      <c r="BD138">
        <v>995.7174666666665</v>
      </c>
      <c r="BE138">
        <v>0</v>
      </c>
      <c r="BF138">
        <v>995.7174666666665</v>
      </c>
      <c r="BG138">
        <v>41.02142222222222</v>
      </c>
      <c r="BH138">
        <v>0</v>
      </c>
      <c r="BI138">
        <v>356.74926222222217</v>
      </c>
      <c r="BJ138">
        <v>1070.2477866666666</v>
      </c>
      <c r="BK138">
        <v>0</v>
      </c>
      <c r="BL138">
        <v>0</v>
      </c>
      <c r="BM138">
        <v>28.880000000000006</v>
      </c>
      <c r="BN138">
        <v>0</v>
      </c>
      <c r="BO138">
        <v>0</v>
      </c>
      <c r="BP138">
        <v>372.93926222222217</v>
      </c>
      <c r="BQ138">
        <v>372.93926222222217</v>
      </c>
      <c r="BR138">
        <v>4.0223114666666584</v>
      </c>
      <c r="BS138">
        <v>27.970444666666662</v>
      </c>
      <c r="BT138">
        <v>41.955666999999991</v>
      </c>
      <c r="BU138">
        <v>69.926111666666657</v>
      </c>
      <c r="BV138">
        <v>125.86700099999999</v>
      </c>
      <c r="BW138">
        <v>269.74153579999995</v>
      </c>
      <c r="BX138">
        <v>11817.535664199999</v>
      </c>
      <c r="BY138">
        <v>877.95200000000011</v>
      </c>
      <c r="BZ138">
        <v>10939.583664199999</v>
      </c>
      <c r="CA138">
        <v>13041.328</v>
      </c>
      <c r="CB138">
        <v>391.23983999999996</v>
      </c>
      <c r="CC138">
        <v>372.93926222222217</v>
      </c>
      <c r="CD138">
        <v>692.41679999999997</v>
      </c>
      <c r="CE138">
        <v>11.06135653333331</v>
      </c>
      <c r="CF138">
        <v>78.317245066666658</v>
      </c>
      <c r="CG138">
        <v>117.4758676</v>
      </c>
      <c r="CH138">
        <v>185.89940697917331</v>
      </c>
      <c r="CI138">
        <v>195.79311266666667</v>
      </c>
      <c r="CJ138">
        <v>111.88177866666665</v>
      </c>
      <c r="CK138">
        <v>223.7635573333333</v>
      </c>
      <c r="CL138">
        <v>352.42760279999999</v>
      </c>
      <c r="CM138">
        <v>1969.0367276458396</v>
      </c>
      <c r="CN138">
        <v>559.40889333333325</v>
      </c>
      <c r="CO138">
        <v>2919.6854609791726</v>
      </c>
      <c r="CQ138">
        <v>360.80219178082194</v>
      </c>
      <c r="CR138">
        <v>72.160438356164377</v>
      </c>
      <c r="CS138">
        <v>368.55943890410958</v>
      </c>
      <c r="CT138">
        <v>16804.202196686936</v>
      </c>
      <c r="CY138">
        <v>0</v>
      </c>
      <c r="DB138">
        <v>10535.423999999999</v>
      </c>
      <c r="DE138" s="61">
        <v>16804.202196686936</v>
      </c>
    </row>
    <row r="139" spans="1:109" hidden="1" x14ac:dyDescent="0.3">
      <c r="A139">
        <v>1879</v>
      </c>
      <c r="B139" t="s">
        <v>684</v>
      </c>
      <c r="C139" t="s">
        <v>603</v>
      </c>
      <c r="D139" t="s">
        <v>604</v>
      </c>
      <c r="E139" t="s">
        <v>874</v>
      </c>
      <c r="F139" t="s">
        <v>616</v>
      </c>
      <c r="G139" t="s">
        <v>617</v>
      </c>
      <c r="H139" t="s">
        <v>622</v>
      </c>
      <c r="I139" t="s">
        <v>623</v>
      </c>
      <c r="J139" s="3">
        <v>45607</v>
      </c>
      <c r="K139">
        <v>0.22191780821917809</v>
      </c>
      <c r="L139">
        <v>0</v>
      </c>
      <c r="M139" t="s">
        <v>678</v>
      </c>
      <c r="N139" t="s">
        <v>678</v>
      </c>
      <c r="O139">
        <v>1.0492999999999999</v>
      </c>
      <c r="P139">
        <v>3439.4559999999997</v>
      </c>
      <c r="Q139">
        <v>3439.4559999999997</v>
      </c>
      <c r="R139">
        <v>288.8</v>
      </c>
      <c r="S139">
        <v>303.03783999999996</v>
      </c>
      <c r="T139">
        <v>17.97</v>
      </c>
      <c r="U139">
        <v>321.00783999999999</v>
      </c>
      <c r="V139">
        <v>30.4</v>
      </c>
      <c r="W139">
        <v>8779.52</v>
      </c>
      <c r="Y139">
        <v>438.97599999999994</v>
      </c>
      <c r="AC139">
        <v>750</v>
      </c>
      <c r="AE139">
        <v>41.666666666666664</v>
      </c>
      <c r="AF139">
        <v>877.952</v>
      </c>
      <c r="AG139">
        <v>877.952</v>
      </c>
      <c r="AH139">
        <v>438.97600000000006</v>
      </c>
      <c r="AI139">
        <v>877.95200000000011</v>
      </c>
      <c r="AJ139">
        <v>0</v>
      </c>
      <c r="AK139">
        <v>0</v>
      </c>
      <c r="AL139">
        <v>1755.904</v>
      </c>
      <c r="AM139">
        <v>11852.352000000001</v>
      </c>
      <c r="AN139">
        <v>13082.994666666666</v>
      </c>
      <c r="AO139">
        <v>13041.328000000001</v>
      </c>
      <c r="AQ139">
        <v>10010.162666666667</v>
      </c>
      <c r="AR139">
        <v>24076.191999999999</v>
      </c>
      <c r="AS139">
        <v>10535.424000000001</v>
      </c>
      <c r="AT139">
        <v>0</v>
      </c>
      <c r="AU139">
        <v>13540.767999999998</v>
      </c>
      <c r="AV139">
        <v>1755.904</v>
      </c>
      <c r="AW139">
        <v>0</v>
      </c>
      <c r="AX139">
        <v>11766.066666666666</v>
      </c>
      <c r="AY139">
        <v>11128.02</v>
      </c>
      <c r="AZ139">
        <v>638.04666666666526</v>
      </c>
      <c r="BA139">
        <v>0.16</v>
      </c>
      <c r="BB139">
        <v>102.08746666666644</v>
      </c>
      <c r="BC139">
        <v>893.63</v>
      </c>
      <c r="BD139">
        <v>995.7174666666665</v>
      </c>
      <c r="BE139">
        <v>0</v>
      </c>
      <c r="BF139">
        <v>995.7174666666665</v>
      </c>
      <c r="BG139">
        <v>41.02142222222222</v>
      </c>
      <c r="BH139">
        <v>0</v>
      </c>
      <c r="BI139">
        <v>362.0292622222222</v>
      </c>
      <c r="BJ139">
        <v>1086.0877866666667</v>
      </c>
      <c r="BK139">
        <v>0</v>
      </c>
      <c r="BL139">
        <v>0</v>
      </c>
      <c r="BM139">
        <v>28.880000000000006</v>
      </c>
      <c r="BN139">
        <v>0</v>
      </c>
      <c r="BO139">
        <v>0</v>
      </c>
      <c r="BP139">
        <v>372.93926222222217</v>
      </c>
      <c r="BQ139">
        <v>372.93926222222217</v>
      </c>
      <c r="BR139">
        <v>4.0223114666666584</v>
      </c>
      <c r="BS139">
        <v>27.970444666666662</v>
      </c>
      <c r="BT139">
        <v>41.955666999999991</v>
      </c>
      <c r="BU139">
        <v>69.926111666666657</v>
      </c>
      <c r="BV139">
        <v>125.86700099999999</v>
      </c>
      <c r="BW139">
        <v>269.74153579999995</v>
      </c>
      <c r="BX139">
        <v>11817.535664199999</v>
      </c>
      <c r="BY139">
        <v>877.95200000000011</v>
      </c>
      <c r="BZ139">
        <v>10939.583664199999</v>
      </c>
      <c r="CA139">
        <v>13041.328</v>
      </c>
      <c r="CB139">
        <v>391.23983999999996</v>
      </c>
      <c r="CC139">
        <v>372.93926222222217</v>
      </c>
      <c r="CD139">
        <v>692.41679999999997</v>
      </c>
      <c r="CE139">
        <v>11.06135653333331</v>
      </c>
      <c r="CF139">
        <v>78.317245066666658</v>
      </c>
      <c r="CG139">
        <v>117.4758676</v>
      </c>
      <c r="CH139">
        <v>185.89940697917331</v>
      </c>
      <c r="CI139">
        <v>195.79311266666667</v>
      </c>
      <c r="CJ139">
        <v>111.88177866666665</v>
      </c>
      <c r="CK139">
        <v>223.7635573333333</v>
      </c>
      <c r="CL139">
        <v>352.42760279999999</v>
      </c>
      <c r="CM139">
        <v>1969.0367276458396</v>
      </c>
      <c r="CN139">
        <v>559.40889333333325</v>
      </c>
      <c r="CO139">
        <v>2919.6854609791726</v>
      </c>
      <c r="CQ139">
        <v>360.80219178082194</v>
      </c>
      <c r="CR139">
        <v>72.160438356164377</v>
      </c>
      <c r="CS139">
        <v>368.55943890410958</v>
      </c>
      <c r="CT139">
        <v>16804.202196686936</v>
      </c>
      <c r="CY139">
        <v>0</v>
      </c>
      <c r="DB139">
        <v>10535.423999999999</v>
      </c>
      <c r="DE139" s="61">
        <v>16804.202196686936</v>
      </c>
    </row>
    <row r="140" spans="1:109" hidden="1" x14ac:dyDescent="0.3">
      <c r="A140">
        <v>1880</v>
      </c>
      <c r="B140" t="s">
        <v>694</v>
      </c>
      <c r="C140" t="s">
        <v>603</v>
      </c>
      <c r="D140" t="s">
        <v>604</v>
      </c>
      <c r="E140" t="s">
        <v>875</v>
      </c>
      <c r="F140" t="s">
        <v>616</v>
      </c>
      <c r="G140" t="s">
        <v>617</v>
      </c>
      <c r="H140" t="s">
        <v>622</v>
      </c>
      <c r="I140" t="s">
        <v>623</v>
      </c>
      <c r="J140" s="3">
        <v>45607</v>
      </c>
      <c r="K140">
        <v>0.22191780821917809</v>
      </c>
      <c r="L140">
        <v>0</v>
      </c>
      <c r="M140" t="s">
        <v>678</v>
      </c>
      <c r="N140" t="s">
        <v>678</v>
      </c>
      <c r="O140">
        <v>1.0492999999999999</v>
      </c>
      <c r="P140">
        <v>3439.4559999999997</v>
      </c>
      <c r="Q140">
        <v>3439.4559999999997</v>
      </c>
      <c r="R140">
        <v>288.8</v>
      </c>
      <c r="S140">
        <v>303.03783999999996</v>
      </c>
      <c r="T140">
        <v>42.28</v>
      </c>
      <c r="U140">
        <v>345.31783999999993</v>
      </c>
      <c r="V140">
        <v>30.4</v>
      </c>
      <c r="W140">
        <v>8779.52</v>
      </c>
      <c r="Y140">
        <v>438.97599999999994</v>
      </c>
      <c r="AC140">
        <v>750</v>
      </c>
      <c r="AE140">
        <v>41.666666666666664</v>
      </c>
      <c r="AF140">
        <v>877.952</v>
      </c>
      <c r="AG140">
        <v>877.952</v>
      </c>
      <c r="AH140">
        <v>438.97600000000006</v>
      </c>
      <c r="AI140">
        <v>877.95200000000011</v>
      </c>
      <c r="AJ140">
        <v>0</v>
      </c>
      <c r="AK140">
        <v>0</v>
      </c>
      <c r="AL140">
        <v>1755.904</v>
      </c>
      <c r="AM140">
        <v>11852.352000000001</v>
      </c>
      <c r="AN140">
        <v>13082.994666666666</v>
      </c>
      <c r="AO140">
        <v>13041.328000000001</v>
      </c>
      <c r="AQ140">
        <v>10010.162666666667</v>
      </c>
      <c r="AR140">
        <v>24076.191999999999</v>
      </c>
      <c r="AS140">
        <v>10535.424000000001</v>
      </c>
      <c r="AT140">
        <v>0</v>
      </c>
      <c r="AU140">
        <v>13540.767999999998</v>
      </c>
      <c r="AV140">
        <v>1755.904</v>
      </c>
      <c r="AW140">
        <v>0</v>
      </c>
      <c r="AX140">
        <v>11766.066666666666</v>
      </c>
      <c r="AY140">
        <v>11128.02</v>
      </c>
      <c r="AZ140">
        <v>638.04666666666526</v>
      </c>
      <c r="BA140">
        <v>0.16</v>
      </c>
      <c r="BB140">
        <v>102.08746666666644</v>
      </c>
      <c r="BC140">
        <v>893.63</v>
      </c>
      <c r="BD140">
        <v>995.7174666666665</v>
      </c>
      <c r="BE140">
        <v>0</v>
      </c>
      <c r="BF140">
        <v>995.7174666666665</v>
      </c>
      <c r="BG140">
        <v>41.02142222222222</v>
      </c>
      <c r="BH140">
        <v>0</v>
      </c>
      <c r="BI140">
        <v>386.33926222222215</v>
      </c>
      <c r="BJ140">
        <v>1159.0177866666666</v>
      </c>
      <c r="BK140">
        <v>0</v>
      </c>
      <c r="BL140">
        <v>0</v>
      </c>
      <c r="BM140">
        <v>28.880000000000006</v>
      </c>
      <c r="BN140">
        <v>0</v>
      </c>
      <c r="BO140">
        <v>0</v>
      </c>
      <c r="BP140">
        <v>372.93926222222217</v>
      </c>
      <c r="BQ140">
        <v>372.93926222222217</v>
      </c>
      <c r="BR140">
        <v>4.0223114666666584</v>
      </c>
      <c r="BS140">
        <v>27.970444666666662</v>
      </c>
      <c r="BT140">
        <v>41.955666999999991</v>
      </c>
      <c r="BU140">
        <v>69.926111666666657</v>
      </c>
      <c r="BV140">
        <v>125.86700099999999</v>
      </c>
      <c r="BW140">
        <v>269.74153579999995</v>
      </c>
      <c r="BX140">
        <v>11817.535664199999</v>
      </c>
      <c r="BY140">
        <v>877.95200000000011</v>
      </c>
      <c r="BZ140">
        <v>10939.583664199999</v>
      </c>
      <c r="CA140">
        <v>13041.328</v>
      </c>
      <c r="CB140">
        <v>391.23983999999996</v>
      </c>
      <c r="CC140">
        <v>372.93926222222217</v>
      </c>
      <c r="CD140">
        <v>692.41679999999997</v>
      </c>
      <c r="CE140">
        <v>11.06135653333331</v>
      </c>
      <c r="CF140">
        <v>78.317245066666658</v>
      </c>
      <c r="CG140">
        <v>117.4758676</v>
      </c>
      <c r="CH140">
        <v>185.89940697917331</v>
      </c>
      <c r="CI140">
        <v>195.79311266666667</v>
      </c>
      <c r="CJ140">
        <v>111.88177866666665</v>
      </c>
      <c r="CK140">
        <v>223.7635573333333</v>
      </c>
      <c r="CL140">
        <v>352.42760279999999</v>
      </c>
      <c r="CM140">
        <v>1969.0367276458396</v>
      </c>
      <c r="CN140">
        <v>559.40889333333325</v>
      </c>
      <c r="CO140">
        <v>2919.6854609791726</v>
      </c>
      <c r="CQ140">
        <v>360.80219178082194</v>
      </c>
      <c r="CR140">
        <v>72.160438356164377</v>
      </c>
      <c r="CS140">
        <v>368.55943890410958</v>
      </c>
      <c r="CT140">
        <v>16804.202196686936</v>
      </c>
      <c r="CY140">
        <v>0</v>
      </c>
      <c r="DB140">
        <v>10535.423999999999</v>
      </c>
      <c r="DE140" s="61">
        <v>16804.202196686936</v>
      </c>
    </row>
    <row r="141" spans="1:109" hidden="1" x14ac:dyDescent="0.3">
      <c r="A141">
        <v>1884</v>
      </c>
      <c r="B141" t="s">
        <v>694</v>
      </c>
      <c r="C141" t="s">
        <v>603</v>
      </c>
      <c r="D141" t="s">
        <v>604</v>
      </c>
      <c r="E141" t="s">
        <v>878</v>
      </c>
      <c r="F141" t="s">
        <v>616</v>
      </c>
      <c r="G141" t="s">
        <v>617</v>
      </c>
      <c r="H141" t="s">
        <v>622</v>
      </c>
      <c r="I141" t="s">
        <v>623</v>
      </c>
      <c r="J141" s="3">
        <v>45621</v>
      </c>
      <c r="K141">
        <v>0.18356164383561643</v>
      </c>
      <c r="L141">
        <v>0</v>
      </c>
      <c r="M141" t="s">
        <v>678</v>
      </c>
      <c r="N141" t="s">
        <v>678</v>
      </c>
      <c r="O141">
        <v>1.0492999999999999</v>
      </c>
      <c r="P141">
        <v>3439.4559999999997</v>
      </c>
      <c r="Q141">
        <v>3439.4559999999997</v>
      </c>
      <c r="R141">
        <v>288.8</v>
      </c>
      <c r="S141">
        <v>303.03783999999996</v>
      </c>
      <c r="T141">
        <v>16.559999999999999</v>
      </c>
      <c r="U141">
        <v>319.59783999999996</v>
      </c>
      <c r="V141">
        <v>30.4</v>
      </c>
      <c r="W141">
        <v>8779.52</v>
      </c>
      <c r="Y141">
        <v>438.97599999999994</v>
      </c>
      <c r="AC141">
        <v>750</v>
      </c>
      <c r="AE141">
        <v>41.666666666666664</v>
      </c>
      <c r="AF141">
        <v>877.952</v>
      </c>
      <c r="AG141">
        <v>877.952</v>
      </c>
      <c r="AH141">
        <v>438.97600000000006</v>
      </c>
      <c r="AI141">
        <v>877.95200000000011</v>
      </c>
      <c r="AJ141">
        <v>0</v>
      </c>
      <c r="AK141">
        <v>0</v>
      </c>
      <c r="AL141">
        <v>1755.904</v>
      </c>
      <c r="AM141">
        <v>11852.352000000001</v>
      </c>
      <c r="AN141">
        <v>13082.994666666666</v>
      </c>
      <c r="AO141">
        <v>13041.328000000001</v>
      </c>
      <c r="AQ141">
        <v>10010.162666666667</v>
      </c>
      <c r="AR141">
        <v>24076.191999999999</v>
      </c>
      <c r="AS141">
        <v>10535.424000000001</v>
      </c>
      <c r="AT141">
        <v>0</v>
      </c>
      <c r="AU141">
        <v>13540.767999999998</v>
      </c>
      <c r="AV141">
        <v>1755.904</v>
      </c>
      <c r="AW141">
        <v>0</v>
      </c>
      <c r="AX141">
        <v>11766.066666666666</v>
      </c>
      <c r="AY141">
        <v>11128.02</v>
      </c>
      <c r="AZ141">
        <v>638.04666666666526</v>
      </c>
      <c r="BA141">
        <v>0.16</v>
      </c>
      <c r="BB141">
        <v>102.08746666666644</v>
      </c>
      <c r="BC141">
        <v>893.63</v>
      </c>
      <c r="BD141">
        <v>995.7174666666665</v>
      </c>
      <c r="BE141">
        <v>0</v>
      </c>
      <c r="BF141">
        <v>995.7174666666665</v>
      </c>
      <c r="BG141">
        <v>41.02142222222222</v>
      </c>
      <c r="BH141">
        <v>0</v>
      </c>
      <c r="BI141">
        <v>360.61926222222218</v>
      </c>
      <c r="BJ141">
        <v>1081.8577866666665</v>
      </c>
      <c r="BK141">
        <v>0</v>
      </c>
      <c r="BL141">
        <v>0</v>
      </c>
      <c r="BM141">
        <v>28.880000000000006</v>
      </c>
      <c r="BN141">
        <v>0</v>
      </c>
      <c r="BO141">
        <v>0</v>
      </c>
      <c r="BP141">
        <v>372.93926222222217</v>
      </c>
      <c r="BQ141">
        <v>372.93926222222217</v>
      </c>
      <c r="BR141">
        <v>4.0223114666666584</v>
      </c>
      <c r="BS141">
        <v>27.970444666666662</v>
      </c>
      <c r="BT141">
        <v>41.955666999999991</v>
      </c>
      <c r="BU141">
        <v>69.926111666666657</v>
      </c>
      <c r="BV141">
        <v>125.86700099999999</v>
      </c>
      <c r="BW141">
        <v>269.74153579999995</v>
      </c>
      <c r="BX141">
        <v>11817.535664199999</v>
      </c>
      <c r="BY141">
        <v>877.95200000000011</v>
      </c>
      <c r="BZ141">
        <v>10939.583664199999</v>
      </c>
      <c r="CA141">
        <v>13041.328</v>
      </c>
      <c r="CB141">
        <v>391.23983999999996</v>
      </c>
      <c r="CC141">
        <v>372.93926222222217</v>
      </c>
      <c r="CD141">
        <v>692.41679999999997</v>
      </c>
      <c r="CE141">
        <v>11.06135653333331</v>
      </c>
      <c r="CF141">
        <v>78.317245066666658</v>
      </c>
      <c r="CG141">
        <v>117.4758676</v>
      </c>
      <c r="CH141">
        <v>185.89940697917331</v>
      </c>
      <c r="CI141">
        <v>195.79311266666667</v>
      </c>
      <c r="CJ141">
        <v>111.88177866666665</v>
      </c>
      <c r="CK141">
        <v>223.7635573333333</v>
      </c>
      <c r="CL141">
        <v>352.42760279999999</v>
      </c>
      <c r="CM141">
        <v>1969.0367276458396</v>
      </c>
      <c r="CN141">
        <v>559.40889333333325</v>
      </c>
      <c r="CO141">
        <v>2919.6854609791726</v>
      </c>
      <c r="CQ141">
        <v>360.80219178082194</v>
      </c>
      <c r="CR141">
        <v>72.160438356164377</v>
      </c>
      <c r="CS141">
        <v>368.55943890410958</v>
      </c>
      <c r="CT141">
        <v>16804.202196686936</v>
      </c>
      <c r="CY141">
        <v>0</v>
      </c>
      <c r="DB141">
        <v>10535.423999999999</v>
      </c>
      <c r="DE141" s="61">
        <v>16804.202196686936</v>
      </c>
    </row>
    <row r="142" spans="1:109" hidden="1" x14ac:dyDescent="0.3">
      <c r="A142">
        <v>1886</v>
      </c>
      <c r="B142" t="s">
        <v>684</v>
      </c>
      <c r="C142" t="s">
        <v>603</v>
      </c>
      <c r="D142" t="s">
        <v>604</v>
      </c>
      <c r="E142" t="s">
        <v>879</v>
      </c>
      <c r="F142" t="s">
        <v>616</v>
      </c>
      <c r="G142" t="s">
        <v>617</v>
      </c>
      <c r="H142" t="s">
        <v>622</v>
      </c>
      <c r="I142" t="s">
        <v>623</v>
      </c>
      <c r="J142" s="3">
        <v>45621</v>
      </c>
      <c r="K142">
        <v>0.18356164383561643</v>
      </c>
      <c r="L142">
        <v>0</v>
      </c>
      <c r="M142" t="s">
        <v>678</v>
      </c>
      <c r="N142" t="s">
        <v>678</v>
      </c>
      <c r="O142">
        <v>1.0492999999999999</v>
      </c>
      <c r="P142">
        <v>3439.4559999999997</v>
      </c>
      <c r="Q142">
        <v>3439.4559999999997</v>
      </c>
      <c r="R142">
        <v>288.8</v>
      </c>
      <c r="S142">
        <v>303.03783999999996</v>
      </c>
      <c r="T142">
        <v>12.95</v>
      </c>
      <c r="U142">
        <v>315.98783999999995</v>
      </c>
      <c r="V142">
        <v>30.4</v>
      </c>
      <c r="W142">
        <v>8779.52</v>
      </c>
      <c r="Y142">
        <v>438.97599999999994</v>
      </c>
      <c r="AC142">
        <v>750</v>
      </c>
      <c r="AE142">
        <v>41.666666666666664</v>
      </c>
      <c r="AF142">
        <v>877.952</v>
      </c>
      <c r="AG142">
        <v>877.952</v>
      </c>
      <c r="AH142">
        <v>438.97600000000006</v>
      </c>
      <c r="AI142">
        <v>877.95200000000011</v>
      </c>
      <c r="AJ142">
        <v>0</v>
      </c>
      <c r="AK142">
        <v>0</v>
      </c>
      <c r="AL142">
        <v>1755.904</v>
      </c>
      <c r="AM142">
        <v>11852.352000000001</v>
      </c>
      <c r="AN142">
        <v>13082.994666666666</v>
      </c>
      <c r="AO142">
        <v>13041.328000000001</v>
      </c>
      <c r="AQ142">
        <v>10010.162666666667</v>
      </c>
      <c r="AR142">
        <v>24076.191999999999</v>
      </c>
      <c r="AS142">
        <v>10535.424000000001</v>
      </c>
      <c r="AT142">
        <v>0</v>
      </c>
      <c r="AU142">
        <v>13540.767999999998</v>
      </c>
      <c r="AV142">
        <v>1755.904</v>
      </c>
      <c r="AW142">
        <v>0</v>
      </c>
      <c r="AX142">
        <v>11766.066666666666</v>
      </c>
      <c r="AY142">
        <v>11128.02</v>
      </c>
      <c r="AZ142">
        <v>638.04666666666526</v>
      </c>
      <c r="BA142">
        <v>0.16</v>
      </c>
      <c r="BB142">
        <v>102.08746666666644</v>
      </c>
      <c r="BC142">
        <v>893.63</v>
      </c>
      <c r="BD142">
        <v>995.7174666666665</v>
      </c>
      <c r="BE142">
        <v>0</v>
      </c>
      <c r="BF142">
        <v>995.7174666666665</v>
      </c>
      <c r="BG142">
        <v>41.02142222222222</v>
      </c>
      <c r="BH142">
        <v>0</v>
      </c>
      <c r="BI142">
        <v>357.00926222222216</v>
      </c>
      <c r="BJ142">
        <v>1071.0277866666665</v>
      </c>
      <c r="BK142">
        <v>0</v>
      </c>
      <c r="BL142">
        <v>0</v>
      </c>
      <c r="BM142">
        <v>28.880000000000006</v>
      </c>
      <c r="BN142">
        <v>0</v>
      </c>
      <c r="BO142">
        <v>0</v>
      </c>
      <c r="BP142">
        <v>372.93926222222217</v>
      </c>
      <c r="BQ142">
        <v>372.93926222222217</v>
      </c>
      <c r="BR142">
        <v>4.0223114666666584</v>
      </c>
      <c r="BS142">
        <v>27.970444666666662</v>
      </c>
      <c r="BT142">
        <v>41.955666999999991</v>
      </c>
      <c r="BU142">
        <v>69.926111666666657</v>
      </c>
      <c r="BV142">
        <v>125.86700099999999</v>
      </c>
      <c r="BW142">
        <v>269.74153579999995</v>
      </c>
      <c r="BX142">
        <v>11817.535664199999</v>
      </c>
      <c r="BY142">
        <v>877.95200000000011</v>
      </c>
      <c r="BZ142">
        <v>10939.583664199999</v>
      </c>
      <c r="CA142">
        <v>13041.328</v>
      </c>
      <c r="CB142">
        <v>391.23983999999996</v>
      </c>
      <c r="CC142">
        <v>372.93926222222217</v>
      </c>
      <c r="CD142">
        <v>692.41679999999997</v>
      </c>
      <c r="CE142">
        <v>11.06135653333331</v>
      </c>
      <c r="CF142">
        <v>78.317245066666658</v>
      </c>
      <c r="CG142">
        <v>117.4758676</v>
      </c>
      <c r="CH142">
        <v>185.89940697917331</v>
      </c>
      <c r="CI142">
        <v>195.79311266666667</v>
      </c>
      <c r="CJ142">
        <v>111.88177866666665</v>
      </c>
      <c r="CK142">
        <v>223.7635573333333</v>
      </c>
      <c r="CL142">
        <v>352.42760279999999</v>
      </c>
      <c r="CM142">
        <v>1969.0367276458396</v>
      </c>
      <c r="CN142">
        <v>559.40889333333325</v>
      </c>
      <c r="CO142">
        <v>2919.6854609791726</v>
      </c>
      <c r="CQ142">
        <v>360.80219178082194</v>
      </c>
      <c r="CR142">
        <v>72.160438356164377</v>
      </c>
      <c r="CS142">
        <v>368.55943890410958</v>
      </c>
      <c r="CT142">
        <v>16804.202196686936</v>
      </c>
      <c r="CY142">
        <v>0</v>
      </c>
      <c r="DB142">
        <v>10535.423999999999</v>
      </c>
      <c r="DE142" s="61">
        <v>16804.202196686936</v>
      </c>
    </row>
    <row r="143" spans="1:109" hidden="1" x14ac:dyDescent="0.3">
      <c r="A143">
        <v>1888</v>
      </c>
      <c r="B143" t="s">
        <v>694</v>
      </c>
      <c r="C143" t="s">
        <v>603</v>
      </c>
      <c r="D143" t="s">
        <v>604</v>
      </c>
      <c r="E143" t="s">
        <v>881</v>
      </c>
      <c r="F143" t="s">
        <v>616</v>
      </c>
      <c r="G143" t="s">
        <v>617</v>
      </c>
      <c r="H143" t="s">
        <v>622</v>
      </c>
      <c r="I143" t="s">
        <v>623</v>
      </c>
      <c r="J143" s="3">
        <v>45630</v>
      </c>
      <c r="K143">
        <v>0.15890410958904111</v>
      </c>
      <c r="L143">
        <v>0</v>
      </c>
      <c r="M143" t="s">
        <v>678</v>
      </c>
      <c r="N143" t="s">
        <v>678</v>
      </c>
      <c r="O143">
        <v>1.0492999999999999</v>
      </c>
      <c r="P143">
        <v>3439.4559999999997</v>
      </c>
      <c r="Q143">
        <v>3439.4559999999997</v>
      </c>
      <c r="R143">
        <v>288.8</v>
      </c>
      <c r="S143">
        <v>303.03783999999996</v>
      </c>
      <c r="T143">
        <v>13.95</v>
      </c>
      <c r="U143">
        <v>316.98783999999995</v>
      </c>
      <c r="V143">
        <v>30.4</v>
      </c>
      <c r="W143">
        <v>8779.52</v>
      </c>
      <c r="Y143">
        <v>438.97599999999994</v>
      </c>
      <c r="AC143">
        <v>750</v>
      </c>
      <c r="AE143">
        <v>41.666666666666664</v>
      </c>
      <c r="AF143">
        <v>877.952</v>
      </c>
      <c r="AG143">
        <v>877.952</v>
      </c>
      <c r="AH143">
        <v>438.97600000000006</v>
      </c>
      <c r="AI143">
        <v>877.95200000000011</v>
      </c>
      <c r="AJ143">
        <v>0</v>
      </c>
      <c r="AK143">
        <v>0</v>
      </c>
      <c r="AL143">
        <v>1755.904</v>
      </c>
      <c r="AM143">
        <v>11852.352000000001</v>
      </c>
      <c r="AN143">
        <v>13082.994666666666</v>
      </c>
      <c r="AO143">
        <v>13041.328000000001</v>
      </c>
      <c r="AQ143">
        <v>10010.162666666667</v>
      </c>
      <c r="AR143">
        <v>24076.191999999999</v>
      </c>
      <c r="AS143">
        <v>10535.424000000001</v>
      </c>
      <c r="AT143">
        <v>0</v>
      </c>
      <c r="AU143">
        <v>13540.767999999998</v>
      </c>
      <c r="AV143">
        <v>1755.904</v>
      </c>
      <c r="AW143">
        <v>0</v>
      </c>
      <c r="AX143">
        <v>11766.066666666666</v>
      </c>
      <c r="AY143">
        <v>11128.02</v>
      </c>
      <c r="AZ143">
        <v>638.04666666666526</v>
      </c>
      <c r="BA143">
        <v>0.16</v>
      </c>
      <c r="BB143">
        <v>102.08746666666644</v>
      </c>
      <c r="BC143">
        <v>893.63</v>
      </c>
      <c r="BD143">
        <v>995.7174666666665</v>
      </c>
      <c r="BE143">
        <v>0</v>
      </c>
      <c r="BF143">
        <v>995.7174666666665</v>
      </c>
      <c r="BG143">
        <v>41.02142222222222</v>
      </c>
      <c r="BH143">
        <v>0</v>
      </c>
      <c r="BI143">
        <v>358.00926222222216</v>
      </c>
      <c r="BJ143">
        <v>1074.0277866666665</v>
      </c>
      <c r="BK143">
        <v>0</v>
      </c>
      <c r="BL143">
        <v>0</v>
      </c>
      <c r="BM143">
        <v>28.880000000000006</v>
      </c>
      <c r="BN143">
        <v>0</v>
      </c>
      <c r="BO143">
        <v>0</v>
      </c>
      <c r="BP143">
        <v>372.93926222222217</v>
      </c>
      <c r="BQ143">
        <v>372.93926222222217</v>
      </c>
      <c r="BR143">
        <v>4.0223114666666584</v>
      </c>
      <c r="BS143">
        <v>27.970444666666662</v>
      </c>
      <c r="BT143">
        <v>41.955666999999991</v>
      </c>
      <c r="BU143">
        <v>69.926111666666657</v>
      </c>
      <c r="BV143">
        <v>125.86700099999999</v>
      </c>
      <c r="BW143">
        <v>269.74153579999995</v>
      </c>
      <c r="BX143">
        <v>11817.535664199999</v>
      </c>
      <c r="BY143">
        <v>877.95200000000011</v>
      </c>
      <c r="BZ143">
        <v>10939.583664199999</v>
      </c>
      <c r="CA143">
        <v>13041.328</v>
      </c>
      <c r="CB143">
        <v>391.23983999999996</v>
      </c>
      <c r="CC143">
        <v>372.93926222222217</v>
      </c>
      <c r="CD143">
        <v>692.41679999999997</v>
      </c>
      <c r="CE143">
        <v>11.06135653333331</v>
      </c>
      <c r="CF143">
        <v>78.317245066666658</v>
      </c>
      <c r="CG143">
        <v>117.4758676</v>
      </c>
      <c r="CH143">
        <v>185.89940697917331</v>
      </c>
      <c r="CI143">
        <v>195.79311266666667</v>
      </c>
      <c r="CJ143">
        <v>111.88177866666665</v>
      </c>
      <c r="CK143">
        <v>223.7635573333333</v>
      </c>
      <c r="CL143">
        <v>352.42760279999999</v>
      </c>
      <c r="CM143">
        <v>1969.0367276458396</v>
      </c>
      <c r="CN143">
        <v>559.40889333333325</v>
      </c>
      <c r="CO143">
        <v>2919.6854609791726</v>
      </c>
      <c r="CQ143">
        <v>360.80219178082194</v>
      </c>
      <c r="CR143">
        <v>72.160438356164377</v>
      </c>
      <c r="CS143">
        <v>368.55943890410958</v>
      </c>
      <c r="CT143">
        <v>16804.202196686936</v>
      </c>
      <c r="CY143">
        <v>0</v>
      </c>
      <c r="DB143">
        <v>10535.423999999999</v>
      </c>
      <c r="DE143" s="61">
        <v>16804.202196686936</v>
      </c>
    </row>
    <row r="144" spans="1:109" hidden="1" x14ac:dyDescent="0.3">
      <c r="A144">
        <v>1890</v>
      </c>
      <c r="B144" t="s">
        <v>684</v>
      </c>
      <c r="C144" t="s">
        <v>603</v>
      </c>
      <c r="D144" t="s">
        <v>604</v>
      </c>
      <c r="E144" t="s">
        <v>883</v>
      </c>
      <c r="F144" t="s">
        <v>616</v>
      </c>
      <c r="G144" t="s">
        <v>617</v>
      </c>
      <c r="H144" t="s">
        <v>622</v>
      </c>
      <c r="I144" t="s">
        <v>623</v>
      </c>
      <c r="J144" s="3">
        <v>45630</v>
      </c>
      <c r="K144">
        <v>0.15890410958904111</v>
      </c>
      <c r="L144">
        <v>0</v>
      </c>
      <c r="M144" t="s">
        <v>678</v>
      </c>
      <c r="N144" t="s">
        <v>678</v>
      </c>
      <c r="O144">
        <v>1.0492999999999999</v>
      </c>
      <c r="P144">
        <v>3439.4559999999997</v>
      </c>
      <c r="Q144">
        <v>3439.4559999999997</v>
      </c>
      <c r="R144">
        <v>288.8</v>
      </c>
      <c r="S144">
        <v>303.03783999999996</v>
      </c>
      <c r="T144">
        <v>40.130000000000003</v>
      </c>
      <c r="U144">
        <v>343.16783999999996</v>
      </c>
      <c r="V144">
        <v>30.4</v>
      </c>
      <c r="W144">
        <v>8779.52</v>
      </c>
      <c r="Y144">
        <v>438.97599999999994</v>
      </c>
      <c r="AC144">
        <v>750</v>
      </c>
      <c r="AE144">
        <v>41.666666666666664</v>
      </c>
      <c r="AF144">
        <v>877.952</v>
      </c>
      <c r="AG144">
        <v>877.952</v>
      </c>
      <c r="AH144">
        <v>438.97600000000006</v>
      </c>
      <c r="AI144">
        <v>877.95200000000011</v>
      </c>
      <c r="AJ144">
        <v>0</v>
      </c>
      <c r="AK144">
        <v>0</v>
      </c>
      <c r="AL144">
        <v>1755.904</v>
      </c>
      <c r="AM144">
        <v>11852.352000000001</v>
      </c>
      <c r="AN144">
        <v>13082.994666666666</v>
      </c>
      <c r="AO144">
        <v>13041.328000000001</v>
      </c>
      <c r="AQ144">
        <v>10010.162666666667</v>
      </c>
      <c r="AR144">
        <v>24076.191999999999</v>
      </c>
      <c r="AS144">
        <v>10535.424000000001</v>
      </c>
      <c r="AT144">
        <v>0</v>
      </c>
      <c r="AU144">
        <v>13540.767999999998</v>
      </c>
      <c r="AV144">
        <v>1755.904</v>
      </c>
      <c r="AW144">
        <v>0</v>
      </c>
      <c r="AX144">
        <v>11766.066666666666</v>
      </c>
      <c r="AY144">
        <v>11128.02</v>
      </c>
      <c r="AZ144">
        <v>638.04666666666526</v>
      </c>
      <c r="BA144">
        <v>0.16</v>
      </c>
      <c r="BB144">
        <v>102.08746666666644</v>
      </c>
      <c r="BC144">
        <v>893.63</v>
      </c>
      <c r="BD144">
        <v>995.7174666666665</v>
      </c>
      <c r="BE144">
        <v>0</v>
      </c>
      <c r="BF144">
        <v>995.7174666666665</v>
      </c>
      <c r="BG144">
        <v>41.02142222222222</v>
      </c>
      <c r="BH144">
        <v>0</v>
      </c>
      <c r="BI144">
        <v>384.18926222222217</v>
      </c>
      <c r="BJ144">
        <v>1152.5677866666665</v>
      </c>
      <c r="BK144">
        <v>0</v>
      </c>
      <c r="BL144">
        <v>0</v>
      </c>
      <c r="BM144">
        <v>28.880000000000006</v>
      </c>
      <c r="BN144">
        <v>0</v>
      </c>
      <c r="BO144">
        <v>0</v>
      </c>
      <c r="BP144">
        <v>372.93926222222217</v>
      </c>
      <c r="BQ144">
        <v>372.93926222222217</v>
      </c>
      <c r="BR144">
        <v>4.0223114666666584</v>
      </c>
      <c r="BS144">
        <v>27.970444666666662</v>
      </c>
      <c r="BT144">
        <v>41.955666999999991</v>
      </c>
      <c r="BU144">
        <v>69.926111666666657</v>
      </c>
      <c r="BV144">
        <v>125.86700099999999</v>
      </c>
      <c r="BW144">
        <v>269.74153579999995</v>
      </c>
      <c r="BX144">
        <v>11817.535664199999</v>
      </c>
      <c r="BY144">
        <v>877.95200000000011</v>
      </c>
      <c r="BZ144">
        <v>10939.583664199999</v>
      </c>
      <c r="CA144">
        <v>13041.328</v>
      </c>
      <c r="CB144">
        <v>391.23983999999996</v>
      </c>
      <c r="CC144">
        <v>372.93926222222217</v>
      </c>
      <c r="CD144">
        <v>692.41679999999997</v>
      </c>
      <c r="CE144">
        <v>11.06135653333331</v>
      </c>
      <c r="CF144">
        <v>78.317245066666658</v>
      </c>
      <c r="CG144">
        <v>117.4758676</v>
      </c>
      <c r="CH144">
        <v>185.89940697917331</v>
      </c>
      <c r="CI144">
        <v>195.79311266666667</v>
      </c>
      <c r="CJ144">
        <v>111.88177866666665</v>
      </c>
      <c r="CK144">
        <v>223.7635573333333</v>
      </c>
      <c r="CL144">
        <v>352.42760279999999</v>
      </c>
      <c r="CM144">
        <v>1969.0367276458396</v>
      </c>
      <c r="CN144">
        <v>559.40889333333325</v>
      </c>
      <c r="CO144">
        <v>2919.6854609791726</v>
      </c>
      <c r="CQ144">
        <v>360.80219178082194</v>
      </c>
      <c r="CR144">
        <v>72.160438356164377</v>
      </c>
      <c r="CS144">
        <v>368.55943890410958</v>
      </c>
      <c r="CT144">
        <v>16804.202196686936</v>
      </c>
      <c r="CY144">
        <v>0</v>
      </c>
      <c r="DB144">
        <v>10535.423999999999</v>
      </c>
      <c r="DE144" s="61">
        <v>16804.202196686936</v>
      </c>
    </row>
    <row r="145" spans="1:109" hidden="1" x14ac:dyDescent="0.3">
      <c r="A145">
        <v>1891</v>
      </c>
      <c r="B145" t="s">
        <v>684</v>
      </c>
      <c r="C145" t="s">
        <v>603</v>
      </c>
      <c r="D145" t="s">
        <v>604</v>
      </c>
      <c r="E145" t="s">
        <v>884</v>
      </c>
      <c r="F145" t="s">
        <v>616</v>
      </c>
      <c r="G145" t="s">
        <v>617</v>
      </c>
      <c r="H145" t="s">
        <v>622</v>
      </c>
      <c r="I145" t="s">
        <v>623</v>
      </c>
      <c r="J145" s="3">
        <v>45630</v>
      </c>
      <c r="K145">
        <v>0.15890410958904111</v>
      </c>
      <c r="L145">
        <v>0</v>
      </c>
      <c r="M145" t="s">
        <v>678</v>
      </c>
      <c r="N145" t="s">
        <v>678</v>
      </c>
      <c r="O145">
        <v>1.0492999999999999</v>
      </c>
      <c r="P145">
        <v>3439.4559999999997</v>
      </c>
      <c r="Q145">
        <v>3439.4559999999997</v>
      </c>
      <c r="R145">
        <v>288.8</v>
      </c>
      <c r="S145">
        <v>303.03783999999996</v>
      </c>
      <c r="T145">
        <v>13.95</v>
      </c>
      <c r="U145">
        <v>316.98783999999995</v>
      </c>
      <c r="V145">
        <v>30.4</v>
      </c>
      <c r="W145">
        <v>8779.52</v>
      </c>
      <c r="Y145">
        <v>438.97599999999994</v>
      </c>
      <c r="AC145">
        <v>750</v>
      </c>
      <c r="AE145">
        <v>41.666666666666664</v>
      </c>
      <c r="AF145">
        <v>877.952</v>
      </c>
      <c r="AG145">
        <v>877.952</v>
      </c>
      <c r="AH145">
        <v>438.97600000000006</v>
      </c>
      <c r="AI145">
        <v>877.95200000000011</v>
      </c>
      <c r="AJ145">
        <v>0</v>
      </c>
      <c r="AK145">
        <v>0</v>
      </c>
      <c r="AL145">
        <v>1755.904</v>
      </c>
      <c r="AM145">
        <v>11852.352000000001</v>
      </c>
      <c r="AN145">
        <v>13082.994666666666</v>
      </c>
      <c r="AO145">
        <v>13041.328000000001</v>
      </c>
      <c r="AQ145">
        <v>10010.162666666667</v>
      </c>
      <c r="AR145">
        <v>24076.191999999999</v>
      </c>
      <c r="AS145">
        <v>10535.424000000001</v>
      </c>
      <c r="AT145">
        <v>0</v>
      </c>
      <c r="AU145">
        <v>13540.767999999998</v>
      </c>
      <c r="AV145">
        <v>1755.904</v>
      </c>
      <c r="AW145">
        <v>0</v>
      </c>
      <c r="AX145">
        <v>11766.066666666666</v>
      </c>
      <c r="AY145">
        <v>11128.02</v>
      </c>
      <c r="AZ145">
        <v>638.04666666666526</v>
      </c>
      <c r="BA145">
        <v>0.16</v>
      </c>
      <c r="BB145">
        <v>102.08746666666644</v>
      </c>
      <c r="BC145">
        <v>893.63</v>
      </c>
      <c r="BD145">
        <v>995.7174666666665</v>
      </c>
      <c r="BE145">
        <v>0</v>
      </c>
      <c r="BF145">
        <v>995.7174666666665</v>
      </c>
      <c r="BG145">
        <v>41.02142222222222</v>
      </c>
      <c r="BH145">
        <v>0</v>
      </c>
      <c r="BI145">
        <v>358.00926222222216</v>
      </c>
      <c r="BJ145">
        <v>1074.0277866666665</v>
      </c>
      <c r="BK145">
        <v>0</v>
      </c>
      <c r="BL145">
        <v>0</v>
      </c>
      <c r="BM145">
        <v>28.880000000000006</v>
      </c>
      <c r="BN145">
        <v>0</v>
      </c>
      <c r="BO145">
        <v>0</v>
      </c>
      <c r="BP145">
        <v>372.93926222222217</v>
      </c>
      <c r="BQ145">
        <v>372.93926222222217</v>
      </c>
      <c r="BR145">
        <v>4.0223114666666584</v>
      </c>
      <c r="BS145">
        <v>27.970444666666662</v>
      </c>
      <c r="BT145">
        <v>41.955666999999991</v>
      </c>
      <c r="BU145">
        <v>69.926111666666657</v>
      </c>
      <c r="BV145">
        <v>125.86700099999999</v>
      </c>
      <c r="BW145">
        <v>269.74153579999995</v>
      </c>
      <c r="BX145">
        <v>11817.535664199999</v>
      </c>
      <c r="BY145">
        <v>877.95200000000011</v>
      </c>
      <c r="BZ145">
        <v>10939.583664199999</v>
      </c>
      <c r="CA145">
        <v>13041.328</v>
      </c>
      <c r="CB145">
        <v>391.23983999999996</v>
      </c>
      <c r="CC145">
        <v>372.93926222222217</v>
      </c>
      <c r="CD145">
        <v>692.41679999999997</v>
      </c>
      <c r="CE145">
        <v>11.06135653333331</v>
      </c>
      <c r="CF145">
        <v>78.317245066666658</v>
      </c>
      <c r="CG145">
        <v>117.4758676</v>
      </c>
      <c r="CH145">
        <v>185.89940697917331</v>
      </c>
      <c r="CI145">
        <v>195.79311266666667</v>
      </c>
      <c r="CJ145">
        <v>111.88177866666665</v>
      </c>
      <c r="CK145">
        <v>223.7635573333333</v>
      </c>
      <c r="CL145">
        <v>352.42760279999999</v>
      </c>
      <c r="CM145">
        <v>1969.0367276458396</v>
      </c>
      <c r="CN145">
        <v>559.40889333333325</v>
      </c>
      <c r="CO145">
        <v>2919.6854609791726</v>
      </c>
      <c r="CQ145">
        <v>360.80219178082194</v>
      </c>
      <c r="CR145">
        <v>72.160438356164377</v>
      </c>
      <c r="CS145">
        <v>368.55943890410958</v>
      </c>
      <c r="CT145">
        <v>16804.202196686936</v>
      </c>
      <c r="CY145">
        <v>0</v>
      </c>
      <c r="DB145">
        <v>10535.423999999999</v>
      </c>
      <c r="DE145" s="61">
        <v>16804.202196686936</v>
      </c>
    </row>
    <row r="146" spans="1:109" hidden="1" x14ac:dyDescent="0.3">
      <c r="A146">
        <v>1902</v>
      </c>
      <c r="B146" t="s">
        <v>694</v>
      </c>
      <c r="C146" t="s">
        <v>603</v>
      </c>
      <c r="D146" t="s">
        <v>604</v>
      </c>
      <c r="E146" t="s">
        <v>890</v>
      </c>
      <c r="F146" t="s">
        <v>616</v>
      </c>
      <c r="G146" t="s">
        <v>617</v>
      </c>
      <c r="H146" t="s">
        <v>622</v>
      </c>
      <c r="I146" t="s">
        <v>623</v>
      </c>
      <c r="J146" s="3">
        <v>45643</v>
      </c>
      <c r="K146">
        <v>0.12328767123287671</v>
      </c>
      <c r="L146">
        <v>0</v>
      </c>
      <c r="M146" t="s">
        <v>678</v>
      </c>
      <c r="N146" t="s">
        <v>678</v>
      </c>
      <c r="O146">
        <v>1.0492999999999999</v>
      </c>
      <c r="P146">
        <v>3439.4559999999997</v>
      </c>
      <c r="Q146">
        <v>3439.4559999999997</v>
      </c>
      <c r="R146">
        <v>288.8</v>
      </c>
      <c r="S146">
        <v>303.03783999999996</v>
      </c>
      <c r="T146">
        <v>20.92</v>
      </c>
      <c r="U146">
        <v>323.95783999999998</v>
      </c>
      <c r="V146">
        <v>30.4</v>
      </c>
      <c r="W146">
        <v>8779.52</v>
      </c>
      <c r="Y146">
        <v>438.97599999999994</v>
      </c>
      <c r="AC146">
        <v>750</v>
      </c>
      <c r="AE146">
        <v>41.666666666666664</v>
      </c>
      <c r="AF146">
        <v>877.952</v>
      </c>
      <c r="AG146">
        <v>877.952</v>
      </c>
      <c r="AH146">
        <v>438.97600000000006</v>
      </c>
      <c r="AI146">
        <v>877.95200000000011</v>
      </c>
      <c r="AJ146">
        <v>0</v>
      </c>
      <c r="AK146">
        <v>0</v>
      </c>
      <c r="AL146">
        <v>1755.904</v>
      </c>
      <c r="AM146">
        <v>11852.352000000001</v>
      </c>
      <c r="AN146">
        <v>13082.994666666666</v>
      </c>
      <c r="AO146">
        <v>13041.328000000001</v>
      </c>
      <c r="AQ146">
        <v>10010.162666666667</v>
      </c>
      <c r="AR146">
        <v>24076.191999999999</v>
      </c>
      <c r="AS146">
        <v>10535.424000000001</v>
      </c>
      <c r="AT146">
        <v>0</v>
      </c>
      <c r="AU146">
        <v>13540.767999999998</v>
      </c>
      <c r="AV146">
        <v>1755.904</v>
      </c>
      <c r="AW146">
        <v>0</v>
      </c>
      <c r="AX146">
        <v>11766.066666666666</v>
      </c>
      <c r="AY146">
        <v>11128.02</v>
      </c>
      <c r="AZ146">
        <v>638.04666666666526</v>
      </c>
      <c r="BA146">
        <v>0.16</v>
      </c>
      <c r="BB146">
        <v>102.08746666666644</v>
      </c>
      <c r="BC146">
        <v>893.63</v>
      </c>
      <c r="BD146">
        <v>995.7174666666665</v>
      </c>
      <c r="BE146">
        <v>0</v>
      </c>
      <c r="BF146">
        <v>995.7174666666665</v>
      </c>
      <c r="BG146">
        <v>41.02142222222222</v>
      </c>
      <c r="BH146">
        <v>0</v>
      </c>
      <c r="BI146">
        <v>364.97926222222219</v>
      </c>
      <c r="BJ146">
        <v>1094.9377866666666</v>
      </c>
      <c r="BK146">
        <v>0</v>
      </c>
      <c r="BL146">
        <v>0</v>
      </c>
      <c r="BM146">
        <v>28.880000000000006</v>
      </c>
      <c r="BN146">
        <v>0</v>
      </c>
      <c r="BO146">
        <v>0</v>
      </c>
      <c r="BP146">
        <v>372.93926222222217</v>
      </c>
      <c r="BQ146">
        <v>372.93926222222217</v>
      </c>
      <c r="BR146">
        <v>4.0223114666666584</v>
      </c>
      <c r="BS146">
        <v>27.970444666666662</v>
      </c>
      <c r="BT146">
        <v>41.955666999999991</v>
      </c>
      <c r="BU146">
        <v>69.926111666666657</v>
      </c>
      <c r="BV146">
        <v>125.86700099999999</v>
      </c>
      <c r="BW146">
        <v>269.74153579999995</v>
      </c>
      <c r="BX146">
        <v>11817.535664199999</v>
      </c>
      <c r="BY146">
        <v>877.95200000000011</v>
      </c>
      <c r="BZ146">
        <v>10939.583664199999</v>
      </c>
      <c r="CA146">
        <v>13041.328</v>
      </c>
      <c r="CB146">
        <v>391.23983999999996</v>
      </c>
      <c r="CC146">
        <v>372.93926222222217</v>
      </c>
      <c r="CD146">
        <v>692.41679999999997</v>
      </c>
      <c r="CE146">
        <v>11.06135653333331</v>
      </c>
      <c r="CF146">
        <v>78.317245066666658</v>
      </c>
      <c r="CG146">
        <v>117.4758676</v>
      </c>
      <c r="CH146">
        <v>185.89940697917331</v>
      </c>
      <c r="CI146">
        <v>195.79311266666667</v>
      </c>
      <c r="CJ146">
        <v>111.88177866666665</v>
      </c>
      <c r="CK146">
        <v>223.7635573333333</v>
      </c>
      <c r="CL146">
        <v>352.42760279999999</v>
      </c>
      <c r="CM146">
        <v>1969.0367276458396</v>
      </c>
      <c r="CN146">
        <v>559.40889333333325</v>
      </c>
      <c r="CO146">
        <v>2919.6854609791726</v>
      </c>
      <c r="CQ146">
        <v>360.80219178082194</v>
      </c>
      <c r="CR146">
        <v>72.160438356164377</v>
      </c>
      <c r="CS146">
        <v>368.55943890410958</v>
      </c>
      <c r="CT146">
        <v>16804.202196686936</v>
      </c>
      <c r="CY146">
        <v>0</v>
      </c>
      <c r="DB146">
        <v>10535.423999999999</v>
      </c>
      <c r="DE146" s="61">
        <v>16804.202196686936</v>
      </c>
    </row>
    <row r="147" spans="1:109" hidden="1" x14ac:dyDescent="0.3">
      <c r="A147">
        <v>1904</v>
      </c>
      <c r="B147" t="s">
        <v>694</v>
      </c>
      <c r="C147" t="s">
        <v>603</v>
      </c>
      <c r="D147" t="s">
        <v>604</v>
      </c>
      <c r="E147" t="s">
        <v>891</v>
      </c>
      <c r="F147" t="s">
        <v>616</v>
      </c>
      <c r="G147" t="s">
        <v>617</v>
      </c>
      <c r="H147" t="s">
        <v>622</v>
      </c>
      <c r="I147" t="s">
        <v>623</v>
      </c>
      <c r="J147" s="3">
        <v>45643</v>
      </c>
      <c r="K147">
        <v>0.12328767123287671</v>
      </c>
      <c r="L147">
        <v>0</v>
      </c>
      <c r="M147" t="s">
        <v>678</v>
      </c>
      <c r="N147" t="s">
        <v>678</v>
      </c>
      <c r="O147">
        <v>1.0492999999999999</v>
      </c>
      <c r="P147">
        <v>3439.4559999999997</v>
      </c>
      <c r="Q147">
        <v>3439.4559999999997</v>
      </c>
      <c r="R147">
        <v>288.8</v>
      </c>
      <c r="S147">
        <v>303.03783999999996</v>
      </c>
      <c r="T147">
        <v>22.67</v>
      </c>
      <c r="U147">
        <v>325.70783999999998</v>
      </c>
      <c r="V147">
        <v>30.4</v>
      </c>
      <c r="W147">
        <v>8779.52</v>
      </c>
      <c r="Y147">
        <v>438.97599999999994</v>
      </c>
      <c r="AC147">
        <v>750</v>
      </c>
      <c r="AE147">
        <v>41.666666666666664</v>
      </c>
      <c r="AF147">
        <v>877.952</v>
      </c>
      <c r="AG147">
        <v>877.952</v>
      </c>
      <c r="AH147">
        <v>438.97600000000006</v>
      </c>
      <c r="AI147">
        <v>877.95200000000011</v>
      </c>
      <c r="AJ147">
        <v>0</v>
      </c>
      <c r="AK147">
        <v>0</v>
      </c>
      <c r="AL147">
        <v>1755.904</v>
      </c>
      <c r="AM147">
        <v>11852.352000000001</v>
      </c>
      <c r="AN147">
        <v>13082.994666666666</v>
      </c>
      <c r="AO147">
        <v>13041.328000000001</v>
      </c>
      <c r="AQ147">
        <v>10010.162666666667</v>
      </c>
      <c r="AR147">
        <v>24076.191999999999</v>
      </c>
      <c r="AS147">
        <v>10535.424000000001</v>
      </c>
      <c r="AT147">
        <v>0</v>
      </c>
      <c r="AU147">
        <v>13540.767999999998</v>
      </c>
      <c r="AV147">
        <v>1755.904</v>
      </c>
      <c r="AW147">
        <v>0</v>
      </c>
      <c r="AX147">
        <v>11766.066666666666</v>
      </c>
      <c r="AY147">
        <v>11128.02</v>
      </c>
      <c r="AZ147">
        <v>638.04666666666526</v>
      </c>
      <c r="BA147">
        <v>0.16</v>
      </c>
      <c r="BB147">
        <v>102.08746666666644</v>
      </c>
      <c r="BC147">
        <v>893.63</v>
      </c>
      <c r="BD147">
        <v>995.7174666666665</v>
      </c>
      <c r="BE147">
        <v>0</v>
      </c>
      <c r="BF147">
        <v>995.7174666666665</v>
      </c>
      <c r="BG147">
        <v>41.02142222222222</v>
      </c>
      <c r="BH147">
        <v>0</v>
      </c>
      <c r="BI147">
        <v>366.72926222222219</v>
      </c>
      <c r="BJ147">
        <v>1100.1877866666666</v>
      </c>
      <c r="BK147">
        <v>0</v>
      </c>
      <c r="BL147">
        <v>0</v>
      </c>
      <c r="BM147">
        <v>28.880000000000006</v>
      </c>
      <c r="BN147">
        <v>0</v>
      </c>
      <c r="BO147">
        <v>0</v>
      </c>
      <c r="BP147">
        <v>372.93926222222217</v>
      </c>
      <c r="BQ147">
        <v>372.93926222222217</v>
      </c>
      <c r="BR147">
        <v>4.0223114666666584</v>
      </c>
      <c r="BS147">
        <v>27.970444666666662</v>
      </c>
      <c r="BT147">
        <v>41.955666999999991</v>
      </c>
      <c r="BU147">
        <v>69.926111666666657</v>
      </c>
      <c r="BV147">
        <v>125.86700099999999</v>
      </c>
      <c r="BW147">
        <v>269.74153579999995</v>
      </c>
      <c r="BX147">
        <v>11817.535664199999</v>
      </c>
      <c r="BY147">
        <v>877.95200000000011</v>
      </c>
      <c r="BZ147">
        <v>10939.583664199999</v>
      </c>
      <c r="CA147">
        <v>13041.328</v>
      </c>
      <c r="CB147">
        <v>391.23983999999996</v>
      </c>
      <c r="CC147">
        <v>372.93926222222217</v>
      </c>
      <c r="CD147">
        <v>692.41679999999997</v>
      </c>
      <c r="CE147">
        <v>11.06135653333331</v>
      </c>
      <c r="CF147">
        <v>78.317245066666658</v>
      </c>
      <c r="CG147">
        <v>117.4758676</v>
      </c>
      <c r="CH147">
        <v>185.89940697917331</v>
      </c>
      <c r="CI147">
        <v>195.79311266666667</v>
      </c>
      <c r="CJ147">
        <v>111.88177866666665</v>
      </c>
      <c r="CK147">
        <v>223.7635573333333</v>
      </c>
      <c r="CL147">
        <v>352.42760279999999</v>
      </c>
      <c r="CM147">
        <v>1969.0367276458396</v>
      </c>
      <c r="CN147">
        <v>559.40889333333325</v>
      </c>
      <c r="CO147">
        <v>2919.6854609791726</v>
      </c>
      <c r="CQ147">
        <v>360.80219178082194</v>
      </c>
      <c r="CR147">
        <v>72.160438356164377</v>
      </c>
      <c r="CS147">
        <v>368.55943890410958</v>
      </c>
      <c r="CT147">
        <v>16804.202196686936</v>
      </c>
      <c r="CY147">
        <v>0</v>
      </c>
      <c r="DB147">
        <v>10535.423999999999</v>
      </c>
      <c r="DE147" s="61">
        <v>16804.202196686936</v>
      </c>
    </row>
    <row r="148" spans="1:109" hidden="1" x14ac:dyDescent="0.3">
      <c r="A148">
        <v>1905</v>
      </c>
      <c r="B148" t="s">
        <v>694</v>
      </c>
      <c r="C148" t="s">
        <v>603</v>
      </c>
      <c r="D148" t="s">
        <v>604</v>
      </c>
      <c r="E148" t="s">
        <v>892</v>
      </c>
      <c r="F148" t="s">
        <v>616</v>
      </c>
      <c r="G148" t="s">
        <v>617</v>
      </c>
      <c r="H148" t="s">
        <v>622</v>
      </c>
      <c r="I148" t="s">
        <v>623</v>
      </c>
      <c r="J148" s="3">
        <v>45644</v>
      </c>
      <c r="K148">
        <v>0.12054794520547946</v>
      </c>
      <c r="L148">
        <v>0</v>
      </c>
      <c r="M148" t="s">
        <v>678</v>
      </c>
      <c r="N148" t="s">
        <v>678</v>
      </c>
      <c r="O148">
        <v>1.0492999999999999</v>
      </c>
      <c r="P148">
        <v>3439.4559999999997</v>
      </c>
      <c r="Q148">
        <v>3439.4559999999997</v>
      </c>
      <c r="R148">
        <v>288.8</v>
      </c>
      <c r="S148">
        <v>303.03783999999996</v>
      </c>
      <c r="T148">
        <v>0</v>
      </c>
      <c r="U148">
        <v>303.03783999999996</v>
      </c>
      <c r="V148">
        <v>30.4</v>
      </c>
      <c r="W148">
        <v>8779.52</v>
      </c>
      <c r="Y148">
        <v>438.97599999999994</v>
      </c>
      <c r="AC148">
        <v>750</v>
      </c>
      <c r="AE148">
        <v>41.666666666666664</v>
      </c>
      <c r="AF148">
        <v>877.952</v>
      </c>
      <c r="AG148">
        <v>877.952</v>
      </c>
      <c r="AH148">
        <v>438.97600000000006</v>
      </c>
      <c r="AI148">
        <v>877.95200000000011</v>
      </c>
      <c r="AJ148">
        <v>0</v>
      </c>
      <c r="AK148">
        <v>0</v>
      </c>
      <c r="AL148">
        <v>1755.904</v>
      </c>
      <c r="AM148">
        <v>11852.352000000001</v>
      </c>
      <c r="AN148">
        <v>13082.994666666666</v>
      </c>
      <c r="AO148">
        <v>13041.328000000001</v>
      </c>
      <c r="AQ148">
        <v>10010.162666666667</v>
      </c>
      <c r="AR148">
        <v>24076.191999999999</v>
      </c>
      <c r="AS148">
        <v>10535.424000000001</v>
      </c>
      <c r="AT148">
        <v>0</v>
      </c>
      <c r="AU148">
        <v>13540.767999999998</v>
      </c>
      <c r="AV148">
        <v>1755.904</v>
      </c>
      <c r="AW148">
        <v>0</v>
      </c>
      <c r="AX148">
        <v>11766.066666666666</v>
      </c>
      <c r="AY148">
        <v>11128.02</v>
      </c>
      <c r="AZ148">
        <v>638.04666666666526</v>
      </c>
      <c r="BA148">
        <v>0.16</v>
      </c>
      <c r="BB148">
        <v>102.08746666666644</v>
      </c>
      <c r="BC148">
        <v>893.63</v>
      </c>
      <c r="BD148">
        <v>995.7174666666665</v>
      </c>
      <c r="BE148">
        <v>0</v>
      </c>
      <c r="BF148">
        <v>995.7174666666665</v>
      </c>
      <c r="BG148">
        <v>41.02142222222222</v>
      </c>
      <c r="BH148">
        <v>0</v>
      </c>
      <c r="BI148">
        <v>344.05926222222217</v>
      </c>
      <c r="BJ148">
        <v>1032.1777866666666</v>
      </c>
      <c r="BK148">
        <v>0</v>
      </c>
      <c r="BL148">
        <v>0</v>
      </c>
      <c r="BM148">
        <v>28.880000000000006</v>
      </c>
      <c r="BN148">
        <v>0</v>
      </c>
      <c r="BO148">
        <v>0</v>
      </c>
      <c r="BP148">
        <v>372.93926222222217</v>
      </c>
      <c r="BQ148">
        <v>372.93926222222217</v>
      </c>
      <c r="BR148">
        <v>4.0223114666666584</v>
      </c>
      <c r="BS148">
        <v>27.970444666666662</v>
      </c>
      <c r="BT148">
        <v>41.955666999999991</v>
      </c>
      <c r="BU148">
        <v>69.926111666666657</v>
      </c>
      <c r="BV148">
        <v>125.86700099999999</v>
      </c>
      <c r="BW148">
        <v>269.74153579999995</v>
      </c>
      <c r="BX148">
        <v>11817.535664199999</v>
      </c>
      <c r="BY148">
        <v>877.95200000000011</v>
      </c>
      <c r="BZ148">
        <v>10939.583664199999</v>
      </c>
      <c r="CA148">
        <v>13041.328</v>
      </c>
      <c r="CB148">
        <v>391.23983999999996</v>
      </c>
      <c r="CC148">
        <v>372.93926222222217</v>
      </c>
      <c r="CD148">
        <v>692.41679999999997</v>
      </c>
      <c r="CE148">
        <v>11.06135653333331</v>
      </c>
      <c r="CF148">
        <v>78.317245066666658</v>
      </c>
      <c r="CG148">
        <v>117.4758676</v>
      </c>
      <c r="CH148">
        <v>185.89940697917331</v>
      </c>
      <c r="CI148">
        <v>195.79311266666667</v>
      </c>
      <c r="CJ148">
        <v>111.88177866666665</v>
      </c>
      <c r="CK148">
        <v>223.7635573333333</v>
      </c>
      <c r="CL148">
        <v>352.42760279999999</v>
      </c>
      <c r="CM148">
        <v>1969.0367276458396</v>
      </c>
      <c r="CN148">
        <v>559.40889333333325</v>
      </c>
      <c r="CO148">
        <v>2919.6854609791726</v>
      </c>
      <c r="CQ148">
        <v>360.80219178082194</v>
      </c>
      <c r="CR148">
        <v>72.160438356164377</v>
      </c>
      <c r="CS148">
        <v>368.55943890410958</v>
      </c>
      <c r="CT148">
        <v>16804.202196686936</v>
      </c>
      <c r="CY148">
        <v>0</v>
      </c>
      <c r="DB148">
        <v>10535.423999999999</v>
      </c>
      <c r="DE148" s="61">
        <v>16804.202196686936</v>
      </c>
    </row>
    <row r="149" spans="1:109" hidden="1" x14ac:dyDescent="0.3">
      <c r="A149">
        <v>1335</v>
      </c>
      <c r="B149" t="s">
        <v>637</v>
      </c>
      <c r="C149" t="s">
        <v>603</v>
      </c>
      <c r="D149" t="s">
        <v>604</v>
      </c>
      <c r="E149" t="s">
        <v>713</v>
      </c>
      <c r="F149" t="s">
        <v>616</v>
      </c>
      <c r="G149" t="s">
        <v>617</v>
      </c>
      <c r="H149" t="s">
        <v>622</v>
      </c>
      <c r="I149" t="s">
        <v>623</v>
      </c>
      <c r="J149" s="3">
        <v>44426</v>
      </c>
      <c r="K149">
        <v>3.4575342465753423</v>
      </c>
      <c r="L149">
        <v>3</v>
      </c>
      <c r="M149" t="s">
        <v>698</v>
      </c>
      <c r="N149" t="s">
        <v>698</v>
      </c>
      <c r="O149">
        <v>1.0533999999999999</v>
      </c>
      <c r="P149">
        <v>3439.4559999999997</v>
      </c>
      <c r="Q149">
        <v>3439.4559999999997</v>
      </c>
      <c r="R149">
        <v>294.81</v>
      </c>
      <c r="S149">
        <v>310.55285399999997</v>
      </c>
      <c r="T149">
        <v>16.04</v>
      </c>
      <c r="U149">
        <v>326.59285399999999</v>
      </c>
      <c r="V149">
        <v>30.4</v>
      </c>
      <c r="W149">
        <v>8962.2240000000002</v>
      </c>
      <c r="AC149">
        <v>750</v>
      </c>
      <c r="AE149">
        <v>41.666666666666664</v>
      </c>
      <c r="AF149">
        <v>896.22239999999999</v>
      </c>
      <c r="AG149">
        <v>896.22239999999999</v>
      </c>
      <c r="AH149">
        <v>448.11120000000005</v>
      </c>
      <c r="AI149">
        <v>896.22240000000011</v>
      </c>
      <c r="AJ149">
        <v>0</v>
      </c>
      <c r="AK149">
        <v>0</v>
      </c>
      <c r="AL149">
        <v>1792.4448</v>
      </c>
      <c r="AM149">
        <v>12099.002399999999</v>
      </c>
      <c r="AN149">
        <v>12890.669066666667</v>
      </c>
      <c r="AO149">
        <v>12849.002399999999</v>
      </c>
      <c r="AQ149">
        <v>9712.2240000000002</v>
      </c>
      <c r="AR149">
        <v>24076.191999999999</v>
      </c>
      <c r="AS149">
        <v>10754.668799999999</v>
      </c>
      <c r="AT149">
        <v>0</v>
      </c>
      <c r="AU149">
        <v>13321.5232</v>
      </c>
      <c r="AV149">
        <v>1792.4448</v>
      </c>
      <c r="AW149">
        <v>0</v>
      </c>
      <c r="AX149">
        <v>11546.335466666667</v>
      </c>
      <c r="AY149">
        <v>11128.02</v>
      </c>
      <c r="AZ149">
        <v>418.31546666666691</v>
      </c>
      <c r="BA149">
        <v>0.16</v>
      </c>
      <c r="BB149">
        <v>66.930474666666711</v>
      </c>
      <c r="BC149">
        <v>893.63</v>
      </c>
      <c r="BD149">
        <v>960.56047466666666</v>
      </c>
      <c r="BE149">
        <v>0</v>
      </c>
      <c r="BF149">
        <v>960.56047466666666</v>
      </c>
      <c r="BG149">
        <v>26.388888888888889</v>
      </c>
      <c r="BH149">
        <v>0</v>
      </c>
      <c r="BI149">
        <v>352.9817428888889</v>
      </c>
      <c r="BJ149">
        <v>1058.9452286666667</v>
      </c>
      <c r="BK149">
        <v>0</v>
      </c>
      <c r="BL149">
        <v>0</v>
      </c>
      <c r="BM149">
        <v>29.481000000000005</v>
      </c>
      <c r="BN149">
        <v>0</v>
      </c>
      <c r="BO149">
        <v>0</v>
      </c>
      <c r="BP149">
        <v>366.42274288888888</v>
      </c>
      <c r="BQ149">
        <v>366.42274288888888</v>
      </c>
      <c r="BR149">
        <v>3.2403291466666633</v>
      </c>
      <c r="BS149">
        <v>27.481705716666667</v>
      </c>
      <c r="BT149">
        <v>41.222558574999994</v>
      </c>
      <c r="BU149">
        <v>68.704264291666675</v>
      </c>
      <c r="BV149">
        <v>123.667675725</v>
      </c>
      <c r="BW149">
        <v>264.31653345500001</v>
      </c>
      <c r="BX149">
        <v>11665.792058545001</v>
      </c>
      <c r="BY149">
        <v>896.22240000000011</v>
      </c>
      <c r="BZ149">
        <v>10769.569658545</v>
      </c>
      <c r="CA149">
        <v>12849.002400000001</v>
      </c>
      <c r="CB149">
        <v>385.47007200000002</v>
      </c>
      <c r="CC149">
        <v>366.42274288888888</v>
      </c>
      <c r="CD149">
        <v>692.41679999999997</v>
      </c>
      <c r="CE149">
        <v>8.9109051533333243</v>
      </c>
      <c r="CF149">
        <v>76.948776006666677</v>
      </c>
      <c r="CG149">
        <v>115.42316400999999</v>
      </c>
      <c r="CH149">
        <v>182.65111107056731</v>
      </c>
      <c r="CI149">
        <v>192.37194001666668</v>
      </c>
      <c r="CJ149">
        <v>109.92682286666667</v>
      </c>
      <c r="CK149">
        <v>219.85364573333334</v>
      </c>
      <c r="CL149">
        <v>346.26949202999998</v>
      </c>
      <c r="CM149">
        <v>1944.772656887234</v>
      </c>
      <c r="CN149">
        <v>549.6341143333334</v>
      </c>
      <c r="CO149">
        <v>2879.8768432205675</v>
      </c>
      <c r="CQ149">
        <v>368.31057534246577</v>
      </c>
      <c r="CR149">
        <v>110.4931726027397</v>
      </c>
      <c r="CS149">
        <v>377.33418443835615</v>
      </c>
      <c r="CT149">
        <v>16626.683842270795</v>
      </c>
      <c r="CY149">
        <v>0</v>
      </c>
      <c r="DB149">
        <v>10754.668800000001</v>
      </c>
      <c r="DE149" s="61">
        <v>16626.683842270795</v>
      </c>
    </row>
    <row r="150" spans="1:109" hidden="1" x14ac:dyDescent="0.3">
      <c r="A150">
        <v>1574</v>
      </c>
      <c r="B150" t="s">
        <v>637</v>
      </c>
      <c r="C150" t="s">
        <v>603</v>
      </c>
      <c r="D150" t="s">
        <v>604</v>
      </c>
      <c r="E150" t="s">
        <v>757</v>
      </c>
      <c r="F150" t="s">
        <v>616</v>
      </c>
      <c r="G150" t="s">
        <v>617</v>
      </c>
      <c r="H150" t="s">
        <v>622</v>
      </c>
      <c r="I150" t="s">
        <v>623</v>
      </c>
      <c r="J150" s="3">
        <v>44833</v>
      </c>
      <c r="K150">
        <v>2.3424657534246576</v>
      </c>
      <c r="L150">
        <v>2</v>
      </c>
      <c r="M150" t="s">
        <v>735</v>
      </c>
      <c r="N150" t="s">
        <v>735</v>
      </c>
      <c r="O150">
        <v>1.0521</v>
      </c>
      <c r="P150">
        <v>3439.4559999999997</v>
      </c>
      <c r="Q150">
        <v>3439.4559999999997</v>
      </c>
      <c r="R150">
        <v>294.81</v>
      </c>
      <c r="S150">
        <v>310.169601</v>
      </c>
      <c r="T150">
        <v>12.89</v>
      </c>
      <c r="U150">
        <v>323.05960099999999</v>
      </c>
      <c r="V150">
        <v>30.4</v>
      </c>
      <c r="W150">
        <v>8962.2240000000002</v>
      </c>
      <c r="AC150">
        <v>750</v>
      </c>
      <c r="AE150">
        <v>41.666666666666664</v>
      </c>
      <c r="AF150">
        <v>896.22239999999999</v>
      </c>
      <c r="AG150">
        <v>896.22239999999999</v>
      </c>
      <c r="AH150">
        <v>448.11120000000005</v>
      </c>
      <c r="AI150">
        <v>896.22240000000011</v>
      </c>
      <c r="AJ150">
        <v>0</v>
      </c>
      <c r="AK150">
        <v>0</v>
      </c>
      <c r="AL150">
        <v>1792.4448</v>
      </c>
      <c r="AM150">
        <v>12099.002399999999</v>
      </c>
      <c r="AN150">
        <v>12890.669066666667</v>
      </c>
      <c r="AO150">
        <v>12849.002399999999</v>
      </c>
      <c r="AQ150">
        <v>9712.2240000000002</v>
      </c>
      <c r="AR150">
        <v>24076.191999999999</v>
      </c>
      <c r="AS150">
        <v>10754.668799999999</v>
      </c>
      <c r="AT150">
        <v>0</v>
      </c>
      <c r="AU150">
        <v>13321.5232</v>
      </c>
      <c r="AV150">
        <v>1792.4448</v>
      </c>
      <c r="AW150">
        <v>0</v>
      </c>
      <c r="AX150">
        <v>11546.335466666667</v>
      </c>
      <c r="AY150">
        <v>11128.02</v>
      </c>
      <c r="AZ150">
        <v>418.31546666666691</v>
      </c>
      <c r="BA150">
        <v>0.16</v>
      </c>
      <c r="BB150">
        <v>66.930474666666711</v>
      </c>
      <c r="BC150">
        <v>893.63</v>
      </c>
      <c r="BD150">
        <v>960.56047466666666</v>
      </c>
      <c r="BE150">
        <v>0</v>
      </c>
      <c r="BF150">
        <v>960.56047466666666</v>
      </c>
      <c r="BG150">
        <v>26.388888888888889</v>
      </c>
      <c r="BH150">
        <v>0</v>
      </c>
      <c r="BI150">
        <v>349.4484898888889</v>
      </c>
      <c r="BJ150">
        <v>1048.3454696666668</v>
      </c>
      <c r="BK150">
        <v>0</v>
      </c>
      <c r="BL150">
        <v>0</v>
      </c>
      <c r="BM150">
        <v>29.481000000000005</v>
      </c>
      <c r="BN150">
        <v>0</v>
      </c>
      <c r="BO150">
        <v>0</v>
      </c>
      <c r="BP150">
        <v>366.03948988888891</v>
      </c>
      <c r="BQ150">
        <v>366.03948988888891</v>
      </c>
      <c r="BR150">
        <v>3.194338786666667</v>
      </c>
      <c r="BS150">
        <v>27.45296174166667</v>
      </c>
      <c r="BT150">
        <v>41.179442612499997</v>
      </c>
      <c r="BU150">
        <v>68.632404354166681</v>
      </c>
      <c r="BV150">
        <v>123.53832783749999</v>
      </c>
      <c r="BW150">
        <v>263.99747533250002</v>
      </c>
      <c r="BX150">
        <v>11666.1111166675</v>
      </c>
      <c r="BY150">
        <v>896.22240000000011</v>
      </c>
      <c r="BZ150">
        <v>10769.888716667499</v>
      </c>
      <c r="CA150">
        <v>12849.002400000001</v>
      </c>
      <c r="CB150">
        <v>385.47007200000002</v>
      </c>
      <c r="CC150">
        <v>366.03948988888891</v>
      </c>
      <c r="CD150">
        <v>692.41679999999997</v>
      </c>
      <c r="CE150">
        <v>8.7844316633333346</v>
      </c>
      <c r="CF150">
        <v>76.868292876666672</v>
      </c>
      <c r="CG150">
        <v>115.30243931500002</v>
      </c>
      <c r="CH150">
        <v>182.46007056440433</v>
      </c>
      <c r="CI150">
        <v>192.1707321916667</v>
      </c>
      <c r="CJ150">
        <v>109.81184696666668</v>
      </c>
      <c r="CK150">
        <v>219.62369393333336</v>
      </c>
      <c r="CL150">
        <v>345.90731794500005</v>
      </c>
      <c r="CM150">
        <v>1943.3456254560715</v>
      </c>
      <c r="CN150">
        <v>549.05923483333345</v>
      </c>
      <c r="CO150">
        <v>2877.874932289405</v>
      </c>
      <c r="CQ150">
        <v>368.31057534246577</v>
      </c>
      <c r="CR150">
        <v>98.216153424657534</v>
      </c>
      <c r="CS150">
        <v>376.96587386301366</v>
      </c>
      <c r="CT150">
        <v>16612.036601586209</v>
      </c>
      <c r="CY150">
        <v>0</v>
      </c>
      <c r="DB150">
        <v>10754.668800000001</v>
      </c>
      <c r="DE150" s="61">
        <v>16612.036601586209</v>
      </c>
    </row>
    <row r="151" spans="1:109" hidden="1" x14ac:dyDescent="0.3">
      <c r="A151">
        <v>1612</v>
      </c>
      <c r="B151" t="s">
        <v>637</v>
      </c>
      <c r="C151" t="s">
        <v>603</v>
      </c>
      <c r="D151" t="s">
        <v>604</v>
      </c>
      <c r="E151" t="s">
        <v>764</v>
      </c>
      <c r="F151" t="s">
        <v>616</v>
      </c>
      <c r="G151" t="s">
        <v>617</v>
      </c>
      <c r="H151" t="s">
        <v>622</v>
      </c>
      <c r="I151" t="s">
        <v>623</v>
      </c>
      <c r="J151" s="3">
        <v>44873</v>
      </c>
      <c r="K151">
        <v>2.2328767123287672</v>
      </c>
      <c r="L151">
        <v>2</v>
      </c>
      <c r="M151" t="s">
        <v>735</v>
      </c>
      <c r="N151" t="s">
        <v>735</v>
      </c>
      <c r="O151">
        <v>1.0521</v>
      </c>
      <c r="P151">
        <v>3439.4559999999997</v>
      </c>
      <c r="Q151">
        <v>3439.4559999999997</v>
      </c>
      <c r="R151">
        <v>294.81</v>
      </c>
      <c r="S151">
        <v>310.169601</v>
      </c>
      <c r="T151">
        <v>11.95</v>
      </c>
      <c r="U151">
        <v>322.11960099999999</v>
      </c>
      <c r="V151">
        <v>30.4</v>
      </c>
      <c r="W151">
        <v>8962.2240000000002</v>
      </c>
      <c r="AC151">
        <v>750</v>
      </c>
      <c r="AE151">
        <v>41.666666666666664</v>
      </c>
      <c r="AF151">
        <v>896.22239999999999</v>
      </c>
      <c r="AG151">
        <v>896.22239999999999</v>
      </c>
      <c r="AH151">
        <v>448.11120000000005</v>
      </c>
      <c r="AI151">
        <v>896.22240000000011</v>
      </c>
      <c r="AJ151">
        <v>0</v>
      </c>
      <c r="AK151">
        <v>0</v>
      </c>
      <c r="AL151">
        <v>1792.4448</v>
      </c>
      <c r="AM151">
        <v>12099.002399999999</v>
      </c>
      <c r="AN151">
        <v>12890.669066666667</v>
      </c>
      <c r="AO151">
        <v>12849.002399999999</v>
      </c>
      <c r="AQ151">
        <v>9712.2240000000002</v>
      </c>
      <c r="AR151">
        <v>24076.191999999999</v>
      </c>
      <c r="AS151">
        <v>10754.668799999999</v>
      </c>
      <c r="AT151">
        <v>0</v>
      </c>
      <c r="AU151">
        <v>13321.5232</v>
      </c>
      <c r="AV151">
        <v>1792.4448</v>
      </c>
      <c r="AW151">
        <v>0</v>
      </c>
      <c r="AX151">
        <v>11546.335466666667</v>
      </c>
      <c r="AY151">
        <v>11128.02</v>
      </c>
      <c r="AZ151">
        <v>418.31546666666691</v>
      </c>
      <c r="BA151">
        <v>0.16</v>
      </c>
      <c r="BB151">
        <v>66.930474666666711</v>
      </c>
      <c r="BC151">
        <v>893.63</v>
      </c>
      <c r="BD151">
        <v>960.56047466666666</v>
      </c>
      <c r="BE151">
        <v>0</v>
      </c>
      <c r="BF151">
        <v>960.56047466666666</v>
      </c>
      <c r="BG151">
        <v>26.388888888888889</v>
      </c>
      <c r="BH151">
        <v>0</v>
      </c>
      <c r="BI151">
        <v>348.5084898888889</v>
      </c>
      <c r="BJ151">
        <v>1045.5254696666668</v>
      </c>
      <c r="BK151">
        <v>0</v>
      </c>
      <c r="BL151">
        <v>0</v>
      </c>
      <c r="BM151">
        <v>29.481000000000005</v>
      </c>
      <c r="BN151">
        <v>0</v>
      </c>
      <c r="BO151">
        <v>0</v>
      </c>
      <c r="BP151">
        <v>366.03948988888891</v>
      </c>
      <c r="BQ151">
        <v>366.03948988888891</v>
      </c>
      <c r="BR151">
        <v>3.194338786666667</v>
      </c>
      <c r="BS151">
        <v>27.45296174166667</v>
      </c>
      <c r="BT151">
        <v>41.179442612499997</v>
      </c>
      <c r="BU151">
        <v>68.632404354166681</v>
      </c>
      <c r="BV151">
        <v>123.53832783749999</v>
      </c>
      <c r="BW151">
        <v>263.99747533250002</v>
      </c>
      <c r="BX151">
        <v>11666.1111166675</v>
      </c>
      <c r="BY151">
        <v>896.22240000000011</v>
      </c>
      <c r="BZ151">
        <v>10769.888716667499</v>
      </c>
      <c r="CA151">
        <v>12849.002400000001</v>
      </c>
      <c r="CB151">
        <v>385.47007200000002</v>
      </c>
      <c r="CC151">
        <v>366.03948988888891</v>
      </c>
      <c r="CD151">
        <v>692.41679999999997</v>
      </c>
      <c r="CE151">
        <v>8.7844316633333346</v>
      </c>
      <c r="CF151">
        <v>76.868292876666672</v>
      </c>
      <c r="CG151">
        <v>115.30243931500002</v>
      </c>
      <c r="CH151">
        <v>182.46007056440433</v>
      </c>
      <c r="CI151">
        <v>192.1707321916667</v>
      </c>
      <c r="CJ151">
        <v>109.81184696666668</v>
      </c>
      <c r="CK151">
        <v>219.62369393333336</v>
      </c>
      <c r="CL151">
        <v>345.90731794500005</v>
      </c>
      <c r="CM151">
        <v>1943.3456254560715</v>
      </c>
      <c r="CN151">
        <v>549.05923483333345</v>
      </c>
      <c r="CO151">
        <v>2877.874932289405</v>
      </c>
      <c r="CQ151">
        <v>368.31057534246577</v>
      </c>
      <c r="CR151">
        <v>98.216153424657534</v>
      </c>
      <c r="CS151">
        <v>376.96587386301366</v>
      </c>
      <c r="CT151">
        <v>16612.036601586209</v>
      </c>
      <c r="CY151">
        <v>0</v>
      </c>
      <c r="DB151">
        <v>10754.668800000001</v>
      </c>
      <c r="DE151" s="61">
        <v>16612.036601586209</v>
      </c>
    </row>
    <row r="152" spans="1:109" hidden="1" x14ac:dyDescent="0.3">
      <c r="A152">
        <v>1631</v>
      </c>
      <c r="B152" t="s">
        <v>611</v>
      </c>
      <c r="C152" t="s">
        <v>603</v>
      </c>
      <c r="D152" t="s">
        <v>604</v>
      </c>
      <c r="E152" t="s">
        <v>767</v>
      </c>
      <c r="F152" t="s">
        <v>616</v>
      </c>
      <c r="G152" t="s">
        <v>617</v>
      </c>
      <c r="H152" t="s">
        <v>608</v>
      </c>
      <c r="I152" t="s">
        <v>609</v>
      </c>
      <c r="J152" s="3">
        <v>44900</v>
      </c>
      <c r="K152">
        <v>2.1589041095890411</v>
      </c>
      <c r="L152">
        <v>2</v>
      </c>
      <c r="M152" t="s">
        <v>735</v>
      </c>
      <c r="N152" t="s">
        <v>735</v>
      </c>
      <c r="O152">
        <v>1.0521</v>
      </c>
      <c r="P152">
        <v>3439.4559999999997</v>
      </c>
      <c r="Q152">
        <v>3439.4559999999997</v>
      </c>
      <c r="R152">
        <v>294.81</v>
      </c>
      <c r="S152">
        <v>310.169601</v>
      </c>
      <c r="T152">
        <v>18.61</v>
      </c>
      <c r="U152">
        <v>328.77960100000001</v>
      </c>
      <c r="V152">
        <v>30.4</v>
      </c>
      <c r="W152">
        <v>8962.2240000000002</v>
      </c>
      <c r="AC152">
        <v>750</v>
      </c>
      <c r="AE152">
        <v>41.666666666666664</v>
      </c>
      <c r="AF152">
        <v>896.22239999999999</v>
      </c>
      <c r="AG152">
        <v>896.22239999999999</v>
      </c>
      <c r="AH152">
        <v>448.11120000000005</v>
      </c>
      <c r="AI152">
        <v>896.22240000000011</v>
      </c>
      <c r="AJ152">
        <v>0</v>
      </c>
      <c r="AK152">
        <v>0</v>
      </c>
      <c r="AL152">
        <v>1792.4448</v>
      </c>
      <c r="AM152">
        <v>12099.002399999999</v>
      </c>
      <c r="AN152">
        <v>12890.669066666667</v>
      </c>
      <c r="AO152">
        <v>12849.002399999999</v>
      </c>
      <c r="AQ152">
        <v>9712.2240000000002</v>
      </c>
      <c r="AR152">
        <v>24076.191999999999</v>
      </c>
      <c r="AS152">
        <v>10754.668799999999</v>
      </c>
      <c r="AT152">
        <v>0</v>
      </c>
      <c r="AU152">
        <v>13321.5232</v>
      </c>
      <c r="AV152">
        <v>1792.4448</v>
      </c>
      <c r="AW152">
        <v>0</v>
      </c>
      <c r="AX152">
        <v>11546.335466666667</v>
      </c>
      <c r="AY152">
        <v>11128.02</v>
      </c>
      <c r="AZ152">
        <v>418.31546666666691</v>
      </c>
      <c r="BA152">
        <v>0.16</v>
      </c>
      <c r="BB152">
        <v>66.930474666666711</v>
      </c>
      <c r="BC152">
        <v>893.63</v>
      </c>
      <c r="BD152">
        <v>960.56047466666666</v>
      </c>
      <c r="BE152">
        <v>0</v>
      </c>
      <c r="BF152">
        <v>960.56047466666666</v>
      </c>
      <c r="BG152">
        <v>26.388888888888889</v>
      </c>
      <c r="BH152">
        <v>0</v>
      </c>
      <c r="BI152">
        <v>355.16848988888893</v>
      </c>
      <c r="BJ152">
        <v>1065.5054696666668</v>
      </c>
      <c r="BK152">
        <v>0</v>
      </c>
      <c r="BL152">
        <v>0</v>
      </c>
      <c r="BM152">
        <v>29.481000000000005</v>
      </c>
      <c r="BN152">
        <v>0</v>
      </c>
      <c r="BO152">
        <v>0</v>
      </c>
      <c r="BP152">
        <v>366.03948988888891</v>
      </c>
      <c r="BQ152">
        <v>366.03948988888891</v>
      </c>
      <c r="BR152">
        <v>3.194338786666667</v>
      </c>
      <c r="BS152">
        <v>27.45296174166667</v>
      </c>
      <c r="BT152">
        <v>41.179442612499997</v>
      </c>
      <c r="BU152">
        <v>68.632404354166681</v>
      </c>
      <c r="BV152">
        <v>123.53832783749999</v>
      </c>
      <c r="BW152">
        <v>263.99747533250002</v>
      </c>
      <c r="BX152">
        <v>11666.1111166675</v>
      </c>
      <c r="BY152">
        <v>896.22240000000011</v>
      </c>
      <c r="BZ152">
        <v>10769.888716667499</v>
      </c>
      <c r="CA152">
        <v>12849.002400000001</v>
      </c>
      <c r="CB152">
        <v>385.47007200000002</v>
      </c>
      <c r="CC152">
        <v>366.03948988888891</v>
      </c>
      <c r="CD152">
        <v>692.41679999999997</v>
      </c>
      <c r="CE152">
        <v>8.7844316633333346</v>
      </c>
      <c r="CF152">
        <v>76.868292876666672</v>
      </c>
      <c r="CG152">
        <v>115.30243931500002</v>
      </c>
      <c r="CH152">
        <v>182.46007056440433</v>
      </c>
      <c r="CI152">
        <v>192.1707321916667</v>
      </c>
      <c r="CJ152">
        <v>109.81184696666668</v>
      </c>
      <c r="CK152">
        <v>219.62369393333336</v>
      </c>
      <c r="CL152">
        <v>345.90731794500005</v>
      </c>
      <c r="CM152">
        <v>1943.3456254560715</v>
      </c>
      <c r="CN152">
        <v>549.05923483333345</v>
      </c>
      <c r="CO152">
        <v>2877.874932289405</v>
      </c>
      <c r="CQ152">
        <v>368.31057534246577</v>
      </c>
      <c r="CR152">
        <v>98.216153424657534</v>
      </c>
      <c r="CS152">
        <v>376.96587386301366</v>
      </c>
      <c r="CT152">
        <v>16612.036601586209</v>
      </c>
      <c r="CY152">
        <v>0</v>
      </c>
      <c r="DB152">
        <v>10754.668800000001</v>
      </c>
      <c r="DE152" s="61">
        <v>16612.036601586209</v>
      </c>
    </row>
    <row r="153" spans="1:109" hidden="1" x14ac:dyDescent="0.3">
      <c r="A153">
        <v>1078</v>
      </c>
      <c r="B153" t="s">
        <v>611</v>
      </c>
      <c r="C153" t="s">
        <v>603</v>
      </c>
      <c r="D153" t="s">
        <v>604</v>
      </c>
      <c r="E153" t="s">
        <v>679</v>
      </c>
      <c r="F153" t="s">
        <v>616</v>
      </c>
      <c r="G153" t="s">
        <v>617</v>
      </c>
      <c r="H153" t="s">
        <v>608</v>
      </c>
      <c r="I153" t="s">
        <v>609</v>
      </c>
      <c r="J153" s="3">
        <v>45236</v>
      </c>
      <c r="K153">
        <v>1.2383561643835617</v>
      </c>
      <c r="L153">
        <v>1</v>
      </c>
      <c r="M153" t="s">
        <v>676</v>
      </c>
      <c r="N153" t="s">
        <v>676</v>
      </c>
      <c r="O153">
        <v>1.0507</v>
      </c>
      <c r="P153">
        <v>3439.4559999999997</v>
      </c>
      <c r="Q153">
        <v>3439.4559999999997</v>
      </c>
      <c r="R153">
        <v>294.81</v>
      </c>
      <c r="S153">
        <v>309.756867</v>
      </c>
      <c r="T153">
        <v>23.17</v>
      </c>
      <c r="U153">
        <v>332.92686700000002</v>
      </c>
      <c r="V153">
        <v>30.4</v>
      </c>
      <c r="W153">
        <v>8962.2240000000002</v>
      </c>
      <c r="AC153">
        <v>750</v>
      </c>
      <c r="AE153">
        <v>41.666666666666664</v>
      </c>
      <c r="AF153">
        <v>896.22239999999999</v>
      </c>
      <c r="AG153">
        <v>896.22239999999999</v>
      </c>
      <c r="AH153">
        <v>448.11120000000005</v>
      </c>
      <c r="AI153">
        <v>896.22240000000011</v>
      </c>
      <c r="AJ153">
        <v>0</v>
      </c>
      <c r="AK153">
        <v>0</v>
      </c>
      <c r="AL153">
        <v>1792.4448</v>
      </c>
      <c r="AM153">
        <v>12099.002399999999</v>
      </c>
      <c r="AN153">
        <v>12890.669066666667</v>
      </c>
      <c r="AO153">
        <v>12849.002399999999</v>
      </c>
      <c r="AQ153">
        <v>9712.2240000000002</v>
      </c>
      <c r="AR153">
        <v>24076.191999999999</v>
      </c>
      <c r="AS153">
        <v>10754.668799999999</v>
      </c>
      <c r="AT153">
        <v>0</v>
      </c>
      <c r="AU153">
        <v>13321.5232</v>
      </c>
      <c r="AV153">
        <v>1792.4448</v>
      </c>
      <c r="AW153">
        <v>0</v>
      </c>
      <c r="AX153">
        <v>11546.335466666667</v>
      </c>
      <c r="AY153">
        <v>11128.02</v>
      </c>
      <c r="AZ153">
        <v>418.31546666666691</v>
      </c>
      <c r="BA153">
        <v>0.16</v>
      </c>
      <c r="BB153">
        <v>66.930474666666711</v>
      </c>
      <c r="BC153">
        <v>893.63</v>
      </c>
      <c r="BD153">
        <v>960.56047466666666</v>
      </c>
      <c r="BE153">
        <v>0</v>
      </c>
      <c r="BF153">
        <v>960.56047466666666</v>
      </c>
      <c r="BG153">
        <v>26.388888888888889</v>
      </c>
      <c r="BH153">
        <v>0</v>
      </c>
      <c r="BI153">
        <v>359.31575588888893</v>
      </c>
      <c r="BJ153">
        <v>1077.9472676666669</v>
      </c>
      <c r="BK153">
        <v>0</v>
      </c>
      <c r="BL153">
        <v>0</v>
      </c>
      <c r="BM153">
        <v>29.481000000000005</v>
      </c>
      <c r="BN153">
        <v>0</v>
      </c>
      <c r="BO153">
        <v>0</v>
      </c>
      <c r="BP153">
        <v>365.62675588888891</v>
      </c>
      <c r="BQ153">
        <v>365.62675588888891</v>
      </c>
      <c r="BR153">
        <v>3.1448107066666675</v>
      </c>
      <c r="BS153">
        <v>27.422006691666667</v>
      </c>
      <c r="BT153">
        <v>41.1330100375</v>
      </c>
      <c r="BU153">
        <v>68.555016729166681</v>
      </c>
      <c r="BV153">
        <v>123.3990301125</v>
      </c>
      <c r="BW153">
        <v>263.65387427749999</v>
      </c>
      <c r="BX153">
        <v>11666.454717722501</v>
      </c>
      <c r="BY153">
        <v>896.22240000000011</v>
      </c>
      <c r="BZ153">
        <v>10770.232317722501</v>
      </c>
      <c r="CA153">
        <v>12849.002400000001</v>
      </c>
      <c r="CB153">
        <v>385.47007200000002</v>
      </c>
      <c r="CC153">
        <v>365.62675588888891</v>
      </c>
      <c r="CD153">
        <v>692.41679999999997</v>
      </c>
      <c r="CE153">
        <v>8.6482294433333351</v>
      </c>
      <c r="CF153">
        <v>76.781618736666672</v>
      </c>
      <c r="CG153">
        <v>115.17242810500001</v>
      </c>
      <c r="CH153">
        <v>182.25433463469037</v>
      </c>
      <c r="CI153">
        <v>191.9540468416667</v>
      </c>
      <c r="CJ153">
        <v>109.68802676666667</v>
      </c>
      <c r="CK153">
        <v>219.37605353333333</v>
      </c>
      <c r="CL153">
        <v>345.51728431500004</v>
      </c>
      <c r="CM153">
        <v>1941.8088223763571</v>
      </c>
      <c r="CN153">
        <v>548.44013383333345</v>
      </c>
      <c r="CO153">
        <v>2875.7190282096908</v>
      </c>
      <c r="CQ153">
        <v>368.31057534246577</v>
      </c>
      <c r="CR153">
        <v>85.939134246575335</v>
      </c>
      <c r="CS153">
        <v>376.59756328767122</v>
      </c>
      <c r="CT153">
        <v>16597.23536775307</v>
      </c>
      <c r="CY153">
        <v>0</v>
      </c>
      <c r="DB153">
        <v>10754.668800000001</v>
      </c>
      <c r="DE153" s="61">
        <v>16597.23536775307</v>
      </c>
    </row>
    <row r="154" spans="1:109" hidden="1" x14ac:dyDescent="0.3">
      <c r="A154">
        <v>1770</v>
      </c>
      <c r="B154" t="s">
        <v>611</v>
      </c>
      <c r="C154" t="s">
        <v>603</v>
      </c>
      <c r="D154" t="s">
        <v>604</v>
      </c>
      <c r="E154" t="s">
        <v>806</v>
      </c>
      <c r="F154" t="s">
        <v>616</v>
      </c>
      <c r="G154" t="s">
        <v>617</v>
      </c>
      <c r="H154" t="s">
        <v>608</v>
      </c>
      <c r="I154" t="s">
        <v>609</v>
      </c>
      <c r="J154" s="3">
        <v>45439</v>
      </c>
      <c r="K154">
        <v>0.68219178082191778</v>
      </c>
      <c r="L154">
        <v>0</v>
      </c>
      <c r="M154" t="s">
        <v>678</v>
      </c>
      <c r="N154" t="s">
        <v>678</v>
      </c>
      <c r="O154">
        <v>1.0492999999999999</v>
      </c>
      <c r="P154">
        <v>3439.4559999999997</v>
      </c>
      <c r="Q154">
        <v>3439.4559999999997</v>
      </c>
      <c r="R154">
        <v>294.81</v>
      </c>
      <c r="S154">
        <v>309.344133</v>
      </c>
      <c r="T154">
        <v>118.97</v>
      </c>
      <c r="U154">
        <v>428.31413299999997</v>
      </c>
      <c r="V154">
        <v>30.4</v>
      </c>
      <c r="W154">
        <v>8962.2240000000002</v>
      </c>
      <c r="AC154">
        <v>750</v>
      </c>
      <c r="AE154">
        <v>41.666666666666664</v>
      </c>
      <c r="AF154">
        <v>896.22239999999999</v>
      </c>
      <c r="AG154">
        <v>896.22239999999999</v>
      </c>
      <c r="AH154">
        <v>448.11120000000005</v>
      </c>
      <c r="AI154">
        <v>896.22240000000011</v>
      </c>
      <c r="AJ154">
        <v>0</v>
      </c>
      <c r="AK154">
        <v>0</v>
      </c>
      <c r="AL154">
        <v>1792.4448</v>
      </c>
      <c r="AM154">
        <v>12099.002399999999</v>
      </c>
      <c r="AN154">
        <v>12890.669066666667</v>
      </c>
      <c r="AO154">
        <v>12849.002399999999</v>
      </c>
      <c r="AQ154">
        <v>9712.2240000000002</v>
      </c>
      <c r="AR154">
        <v>24076.191999999999</v>
      </c>
      <c r="AS154">
        <v>10754.668799999999</v>
      </c>
      <c r="AT154">
        <v>0</v>
      </c>
      <c r="AU154">
        <v>13321.5232</v>
      </c>
      <c r="AV154">
        <v>1792.4448</v>
      </c>
      <c r="AW154">
        <v>0</v>
      </c>
      <c r="AX154">
        <v>11546.335466666667</v>
      </c>
      <c r="AY154">
        <v>11128.02</v>
      </c>
      <c r="AZ154">
        <v>418.31546666666691</v>
      </c>
      <c r="BA154">
        <v>0.16</v>
      </c>
      <c r="BB154">
        <v>66.930474666666711</v>
      </c>
      <c r="BC154">
        <v>893.63</v>
      </c>
      <c r="BD154">
        <v>960.56047466666666</v>
      </c>
      <c r="BE154">
        <v>0</v>
      </c>
      <c r="BF154">
        <v>960.56047466666666</v>
      </c>
      <c r="BG154">
        <v>26.388888888888889</v>
      </c>
      <c r="BH154">
        <v>0</v>
      </c>
      <c r="BI154">
        <v>454.70302188888888</v>
      </c>
      <c r="BJ154">
        <v>1364.1090656666668</v>
      </c>
      <c r="BK154">
        <v>0</v>
      </c>
      <c r="BL154">
        <v>0</v>
      </c>
      <c r="BM154">
        <v>29.481000000000005</v>
      </c>
      <c r="BN154">
        <v>0</v>
      </c>
      <c r="BO154">
        <v>0</v>
      </c>
      <c r="BP154">
        <v>365.21402188888885</v>
      </c>
      <c r="BQ154">
        <v>365.21402188888885</v>
      </c>
      <c r="BR154">
        <v>3.09528262666666</v>
      </c>
      <c r="BS154">
        <v>27.391051641666664</v>
      </c>
      <c r="BT154">
        <v>41.086577462499996</v>
      </c>
      <c r="BU154">
        <v>68.477629104166652</v>
      </c>
      <c r="BV154">
        <v>123.25973238749998</v>
      </c>
      <c r="BW154">
        <v>263.31027322249997</v>
      </c>
      <c r="BX154">
        <v>11666.798318777501</v>
      </c>
      <c r="BY154">
        <v>896.22240000000011</v>
      </c>
      <c r="BZ154">
        <v>10770.5759187775</v>
      </c>
      <c r="CA154">
        <v>12849.002400000001</v>
      </c>
      <c r="CB154">
        <v>385.47007200000002</v>
      </c>
      <c r="CC154">
        <v>365.21402188888885</v>
      </c>
      <c r="CD154">
        <v>692.41679999999997</v>
      </c>
      <c r="CE154">
        <v>8.5120272233333143</v>
      </c>
      <c r="CF154">
        <v>76.694944596666659</v>
      </c>
      <c r="CG154">
        <v>115.042416895</v>
      </c>
      <c r="CH154">
        <v>182.04859870497634</v>
      </c>
      <c r="CI154">
        <v>191.73736149166666</v>
      </c>
      <c r="CJ154">
        <v>109.56420656666666</v>
      </c>
      <c r="CK154">
        <v>219.12841313333331</v>
      </c>
      <c r="CL154">
        <v>345.12725068499998</v>
      </c>
      <c r="CM154">
        <v>1940.2720192966431</v>
      </c>
      <c r="CN154">
        <v>547.82103283333322</v>
      </c>
      <c r="CO154">
        <v>2873.5631241299761</v>
      </c>
      <c r="CQ154">
        <v>368.31057534246577</v>
      </c>
      <c r="CR154">
        <v>73.662115068493137</v>
      </c>
      <c r="CS154">
        <v>376.22925271232873</v>
      </c>
      <c r="CT154">
        <v>16582.434133919931</v>
      </c>
      <c r="CY154">
        <v>0</v>
      </c>
      <c r="DB154">
        <v>10754.668800000001</v>
      </c>
      <c r="DE154" s="61">
        <v>16582.434133919931</v>
      </c>
    </row>
    <row r="155" spans="1:109" hidden="1" x14ac:dyDescent="0.3">
      <c r="A155">
        <v>1169</v>
      </c>
      <c r="B155" t="s">
        <v>611</v>
      </c>
      <c r="C155" t="s">
        <v>603</v>
      </c>
      <c r="D155" t="s">
        <v>604</v>
      </c>
      <c r="E155" t="s">
        <v>693</v>
      </c>
      <c r="F155" t="s">
        <v>616</v>
      </c>
      <c r="G155" t="s">
        <v>617</v>
      </c>
      <c r="H155" t="s">
        <v>608</v>
      </c>
      <c r="I155" t="s">
        <v>609</v>
      </c>
      <c r="J155" s="3">
        <v>44200</v>
      </c>
      <c r="K155">
        <v>4.0767123287671234</v>
      </c>
      <c r="L155">
        <v>4</v>
      </c>
      <c r="M155" t="s">
        <v>668</v>
      </c>
      <c r="N155" t="s">
        <v>668</v>
      </c>
      <c r="O155">
        <v>1.0548</v>
      </c>
      <c r="P155">
        <v>3439.4559999999997</v>
      </c>
      <c r="Q155">
        <v>3439.4559999999997</v>
      </c>
      <c r="R155">
        <v>288.8</v>
      </c>
      <c r="S155">
        <v>304.62624</v>
      </c>
      <c r="T155">
        <v>21.96</v>
      </c>
      <c r="U155">
        <v>326.58623999999998</v>
      </c>
      <c r="V155">
        <v>30.4</v>
      </c>
      <c r="W155">
        <v>8779.52</v>
      </c>
      <c r="AC155">
        <v>750</v>
      </c>
      <c r="AE155">
        <v>41.666666666666664</v>
      </c>
      <c r="AF155">
        <v>877.952</v>
      </c>
      <c r="AG155">
        <v>877.952</v>
      </c>
      <c r="AH155">
        <v>438.97600000000006</v>
      </c>
      <c r="AI155">
        <v>877.95200000000011</v>
      </c>
      <c r="AJ155">
        <v>0</v>
      </c>
      <c r="AK155">
        <v>0</v>
      </c>
      <c r="AL155">
        <v>1755.904</v>
      </c>
      <c r="AM155">
        <v>11852.352000000001</v>
      </c>
      <c r="AN155">
        <v>12644.018666666665</v>
      </c>
      <c r="AO155">
        <v>12602.352000000001</v>
      </c>
      <c r="AQ155">
        <v>9571.1866666666665</v>
      </c>
      <c r="AR155">
        <v>24076.191999999999</v>
      </c>
      <c r="AS155">
        <v>10535.424000000001</v>
      </c>
      <c r="AT155">
        <v>0</v>
      </c>
      <c r="AU155">
        <v>13540.767999999998</v>
      </c>
      <c r="AV155">
        <v>1755.904</v>
      </c>
      <c r="AW155">
        <v>0</v>
      </c>
      <c r="AX155">
        <v>11327.090666666665</v>
      </c>
      <c r="AY155">
        <v>11128.02</v>
      </c>
      <c r="AZ155">
        <v>199.07066666666469</v>
      </c>
      <c r="BA155">
        <v>0.16</v>
      </c>
      <c r="BB155">
        <v>31.85130666666635</v>
      </c>
      <c r="BC155">
        <v>893.63</v>
      </c>
      <c r="BD155">
        <v>925.48130666666634</v>
      </c>
      <c r="BE155">
        <v>0</v>
      </c>
      <c r="BF155">
        <v>925.48130666666634</v>
      </c>
      <c r="BG155">
        <v>26.388888888888889</v>
      </c>
      <c r="BH155">
        <v>0</v>
      </c>
      <c r="BI155">
        <v>352.97512888888889</v>
      </c>
      <c r="BJ155">
        <v>1058.9253866666666</v>
      </c>
      <c r="BK155">
        <v>0</v>
      </c>
      <c r="BL155">
        <v>0</v>
      </c>
      <c r="BM155">
        <v>28.880000000000006</v>
      </c>
      <c r="BN155">
        <v>0</v>
      </c>
      <c r="BO155">
        <v>0</v>
      </c>
      <c r="BP155">
        <v>359.89512888888891</v>
      </c>
      <c r="BQ155">
        <v>359.89512888888891</v>
      </c>
      <c r="BR155">
        <v>2.4570154666666664</v>
      </c>
      <c r="BS155">
        <v>26.992134666666669</v>
      </c>
      <c r="BT155">
        <v>40.488202000000001</v>
      </c>
      <c r="BU155">
        <v>67.480336666666673</v>
      </c>
      <c r="BV155">
        <v>121.46460599999999</v>
      </c>
      <c r="BW155">
        <v>258.88229480000001</v>
      </c>
      <c r="BX155">
        <v>11459.655065199999</v>
      </c>
      <c r="BY155">
        <v>877.95200000000011</v>
      </c>
      <c r="BZ155">
        <v>10581.703065199999</v>
      </c>
      <c r="CA155">
        <v>12602.351999999999</v>
      </c>
      <c r="CB155">
        <v>378.07055999999994</v>
      </c>
      <c r="CC155">
        <v>359.89512888888891</v>
      </c>
      <c r="CD155">
        <v>692.41679999999997</v>
      </c>
      <c r="CE155">
        <v>6.756792533333333</v>
      </c>
      <c r="CF155">
        <v>75.577977066666676</v>
      </c>
      <c r="CG155">
        <v>113.36696560000001</v>
      </c>
      <c r="CH155">
        <v>179.39728479237337</v>
      </c>
      <c r="CI155">
        <v>188.94494266666669</v>
      </c>
      <c r="CJ155">
        <v>107.96853866666667</v>
      </c>
      <c r="CK155">
        <v>215.93707733333335</v>
      </c>
      <c r="CL155">
        <v>340.10089679999999</v>
      </c>
      <c r="CM155">
        <v>1920.4672754590401</v>
      </c>
      <c r="CN155">
        <v>539.84269333333339</v>
      </c>
      <c r="CO155">
        <v>2838.3805287923738</v>
      </c>
      <c r="CQ155">
        <v>360.80219178082194</v>
      </c>
      <c r="CR155">
        <v>120.26739726027397</v>
      </c>
      <c r="CS155">
        <v>370.00264767123286</v>
      </c>
      <c r="CT155">
        <v>16333.471432171367</v>
      </c>
      <c r="CY155">
        <v>0</v>
      </c>
      <c r="DB155">
        <v>10535.423999999999</v>
      </c>
      <c r="DE155" s="61">
        <v>16333.471432171367</v>
      </c>
    </row>
    <row r="156" spans="1:109" hidden="1" x14ac:dyDescent="0.3">
      <c r="A156">
        <v>1418</v>
      </c>
      <c r="B156" t="s">
        <v>637</v>
      </c>
      <c r="C156" t="s">
        <v>603</v>
      </c>
      <c r="D156" t="s">
        <v>604</v>
      </c>
      <c r="E156" t="s">
        <v>727</v>
      </c>
      <c r="F156" t="s">
        <v>616</v>
      </c>
      <c r="G156" t="s">
        <v>617</v>
      </c>
      <c r="H156" t="s">
        <v>622</v>
      </c>
      <c r="I156" t="s">
        <v>623</v>
      </c>
      <c r="J156" s="3">
        <v>44560</v>
      </c>
      <c r="K156">
        <v>3.0904109589041098</v>
      </c>
      <c r="L156">
        <v>3</v>
      </c>
      <c r="M156" t="s">
        <v>698</v>
      </c>
      <c r="N156" t="s">
        <v>698</v>
      </c>
      <c r="O156">
        <v>1.0533999999999999</v>
      </c>
      <c r="P156">
        <v>3439.4559999999997</v>
      </c>
      <c r="Q156">
        <v>3439.4559999999997</v>
      </c>
      <c r="R156">
        <v>288.8</v>
      </c>
      <c r="S156">
        <v>304.22191999999995</v>
      </c>
      <c r="T156">
        <v>7.99</v>
      </c>
      <c r="U156">
        <v>312.21191999999996</v>
      </c>
      <c r="V156">
        <v>30.4</v>
      </c>
      <c r="W156">
        <v>8779.52</v>
      </c>
      <c r="AC156">
        <v>750</v>
      </c>
      <c r="AE156">
        <v>41.666666666666664</v>
      </c>
      <c r="AF156">
        <v>877.952</v>
      </c>
      <c r="AG156">
        <v>877.952</v>
      </c>
      <c r="AH156">
        <v>438.97600000000006</v>
      </c>
      <c r="AI156">
        <v>877.95200000000011</v>
      </c>
      <c r="AJ156">
        <v>0</v>
      </c>
      <c r="AK156">
        <v>0</v>
      </c>
      <c r="AL156">
        <v>1755.904</v>
      </c>
      <c r="AM156">
        <v>11852.352000000001</v>
      </c>
      <c r="AN156">
        <v>12644.018666666665</v>
      </c>
      <c r="AO156">
        <v>12602.352000000001</v>
      </c>
      <c r="AQ156">
        <v>9571.1866666666665</v>
      </c>
      <c r="AR156">
        <v>24076.191999999999</v>
      </c>
      <c r="AS156">
        <v>10535.424000000001</v>
      </c>
      <c r="AT156">
        <v>0</v>
      </c>
      <c r="AU156">
        <v>13540.767999999998</v>
      </c>
      <c r="AV156">
        <v>1755.904</v>
      </c>
      <c r="AW156">
        <v>0</v>
      </c>
      <c r="AX156">
        <v>11327.090666666665</v>
      </c>
      <c r="AY156">
        <v>11128.02</v>
      </c>
      <c r="AZ156">
        <v>199.07066666666469</v>
      </c>
      <c r="BA156">
        <v>0.16</v>
      </c>
      <c r="BB156">
        <v>31.85130666666635</v>
      </c>
      <c r="BC156">
        <v>893.63</v>
      </c>
      <c r="BD156">
        <v>925.48130666666634</v>
      </c>
      <c r="BE156">
        <v>0</v>
      </c>
      <c r="BF156">
        <v>925.48130666666634</v>
      </c>
      <c r="BG156">
        <v>26.388888888888889</v>
      </c>
      <c r="BH156">
        <v>0</v>
      </c>
      <c r="BI156">
        <v>338.60080888888888</v>
      </c>
      <c r="BJ156">
        <v>1015.8024266666667</v>
      </c>
      <c r="BK156">
        <v>0</v>
      </c>
      <c r="BL156">
        <v>0</v>
      </c>
      <c r="BM156">
        <v>28.880000000000006</v>
      </c>
      <c r="BN156">
        <v>0</v>
      </c>
      <c r="BO156">
        <v>0</v>
      </c>
      <c r="BP156">
        <v>359.49080888888886</v>
      </c>
      <c r="BQ156">
        <v>359.49080888888886</v>
      </c>
      <c r="BR156">
        <v>2.4084970666666621</v>
      </c>
      <c r="BS156">
        <v>26.961810666666668</v>
      </c>
      <c r="BT156">
        <v>40.442715999999997</v>
      </c>
      <c r="BU156">
        <v>67.404526666666669</v>
      </c>
      <c r="BV156">
        <v>121.32814799999997</v>
      </c>
      <c r="BW156">
        <v>258.54569839999999</v>
      </c>
      <c r="BX156">
        <v>11459.991661599999</v>
      </c>
      <c r="BY156">
        <v>877.95200000000011</v>
      </c>
      <c r="BZ156">
        <v>10582.0396616</v>
      </c>
      <c r="CA156">
        <v>12602.351999999999</v>
      </c>
      <c r="CB156">
        <v>378.07055999999994</v>
      </c>
      <c r="CC156">
        <v>359.49080888888886</v>
      </c>
      <c r="CD156">
        <v>692.41679999999997</v>
      </c>
      <c r="CE156">
        <v>6.6233669333333198</v>
      </c>
      <c r="CF156">
        <v>75.493069866666659</v>
      </c>
      <c r="CG156">
        <v>113.2396048</v>
      </c>
      <c r="CH156">
        <v>179.19574299765333</v>
      </c>
      <c r="CI156">
        <v>188.73267466666667</v>
      </c>
      <c r="CJ156">
        <v>107.84724266666667</v>
      </c>
      <c r="CK156">
        <v>215.69448533333335</v>
      </c>
      <c r="CL156">
        <v>339.71881439999993</v>
      </c>
      <c r="CM156">
        <v>1918.9618016643201</v>
      </c>
      <c r="CN156">
        <v>539.23621333333335</v>
      </c>
      <c r="CO156">
        <v>2836.2685749976536</v>
      </c>
      <c r="CQ156">
        <v>360.80219178082194</v>
      </c>
      <c r="CR156">
        <v>108.24065753424657</v>
      </c>
      <c r="CS156">
        <v>369.64184547945206</v>
      </c>
      <c r="CT156">
        <v>16318.971936458838</v>
      </c>
      <c r="CY156">
        <v>0</v>
      </c>
      <c r="DB156">
        <v>10535.423999999999</v>
      </c>
      <c r="DE156" s="61">
        <v>16318.971936458838</v>
      </c>
    </row>
    <row r="157" spans="1:109" hidden="1" x14ac:dyDescent="0.3">
      <c r="A157">
        <v>1621</v>
      </c>
      <c r="B157" t="s">
        <v>611</v>
      </c>
      <c r="C157" t="s">
        <v>603</v>
      </c>
      <c r="D157" t="s">
        <v>604</v>
      </c>
      <c r="E157" t="s">
        <v>765</v>
      </c>
      <c r="F157" t="s">
        <v>616</v>
      </c>
      <c r="G157" t="s">
        <v>617</v>
      </c>
      <c r="H157" t="s">
        <v>608</v>
      </c>
      <c r="I157" t="s">
        <v>609</v>
      </c>
      <c r="J157" s="3">
        <v>44887</v>
      </c>
      <c r="K157">
        <v>2.1945205479452055</v>
      </c>
      <c r="L157">
        <v>2</v>
      </c>
      <c r="M157" t="s">
        <v>735</v>
      </c>
      <c r="N157" t="s">
        <v>735</v>
      </c>
      <c r="O157">
        <v>1.0521</v>
      </c>
      <c r="P157">
        <v>3439.4559999999997</v>
      </c>
      <c r="Q157">
        <v>3439.4559999999997</v>
      </c>
      <c r="R157">
        <v>288.8</v>
      </c>
      <c r="S157">
        <v>303.84648000000004</v>
      </c>
      <c r="T157">
        <v>21.97</v>
      </c>
      <c r="U157">
        <v>325.81648000000007</v>
      </c>
      <c r="V157">
        <v>30.4</v>
      </c>
      <c r="W157">
        <v>8779.52</v>
      </c>
      <c r="AC157">
        <v>750</v>
      </c>
      <c r="AE157">
        <v>41.666666666666664</v>
      </c>
      <c r="AF157">
        <v>877.952</v>
      </c>
      <c r="AG157">
        <v>877.952</v>
      </c>
      <c r="AH157">
        <v>438.97600000000006</v>
      </c>
      <c r="AI157">
        <v>877.95200000000011</v>
      </c>
      <c r="AJ157">
        <v>0</v>
      </c>
      <c r="AK157">
        <v>0</v>
      </c>
      <c r="AL157">
        <v>1755.904</v>
      </c>
      <c r="AM157">
        <v>11852.352000000001</v>
      </c>
      <c r="AN157">
        <v>12644.018666666665</v>
      </c>
      <c r="AO157">
        <v>12602.352000000001</v>
      </c>
      <c r="AQ157">
        <v>9571.1866666666665</v>
      </c>
      <c r="AR157">
        <v>24076.191999999999</v>
      </c>
      <c r="AS157">
        <v>10535.424000000001</v>
      </c>
      <c r="AT157">
        <v>0</v>
      </c>
      <c r="AU157">
        <v>13540.767999999998</v>
      </c>
      <c r="AV157">
        <v>1755.904</v>
      </c>
      <c r="AW157">
        <v>0</v>
      </c>
      <c r="AX157">
        <v>11327.090666666665</v>
      </c>
      <c r="AY157">
        <v>11128.02</v>
      </c>
      <c r="AZ157">
        <v>199.07066666666469</v>
      </c>
      <c r="BA157">
        <v>0.16</v>
      </c>
      <c r="BB157">
        <v>31.85130666666635</v>
      </c>
      <c r="BC157">
        <v>893.63</v>
      </c>
      <c r="BD157">
        <v>925.48130666666634</v>
      </c>
      <c r="BE157">
        <v>0</v>
      </c>
      <c r="BF157">
        <v>925.48130666666634</v>
      </c>
      <c r="BG157">
        <v>26.388888888888889</v>
      </c>
      <c r="BH157">
        <v>0</v>
      </c>
      <c r="BI157">
        <v>352.20536888888898</v>
      </c>
      <c r="BJ157">
        <v>1056.6161066666671</v>
      </c>
      <c r="BK157">
        <v>0</v>
      </c>
      <c r="BL157">
        <v>0</v>
      </c>
      <c r="BM157">
        <v>28.880000000000006</v>
      </c>
      <c r="BN157">
        <v>0</v>
      </c>
      <c r="BO157">
        <v>0</v>
      </c>
      <c r="BP157">
        <v>359.11536888888895</v>
      </c>
      <c r="BQ157">
        <v>359.11536888888895</v>
      </c>
      <c r="BR157">
        <v>2.3634442666666722</v>
      </c>
      <c r="BS157">
        <v>26.933652666666674</v>
      </c>
      <c r="BT157">
        <v>40.400479000000004</v>
      </c>
      <c r="BU157">
        <v>67.334131666666678</v>
      </c>
      <c r="BV157">
        <v>121.20143700000001</v>
      </c>
      <c r="BW157">
        <v>258.23314460000006</v>
      </c>
      <c r="BX157">
        <v>11460.304215399998</v>
      </c>
      <c r="BY157">
        <v>877.95200000000011</v>
      </c>
      <c r="BZ157">
        <v>10582.352215399998</v>
      </c>
      <c r="CA157">
        <v>12602.351999999999</v>
      </c>
      <c r="CB157">
        <v>378.07055999999994</v>
      </c>
      <c r="CC157">
        <v>359.11536888888895</v>
      </c>
      <c r="CD157">
        <v>692.41679999999997</v>
      </c>
      <c r="CE157">
        <v>6.4994717333333485</v>
      </c>
      <c r="CF157">
        <v>75.414227466666688</v>
      </c>
      <c r="CG157">
        <v>113.12134120000003</v>
      </c>
      <c r="CH157">
        <v>179.00859704541338</v>
      </c>
      <c r="CI157">
        <v>188.53556866666673</v>
      </c>
      <c r="CJ157">
        <v>107.7346106666667</v>
      </c>
      <c r="CK157">
        <v>215.46922133333339</v>
      </c>
      <c r="CL157">
        <v>339.36402360000005</v>
      </c>
      <c r="CM157">
        <v>1917.5638617120803</v>
      </c>
      <c r="CN157">
        <v>538.67305333333343</v>
      </c>
      <c r="CO157">
        <v>2834.3074750454139</v>
      </c>
      <c r="CQ157">
        <v>360.80219178082194</v>
      </c>
      <c r="CR157">
        <v>96.213917808219179</v>
      </c>
      <c r="CS157">
        <v>369.28104328767125</v>
      </c>
      <c r="CT157">
        <v>16304.623294588791</v>
      </c>
      <c r="CY157">
        <v>0</v>
      </c>
      <c r="DB157">
        <v>10535.423999999999</v>
      </c>
      <c r="DE157" s="61">
        <v>16304.623294588791</v>
      </c>
    </row>
    <row r="158" spans="1:109" hidden="1" x14ac:dyDescent="0.3">
      <c r="A158">
        <v>1690</v>
      </c>
      <c r="B158" t="s">
        <v>611</v>
      </c>
      <c r="C158" t="s">
        <v>603</v>
      </c>
      <c r="D158" t="s">
        <v>604</v>
      </c>
      <c r="E158" t="s">
        <v>778</v>
      </c>
      <c r="F158" t="s">
        <v>616</v>
      </c>
      <c r="G158" t="s">
        <v>617</v>
      </c>
      <c r="H158" t="s">
        <v>608</v>
      </c>
      <c r="I158" t="s">
        <v>609</v>
      </c>
      <c r="J158" s="3">
        <v>44963</v>
      </c>
      <c r="K158">
        <v>1.9863013698630136</v>
      </c>
      <c r="L158">
        <v>1</v>
      </c>
      <c r="M158" t="s">
        <v>676</v>
      </c>
      <c r="N158" t="s">
        <v>676</v>
      </c>
      <c r="O158">
        <v>1.0507</v>
      </c>
      <c r="P158">
        <v>3439.4559999999997</v>
      </c>
      <c r="Q158">
        <v>3439.4559999999997</v>
      </c>
      <c r="R158">
        <v>288.8</v>
      </c>
      <c r="S158">
        <v>303.44216</v>
      </c>
      <c r="T158">
        <v>19.54</v>
      </c>
      <c r="U158">
        <v>322.98216000000002</v>
      </c>
      <c r="V158">
        <v>30.4</v>
      </c>
      <c r="W158">
        <v>8779.52</v>
      </c>
      <c r="AC158">
        <v>750</v>
      </c>
      <c r="AE158">
        <v>41.666666666666664</v>
      </c>
      <c r="AF158">
        <v>877.952</v>
      </c>
      <c r="AG158">
        <v>877.952</v>
      </c>
      <c r="AH158">
        <v>438.97600000000006</v>
      </c>
      <c r="AI158">
        <v>877.95200000000011</v>
      </c>
      <c r="AJ158">
        <v>0</v>
      </c>
      <c r="AK158">
        <v>0</v>
      </c>
      <c r="AL158">
        <v>1755.904</v>
      </c>
      <c r="AM158">
        <v>11852.352000000001</v>
      </c>
      <c r="AN158">
        <v>12644.018666666665</v>
      </c>
      <c r="AO158">
        <v>12602.352000000001</v>
      </c>
      <c r="AQ158">
        <v>9571.1866666666665</v>
      </c>
      <c r="AR158">
        <v>24076.191999999999</v>
      </c>
      <c r="AS158">
        <v>10535.424000000001</v>
      </c>
      <c r="AT158">
        <v>0</v>
      </c>
      <c r="AU158">
        <v>13540.767999999998</v>
      </c>
      <c r="AV158">
        <v>1755.904</v>
      </c>
      <c r="AW158">
        <v>0</v>
      </c>
      <c r="AX158">
        <v>11327.090666666665</v>
      </c>
      <c r="AY158">
        <v>11128.02</v>
      </c>
      <c r="AZ158">
        <v>199.07066666666469</v>
      </c>
      <c r="BA158">
        <v>0.16</v>
      </c>
      <c r="BB158">
        <v>31.85130666666635</v>
      </c>
      <c r="BC158">
        <v>893.63</v>
      </c>
      <c r="BD158">
        <v>925.48130666666634</v>
      </c>
      <c r="BE158">
        <v>0</v>
      </c>
      <c r="BF158">
        <v>925.48130666666634</v>
      </c>
      <c r="BG158">
        <v>26.388888888888889</v>
      </c>
      <c r="BH158">
        <v>0</v>
      </c>
      <c r="BI158">
        <v>349.37104888888894</v>
      </c>
      <c r="BJ158">
        <v>1048.1131466666668</v>
      </c>
      <c r="BK158">
        <v>0</v>
      </c>
      <c r="BL158">
        <v>0</v>
      </c>
      <c r="BM158">
        <v>28.880000000000006</v>
      </c>
      <c r="BN158">
        <v>0</v>
      </c>
      <c r="BO158">
        <v>0</v>
      </c>
      <c r="BP158">
        <v>358.71104888888891</v>
      </c>
      <c r="BQ158">
        <v>358.71104888888891</v>
      </c>
      <c r="BR158">
        <v>2.3149258666666674</v>
      </c>
      <c r="BS158">
        <v>26.90332866666667</v>
      </c>
      <c r="BT158">
        <v>40.354993</v>
      </c>
      <c r="BU158">
        <v>67.258321666666674</v>
      </c>
      <c r="BV158">
        <v>121.06497899999999</v>
      </c>
      <c r="BW158">
        <v>257.89654819999998</v>
      </c>
      <c r="BX158">
        <v>11460.640811799998</v>
      </c>
      <c r="BY158">
        <v>877.95200000000011</v>
      </c>
      <c r="BZ158">
        <v>10582.688811799999</v>
      </c>
      <c r="CA158">
        <v>12602.351999999999</v>
      </c>
      <c r="CB158">
        <v>378.07055999999994</v>
      </c>
      <c r="CC158">
        <v>358.71104888888891</v>
      </c>
      <c r="CD158">
        <v>692.41679999999997</v>
      </c>
      <c r="CE158">
        <v>6.3660461333333354</v>
      </c>
      <c r="CF158">
        <v>75.329320266666684</v>
      </c>
      <c r="CG158">
        <v>112.99398040000001</v>
      </c>
      <c r="CH158">
        <v>178.80705525069334</v>
      </c>
      <c r="CI158">
        <v>188.32330066666668</v>
      </c>
      <c r="CJ158">
        <v>107.61331466666668</v>
      </c>
      <c r="CK158">
        <v>215.22662933333336</v>
      </c>
      <c r="CL158">
        <v>338.98194120000005</v>
      </c>
      <c r="CM158">
        <v>1916.0583879173601</v>
      </c>
      <c r="CN158">
        <v>538.06657333333339</v>
      </c>
      <c r="CO158">
        <v>2832.1955212506937</v>
      </c>
      <c r="CQ158">
        <v>360.80219178082194</v>
      </c>
      <c r="CR158">
        <v>84.187178082191778</v>
      </c>
      <c r="CS158">
        <v>368.92024109589039</v>
      </c>
      <c r="CT158">
        <v>16290.12379887626</v>
      </c>
      <c r="CY158">
        <v>0</v>
      </c>
      <c r="DB158">
        <v>10535.423999999999</v>
      </c>
      <c r="DE158" s="61">
        <v>16290.12379887626</v>
      </c>
    </row>
    <row r="159" spans="1:109" hidden="1" x14ac:dyDescent="0.3">
      <c r="A159">
        <v>1712</v>
      </c>
      <c r="B159" t="s">
        <v>611</v>
      </c>
      <c r="C159" t="s">
        <v>603</v>
      </c>
      <c r="D159" t="s">
        <v>604</v>
      </c>
      <c r="E159" t="s">
        <v>782</v>
      </c>
      <c r="F159" t="s">
        <v>616</v>
      </c>
      <c r="G159" t="s">
        <v>617</v>
      </c>
      <c r="H159" t="s">
        <v>608</v>
      </c>
      <c r="I159" t="s">
        <v>609</v>
      </c>
      <c r="J159" s="3">
        <v>45131</v>
      </c>
      <c r="K159">
        <v>1.526027397260274</v>
      </c>
      <c r="L159">
        <v>1</v>
      </c>
      <c r="M159" t="s">
        <v>676</v>
      </c>
      <c r="N159" t="s">
        <v>676</v>
      </c>
      <c r="O159">
        <v>1.0507</v>
      </c>
      <c r="P159">
        <v>3439.4559999999997</v>
      </c>
      <c r="Q159">
        <v>3439.4559999999997</v>
      </c>
      <c r="R159">
        <v>288.8</v>
      </c>
      <c r="S159">
        <v>303.44216</v>
      </c>
      <c r="T159">
        <v>23.12</v>
      </c>
      <c r="U159">
        <v>326.56216000000001</v>
      </c>
      <c r="V159">
        <v>30.4</v>
      </c>
      <c r="W159">
        <v>8779.52</v>
      </c>
      <c r="AC159">
        <v>750</v>
      </c>
      <c r="AE159">
        <v>41.666666666666664</v>
      </c>
      <c r="AF159">
        <v>877.952</v>
      </c>
      <c r="AG159">
        <v>877.952</v>
      </c>
      <c r="AH159">
        <v>438.97600000000006</v>
      </c>
      <c r="AI159">
        <v>877.95200000000011</v>
      </c>
      <c r="AJ159">
        <v>0</v>
      </c>
      <c r="AK159">
        <v>0</v>
      </c>
      <c r="AL159">
        <v>1755.904</v>
      </c>
      <c r="AM159">
        <v>11852.352000000001</v>
      </c>
      <c r="AN159">
        <v>12644.018666666665</v>
      </c>
      <c r="AO159">
        <v>12602.352000000001</v>
      </c>
      <c r="AQ159">
        <v>9571.1866666666665</v>
      </c>
      <c r="AR159">
        <v>24076.191999999999</v>
      </c>
      <c r="AS159">
        <v>10535.424000000001</v>
      </c>
      <c r="AT159">
        <v>0</v>
      </c>
      <c r="AU159">
        <v>13540.767999999998</v>
      </c>
      <c r="AV159">
        <v>1755.904</v>
      </c>
      <c r="AW159">
        <v>0</v>
      </c>
      <c r="AX159">
        <v>11327.090666666665</v>
      </c>
      <c r="AY159">
        <v>11128.02</v>
      </c>
      <c r="AZ159">
        <v>199.07066666666469</v>
      </c>
      <c r="BA159">
        <v>0.16</v>
      </c>
      <c r="BB159">
        <v>31.85130666666635</v>
      </c>
      <c r="BC159">
        <v>893.63</v>
      </c>
      <c r="BD159">
        <v>925.48130666666634</v>
      </c>
      <c r="BE159">
        <v>0</v>
      </c>
      <c r="BF159">
        <v>925.48130666666634</v>
      </c>
      <c r="BG159">
        <v>26.388888888888889</v>
      </c>
      <c r="BH159">
        <v>0</v>
      </c>
      <c r="BI159">
        <v>352.95104888888892</v>
      </c>
      <c r="BJ159">
        <v>1058.8531466666668</v>
      </c>
      <c r="BK159">
        <v>0</v>
      </c>
      <c r="BL159">
        <v>0</v>
      </c>
      <c r="BM159">
        <v>28.880000000000006</v>
      </c>
      <c r="BN159">
        <v>0</v>
      </c>
      <c r="BO159">
        <v>0</v>
      </c>
      <c r="BP159">
        <v>358.71104888888891</v>
      </c>
      <c r="BQ159">
        <v>358.71104888888891</v>
      </c>
      <c r="BR159">
        <v>2.3149258666666674</v>
      </c>
      <c r="BS159">
        <v>26.90332866666667</v>
      </c>
      <c r="BT159">
        <v>40.354993</v>
      </c>
      <c r="BU159">
        <v>67.258321666666674</v>
      </c>
      <c r="BV159">
        <v>121.06497899999999</v>
      </c>
      <c r="BW159">
        <v>257.89654819999998</v>
      </c>
      <c r="BX159">
        <v>11460.640811799998</v>
      </c>
      <c r="BY159">
        <v>877.95200000000011</v>
      </c>
      <c r="BZ159">
        <v>10582.688811799999</v>
      </c>
      <c r="CA159">
        <v>12602.351999999999</v>
      </c>
      <c r="CB159">
        <v>378.07055999999994</v>
      </c>
      <c r="CC159">
        <v>358.71104888888891</v>
      </c>
      <c r="CD159">
        <v>692.41679999999997</v>
      </c>
      <c r="CE159">
        <v>6.3660461333333354</v>
      </c>
      <c r="CF159">
        <v>75.329320266666684</v>
      </c>
      <c r="CG159">
        <v>112.99398040000001</v>
      </c>
      <c r="CH159">
        <v>178.80705525069334</v>
      </c>
      <c r="CI159">
        <v>188.32330066666668</v>
      </c>
      <c r="CJ159">
        <v>107.61331466666668</v>
      </c>
      <c r="CK159">
        <v>215.22662933333336</v>
      </c>
      <c r="CL159">
        <v>338.98194120000005</v>
      </c>
      <c r="CM159">
        <v>1916.0583879173601</v>
      </c>
      <c r="CN159">
        <v>538.06657333333339</v>
      </c>
      <c r="CO159">
        <v>2832.1955212506937</v>
      </c>
      <c r="CQ159">
        <v>360.80219178082194</v>
      </c>
      <c r="CR159">
        <v>84.187178082191778</v>
      </c>
      <c r="CS159">
        <v>368.92024109589039</v>
      </c>
      <c r="CT159">
        <v>16290.12379887626</v>
      </c>
      <c r="CY159">
        <v>0</v>
      </c>
      <c r="DB159">
        <v>10535.423999999999</v>
      </c>
      <c r="DE159" s="61">
        <v>16290.12379887626</v>
      </c>
    </row>
    <row r="160" spans="1:109" hidden="1" x14ac:dyDescent="0.3">
      <c r="A160">
        <v>1731</v>
      </c>
      <c r="B160" t="s">
        <v>637</v>
      </c>
      <c r="C160" t="s">
        <v>603</v>
      </c>
      <c r="D160" t="s">
        <v>604</v>
      </c>
      <c r="E160" t="s">
        <v>789</v>
      </c>
      <c r="F160" t="s">
        <v>616</v>
      </c>
      <c r="G160" t="s">
        <v>617</v>
      </c>
      <c r="H160" t="s">
        <v>622</v>
      </c>
      <c r="I160" t="s">
        <v>623</v>
      </c>
      <c r="J160" s="3">
        <v>45313</v>
      </c>
      <c r="K160">
        <v>1.0273972602739727</v>
      </c>
      <c r="L160">
        <v>1</v>
      </c>
      <c r="M160" t="s">
        <v>676</v>
      </c>
      <c r="N160" t="s">
        <v>676</v>
      </c>
      <c r="O160">
        <v>1.0507</v>
      </c>
      <c r="P160">
        <v>3439.4559999999997</v>
      </c>
      <c r="Q160">
        <v>3439.4559999999997</v>
      </c>
      <c r="R160">
        <v>288.8</v>
      </c>
      <c r="S160">
        <v>303.44216</v>
      </c>
      <c r="T160">
        <v>15.97</v>
      </c>
      <c r="U160">
        <v>319.41216000000003</v>
      </c>
      <c r="V160">
        <v>30.4</v>
      </c>
      <c r="W160">
        <v>8779.52</v>
      </c>
      <c r="AC160">
        <v>750</v>
      </c>
      <c r="AE160">
        <v>41.666666666666664</v>
      </c>
      <c r="AF160">
        <v>877.952</v>
      </c>
      <c r="AG160">
        <v>877.952</v>
      </c>
      <c r="AH160">
        <v>438.97600000000006</v>
      </c>
      <c r="AI160">
        <v>877.95200000000011</v>
      </c>
      <c r="AJ160">
        <v>0</v>
      </c>
      <c r="AK160">
        <v>0</v>
      </c>
      <c r="AL160">
        <v>1755.904</v>
      </c>
      <c r="AM160">
        <v>11852.352000000001</v>
      </c>
      <c r="AN160">
        <v>12644.018666666665</v>
      </c>
      <c r="AO160">
        <v>12602.352000000001</v>
      </c>
      <c r="AQ160">
        <v>9571.1866666666665</v>
      </c>
      <c r="AR160">
        <v>24076.191999999999</v>
      </c>
      <c r="AS160">
        <v>10535.424000000001</v>
      </c>
      <c r="AT160">
        <v>0</v>
      </c>
      <c r="AU160">
        <v>13540.767999999998</v>
      </c>
      <c r="AV160">
        <v>1755.904</v>
      </c>
      <c r="AW160">
        <v>0</v>
      </c>
      <c r="AX160">
        <v>11327.090666666665</v>
      </c>
      <c r="AY160">
        <v>11128.02</v>
      </c>
      <c r="AZ160">
        <v>199.07066666666469</v>
      </c>
      <c r="BA160">
        <v>0.16</v>
      </c>
      <c r="BB160">
        <v>31.85130666666635</v>
      </c>
      <c r="BC160">
        <v>893.63</v>
      </c>
      <c r="BD160">
        <v>925.48130666666634</v>
      </c>
      <c r="BE160">
        <v>0</v>
      </c>
      <c r="BF160">
        <v>925.48130666666634</v>
      </c>
      <c r="BG160">
        <v>26.388888888888889</v>
      </c>
      <c r="BH160">
        <v>0</v>
      </c>
      <c r="BI160">
        <v>345.80104888888894</v>
      </c>
      <c r="BJ160">
        <v>1037.403146666667</v>
      </c>
      <c r="BK160">
        <v>0</v>
      </c>
      <c r="BL160">
        <v>0</v>
      </c>
      <c r="BM160">
        <v>28.880000000000006</v>
      </c>
      <c r="BN160">
        <v>0</v>
      </c>
      <c r="BO160">
        <v>0</v>
      </c>
      <c r="BP160">
        <v>358.71104888888891</v>
      </c>
      <c r="BQ160">
        <v>358.71104888888891</v>
      </c>
      <c r="BR160">
        <v>2.3149258666666674</v>
      </c>
      <c r="BS160">
        <v>26.90332866666667</v>
      </c>
      <c r="BT160">
        <v>40.354993</v>
      </c>
      <c r="BU160">
        <v>67.258321666666674</v>
      </c>
      <c r="BV160">
        <v>121.06497899999999</v>
      </c>
      <c r="BW160">
        <v>257.89654819999998</v>
      </c>
      <c r="BX160">
        <v>11460.640811799998</v>
      </c>
      <c r="BY160">
        <v>877.95200000000011</v>
      </c>
      <c r="BZ160">
        <v>10582.688811799999</v>
      </c>
      <c r="CA160">
        <v>12602.351999999999</v>
      </c>
      <c r="CB160">
        <v>378.07055999999994</v>
      </c>
      <c r="CC160">
        <v>358.71104888888891</v>
      </c>
      <c r="CD160">
        <v>692.41679999999997</v>
      </c>
      <c r="CE160">
        <v>6.3660461333333354</v>
      </c>
      <c r="CF160">
        <v>75.329320266666684</v>
      </c>
      <c r="CG160">
        <v>112.99398040000001</v>
      </c>
      <c r="CH160">
        <v>178.80705525069334</v>
      </c>
      <c r="CI160">
        <v>188.32330066666668</v>
      </c>
      <c r="CJ160">
        <v>107.61331466666668</v>
      </c>
      <c r="CK160">
        <v>215.22662933333336</v>
      </c>
      <c r="CL160">
        <v>338.98194120000005</v>
      </c>
      <c r="CM160">
        <v>1916.0583879173601</v>
      </c>
      <c r="CN160">
        <v>538.06657333333339</v>
      </c>
      <c r="CO160">
        <v>2832.1955212506937</v>
      </c>
      <c r="CQ160">
        <v>360.80219178082194</v>
      </c>
      <c r="CR160">
        <v>84.187178082191778</v>
      </c>
      <c r="CS160">
        <v>368.92024109589039</v>
      </c>
      <c r="CT160">
        <v>16290.12379887626</v>
      </c>
      <c r="CY160">
        <v>0</v>
      </c>
      <c r="DB160">
        <v>10535.423999999999</v>
      </c>
      <c r="DE160" s="61">
        <v>16290.12379887626</v>
      </c>
    </row>
    <row r="161" spans="1:109" hidden="1" x14ac:dyDescent="0.3">
      <c r="A161">
        <v>1742</v>
      </c>
      <c r="B161" t="s">
        <v>637</v>
      </c>
      <c r="C161" t="s">
        <v>603</v>
      </c>
      <c r="D161" t="s">
        <v>604</v>
      </c>
      <c r="E161" t="s">
        <v>802</v>
      </c>
      <c r="F161" t="s">
        <v>616</v>
      </c>
      <c r="G161" t="s">
        <v>617</v>
      </c>
      <c r="H161" t="s">
        <v>622</v>
      </c>
      <c r="I161" t="s">
        <v>623</v>
      </c>
      <c r="J161" s="3">
        <v>45229</v>
      </c>
      <c r="K161">
        <v>1.2575342465753425</v>
      </c>
      <c r="L161">
        <v>1</v>
      </c>
      <c r="M161" t="s">
        <v>676</v>
      </c>
      <c r="N161" t="s">
        <v>676</v>
      </c>
      <c r="O161">
        <v>1.0507</v>
      </c>
      <c r="P161">
        <v>3439.4559999999997</v>
      </c>
      <c r="Q161">
        <v>3439.4559999999997</v>
      </c>
      <c r="R161">
        <v>288.8</v>
      </c>
      <c r="S161">
        <v>303.44216</v>
      </c>
      <c r="T161">
        <v>16.72</v>
      </c>
      <c r="U161">
        <v>320.16215999999997</v>
      </c>
      <c r="V161">
        <v>30.4</v>
      </c>
      <c r="W161">
        <v>8779.52</v>
      </c>
      <c r="AC161">
        <v>750</v>
      </c>
      <c r="AE161">
        <v>41.666666666666664</v>
      </c>
      <c r="AF161">
        <v>877.952</v>
      </c>
      <c r="AG161">
        <v>877.952</v>
      </c>
      <c r="AH161">
        <v>438.97600000000006</v>
      </c>
      <c r="AI161">
        <v>877.95200000000011</v>
      </c>
      <c r="AJ161">
        <v>0</v>
      </c>
      <c r="AK161">
        <v>0</v>
      </c>
      <c r="AL161">
        <v>1755.904</v>
      </c>
      <c r="AM161">
        <v>11852.352000000001</v>
      </c>
      <c r="AN161">
        <v>12644.018666666665</v>
      </c>
      <c r="AO161">
        <v>12602.352000000001</v>
      </c>
      <c r="AQ161">
        <v>9571.1866666666665</v>
      </c>
      <c r="AR161">
        <v>24076.191999999999</v>
      </c>
      <c r="AS161">
        <v>10535.424000000001</v>
      </c>
      <c r="AT161">
        <v>0</v>
      </c>
      <c r="AU161">
        <v>13540.767999999998</v>
      </c>
      <c r="AV161">
        <v>1755.904</v>
      </c>
      <c r="AW161">
        <v>0</v>
      </c>
      <c r="AX161">
        <v>11327.090666666665</v>
      </c>
      <c r="AY161">
        <v>11128.02</v>
      </c>
      <c r="AZ161">
        <v>199.07066666666469</v>
      </c>
      <c r="BA161">
        <v>0.16</v>
      </c>
      <c r="BB161">
        <v>31.85130666666635</v>
      </c>
      <c r="BC161">
        <v>893.63</v>
      </c>
      <c r="BD161">
        <v>925.48130666666634</v>
      </c>
      <c r="BE161">
        <v>0</v>
      </c>
      <c r="BF161">
        <v>925.48130666666634</v>
      </c>
      <c r="BG161">
        <v>26.388888888888889</v>
      </c>
      <c r="BH161">
        <v>0</v>
      </c>
      <c r="BI161">
        <v>346.55104888888889</v>
      </c>
      <c r="BJ161">
        <v>1039.6531466666668</v>
      </c>
      <c r="BK161">
        <v>0</v>
      </c>
      <c r="BL161">
        <v>0</v>
      </c>
      <c r="BM161">
        <v>28.880000000000006</v>
      </c>
      <c r="BN161">
        <v>0</v>
      </c>
      <c r="BO161">
        <v>0</v>
      </c>
      <c r="BP161">
        <v>358.71104888888885</v>
      </c>
      <c r="BQ161">
        <v>358.71104888888885</v>
      </c>
      <c r="BR161">
        <v>2.3149258666666608</v>
      </c>
      <c r="BS161">
        <v>26.903328666666663</v>
      </c>
      <c r="BT161">
        <v>40.354992999999993</v>
      </c>
      <c r="BU161">
        <v>67.25832166666666</v>
      </c>
      <c r="BV161">
        <v>121.06497899999999</v>
      </c>
      <c r="BW161">
        <v>257.89654819999998</v>
      </c>
      <c r="BX161">
        <v>11460.640811799998</v>
      </c>
      <c r="BY161">
        <v>877.95200000000011</v>
      </c>
      <c r="BZ161">
        <v>10582.688811799999</v>
      </c>
      <c r="CA161">
        <v>12602.351999999999</v>
      </c>
      <c r="CB161">
        <v>378.07055999999994</v>
      </c>
      <c r="CC161">
        <v>358.71104888888885</v>
      </c>
      <c r="CD161">
        <v>692.41679999999997</v>
      </c>
      <c r="CE161">
        <v>6.3660461333333158</v>
      </c>
      <c r="CF161">
        <v>75.32932026666667</v>
      </c>
      <c r="CG161">
        <v>112.9939804</v>
      </c>
      <c r="CH161">
        <v>178.80705525069331</v>
      </c>
      <c r="CI161">
        <v>188.32330066666665</v>
      </c>
      <c r="CJ161">
        <v>107.61331466666665</v>
      </c>
      <c r="CK161">
        <v>215.22662933333331</v>
      </c>
      <c r="CL161">
        <v>338.98194119999999</v>
      </c>
      <c r="CM161">
        <v>1916.0583879173596</v>
      </c>
      <c r="CN161">
        <v>538.06657333333328</v>
      </c>
      <c r="CO161">
        <v>2832.1955212506928</v>
      </c>
      <c r="CQ161">
        <v>360.80219178082194</v>
      </c>
      <c r="CR161">
        <v>84.187178082191778</v>
      </c>
      <c r="CS161">
        <v>368.92024109589039</v>
      </c>
      <c r="CT161">
        <v>16290.12379887626</v>
      </c>
      <c r="CY161">
        <v>0</v>
      </c>
      <c r="DB161">
        <v>10535.423999999999</v>
      </c>
      <c r="DE161" s="61">
        <v>16290.12379887626</v>
      </c>
    </row>
    <row r="162" spans="1:109" hidden="1" x14ac:dyDescent="0.3">
      <c r="A162">
        <v>1076</v>
      </c>
      <c r="B162" t="s">
        <v>611</v>
      </c>
      <c r="C162" t="s">
        <v>603</v>
      </c>
      <c r="D162" t="s">
        <v>604</v>
      </c>
      <c r="E162" t="s">
        <v>677</v>
      </c>
      <c r="F162" t="s">
        <v>616</v>
      </c>
      <c r="G162" t="s">
        <v>617</v>
      </c>
      <c r="H162" t="s">
        <v>608</v>
      </c>
      <c r="I162" t="s">
        <v>609</v>
      </c>
      <c r="J162" s="3">
        <v>45439</v>
      </c>
      <c r="K162">
        <v>0.68219178082191778</v>
      </c>
      <c r="L162">
        <v>0</v>
      </c>
      <c r="M162" t="s">
        <v>678</v>
      </c>
      <c r="N162" t="s">
        <v>678</v>
      </c>
      <c r="O162">
        <v>1.0492999999999999</v>
      </c>
      <c r="P162">
        <v>3439.4559999999997</v>
      </c>
      <c r="Q162">
        <v>3439.4559999999997</v>
      </c>
      <c r="R162">
        <v>288.8</v>
      </c>
      <c r="S162">
        <v>303.03783999999996</v>
      </c>
      <c r="T162">
        <v>30.18</v>
      </c>
      <c r="U162">
        <v>333.21783999999997</v>
      </c>
      <c r="V162">
        <v>30.4</v>
      </c>
      <c r="W162">
        <v>8779.52</v>
      </c>
      <c r="AC162">
        <v>750</v>
      </c>
      <c r="AE162">
        <v>41.666666666666664</v>
      </c>
      <c r="AF162">
        <v>877.952</v>
      </c>
      <c r="AG162">
        <v>877.952</v>
      </c>
      <c r="AH162">
        <v>438.97600000000006</v>
      </c>
      <c r="AI162">
        <v>877.95200000000011</v>
      </c>
      <c r="AJ162">
        <v>0</v>
      </c>
      <c r="AK162">
        <v>0</v>
      </c>
      <c r="AL162">
        <v>1755.904</v>
      </c>
      <c r="AM162">
        <v>11852.352000000001</v>
      </c>
      <c r="AN162">
        <v>12644.018666666665</v>
      </c>
      <c r="AO162">
        <v>12602.352000000001</v>
      </c>
      <c r="AQ162">
        <v>9571.1866666666665</v>
      </c>
      <c r="AR162">
        <v>24076.191999999999</v>
      </c>
      <c r="AS162">
        <v>10535.424000000001</v>
      </c>
      <c r="AT162">
        <v>0</v>
      </c>
      <c r="AU162">
        <v>13540.767999999998</v>
      </c>
      <c r="AV162">
        <v>1755.904</v>
      </c>
      <c r="AW162">
        <v>0</v>
      </c>
      <c r="AX162">
        <v>11327.090666666665</v>
      </c>
      <c r="AY162">
        <v>11128.02</v>
      </c>
      <c r="AZ162">
        <v>199.07066666666469</v>
      </c>
      <c r="BA162">
        <v>0.16</v>
      </c>
      <c r="BB162">
        <v>31.85130666666635</v>
      </c>
      <c r="BC162">
        <v>893.63</v>
      </c>
      <c r="BD162">
        <v>925.48130666666634</v>
      </c>
      <c r="BE162">
        <v>0</v>
      </c>
      <c r="BF162">
        <v>925.48130666666634</v>
      </c>
      <c r="BG162">
        <v>26.388888888888889</v>
      </c>
      <c r="BH162">
        <v>0</v>
      </c>
      <c r="BI162">
        <v>359.60672888888888</v>
      </c>
      <c r="BJ162">
        <v>1078.8201866666666</v>
      </c>
      <c r="BK162">
        <v>0</v>
      </c>
      <c r="BL162">
        <v>0</v>
      </c>
      <c r="BM162">
        <v>28.880000000000006</v>
      </c>
      <c r="BN162">
        <v>0</v>
      </c>
      <c r="BO162">
        <v>0</v>
      </c>
      <c r="BP162">
        <v>358.30672888888887</v>
      </c>
      <c r="BQ162">
        <v>358.30672888888887</v>
      </c>
      <c r="BR162">
        <v>2.2664074666666623</v>
      </c>
      <c r="BS162">
        <v>26.873004666666663</v>
      </c>
      <c r="BT162">
        <v>40.309506999999996</v>
      </c>
      <c r="BU162">
        <v>67.18251166666667</v>
      </c>
      <c r="BV162">
        <v>120.928521</v>
      </c>
      <c r="BW162">
        <v>257.55995179999996</v>
      </c>
      <c r="BX162">
        <v>11460.977408199999</v>
      </c>
      <c r="BY162">
        <v>877.95200000000011</v>
      </c>
      <c r="BZ162">
        <v>10583.025408199999</v>
      </c>
      <c r="CA162">
        <v>12602.351999999999</v>
      </c>
      <c r="CB162">
        <v>378.07055999999994</v>
      </c>
      <c r="CC162">
        <v>358.30672888888887</v>
      </c>
      <c r="CD162">
        <v>692.41679999999997</v>
      </c>
      <c r="CE162">
        <v>6.2326205333333213</v>
      </c>
      <c r="CF162">
        <v>75.244413066666652</v>
      </c>
      <c r="CG162">
        <v>112.86661960000001</v>
      </c>
      <c r="CH162">
        <v>178.60551345597335</v>
      </c>
      <c r="CI162">
        <v>188.11103266666669</v>
      </c>
      <c r="CJ162">
        <v>107.49201866666665</v>
      </c>
      <c r="CK162">
        <v>214.9840373333333</v>
      </c>
      <c r="CL162">
        <v>338.59985879999999</v>
      </c>
      <c r="CM162">
        <v>1914.55291412264</v>
      </c>
      <c r="CN162">
        <v>537.46009333333336</v>
      </c>
      <c r="CO162">
        <v>2830.083567455973</v>
      </c>
      <c r="CQ162">
        <v>360.80219178082194</v>
      </c>
      <c r="CR162">
        <v>72.160438356164377</v>
      </c>
      <c r="CS162">
        <v>368.55943890410958</v>
      </c>
      <c r="CT162">
        <v>16275.624303163733</v>
      </c>
      <c r="CY162">
        <v>0</v>
      </c>
      <c r="DB162">
        <v>10535.423999999999</v>
      </c>
      <c r="DE162" s="61">
        <v>16275.624303163733</v>
      </c>
    </row>
    <row r="163" spans="1:109" hidden="1" x14ac:dyDescent="0.3">
      <c r="A163">
        <v>1106</v>
      </c>
      <c r="B163">
        <v>0</v>
      </c>
      <c r="C163" t="s">
        <v>603</v>
      </c>
      <c r="D163" t="s">
        <v>604</v>
      </c>
      <c r="E163" t="s">
        <v>683</v>
      </c>
      <c r="F163" t="s">
        <v>616</v>
      </c>
      <c r="G163" t="s">
        <v>617</v>
      </c>
      <c r="H163" t="s">
        <v>622</v>
      </c>
      <c r="I163" t="s">
        <v>623</v>
      </c>
      <c r="J163" s="3">
        <v>45593</v>
      </c>
      <c r="K163">
        <v>0.26027397260273971</v>
      </c>
      <c r="L163">
        <v>0</v>
      </c>
      <c r="M163" t="s">
        <v>678</v>
      </c>
      <c r="N163" t="s">
        <v>678</v>
      </c>
      <c r="O163">
        <v>1.0492999999999999</v>
      </c>
      <c r="P163">
        <v>3439.4559999999997</v>
      </c>
      <c r="Q163">
        <v>3439.4559999999997</v>
      </c>
      <c r="R163">
        <v>288.8</v>
      </c>
      <c r="S163">
        <v>303.03783999999996</v>
      </c>
      <c r="T163">
        <v>47.37</v>
      </c>
      <c r="U163">
        <v>350.40783999999996</v>
      </c>
      <c r="V163">
        <v>30.4</v>
      </c>
      <c r="W163">
        <v>8779.52</v>
      </c>
      <c r="AC163">
        <v>750</v>
      </c>
      <c r="AE163">
        <v>41.666666666666664</v>
      </c>
      <c r="AF163">
        <v>877.952</v>
      </c>
      <c r="AG163">
        <v>877.952</v>
      </c>
      <c r="AH163">
        <v>438.97600000000006</v>
      </c>
      <c r="AI163">
        <v>877.95200000000011</v>
      </c>
      <c r="AJ163">
        <v>0</v>
      </c>
      <c r="AK163">
        <v>0</v>
      </c>
      <c r="AL163">
        <v>1755.904</v>
      </c>
      <c r="AM163">
        <v>11852.352000000001</v>
      </c>
      <c r="AN163">
        <v>12644.018666666665</v>
      </c>
      <c r="AO163">
        <v>12602.352000000001</v>
      </c>
      <c r="AQ163">
        <v>9571.1866666666665</v>
      </c>
      <c r="AR163">
        <v>24076.191999999999</v>
      </c>
      <c r="AS163">
        <v>10535.424000000001</v>
      </c>
      <c r="AT163">
        <v>0</v>
      </c>
      <c r="AU163">
        <v>13540.767999999998</v>
      </c>
      <c r="AV163">
        <v>1755.904</v>
      </c>
      <c r="AW163">
        <v>0</v>
      </c>
      <c r="AX163">
        <v>11327.090666666665</v>
      </c>
      <c r="AY163">
        <v>11128.02</v>
      </c>
      <c r="AZ163">
        <v>199.07066666666469</v>
      </c>
      <c r="BA163">
        <v>0.16</v>
      </c>
      <c r="BB163">
        <v>31.85130666666635</v>
      </c>
      <c r="BC163">
        <v>893.63</v>
      </c>
      <c r="BD163">
        <v>925.48130666666634</v>
      </c>
      <c r="BE163">
        <v>0</v>
      </c>
      <c r="BF163">
        <v>925.48130666666634</v>
      </c>
      <c r="BG163">
        <v>26.388888888888889</v>
      </c>
      <c r="BH163">
        <v>0</v>
      </c>
      <c r="BI163">
        <v>376.79672888888888</v>
      </c>
      <c r="BJ163">
        <v>1130.3901866666668</v>
      </c>
      <c r="BK163">
        <v>0</v>
      </c>
      <c r="BL163">
        <v>0</v>
      </c>
      <c r="BM163">
        <v>28.880000000000006</v>
      </c>
      <c r="BN163">
        <v>0</v>
      </c>
      <c r="BO163">
        <v>0</v>
      </c>
      <c r="BP163">
        <v>358.30672888888887</v>
      </c>
      <c r="BQ163">
        <v>358.30672888888887</v>
      </c>
      <c r="BR163">
        <v>2.2664074666666623</v>
      </c>
      <c r="BS163">
        <v>26.873004666666663</v>
      </c>
      <c r="BT163">
        <v>40.309506999999996</v>
      </c>
      <c r="BU163">
        <v>67.18251166666667</v>
      </c>
      <c r="BV163">
        <v>120.928521</v>
      </c>
      <c r="BW163">
        <v>257.55995179999996</v>
      </c>
      <c r="BX163">
        <v>11460.977408199999</v>
      </c>
      <c r="BY163">
        <v>877.95200000000011</v>
      </c>
      <c r="BZ163">
        <v>10583.025408199999</v>
      </c>
      <c r="CA163">
        <v>12602.351999999999</v>
      </c>
      <c r="CB163">
        <v>378.07055999999994</v>
      </c>
      <c r="CC163">
        <v>358.30672888888887</v>
      </c>
      <c r="CD163">
        <v>692.41679999999997</v>
      </c>
      <c r="CE163">
        <v>6.2326205333333213</v>
      </c>
      <c r="CF163">
        <v>75.244413066666652</v>
      </c>
      <c r="CG163">
        <v>112.86661960000001</v>
      </c>
      <c r="CH163">
        <v>178.60551345597335</v>
      </c>
      <c r="CI163">
        <v>188.11103266666669</v>
      </c>
      <c r="CJ163">
        <v>107.49201866666665</v>
      </c>
      <c r="CK163">
        <v>214.9840373333333</v>
      </c>
      <c r="CL163">
        <v>338.59985879999999</v>
      </c>
      <c r="CM163">
        <v>1914.55291412264</v>
      </c>
      <c r="CN163">
        <v>537.46009333333336</v>
      </c>
      <c r="CO163">
        <v>2830.083567455973</v>
      </c>
      <c r="CQ163">
        <v>360.80219178082194</v>
      </c>
      <c r="CR163">
        <v>72.160438356164377</v>
      </c>
      <c r="CS163">
        <v>368.55943890410958</v>
      </c>
      <c r="CT163">
        <v>16275.624303163733</v>
      </c>
      <c r="CY163">
        <v>0</v>
      </c>
      <c r="DB163">
        <v>10535.423999999999</v>
      </c>
      <c r="DE163" s="61">
        <v>16275.624303163733</v>
      </c>
    </row>
    <row r="164" spans="1:109" hidden="1" x14ac:dyDescent="0.3">
      <c r="A164">
        <v>1664</v>
      </c>
      <c r="B164" t="s">
        <v>637</v>
      </c>
      <c r="C164" t="s">
        <v>603</v>
      </c>
      <c r="D164" t="s">
        <v>604</v>
      </c>
      <c r="E164" t="s">
        <v>773</v>
      </c>
      <c r="F164" t="s">
        <v>616</v>
      </c>
      <c r="G164" t="s">
        <v>617</v>
      </c>
      <c r="H164" t="s">
        <v>622</v>
      </c>
      <c r="I164" t="s">
        <v>623</v>
      </c>
      <c r="J164" s="3">
        <v>45539</v>
      </c>
      <c r="K164">
        <v>0.40821917808219177</v>
      </c>
      <c r="L164">
        <v>0</v>
      </c>
      <c r="M164" t="s">
        <v>678</v>
      </c>
      <c r="N164" t="s">
        <v>678</v>
      </c>
      <c r="O164">
        <v>1.0492999999999999</v>
      </c>
      <c r="P164">
        <v>3439.4559999999997</v>
      </c>
      <c r="Q164">
        <v>3439.4559999999997</v>
      </c>
      <c r="R164">
        <v>288.8</v>
      </c>
      <c r="S164">
        <v>303.03783999999996</v>
      </c>
      <c r="T164">
        <v>67.77</v>
      </c>
      <c r="U164">
        <v>370.80783999999994</v>
      </c>
      <c r="V164">
        <v>30.4</v>
      </c>
      <c r="W164">
        <v>8779.52</v>
      </c>
      <c r="AC164">
        <v>750</v>
      </c>
      <c r="AE164">
        <v>41.666666666666664</v>
      </c>
      <c r="AF164">
        <v>877.952</v>
      </c>
      <c r="AG164">
        <v>877.952</v>
      </c>
      <c r="AH164">
        <v>438.97600000000006</v>
      </c>
      <c r="AI164">
        <v>877.95200000000011</v>
      </c>
      <c r="AJ164">
        <v>0</v>
      </c>
      <c r="AK164">
        <v>0</v>
      </c>
      <c r="AL164">
        <v>1755.904</v>
      </c>
      <c r="AM164">
        <v>11852.352000000001</v>
      </c>
      <c r="AN164">
        <v>12644.018666666665</v>
      </c>
      <c r="AO164">
        <v>12602.352000000001</v>
      </c>
      <c r="AQ164">
        <v>9571.1866666666665</v>
      </c>
      <c r="AR164">
        <v>24076.191999999999</v>
      </c>
      <c r="AS164">
        <v>10535.424000000001</v>
      </c>
      <c r="AT164">
        <v>0</v>
      </c>
      <c r="AU164">
        <v>13540.767999999998</v>
      </c>
      <c r="AV164">
        <v>1755.904</v>
      </c>
      <c r="AW164">
        <v>0</v>
      </c>
      <c r="AX164">
        <v>11327.090666666665</v>
      </c>
      <c r="AY164">
        <v>11128.02</v>
      </c>
      <c r="AZ164">
        <v>199.07066666666469</v>
      </c>
      <c r="BA164">
        <v>0.16</v>
      </c>
      <c r="BB164">
        <v>31.85130666666635</v>
      </c>
      <c r="BC164">
        <v>893.63</v>
      </c>
      <c r="BD164">
        <v>925.48130666666634</v>
      </c>
      <c r="BE164">
        <v>0</v>
      </c>
      <c r="BF164">
        <v>925.48130666666634</v>
      </c>
      <c r="BG164">
        <v>26.388888888888889</v>
      </c>
      <c r="BH164">
        <v>0</v>
      </c>
      <c r="BI164">
        <v>397.19672888888886</v>
      </c>
      <c r="BJ164">
        <v>1191.5901866666666</v>
      </c>
      <c r="BK164">
        <v>0</v>
      </c>
      <c r="BL164">
        <v>0</v>
      </c>
      <c r="BM164">
        <v>28.880000000000006</v>
      </c>
      <c r="BN164">
        <v>0</v>
      </c>
      <c r="BO164">
        <v>0</v>
      </c>
      <c r="BP164">
        <v>358.30672888888887</v>
      </c>
      <c r="BQ164">
        <v>358.30672888888887</v>
      </c>
      <c r="BR164">
        <v>2.2664074666666623</v>
      </c>
      <c r="BS164">
        <v>26.873004666666663</v>
      </c>
      <c r="BT164">
        <v>40.309506999999996</v>
      </c>
      <c r="BU164">
        <v>67.18251166666667</v>
      </c>
      <c r="BV164">
        <v>120.928521</v>
      </c>
      <c r="BW164">
        <v>257.55995179999996</v>
      </c>
      <c r="BX164">
        <v>11460.977408199999</v>
      </c>
      <c r="BY164">
        <v>877.95200000000011</v>
      </c>
      <c r="BZ164">
        <v>10583.025408199999</v>
      </c>
      <c r="CA164">
        <v>12602.351999999999</v>
      </c>
      <c r="CB164">
        <v>378.07055999999994</v>
      </c>
      <c r="CC164">
        <v>358.30672888888887</v>
      </c>
      <c r="CD164">
        <v>692.41679999999997</v>
      </c>
      <c r="CE164">
        <v>6.2326205333333213</v>
      </c>
      <c r="CF164">
        <v>75.244413066666652</v>
      </c>
      <c r="CG164">
        <v>112.86661960000001</v>
      </c>
      <c r="CH164">
        <v>178.60551345597335</v>
      </c>
      <c r="CI164">
        <v>188.11103266666669</v>
      </c>
      <c r="CJ164">
        <v>107.49201866666665</v>
      </c>
      <c r="CK164">
        <v>214.9840373333333</v>
      </c>
      <c r="CL164">
        <v>338.59985879999999</v>
      </c>
      <c r="CM164">
        <v>1914.55291412264</v>
      </c>
      <c r="CN164">
        <v>537.46009333333336</v>
      </c>
      <c r="CO164">
        <v>2830.083567455973</v>
      </c>
      <c r="CQ164">
        <v>360.80219178082194</v>
      </c>
      <c r="CR164">
        <v>72.160438356164377</v>
      </c>
      <c r="CS164">
        <v>368.55943890410958</v>
      </c>
      <c r="CT164">
        <v>16275.624303163733</v>
      </c>
      <c r="CY164">
        <v>0</v>
      </c>
      <c r="DB164">
        <v>10535.423999999999</v>
      </c>
      <c r="DE164" s="61">
        <v>16275.624303163733</v>
      </c>
    </row>
    <row r="165" spans="1:109" hidden="1" x14ac:dyDescent="0.3">
      <c r="A165">
        <v>1783</v>
      </c>
      <c r="B165" t="s">
        <v>637</v>
      </c>
      <c r="C165" t="s">
        <v>603</v>
      </c>
      <c r="D165" t="s">
        <v>604</v>
      </c>
      <c r="E165" t="s">
        <v>811</v>
      </c>
      <c r="F165" t="s">
        <v>616</v>
      </c>
      <c r="G165" t="s">
        <v>617</v>
      </c>
      <c r="H165" t="s">
        <v>622</v>
      </c>
      <c r="I165" t="s">
        <v>623</v>
      </c>
      <c r="J165" s="3">
        <v>45504</v>
      </c>
      <c r="K165">
        <v>0.50410958904109593</v>
      </c>
      <c r="L165">
        <v>0</v>
      </c>
      <c r="M165" t="s">
        <v>678</v>
      </c>
      <c r="N165" t="s">
        <v>678</v>
      </c>
      <c r="O165">
        <v>1.0492999999999999</v>
      </c>
      <c r="P165">
        <v>3439.4559999999997</v>
      </c>
      <c r="Q165">
        <v>3439.4559999999997</v>
      </c>
      <c r="R165">
        <v>288.8</v>
      </c>
      <c r="S165">
        <v>303.03783999999996</v>
      </c>
      <c r="T165">
        <v>22.78</v>
      </c>
      <c r="U165">
        <v>325.81783999999993</v>
      </c>
      <c r="V165">
        <v>30.4</v>
      </c>
      <c r="W165">
        <v>8779.52</v>
      </c>
      <c r="AC165">
        <v>750</v>
      </c>
      <c r="AE165">
        <v>41.666666666666664</v>
      </c>
      <c r="AF165">
        <v>877.952</v>
      </c>
      <c r="AG165">
        <v>877.952</v>
      </c>
      <c r="AH165">
        <v>438.97600000000006</v>
      </c>
      <c r="AI165">
        <v>877.95200000000011</v>
      </c>
      <c r="AJ165">
        <v>0</v>
      </c>
      <c r="AK165">
        <v>0</v>
      </c>
      <c r="AL165">
        <v>1755.904</v>
      </c>
      <c r="AM165">
        <v>11852.352000000001</v>
      </c>
      <c r="AN165">
        <v>12644.018666666665</v>
      </c>
      <c r="AO165">
        <v>12602.352000000001</v>
      </c>
      <c r="AQ165">
        <v>9571.1866666666665</v>
      </c>
      <c r="AR165">
        <v>24076.191999999999</v>
      </c>
      <c r="AS165">
        <v>10535.424000000001</v>
      </c>
      <c r="AT165">
        <v>0</v>
      </c>
      <c r="AU165">
        <v>13540.767999999998</v>
      </c>
      <c r="AV165">
        <v>1755.904</v>
      </c>
      <c r="AW165">
        <v>0</v>
      </c>
      <c r="AX165">
        <v>11327.090666666665</v>
      </c>
      <c r="AY165">
        <v>11128.02</v>
      </c>
      <c r="AZ165">
        <v>199.07066666666469</v>
      </c>
      <c r="BA165">
        <v>0.16</v>
      </c>
      <c r="BB165">
        <v>31.85130666666635</v>
      </c>
      <c r="BC165">
        <v>893.63</v>
      </c>
      <c r="BD165">
        <v>925.48130666666634</v>
      </c>
      <c r="BE165">
        <v>0</v>
      </c>
      <c r="BF165">
        <v>925.48130666666634</v>
      </c>
      <c r="BG165">
        <v>26.388888888888889</v>
      </c>
      <c r="BH165">
        <v>0</v>
      </c>
      <c r="BI165">
        <v>352.20672888888885</v>
      </c>
      <c r="BJ165">
        <v>1056.6201866666668</v>
      </c>
      <c r="BK165">
        <v>0</v>
      </c>
      <c r="BL165">
        <v>0</v>
      </c>
      <c r="BM165">
        <v>28.880000000000006</v>
      </c>
      <c r="BN165">
        <v>0</v>
      </c>
      <c r="BO165">
        <v>0</v>
      </c>
      <c r="BP165">
        <v>358.30672888888887</v>
      </c>
      <c r="BQ165">
        <v>358.30672888888887</v>
      </c>
      <c r="BR165">
        <v>2.2664074666666623</v>
      </c>
      <c r="BS165">
        <v>26.873004666666663</v>
      </c>
      <c r="BT165">
        <v>40.309506999999996</v>
      </c>
      <c r="BU165">
        <v>67.18251166666667</v>
      </c>
      <c r="BV165">
        <v>120.928521</v>
      </c>
      <c r="BW165">
        <v>257.55995179999996</v>
      </c>
      <c r="BX165">
        <v>11460.977408199999</v>
      </c>
      <c r="BY165">
        <v>877.95200000000011</v>
      </c>
      <c r="BZ165">
        <v>10583.025408199999</v>
      </c>
      <c r="CA165">
        <v>12602.351999999999</v>
      </c>
      <c r="CB165">
        <v>378.07055999999994</v>
      </c>
      <c r="CC165">
        <v>358.30672888888887</v>
      </c>
      <c r="CD165">
        <v>692.41679999999997</v>
      </c>
      <c r="CE165">
        <v>6.2326205333333213</v>
      </c>
      <c r="CF165">
        <v>75.244413066666652</v>
      </c>
      <c r="CG165">
        <v>112.86661960000001</v>
      </c>
      <c r="CH165">
        <v>178.60551345597335</v>
      </c>
      <c r="CI165">
        <v>188.11103266666669</v>
      </c>
      <c r="CJ165">
        <v>107.49201866666665</v>
      </c>
      <c r="CK165">
        <v>214.9840373333333</v>
      </c>
      <c r="CL165">
        <v>338.59985879999999</v>
      </c>
      <c r="CM165">
        <v>1914.55291412264</v>
      </c>
      <c r="CN165">
        <v>537.46009333333336</v>
      </c>
      <c r="CO165">
        <v>2830.083567455973</v>
      </c>
      <c r="CQ165">
        <v>360.80219178082194</v>
      </c>
      <c r="CR165">
        <v>72.160438356164377</v>
      </c>
      <c r="CS165">
        <v>368.55943890410958</v>
      </c>
      <c r="CT165">
        <v>16275.624303163733</v>
      </c>
      <c r="CY165">
        <v>0</v>
      </c>
      <c r="DB165">
        <v>10535.423999999999</v>
      </c>
      <c r="DE165" s="61">
        <v>16275.624303163733</v>
      </c>
    </row>
    <row r="166" spans="1:109" hidden="1" x14ac:dyDescent="0.3">
      <c r="A166">
        <v>1786</v>
      </c>
      <c r="B166" t="s">
        <v>611</v>
      </c>
      <c r="C166" t="s">
        <v>603</v>
      </c>
      <c r="D166" t="s">
        <v>604</v>
      </c>
      <c r="E166" t="s">
        <v>816</v>
      </c>
      <c r="F166" t="s">
        <v>616</v>
      </c>
      <c r="G166" t="s">
        <v>617</v>
      </c>
      <c r="H166" t="s">
        <v>608</v>
      </c>
      <c r="I166" t="s">
        <v>609</v>
      </c>
      <c r="J166" s="3">
        <v>45530</v>
      </c>
      <c r="K166">
        <v>0.43287671232876712</v>
      </c>
      <c r="L166">
        <v>0</v>
      </c>
      <c r="M166" t="s">
        <v>678</v>
      </c>
      <c r="N166" t="s">
        <v>678</v>
      </c>
      <c r="O166">
        <v>1.0492999999999999</v>
      </c>
      <c r="P166">
        <v>3439.4559999999997</v>
      </c>
      <c r="Q166">
        <v>3439.4559999999997</v>
      </c>
      <c r="R166">
        <v>288.8</v>
      </c>
      <c r="S166">
        <v>303.03783999999996</v>
      </c>
      <c r="T166">
        <v>22.36</v>
      </c>
      <c r="U166">
        <v>325.39783999999997</v>
      </c>
      <c r="V166">
        <v>30.4</v>
      </c>
      <c r="W166">
        <v>8779.52</v>
      </c>
      <c r="AC166">
        <v>750</v>
      </c>
      <c r="AE166">
        <v>41.666666666666664</v>
      </c>
      <c r="AF166">
        <v>877.952</v>
      </c>
      <c r="AG166">
        <v>877.952</v>
      </c>
      <c r="AH166">
        <v>438.97600000000006</v>
      </c>
      <c r="AI166">
        <v>877.95200000000011</v>
      </c>
      <c r="AJ166">
        <v>0</v>
      </c>
      <c r="AK166">
        <v>0</v>
      </c>
      <c r="AL166">
        <v>1755.904</v>
      </c>
      <c r="AM166">
        <v>11852.352000000001</v>
      </c>
      <c r="AN166">
        <v>12644.018666666665</v>
      </c>
      <c r="AO166">
        <v>12602.352000000001</v>
      </c>
      <c r="AQ166">
        <v>9571.1866666666665</v>
      </c>
      <c r="AR166">
        <v>24076.191999999999</v>
      </c>
      <c r="AS166">
        <v>10535.424000000001</v>
      </c>
      <c r="AT166">
        <v>0</v>
      </c>
      <c r="AU166">
        <v>13540.767999999998</v>
      </c>
      <c r="AV166">
        <v>1755.904</v>
      </c>
      <c r="AW166">
        <v>0</v>
      </c>
      <c r="AX166">
        <v>11327.090666666665</v>
      </c>
      <c r="AY166">
        <v>11128.02</v>
      </c>
      <c r="AZ166">
        <v>199.07066666666469</v>
      </c>
      <c r="BA166">
        <v>0.16</v>
      </c>
      <c r="BB166">
        <v>31.85130666666635</v>
      </c>
      <c r="BC166">
        <v>893.63</v>
      </c>
      <c r="BD166">
        <v>925.48130666666634</v>
      </c>
      <c r="BE166">
        <v>0</v>
      </c>
      <c r="BF166">
        <v>925.48130666666634</v>
      </c>
      <c r="BG166">
        <v>26.388888888888889</v>
      </c>
      <c r="BH166">
        <v>0</v>
      </c>
      <c r="BI166">
        <v>351.78672888888889</v>
      </c>
      <c r="BJ166">
        <v>1055.3601866666666</v>
      </c>
      <c r="BK166">
        <v>0</v>
      </c>
      <c r="BL166">
        <v>0</v>
      </c>
      <c r="BM166">
        <v>28.880000000000006</v>
      </c>
      <c r="BN166">
        <v>0</v>
      </c>
      <c r="BO166">
        <v>0</v>
      </c>
      <c r="BP166">
        <v>358.30672888888887</v>
      </c>
      <c r="BQ166">
        <v>358.30672888888887</v>
      </c>
      <c r="BR166">
        <v>2.2664074666666623</v>
      </c>
      <c r="BS166">
        <v>26.873004666666663</v>
      </c>
      <c r="BT166">
        <v>40.309506999999996</v>
      </c>
      <c r="BU166">
        <v>67.18251166666667</v>
      </c>
      <c r="BV166">
        <v>120.928521</v>
      </c>
      <c r="BW166">
        <v>257.55995179999996</v>
      </c>
      <c r="BX166">
        <v>11460.977408199999</v>
      </c>
      <c r="BY166">
        <v>877.95200000000011</v>
      </c>
      <c r="BZ166">
        <v>10583.025408199999</v>
      </c>
      <c r="CA166">
        <v>12602.351999999999</v>
      </c>
      <c r="CB166">
        <v>378.07055999999994</v>
      </c>
      <c r="CC166">
        <v>358.30672888888887</v>
      </c>
      <c r="CD166">
        <v>692.41679999999997</v>
      </c>
      <c r="CE166">
        <v>6.2326205333333213</v>
      </c>
      <c r="CF166">
        <v>75.244413066666652</v>
      </c>
      <c r="CG166">
        <v>112.86661960000001</v>
      </c>
      <c r="CH166">
        <v>178.60551345597335</v>
      </c>
      <c r="CI166">
        <v>188.11103266666669</v>
      </c>
      <c r="CJ166">
        <v>107.49201866666665</v>
      </c>
      <c r="CK166">
        <v>214.9840373333333</v>
      </c>
      <c r="CL166">
        <v>338.59985879999999</v>
      </c>
      <c r="CM166">
        <v>1914.55291412264</v>
      </c>
      <c r="CN166">
        <v>537.46009333333336</v>
      </c>
      <c r="CO166">
        <v>2830.083567455973</v>
      </c>
      <c r="CQ166">
        <v>360.80219178082194</v>
      </c>
      <c r="CR166">
        <v>72.160438356164377</v>
      </c>
      <c r="CS166">
        <v>368.55943890410958</v>
      </c>
      <c r="CT166">
        <v>16275.624303163733</v>
      </c>
      <c r="CY166">
        <v>0</v>
      </c>
      <c r="DB166">
        <v>10535.423999999999</v>
      </c>
      <c r="DE166" s="61">
        <v>16275.624303163733</v>
      </c>
    </row>
    <row r="167" spans="1:109" hidden="1" x14ac:dyDescent="0.3">
      <c r="A167">
        <v>1788</v>
      </c>
      <c r="B167" t="s">
        <v>637</v>
      </c>
      <c r="C167" t="s">
        <v>603</v>
      </c>
      <c r="D167" t="s">
        <v>604</v>
      </c>
      <c r="E167" t="s">
        <v>817</v>
      </c>
      <c r="F167" t="s">
        <v>616</v>
      </c>
      <c r="G167" t="s">
        <v>617</v>
      </c>
      <c r="H167" t="s">
        <v>622</v>
      </c>
      <c r="I167" t="s">
        <v>623</v>
      </c>
      <c r="J167" s="3">
        <v>45539</v>
      </c>
      <c r="K167">
        <v>0.40821917808219177</v>
      </c>
      <c r="L167">
        <v>0</v>
      </c>
      <c r="M167" t="s">
        <v>678</v>
      </c>
      <c r="N167" t="s">
        <v>678</v>
      </c>
      <c r="O167">
        <v>1.0492999999999999</v>
      </c>
      <c r="P167">
        <v>3439.4559999999997</v>
      </c>
      <c r="Q167">
        <v>3439.4559999999997</v>
      </c>
      <c r="R167">
        <v>288.8</v>
      </c>
      <c r="S167">
        <v>303.03783999999996</v>
      </c>
      <c r="T167">
        <v>94.04</v>
      </c>
      <c r="U167">
        <v>397.07783999999998</v>
      </c>
      <c r="V167">
        <v>30.4</v>
      </c>
      <c r="W167">
        <v>8779.52</v>
      </c>
      <c r="AC167">
        <v>750</v>
      </c>
      <c r="AE167">
        <v>41.666666666666664</v>
      </c>
      <c r="AF167">
        <v>877.952</v>
      </c>
      <c r="AG167">
        <v>877.952</v>
      </c>
      <c r="AH167">
        <v>438.97600000000006</v>
      </c>
      <c r="AI167">
        <v>877.95200000000011</v>
      </c>
      <c r="AJ167">
        <v>0</v>
      </c>
      <c r="AK167">
        <v>0</v>
      </c>
      <c r="AL167">
        <v>1755.904</v>
      </c>
      <c r="AM167">
        <v>11852.352000000001</v>
      </c>
      <c r="AN167">
        <v>12644.018666666665</v>
      </c>
      <c r="AO167">
        <v>12602.352000000001</v>
      </c>
      <c r="AQ167">
        <v>9571.1866666666665</v>
      </c>
      <c r="AR167">
        <v>24076.191999999999</v>
      </c>
      <c r="AS167">
        <v>10535.424000000001</v>
      </c>
      <c r="AT167">
        <v>0</v>
      </c>
      <c r="AU167">
        <v>13540.767999999998</v>
      </c>
      <c r="AV167">
        <v>1755.904</v>
      </c>
      <c r="AW167">
        <v>0</v>
      </c>
      <c r="AX167">
        <v>11327.090666666665</v>
      </c>
      <c r="AY167">
        <v>11128.02</v>
      </c>
      <c r="AZ167">
        <v>199.07066666666469</v>
      </c>
      <c r="BA167">
        <v>0.16</v>
      </c>
      <c r="BB167">
        <v>31.85130666666635</v>
      </c>
      <c r="BC167">
        <v>893.63</v>
      </c>
      <c r="BD167">
        <v>925.48130666666634</v>
      </c>
      <c r="BE167">
        <v>0</v>
      </c>
      <c r="BF167">
        <v>925.48130666666634</v>
      </c>
      <c r="BG167">
        <v>26.388888888888889</v>
      </c>
      <c r="BH167">
        <v>0</v>
      </c>
      <c r="BI167">
        <v>423.46672888888889</v>
      </c>
      <c r="BJ167">
        <v>1270.4001866666667</v>
      </c>
      <c r="BK167">
        <v>0</v>
      </c>
      <c r="BL167">
        <v>0</v>
      </c>
      <c r="BM167">
        <v>28.880000000000006</v>
      </c>
      <c r="BN167">
        <v>0</v>
      </c>
      <c r="BO167">
        <v>0</v>
      </c>
      <c r="BP167">
        <v>358.30672888888887</v>
      </c>
      <c r="BQ167">
        <v>358.30672888888887</v>
      </c>
      <c r="BR167">
        <v>2.2664074666666623</v>
      </c>
      <c r="BS167">
        <v>26.873004666666663</v>
      </c>
      <c r="BT167">
        <v>40.309506999999996</v>
      </c>
      <c r="BU167">
        <v>67.18251166666667</v>
      </c>
      <c r="BV167">
        <v>120.928521</v>
      </c>
      <c r="BW167">
        <v>257.55995179999996</v>
      </c>
      <c r="BX167">
        <v>11460.977408199999</v>
      </c>
      <c r="BY167">
        <v>877.95200000000011</v>
      </c>
      <c r="BZ167">
        <v>10583.025408199999</v>
      </c>
      <c r="CA167">
        <v>12602.351999999999</v>
      </c>
      <c r="CB167">
        <v>378.07055999999994</v>
      </c>
      <c r="CC167">
        <v>358.30672888888887</v>
      </c>
      <c r="CD167">
        <v>692.41679999999997</v>
      </c>
      <c r="CE167">
        <v>6.2326205333333213</v>
      </c>
      <c r="CF167">
        <v>75.244413066666652</v>
      </c>
      <c r="CG167">
        <v>112.86661960000001</v>
      </c>
      <c r="CH167">
        <v>178.60551345597335</v>
      </c>
      <c r="CI167">
        <v>188.11103266666669</v>
      </c>
      <c r="CJ167">
        <v>107.49201866666665</v>
      </c>
      <c r="CK167">
        <v>214.9840373333333</v>
      </c>
      <c r="CL167">
        <v>338.59985879999999</v>
      </c>
      <c r="CM167">
        <v>1914.55291412264</v>
      </c>
      <c r="CN167">
        <v>537.46009333333336</v>
      </c>
      <c r="CO167">
        <v>2830.083567455973</v>
      </c>
      <c r="CQ167">
        <v>360.80219178082194</v>
      </c>
      <c r="CR167">
        <v>72.160438356164377</v>
      </c>
      <c r="CS167">
        <v>368.55943890410958</v>
      </c>
      <c r="CT167">
        <v>16275.624303163733</v>
      </c>
      <c r="CY167">
        <v>0</v>
      </c>
      <c r="DB167">
        <v>10535.423999999999</v>
      </c>
      <c r="DE167" s="61">
        <v>16275.624303163733</v>
      </c>
    </row>
    <row r="168" spans="1:109" hidden="1" x14ac:dyDescent="0.3">
      <c r="A168">
        <v>1790</v>
      </c>
      <c r="B168" t="s">
        <v>637</v>
      </c>
      <c r="C168" t="s">
        <v>603</v>
      </c>
      <c r="D168" t="s">
        <v>604</v>
      </c>
      <c r="E168" t="s">
        <v>818</v>
      </c>
      <c r="F168" t="s">
        <v>616</v>
      </c>
      <c r="G168" t="s">
        <v>617</v>
      </c>
      <c r="H168" t="s">
        <v>622</v>
      </c>
      <c r="I168" t="s">
        <v>623</v>
      </c>
      <c r="J168" s="3">
        <v>45539</v>
      </c>
      <c r="K168">
        <v>0.40821917808219177</v>
      </c>
      <c r="L168">
        <v>0</v>
      </c>
      <c r="M168" t="s">
        <v>678</v>
      </c>
      <c r="N168" t="s">
        <v>678</v>
      </c>
      <c r="O168">
        <v>1.0492999999999999</v>
      </c>
      <c r="P168">
        <v>3439.4559999999997</v>
      </c>
      <c r="Q168">
        <v>3439.4559999999997</v>
      </c>
      <c r="R168">
        <v>288.8</v>
      </c>
      <c r="S168">
        <v>303.03783999999996</v>
      </c>
      <c r="T168">
        <v>0</v>
      </c>
      <c r="U168">
        <v>303.03783999999996</v>
      </c>
      <c r="V168">
        <v>30.4</v>
      </c>
      <c r="W168">
        <v>8779.52</v>
      </c>
      <c r="AC168">
        <v>750</v>
      </c>
      <c r="AE168">
        <v>41.666666666666664</v>
      </c>
      <c r="AF168">
        <v>877.952</v>
      </c>
      <c r="AG168">
        <v>877.952</v>
      </c>
      <c r="AH168">
        <v>438.97600000000006</v>
      </c>
      <c r="AI168">
        <v>877.95200000000011</v>
      </c>
      <c r="AJ168">
        <v>0</v>
      </c>
      <c r="AK168">
        <v>0</v>
      </c>
      <c r="AL168">
        <v>1755.904</v>
      </c>
      <c r="AM168">
        <v>11852.352000000001</v>
      </c>
      <c r="AN168">
        <v>12644.018666666665</v>
      </c>
      <c r="AO168">
        <v>12602.352000000001</v>
      </c>
      <c r="AQ168">
        <v>9571.1866666666665</v>
      </c>
      <c r="AR168">
        <v>24076.191999999999</v>
      </c>
      <c r="AS168">
        <v>10535.424000000001</v>
      </c>
      <c r="AT168">
        <v>0</v>
      </c>
      <c r="AU168">
        <v>13540.767999999998</v>
      </c>
      <c r="AV168">
        <v>1755.904</v>
      </c>
      <c r="AW168">
        <v>0</v>
      </c>
      <c r="AX168">
        <v>11327.090666666665</v>
      </c>
      <c r="AY168">
        <v>11128.02</v>
      </c>
      <c r="AZ168">
        <v>199.07066666666469</v>
      </c>
      <c r="BA168">
        <v>0.16</v>
      </c>
      <c r="BB168">
        <v>31.85130666666635</v>
      </c>
      <c r="BC168">
        <v>893.63</v>
      </c>
      <c r="BD168">
        <v>925.48130666666634</v>
      </c>
      <c r="BE168">
        <v>0</v>
      </c>
      <c r="BF168">
        <v>925.48130666666634</v>
      </c>
      <c r="BG168">
        <v>26.388888888888889</v>
      </c>
      <c r="BH168">
        <v>0</v>
      </c>
      <c r="BI168">
        <v>329.42672888888887</v>
      </c>
      <c r="BJ168">
        <v>988.28018666666674</v>
      </c>
      <c r="BK168">
        <v>0</v>
      </c>
      <c r="BL168">
        <v>0</v>
      </c>
      <c r="BM168">
        <v>28.880000000000006</v>
      </c>
      <c r="BN168">
        <v>0</v>
      </c>
      <c r="BO168">
        <v>0</v>
      </c>
      <c r="BP168">
        <v>358.30672888888887</v>
      </c>
      <c r="BQ168">
        <v>358.30672888888887</v>
      </c>
      <c r="BR168">
        <v>2.2664074666666623</v>
      </c>
      <c r="BS168">
        <v>26.873004666666663</v>
      </c>
      <c r="BT168">
        <v>40.309506999999996</v>
      </c>
      <c r="BU168">
        <v>67.18251166666667</v>
      </c>
      <c r="BV168">
        <v>120.928521</v>
      </c>
      <c r="BW168">
        <v>257.55995179999996</v>
      </c>
      <c r="BX168">
        <v>11460.977408199999</v>
      </c>
      <c r="BY168">
        <v>877.95200000000011</v>
      </c>
      <c r="BZ168">
        <v>10583.025408199999</v>
      </c>
      <c r="CA168">
        <v>12602.351999999999</v>
      </c>
      <c r="CB168">
        <v>378.07055999999994</v>
      </c>
      <c r="CC168">
        <v>358.30672888888887</v>
      </c>
      <c r="CD168">
        <v>692.41679999999997</v>
      </c>
      <c r="CE168">
        <v>6.2326205333333213</v>
      </c>
      <c r="CF168">
        <v>75.244413066666652</v>
      </c>
      <c r="CG168">
        <v>112.86661960000001</v>
      </c>
      <c r="CH168">
        <v>178.60551345597335</v>
      </c>
      <c r="CI168">
        <v>188.11103266666669</v>
      </c>
      <c r="CJ168">
        <v>107.49201866666665</v>
      </c>
      <c r="CK168">
        <v>214.9840373333333</v>
      </c>
      <c r="CL168">
        <v>338.59985879999999</v>
      </c>
      <c r="CM168">
        <v>1914.55291412264</v>
      </c>
      <c r="CN168">
        <v>537.46009333333336</v>
      </c>
      <c r="CO168">
        <v>2830.083567455973</v>
      </c>
      <c r="CQ168">
        <v>360.80219178082194</v>
      </c>
      <c r="CR168">
        <v>72.160438356164377</v>
      </c>
      <c r="CS168">
        <v>368.55943890410958</v>
      </c>
      <c r="CT168">
        <v>16275.624303163733</v>
      </c>
      <c r="CY168">
        <v>0</v>
      </c>
      <c r="DB168">
        <v>10535.423999999999</v>
      </c>
      <c r="DE168" s="61">
        <v>16275.624303163733</v>
      </c>
    </row>
    <row r="169" spans="1:109" hidden="1" x14ac:dyDescent="0.3">
      <c r="A169">
        <v>1791</v>
      </c>
      <c r="B169" t="s">
        <v>602</v>
      </c>
      <c r="C169" t="s">
        <v>603</v>
      </c>
      <c r="D169" t="s">
        <v>604</v>
      </c>
      <c r="E169" t="s">
        <v>819</v>
      </c>
      <c r="F169" t="s">
        <v>616</v>
      </c>
      <c r="G169" t="s">
        <v>617</v>
      </c>
      <c r="H169" t="s">
        <v>622</v>
      </c>
      <c r="I169" t="s">
        <v>623</v>
      </c>
      <c r="J169" s="3">
        <v>45539</v>
      </c>
      <c r="K169">
        <v>0.40821917808219177</v>
      </c>
      <c r="L169">
        <v>0</v>
      </c>
      <c r="M169" t="s">
        <v>678</v>
      </c>
      <c r="N169" t="s">
        <v>678</v>
      </c>
      <c r="O169">
        <v>1.0492999999999999</v>
      </c>
      <c r="P169">
        <v>3439.4559999999997</v>
      </c>
      <c r="Q169">
        <v>3439.4559999999997</v>
      </c>
      <c r="R169">
        <v>288.8</v>
      </c>
      <c r="S169">
        <v>303.03783999999996</v>
      </c>
      <c r="T169">
        <v>381.62</v>
      </c>
      <c r="U169">
        <v>684.65783999999996</v>
      </c>
      <c r="V169">
        <v>30.4</v>
      </c>
      <c r="W169">
        <v>8779.52</v>
      </c>
      <c r="AC169">
        <v>750</v>
      </c>
      <c r="AE169">
        <v>41.666666666666664</v>
      </c>
      <c r="AF169">
        <v>877.952</v>
      </c>
      <c r="AG169">
        <v>877.952</v>
      </c>
      <c r="AH169">
        <v>438.97600000000006</v>
      </c>
      <c r="AI169">
        <v>877.95200000000011</v>
      </c>
      <c r="AJ169">
        <v>0</v>
      </c>
      <c r="AK169">
        <v>0</v>
      </c>
      <c r="AL169">
        <v>1755.904</v>
      </c>
      <c r="AM169">
        <v>11852.352000000001</v>
      </c>
      <c r="AN169">
        <v>12644.018666666665</v>
      </c>
      <c r="AO169">
        <v>12602.352000000001</v>
      </c>
      <c r="AQ169">
        <v>9571.1866666666665</v>
      </c>
      <c r="AR169">
        <v>24076.191999999999</v>
      </c>
      <c r="AS169">
        <v>10535.424000000001</v>
      </c>
      <c r="AT169">
        <v>0</v>
      </c>
      <c r="AU169">
        <v>13540.767999999998</v>
      </c>
      <c r="AV169">
        <v>1755.904</v>
      </c>
      <c r="AW169">
        <v>0</v>
      </c>
      <c r="AX169">
        <v>11327.090666666665</v>
      </c>
      <c r="AY169">
        <v>11128.02</v>
      </c>
      <c r="AZ169">
        <v>199.07066666666469</v>
      </c>
      <c r="BA169">
        <v>0.16</v>
      </c>
      <c r="BB169">
        <v>31.85130666666635</v>
      </c>
      <c r="BC169">
        <v>893.63</v>
      </c>
      <c r="BD169">
        <v>925.48130666666634</v>
      </c>
      <c r="BE169">
        <v>0</v>
      </c>
      <c r="BF169">
        <v>925.48130666666634</v>
      </c>
      <c r="BG169">
        <v>26.388888888888889</v>
      </c>
      <c r="BH169">
        <v>0</v>
      </c>
      <c r="BI169">
        <v>711.04672888888888</v>
      </c>
      <c r="BJ169">
        <v>2133.140186666667</v>
      </c>
      <c r="BK169">
        <v>0</v>
      </c>
      <c r="BL169">
        <v>0</v>
      </c>
      <c r="BM169">
        <v>28.880000000000006</v>
      </c>
      <c r="BN169">
        <v>0</v>
      </c>
      <c r="BO169">
        <v>0</v>
      </c>
      <c r="BP169">
        <v>358.30672888888887</v>
      </c>
      <c r="BQ169">
        <v>358.30672888888887</v>
      </c>
      <c r="BR169">
        <v>2.2664074666666623</v>
      </c>
      <c r="BS169">
        <v>26.873004666666663</v>
      </c>
      <c r="BT169">
        <v>40.309506999999996</v>
      </c>
      <c r="BU169">
        <v>67.18251166666667</v>
      </c>
      <c r="BV169">
        <v>120.928521</v>
      </c>
      <c r="BW169">
        <v>257.55995179999996</v>
      </c>
      <c r="BX169">
        <v>11460.977408199999</v>
      </c>
      <c r="BY169">
        <v>877.95200000000011</v>
      </c>
      <c r="BZ169">
        <v>10583.025408199999</v>
      </c>
      <c r="CA169">
        <v>12602.351999999999</v>
      </c>
      <c r="CB169">
        <v>378.07055999999994</v>
      </c>
      <c r="CC169">
        <v>358.30672888888887</v>
      </c>
      <c r="CD169">
        <v>692.41679999999997</v>
      </c>
      <c r="CE169">
        <v>6.2326205333333213</v>
      </c>
      <c r="CF169">
        <v>75.244413066666652</v>
      </c>
      <c r="CG169">
        <v>112.86661960000001</v>
      </c>
      <c r="CH169">
        <v>178.60551345597335</v>
      </c>
      <c r="CI169">
        <v>188.11103266666669</v>
      </c>
      <c r="CJ169">
        <v>107.49201866666665</v>
      </c>
      <c r="CK169">
        <v>214.9840373333333</v>
      </c>
      <c r="CL169">
        <v>338.59985879999999</v>
      </c>
      <c r="CM169">
        <v>1914.55291412264</v>
      </c>
      <c r="CN169">
        <v>537.46009333333336</v>
      </c>
      <c r="CO169">
        <v>2830.083567455973</v>
      </c>
      <c r="CQ169">
        <v>360.80219178082194</v>
      </c>
      <c r="CR169">
        <v>72.160438356164377</v>
      </c>
      <c r="CS169">
        <v>368.55943890410958</v>
      </c>
      <c r="CT169">
        <v>16275.624303163733</v>
      </c>
      <c r="CY169">
        <v>0</v>
      </c>
      <c r="DB169">
        <v>10535.423999999999</v>
      </c>
      <c r="DE169" s="61">
        <v>16275.624303163733</v>
      </c>
    </row>
    <row r="170" spans="1:109" hidden="1" x14ac:dyDescent="0.3">
      <c r="A170">
        <v>1792</v>
      </c>
      <c r="B170" t="s">
        <v>637</v>
      </c>
      <c r="C170" t="s">
        <v>603</v>
      </c>
      <c r="D170" t="s">
        <v>604</v>
      </c>
      <c r="E170" t="s">
        <v>820</v>
      </c>
      <c r="F170" t="s">
        <v>616</v>
      </c>
      <c r="G170" t="s">
        <v>617</v>
      </c>
      <c r="H170" t="s">
        <v>622</v>
      </c>
      <c r="I170" t="s">
        <v>623</v>
      </c>
      <c r="J170" s="3">
        <v>45541</v>
      </c>
      <c r="K170">
        <v>0.40273972602739727</v>
      </c>
      <c r="L170">
        <v>0</v>
      </c>
      <c r="M170" t="s">
        <v>678</v>
      </c>
      <c r="N170" t="s">
        <v>678</v>
      </c>
      <c r="O170">
        <v>1.0492999999999999</v>
      </c>
      <c r="P170">
        <v>3439.4559999999997</v>
      </c>
      <c r="Q170">
        <v>3439.4559999999997</v>
      </c>
      <c r="R170">
        <v>288.8</v>
      </c>
      <c r="S170">
        <v>303.03783999999996</v>
      </c>
      <c r="T170">
        <v>97.85</v>
      </c>
      <c r="U170">
        <v>400.88783999999998</v>
      </c>
      <c r="V170">
        <v>30.4</v>
      </c>
      <c r="W170">
        <v>8779.52</v>
      </c>
      <c r="AC170">
        <v>750</v>
      </c>
      <c r="AE170">
        <v>41.666666666666664</v>
      </c>
      <c r="AF170">
        <v>877.952</v>
      </c>
      <c r="AG170">
        <v>877.952</v>
      </c>
      <c r="AH170">
        <v>438.97600000000006</v>
      </c>
      <c r="AI170">
        <v>877.95200000000011</v>
      </c>
      <c r="AJ170">
        <v>0</v>
      </c>
      <c r="AK170">
        <v>0</v>
      </c>
      <c r="AL170">
        <v>1755.904</v>
      </c>
      <c r="AM170">
        <v>11852.352000000001</v>
      </c>
      <c r="AN170">
        <v>12644.018666666665</v>
      </c>
      <c r="AO170">
        <v>12602.352000000001</v>
      </c>
      <c r="AQ170">
        <v>9571.1866666666665</v>
      </c>
      <c r="AR170">
        <v>24076.191999999999</v>
      </c>
      <c r="AS170">
        <v>10535.424000000001</v>
      </c>
      <c r="AT170">
        <v>0</v>
      </c>
      <c r="AU170">
        <v>13540.767999999998</v>
      </c>
      <c r="AV170">
        <v>1755.904</v>
      </c>
      <c r="AW170">
        <v>0</v>
      </c>
      <c r="AX170">
        <v>11327.090666666665</v>
      </c>
      <c r="AY170">
        <v>11128.02</v>
      </c>
      <c r="AZ170">
        <v>199.07066666666469</v>
      </c>
      <c r="BA170">
        <v>0.16</v>
      </c>
      <c r="BB170">
        <v>31.85130666666635</v>
      </c>
      <c r="BC170">
        <v>893.63</v>
      </c>
      <c r="BD170">
        <v>925.48130666666634</v>
      </c>
      <c r="BE170">
        <v>0</v>
      </c>
      <c r="BF170">
        <v>925.48130666666634</v>
      </c>
      <c r="BG170">
        <v>26.388888888888889</v>
      </c>
      <c r="BH170">
        <v>0</v>
      </c>
      <c r="BI170">
        <v>427.2767288888889</v>
      </c>
      <c r="BJ170">
        <v>1281.8301866666668</v>
      </c>
      <c r="BK170">
        <v>0</v>
      </c>
      <c r="BL170">
        <v>0</v>
      </c>
      <c r="BM170">
        <v>28.880000000000006</v>
      </c>
      <c r="BN170">
        <v>0</v>
      </c>
      <c r="BO170">
        <v>0</v>
      </c>
      <c r="BP170">
        <v>358.30672888888887</v>
      </c>
      <c r="BQ170">
        <v>358.30672888888887</v>
      </c>
      <c r="BR170">
        <v>2.2664074666666623</v>
      </c>
      <c r="BS170">
        <v>26.873004666666663</v>
      </c>
      <c r="BT170">
        <v>40.309506999999996</v>
      </c>
      <c r="BU170">
        <v>67.18251166666667</v>
      </c>
      <c r="BV170">
        <v>120.928521</v>
      </c>
      <c r="BW170">
        <v>257.55995179999996</v>
      </c>
      <c r="BX170">
        <v>11460.977408199999</v>
      </c>
      <c r="BY170">
        <v>877.95200000000011</v>
      </c>
      <c r="BZ170">
        <v>10583.025408199999</v>
      </c>
      <c r="CA170">
        <v>12602.351999999999</v>
      </c>
      <c r="CB170">
        <v>378.07055999999994</v>
      </c>
      <c r="CC170">
        <v>358.30672888888887</v>
      </c>
      <c r="CD170">
        <v>692.41679999999997</v>
      </c>
      <c r="CE170">
        <v>6.2326205333333213</v>
      </c>
      <c r="CF170">
        <v>75.244413066666652</v>
      </c>
      <c r="CG170">
        <v>112.86661960000001</v>
      </c>
      <c r="CH170">
        <v>178.60551345597335</v>
      </c>
      <c r="CI170">
        <v>188.11103266666669</v>
      </c>
      <c r="CJ170">
        <v>107.49201866666665</v>
      </c>
      <c r="CK170">
        <v>214.9840373333333</v>
      </c>
      <c r="CL170">
        <v>338.59985879999999</v>
      </c>
      <c r="CM170">
        <v>1914.55291412264</v>
      </c>
      <c r="CN170">
        <v>537.46009333333336</v>
      </c>
      <c r="CO170">
        <v>2830.083567455973</v>
      </c>
      <c r="CQ170">
        <v>360.80219178082194</v>
      </c>
      <c r="CR170">
        <v>72.160438356164377</v>
      </c>
      <c r="CS170">
        <v>368.55943890410958</v>
      </c>
      <c r="CT170">
        <v>16275.624303163733</v>
      </c>
      <c r="CY170">
        <v>0</v>
      </c>
      <c r="DB170">
        <v>10535.423999999999</v>
      </c>
      <c r="DE170" s="61">
        <v>16275.624303163733</v>
      </c>
    </row>
    <row r="171" spans="1:109" hidden="1" x14ac:dyDescent="0.3">
      <c r="A171">
        <v>1793</v>
      </c>
      <c r="B171" t="s">
        <v>602</v>
      </c>
      <c r="C171" t="s">
        <v>603</v>
      </c>
      <c r="D171" t="s">
        <v>604</v>
      </c>
      <c r="E171" t="s">
        <v>821</v>
      </c>
      <c r="F171" t="s">
        <v>616</v>
      </c>
      <c r="G171" t="s">
        <v>617</v>
      </c>
      <c r="H171" t="s">
        <v>608</v>
      </c>
      <c r="I171" t="s">
        <v>609</v>
      </c>
      <c r="J171" s="3">
        <v>45544</v>
      </c>
      <c r="K171">
        <v>0.39452054794520547</v>
      </c>
      <c r="L171">
        <v>0</v>
      </c>
      <c r="M171" t="s">
        <v>678</v>
      </c>
      <c r="N171" t="s">
        <v>678</v>
      </c>
      <c r="O171">
        <v>1.0492999999999999</v>
      </c>
      <c r="P171">
        <v>3439.4559999999997</v>
      </c>
      <c r="Q171">
        <v>3439.4559999999997</v>
      </c>
      <c r="R171">
        <v>288.8</v>
      </c>
      <c r="S171">
        <v>303.03783999999996</v>
      </c>
      <c r="T171">
        <v>20.82</v>
      </c>
      <c r="U171">
        <v>323.85783999999995</v>
      </c>
      <c r="V171">
        <v>30.4</v>
      </c>
      <c r="W171">
        <v>8779.52</v>
      </c>
      <c r="AC171">
        <v>750</v>
      </c>
      <c r="AE171">
        <v>41.666666666666664</v>
      </c>
      <c r="AF171">
        <v>877.952</v>
      </c>
      <c r="AG171">
        <v>877.952</v>
      </c>
      <c r="AH171">
        <v>438.97600000000006</v>
      </c>
      <c r="AI171">
        <v>877.95200000000011</v>
      </c>
      <c r="AJ171">
        <v>0</v>
      </c>
      <c r="AK171">
        <v>0</v>
      </c>
      <c r="AL171">
        <v>1755.904</v>
      </c>
      <c r="AM171">
        <v>11852.352000000001</v>
      </c>
      <c r="AN171">
        <v>12644.018666666665</v>
      </c>
      <c r="AO171">
        <v>12602.352000000001</v>
      </c>
      <c r="AQ171">
        <v>9571.1866666666665</v>
      </c>
      <c r="AR171">
        <v>24076.191999999999</v>
      </c>
      <c r="AS171">
        <v>10535.424000000001</v>
      </c>
      <c r="AT171">
        <v>0</v>
      </c>
      <c r="AU171">
        <v>13540.767999999998</v>
      </c>
      <c r="AV171">
        <v>1755.904</v>
      </c>
      <c r="AW171">
        <v>0</v>
      </c>
      <c r="AX171">
        <v>11327.090666666665</v>
      </c>
      <c r="AY171">
        <v>11128.02</v>
      </c>
      <c r="AZ171">
        <v>199.07066666666469</v>
      </c>
      <c r="BA171">
        <v>0.16</v>
      </c>
      <c r="BB171">
        <v>31.85130666666635</v>
      </c>
      <c r="BC171">
        <v>893.63</v>
      </c>
      <c r="BD171">
        <v>925.48130666666634</v>
      </c>
      <c r="BE171">
        <v>0</v>
      </c>
      <c r="BF171">
        <v>925.48130666666634</v>
      </c>
      <c r="BG171">
        <v>26.388888888888889</v>
      </c>
      <c r="BH171">
        <v>0</v>
      </c>
      <c r="BI171">
        <v>350.24672888888887</v>
      </c>
      <c r="BJ171">
        <v>1050.7401866666667</v>
      </c>
      <c r="BK171">
        <v>0</v>
      </c>
      <c r="BL171">
        <v>0</v>
      </c>
      <c r="BM171">
        <v>28.880000000000006</v>
      </c>
      <c r="BN171">
        <v>0</v>
      </c>
      <c r="BO171">
        <v>0</v>
      </c>
      <c r="BP171">
        <v>358.30672888888887</v>
      </c>
      <c r="BQ171">
        <v>358.30672888888887</v>
      </c>
      <c r="BR171">
        <v>2.2664074666666623</v>
      </c>
      <c r="BS171">
        <v>26.873004666666663</v>
      </c>
      <c r="BT171">
        <v>40.309506999999996</v>
      </c>
      <c r="BU171">
        <v>67.18251166666667</v>
      </c>
      <c r="BV171">
        <v>120.928521</v>
      </c>
      <c r="BW171">
        <v>257.55995179999996</v>
      </c>
      <c r="BX171">
        <v>11460.977408199999</v>
      </c>
      <c r="BY171">
        <v>877.95200000000011</v>
      </c>
      <c r="BZ171">
        <v>10583.025408199999</v>
      </c>
      <c r="CA171">
        <v>12602.351999999999</v>
      </c>
      <c r="CB171">
        <v>378.07055999999994</v>
      </c>
      <c r="CC171">
        <v>358.30672888888887</v>
      </c>
      <c r="CD171">
        <v>692.41679999999997</v>
      </c>
      <c r="CE171">
        <v>6.2326205333333213</v>
      </c>
      <c r="CF171">
        <v>75.244413066666652</v>
      </c>
      <c r="CG171">
        <v>112.86661960000001</v>
      </c>
      <c r="CH171">
        <v>178.60551345597335</v>
      </c>
      <c r="CI171">
        <v>188.11103266666669</v>
      </c>
      <c r="CJ171">
        <v>107.49201866666665</v>
      </c>
      <c r="CK171">
        <v>214.9840373333333</v>
      </c>
      <c r="CL171">
        <v>338.59985879999999</v>
      </c>
      <c r="CM171">
        <v>1914.55291412264</v>
      </c>
      <c r="CN171">
        <v>537.46009333333336</v>
      </c>
      <c r="CO171">
        <v>2830.083567455973</v>
      </c>
      <c r="CQ171">
        <v>360.80219178082194</v>
      </c>
      <c r="CR171">
        <v>72.160438356164377</v>
      </c>
      <c r="CS171">
        <v>368.55943890410958</v>
      </c>
      <c r="CT171">
        <v>16275.624303163733</v>
      </c>
      <c r="CY171">
        <v>0</v>
      </c>
      <c r="DB171">
        <v>10535.423999999999</v>
      </c>
      <c r="DE171" s="61">
        <v>16275.624303163733</v>
      </c>
    </row>
    <row r="172" spans="1:109" hidden="1" x14ac:dyDescent="0.3">
      <c r="A172">
        <v>1796</v>
      </c>
      <c r="B172" t="s">
        <v>637</v>
      </c>
      <c r="C172" t="s">
        <v>603</v>
      </c>
      <c r="D172" t="s">
        <v>604</v>
      </c>
      <c r="E172" t="s">
        <v>822</v>
      </c>
      <c r="F172" t="s">
        <v>616</v>
      </c>
      <c r="G172" t="s">
        <v>617</v>
      </c>
      <c r="H172" t="s">
        <v>622</v>
      </c>
      <c r="I172" t="s">
        <v>623</v>
      </c>
      <c r="J172" s="3">
        <v>45546</v>
      </c>
      <c r="K172">
        <v>0.38904109589041097</v>
      </c>
      <c r="L172">
        <v>0</v>
      </c>
      <c r="M172" t="s">
        <v>678</v>
      </c>
      <c r="N172" t="s">
        <v>678</v>
      </c>
      <c r="O172">
        <v>1.0492999999999999</v>
      </c>
      <c r="P172">
        <v>3439.4559999999997</v>
      </c>
      <c r="Q172">
        <v>3439.4559999999997</v>
      </c>
      <c r="R172">
        <v>288.8</v>
      </c>
      <c r="S172">
        <v>303.03783999999996</v>
      </c>
      <c r="T172">
        <v>22.21</v>
      </c>
      <c r="U172">
        <v>325.24783999999994</v>
      </c>
      <c r="V172">
        <v>30.4</v>
      </c>
      <c r="W172">
        <v>8779.52</v>
      </c>
      <c r="AC172">
        <v>750</v>
      </c>
      <c r="AE172">
        <v>41.666666666666664</v>
      </c>
      <c r="AF172">
        <v>877.952</v>
      </c>
      <c r="AG172">
        <v>877.952</v>
      </c>
      <c r="AH172">
        <v>438.97600000000006</v>
      </c>
      <c r="AI172">
        <v>877.95200000000011</v>
      </c>
      <c r="AJ172">
        <v>0</v>
      </c>
      <c r="AK172">
        <v>0</v>
      </c>
      <c r="AL172">
        <v>1755.904</v>
      </c>
      <c r="AM172">
        <v>11852.352000000001</v>
      </c>
      <c r="AN172">
        <v>12644.018666666665</v>
      </c>
      <c r="AO172">
        <v>12602.352000000001</v>
      </c>
      <c r="AQ172">
        <v>9571.1866666666665</v>
      </c>
      <c r="AR172">
        <v>24076.191999999999</v>
      </c>
      <c r="AS172">
        <v>10535.424000000001</v>
      </c>
      <c r="AT172">
        <v>0</v>
      </c>
      <c r="AU172">
        <v>13540.767999999998</v>
      </c>
      <c r="AV172">
        <v>1755.904</v>
      </c>
      <c r="AW172">
        <v>0</v>
      </c>
      <c r="AX172">
        <v>11327.090666666665</v>
      </c>
      <c r="AY172">
        <v>11128.02</v>
      </c>
      <c r="AZ172">
        <v>199.07066666666469</v>
      </c>
      <c r="BA172">
        <v>0.16</v>
      </c>
      <c r="BB172">
        <v>31.85130666666635</v>
      </c>
      <c r="BC172">
        <v>893.63</v>
      </c>
      <c r="BD172">
        <v>925.48130666666634</v>
      </c>
      <c r="BE172">
        <v>0</v>
      </c>
      <c r="BF172">
        <v>925.48130666666634</v>
      </c>
      <c r="BG172">
        <v>26.388888888888889</v>
      </c>
      <c r="BH172">
        <v>0</v>
      </c>
      <c r="BI172">
        <v>351.63672888888885</v>
      </c>
      <c r="BJ172">
        <v>1054.9101866666667</v>
      </c>
      <c r="BK172">
        <v>0</v>
      </c>
      <c r="BL172">
        <v>0</v>
      </c>
      <c r="BM172">
        <v>28.880000000000006</v>
      </c>
      <c r="BN172">
        <v>0</v>
      </c>
      <c r="BO172">
        <v>0</v>
      </c>
      <c r="BP172">
        <v>358.30672888888887</v>
      </c>
      <c r="BQ172">
        <v>358.30672888888887</v>
      </c>
      <c r="BR172">
        <v>2.2664074666666623</v>
      </c>
      <c r="BS172">
        <v>26.873004666666663</v>
      </c>
      <c r="BT172">
        <v>40.309506999999996</v>
      </c>
      <c r="BU172">
        <v>67.18251166666667</v>
      </c>
      <c r="BV172">
        <v>120.928521</v>
      </c>
      <c r="BW172">
        <v>257.55995179999996</v>
      </c>
      <c r="BX172">
        <v>11460.977408199999</v>
      </c>
      <c r="BY172">
        <v>877.95200000000011</v>
      </c>
      <c r="BZ172">
        <v>10583.025408199999</v>
      </c>
      <c r="CA172">
        <v>12602.351999999999</v>
      </c>
      <c r="CB172">
        <v>378.07055999999994</v>
      </c>
      <c r="CC172">
        <v>358.30672888888887</v>
      </c>
      <c r="CD172">
        <v>692.41679999999997</v>
      </c>
      <c r="CE172">
        <v>6.2326205333333213</v>
      </c>
      <c r="CF172">
        <v>75.244413066666652</v>
      </c>
      <c r="CG172">
        <v>112.86661960000001</v>
      </c>
      <c r="CH172">
        <v>178.60551345597335</v>
      </c>
      <c r="CI172">
        <v>188.11103266666669</v>
      </c>
      <c r="CJ172">
        <v>107.49201866666665</v>
      </c>
      <c r="CK172">
        <v>214.9840373333333</v>
      </c>
      <c r="CL172">
        <v>338.59985879999999</v>
      </c>
      <c r="CM172">
        <v>1914.55291412264</v>
      </c>
      <c r="CN172">
        <v>537.46009333333336</v>
      </c>
      <c r="CO172">
        <v>2830.083567455973</v>
      </c>
      <c r="CQ172">
        <v>360.80219178082194</v>
      </c>
      <c r="CR172">
        <v>72.160438356164377</v>
      </c>
      <c r="CS172">
        <v>368.55943890410958</v>
      </c>
      <c r="CT172">
        <v>16275.624303163733</v>
      </c>
      <c r="CY172">
        <v>0</v>
      </c>
      <c r="DB172">
        <v>10535.423999999999</v>
      </c>
      <c r="DE172" s="61">
        <v>16275.624303163733</v>
      </c>
    </row>
    <row r="173" spans="1:109" hidden="1" x14ac:dyDescent="0.3">
      <c r="A173">
        <v>1797</v>
      </c>
      <c r="B173" t="s">
        <v>611</v>
      </c>
      <c r="C173" t="s">
        <v>603</v>
      </c>
      <c r="D173" t="s">
        <v>604</v>
      </c>
      <c r="E173" t="s">
        <v>823</v>
      </c>
      <c r="F173" t="s">
        <v>616</v>
      </c>
      <c r="G173" t="s">
        <v>617</v>
      </c>
      <c r="H173" t="s">
        <v>608</v>
      </c>
      <c r="I173" t="s">
        <v>609</v>
      </c>
      <c r="J173" s="3">
        <v>45552</v>
      </c>
      <c r="K173">
        <v>0.37260273972602742</v>
      </c>
      <c r="L173">
        <v>0</v>
      </c>
      <c r="M173" t="s">
        <v>678</v>
      </c>
      <c r="N173" t="s">
        <v>678</v>
      </c>
      <c r="O173">
        <v>1.0492999999999999</v>
      </c>
      <c r="P173">
        <v>3439.4559999999997</v>
      </c>
      <c r="Q173">
        <v>3439.4559999999997</v>
      </c>
      <c r="R173">
        <v>288.8</v>
      </c>
      <c r="S173">
        <v>303.03783999999996</v>
      </c>
      <c r="T173">
        <v>22.46</v>
      </c>
      <c r="U173">
        <v>325.49783999999994</v>
      </c>
      <c r="V173">
        <v>30.4</v>
      </c>
      <c r="W173">
        <v>8779.52</v>
      </c>
      <c r="AC173">
        <v>750</v>
      </c>
      <c r="AE173">
        <v>41.666666666666664</v>
      </c>
      <c r="AF173">
        <v>877.952</v>
      </c>
      <c r="AG173">
        <v>877.952</v>
      </c>
      <c r="AH173">
        <v>438.97600000000006</v>
      </c>
      <c r="AI173">
        <v>877.95200000000011</v>
      </c>
      <c r="AJ173">
        <v>0</v>
      </c>
      <c r="AK173">
        <v>0</v>
      </c>
      <c r="AL173">
        <v>1755.904</v>
      </c>
      <c r="AM173">
        <v>11852.352000000001</v>
      </c>
      <c r="AN173">
        <v>12644.018666666665</v>
      </c>
      <c r="AO173">
        <v>12602.352000000001</v>
      </c>
      <c r="AQ173">
        <v>9571.1866666666665</v>
      </c>
      <c r="AR173">
        <v>24076.191999999999</v>
      </c>
      <c r="AS173">
        <v>10535.424000000001</v>
      </c>
      <c r="AT173">
        <v>0</v>
      </c>
      <c r="AU173">
        <v>13540.767999999998</v>
      </c>
      <c r="AV173">
        <v>1755.904</v>
      </c>
      <c r="AW173">
        <v>0</v>
      </c>
      <c r="AX173">
        <v>11327.090666666665</v>
      </c>
      <c r="AY173">
        <v>11128.02</v>
      </c>
      <c r="AZ173">
        <v>199.07066666666469</v>
      </c>
      <c r="BA173">
        <v>0.16</v>
      </c>
      <c r="BB173">
        <v>31.85130666666635</v>
      </c>
      <c r="BC173">
        <v>893.63</v>
      </c>
      <c r="BD173">
        <v>925.48130666666634</v>
      </c>
      <c r="BE173">
        <v>0</v>
      </c>
      <c r="BF173">
        <v>925.48130666666634</v>
      </c>
      <c r="BG173">
        <v>26.388888888888889</v>
      </c>
      <c r="BH173">
        <v>0</v>
      </c>
      <c r="BI173">
        <v>351.88672888888885</v>
      </c>
      <c r="BJ173">
        <v>1055.6601866666667</v>
      </c>
      <c r="BK173">
        <v>0</v>
      </c>
      <c r="BL173">
        <v>0</v>
      </c>
      <c r="BM173">
        <v>28.880000000000006</v>
      </c>
      <c r="BN173">
        <v>0</v>
      </c>
      <c r="BO173">
        <v>0</v>
      </c>
      <c r="BP173">
        <v>358.30672888888887</v>
      </c>
      <c r="BQ173">
        <v>358.30672888888887</v>
      </c>
      <c r="BR173">
        <v>2.2664074666666623</v>
      </c>
      <c r="BS173">
        <v>26.873004666666663</v>
      </c>
      <c r="BT173">
        <v>40.309506999999996</v>
      </c>
      <c r="BU173">
        <v>67.18251166666667</v>
      </c>
      <c r="BV173">
        <v>120.928521</v>
      </c>
      <c r="BW173">
        <v>257.55995179999996</v>
      </c>
      <c r="BX173">
        <v>11460.977408199999</v>
      </c>
      <c r="BY173">
        <v>877.95200000000011</v>
      </c>
      <c r="BZ173">
        <v>10583.025408199999</v>
      </c>
      <c r="CA173">
        <v>12602.351999999999</v>
      </c>
      <c r="CB173">
        <v>378.07055999999994</v>
      </c>
      <c r="CC173">
        <v>358.30672888888887</v>
      </c>
      <c r="CD173">
        <v>692.41679999999997</v>
      </c>
      <c r="CE173">
        <v>6.2326205333333213</v>
      </c>
      <c r="CF173">
        <v>75.244413066666652</v>
      </c>
      <c r="CG173">
        <v>112.86661960000001</v>
      </c>
      <c r="CH173">
        <v>178.60551345597335</v>
      </c>
      <c r="CI173">
        <v>188.11103266666669</v>
      </c>
      <c r="CJ173">
        <v>107.49201866666665</v>
      </c>
      <c r="CK173">
        <v>214.9840373333333</v>
      </c>
      <c r="CL173">
        <v>338.59985879999999</v>
      </c>
      <c r="CM173">
        <v>1914.55291412264</v>
      </c>
      <c r="CN173">
        <v>537.46009333333336</v>
      </c>
      <c r="CO173">
        <v>2830.083567455973</v>
      </c>
      <c r="CQ173">
        <v>360.80219178082194</v>
      </c>
      <c r="CR173">
        <v>72.160438356164377</v>
      </c>
      <c r="CS173">
        <v>368.55943890410958</v>
      </c>
      <c r="CT173">
        <v>16275.624303163733</v>
      </c>
      <c r="CY173">
        <v>0</v>
      </c>
      <c r="DB173">
        <v>10535.423999999999</v>
      </c>
      <c r="DE173" s="61">
        <v>16275.624303163733</v>
      </c>
    </row>
    <row r="174" spans="1:109" hidden="1" x14ac:dyDescent="0.3">
      <c r="A174">
        <v>1798</v>
      </c>
      <c r="B174" t="s">
        <v>637</v>
      </c>
      <c r="C174" t="s">
        <v>603</v>
      </c>
      <c r="D174" t="s">
        <v>604</v>
      </c>
      <c r="E174" t="s">
        <v>824</v>
      </c>
      <c r="F174" t="s">
        <v>616</v>
      </c>
      <c r="G174" t="s">
        <v>617</v>
      </c>
      <c r="H174" t="s">
        <v>622</v>
      </c>
      <c r="I174" t="s">
        <v>623</v>
      </c>
      <c r="J174" s="3">
        <v>45553</v>
      </c>
      <c r="K174">
        <v>0.36986301369863012</v>
      </c>
      <c r="L174">
        <v>0</v>
      </c>
      <c r="M174" t="s">
        <v>678</v>
      </c>
      <c r="N174" t="s">
        <v>678</v>
      </c>
      <c r="O174">
        <v>1.0492999999999999</v>
      </c>
      <c r="P174">
        <v>3439.4559999999997</v>
      </c>
      <c r="Q174">
        <v>3439.4559999999997</v>
      </c>
      <c r="R174">
        <v>288.8</v>
      </c>
      <c r="S174">
        <v>303.03783999999996</v>
      </c>
      <c r="T174">
        <v>26.39</v>
      </c>
      <c r="U174">
        <v>329.42783999999995</v>
      </c>
      <c r="V174">
        <v>30.4</v>
      </c>
      <c r="W174">
        <v>8779.52</v>
      </c>
      <c r="AC174">
        <v>750</v>
      </c>
      <c r="AE174">
        <v>41.666666666666664</v>
      </c>
      <c r="AF174">
        <v>877.952</v>
      </c>
      <c r="AG174">
        <v>877.952</v>
      </c>
      <c r="AH174">
        <v>438.97600000000006</v>
      </c>
      <c r="AI174">
        <v>877.95200000000011</v>
      </c>
      <c r="AJ174">
        <v>0</v>
      </c>
      <c r="AK174">
        <v>0</v>
      </c>
      <c r="AL174">
        <v>1755.904</v>
      </c>
      <c r="AM174">
        <v>11852.352000000001</v>
      </c>
      <c r="AN174">
        <v>12644.018666666665</v>
      </c>
      <c r="AO174">
        <v>12602.352000000001</v>
      </c>
      <c r="AQ174">
        <v>9571.1866666666665</v>
      </c>
      <c r="AR174">
        <v>24076.191999999999</v>
      </c>
      <c r="AS174">
        <v>10535.424000000001</v>
      </c>
      <c r="AT174">
        <v>0</v>
      </c>
      <c r="AU174">
        <v>13540.767999999998</v>
      </c>
      <c r="AV174">
        <v>1755.904</v>
      </c>
      <c r="AW174">
        <v>0</v>
      </c>
      <c r="AX174">
        <v>11327.090666666665</v>
      </c>
      <c r="AY174">
        <v>11128.02</v>
      </c>
      <c r="AZ174">
        <v>199.07066666666469</v>
      </c>
      <c r="BA174">
        <v>0.16</v>
      </c>
      <c r="BB174">
        <v>31.85130666666635</v>
      </c>
      <c r="BC174">
        <v>893.63</v>
      </c>
      <c r="BD174">
        <v>925.48130666666634</v>
      </c>
      <c r="BE174">
        <v>0</v>
      </c>
      <c r="BF174">
        <v>925.48130666666634</v>
      </c>
      <c r="BG174">
        <v>26.388888888888889</v>
      </c>
      <c r="BH174">
        <v>0</v>
      </c>
      <c r="BI174">
        <v>355.81672888888886</v>
      </c>
      <c r="BJ174">
        <v>1067.4501866666667</v>
      </c>
      <c r="BK174">
        <v>0</v>
      </c>
      <c r="BL174">
        <v>0</v>
      </c>
      <c r="BM174">
        <v>28.880000000000006</v>
      </c>
      <c r="BN174">
        <v>0</v>
      </c>
      <c r="BO174">
        <v>0</v>
      </c>
      <c r="BP174">
        <v>358.30672888888887</v>
      </c>
      <c r="BQ174">
        <v>358.30672888888887</v>
      </c>
      <c r="BR174">
        <v>2.2664074666666623</v>
      </c>
      <c r="BS174">
        <v>26.873004666666663</v>
      </c>
      <c r="BT174">
        <v>40.309506999999996</v>
      </c>
      <c r="BU174">
        <v>67.18251166666667</v>
      </c>
      <c r="BV174">
        <v>120.928521</v>
      </c>
      <c r="BW174">
        <v>257.55995179999996</v>
      </c>
      <c r="BX174">
        <v>11460.977408199999</v>
      </c>
      <c r="BY174">
        <v>877.95200000000011</v>
      </c>
      <c r="BZ174">
        <v>10583.025408199999</v>
      </c>
      <c r="CA174">
        <v>12602.351999999999</v>
      </c>
      <c r="CB174">
        <v>378.07055999999994</v>
      </c>
      <c r="CC174">
        <v>358.30672888888887</v>
      </c>
      <c r="CD174">
        <v>692.41679999999997</v>
      </c>
      <c r="CE174">
        <v>6.2326205333333213</v>
      </c>
      <c r="CF174">
        <v>75.244413066666652</v>
      </c>
      <c r="CG174">
        <v>112.86661960000001</v>
      </c>
      <c r="CH174">
        <v>178.60551345597335</v>
      </c>
      <c r="CI174">
        <v>188.11103266666669</v>
      </c>
      <c r="CJ174">
        <v>107.49201866666665</v>
      </c>
      <c r="CK174">
        <v>214.9840373333333</v>
      </c>
      <c r="CL174">
        <v>338.59985879999999</v>
      </c>
      <c r="CM174">
        <v>1914.55291412264</v>
      </c>
      <c r="CN174">
        <v>537.46009333333336</v>
      </c>
      <c r="CO174">
        <v>2830.083567455973</v>
      </c>
      <c r="CQ174">
        <v>360.80219178082194</v>
      </c>
      <c r="CR174">
        <v>72.160438356164377</v>
      </c>
      <c r="CS174">
        <v>368.55943890410958</v>
      </c>
      <c r="CT174">
        <v>16275.624303163733</v>
      </c>
      <c r="CY174">
        <v>0</v>
      </c>
      <c r="DB174">
        <v>10535.423999999999</v>
      </c>
      <c r="DE174" s="61">
        <v>16275.624303163733</v>
      </c>
    </row>
    <row r="175" spans="1:109" hidden="1" x14ac:dyDescent="0.3">
      <c r="A175">
        <v>1803</v>
      </c>
      <c r="B175" t="s">
        <v>637</v>
      </c>
      <c r="C175" t="s">
        <v>603</v>
      </c>
      <c r="D175" t="s">
        <v>604</v>
      </c>
      <c r="E175" t="s">
        <v>828</v>
      </c>
      <c r="F175" t="s">
        <v>616</v>
      </c>
      <c r="G175" t="s">
        <v>617</v>
      </c>
      <c r="H175" t="s">
        <v>622</v>
      </c>
      <c r="I175" t="s">
        <v>623</v>
      </c>
      <c r="J175" s="3">
        <v>45553</v>
      </c>
      <c r="K175">
        <v>0.36986301369863012</v>
      </c>
      <c r="L175">
        <v>0</v>
      </c>
      <c r="M175" t="s">
        <v>678</v>
      </c>
      <c r="N175" t="s">
        <v>678</v>
      </c>
      <c r="O175">
        <v>1.0492999999999999</v>
      </c>
      <c r="P175">
        <v>3439.4559999999997</v>
      </c>
      <c r="Q175">
        <v>3439.4559999999997</v>
      </c>
      <c r="R175">
        <v>288.8</v>
      </c>
      <c r="S175">
        <v>303.03783999999996</v>
      </c>
      <c r="T175">
        <v>319.01</v>
      </c>
      <c r="U175">
        <v>622.04783999999995</v>
      </c>
      <c r="V175">
        <v>30.4</v>
      </c>
      <c r="W175">
        <v>8779.52</v>
      </c>
      <c r="AC175">
        <v>750</v>
      </c>
      <c r="AE175">
        <v>41.666666666666664</v>
      </c>
      <c r="AF175">
        <v>877.952</v>
      </c>
      <c r="AG175">
        <v>877.952</v>
      </c>
      <c r="AH175">
        <v>438.97600000000006</v>
      </c>
      <c r="AI175">
        <v>877.95200000000011</v>
      </c>
      <c r="AJ175">
        <v>0</v>
      </c>
      <c r="AK175">
        <v>0</v>
      </c>
      <c r="AL175">
        <v>1755.904</v>
      </c>
      <c r="AM175">
        <v>11852.352000000001</v>
      </c>
      <c r="AN175">
        <v>12644.018666666665</v>
      </c>
      <c r="AO175">
        <v>12602.352000000001</v>
      </c>
      <c r="AQ175">
        <v>9571.1866666666665</v>
      </c>
      <c r="AR175">
        <v>24076.191999999999</v>
      </c>
      <c r="AS175">
        <v>10535.424000000001</v>
      </c>
      <c r="AT175">
        <v>0</v>
      </c>
      <c r="AU175">
        <v>13540.767999999998</v>
      </c>
      <c r="AV175">
        <v>1755.904</v>
      </c>
      <c r="AW175">
        <v>0</v>
      </c>
      <c r="AX175">
        <v>11327.090666666665</v>
      </c>
      <c r="AY175">
        <v>11128.02</v>
      </c>
      <c r="AZ175">
        <v>199.07066666666469</v>
      </c>
      <c r="BA175">
        <v>0.16</v>
      </c>
      <c r="BB175">
        <v>31.85130666666635</v>
      </c>
      <c r="BC175">
        <v>893.63</v>
      </c>
      <c r="BD175">
        <v>925.48130666666634</v>
      </c>
      <c r="BE175">
        <v>0</v>
      </c>
      <c r="BF175">
        <v>925.48130666666634</v>
      </c>
      <c r="BG175">
        <v>26.388888888888889</v>
      </c>
      <c r="BH175">
        <v>0</v>
      </c>
      <c r="BI175">
        <v>648.43672888888887</v>
      </c>
      <c r="BJ175">
        <v>1945.3101866666666</v>
      </c>
      <c r="BK175">
        <v>0</v>
      </c>
      <c r="BL175">
        <v>0</v>
      </c>
      <c r="BM175">
        <v>28.880000000000006</v>
      </c>
      <c r="BN175">
        <v>0</v>
      </c>
      <c r="BO175">
        <v>0</v>
      </c>
      <c r="BP175">
        <v>358.30672888888887</v>
      </c>
      <c r="BQ175">
        <v>358.30672888888887</v>
      </c>
      <c r="BR175">
        <v>2.2664074666666623</v>
      </c>
      <c r="BS175">
        <v>26.873004666666663</v>
      </c>
      <c r="BT175">
        <v>40.309506999999996</v>
      </c>
      <c r="BU175">
        <v>67.18251166666667</v>
      </c>
      <c r="BV175">
        <v>120.928521</v>
      </c>
      <c r="BW175">
        <v>257.55995179999996</v>
      </c>
      <c r="BX175">
        <v>11460.977408199999</v>
      </c>
      <c r="BY175">
        <v>877.95200000000011</v>
      </c>
      <c r="BZ175">
        <v>10583.025408199999</v>
      </c>
      <c r="CA175">
        <v>12602.351999999999</v>
      </c>
      <c r="CB175">
        <v>378.07055999999994</v>
      </c>
      <c r="CC175">
        <v>358.30672888888887</v>
      </c>
      <c r="CD175">
        <v>692.41679999999997</v>
      </c>
      <c r="CE175">
        <v>6.2326205333333213</v>
      </c>
      <c r="CF175">
        <v>75.244413066666652</v>
      </c>
      <c r="CG175">
        <v>112.86661960000001</v>
      </c>
      <c r="CH175">
        <v>178.60551345597335</v>
      </c>
      <c r="CI175">
        <v>188.11103266666669</v>
      </c>
      <c r="CJ175">
        <v>107.49201866666665</v>
      </c>
      <c r="CK175">
        <v>214.9840373333333</v>
      </c>
      <c r="CL175">
        <v>338.59985879999999</v>
      </c>
      <c r="CM175">
        <v>1914.55291412264</v>
      </c>
      <c r="CN175">
        <v>537.46009333333336</v>
      </c>
      <c r="CO175">
        <v>2830.083567455973</v>
      </c>
      <c r="CQ175">
        <v>360.80219178082194</v>
      </c>
      <c r="CR175">
        <v>72.160438356164377</v>
      </c>
      <c r="CS175">
        <v>368.55943890410958</v>
      </c>
      <c r="CT175">
        <v>16275.624303163733</v>
      </c>
      <c r="CY175">
        <v>0</v>
      </c>
      <c r="DB175">
        <v>10535.423999999999</v>
      </c>
      <c r="DE175" s="61">
        <v>16275.624303163733</v>
      </c>
    </row>
    <row r="176" spans="1:109" hidden="1" x14ac:dyDescent="0.3">
      <c r="A176">
        <v>1804</v>
      </c>
      <c r="B176" t="s">
        <v>637</v>
      </c>
      <c r="C176" t="s">
        <v>603</v>
      </c>
      <c r="D176" t="s">
        <v>604</v>
      </c>
      <c r="E176" t="s">
        <v>829</v>
      </c>
      <c r="F176" t="s">
        <v>616</v>
      </c>
      <c r="G176" t="s">
        <v>617</v>
      </c>
      <c r="H176" t="s">
        <v>622</v>
      </c>
      <c r="I176" t="s">
        <v>623</v>
      </c>
      <c r="J176" s="3">
        <v>45553</v>
      </c>
      <c r="K176">
        <v>0.36986301369863012</v>
      </c>
      <c r="L176">
        <v>0</v>
      </c>
      <c r="M176" t="s">
        <v>678</v>
      </c>
      <c r="N176" t="s">
        <v>678</v>
      </c>
      <c r="O176">
        <v>1.0492999999999999</v>
      </c>
      <c r="P176">
        <v>3439.4559999999997</v>
      </c>
      <c r="Q176">
        <v>3439.4559999999997</v>
      </c>
      <c r="R176">
        <v>288.8</v>
      </c>
      <c r="S176">
        <v>303.03783999999996</v>
      </c>
      <c r="T176">
        <v>26.23</v>
      </c>
      <c r="U176">
        <v>329.26783999999998</v>
      </c>
      <c r="V176">
        <v>30.4</v>
      </c>
      <c r="W176">
        <v>8779.52</v>
      </c>
      <c r="AC176">
        <v>750</v>
      </c>
      <c r="AE176">
        <v>41.666666666666664</v>
      </c>
      <c r="AF176">
        <v>877.952</v>
      </c>
      <c r="AG176">
        <v>877.952</v>
      </c>
      <c r="AH176">
        <v>438.97600000000006</v>
      </c>
      <c r="AI176">
        <v>877.95200000000011</v>
      </c>
      <c r="AJ176">
        <v>0</v>
      </c>
      <c r="AK176">
        <v>0</v>
      </c>
      <c r="AL176">
        <v>1755.904</v>
      </c>
      <c r="AM176">
        <v>11852.352000000001</v>
      </c>
      <c r="AN176">
        <v>12644.018666666665</v>
      </c>
      <c r="AO176">
        <v>12602.352000000001</v>
      </c>
      <c r="AQ176">
        <v>9571.1866666666665</v>
      </c>
      <c r="AR176">
        <v>24076.191999999999</v>
      </c>
      <c r="AS176">
        <v>10535.424000000001</v>
      </c>
      <c r="AT176">
        <v>0</v>
      </c>
      <c r="AU176">
        <v>13540.767999999998</v>
      </c>
      <c r="AV176">
        <v>1755.904</v>
      </c>
      <c r="AW176">
        <v>0</v>
      </c>
      <c r="AX176">
        <v>11327.090666666665</v>
      </c>
      <c r="AY176">
        <v>11128.02</v>
      </c>
      <c r="AZ176">
        <v>199.07066666666469</v>
      </c>
      <c r="BA176">
        <v>0.16</v>
      </c>
      <c r="BB176">
        <v>31.85130666666635</v>
      </c>
      <c r="BC176">
        <v>893.63</v>
      </c>
      <c r="BD176">
        <v>925.48130666666634</v>
      </c>
      <c r="BE176">
        <v>0</v>
      </c>
      <c r="BF176">
        <v>925.48130666666634</v>
      </c>
      <c r="BG176">
        <v>26.388888888888889</v>
      </c>
      <c r="BH176">
        <v>0</v>
      </c>
      <c r="BI176">
        <v>355.65672888888889</v>
      </c>
      <c r="BJ176">
        <v>1066.9701866666667</v>
      </c>
      <c r="BK176">
        <v>0</v>
      </c>
      <c r="BL176">
        <v>0</v>
      </c>
      <c r="BM176">
        <v>28.880000000000006</v>
      </c>
      <c r="BN176">
        <v>0</v>
      </c>
      <c r="BO176">
        <v>0</v>
      </c>
      <c r="BP176">
        <v>358.30672888888887</v>
      </c>
      <c r="BQ176">
        <v>358.30672888888887</v>
      </c>
      <c r="BR176">
        <v>2.2664074666666623</v>
      </c>
      <c r="BS176">
        <v>26.873004666666663</v>
      </c>
      <c r="BT176">
        <v>40.309506999999996</v>
      </c>
      <c r="BU176">
        <v>67.18251166666667</v>
      </c>
      <c r="BV176">
        <v>120.928521</v>
      </c>
      <c r="BW176">
        <v>257.55995179999996</v>
      </c>
      <c r="BX176">
        <v>11460.977408199999</v>
      </c>
      <c r="BY176">
        <v>877.95200000000011</v>
      </c>
      <c r="BZ176">
        <v>10583.025408199999</v>
      </c>
      <c r="CA176">
        <v>12602.351999999999</v>
      </c>
      <c r="CB176">
        <v>378.07055999999994</v>
      </c>
      <c r="CC176">
        <v>358.30672888888887</v>
      </c>
      <c r="CD176">
        <v>692.41679999999997</v>
      </c>
      <c r="CE176">
        <v>6.2326205333333213</v>
      </c>
      <c r="CF176">
        <v>75.244413066666652</v>
      </c>
      <c r="CG176">
        <v>112.86661960000001</v>
      </c>
      <c r="CH176">
        <v>178.60551345597335</v>
      </c>
      <c r="CI176">
        <v>188.11103266666669</v>
      </c>
      <c r="CJ176">
        <v>107.49201866666665</v>
      </c>
      <c r="CK176">
        <v>214.9840373333333</v>
      </c>
      <c r="CL176">
        <v>338.59985879999999</v>
      </c>
      <c r="CM176">
        <v>1914.55291412264</v>
      </c>
      <c r="CN176">
        <v>537.46009333333336</v>
      </c>
      <c r="CO176">
        <v>2830.083567455973</v>
      </c>
      <c r="CQ176">
        <v>360.80219178082194</v>
      </c>
      <c r="CR176">
        <v>72.160438356164377</v>
      </c>
      <c r="CS176">
        <v>368.55943890410958</v>
      </c>
      <c r="CT176">
        <v>16275.624303163733</v>
      </c>
      <c r="CY176">
        <v>0</v>
      </c>
      <c r="DB176">
        <v>10535.423999999999</v>
      </c>
      <c r="DE176" s="61">
        <v>16275.624303163733</v>
      </c>
    </row>
    <row r="177" spans="1:109" hidden="1" x14ac:dyDescent="0.3">
      <c r="A177">
        <v>1806</v>
      </c>
      <c r="B177" t="s">
        <v>637</v>
      </c>
      <c r="C177" t="s">
        <v>603</v>
      </c>
      <c r="D177" t="s">
        <v>604</v>
      </c>
      <c r="E177" t="s">
        <v>831</v>
      </c>
      <c r="F177" t="s">
        <v>616</v>
      </c>
      <c r="G177" t="s">
        <v>617</v>
      </c>
      <c r="H177" t="s">
        <v>622</v>
      </c>
      <c r="I177" t="s">
        <v>623</v>
      </c>
      <c r="J177" s="3">
        <v>45553</v>
      </c>
      <c r="K177">
        <v>0.36986301369863012</v>
      </c>
      <c r="L177">
        <v>0</v>
      </c>
      <c r="M177" t="s">
        <v>678</v>
      </c>
      <c r="N177" t="s">
        <v>678</v>
      </c>
      <c r="O177">
        <v>1.0492999999999999</v>
      </c>
      <c r="P177">
        <v>3439.4559999999997</v>
      </c>
      <c r="Q177">
        <v>3439.4559999999997</v>
      </c>
      <c r="R177">
        <v>288.8</v>
      </c>
      <c r="S177">
        <v>303.03783999999996</v>
      </c>
      <c r="T177">
        <v>45.99</v>
      </c>
      <c r="U177">
        <v>349.02783999999997</v>
      </c>
      <c r="V177">
        <v>30.4</v>
      </c>
      <c r="W177">
        <v>8779.52</v>
      </c>
      <c r="AC177">
        <v>750</v>
      </c>
      <c r="AE177">
        <v>41.666666666666664</v>
      </c>
      <c r="AF177">
        <v>877.952</v>
      </c>
      <c r="AG177">
        <v>877.952</v>
      </c>
      <c r="AH177">
        <v>438.97600000000006</v>
      </c>
      <c r="AI177">
        <v>877.95200000000011</v>
      </c>
      <c r="AJ177">
        <v>0</v>
      </c>
      <c r="AK177">
        <v>0</v>
      </c>
      <c r="AL177">
        <v>1755.904</v>
      </c>
      <c r="AM177">
        <v>11852.352000000001</v>
      </c>
      <c r="AN177">
        <v>12644.018666666665</v>
      </c>
      <c r="AO177">
        <v>12602.352000000001</v>
      </c>
      <c r="AQ177">
        <v>9571.1866666666665</v>
      </c>
      <c r="AR177">
        <v>24076.191999999999</v>
      </c>
      <c r="AS177">
        <v>10535.424000000001</v>
      </c>
      <c r="AT177">
        <v>0</v>
      </c>
      <c r="AU177">
        <v>13540.767999999998</v>
      </c>
      <c r="AV177">
        <v>1755.904</v>
      </c>
      <c r="AW177">
        <v>0</v>
      </c>
      <c r="AX177">
        <v>11327.090666666665</v>
      </c>
      <c r="AY177">
        <v>11128.02</v>
      </c>
      <c r="AZ177">
        <v>199.07066666666469</v>
      </c>
      <c r="BA177">
        <v>0.16</v>
      </c>
      <c r="BB177">
        <v>31.85130666666635</v>
      </c>
      <c r="BC177">
        <v>893.63</v>
      </c>
      <c r="BD177">
        <v>925.48130666666634</v>
      </c>
      <c r="BE177">
        <v>0</v>
      </c>
      <c r="BF177">
        <v>925.48130666666634</v>
      </c>
      <c r="BG177">
        <v>26.388888888888889</v>
      </c>
      <c r="BH177">
        <v>0</v>
      </c>
      <c r="BI177">
        <v>375.41672888888888</v>
      </c>
      <c r="BJ177">
        <v>1126.2501866666667</v>
      </c>
      <c r="BK177">
        <v>0</v>
      </c>
      <c r="BL177">
        <v>0</v>
      </c>
      <c r="BM177">
        <v>28.880000000000006</v>
      </c>
      <c r="BN177">
        <v>0</v>
      </c>
      <c r="BO177">
        <v>0</v>
      </c>
      <c r="BP177">
        <v>358.30672888888887</v>
      </c>
      <c r="BQ177">
        <v>358.30672888888887</v>
      </c>
      <c r="BR177">
        <v>2.2664074666666623</v>
      </c>
      <c r="BS177">
        <v>26.873004666666663</v>
      </c>
      <c r="BT177">
        <v>40.309506999999996</v>
      </c>
      <c r="BU177">
        <v>67.18251166666667</v>
      </c>
      <c r="BV177">
        <v>120.928521</v>
      </c>
      <c r="BW177">
        <v>257.55995179999996</v>
      </c>
      <c r="BX177">
        <v>11460.977408199999</v>
      </c>
      <c r="BY177">
        <v>877.95200000000011</v>
      </c>
      <c r="BZ177">
        <v>10583.025408199999</v>
      </c>
      <c r="CA177">
        <v>12602.351999999999</v>
      </c>
      <c r="CB177">
        <v>378.07055999999994</v>
      </c>
      <c r="CC177">
        <v>358.30672888888887</v>
      </c>
      <c r="CD177">
        <v>692.41679999999997</v>
      </c>
      <c r="CE177">
        <v>6.2326205333333213</v>
      </c>
      <c r="CF177">
        <v>75.244413066666652</v>
      </c>
      <c r="CG177">
        <v>112.86661960000001</v>
      </c>
      <c r="CH177">
        <v>178.60551345597335</v>
      </c>
      <c r="CI177">
        <v>188.11103266666669</v>
      </c>
      <c r="CJ177">
        <v>107.49201866666665</v>
      </c>
      <c r="CK177">
        <v>214.9840373333333</v>
      </c>
      <c r="CL177">
        <v>338.59985879999999</v>
      </c>
      <c r="CM177">
        <v>1914.55291412264</v>
      </c>
      <c r="CN177">
        <v>537.46009333333336</v>
      </c>
      <c r="CO177">
        <v>2830.083567455973</v>
      </c>
      <c r="CQ177">
        <v>360.80219178082194</v>
      </c>
      <c r="CR177">
        <v>72.160438356164377</v>
      </c>
      <c r="CS177">
        <v>368.55943890410958</v>
      </c>
      <c r="CT177">
        <v>16275.624303163733</v>
      </c>
      <c r="CY177">
        <v>0</v>
      </c>
      <c r="DB177">
        <v>10535.423999999999</v>
      </c>
      <c r="DE177" s="61">
        <v>16275.624303163733</v>
      </c>
    </row>
    <row r="178" spans="1:109" hidden="1" x14ac:dyDescent="0.3">
      <c r="A178">
        <v>1808</v>
      </c>
      <c r="B178" t="s">
        <v>637</v>
      </c>
      <c r="C178" t="s">
        <v>603</v>
      </c>
      <c r="D178" t="s">
        <v>604</v>
      </c>
      <c r="E178" t="s">
        <v>833</v>
      </c>
      <c r="F178" t="s">
        <v>616</v>
      </c>
      <c r="G178" t="s">
        <v>617</v>
      </c>
      <c r="H178" t="s">
        <v>622</v>
      </c>
      <c r="I178" t="s">
        <v>623</v>
      </c>
      <c r="J178" s="3">
        <v>45558</v>
      </c>
      <c r="K178">
        <v>0.35616438356164382</v>
      </c>
      <c r="L178">
        <v>0</v>
      </c>
      <c r="M178" t="s">
        <v>678</v>
      </c>
      <c r="N178" t="s">
        <v>678</v>
      </c>
      <c r="O178">
        <v>1.0492999999999999</v>
      </c>
      <c r="P178">
        <v>3439.4559999999997</v>
      </c>
      <c r="Q178">
        <v>3439.4559999999997</v>
      </c>
      <c r="R178">
        <v>288.8</v>
      </c>
      <c r="S178">
        <v>303.03783999999996</v>
      </c>
      <c r="T178">
        <v>11.61</v>
      </c>
      <c r="U178">
        <v>314.64783999999997</v>
      </c>
      <c r="V178">
        <v>30.4</v>
      </c>
      <c r="W178">
        <v>8779.52</v>
      </c>
      <c r="AC178">
        <v>750</v>
      </c>
      <c r="AE178">
        <v>41.666666666666664</v>
      </c>
      <c r="AF178">
        <v>877.952</v>
      </c>
      <c r="AG178">
        <v>877.952</v>
      </c>
      <c r="AH178">
        <v>438.97600000000006</v>
      </c>
      <c r="AI178">
        <v>877.95200000000011</v>
      </c>
      <c r="AJ178">
        <v>0</v>
      </c>
      <c r="AK178">
        <v>0</v>
      </c>
      <c r="AL178">
        <v>1755.904</v>
      </c>
      <c r="AM178">
        <v>11852.352000000001</v>
      </c>
      <c r="AN178">
        <v>12644.018666666665</v>
      </c>
      <c r="AO178">
        <v>12602.352000000001</v>
      </c>
      <c r="AQ178">
        <v>9571.1866666666665</v>
      </c>
      <c r="AR178">
        <v>24076.191999999999</v>
      </c>
      <c r="AS178">
        <v>10535.424000000001</v>
      </c>
      <c r="AT178">
        <v>0</v>
      </c>
      <c r="AU178">
        <v>13540.767999999998</v>
      </c>
      <c r="AV178">
        <v>1755.904</v>
      </c>
      <c r="AW178">
        <v>0</v>
      </c>
      <c r="AX178">
        <v>11327.090666666665</v>
      </c>
      <c r="AY178">
        <v>11128.02</v>
      </c>
      <c r="AZ178">
        <v>199.07066666666469</v>
      </c>
      <c r="BA178">
        <v>0.16</v>
      </c>
      <c r="BB178">
        <v>31.85130666666635</v>
      </c>
      <c r="BC178">
        <v>893.63</v>
      </c>
      <c r="BD178">
        <v>925.48130666666634</v>
      </c>
      <c r="BE178">
        <v>0</v>
      </c>
      <c r="BF178">
        <v>925.48130666666634</v>
      </c>
      <c r="BG178">
        <v>26.388888888888889</v>
      </c>
      <c r="BH178">
        <v>0</v>
      </c>
      <c r="BI178">
        <v>341.03672888888889</v>
      </c>
      <c r="BJ178">
        <v>1023.1101866666667</v>
      </c>
      <c r="BK178">
        <v>0</v>
      </c>
      <c r="BL178">
        <v>0</v>
      </c>
      <c r="BM178">
        <v>28.880000000000006</v>
      </c>
      <c r="BN178">
        <v>0</v>
      </c>
      <c r="BO178">
        <v>0</v>
      </c>
      <c r="BP178">
        <v>358.30672888888887</v>
      </c>
      <c r="BQ178">
        <v>358.30672888888887</v>
      </c>
      <c r="BR178">
        <v>2.2664074666666623</v>
      </c>
      <c r="BS178">
        <v>26.873004666666663</v>
      </c>
      <c r="BT178">
        <v>40.309506999999996</v>
      </c>
      <c r="BU178">
        <v>67.18251166666667</v>
      </c>
      <c r="BV178">
        <v>120.928521</v>
      </c>
      <c r="BW178">
        <v>257.55995179999996</v>
      </c>
      <c r="BX178">
        <v>11460.977408199999</v>
      </c>
      <c r="BY178">
        <v>877.95200000000011</v>
      </c>
      <c r="BZ178">
        <v>10583.025408199999</v>
      </c>
      <c r="CA178">
        <v>12602.351999999999</v>
      </c>
      <c r="CB178">
        <v>378.07055999999994</v>
      </c>
      <c r="CC178">
        <v>358.30672888888887</v>
      </c>
      <c r="CD178">
        <v>692.41679999999997</v>
      </c>
      <c r="CE178">
        <v>6.2326205333333213</v>
      </c>
      <c r="CF178">
        <v>75.244413066666652</v>
      </c>
      <c r="CG178">
        <v>112.86661960000001</v>
      </c>
      <c r="CH178">
        <v>178.60551345597335</v>
      </c>
      <c r="CI178">
        <v>188.11103266666669</v>
      </c>
      <c r="CJ178">
        <v>107.49201866666665</v>
      </c>
      <c r="CK178">
        <v>214.9840373333333</v>
      </c>
      <c r="CL178">
        <v>338.59985879999999</v>
      </c>
      <c r="CM178">
        <v>1914.55291412264</v>
      </c>
      <c r="CN178">
        <v>537.46009333333336</v>
      </c>
      <c r="CO178">
        <v>2830.083567455973</v>
      </c>
      <c r="CQ178">
        <v>360.80219178082194</v>
      </c>
      <c r="CR178">
        <v>72.160438356164377</v>
      </c>
      <c r="CS178">
        <v>368.55943890410958</v>
      </c>
      <c r="CT178">
        <v>16275.624303163733</v>
      </c>
      <c r="CY178">
        <v>0</v>
      </c>
      <c r="DB178">
        <v>10535.423999999999</v>
      </c>
      <c r="DE178" s="61">
        <v>16275.624303163733</v>
      </c>
    </row>
    <row r="179" spans="1:109" hidden="1" x14ac:dyDescent="0.3">
      <c r="A179">
        <v>1811</v>
      </c>
      <c r="B179" t="s">
        <v>637</v>
      </c>
      <c r="C179" t="s">
        <v>603</v>
      </c>
      <c r="D179" t="s">
        <v>604</v>
      </c>
      <c r="E179" t="s">
        <v>835</v>
      </c>
      <c r="F179" t="s">
        <v>616</v>
      </c>
      <c r="G179" t="s">
        <v>617</v>
      </c>
      <c r="H179" t="s">
        <v>622</v>
      </c>
      <c r="I179" t="s">
        <v>623</v>
      </c>
      <c r="J179" s="3">
        <v>45558</v>
      </c>
      <c r="K179">
        <v>0.35616438356164382</v>
      </c>
      <c r="L179">
        <v>0</v>
      </c>
      <c r="M179" t="s">
        <v>678</v>
      </c>
      <c r="N179" t="s">
        <v>678</v>
      </c>
      <c r="O179">
        <v>1.0492999999999999</v>
      </c>
      <c r="P179">
        <v>3439.4559999999997</v>
      </c>
      <c r="Q179">
        <v>3439.4559999999997</v>
      </c>
      <c r="R179">
        <v>288.8</v>
      </c>
      <c r="S179">
        <v>303.03783999999996</v>
      </c>
      <c r="T179">
        <v>19.100000000000001</v>
      </c>
      <c r="U179">
        <v>322.13783999999998</v>
      </c>
      <c r="V179">
        <v>30.4</v>
      </c>
      <c r="W179">
        <v>8779.52</v>
      </c>
      <c r="AC179">
        <v>750</v>
      </c>
      <c r="AE179">
        <v>41.666666666666664</v>
      </c>
      <c r="AF179">
        <v>877.952</v>
      </c>
      <c r="AG179">
        <v>877.952</v>
      </c>
      <c r="AH179">
        <v>438.97600000000006</v>
      </c>
      <c r="AI179">
        <v>877.95200000000011</v>
      </c>
      <c r="AJ179">
        <v>0</v>
      </c>
      <c r="AK179">
        <v>0</v>
      </c>
      <c r="AL179">
        <v>1755.904</v>
      </c>
      <c r="AM179">
        <v>11852.352000000001</v>
      </c>
      <c r="AN179">
        <v>12644.018666666665</v>
      </c>
      <c r="AO179">
        <v>12602.352000000001</v>
      </c>
      <c r="AQ179">
        <v>9571.1866666666665</v>
      </c>
      <c r="AR179">
        <v>24076.191999999999</v>
      </c>
      <c r="AS179">
        <v>10535.424000000001</v>
      </c>
      <c r="AT179">
        <v>0</v>
      </c>
      <c r="AU179">
        <v>13540.767999999998</v>
      </c>
      <c r="AV179">
        <v>1755.904</v>
      </c>
      <c r="AW179">
        <v>0</v>
      </c>
      <c r="AX179">
        <v>11327.090666666665</v>
      </c>
      <c r="AY179">
        <v>11128.02</v>
      </c>
      <c r="AZ179">
        <v>199.07066666666469</v>
      </c>
      <c r="BA179">
        <v>0.16</v>
      </c>
      <c r="BB179">
        <v>31.85130666666635</v>
      </c>
      <c r="BC179">
        <v>893.63</v>
      </c>
      <c r="BD179">
        <v>925.48130666666634</v>
      </c>
      <c r="BE179">
        <v>0</v>
      </c>
      <c r="BF179">
        <v>925.48130666666634</v>
      </c>
      <c r="BG179">
        <v>26.388888888888889</v>
      </c>
      <c r="BH179">
        <v>0</v>
      </c>
      <c r="BI179">
        <v>348.5267288888889</v>
      </c>
      <c r="BJ179">
        <v>1045.5801866666668</v>
      </c>
      <c r="BK179">
        <v>0</v>
      </c>
      <c r="BL179">
        <v>0</v>
      </c>
      <c r="BM179">
        <v>28.880000000000006</v>
      </c>
      <c r="BN179">
        <v>0</v>
      </c>
      <c r="BO179">
        <v>0</v>
      </c>
      <c r="BP179">
        <v>358.30672888888887</v>
      </c>
      <c r="BQ179">
        <v>358.30672888888887</v>
      </c>
      <c r="BR179">
        <v>2.2664074666666623</v>
      </c>
      <c r="BS179">
        <v>26.873004666666663</v>
      </c>
      <c r="BT179">
        <v>40.309506999999996</v>
      </c>
      <c r="BU179">
        <v>67.18251166666667</v>
      </c>
      <c r="BV179">
        <v>120.928521</v>
      </c>
      <c r="BW179">
        <v>257.55995179999996</v>
      </c>
      <c r="BX179">
        <v>11460.977408199999</v>
      </c>
      <c r="BY179">
        <v>877.95200000000011</v>
      </c>
      <c r="BZ179">
        <v>10583.025408199999</v>
      </c>
      <c r="CA179">
        <v>12602.351999999999</v>
      </c>
      <c r="CB179">
        <v>378.07055999999994</v>
      </c>
      <c r="CC179">
        <v>358.30672888888887</v>
      </c>
      <c r="CD179">
        <v>692.41679999999997</v>
      </c>
      <c r="CE179">
        <v>6.2326205333333213</v>
      </c>
      <c r="CF179">
        <v>75.244413066666652</v>
      </c>
      <c r="CG179">
        <v>112.86661960000001</v>
      </c>
      <c r="CH179">
        <v>178.60551345597335</v>
      </c>
      <c r="CI179">
        <v>188.11103266666669</v>
      </c>
      <c r="CJ179">
        <v>107.49201866666665</v>
      </c>
      <c r="CK179">
        <v>214.9840373333333</v>
      </c>
      <c r="CL179">
        <v>338.59985879999999</v>
      </c>
      <c r="CM179">
        <v>1914.55291412264</v>
      </c>
      <c r="CN179">
        <v>537.46009333333336</v>
      </c>
      <c r="CO179">
        <v>2830.083567455973</v>
      </c>
      <c r="CQ179">
        <v>360.80219178082194</v>
      </c>
      <c r="CR179">
        <v>72.160438356164377</v>
      </c>
      <c r="CS179">
        <v>368.55943890410958</v>
      </c>
      <c r="CT179">
        <v>16275.624303163733</v>
      </c>
      <c r="CY179">
        <v>0</v>
      </c>
      <c r="DB179">
        <v>10535.423999999999</v>
      </c>
      <c r="DE179" s="61">
        <v>16275.624303163733</v>
      </c>
    </row>
    <row r="180" spans="1:109" hidden="1" x14ac:dyDescent="0.3">
      <c r="A180">
        <v>1815</v>
      </c>
      <c r="B180" t="s">
        <v>637</v>
      </c>
      <c r="C180" t="s">
        <v>603</v>
      </c>
      <c r="D180" t="s">
        <v>604</v>
      </c>
      <c r="E180" t="s">
        <v>838</v>
      </c>
      <c r="F180" t="s">
        <v>616</v>
      </c>
      <c r="G180" t="s">
        <v>617</v>
      </c>
      <c r="H180" t="s">
        <v>622</v>
      </c>
      <c r="I180" t="s">
        <v>623</v>
      </c>
      <c r="J180" s="3">
        <v>45560</v>
      </c>
      <c r="K180">
        <v>0.35068493150684932</v>
      </c>
      <c r="L180">
        <v>0</v>
      </c>
      <c r="M180" t="s">
        <v>678</v>
      </c>
      <c r="N180" t="s">
        <v>678</v>
      </c>
      <c r="O180">
        <v>1.0492999999999999</v>
      </c>
      <c r="P180">
        <v>3439.4559999999997</v>
      </c>
      <c r="Q180">
        <v>3439.4559999999997</v>
      </c>
      <c r="R180">
        <v>288.8</v>
      </c>
      <c r="S180">
        <v>303.03783999999996</v>
      </c>
      <c r="T180">
        <v>15.87</v>
      </c>
      <c r="U180">
        <v>318.90783999999996</v>
      </c>
      <c r="V180">
        <v>30.4</v>
      </c>
      <c r="W180">
        <v>8779.52</v>
      </c>
      <c r="AC180">
        <v>750</v>
      </c>
      <c r="AE180">
        <v>41.666666666666664</v>
      </c>
      <c r="AF180">
        <v>877.952</v>
      </c>
      <c r="AG180">
        <v>877.952</v>
      </c>
      <c r="AH180">
        <v>438.97600000000006</v>
      </c>
      <c r="AI180">
        <v>877.95200000000011</v>
      </c>
      <c r="AJ180">
        <v>0</v>
      </c>
      <c r="AK180">
        <v>0</v>
      </c>
      <c r="AL180">
        <v>1755.904</v>
      </c>
      <c r="AM180">
        <v>11852.352000000001</v>
      </c>
      <c r="AN180">
        <v>12644.018666666665</v>
      </c>
      <c r="AO180">
        <v>12602.352000000001</v>
      </c>
      <c r="AQ180">
        <v>9571.1866666666665</v>
      </c>
      <c r="AR180">
        <v>24076.191999999999</v>
      </c>
      <c r="AS180">
        <v>10535.424000000001</v>
      </c>
      <c r="AT180">
        <v>0</v>
      </c>
      <c r="AU180">
        <v>13540.767999999998</v>
      </c>
      <c r="AV180">
        <v>1755.904</v>
      </c>
      <c r="AW180">
        <v>0</v>
      </c>
      <c r="AX180">
        <v>11327.090666666665</v>
      </c>
      <c r="AY180">
        <v>11128.02</v>
      </c>
      <c r="AZ180">
        <v>199.07066666666469</v>
      </c>
      <c r="BA180">
        <v>0.16</v>
      </c>
      <c r="BB180">
        <v>31.85130666666635</v>
      </c>
      <c r="BC180">
        <v>893.63</v>
      </c>
      <c r="BD180">
        <v>925.48130666666634</v>
      </c>
      <c r="BE180">
        <v>0</v>
      </c>
      <c r="BF180">
        <v>925.48130666666634</v>
      </c>
      <c r="BG180">
        <v>26.388888888888889</v>
      </c>
      <c r="BH180">
        <v>0</v>
      </c>
      <c r="BI180">
        <v>345.29672888888888</v>
      </c>
      <c r="BJ180">
        <v>1035.8901866666668</v>
      </c>
      <c r="BK180">
        <v>0</v>
      </c>
      <c r="BL180">
        <v>0</v>
      </c>
      <c r="BM180">
        <v>28.880000000000006</v>
      </c>
      <c r="BN180">
        <v>0</v>
      </c>
      <c r="BO180">
        <v>0</v>
      </c>
      <c r="BP180">
        <v>358.30672888888887</v>
      </c>
      <c r="BQ180">
        <v>358.30672888888887</v>
      </c>
      <c r="BR180">
        <v>2.2664074666666623</v>
      </c>
      <c r="BS180">
        <v>26.873004666666663</v>
      </c>
      <c r="BT180">
        <v>40.309506999999996</v>
      </c>
      <c r="BU180">
        <v>67.18251166666667</v>
      </c>
      <c r="BV180">
        <v>120.928521</v>
      </c>
      <c r="BW180">
        <v>257.55995179999996</v>
      </c>
      <c r="BX180">
        <v>11460.977408199999</v>
      </c>
      <c r="BY180">
        <v>877.95200000000011</v>
      </c>
      <c r="BZ180">
        <v>10583.025408199999</v>
      </c>
      <c r="CA180">
        <v>12602.351999999999</v>
      </c>
      <c r="CB180">
        <v>378.07055999999994</v>
      </c>
      <c r="CC180">
        <v>358.30672888888887</v>
      </c>
      <c r="CD180">
        <v>692.41679999999997</v>
      </c>
      <c r="CE180">
        <v>6.2326205333333213</v>
      </c>
      <c r="CF180">
        <v>75.244413066666652</v>
      </c>
      <c r="CG180">
        <v>112.86661960000001</v>
      </c>
      <c r="CH180">
        <v>178.60551345597335</v>
      </c>
      <c r="CI180">
        <v>188.11103266666669</v>
      </c>
      <c r="CJ180">
        <v>107.49201866666665</v>
      </c>
      <c r="CK180">
        <v>214.9840373333333</v>
      </c>
      <c r="CL180">
        <v>338.59985879999999</v>
      </c>
      <c r="CM180">
        <v>1914.55291412264</v>
      </c>
      <c r="CN180">
        <v>537.46009333333336</v>
      </c>
      <c r="CO180">
        <v>2830.083567455973</v>
      </c>
      <c r="CQ180">
        <v>360.80219178082194</v>
      </c>
      <c r="CR180">
        <v>72.160438356164377</v>
      </c>
      <c r="CS180">
        <v>368.55943890410958</v>
      </c>
      <c r="CT180">
        <v>16275.624303163733</v>
      </c>
      <c r="CY180">
        <v>0</v>
      </c>
      <c r="DB180">
        <v>10535.423999999999</v>
      </c>
      <c r="DE180" s="61">
        <v>16275.624303163733</v>
      </c>
    </row>
    <row r="181" spans="1:109" hidden="1" x14ac:dyDescent="0.3">
      <c r="A181">
        <v>1816</v>
      </c>
      <c r="B181" t="s">
        <v>637</v>
      </c>
      <c r="C181" t="s">
        <v>603</v>
      </c>
      <c r="D181" t="s">
        <v>604</v>
      </c>
      <c r="E181" t="s">
        <v>839</v>
      </c>
      <c r="F181" t="s">
        <v>616</v>
      </c>
      <c r="G181" t="s">
        <v>617</v>
      </c>
      <c r="H181" t="s">
        <v>622</v>
      </c>
      <c r="I181" t="s">
        <v>623</v>
      </c>
      <c r="J181" s="3">
        <v>45560</v>
      </c>
      <c r="K181">
        <v>0.35068493150684932</v>
      </c>
      <c r="L181">
        <v>0</v>
      </c>
      <c r="M181" t="s">
        <v>678</v>
      </c>
      <c r="N181" t="s">
        <v>678</v>
      </c>
      <c r="O181">
        <v>1.0492999999999999</v>
      </c>
      <c r="P181">
        <v>3439.4559999999997</v>
      </c>
      <c r="Q181">
        <v>3439.4559999999997</v>
      </c>
      <c r="R181">
        <v>288.8</v>
      </c>
      <c r="S181">
        <v>303.03783999999996</v>
      </c>
      <c r="T181">
        <v>10.59</v>
      </c>
      <c r="U181">
        <v>313.62783999999994</v>
      </c>
      <c r="V181">
        <v>30.4</v>
      </c>
      <c r="W181">
        <v>8779.52</v>
      </c>
      <c r="AC181">
        <v>750</v>
      </c>
      <c r="AE181">
        <v>41.666666666666664</v>
      </c>
      <c r="AF181">
        <v>877.952</v>
      </c>
      <c r="AG181">
        <v>877.952</v>
      </c>
      <c r="AH181">
        <v>438.97600000000006</v>
      </c>
      <c r="AI181">
        <v>877.95200000000011</v>
      </c>
      <c r="AJ181">
        <v>0</v>
      </c>
      <c r="AK181">
        <v>0</v>
      </c>
      <c r="AL181">
        <v>1755.904</v>
      </c>
      <c r="AM181">
        <v>11852.352000000001</v>
      </c>
      <c r="AN181">
        <v>12644.018666666665</v>
      </c>
      <c r="AO181">
        <v>12602.352000000001</v>
      </c>
      <c r="AQ181">
        <v>9571.1866666666665</v>
      </c>
      <c r="AR181">
        <v>24076.191999999999</v>
      </c>
      <c r="AS181">
        <v>10535.424000000001</v>
      </c>
      <c r="AT181">
        <v>0</v>
      </c>
      <c r="AU181">
        <v>13540.767999999998</v>
      </c>
      <c r="AV181">
        <v>1755.904</v>
      </c>
      <c r="AW181">
        <v>0</v>
      </c>
      <c r="AX181">
        <v>11327.090666666665</v>
      </c>
      <c r="AY181">
        <v>11128.02</v>
      </c>
      <c r="AZ181">
        <v>199.07066666666469</v>
      </c>
      <c r="BA181">
        <v>0.16</v>
      </c>
      <c r="BB181">
        <v>31.85130666666635</v>
      </c>
      <c r="BC181">
        <v>893.63</v>
      </c>
      <c r="BD181">
        <v>925.48130666666634</v>
      </c>
      <c r="BE181">
        <v>0</v>
      </c>
      <c r="BF181">
        <v>925.48130666666634</v>
      </c>
      <c r="BG181">
        <v>26.388888888888889</v>
      </c>
      <c r="BH181">
        <v>0</v>
      </c>
      <c r="BI181">
        <v>340.01672888888885</v>
      </c>
      <c r="BJ181">
        <v>1020.0501866666666</v>
      </c>
      <c r="BK181">
        <v>0</v>
      </c>
      <c r="BL181">
        <v>0</v>
      </c>
      <c r="BM181">
        <v>28.880000000000006</v>
      </c>
      <c r="BN181">
        <v>0</v>
      </c>
      <c r="BO181">
        <v>0</v>
      </c>
      <c r="BP181">
        <v>358.30672888888887</v>
      </c>
      <c r="BQ181">
        <v>358.30672888888887</v>
      </c>
      <c r="BR181">
        <v>2.2664074666666623</v>
      </c>
      <c r="BS181">
        <v>26.873004666666663</v>
      </c>
      <c r="BT181">
        <v>40.309506999999996</v>
      </c>
      <c r="BU181">
        <v>67.18251166666667</v>
      </c>
      <c r="BV181">
        <v>120.928521</v>
      </c>
      <c r="BW181">
        <v>257.55995179999996</v>
      </c>
      <c r="BX181">
        <v>11460.977408199999</v>
      </c>
      <c r="BY181">
        <v>877.95200000000011</v>
      </c>
      <c r="BZ181">
        <v>10583.025408199999</v>
      </c>
      <c r="CA181">
        <v>12602.351999999999</v>
      </c>
      <c r="CB181">
        <v>378.07055999999994</v>
      </c>
      <c r="CC181">
        <v>358.30672888888887</v>
      </c>
      <c r="CD181">
        <v>692.41679999999997</v>
      </c>
      <c r="CE181">
        <v>6.2326205333333213</v>
      </c>
      <c r="CF181">
        <v>75.244413066666652</v>
      </c>
      <c r="CG181">
        <v>112.86661960000001</v>
      </c>
      <c r="CH181">
        <v>178.60551345597335</v>
      </c>
      <c r="CI181">
        <v>188.11103266666669</v>
      </c>
      <c r="CJ181">
        <v>107.49201866666665</v>
      </c>
      <c r="CK181">
        <v>214.9840373333333</v>
      </c>
      <c r="CL181">
        <v>338.59985879999999</v>
      </c>
      <c r="CM181">
        <v>1914.55291412264</v>
      </c>
      <c r="CN181">
        <v>537.46009333333336</v>
      </c>
      <c r="CO181">
        <v>2830.083567455973</v>
      </c>
      <c r="CQ181">
        <v>360.80219178082194</v>
      </c>
      <c r="CR181">
        <v>72.160438356164377</v>
      </c>
      <c r="CS181">
        <v>368.55943890410958</v>
      </c>
      <c r="CT181">
        <v>16275.624303163733</v>
      </c>
      <c r="CY181">
        <v>0</v>
      </c>
      <c r="DB181">
        <v>10535.423999999999</v>
      </c>
      <c r="DE181" s="61">
        <v>16275.624303163733</v>
      </c>
    </row>
    <row r="182" spans="1:109" hidden="1" x14ac:dyDescent="0.3">
      <c r="A182">
        <v>1822</v>
      </c>
      <c r="B182" t="s">
        <v>637</v>
      </c>
      <c r="C182" t="s">
        <v>603</v>
      </c>
      <c r="D182" t="s">
        <v>604</v>
      </c>
      <c r="E182" t="s">
        <v>842</v>
      </c>
      <c r="F182" t="s">
        <v>616</v>
      </c>
      <c r="G182" t="s">
        <v>617</v>
      </c>
      <c r="H182" t="s">
        <v>622</v>
      </c>
      <c r="I182" t="s">
        <v>623</v>
      </c>
      <c r="J182" s="3">
        <v>45565</v>
      </c>
      <c r="K182">
        <v>0.33698630136986302</v>
      </c>
      <c r="L182">
        <v>0</v>
      </c>
      <c r="M182" t="s">
        <v>678</v>
      </c>
      <c r="N182" t="s">
        <v>678</v>
      </c>
      <c r="O182">
        <v>1.0492999999999999</v>
      </c>
      <c r="P182">
        <v>3439.4559999999997</v>
      </c>
      <c r="Q182">
        <v>3439.4559999999997</v>
      </c>
      <c r="R182">
        <v>288.8</v>
      </c>
      <c r="S182">
        <v>303.03783999999996</v>
      </c>
      <c r="T182">
        <v>23.05</v>
      </c>
      <c r="U182">
        <v>326.08783999999997</v>
      </c>
      <c r="V182">
        <v>30.4</v>
      </c>
      <c r="W182">
        <v>8779.52</v>
      </c>
      <c r="AC182">
        <v>750</v>
      </c>
      <c r="AE182">
        <v>41.666666666666664</v>
      </c>
      <c r="AF182">
        <v>877.952</v>
      </c>
      <c r="AG182">
        <v>877.952</v>
      </c>
      <c r="AH182">
        <v>438.97600000000006</v>
      </c>
      <c r="AI182">
        <v>877.95200000000011</v>
      </c>
      <c r="AJ182">
        <v>0</v>
      </c>
      <c r="AK182">
        <v>0</v>
      </c>
      <c r="AL182">
        <v>1755.904</v>
      </c>
      <c r="AM182">
        <v>11852.352000000001</v>
      </c>
      <c r="AN182">
        <v>12644.018666666665</v>
      </c>
      <c r="AO182">
        <v>12602.352000000001</v>
      </c>
      <c r="AQ182">
        <v>9571.1866666666665</v>
      </c>
      <c r="AR182">
        <v>24076.191999999999</v>
      </c>
      <c r="AS182">
        <v>10535.424000000001</v>
      </c>
      <c r="AT182">
        <v>0</v>
      </c>
      <c r="AU182">
        <v>13540.767999999998</v>
      </c>
      <c r="AV182">
        <v>1755.904</v>
      </c>
      <c r="AW182">
        <v>0</v>
      </c>
      <c r="AX182">
        <v>11327.090666666665</v>
      </c>
      <c r="AY182">
        <v>11128.02</v>
      </c>
      <c r="AZ182">
        <v>199.07066666666469</v>
      </c>
      <c r="BA182">
        <v>0.16</v>
      </c>
      <c r="BB182">
        <v>31.85130666666635</v>
      </c>
      <c r="BC182">
        <v>893.63</v>
      </c>
      <c r="BD182">
        <v>925.48130666666634</v>
      </c>
      <c r="BE182">
        <v>0</v>
      </c>
      <c r="BF182">
        <v>925.48130666666634</v>
      </c>
      <c r="BG182">
        <v>26.388888888888889</v>
      </c>
      <c r="BH182">
        <v>0</v>
      </c>
      <c r="BI182">
        <v>352.47672888888889</v>
      </c>
      <c r="BJ182">
        <v>1057.4301866666667</v>
      </c>
      <c r="BK182">
        <v>0</v>
      </c>
      <c r="BL182">
        <v>0</v>
      </c>
      <c r="BM182">
        <v>28.880000000000006</v>
      </c>
      <c r="BN182">
        <v>0</v>
      </c>
      <c r="BO182">
        <v>0</v>
      </c>
      <c r="BP182">
        <v>358.30672888888887</v>
      </c>
      <c r="BQ182">
        <v>358.30672888888887</v>
      </c>
      <c r="BR182">
        <v>2.2664074666666623</v>
      </c>
      <c r="BS182">
        <v>26.873004666666663</v>
      </c>
      <c r="BT182">
        <v>40.309506999999996</v>
      </c>
      <c r="BU182">
        <v>67.18251166666667</v>
      </c>
      <c r="BV182">
        <v>120.928521</v>
      </c>
      <c r="BW182">
        <v>257.55995179999996</v>
      </c>
      <c r="BX182">
        <v>11460.977408199999</v>
      </c>
      <c r="BY182">
        <v>877.95200000000011</v>
      </c>
      <c r="BZ182">
        <v>10583.025408199999</v>
      </c>
      <c r="CA182">
        <v>12602.351999999999</v>
      </c>
      <c r="CB182">
        <v>378.07055999999994</v>
      </c>
      <c r="CC182">
        <v>358.30672888888887</v>
      </c>
      <c r="CD182">
        <v>692.41679999999997</v>
      </c>
      <c r="CE182">
        <v>6.2326205333333213</v>
      </c>
      <c r="CF182">
        <v>75.244413066666652</v>
      </c>
      <c r="CG182">
        <v>112.86661960000001</v>
      </c>
      <c r="CH182">
        <v>178.60551345597335</v>
      </c>
      <c r="CI182">
        <v>188.11103266666669</v>
      </c>
      <c r="CJ182">
        <v>107.49201866666665</v>
      </c>
      <c r="CK182">
        <v>214.9840373333333</v>
      </c>
      <c r="CL182">
        <v>338.59985879999999</v>
      </c>
      <c r="CM182">
        <v>1914.55291412264</v>
      </c>
      <c r="CN182">
        <v>537.46009333333336</v>
      </c>
      <c r="CO182">
        <v>2830.083567455973</v>
      </c>
      <c r="CQ182">
        <v>360.80219178082194</v>
      </c>
      <c r="CR182">
        <v>72.160438356164377</v>
      </c>
      <c r="CS182">
        <v>368.55943890410958</v>
      </c>
      <c r="CT182">
        <v>16275.624303163733</v>
      </c>
      <c r="CY182">
        <v>0</v>
      </c>
      <c r="DB182">
        <v>10535.423999999999</v>
      </c>
      <c r="DE182" s="61">
        <v>16275.624303163733</v>
      </c>
    </row>
    <row r="183" spans="1:109" hidden="1" x14ac:dyDescent="0.3">
      <c r="A183">
        <v>1824</v>
      </c>
      <c r="B183" t="s">
        <v>843</v>
      </c>
      <c r="C183" t="s">
        <v>603</v>
      </c>
      <c r="D183" t="s">
        <v>604</v>
      </c>
      <c r="E183" t="s">
        <v>844</v>
      </c>
      <c r="F183" t="s">
        <v>616</v>
      </c>
      <c r="G183" t="s">
        <v>617</v>
      </c>
      <c r="H183" t="s">
        <v>622</v>
      </c>
      <c r="I183" t="s">
        <v>623</v>
      </c>
      <c r="J183" s="3">
        <v>45565</v>
      </c>
      <c r="K183">
        <v>0.33698630136986302</v>
      </c>
      <c r="L183">
        <v>0</v>
      </c>
      <c r="M183" t="s">
        <v>678</v>
      </c>
      <c r="N183" t="s">
        <v>678</v>
      </c>
      <c r="O183">
        <v>1.0492999999999999</v>
      </c>
      <c r="P183">
        <v>3439.4559999999997</v>
      </c>
      <c r="Q183">
        <v>3439.4559999999997</v>
      </c>
      <c r="R183">
        <v>288.8</v>
      </c>
      <c r="S183">
        <v>303.03783999999996</v>
      </c>
      <c r="T183">
        <v>4.2300000000000004</v>
      </c>
      <c r="U183">
        <v>307.26783999999998</v>
      </c>
      <c r="V183">
        <v>30.4</v>
      </c>
      <c r="W183">
        <v>8779.52</v>
      </c>
      <c r="AC183">
        <v>750</v>
      </c>
      <c r="AE183">
        <v>41.666666666666664</v>
      </c>
      <c r="AF183">
        <v>877.952</v>
      </c>
      <c r="AG183">
        <v>877.952</v>
      </c>
      <c r="AH183">
        <v>438.97600000000006</v>
      </c>
      <c r="AI183">
        <v>877.95200000000011</v>
      </c>
      <c r="AJ183">
        <v>0</v>
      </c>
      <c r="AK183">
        <v>0</v>
      </c>
      <c r="AL183">
        <v>1755.904</v>
      </c>
      <c r="AM183">
        <v>11852.352000000001</v>
      </c>
      <c r="AN183">
        <v>12644.018666666665</v>
      </c>
      <c r="AO183">
        <v>12602.352000000001</v>
      </c>
      <c r="AQ183">
        <v>9571.1866666666665</v>
      </c>
      <c r="AR183">
        <v>24076.191999999999</v>
      </c>
      <c r="AS183">
        <v>10535.424000000001</v>
      </c>
      <c r="AT183">
        <v>0</v>
      </c>
      <c r="AU183">
        <v>13540.767999999998</v>
      </c>
      <c r="AV183">
        <v>1755.904</v>
      </c>
      <c r="AW183">
        <v>0</v>
      </c>
      <c r="AX183">
        <v>11327.090666666665</v>
      </c>
      <c r="AY183">
        <v>11128.02</v>
      </c>
      <c r="AZ183">
        <v>199.07066666666469</v>
      </c>
      <c r="BA183">
        <v>0.16</v>
      </c>
      <c r="BB183">
        <v>31.85130666666635</v>
      </c>
      <c r="BC183">
        <v>893.63</v>
      </c>
      <c r="BD183">
        <v>925.48130666666634</v>
      </c>
      <c r="BE183">
        <v>0</v>
      </c>
      <c r="BF183">
        <v>925.48130666666634</v>
      </c>
      <c r="BG183">
        <v>26.388888888888889</v>
      </c>
      <c r="BH183">
        <v>0</v>
      </c>
      <c r="BI183">
        <v>333.65672888888889</v>
      </c>
      <c r="BJ183">
        <v>1000.9701866666667</v>
      </c>
      <c r="BK183">
        <v>0</v>
      </c>
      <c r="BL183">
        <v>0</v>
      </c>
      <c r="BM183">
        <v>28.880000000000006</v>
      </c>
      <c r="BN183">
        <v>0</v>
      </c>
      <c r="BO183">
        <v>0</v>
      </c>
      <c r="BP183">
        <v>358.30672888888887</v>
      </c>
      <c r="BQ183">
        <v>358.30672888888887</v>
      </c>
      <c r="BR183">
        <v>2.2664074666666623</v>
      </c>
      <c r="BS183">
        <v>26.873004666666663</v>
      </c>
      <c r="BT183">
        <v>40.309506999999996</v>
      </c>
      <c r="BU183">
        <v>67.18251166666667</v>
      </c>
      <c r="BV183">
        <v>120.928521</v>
      </c>
      <c r="BW183">
        <v>257.55995179999996</v>
      </c>
      <c r="BX183">
        <v>11460.977408199999</v>
      </c>
      <c r="BY183">
        <v>877.95200000000011</v>
      </c>
      <c r="BZ183">
        <v>10583.025408199999</v>
      </c>
      <c r="CA183">
        <v>12602.351999999999</v>
      </c>
      <c r="CB183">
        <v>378.07055999999994</v>
      </c>
      <c r="CC183">
        <v>358.30672888888887</v>
      </c>
      <c r="CD183">
        <v>692.41679999999997</v>
      </c>
      <c r="CE183">
        <v>6.2326205333333213</v>
      </c>
      <c r="CF183">
        <v>75.244413066666652</v>
      </c>
      <c r="CG183">
        <v>112.86661960000001</v>
      </c>
      <c r="CH183">
        <v>178.60551345597335</v>
      </c>
      <c r="CI183">
        <v>188.11103266666669</v>
      </c>
      <c r="CJ183">
        <v>107.49201866666665</v>
      </c>
      <c r="CK183">
        <v>214.9840373333333</v>
      </c>
      <c r="CL183">
        <v>338.59985879999999</v>
      </c>
      <c r="CM183">
        <v>1914.55291412264</v>
      </c>
      <c r="CN183">
        <v>537.46009333333336</v>
      </c>
      <c r="CO183">
        <v>2830.083567455973</v>
      </c>
      <c r="CQ183">
        <v>360.80219178082194</v>
      </c>
      <c r="CR183">
        <v>72.160438356164377</v>
      </c>
      <c r="CS183">
        <v>368.55943890410958</v>
      </c>
      <c r="CT183">
        <v>16275.624303163733</v>
      </c>
      <c r="CY183">
        <v>0</v>
      </c>
      <c r="DB183">
        <v>10535.423999999999</v>
      </c>
      <c r="DE183" s="61">
        <v>16275.624303163733</v>
      </c>
    </row>
    <row r="184" spans="1:109" hidden="1" x14ac:dyDescent="0.3">
      <c r="A184">
        <v>1826</v>
      </c>
      <c r="B184">
        <v>0</v>
      </c>
      <c r="C184" t="s">
        <v>603</v>
      </c>
      <c r="D184" t="s">
        <v>604</v>
      </c>
      <c r="E184" t="s">
        <v>845</v>
      </c>
      <c r="F184" t="s">
        <v>616</v>
      </c>
      <c r="G184" t="s">
        <v>617</v>
      </c>
      <c r="H184" t="s">
        <v>622</v>
      </c>
      <c r="I184" t="s">
        <v>623</v>
      </c>
      <c r="J184" s="3">
        <v>45567</v>
      </c>
      <c r="K184">
        <v>0.33150684931506852</v>
      </c>
      <c r="L184">
        <v>0</v>
      </c>
      <c r="M184" t="s">
        <v>678</v>
      </c>
      <c r="N184" t="s">
        <v>678</v>
      </c>
      <c r="O184">
        <v>1.0492999999999999</v>
      </c>
      <c r="P184">
        <v>3439.4559999999997</v>
      </c>
      <c r="Q184">
        <v>3439.4559999999997</v>
      </c>
      <c r="R184">
        <v>288.8</v>
      </c>
      <c r="S184">
        <v>303.03783999999996</v>
      </c>
      <c r="T184">
        <v>132.99</v>
      </c>
      <c r="U184">
        <v>436.02783999999997</v>
      </c>
      <c r="V184">
        <v>30.4</v>
      </c>
      <c r="W184">
        <v>8779.52</v>
      </c>
      <c r="AC184">
        <v>750</v>
      </c>
      <c r="AE184">
        <v>41.666666666666664</v>
      </c>
      <c r="AF184">
        <v>877.952</v>
      </c>
      <c r="AG184">
        <v>877.952</v>
      </c>
      <c r="AH184">
        <v>438.97600000000006</v>
      </c>
      <c r="AI184">
        <v>877.95200000000011</v>
      </c>
      <c r="AJ184">
        <v>0</v>
      </c>
      <c r="AK184">
        <v>0</v>
      </c>
      <c r="AL184">
        <v>1755.904</v>
      </c>
      <c r="AM184">
        <v>11852.352000000001</v>
      </c>
      <c r="AN184">
        <v>12644.018666666665</v>
      </c>
      <c r="AO184">
        <v>12602.352000000001</v>
      </c>
      <c r="AQ184">
        <v>9571.1866666666665</v>
      </c>
      <c r="AR184">
        <v>24076.191999999999</v>
      </c>
      <c r="AS184">
        <v>10535.424000000001</v>
      </c>
      <c r="AT184">
        <v>0</v>
      </c>
      <c r="AU184">
        <v>13540.767999999998</v>
      </c>
      <c r="AV184">
        <v>1755.904</v>
      </c>
      <c r="AW184">
        <v>0</v>
      </c>
      <c r="AX184">
        <v>11327.090666666665</v>
      </c>
      <c r="AY184">
        <v>11128.02</v>
      </c>
      <c r="AZ184">
        <v>199.07066666666469</v>
      </c>
      <c r="BA184">
        <v>0.16</v>
      </c>
      <c r="BB184">
        <v>31.85130666666635</v>
      </c>
      <c r="BC184">
        <v>893.63</v>
      </c>
      <c r="BD184">
        <v>925.48130666666634</v>
      </c>
      <c r="BE184">
        <v>0</v>
      </c>
      <c r="BF184">
        <v>925.48130666666634</v>
      </c>
      <c r="BG184">
        <v>26.388888888888889</v>
      </c>
      <c r="BH184">
        <v>0</v>
      </c>
      <c r="BI184">
        <v>462.41672888888888</v>
      </c>
      <c r="BJ184">
        <v>1387.2501866666667</v>
      </c>
      <c r="BK184">
        <v>0</v>
      </c>
      <c r="BL184">
        <v>0</v>
      </c>
      <c r="BM184">
        <v>28.880000000000006</v>
      </c>
      <c r="BN184">
        <v>0</v>
      </c>
      <c r="BO184">
        <v>0</v>
      </c>
      <c r="BP184">
        <v>358.30672888888887</v>
      </c>
      <c r="BQ184">
        <v>358.30672888888887</v>
      </c>
      <c r="BR184">
        <v>2.2664074666666623</v>
      </c>
      <c r="BS184">
        <v>26.873004666666663</v>
      </c>
      <c r="BT184">
        <v>40.309506999999996</v>
      </c>
      <c r="BU184">
        <v>67.18251166666667</v>
      </c>
      <c r="BV184">
        <v>120.928521</v>
      </c>
      <c r="BW184">
        <v>257.55995179999996</v>
      </c>
      <c r="BX184">
        <v>11460.977408199999</v>
      </c>
      <c r="BY184">
        <v>877.95200000000011</v>
      </c>
      <c r="BZ184">
        <v>10583.025408199999</v>
      </c>
      <c r="CA184">
        <v>12602.351999999999</v>
      </c>
      <c r="CB184">
        <v>378.07055999999994</v>
      </c>
      <c r="CC184">
        <v>358.30672888888887</v>
      </c>
      <c r="CD184">
        <v>692.41679999999997</v>
      </c>
      <c r="CE184">
        <v>6.2326205333333213</v>
      </c>
      <c r="CF184">
        <v>75.244413066666652</v>
      </c>
      <c r="CG184">
        <v>112.86661960000001</v>
      </c>
      <c r="CH184">
        <v>178.60551345597335</v>
      </c>
      <c r="CI184">
        <v>188.11103266666669</v>
      </c>
      <c r="CJ184">
        <v>107.49201866666665</v>
      </c>
      <c r="CK184">
        <v>214.9840373333333</v>
      </c>
      <c r="CL184">
        <v>338.59985879999999</v>
      </c>
      <c r="CM184">
        <v>1914.55291412264</v>
      </c>
      <c r="CN184">
        <v>537.46009333333336</v>
      </c>
      <c r="CO184">
        <v>2830.083567455973</v>
      </c>
      <c r="CQ184">
        <v>360.80219178082194</v>
      </c>
      <c r="CR184">
        <v>72.160438356164377</v>
      </c>
      <c r="CS184">
        <v>368.55943890410958</v>
      </c>
      <c r="CT184">
        <v>16275.624303163733</v>
      </c>
      <c r="CY184">
        <v>0</v>
      </c>
      <c r="DB184">
        <v>10535.423999999999</v>
      </c>
      <c r="DE184" s="61">
        <v>16275.624303163733</v>
      </c>
    </row>
    <row r="185" spans="1:109" hidden="1" x14ac:dyDescent="0.3">
      <c r="A185">
        <v>1831</v>
      </c>
      <c r="B185" t="s">
        <v>611</v>
      </c>
      <c r="C185" t="s">
        <v>603</v>
      </c>
      <c r="D185" t="s">
        <v>604</v>
      </c>
      <c r="E185" t="s">
        <v>847</v>
      </c>
      <c r="F185" t="s">
        <v>616</v>
      </c>
      <c r="G185" t="s">
        <v>617</v>
      </c>
      <c r="H185" t="s">
        <v>608</v>
      </c>
      <c r="I185" t="s">
        <v>609</v>
      </c>
      <c r="J185" s="3">
        <v>45572</v>
      </c>
      <c r="K185">
        <v>0.31780821917808222</v>
      </c>
      <c r="L185">
        <v>0</v>
      </c>
      <c r="M185" t="s">
        <v>678</v>
      </c>
      <c r="N185" t="s">
        <v>678</v>
      </c>
      <c r="O185">
        <v>1.0492999999999999</v>
      </c>
      <c r="P185">
        <v>3439.4559999999997</v>
      </c>
      <c r="Q185">
        <v>3439.4559999999997</v>
      </c>
      <c r="R185">
        <v>288.8</v>
      </c>
      <c r="S185">
        <v>303.03783999999996</v>
      </c>
      <c r="T185">
        <v>19.93</v>
      </c>
      <c r="U185">
        <v>322.96783999999997</v>
      </c>
      <c r="V185">
        <v>30.4</v>
      </c>
      <c r="W185">
        <v>8779.52</v>
      </c>
      <c r="AC185">
        <v>750</v>
      </c>
      <c r="AE185">
        <v>41.666666666666664</v>
      </c>
      <c r="AF185">
        <v>877.952</v>
      </c>
      <c r="AG185">
        <v>877.952</v>
      </c>
      <c r="AH185">
        <v>438.97600000000006</v>
      </c>
      <c r="AI185">
        <v>877.95200000000011</v>
      </c>
      <c r="AJ185">
        <v>0</v>
      </c>
      <c r="AK185">
        <v>0</v>
      </c>
      <c r="AL185">
        <v>1755.904</v>
      </c>
      <c r="AM185">
        <v>11852.352000000001</v>
      </c>
      <c r="AN185">
        <v>12644.018666666665</v>
      </c>
      <c r="AO185">
        <v>12602.352000000001</v>
      </c>
      <c r="AQ185">
        <v>9571.1866666666665</v>
      </c>
      <c r="AR185">
        <v>24076.191999999999</v>
      </c>
      <c r="AS185">
        <v>10535.424000000001</v>
      </c>
      <c r="AT185">
        <v>0</v>
      </c>
      <c r="AU185">
        <v>13540.767999999998</v>
      </c>
      <c r="AV185">
        <v>1755.904</v>
      </c>
      <c r="AW185">
        <v>0</v>
      </c>
      <c r="AX185">
        <v>11327.090666666665</v>
      </c>
      <c r="AY185">
        <v>11128.02</v>
      </c>
      <c r="AZ185">
        <v>199.07066666666469</v>
      </c>
      <c r="BA185">
        <v>0.16</v>
      </c>
      <c r="BB185">
        <v>31.85130666666635</v>
      </c>
      <c r="BC185">
        <v>893.63</v>
      </c>
      <c r="BD185">
        <v>925.48130666666634</v>
      </c>
      <c r="BE185">
        <v>0</v>
      </c>
      <c r="BF185">
        <v>925.48130666666634</v>
      </c>
      <c r="BG185">
        <v>26.388888888888889</v>
      </c>
      <c r="BH185">
        <v>0</v>
      </c>
      <c r="BI185">
        <v>349.35672888888888</v>
      </c>
      <c r="BJ185">
        <v>1048.0701866666666</v>
      </c>
      <c r="BK185">
        <v>0</v>
      </c>
      <c r="BL185">
        <v>0</v>
      </c>
      <c r="BM185">
        <v>28.880000000000006</v>
      </c>
      <c r="BN185">
        <v>0</v>
      </c>
      <c r="BO185">
        <v>0</v>
      </c>
      <c r="BP185">
        <v>358.30672888888887</v>
      </c>
      <c r="BQ185">
        <v>358.30672888888887</v>
      </c>
      <c r="BR185">
        <v>2.2664074666666623</v>
      </c>
      <c r="BS185">
        <v>26.873004666666663</v>
      </c>
      <c r="BT185">
        <v>40.309506999999996</v>
      </c>
      <c r="BU185">
        <v>67.18251166666667</v>
      </c>
      <c r="BV185">
        <v>120.928521</v>
      </c>
      <c r="BW185">
        <v>257.55995179999996</v>
      </c>
      <c r="BX185">
        <v>11460.977408199999</v>
      </c>
      <c r="BY185">
        <v>877.95200000000011</v>
      </c>
      <c r="BZ185">
        <v>10583.025408199999</v>
      </c>
      <c r="CA185">
        <v>12602.351999999999</v>
      </c>
      <c r="CB185">
        <v>378.07055999999994</v>
      </c>
      <c r="CC185">
        <v>358.30672888888887</v>
      </c>
      <c r="CD185">
        <v>692.41679999999997</v>
      </c>
      <c r="CE185">
        <v>6.2326205333333213</v>
      </c>
      <c r="CF185">
        <v>75.244413066666652</v>
      </c>
      <c r="CG185">
        <v>112.86661960000001</v>
      </c>
      <c r="CH185">
        <v>178.60551345597335</v>
      </c>
      <c r="CI185">
        <v>188.11103266666669</v>
      </c>
      <c r="CJ185">
        <v>107.49201866666665</v>
      </c>
      <c r="CK185">
        <v>214.9840373333333</v>
      </c>
      <c r="CL185">
        <v>338.59985879999999</v>
      </c>
      <c r="CM185">
        <v>1914.55291412264</v>
      </c>
      <c r="CN185">
        <v>537.46009333333336</v>
      </c>
      <c r="CO185">
        <v>2830.083567455973</v>
      </c>
      <c r="CQ185">
        <v>360.80219178082194</v>
      </c>
      <c r="CR185">
        <v>72.160438356164377</v>
      </c>
      <c r="CS185">
        <v>368.55943890410958</v>
      </c>
      <c r="CT185">
        <v>16275.624303163733</v>
      </c>
      <c r="CY185">
        <v>0</v>
      </c>
      <c r="DB185">
        <v>10535.423999999999</v>
      </c>
      <c r="DE185" s="61">
        <v>16275.624303163733</v>
      </c>
    </row>
    <row r="186" spans="1:109" hidden="1" x14ac:dyDescent="0.3">
      <c r="A186">
        <v>1838</v>
      </c>
      <c r="B186" t="s">
        <v>637</v>
      </c>
      <c r="C186" t="s">
        <v>603</v>
      </c>
      <c r="D186" t="s">
        <v>604</v>
      </c>
      <c r="E186" t="s">
        <v>850</v>
      </c>
      <c r="F186" t="s">
        <v>616</v>
      </c>
      <c r="G186" t="s">
        <v>617</v>
      </c>
      <c r="H186" t="s">
        <v>622</v>
      </c>
      <c r="I186" t="s">
        <v>623</v>
      </c>
      <c r="J186" s="3">
        <v>45579</v>
      </c>
      <c r="K186">
        <v>0.29863013698630136</v>
      </c>
      <c r="L186">
        <v>0</v>
      </c>
      <c r="M186" t="s">
        <v>678</v>
      </c>
      <c r="N186" t="s">
        <v>678</v>
      </c>
      <c r="O186">
        <v>1.0492999999999999</v>
      </c>
      <c r="P186">
        <v>3439.4559999999997</v>
      </c>
      <c r="Q186">
        <v>3439.4559999999997</v>
      </c>
      <c r="R186">
        <v>288.8</v>
      </c>
      <c r="S186">
        <v>303.03783999999996</v>
      </c>
      <c r="T186">
        <v>16.309999999999999</v>
      </c>
      <c r="U186">
        <v>319.34783999999996</v>
      </c>
      <c r="V186">
        <v>30.4</v>
      </c>
      <c r="W186">
        <v>8779.52</v>
      </c>
      <c r="AC186">
        <v>750</v>
      </c>
      <c r="AE186">
        <v>41.666666666666664</v>
      </c>
      <c r="AF186">
        <v>877.952</v>
      </c>
      <c r="AG186">
        <v>877.952</v>
      </c>
      <c r="AH186">
        <v>438.97600000000006</v>
      </c>
      <c r="AI186">
        <v>877.95200000000011</v>
      </c>
      <c r="AJ186">
        <v>0</v>
      </c>
      <c r="AK186">
        <v>0</v>
      </c>
      <c r="AL186">
        <v>1755.904</v>
      </c>
      <c r="AM186">
        <v>11852.352000000001</v>
      </c>
      <c r="AN186">
        <v>12644.018666666665</v>
      </c>
      <c r="AO186">
        <v>12602.352000000001</v>
      </c>
      <c r="AQ186">
        <v>9571.1866666666665</v>
      </c>
      <c r="AR186">
        <v>24076.191999999999</v>
      </c>
      <c r="AS186">
        <v>10535.424000000001</v>
      </c>
      <c r="AT186">
        <v>0</v>
      </c>
      <c r="AU186">
        <v>13540.767999999998</v>
      </c>
      <c r="AV186">
        <v>1755.904</v>
      </c>
      <c r="AW186">
        <v>0</v>
      </c>
      <c r="AX186">
        <v>11327.090666666665</v>
      </c>
      <c r="AY186">
        <v>11128.02</v>
      </c>
      <c r="AZ186">
        <v>199.07066666666469</v>
      </c>
      <c r="BA186">
        <v>0.16</v>
      </c>
      <c r="BB186">
        <v>31.85130666666635</v>
      </c>
      <c r="BC186">
        <v>893.63</v>
      </c>
      <c r="BD186">
        <v>925.48130666666634</v>
      </c>
      <c r="BE186">
        <v>0</v>
      </c>
      <c r="BF186">
        <v>925.48130666666634</v>
      </c>
      <c r="BG186">
        <v>26.388888888888889</v>
      </c>
      <c r="BH186">
        <v>0</v>
      </c>
      <c r="BI186">
        <v>345.73672888888888</v>
      </c>
      <c r="BJ186">
        <v>1037.2101866666667</v>
      </c>
      <c r="BK186">
        <v>0</v>
      </c>
      <c r="BL186">
        <v>0</v>
      </c>
      <c r="BM186">
        <v>28.880000000000006</v>
      </c>
      <c r="BN186">
        <v>0</v>
      </c>
      <c r="BO186">
        <v>0</v>
      </c>
      <c r="BP186">
        <v>358.30672888888887</v>
      </c>
      <c r="BQ186">
        <v>358.30672888888887</v>
      </c>
      <c r="BR186">
        <v>2.2664074666666623</v>
      </c>
      <c r="BS186">
        <v>26.873004666666663</v>
      </c>
      <c r="BT186">
        <v>40.309506999999996</v>
      </c>
      <c r="BU186">
        <v>67.18251166666667</v>
      </c>
      <c r="BV186">
        <v>120.928521</v>
      </c>
      <c r="BW186">
        <v>257.55995179999996</v>
      </c>
      <c r="BX186">
        <v>11460.977408199999</v>
      </c>
      <c r="BY186">
        <v>877.95200000000011</v>
      </c>
      <c r="BZ186">
        <v>10583.025408199999</v>
      </c>
      <c r="CA186">
        <v>12602.351999999999</v>
      </c>
      <c r="CB186">
        <v>378.07055999999994</v>
      </c>
      <c r="CC186">
        <v>358.30672888888887</v>
      </c>
      <c r="CD186">
        <v>692.41679999999997</v>
      </c>
      <c r="CE186">
        <v>6.2326205333333213</v>
      </c>
      <c r="CF186">
        <v>75.244413066666652</v>
      </c>
      <c r="CG186">
        <v>112.86661960000001</v>
      </c>
      <c r="CH186">
        <v>178.60551345597335</v>
      </c>
      <c r="CI186">
        <v>188.11103266666669</v>
      </c>
      <c r="CJ186">
        <v>107.49201866666665</v>
      </c>
      <c r="CK186">
        <v>214.9840373333333</v>
      </c>
      <c r="CL186">
        <v>338.59985879999999</v>
      </c>
      <c r="CM186">
        <v>1914.55291412264</v>
      </c>
      <c r="CN186">
        <v>537.46009333333336</v>
      </c>
      <c r="CO186">
        <v>2830.083567455973</v>
      </c>
      <c r="CQ186">
        <v>360.80219178082194</v>
      </c>
      <c r="CR186">
        <v>72.160438356164377</v>
      </c>
      <c r="CS186">
        <v>368.55943890410958</v>
      </c>
      <c r="CT186">
        <v>16275.624303163733</v>
      </c>
      <c r="CY186">
        <v>0</v>
      </c>
      <c r="DB186">
        <v>10535.423999999999</v>
      </c>
      <c r="DE186" s="61">
        <v>16275.624303163733</v>
      </c>
    </row>
    <row r="187" spans="1:109" hidden="1" x14ac:dyDescent="0.3">
      <c r="A187">
        <v>1839</v>
      </c>
      <c r="B187" t="s">
        <v>637</v>
      </c>
      <c r="C187" t="s">
        <v>603</v>
      </c>
      <c r="D187" t="s">
        <v>604</v>
      </c>
      <c r="E187" t="s">
        <v>851</v>
      </c>
      <c r="F187" t="s">
        <v>616</v>
      </c>
      <c r="G187" t="s">
        <v>617</v>
      </c>
      <c r="H187" t="s">
        <v>622</v>
      </c>
      <c r="I187" t="s">
        <v>623</v>
      </c>
      <c r="J187" s="3">
        <v>45579</v>
      </c>
      <c r="K187">
        <v>0.29863013698630136</v>
      </c>
      <c r="L187">
        <v>0</v>
      </c>
      <c r="M187" t="s">
        <v>678</v>
      </c>
      <c r="N187" t="s">
        <v>678</v>
      </c>
      <c r="O187">
        <v>1.0492999999999999</v>
      </c>
      <c r="P187">
        <v>3439.4559999999997</v>
      </c>
      <c r="Q187">
        <v>3439.4559999999997</v>
      </c>
      <c r="R187">
        <v>288.8</v>
      </c>
      <c r="S187">
        <v>303.03783999999996</v>
      </c>
      <c r="T187">
        <v>21.05</v>
      </c>
      <c r="U187">
        <v>324.08783999999997</v>
      </c>
      <c r="V187">
        <v>30.4</v>
      </c>
      <c r="W187">
        <v>8779.52</v>
      </c>
      <c r="AC187">
        <v>750</v>
      </c>
      <c r="AE187">
        <v>41.666666666666664</v>
      </c>
      <c r="AF187">
        <v>877.952</v>
      </c>
      <c r="AG187">
        <v>877.952</v>
      </c>
      <c r="AH187">
        <v>438.97600000000006</v>
      </c>
      <c r="AI187">
        <v>877.95200000000011</v>
      </c>
      <c r="AJ187">
        <v>0</v>
      </c>
      <c r="AK187">
        <v>0</v>
      </c>
      <c r="AL187">
        <v>1755.904</v>
      </c>
      <c r="AM187">
        <v>11852.352000000001</v>
      </c>
      <c r="AN187">
        <v>12644.018666666665</v>
      </c>
      <c r="AO187">
        <v>12602.352000000001</v>
      </c>
      <c r="AQ187">
        <v>9571.1866666666665</v>
      </c>
      <c r="AR187">
        <v>24076.191999999999</v>
      </c>
      <c r="AS187">
        <v>10535.424000000001</v>
      </c>
      <c r="AT187">
        <v>0</v>
      </c>
      <c r="AU187">
        <v>13540.767999999998</v>
      </c>
      <c r="AV187">
        <v>1755.904</v>
      </c>
      <c r="AW187">
        <v>0</v>
      </c>
      <c r="AX187">
        <v>11327.090666666665</v>
      </c>
      <c r="AY187">
        <v>11128.02</v>
      </c>
      <c r="AZ187">
        <v>199.07066666666469</v>
      </c>
      <c r="BA187">
        <v>0.16</v>
      </c>
      <c r="BB187">
        <v>31.85130666666635</v>
      </c>
      <c r="BC187">
        <v>893.63</v>
      </c>
      <c r="BD187">
        <v>925.48130666666634</v>
      </c>
      <c r="BE187">
        <v>0</v>
      </c>
      <c r="BF187">
        <v>925.48130666666634</v>
      </c>
      <c r="BG187">
        <v>26.388888888888889</v>
      </c>
      <c r="BH187">
        <v>0</v>
      </c>
      <c r="BI187">
        <v>350.47672888888889</v>
      </c>
      <c r="BJ187">
        <v>1051.4301866666667</v>
      </c>
      <c r="BK187">
        <v>0</v>
      </c>
      <c r="BL187">
        <v>0</v>
      </c>
      <c r="BM187">
        <v>28.880000000000006</v>
      </c>
      <c r="BN187">
        <v>0</v>
      </c>
      <c r="BO187">
        <v>0</v>
      </c>
      <c r="BP187">
        <v>358.30672888888887</v>
      </c>
      <c r="BQ187">
        <v>358.30672888888887</v>
      </c>
      <c r="BR187">
        <v>2.2664074666666623</v>
      </c>
      <c r="BS187">
        <v>26.873004666666663</v>
      </c>
      <c r="BT187">
        <v>40.309506999999996</v>
      </c>
      <c r="BU187">
        <v>67.18251166666667</v>
      </c>
      <c r="BV187">
        <v>120.928521</v>
      </c>
      <c r="BW187">
        <v>257.55995179999996</v>
      </c>
      <c r="BX187">
        <v>11460.977408199999</v>
      </c>
      <c r="BY187">
        <v>877.95200000000011</v>
      </c>
      <c r="BZ187">
        <v>10583.025408199999</v>
      </c>
      <c r="CA187">
        <v>12602.351999999999</v>
      </c>
      <c r="CB187">
        <v>378.07055999999994</v>
      </c>
      <c r="CC187">
        <v>358.30672888888887</v>
      </c>
      <c r="CD187">
        <v>692.41679999999997</v>
      </c>
      <c r="CE187">
        <v>6.2326205333333213</v>
      </c>
      <c r="CF187">
        <v>75.244413066666652</v>
      </c>
      <c r="CG187">
        <v>112.86661960000001</v>
      </c>
      <c r="CH187">
        <v>178.60551345597335</v>
      </c>
      <c r="CI187">
        <v>188.11103266666669</v>
      </c>
      <c r="CJ187">
        <v>107.49201866666665</v>
      </c>
      <c r="CK187">
        <v>214.9840373333333</v>
      </c>
      <c r="CL187">
        <v>338.59985879999999</v>
      </c>
      <c r="CM187">
        <v>1914.55291412264</v>
      </c>
      <c r="CN187">
        <v>537.46009333333336</v>
      </c>
      <c r="CO187">
        <v>2830.083567455973</v>
      </c>
      <c r="CQ187">
        <v>360.80219178082194</v>
      </c>
      <c r="CR187">
        <v>72.160438356164377</v>
      </c>
      <c r="CS187">
        <v>368.55943890410958</v>
      </c>
      <c r="CT187">
        <v>16275.624303163733</v>
      </c>
      <c r="CY187">
        <v>0</v>
      </c>
      <c r="DB187">
        <v>10535.423999999999</v>
      </c>
      <c r="DE187" s="61">
        <v>16275.624303163733</v>
      </c>
    </row>
    <row r="188" spans="1:109" hidden="1" x14ac:dyDescent="0.3">
      <c r="A188">
        <v>1844</v>
      </c>
      <c r="B188" t="s">
        <v>637</v>
      </c>
      <c r="C188" t="s">
        <v>603</v>
      </c>
      <c r="D188" t="s">
        <v>604</v>
      </c>
      <c r="E188" t="s">
        <v>856</v>
      </c>
      <c r="F188" t="s">
        <v>616</v>
      </c>
      <c r="G188" t="s">
        <v>617</v>
      </c>
      <c r="H188" t="s">
        <v>622</v>
      </c>
      <c r="I188" t="s">
        <v>623</v>
      </c>
      <c r="J188" s="3">
        <v>45581</v>
      </c>
      <c r="K188">
        <v>0.29315068493150687</v>
      </c>
      <c r="L188">
        <v>0</v>
      </c>
      <c r="M188" t="s">
        <v>678</v>
      </c>
      <c r="N188" t="s">
        <v>678</v>
      </c>
      <c r="O188">
        <v>1.0492999999999999</v>
      </c>
      <c r="P188">
        <v>3439.4559999999997</v>
      </c>
      <c r="Q188">
        <v>3439.4559999999997</v>
      </c>
      <c r="R188">
        <v>288.8</v>
      </c>
      <c r="S188">
        <v>303.03783999999996</v>
      </c>
      <c r="T188">
        <v>23.86</v>
      </c>
      <c r="U188">
        <v>326.89783999999997</v>
      </c>
      <c r="V188">
        <v>30.4</v>
      </c>
      <c r="W188">
        <v>8779.52</v>
      </c>
      <c r="AC188">
        <v>750</v>
      </c>
      <c r="AE188">
        <v>41.666666666666664</v>
      </c>
      <c r="AF188">
        <v>877.952</v>
      </c>
      <c r="AG188">
        <v>877.952</v>
      </c>
      <c r="AH188">
        <v>438.97600000000006</v>
      </c>
      <c r="AI188">
        <v>877.95200000000011</v>
      </c>
      <c r="AJ188">
        <v>0</v>
      </c>
      <c r="AK188">
        <v>0</v>
      </c>
      <c r="AL188">
        <v>1755.904</v>
      </c>
      <c r="AM188">
        <v>11852.352000000001</v>
      </c>
      <c r="AN188">
        <v>12644.018666666665</v>
      </c>
      <c r="AO188">
        <v>12602.352000000001</v>
      </c>
      <c r="AQ188">
        <v>9571.1866666666665</v>
      </c>
      <c r="AR188">
        <v>24076.191999999999</v>
      </c>
      <c r="AS188">
        <v>10535.424000000001</v>
      </c>
      <c r="AT188">
        <v>0</v>
      </c>
      <c r="AU188">
        <v>13540.767999999998</v>
      </c>
      <c r="AV188">
        <v>1755.904</v>
      </c>
      <c r="AW188">
        <v>0</v>
      </c>
      <c r="AX188">
        <v>11327.090666666665</v>
      </c>
      <c r="AY188">
        <v>11128.02</v>
      </c>
      <c r="AZ188">
        <v>199.07066666666469</v>
      </c>
      <c r="BA188">
        <v>0.16</v>
      </c>
      <c r="BB188">
        <v>31.85130666666635</v>
      </c>
      <c r="BC188">
        <v>893.63</v>
      </c>
      <c r="BD188">
        <v>925.48130666666634</v>
      </c>
      <c r="BE188">
        <v>0</v>
      </c>
      <c r="BF188">
        <v>925.48130666666634</v>
      </c>
      <c r="BG188">
        <v>26.388888888888889</v>
      </c>
      <c r="BH188">
        <v>0</v>
      </c>
      <c r="BI188">
        <v>353.28672888888889</v>
      </c>
      <c r="BJ188">
        <v>1059.8601866666666</v>
      </c>
      <c r="BK188">
        <v>0</v>
      </c>
      <c r="BL188">
        <v>0</v>
      </c>
      <c r="BM188">
        <v>28.880000000000006</v>
      </c>
      <c r="BN188">
        <v>0</v>
      </c>
      <c r="BO188">
        <v>0</v>
      </c>
      <c r="BP188">
        <v>358.30672888888887</v>
      </c>
      <c r="BQ188">
        <v>358.30672888888887</v>
      </c>
      <c r="BR188">
        <v>2.2664074666666623</v>
      </c>
      <c r="BS188">
        <v>26.873004666666663</v>
      </c>
      <c r="BT188">
        <v>40.309506999999996</v>
      </c>
      <c r="BU188">
        <v>67.18251166666667</v>
      </c>
      <c r="BV188">
        <v>120.928521</v>
      </c>
      <c r="BW188">
        <v>257.55995179999996</v>
      </c>
      <c r="BX188">
        <v>11460.977408199999</v>
      </c>
      <c r="BY188">
        <v>877.95200000000011</v>
      </c>
      <c r="BZ188">
        <v>10583.025408199999</v>
      </c>
      <c r="CA188">
        <v>12602.351999999999</v>
      </c>
      <c r="CB188">
        <v>378.07055999999994</v>
      </c>
      <c r="CC188">
        <v>358.30672888888887</v>
      </c>
      <c r="CD188">
        <v>692.41679999999997</v>
      </c>
      <c r="CE188">
        <v>6.2326205333333213</v>
      </c>
      <c r="CF188">
        <v>75.244413066666652</v>
      </c>
      <c r="CG188">
        <v>112.86661960000001</v>
      </c>
      <c r="CH188">
        <v>178.60551345597335</v>
      </c>
      <c r="CI188">
        <v>188.11103266666669</v>
      </c>
      <c r="CJ188">
        <v>107.49201866666665</v>
      </c>
      <c r="CK188">
        <v>214.9840373333333</v>
      </c>
      <c r="CL188">
        <v>338.59985879999999</v>
      </c>
      <c r="CM188">
        <v>1914.55291412264</v>
      </c>
      <c r="CN188">
        <v>537.46009333333336</v>
      </c>
      <c r="CO188">
        <v>2830.083567455973</v>
      </c>
      <c r="CQ188">
        <v>360.80219178082194</v>
      </c>
      <c r="CR188">
        <v>72.160438356164377</v>
      </c>
      <c r="CS188">
        <v>368.55943890410958</v>
      </c>
      <c r="CT188">
        <v>16275.624303163733</v>
      </c>
      <c r="CY188">
        <v>0</v>
      </c>
      <c r="DB188">
        <v>10535.423999999999</v>
      </c>
      <c r="DE188" s="61">
        <v>16275.624303163733</v>
      </c>
    </row>
    <row r="189" spans="1:109" hidden="1" x14ac:dyDescent="0.3">
      <c r="A189">
        <v>1847</v>
      </c>
      <c r="B189" t="s">
        <v>637</v>
      </c>
      <c r="C189" t="s">
        <v>603</v>
      </c>
      <c r="D189" t="s">
        <v>604</v>
      </c>
      <c r="E189" t="s">
        <v>858</v>
      </c>
      <c r="F189" t="s">
        <v>616</v>
      </c>
      <c r="G189" t="s">
        <v>617</v>
      </c>
      <c r="H189" t="s">
        <v>622</v>
      </c>
      <c r="I189" t="s">
        <v>623</v>
      </c>
      <c r="J189" s="3">
        <v>45581</v>
      </c>
      <c r="K189">
        <v>0.29315068493150687</v>
      </c>
      <c r="L189">
        <v>0</v>
      </c>
      <c r="M189" t="s">
        <v>678</v>
      </c>
      <c r="N189" t="s">
        <v>678</v>
      </c>
      <c r="O189">
        <v>1.0492999999999999</v>
      </c>
      <c r="P189">
        <v>3439.4559999999997</v>
      </c>
      <c r="Q189">
        <v>3439.4559999999997</v>
      </c>
      <c r="R189">
        <v>288.8</v>
      </c>
      <c r="S189">
        <v>303.03783999999996</v>
      </c>
      <c r="T189">
        <v>25.43</v>
      </c>
      <c r="U189">
        <v>328.46783999999997</v>
      </c>
      <c r="V189">
        <v>30.4</v>
      </c>
      <c r="W189">
        <v>8779.52</v>
      </c>
      <c r="AC189">
        <v>750</v>
      </c>
      <c r="AE189">
        <v>41.666666666666664</v>
      </c>
      <c r="AF189">
        <v>877.952</v>
      </c>
      <c r="AG189">
        <v>877.952</v>
      </c>
      <c r="AH189">
        <v>438.97600000000006</v>
      </c>
      <c r="AI189">
        <v>877.95200000000011</v>
      </c>
      <c r="AJ189">
        <v>0</v>
      </c>
      <c r="AK189">
        <v>0</v>
      </c>
      <c r="AL189">
        <v>1755.904</v>
      </c>
      <c r="AM189">
        <v>11852.352000000001</v>
      </c>
      <c r="AN189">
        <v>12644.018666666665</v>
      </c>
      <c r="AO189">
        <v>12602.352000000001</v>
      </c>
      <c r="AQ189">
        <v>9571.1866666666665</v>
      </c>
      <c r="AR189">
        <v>24076.191999999999</v>
      </c>
      <c r="AS189">
        <v>10535.424000000001</v>
      </c>
      <c r="AT189">
        <v>0</v>
      </c>
      <c r="AU189">
        <v>13540.767999999998</v>
      </c>
      <c r="AV189">
        <v>1755.904</v>
      </c>
      <c r="AW189">
        <v>0</v>
      </c>
      <c r="AX189">
        <v>11327.090666666665</v>
      </c>
      <c r="AY189">
        <v>11128.02</v>
      </c>
      <c r="AZ189">
        <v>199.07066666666469</v>
      </c>
      <c r="BA189">
        <v>0.16</v>
      </c>
      <c r="BB189">
        <v>31.85130666666635</v>
      </c>
      <c r="BC189">
        <v>893.63</v>
      </c>
      <c r="BD189">
        <v>925.48130666666634</v>
      </c>
      <c r="BE189">
        <v>0</v>
      </c>
      <c r="BF189">
        <v>925.48130666666634</v>
      </c>
      <c r="BG189">
        <v>26.388888888888889</v>
      </c>
      <c r="BH189">
        <v>0</v>
      </c>
      <c r="BI189">
        <v>354.85672888888888</v>
      </c>
      <c r="BJ189">
        <v>1064.5701866666666</v>
      </c>
      <c r="BK189">
        <v>0</v>
      </c>
      <c r="BL189">
        <v>0</v>
      </c>
      <c r="BM189">
        <v>28.880000000000006</v>
      </c>
      <c r="BN189">
        <v>0</v>
      </c>
      <c r="BO189">
        <v>0</v>
      </c>
      <c r="BP189">
        <v>358.30672888888887</v>
      </c>
      <c r="BQ189">
        <v>358.30672888888887</v>
      </c>
      <c r="BR189">
        <v>2.2664074666666623</v>
      </c>
      <c r="BS189">
        <v>26.873004666666663</v>
      </c>
      <c r="BT189">
        <v>40.309506999999996</v>
      </c>
      <c r="BU189">
        <v>67.18251166666667</v>
      </c>
      <c r="BV189">
        <v>120.928521</v>
      </c>
      <c r="BW189">
        <v>257.55995179999996</v>
      </c>
      <c r="BX189">
        <v>11460.977408199999</v>
      </c>
      <c r="BY189">
        <v>877.95200000000011</v>
      </c>
      <c r="BZ189">
        <v>10583.025408199999</v>
      </c>
      <c r="CA189">
        <v>12602.351999999999</v>
      </c>
      <c r="CB189">
        <v>378.07055999999994</v>
      </c>
      <c r="CC189">
        <v>358.30672888888887</v>
      </c>
      <c r="CD189">
        <v>692.41679999999997</v>
      </c>
      <c r="CE189">
        <v>6.2326205333333213</v>
      </c>
      <c r="CF189">
        <v>75.244413066666652</v>
      </c>
      <c r="CG189">
        <v>112.86661960000001</v>
      </c>
      <c r="CH189">
        <v>178.60551345597335</v>
      </c>
      <c r="CI189">
        <v>188.11103266666669</v>
      </c>
      <c r="CJ189">
        <v>107.49201866666665</v>
      </c>
      <c r="CK189">
        <v>214.9840373333333</v>
      </c>
      <c r="CL189">
        <v>338.59985879999999</v>
      </c>
      <c r="CM189">
        <v>1914.55291412264</v>
      </c>
      <c r="CN189">
        <v>537.46009333333336</v>
      </c>
      <c r="CO189">
        <v>2830.083567455973</v>
      </c>
      <c r="CQ189">
        <v>360.80219178082194</v>
      </c>
      <c r="CR189">
        <v>72.160438356164377</v>
      </c>
      <c r="CS189">
        <v>368.55943890410958</v>
      </c>
      <c r="CT189">
        <v>16275.624303163733</v>
      </c>
      <c r="CY189">
        <v>0</v>
      </c>
      <c r="DB189">
        <v>10535.423999999999</v>
      </c>
      <c r="DE189" s="61">
        <v>16275.624303163733</v>
      </c>
    </row>
    <row r="190" spans="1:109" hidden="1" x14ac:dyDescent="0.3">
      <c r="A190">
        <v>1848</v>
      </c>
      <c r="B190" t="s">
        <v>637</v>
      </c>
      <c r="C190" t="s">
        <v>603</v>
      </c>
      <c r="D190" t="s">
        <v>604</v>
      </c>
      <c r="E190" t="s">
        <v>859</v>
      </c>
      <c r="F190" t="s">
        <v>616</v>
      </c>
      <c r="G190" t="s">
        <v>617</v>
      </c>
      <c r="H190" t="s">
        <v>622</v>
      </c>
      <c r="I190" t="s">
        <v>623</v>
      </c>
      <c r="J190" s="3">
        <v>45581</v>
      </c>
      <c r="K190">
        <v>0.29315068493150687</v>
      </c>
      <c r="L190">
        <v>0</v>
      </c>
      <c r="M190" t="s">
        <v>678</v>
      </c>
      <c r="N190" t="s">
        <v>678</v>
      </c>
      <c r="O190">
        <v>1.0492999999999999</v>
      </c>
      <c r="P190">
        <v>3439.4559999999997</v>
      </c>
      <c r="Q190">
        <v>3439.4559999999997</v>
      </c>
      <c r="R190">
        <v>288.8</v>
      </c>
      <c r="S190">
        <v>303.03783999999996</v>
      </c>
      <c r="T190">
        <v>44.37</v>
      </c>
      <c r="U190">
        <v>347.40783999999996</v>
      </c>
      <c r="V190">
        <v>30.4</v>
      </c>
      <c r="W190">
        <v>8779.52</v>
      </c>
      <c r="AC190">
        <v>750</v>
      </c>
      <c r="AE190">
        <v>41.666666666666664</v>
      </c>
      <c r="AF190">
        <v>877.952</v>
      </c>
      <c r="AG190">
        <v>877.952</v>
      </c>
      <c r="AH190">
        <v>438.97600000000006</v>
      </c>
      <c r="AI190">
        <v>877.95200000000011</v>
      </c>
      <c r="AJ190">
        <v>0</v>
      </c>
      <c r="AK190">
        <v>0</v>
      </c>
      <c r="AL190">
        <v>1755.904</v>
      </c>
      <c r="AM190">
        <v>11852.352000000001</v>
      </c>
      <c r="AN190">
        <v>12644.018666666665</v>
      </c>
      <c r="AO190">
        <v>12602.352000000001</v>
      </c>
      <c r="AQ190">
        <v>9571.1866666666665</v>
      </c>
      <c r="AR190">
        <v>24076.191999999999</v>
      </c>
      <c r="AS190">
        <v>10535.424000000001</v>
      </c>
      <c r="AT190">
        <v>0</v>
      </c>
      <c r="AU190">
        <v>13540.767999999998</v>
      </c>
      <c r="AV190">
        <v>1755.904</v>
      </c>
      <c r="AW190">
        <v>0</v>
      </c>
      <c r="AX190">
        <v>11327.090666666665</v>
      </c>
      <c r="AY190">
        <v>11128.02</v>
      </c>
      <c r="AZ190">
        <v>199.07066666666469</v>
      </c>
      <c r="BA190">
        <v>0.16</v>
      </c>
      <c r="BB190">
        <v>31.85130666666635</v>
      </c>
      <c r="BC190">
        <v>893.63</v>
      </c>
      <c r="BD190">
        <v>925.48130666666634</v>
      </c>
      <c r="BE190">
        <v>0</v>
      </c>
      <c r="BF190">
        <v>925.48130666666634</v>
      </c>
      <c r="BG190">
        <v>26.388888888888889</v>
      </c>
      <c r="BH190">
        <v>0</v>
      </c>
      <c r="BI190">
        <v>373.79672888888888</v>
      </c>
      <c r="BJ190">
        <v>1121.3901866666668</v>
      </c>
      <c r="BK190">
        <v>0</v>
      </c>
      <c r="BL190">
        <v>0</v>
      </c>
      <c r="BM190">
        <v>28.880000000000006</v>
      </c>
      <c r="BN190">
        <v>0</v>
      </c>
      <c r="BO190">
        <v>0</v>
      </c>
      <c r="BP190">
        <v>358.30672888888887</v>
      </c>
      <c r="BQ190">
        <v>358.30672888888887</v>
      </c>
      <c r="BR190">
        <v>2.2664074666666623</v>
      </c>
      <c r="BS190">
        <v>26.873004666666663</v>
      </c>
      <c r="BT190">
        <v>40.309506999999996</v>
      </c>
      <c r="BU190">
        <v>67.18251166666667</v>
      </c>
      <c r="BV190">
        <v>120.928521</v>
      </c>
      <c r="BW190">
        <v>257.55995179999996</v>
      </c>
      <c r="BX190">
        <v>11460.977408199999</v>
      </c>
      <c r="BY190">
        <v>877.95200000000011</v>
      </c>
      <c r="BZ190">
        <v>10583.025408199999</v>
      </c>
      <c r="CA190">
        <v>12602.351999999999</v>
      </c>
      <c r="CB190">
        <v>378.07055999999994</v>
      </c>
      <c r="CC190">
        <v>358.30672888888887</v>
      </c>
      <c r="CD190">
        <v>692.41679999999997</v>
      </c>
      <c r="CE190">
        <v>6.2326205333333213</v>
      </c>
      <c r="CF190">
        <v>75.244413066666652</v>
      </c>
      <c r="CG190">
        <v>112.86661960000001</v>
      </c>
      <c r="CH190">
        <v>178.60551345597335</v>
      </c>
      <c r="CI190">
        <v>188.11103266666669</v>
      </c>
      <c r="CJ190">
        <v>107.49201866666665</v>
      </c>
      <c r="CK190">
        <v>214.9840373333333</v>
      </c>
      <c r="CL190">
        <v>338.59985879999999</v>
      </c>
      <c r="CM190">
        <v>1914.55291412264</v>
      </c>
      <c r="CN190">
        <v>537.46009333333336</v>
      </c>
      <c r="CO190">
        <v>2830.083567455973</v>
      </c>
      <c r="CQ190">
        <v>360.80219178082194</v>
      </c>
      <c r="CR190">
        <v>72.160438356164377</v>
      </c>
      <c r="CS190">
        <v>368.55943890410958</v>
      </c>
      <c r="CT190">
        <v>16275.624303163733</v>
      </c>
      <c r="CY190">
        <v>0</v>
      </c>
      <c r="DB190">
        <v>10535.423999999999</v>
      </c>
      <c r="DE190" s="61">
        <v>16275.624303163733</v>
      </c>
    </row>
    <row r="191" spans="1:109" hidden="1" x14ac:dyDescent="0.3">
      <c r="A191">
        <v>1855</v>
      </c>
      <c r="B191" t="s">
        <v>637</v>
      </c>
      <c r="C191" t="s">
        <v>603</v>
      </c>
      <c r="D191" t="s">
        <v>604</v>
      </c>
      <c r="E191" t="s">
        <v>863</v>
      </c>
      <c r="F191" t="s">
        <v>616</v>
      </c>
      <c r="G191" t="s">
        <v>617</v>
      </c>
      <c r="H191" t="s">
        <v>622</v>
      </c>
      <c r="I191" t="s">
        <v>623</v>
      </c>
      <c r="J191" s="3">
        <v>45586</v>
      </c>
      <c r="K191">
        <v>0.27945205479452057</v>
      </c>
      <c r="L191">
        <v>0</v>
      </c>
      <c r="M191" t="s">
        <v>678</v>
      </c>
      <c r="N191" t="s">
        <v>678</v>
      </c>
      <c r="O191">
        <v>1.0492999999999999</v>
      </c>
      <c r="P191">
        <v>3439.4559999999997</v>
      </c>
      <c r="Q191">
        <v>3439.4559999999997</v>
      </c>
      <c r="R191">
        <v>288.8</v>
      </c>
      <c r="S191">
        <v>303.03783999999996</v>
      </c>
      <c r="T191">
        <v>35.69</v>
      </c>
      <c r="U191">
        <v>338.72783999999996</v>
      </c>
      <c r="V191">
        <v>30.4</v>
      </c>
      <c r="W191">
        <v>8779.52</v>
      </c>
      <c r="AC191">
        <v>750</v>
      </c>
      <c r="AE191">
        <v>41.666666666666664</v>
      </c>
      <c r="AF191">
        <v>877.952</v>
      </c>
      <c r="AG191">
        <v>877.952</v>
      </c>
      <c r="AH191">
        <v>438.97600000000006</v>
      </c>
      <c r="AI191">
        <v>877.95200000000011</v>
      </c>
      <c r="AJ191">
        <v>0</v>
      </c>
      <c r="AK191">
        <v>0</v>
      </c>
      <c r="AL191">
        <v>1755.904</v>
      </c>
      <c r="AM191">
        <v>11852.352000000001</v>
      </c>
      <c r="AN191">
        <v>12644.018666666665</v>
      </c>
      <c r="AO191">
        <v>12602.352000000001</v>
      </c>
      <c r="AQ191">
        <v>9571.1866666666665</v>
      </c>
      <c r="AR191">
        <v>24076.191999999999</v>
      </c>
      <c r="AS191">
        <v>10535.424000000001</v>
      </c>
      <c r="AT191">
        <v>0</v>
      </c>
      <c r="AU191">
        <v>13540.767999999998</v>
      </c>
      <c r="AV191">
        <v>1755.904</v>
      </c>
      <c r="AW191">
        <v>0</v>
      </c>
      <c r="AX191">
        <v>11327.090666666665</v>
      </c>
      <c r="AY191">
        <v>11128.02</v>
      </c>
      <c r="AZ191">
        <v>199.07066666666469</v>
      </c>
      <c r="BA191">
        <v>0.16</v>
      </c>
      <c r="BB191">
        <v>31.85130666666635</v>
      </c>
      <c r="BC191">
        <v>893.63</v>
      </c>
      <c r="BD191">
        <v>925.48130666666634</v>
      </c>
      <c r="BE191">
        <v>0</v>
      </c>
      <c r="BF191">
        <v>925.48130666666634</v>
      </c>
      <c r="BG191">
        <v>26.388888888888889</v>
      </c>
      <c r="BH191">
        <v>0</v>
      </c>
      <c r="BI191">
        <v>365.11672888888887</v>
      </c>
      <c r="BJ191">
        <v>1095.3501866666666</v>
      </c>
      <c r="BK191">
        <v>0</v>
      </c>
      <c r="BL191">
        <v>0</v>
      </c>
      <c r="BM191">
        <v>28.880000000000006</v>
      </c>
      <c r="BN191">
        <v>0</v>
      </c>
      <c r="BO191">
        <v>0</v>
      </c>
      <c r="BP191">
        <v>358.30672888888887</v>
      </c>
      <c r="BQ191">
        <v>358.30672888888887</v>
      </c>
      <c r="BR191">
        <v>2.2664074666666623</v>
      </c>
      <c r="BS191">
        <v>26.873004666666663</v>
      </c>
      <c r="BT191">
        <v>40.309506999999996</v>
      </c>
      <c r="BU191">
        <v>67.18251166666667</v>
      </c>
      <c r="BV191">
        <v>120.928521</v>
      </c>
      <c r="BW191">
        <v>257.55995179999996</v>
      </c>
      <c r="BX191">
        <v>11460.977408199999</v>
      </c>
      <c r="BY191">
        <v>877.95200000000011</v>
      </c>
      <c r="BZ191">
        <v>10583.025408199999</v>
      </c>
      <c r="CA191">
        <v>12602.351999999999</v>
      </c>
      <c r="CB191">
        <v>378.07055999999994</v>
      </c>
      <c r="CC191">
        <v>358.30672888888887</v>
      </c>
      <c r="CD191">
        <v>692.41679999999997</v>
      </c>
      <c r="CE191">
        <v>6.2326205333333213</v>
      </c>
      <c r="CF191">
        <v>75.244413066666652</v>
      </c>
      <c r="CG191">
        <v>112.86661960000001</v>
      </c>
      <c r="CH191">
        <v>178.60551345597335</v>
      </c>
      <c r="CI191">
        <v>188.11103266666669</v>
      </c>
      <c r="CJ191">
        <v>107.49201866666665</v>
      </c>
      <c r="CK191">
        <v>214.9840373333333</v>
      </c>
      <c r="CL191">
        <v>338.59985879999999</v>
      </c>
      <c r="CM191">
        <v>1914.55291412264</v>
      </c>
      <c r="CN191">
        <v>537.46009333333336</v>
      </c>
      <c r="CO191">
        <v>2830.083567455973</v>
      </c>
      <c r="CQ191">
        <v>360.80219178082194</v>
      </c>
      <c r="CR191">
        <v>72.160438356164377</v>
      </c>
      <c r="CS191">
        <v>368.55943890410958</v>
      </c>
      <c r="CT191">
        <v>16275.624303163733</v>
      </c>
      <c r="CY191">
        <v>0</v>
      </c>
      <c r="DB191">
        <v>10535.423999999999</v>
      </c>
      <c r="DE191" s="61">
        <v>16275.624303163733</v>
      </c>
    </row>
    <row r="192" spans="1:109" hidden="1" x14ac:dyDescent="0.3">
      <c r="A192">
        <v>1862</v>
      </c>
      <c r="B192" t="s">
        <v>637</v>
      </c>
      <c r="C192" t="s">
        <v>603</v>
      </c>
      <c r="D192" t="s">
        <v>604</v>
      </c>
      <c r="E192" t="s">
        <v>867</v>
      </c>
      <c r="F192" t="s">
        <v>616</v>
      </c>
      <c r="G192" t="s">
        <v>617</v>
      </c>
      <c r="H192" t="s">
        <v>622</v>
      </c>
      <c r="I192" t="s">
        <v>623</v>
      </c>
      <c r="J192" s="3">
        <v>45593</v>
      </c>
      <c r="K192">
        <v>0.26027397260273971</v>
      </c>
      <c r="L192">
        <v>0</v>
      </c>
      <c r="M192" t="s">
        <v>678</v>
      </c>
      <c r="N192" t="s">
        <v>678</v>
      </c>
      <c r="O192">
        <v>1.0492999999999999</v>
      </c>
      <c r="P192">
        <v>3439.4559999999997</v>
      </c>
      <c r="Q192">
        <v>3439.4559999999997</v>
      </c>
      <c r="R192">
        <v>288.8</v>
      </c>
      <c r="S192">
        <v>303.03783999999996</v>
      </c>
      <c r="T192">
        <v>14.29</v>
      </c>
      <c r="U192">
        <v>317.32783999999998</v>
      </c>
      <c r="V192">
        <v>30.4</v>
      </c>
      <c r="W192">
        <v>8779.52</v>
      </c>
      <c r="AC192">
        <v>750</v>
      </c>
      <c r="AE192">
        <v>41.666666666666664</v>
      </c>
      <c r="AF192">
        <v>877.952</v>
      </c>
      <c r="AG192">
        <v>877.952</v>
      </c>
      <c r="AH192">
        <v>438.97600000000006</v>
      </c>
      <c r="AI192">
        <v>877.95200000000011</v>
      </c>
      <c r="AJ192">
        <v>0</v>
      </c>
      <c r="AK192">
        <v>0</v>
      </c>
      <c r="AL192">
        <v>1755.904</v>
      </c>
      <c r="AM192">
        <v>11852.352000000001</v>
      </c>
      <c r="AN192">
        <v>12644.018666666665</v>
      </c>
      <c r="AO192">
        <v>12602.352000000001</v>
      </c>
      <c r="AQ192">
        <v>9571.1866666666665</v>
      </c>
      <c r="AR192">
        <v>24076.191999999999</v>
      </c>
      <c r="AS192">
        <v>10535.424000000001</v>
      </c>
      <c r="AT192">
        <v>0</v>
      </c>
      <c r="AU192">
        <v>13540.767999999998</v>
      </c>
      <c r="AV192">
        <v>1755.904</v>
      </c>
      <c r="AW192">
        <v>0</v>
      </c>
      <c r="AX192">
        <v>11327.090666666665</v>
      </c>
      <c r="AY192">
        <v>11128.02</v>
      </c>
      <c r="AZ192">
        <v>199.07066666666469</v>
      </c>
      <c r="BA192">
        <v>0.16</v>
      </c>
      <c r="BB192">
        <v>31.85130666666635</v>
      </c>
      <c r="BC192">
        <v>893.63</v>
      </c>
      <c r="BD192">
        <v>925.48130666666634</v>
      </c>
      <c r="BE192">
        <v>0</v>
      </c>
      <c r="BF192">
        <v>925.48130666666634</v>
      </c>
      <c r="BG192">
        <v>26.388888888888889</v>
      </c>
      <c r="BH192">
        <v>0</v>
      </c>
      <c r="BI192">
        <v>343.71672888888889</v>
      </c>
      <c r="BJ192">
        <v>1031.1501866666667</v>
      </c>
      <c r="BK192">
        <v>0</v>
      </c>
      <c r="BL192">
        <v>0</v>
      </c>
      <c r="BM192">
        <v>28.880000000000006</v>
      </c>
      <c r="BN192">
        <v>0</v>
      </c>
      <c r="BO192">
        <v>0</v>
      </c>
      <c r="BP192">
        <v>358.30672888888887</v>
      </c>
      <c r="BQ192">
        <v>358.30672888888887</v>
      </c>
      <c r="BR192">
        <v>2.2664074666666623</v>
      </c>
      <c r="BS192">
        <v>26.873004666666663</v>
      </c>
      <c r="BT192">
        <v>40.309506999999996</v>
      </c>
      <c r="BU192">
        <v>67.18251166666667</v>
      </c>
      <c r="BV192">
        <v>120.928521</v>
      </c>
      <c r="BW192">
        <v>257.55995179999996</v>
      </c>
      <c r="BX192">
        <v>11460.977408199999</v>
      </c>
      <c r="BY192">
        <v>877.95200000000011</v>
      </c>
      <c r="BZ192">
        <v>10583.025408199999</v>
      </c>
      <c r="CA192">
        <v>12602.351999999999</v>
      </c>
      <c r="CB192">
        <v>378.07055999999994</v>
      </c>
      <c r="CC192">
        <v>358.30672888888887</v>
      </c>
      <c r="CD192">
        <v>692.41679999999997</v>
      </c>
      <c r="CE192">
        <v>6.2326205333333213</v>
      </c>
      <c r="CF192">
        <v>75.244413066666652</v>
      </c>
      <c r="CG192">
        <v>112.86661960000001</v>
      </c>
      <c r="CH192">
        <v>178.60551345597335</v>
      </c>
      <c r="CI192">
        <v>188.11103266666669</v>
      </c>
      <c r="CJ192">
        <v>107.49201866666665</v>
      </c>
      <c r="CK192">
        <v>214.9840373333333</v>
      </c>
      <c r="CL192">
        <v>338.59985879999999</v>
      </c>
      <c r="CM192">
        <v>1914.55291412264</v>
      </c>
      <c r="CN192">
        <v>537.46009333333336</v>
      </c>
      <c r="CO192">
        <v>2830.083567455973</v>
      </c>
      <c r="CQ192">
        <v>360.80219178082194</v>
      </c>
      <c r="CR192">
        <v>72.160438356164377</v>
      </c>
      <c r="CS192">
        <v>368.55943890410958</v>
      </c>
      <c r="CT192">
        <v>16275.624303163733</v>
      </c>
      <c r="CY192">
        <v>0</v>
      </c>
      <c r="DB192">
        <v>10535.423999999999</v>
      </c>
      <c r="DE192" s="61">
        <v>16275.624303163733</v>
      </c>
    </row>
    <row r="193" spans="1:109" hidden="1" x14ac:dyDescent="0.3">
      <c r="A193">
        <v>1863</v>
      </c>
      <c r="B193" t="s">
        <v>637</v>
      </c>
      <c r="C193" t="s">
        <v>603</v>
      </c>
      <c r="D193" t="s">
        <v>604</v>
      </c>
      <c r="E193" t="s">
        <v>868</v>
      </c>
      <c r="F193" t="s">
        <v>616</v>
      </c>
      <c r="G193" t="s">
        <v>617</v>
      </c>
      <c r="H193" t="s">
        <v>622</v>
      </c>
      <c r="I193" t="s">
        <v>623</v>
      </c>
      <c r="J193" s="3">
        <v>45593</v>
      </c>
      <c r="K193">
        <v>0.26027397260273971</v>
      </c>
      <c r="L193">
        <v>0</v>
      </c>
      <c r="M193" t="s">
        <v>678</v>
      </c>
      <c r="N193" t="s">
        <v>678</v>
      </c>
      <c r="O193">
        <v>1.0492999999999999</v>
      </c>
      <c r="P193">
        <v>3439.4559999999997</v>
      </c>
      <c r="Q193">
        <v>3439.4559999999997</v>
      </c>
      <c r="R193">
        <v>288.8</v>
      </c>
      <c r="S193">
        <v>303.03783999999996</v>
      </c>
      <c r="T193">
        <v>12.1</v>
      </c>
      <c r="U193">
        <v>315.13783999999998</v>
      </c>
      <c r="V193">
        <v>30.4</v>
      </c>
      <c r="W193">
        <v>8779.52</v>
      </c>
      <c r="AC193">
        <v>750</v>
      </c>
      <c r="AE193">
        <v>41.666666666666664</v>
      </c>
      <c r="AF193">
        <v>877.952</v>
      </c>
      <c r="AG193">
        <v>877.952</v>
      </c>
      <c r="AH193">
        <v>438.97600000000006</v>
      </c>
      <c r="AI193">
        <v>877.95200000000011</v>
      </c>
      <c r="AJ193">
        <v>0</v>
      </c>
      <c r="AK193">
        <v>0</v>
      </c>
      <c r="AL193">
        <v>1755.904</v>
      </c>
      <c r="AM193">
        <v>11852.352000000001</v>
      </c>
      <c r="AN193">
        <v>12644.018666666665</v>
      </c>
      <c r="AO193">
        <v>12602.352000000001</v>
      </c>
      <c r="AQ193">
        <v>9571.1866666666665</v>
      </c>
      <c r="AR193">
        <v>24076.191999999999</v>
      </c>
      <c r="AS193">
        <v>10535.424000000001</v>
      </c>
      <c r="AT193">
        <v>0</v>
      </c>
      <c r="AU193">
        <v>13540.767999999998</v>
      </c>
      <c r="AV193">
        <v>1755.904</v>
      </c>
      <c r="AW193">
        <v>0</v>
      </c>
      <c r="AX193">
        <v>11327.090666666665</v>
      </c>
      <c r="AY193">
        <v>11128.02</v>
      </c>
      <c r="AZ193">
        <v>199.07066666666469</v>
      </c>
      <c r="BA193">
        <v>0.16</v>
      </c>
      <c r="BB193">
        <v>31.85130666666635</v>
      </c>
      <c r="BC193">
        <v>893.63</v>
      </c>
      <c r="BD193">
        <v>925.48130666666634</v>
      </c>
      <c r="BE193">
        <v>0</v>
      </c>
      <c r="BF193">
        <v>925.48130666666634</v>
      </c>
      <c r="BG193">
        <v>26.388888888888889</v>
      </c>
      <c r="BH193">
        <v>0</v>
      </c>
      <c r="BI193">
        <v>341.5267288888889</v>
      </c>
      <c r="BJ193">
        <v>1024.5801866666668</v>
      </c>
      <c r="BK193">
        <v>0</v>
      </c>
      <c r="BL193">
        <v>0</v>
      </c>
      <c r="BM193">
        <v>28.880000000000006</v>
      </c>
      <c r="BN193">
        <v>0</v>
      </c>
      <c r="BO193">
        <v>0</v>
      </c>
      <c r="BP193">
        <v>358.30672888888887</v>
      </c>
      <c r="BQ193">
        <v>358.30672888888887</v>
      </c>
      <c r="BR193">
        <v>2.2664074666666623</v>
      </c>
      <c r="BS193">
        <v>26.873004666666663</v>
      </c>
      <c r="BT193">
        <v>40.309506999999996</v>
      </c>
      <c r="BU193">
        <v>67.18251166666667</v>
      </c>
      <c r="BV193">
        <v>120.928521</v>
      </c>
      <c r="BW193">
        <v>257.55995179999996</v>
      </c>
      <c r="BX193">
        <v>11460.977408199999</v>
      </c>
      <c r="BY193">
        <v>877.95200000000011</v>
      </c>
      <c r="BZ193">
        <v>10583.025408199999</v>
      </c>
      <c r="CA193">
        <v>12602.351999999999</v>
      </c>
      <c r="CB193">
        <v>378.07055999999994</v>
      </c>
      <c r="CC193">
        <v>358.30672888888887</v>
      </c>
      <c r="CD193">
        <v>692.41679999999997</v>
      </c>
      <c r="CE193">
        <v>6.2326205333333213</v>
      </c>
      <c r="CF193">
        <v>75.244413066666652</v>
      </c>
      <c r="CG193">
        <v>112.86661960000001</v>
      </c>
      <c r="CH193">
        <v>178.60551345597335</v>
      </c>
      <c r="CI193">
        <v>188.11103266666669</v>
      </c>
      <c r="CJ193">
        <v>107.49201866666665</v>
      </c>
      <c r="CK193">
        <v>214.9840373333333</v>
      </c>
      <c r="CL193">
        <v>338.59985879999999</v>
      </c>
      <c r="CM193">
        <v>1914.55291412264</v>
      </c>
      <c r="CN193">
        <v>537.46009333333336</v>
      </c>
      <c r="CO193">
        <v>2830.083567455973</v>
      </c>
      <c r="CQ193">
        <v>360.80219178082194</v>
      </c>
      <c r="CR193">
        <v>72.160438356164377</v>
      </c>
      <c r="CS193">
        <v>368.55943890410958</v>
      </c>
      <c r="CT193">
        <v>16275.624303163733</v>
      </c>
      <c r="CY193">
        <v>0</v>
      </c>
      <c r="DB193">
        <v>10535.423999999999</v>
      </c>
      <c r="DE193" s="61">
        <v>16275.624303163733</v>
      </c>
    </row>
    <row r="194" spans="1:109" hidden="1" x14ac:dyDescent="0.3">
      <c r="A194">
        <v>1868</v>
      </c>
      <c r="B194" t="s">
        <v>637</v>
      </c>
      <c r="C194" t="s">
        <v>603</v>
      </c>
      <c r="D194" t="s">
        <v>604</v>
      </c>
      <c r="E194" t="s">
        <v>869</v>
      </c>
      <c r="F194" t="s">
        <v>616</v>
      </c>
      <c r="G194" t="s">
        <v>617</v>
      </c>
      <c r="H194" t="s">
        <v>622</v>
      </c>
      <c r="I194" t="s">
        <v>623</v>
      </c>
      <c r="J194" s="3">
        <v>45600</v>
      </c>
      <c r="K194">
        <v>0.24109589041095891</v>
      </c>
      <c r="L194">
        <v>0</v>
      </c>
      <c r="M194" t="s">
        <v>678</v>
      </c>
      <c r="N194" t="s">
        <v>678</v>
      </c>
      <c r="O194">
        <v>1.0492999999999999</v>
      </c>
      <c r="P194">
        <v>3439.4559999999997</v>
      </c>
      <c r="Q194">
        <v>3439.4559999999997</v>
      </c>
      <c r="R194">
        <v>288.8</v>
      </c>
      <c r="S194">
        <v>303.03783999999996</v>
      </c>
      <c r="T194">
        <v>15.23</v>
      </c>
      <c r="U194">
        <v>318.26783999999998</v>
      </c>
      <c r="V194">
        <v>30.4</v>
      </c>
      <c r="W194">
        <v>8779.52</v>
      </c>
      <c r="AC194">
        <v>750</v>
      </c>
      <c r="AE194">
        <v>41.666666666666664</v>
      </c>
      <c r="AF194">
        <v>877.952</v>
      </c>
      <c r="AG194">
        <v>877.952</v>
      </c>
      <c r="AH194">
        <v>438.97600000000006</v>
      </c>
      <c r="AI194">
        <v>877.95200000000011</v>
      </c>
      <c r="AJ194">
        <v>0</v>
      </c>
      <c r="AK194">
        <v>0</v>
      </c>
      <c r="AL194">
        <v>1755.904</v>
      </c>
      <c r="AM194">
        <v>11852.352000000001</v>
      </c>
      <c r="AN194">
        <v>12644.018666666665</v>
      </c>
      <c r="AO194">
        <v>12602.352000000001</v>
      </c>
      <c r="AQ194">
        <v>9571.1866666666665</v>
      </c>
      <c r="AR194">
        <v>24076.191999999999</v>
      </c>
      <c r="AS194">
        <v>10535.424000000001</v>
      </c>
      <c r="AT194">
        <v>0</v>
      </c>
      <c r="AU194">
        <v>13540.767999999998</v>
      </c>
      <c r="AV194">
        <v>1755.904</v>
      </c>
      <c r="AW194">
        <v>0</v>
      </c>
      <c r="AX194">
        <v>11327.090666666665</v>
      </c>
      <c r="AY194">
        <v>11128.02</v>
      </c>
      <c r="AZ194">
        <v>199.07066666666469</v>
      </c>
      <c r="BA194">
        <v>0.16</v>
      </c>
      <c r="BB194">
        <v>31.85130666666635</v>
      </c>
      <c r="BC194">
        <v>893.63</v>
      </c>
      <c r="BD194">
        <v>925.48130666666634</v>
      </c>
      <c r="BE194">
        <v>0</v>
      </c>
      <c r="BF194">
        <v>925.48130666666634</v>
      </c>
      <c r="BG194">
        <v>26.388888888888889</v>
      </c>
      <c r="BH194">
        <v>0</v>
      </c>
      <c r="BI194">
        <v>344.65672888888889</v>
      </c>
      <c r="BJ194">
        <v>1033.9701866666667</v>
      </c>
      <c r="BK194">
        <v>0</v>
      </c>
      <c r="BL194">
        <v>0</v>
      </c>
      <c r="BM194">
        <v>28.880000000000006</v>
      </c>
      <c r="BN194">
        <v>0</v>
      </c>
      <c r="BO194">
        <v>0</v>
      </c>
      <c r="BP194">
        <v>358.30672888888887</v>
      </c>
      <c r="BQ194">
        <v>358.30672888888887</v>
      </c>
      <c r="BR194">
        <v>2.2664074666666623</v>
      </c>
      <c r="BS194">
        <v>26.873004666666663</v>
      </c>
      <c r="BT194">
        <v>40.309506999999996</v>
      </c>
      <c r="BU194">
        <v>67.18251166666667</v>
      </c>
      <c r="BV194">
        <v>120.928521</v>
      </c>
      <c r="BW194">
        <v>257.55995179999996</v>
      </c>
      <c r="BX194">
        <v>11460.977408199999</v>
      </c>
      <c r="BY194">
        <v>877.95200000000011</v>
      </c>
      <c r="BZ194">
        <v>10583.025408199999</v>
      </c>
      <c r="CA194">
        <v>12602.351999999999</v>
      </c>
      <c r="CB194">
        <v>378.07055999999994</v>
      </c>
      <c r="CC194">
        <v>358.30672888888887</v>
      </c>
      <c r="CD194">
        <v>692.41679999999997</v>
      </c>
      <c r="CE194">
        <v>6.2326205333333213</v>
      </c>
      <c r="CF194">
        <v>75.244413066666652</v>
      </c>
      <c r="CG194">
        <v>112.86661960000001</v>
      </c>
      <c r="CH194">
        <v>178.60551345597335</v>
      </c>
      <c r="CI194">
        <v>188.11103266666669</v>
      </c>
      <c r="CJ194">
        <v>107.49201866666665</v>
      </c>
      <c r="CK194">
        <v>214.9840373333333</v>
      </c>
      <c r="CL194">
        <v>338.59985879999999</v>
      </c>
      <c r="CM194">
        <v>1914.55291412264</v>
      </c>
      <c r="CN194">
        <v>537.46009333333336</v>
      </c>
      <c r="CO194">
        <v>2830.083567455973</v>
      </c>
      <c r="CQ194">
        <v>360.80219178082194</v>
      </c>
      <c r="CR194">
        <v>72.160438356164377</v>
      </c>
      <c r="CS194">
        <v>368.55943890410958</v>
      </c>
      <c r="CT194">
        <v>16275.624303163733</v>
      </c>
      <c r="CY194">
        <v>0</v>
      </c>
      <c r="DB194">
        <v>10535.423999999999</v>
      </c>
      <c r="DE194" s="61">
        <v>16275.624303163733</v>
      </c>
    </row>
    <row r="195" spans="1:109" hidden="1" x14ac:dyDescent="0.3">
      <c r="A195">
        <v>1872</v>
      </c>
      <c r="B195" t="s">
        <v>637</v>
      </c>
      <c r="C195" t="s">
        <v>603</v>
      </c>
      <c r="D195" t="s">
        <v>604</v>
      </c>
      <c r="E195" t="s">
        <v>871</v>
      </c>
      <c r="F195" t="s">
        <v>616</v>
      </c>
      <c r="G195" t="s">
        <v>617</v>
      </c>
      <c r="H195" t="s">
        <v>622</v>
      </c>
      <c r="I195" t="s">
        <v>623</v>
      </c>
      <c r="J195" s="3">
        <v>45602</v>
      </c>
      <c r="K195">
        <v>0.23561643835616439</v>
      </c>
      <c r="L195">
        <v>0</v>
      </c>
      <c r="M195" t="s">
        <v>678</v>
      </c>
      <c r="N195" t="s">
        <v>678</v>
      </c>
      <c r="O195">
        <v>1.0492999999999999</v>
      </c>
      <c r="P195">
        <v>3439.4559999999997</v>
      </c>
      <c r="Q195">
        <v>3439.4559999999997</v>
      </c>
      <c r="R195">
        <v>288.8</v>
      </c>
      <c r="S195">
        <v>303.03783999999996</v>
      </c>
      <c r="T195">
        <v>13.79</v>
      </c>
      <c r="U195">
        <v>316.82783999999998</v>
      </c>
      <c r="V195">
        <v>30.4</v>
      </c>
      <c r="W195">
        <v>8779.52</v>
      </c>
      <c r="AC195">
        <v>750</v>
      </c>
      <c r="AE195">
        <v>41.666666666666664</v>
      </c>
      <c r="AF195">
        <v>877.952</v>
      </c>
      <c r="AG195">
        <v>877.952</v>
      </c>
      <c r="AH195">
        <v>438.97600000000006</v>
      </c>
      <c r="AI195">
        <v>877.95200000000011</v>
      </c>
      <c r="AJ195">
        <v>0</v>
      </c>
      <c r="AK195">
        <v>0</v>
      </c>
      <c r="AL195">
        <v>1755.904</v>
      </c>
      <c r="AM195">
        <v>11852.352000000001</v>
      </c>
      <c r="AN195">
        <v>12644.018666666665</v>
      </c>
      <c r="AO195">
        <v>12602.352000000001</v>
      </c>
      <c r="AQ195">
        <v>9571.1866666666665</v>
      </c>
      <c r="AR195">
        <v>24076.191999999999</v>
      </c>
      <c r="AS195">
        <v>10535.424000000001</v>
      </c>
      <c r="AT195">
        <v>0</v>
      </c>
      <c r="AU195">
        <v>13540.767999999998</v>
      </c>
      <c r="AV195">
        <v>1755.904</v>
      </c>
      <c r="AW195">
        <v>0</v>
      </c>
      <c r="AX195">
        <v>11327.090666666665</v>
      </c>
      <c r="AY195">
        <v>11128.02</v>
      </c>
      <c r="AZ195">
        <v>199.07066666666469</v>
      </c>
      <c r="BA195">
        <v>0.16</v>
      </c>
      <c r="BB195">
        <v>31.85130666666635</v>
      </c>
      <c r="BC195">
        <v>893.63</v>
      </c>
      <c r="BD195">
        <v>925.48130666666634</v>
      </c>
      <c r="BE195">
        <v>0</v>
      </c>
      <c r="BF195">
        <v>925.48130666666634</v>
      </c>
      <c r="BG195">
        <v>26.388888888888889</v>
      </c>
      <c r="BH195">
        <v>0</v>
      </c>
      <c r="BI195">
        <v>343.21672888888889</v>
      </c>
      <c r="BJ195">
        <v>1029.6501866666667</v>
      </c>
      <c r="BK195">
        <v>0</v>
      </c>
      <c r="BL195">
        <v>0</v>
      </c>
      <c r="BM195">
        <v>28.880000000000006</v>
      </c>
      <c r="BN195">
        <v>0</v>
      </c>
      <c r="BO195">
        <v>0</v>
      </c>
      <c r="BP195">
        <v>358.30672888888887</v>
      </c>
      <c r="BQ195">
        <v>358.30672888888887</v>
      </c>
      <c r="BR195">
        <v>2.2664074666666623</v>
      </c>
      <c r="BS195">
        <v>26.873004666666663</v>
      </c>
      <c r="BT195">
        <v>40.309506999999996</v>
      </c>
      <c r="BU195">
        <v>67.18251166666667</v>
      </c>
      <c r="BV195">
        <v>120.928521</v>
      </c>
      <c r="BW195">
        <v>257.55995179999996</v>
      </c>
      <c r="BX195">
        <v>11460.977408199999</v>
      </c>
      <c r="BY195">
        <v>877.95200000000011</v>
      </c>
      <c r="BZ195">
        <v>10583.025408199999</v>
      </c>
      <c r="CA195">
        <v>12602.351999999999</v>
      </c>
      <c r="CB195">
        <v>378.07055999999994</v>
      </c>
      <c r="CC195">
        <v>358.30672888888887</v>
      </c>
      <c r="CD195">
        <v>692.41679999999997</v>
      </c>
      <c r="CE195">
        <v>6.2326205333333213</v>
      </c>
      <c r="CF195">
        <v>75.244413066666652</v>
      </c>
      <c r="CG195">
        <v>112.86661960000001</v>
      </c>
      <c r="CH195">
        <v>178.60551345597335</v>
      </c>
      <c r="CI195">
        <v>188.11103266666669</v>
      </c>
      <c r="CJ195">
        <v>107.49201866666665</v>
      </c>
      <c r="CK195">
        <v>214.9840373333333</v>
      </c>
      <c r="CL195">
        <v>338.59985879999999</v>
      </c>
      <c r="CM195">
        <v>1914.55291412264</v>
      </c>
      <c r="CN195">
        <v>537.46009333333336</v>
      </c>
      <c r="CO195">
        <v>2830.083567455973</v>
      </c>
      <c r="CQ195">
        <v>360.80219178082194</v>
      </c>
      <c r="CR195">
        <v>72.160438356164377</v>
      </c>
      <c r="CS195">
        <v>368.55943890410958</v>
      </c>
      <c r="CT195">
        <v>16275.624303163733</v>
      </c>
      <c r="CY195">
        <v>0</v>
      </c>
      <c r="DB195">
        <v>10535.423999999999</v>
      </c>
      <c r="DE195" s="61">
        <v>16275.624303163733</v>
      </c>
    </row>
    <row r="196" spans="1:109" hidden="1" x14ac:dyDescent="0.3">
      <c r="A196">
        <v>1889</v>
      </c>
      <c r="B196" t="s">
        <v>602</v>
      </c>
      <c r="C196" t="s">
        <v>603</v>
      </c>
      <c r="D196" t="s">
        <v>604</v>
      </c>
      <c r="E196" t="s">
        <v>882</v>
      </c>
      <c r="F196" t="s">
        <v>616</v>
      </c>
      <c r="G196" t="s">
        <v>640</v>
      </c>
      <c r="H196" t="s">
        <v>622</v>
      </c>
      <c r="I196" t="s">
        <v>623</v>
      </c>
      <c r="J196" s="3">
        <v>45630</v>
      </c>
      <c r="K196">
        <v>0.15890410958904111</v>
      </c>
      <c r="L196">
        <v>0</v>
      </c>
      <c r="M196" t="s">
        <v>678</v>
      </c>
      <c r="N196" t="s">
        <v>678</v>
      </c>
      <c r="O196">
        <v>1.0492999999999999</v>
      </c>
      <c r="P196">
        <v>3439.4559999999997</v>
      </c>
      <c r="Q196">
        <v>3439.4559999999997</v>
      </c>
      <c r="R196">
        <v>288.8</v>
      </c>
      <c r="S196">
        <v>303.03783999999996</v>
      </c>
      <c r="T196">
        <v>13.95</v>
      </c>
      <c r="U196">
        <v>316.98783999999995</v>
      </c>
      <c r="V196">
        <v>30.4</v>
      </c>
      <c r="W196">
        <v>8779.52</v>
      </c>
      <c r="AC196">
        <v>750</v>
      </c>
      <c r="AE196">
        <v>41.666666666666664</v>
      </c>
      <c r="AF196">
        <v>877.952</v>
      </c>
      <c r="AG196">
        <v>877.952</v>
      </c>
      <c r="AH196">
        <v>438.97600000000006</v>
      </c>
      <c r="AI196">
        <v>877.95200000000011</v>
      </c>
      <c r="AJ196">
        <v>0</v>
      </c>
      <c r="AK196">
        <v>0</v>
      </c>
      <c r="AL196">
        <v>1755.904</v>
      </c>
      <c r="AM196">
        <v>11852.352000000001</v>
      </c>
      <c r="AN196">
        <v>12644.018666666665</v>
      </c>
      <c r="AO196">
        <v>12602.352000000001</v>
      </c>
      <c r="AQ196">
        <v>9571.1866666666665</v>
      </c>
      <c r="AR196">
        <v>24076.191999999999</v>
      </c>
      <c r="AS196">
        <v>10535.424000000001</v>
      </c>
      <c r="AT196">
        <v>0</v>
      </c>
      <c r="AU196">
        <v>13540.767999999998</v>
      </c>
      <c r="AV196">
        <v>1755.904</v>
      </c>
      <c r="AW196">
        <v>0</v>
      </c>
      <c r="AX196">
        <v>11327.090666666665</v>
      </c>
      <c r="AY196">
        <v>11128.02</v>
      </c>
      <c r="AZ196">
        <v>199.07066666666469</v>
      </c>
      <c r="BA196">
        <v>0.16</v>
      </c>
      <c r="BB196">
        <v>31.85130666666635</v>
      </c>
      <c r="BC196">
        <v>893.63</v>
      </c>
      <c r="BD196">
        <v>925.48130666666634</v>
      </c>
      <c r="BE196">
        <v>0</v>
      </c>
      <c r="BF196">
        <v>925.48130666666634</v>
      </c>
      <c r="BG196">
        <v>26.388888888888889</v>
      </c>
      <c r="BH196">
        <v>0</v>
      </c>
      <c r="BI196">
        <v>343.37672888888886</v>
      </c>
      <c r="BJ196">
        <v>1030.1301866666668</v>
      </c>
      <c r="BK196">
        <v>0</v>
      </c>
      <c r="BL196">
        <v>0</v>
      </c>
      <c r="BM196">
        <v>28.880000000000006</v>
      </c>
      <c r="BN196">
        <v>0</v>
      </c>
      <c r="BO196">
        <v>0</v>
      </c>
      <c r="BP196">
        <v>358.30672888888887</v>
      </c>
      <c r="BQ196">
        <v>358.30672888888887</v>
      </c>
      <c r="BR196">
        <v>2.2664074666666623</v>
      </c>
      <c r="BS196">
        <v>26.873004666666663</v>
      </c>
      <c r="BT196">
        <v>40.309506999999996</v>
      </c>
      <c r="BU196">
        <v>67.18251166666667</v>
      </c>
      <c r="BV196">
        <v>120.928521</v>
      </c>
      <c r="BW196">
        <v>257.55995179999996</v>
      </c>
      <c r="BX196">
        <v>11460.977408199999</v>
      </c>
      <c r="BY196">
        <v>877.95200000000011</v>
      </c>
      <c r="BZ196">
        <v>10583.025408199999</v>
      </c>
      <c r="CA196">
        <v>12602.351999999999</v>
      </c>
      <c r="CB196">
        <v>378.07055999999994</v>
      </c>
      <c r="CC196">
        <v>358.30672888888887</v>
      </c>
      <c r="CD196">
        <v>692.41679999999997</v>
      </c>
      <c r="CE196">
        <v>6.2326205333333213</v>
      </c>
      <c r="CF196">
        <v>75.244413066666652</v>
      </c>
      <c r="CG196">
        <v>112.86661960000001</v>
      </c>
      <c r="CH196">
        <v>178.60551345597335</v>
      </c>
      <c r="CI196">
        <v>188.11103266666669</v>
      </c>
      <c r="CJ196">
        <v>107.49201866666665</v>
      </c>
      <c r="CK196">
        <v>214.9840373333333</v>
      </c>
      <c r="CL196">
        <v>338.59985879999999</v>
      </c>
      <c r="CM196">
        <v>1914.55291412264</v>
      </c>
      <c r="CN196">
        <v>537.46009333333336</v>
      </c>
      <c r="CO196">
        <v>2830.083567455973</v>
      </c>
      <c r="CQ196">
        <v>360.80219178082194</v>
      </c>
      <c r="CR196">
        <v>72.160438356164377</v>
      </c>
      <c r="CS196">
        <v>368.55943890410958</v>
      </c>
      <c r="CT196">
        <v>16275.624303163733</v>
      </c>
      <c r="CY196">
        <v>0</v>
      </c>
      <c r="DB196">
        <v>10535.423999999999</v>
      </c>
      <c r="DE196" s="61">
        <v>16275.624303163733</v>
      </c>
    </row>
    <row r="197" spans="1:109" hidden="1" x14ac:dyDescent="0.3">
      <c r="A197">
        <v>1901</v>
      </c>
      <c r="B197" t="s">
        <v>637</v>
      </c>
      <c r="C197" t="s">
        <v>603</v>
      </c>
      <c r="D197" t="s">
        <v>604</v>
      </c>
      <c r="E197" t="s">
        <v>889</v>
      </c>
      <c r="F197" t="s">
        <v>616</v>
      </c>
      <c r="G197" t="s">
        <v>617</v>
      </c>
      <c r="H197" t="s">
        <v>622</v>
      </c>
      <c r="I197" t="s">
        <v>623</v>
      </c>
      <c r="J197" s="3">
        <v>45643</v>
      </c>
      <c r="K197">
        <v>0.12328767123287671</v>
      </c>
      <c r="L197">
        <v>0</v>
      </c>
      <c r="M197" t="s">
        <v>678</v>
      </c>
      <c r="N197" t="s">
        <v>678</v>
      </c>
      <c r="O197">
        <v>1.0492999999999999</v>
      </c>
      <c r="P197">
        <v>3439.4559999999997</v>
      </c>
      <c r="Q197">
        <v>3439.4559999999997</v>
      </c>
      <c r="R197">
        <v>288.8</v>
      </c>
      <c r="S197">
        <v>303.03783999999996</v>
      </c>
      <c r="T197">
        <v>20.92</v>
      </c>
      <c r="U197">
        <v>323.95783999999998</v>
      </c>
      <c r="V197">
        <v>30.4</v>
      </c>
      <c r="W197">
        <v>8779.52</v>
      </c>
      <c r="AC197">
        <v>750</v>
      </c>
      <c r="AE197">
        <v>41.666666666666664</v>
      </c>
      <c r="AF197">
        <v>877.952</v>
      </c>
      <c r="AG197">
        <v>877.952</v>
      </c>
      <c r="AH197">
        <v>438.97600000000006</v>
      </c>
      <c r="AI197">
        <v>877.95200000000011</v>
      </c>
      <c r="AJ197">
        <v>0</v>
      </c>
      <c r="AK197">
        <v>0</v>
      </c>
      <c r="AL197">
        <v>1755.904</v>
      </c>
      <c r="AM197">
        <v>11852.352000000001</v>
      </c>
      <c r="AN197">
        <v>12644.018666666665</v>
      </c>
      <c r="AO197">
        <v>12602.352000000001</v>
      </c>
      <c r="AQ197">
        <v>9571.1866666666665</v>
      </c>
      <c r="AR197">
        <v>24076.191999999999</v>
      </c>
      <c r="AS197">
        <v>10535.424000000001</v>
      </c>
      <c r="AT197">
        <v>0</v>
      </c>
      <c r="AU197">
        <v>13540.767999999998</v>
      </c>
      <c r="AV197">
        <v>1755.904</v>
      </c>
      <c r="AW197">
        <v>0</v>
      </c>
      <c r="AX197">
        <v>11327.090666666665</v>
      </c>
      <c r="AY197">
        <v>11128.02</v>
      </c>
      <c r="AZ197">
        <v>199.07066666666469</v>
      </c>
      <c r="BA197">
        <v>0.16</v>
      </c>
      <c r="BB197">
        <v>31.85130666666635</v>
      </c>
      <c r="BC197">
        <v>893.63</v>
      </c>
      <c r="BD197">
        <v>925.48130666666634</v>
      </c>
      <c r="BE197">
        <v>0</v>
      </c>
      <c r="BF197">
        <v>925.48130666666634</v>
      </c>
      <c r="BG197">
        <v>26.388888888888889</v>
      </c>
      <c r="BH197">
        <v>0</v>
      </c>
      <c r="BI197">
        <v>350.34672888888889</v>
      </c>
      <c r="BJ197">
        <v>1051.0401866666668</v>
      </c>
      <c r="BK197">
        <v>0</v>
      </c>
      <c r="BL197">
        <v>0</v>
      </c>
      <c r="BM197">
        <v>28.880000000000006</v>
      </c>
      <c r="BN197">
        <v>0</v>
      </c>
      <c r="BO197">
        <v>0</v>
      </c>
      <c r="BP197">
        <v>358.30672888888887</v>
      </c>
      <c r="BQ197">
        <v>358.30672888888887</v>
      </c>
      <c r="BR197">
        <v>2.2664074666666623</v>
      </c>
      <c r="BS197">
        <v>26.873004666666663</v>
      </c>
      <c r="BT197">
        <v>40.309506999999996</v>
      </c>
      <c r="BU197">
        <v>67.18251166666667</v>
      </c>
      <c r="BV197">
        <v>120.928521</v>
      </c>
      <c r="BW197">
        <v>257.55995179999996</v>
      </c>
      <c r="BX197">
        <v>11460.977408199999</v>
      </c>
      <c r="BY197">
        <v>877.95200000000011</v>
      </c>
      <c r="BZ197">
        <v>10583.025408199999</v>
      </c>
      <c r="CA197">
        <v>12602.351999999999</v>
      </c>
      <c r="CB197">
        <v>378.07055999999994</v>
      </c>
      <c r="CC197">
        <v>358.30672888888887</v>
      </c>
      <c r="CD197">
        <v>692.41679999999997</v>
      </c>
      <c r="CE197">
        <v>6.2326205333333213</v>
      </c>
      <c r="CF197">
        <v>75.244413066666652</v>
      </c>
      <c r="CG197">
        <v>112.86661960000001</v>
      </c>
      <c r="CH197">
        <v>178.60551345597335</v>
      </c>
      <c r="CI197">
        <v>188.11103266666669</v>
      </c>
      <c r="CJ197">
        <v>107.49201866666665</v>
      </c>
      <c r="CK197">
        <v>214.9840373333333</v>
      </c>
      <c r="CL197">
        <v>338.59985879999999</v>
      </c>
      <c r="CM197">
        <v>1914.55291412264</v>
      </c>
      <c r="CN197">
        <v>537.46009333333336</v>
      </c>
      <c r="CO197">
        <v>2830.083567455973</v>
      </c>
      <c r="CQ197">
        <v>360.80219178082194</v>
      </c>
      <c r="CR197">
        <v>72.160438356164377</v>
      </c>
      <c r="CS197">
        <v>368.55943890410958</v>
      </c>
      <c r="CT197">
        <v>16275.624303163733</v>
      </c>
      <c r="CY197">
        <v>0</v>
      </c>
      <c r="DB197">
        <v>10535.423999999999</v>
      </c>
      <c r="DE197" s="61">
        <v>16275.624303163733</v>
      </c>
    </row>
    <row r="198" spans="1:109" hidden="1" x14ac:dyDescent="0.3">
      <c r="A198">
        <v>1909</v>
      </c>
      <c r="B198" t="s">
        <v>611</v>
      </c>
      <c r="C198" t="s">
        <v>603</v>
      </c>
      <c r="D198" t="s">
        <v>604</v>
      </c>
      <c r="E198" t="s">
        <v>894</v>
      </c>
      <c r="F198" t="s">
        <v>616</v>
      </c>
      <c r="G198" t="s">
        <v>617</v>
      </c>
      <c r="H198" t="s">
        <v>608</v>
      </c>
      <c r="I198" t="s">
        <v>609</v>
      </c>
      <c r="J198" s="3">
        <v>45664</v>
      </c>
      <c r="K198">
        <v>6.575342465753424E-2</v>
      </c>
      <c r="L198">
        <v>0</v>
      </c>
      <c r="M198" t="s">
        <v>678</v>
      </c>
      <c r="N198" t="s">
        <v>678</v>
      </c>
      <c r="O198">
        <v>1.0492999999999999</v>
      </c>
      <c r="P198">
        <v>3439.4559999999997</v>
      </c>
      <c r="Q198">
        <v>3439.4559999999997</v>
      </c>
      <c r="R198">
        <v>288.8</v>
      </c>
      <c r="S198">
        <v>303.03783999999996</v>
      </c>
      <c r="T198">
        <v>0</v>
      </c>
      <c r="U198">
        <v>303.03783999999996</v>
      </c>
      <c r="V198">
        <v>30.4</v>
      </c>
      <c r="W198">
        <v>8779.52</v>
      </c>
      <c r="AC198">
        <v>750</v>
      </c>
      <c r="AE198">
        <v>41.666666666666664</v>
      </c>
      <c r="AF198">
        <v>877.952</v>
      </c>
      <c r="AG198">
        <v>877.952</v>
      </c>
      <c r="AH198">
        <v>438.97600000000006</v>
      </c>
      <c r="AI198">
        <v>877.95200000000011</v>
      </c>
      <c r="AJ198">
        <v>0</v>
      </c>
      <c r="AK198">
        <v>0</v>
      </c>
      <c r="AL198">
        <v>1755.904</v>
      </c>
      <c r="AM198">
        <v>11852.352000000001</v>
      </c>
      <c r="AN198">
        <v>12644.018666666665</v>
      </c>
      <c r="AO198">
        <v>12602.352000000001</v>
      </c>
      <c r="AQ198">
        <v>9571.1866666666665</v>
      </c>
      <c r="AR198">
        <v>24076.191999999999</v>
      </c>
      <c r="AS198">
        <v>10535.424000000001</v>
      </c>
      <c r="AT198">
        <v>0</v>
      </c>
      <c r="AU198">
        <v>13540.767999999998</v>
      </c>
      <c r="AV198">
        <v>1755.904</v>
      </c>
      <c r="AW198">
        <v>0</v>
      </c>
      <c r="AX198">
        <v>11327.090666666665</v>
      </c>
      <c r="AY198">
        <v>11128.02</v>
      </c>
      <c r="AZ198">
        <v>199.07066666666469</v>
      </c>
      <c r="BA198">
        <v>0.16</v>
      </c>
      <c r="BB198">
        <v>31.85130666666635</v>
      </c>
      <c r="BC198">
        <v>893.63</v>
      </c>
      <c r="BD198">
        <v>925.48130666666634</v>
      </c>
      <c r="BE198">
        <v>0</v>
      </c>
      <c r="BF198">
        <v>925.48130666666634</v>
      </c>
      <c r="BG198">
        <v>26.388888888888889</v>
      </c>
      <c r="BH198">
        <v>0</v>
      </c>
      <c r="BI198">
        <v>329.42672888888887</v>
      </c>
      <c r="BJ198">
        <v>988.28018666666674</v>
      </c>
      <c r="BK198">
        <v>0</v>
      </c>
      <c r="BL198">
        <v>0</v>
      </c>
      <c r="BM198">
        <v>28.880000000000006</v>
      </c>
      <c r="BN198">
        <v>0</v>
      </c>
      <c r="BO198">
        <v>0</v>
      </c>
      <c r="BP198">
        <v>358.30672888888887</v>
      </c>
      <c r="BQ198">
        <v>358.30672888888887</v>
      </c>
      <c r="BR198">
        <v>2.2664074666666623</v>
      </c>
      <c r="BS198">
        <v>26.873004666666663</v>
      </c>
      <c r="BT198">
        <v>40.309506999999996</v>
      </c>
      <c r="BU198">
        <v>67.18251166666667</v>
      </c>
      <c r="BV198">
        <v>120.928521</v>
      </c>
      <c r="BW198">
        <v>257.55995179999996</v>
      </c>
      <c r="BX198">
        <v>11460.977408199999</v>
      </c>
      <c r="BY198">
        <v>877.95200000000011</v>
      </c>
      <c r="BZ198">
        <v>10583.025408199999</v>
      </c>
      <c r="CA198">
        <v>12602.351999999999</v>
      </c>
      <c r="CB198">
        <v>378.07055999999994</v>
      </c>
      <c r="CC198">
        <v>358.30672888888887</v>
      </c>
      <c r="CD198">
        <v>692.41679999999997</v>
      </c>
      <c r="CE198">
        <v>6.2326205333333213</v>
      </c>
      <c r="CF198">
        <v>75.244413066666652</v>
      </c>
      <c r="CG198">
        <v>112.86661960000001</v>
      </c>
      <c r="CH198">
        <v>178.60551345597335</v>
      </c>
      <c r="CI198">
        <v>188.11103266666669</v>
      </c>
      <c r="CJ198">
        <v>107.49201866666665</v>
      </c>
      <c r="CK198">
        <v>214.9840373333333</v>
      </c>
      <c r="CL198">
        <v>338.59985879999999</v>
      </c>
      <c r="CM198">
        <v>1914.55291412264</v>
      </c>
      <c r="CN198">
        <v>537.46009333333336</v>
      </c>
      <c r="CO198">
        <v>2830.083567455973</v>
      </c>
      <c r="CQ198">
        <v>360.80219178082194</v>
      </c>
      <c r="CR198">
        <v>72.160438356164377</v>
      </c>
      <c r="CS198">
        <v>368.55943890410958</v>
      </c>
      <c r="CT198">
        <v>16275.624303163733</v>
      </c>
      <c r="CY198">
        <v>0</v>
      </c>
      <c r="DB198">
        <v>10535.423999999999</v>
      </c>
      <c r="DE198" s="61">
        <v>16275.624303163733</v>
      </c>
    </row>
    <row r="199" spans="1:109" hidden="1" x14ac:dyDescent="0.3">
      <c r="A199">
        <v>1911</v>
      </c>
      <c r="B199">
        <v>0</v>
      </c>
      <c r="C199" t="s">
        <v>603</v>
      </c>
      <c r="D199" t="s">
        <v>604</v>
      </c>
      <c r="E199" t="s">
        <v>897</v>
      </c>
      <c r="F199" t="s">
        <v>616</v>
      </c>
      <c r="G199" t="s">
        <v>617</v>
      </c>
      <c r="H199" t="s">
        <v>608</v>
      </c>
      <c r="I199" t="s">
        <v>609</v>
      </c>
      <c r="J199" s="3">
        <v>45670</v>
      </c>
      <c r="K199">
        <v>4.9315068493150684E-2</v>
      </c>
      <c r="L199">
        <v>0</v>
      </c>
      <c r="M199" t="s">
        <v>678</v>
      </c>
      <c r="N199" t="s">
        <v>678</v>
      </c>
      <c r="O199">
        <v>1.0492999999999999</v>
      </c>
      <c r="P199">
        <v>3439.4559999999997</v>
      </c>
      <c r="Q199">
        <v>3439.4559999999997</v>
      </c>
      <c r="R199">
        <v>288.8</v>
      </c>
      <c r="S199">
        <v>303.03783999999996</v>
      </c>
      <c r="T199">
        <v>0</v>
      </c>
      <c r="U199">
        <v>303.03783999999996</v>
      </c>
      <c r="V199">
        <v>30.4</v>
      </c>
      <c r="W199">
        <v>8779.52</v>
      </c>
      <c r="AC199">
        <v>750</v>
      </c>
      <c r="AE199">
        <v>41.666666666666664</v>
      </c>
      <c r="AF199">
        <v>877.952</v>
      </c>
      <c r="AG199">
        <v>877.952</v>
      </c>
      <c r="AH199">
        <v>438.97600000000006</v>
      </c>
      <c r="AI199">
        <v>877.95200000000011</v>
      </c>
      <c r="AJ199">
        <v>0</v>
      </c>
      <c r="AK199">
        <v>0</v>
      </c>
      <c r="AL199">
        <v>1755.904</v>
      </c>
      <c r="AM199">
        <v>11852.352000000001</v>
      </c>
      <c r="AN199">
        <v>12644.018666666665</v>
      </c>
      <c r="AO199">
        <v>12602.352000000001</v>
      </c>
      <c r="AQ199">
        <v>9571.1866666666665</v>
      </c>
      <c r="AR199">
        <v>24076.191999999999</v>
      </c>
      <c r="AS199">
        <v>10535.424000000001</v>
      </c>
      <c r="AT199">
        <v>0</v>
      </c>
      <c r="AU199">
        <v>13540.767999999998</v>
      </c>
      <c r="AV199">
        <v>1755.904</v>
      </c>
      <c r="AW199">
        <v>0</v>
      </c>
      <c r="AX199">
        <v>11327.090666666665</v>
      </c>
      <c r="AY199">
        <v>11128.02</v>
      </c>
      <c r="AZ199">
        <v>199.07066666666469</v>
      </c>
      <c r="BA199">
        <v>0.16</v>
      </c>
      <c r="BB199">
        <v>31.85130666666635</v>
      </c>
      <c r="BC199">
        <v>893.63</v>
      </c>
      <c r="BD199">
        <v>925.48130666666634</v>
      </c>
      <c r="BE199">
        <v>0</v>
      </c>
      <c r="BF199">
        <v>925.48130666666634</v>
      </c>
      <c r="BG199">
        <v>26.388888888888889</v>
      </c>
      <c r="BH199">
        <v>0</v>
      </c>
      <c r="BI199">
        <v>329.42672888888887</v>
      </c>
      <c r="BJ199">
        <v>988.28018666666674</v>
      </c>
      <c r="BK199">
        <v>0</v>
      </c>
      <c r="BL199">
        <v>0</v>
      </c>
      <c r="BM199">
        <v>28.880000000000006</v>
      </c>
      <c r="BN199">
        <v>0</v>
      </c>
      <c r="BO199">
        <v>0</v>
      </c>
      <c r="BP199">
        <v>358.30672888888887</v>
      </c>
      <c r="BQ199">
        <v>358.30672888888887</v>
      </c>
      <c r="BR199">
        <v>2.2664074666666623</v>
      </c>
      <c r="BS199">
        <v>26.873004666666663</v>
      </c>
      <c r="BT199">
        <v>40.309506999999996</v>
      </c>
      <c r="BU199">
        <v>67.18251166666667</v>
      </c>
      <c r="BV199">
        <v>120.928521</v>
      </c>
      <c r="BW199">
        <v>257.55995179999996</v>
      </c>
      <c r="BX199">
        <v>11460.977408199999</v>
      </c>
      <c r="BY199">
        <v>877.95200000000011</v>
      </c>
      <c r="BZ199">
        <v>10583.025408199999</v>
      </c>
      <c r="CA199">
        <v>12602.351999999999</v>
      </c>
      <c r="CB199">
        <v>378.07055999999994</v>
      </c>
      <c r="CC199">
        <v>358.30672888888887</v>
      </c>
      <c r="CD199">
        <v>692.41679999999997</v>
      </c>
      <c r="CE199">
        <v>6.2326205333333213</v>
      </c>
      <c r="CF199">
        <v>75.244413066666652</v>
      </c>
      <c r="CG199">
        <v>112.86661960000001</v>
      </c>
      <c r="CH199">
        <v>178.60551345597335</v>
      </c>
      <c r="CI199">
        <v>188.11103266666669</v>
      </c>
      <c r="CJ199">
        <v>107.49201866666665</v>
      </c>
      <c r="CK199">
        <v>214.9840373333333</v>
      </c>
      <c r="CL199">
        <v>338.59985879999999</v>
      </c>
      <c r="CM199">
        <v>1914.55291412264</v>
      </c>
      <c r="CN199">
        <v>537.46009333333336</v>
      </c>
      <c r="CO199">
        <v>2830.083567455973</v>
      </c>
      <c r="CQ199">
        <v>360.80219178082194</v>
      </c>
      <c r="CR199">
        <v>72.160438356164377</v>
      </c>
      <c r="CS199">
        <v>368.55943890410958</v>
      </c>
      <c r="CT199">
        <v>16275.624303163733</v>
      </c>
      <c r="CY199">
        <v>0</v>
      </c>
      <c r="DB199">
        <v>10535.423999999999</v>
      </c>
      <c r="DE199" s="61">
        <v>16275.624303163733</v>
      </c>
    </row>
    <row r="200" spans="1:109" hidden="1" x14ac:dyDescent="0.3">
      <c r="A200">
        <v>1465</v>
      </c>
      <c r="B200" t="s">
        <v>602</v>
      </c>
      <c r="C200" t="s">
        <v>603</v>
      </c>
      <c r="D200" t="s">
        <v>604</v>
      </c>
      <c r="E200" t="s">
        <v>738</v>
      </c>
      <c r="F200" t="s">
        <v>739</v>
      </c>
      <c r="G200" t="s">
        <v>640</v>
      </c>
      <c r="H200" t="s">
        <v>622</v>
      </c>
      <c r="I200" t="s">
        <v>623</v>
      </c>
      <c r="J200" s="3">
        <v>44620</v>
      </c>
      <c r="K200">
        <v>2.9260273972602739</v>
      </c>
      <c r="L200">
        <v>2</v>
      </c>
      <c r="M200" t="s">
        <v>735</v>
      </c>
      <c r="N200" t="s">
        <v>735</v>
      </c>
      <c r="O200">
        <v>1.0521</v>
      </c>
      <c r="P200">
        <v>3439.4559999999997</v>
      </c>
      <c r="Q200">
        <v>3439.4559999999997</v>
      </c>
      <c r="R200">
        <v>305.8</v>
      </c>
      <c r="S200">
        <v>321.73218000000003</v>
      </c>
      <c r="T200">
        <v>111.54</v>
      </c>
      <c r="U200">
        <v>433.27218000000005</v>
      </c>
      <c r="V200">
        <v>30.4</v>
      </c>
      <c r="W200">
        <v>9296.32</v>
      </c>
      <c r="AE200">
        <v>41.666666666666664</v>
      </c>
      <c r="AF200">
        <v>929.63200000000006</v>
      </c>
      <c r="AG200">
        <v>929.63200000000006</v>
      </c>
      <c r="AH200">
        <v>464.81600000000003</v>
      </c>
      <c r="AI200">
        <v>929.63200000000006</v>
      </c>
      <c r="AJ200">
        <v>0</v>
      </c>
      <c r="AK200">
        <v>0</v>
      </c>
      <c r="AL200">
        <v>1859.2640000000001</v>
      </c>
      <c r="AM200">
        <v>12550.031999999999</v>
      </c>
      <c r="AN200">
        <v>12591.698666666665</v>
      </c>
      <c r="AO200">
        <v>12550.031999999999</v>
      </c>
      <c r="AQ200">
        <v>9296.32</v>
      </c>
      <c r="AR200">
        <v>24076.191999999999</v>
      </c>
      <c r="AS200">
        <v>11155.583999999999</v>
      </c>
      <c r="AT200">
        <v>0</v>
      </c>
      <c r="AU200">
        <v>12920.608</v>
      </c>
      <c r="AV200">
        <v>1859.2640000000001</v>
      </c>
      <c r="AW200">
        <v>0</v>
      </c>
      <c r="AX200">
        <v>11197.250666666665</v>
      </c>
      <c r="AY200">
        <v>11128.02</v>
      </c>
      <c r="AZ200">
        <v>69.230666666664547</v>
      </c>
      <c r="BA200">
        <v>0.16</v>
      </c>
      <c r="BB200">
        <v>11.076906666666329</v>
      </c>
      <c r="BC200">
        <v>893.63</v>
      </c>
      <c r="BD200">
        <v>904.70690666666633</v>
      </c>
      <c r="BE200">
        <v>0</v>
      </c>
      <c r="BF200">
        <v>904.70690666666633</v>
      </c>
      <c r="BG200">
        <v>1.3888888888888888</v>
      </c>
      <c r="BH200">
        <v>0</v>
      </c>
      <c r="BI200">
        <v>434.66106888888896</v>
      </c>
      <c r="BJ200">
        <v>1303.983206666667</v>
      </c>
      <c r="BK200">
        <v>0</v>
      </c>
      <c r="BL200">
        <v>0</v>
      </c>
      <c r="BM200">
        <v>30.580000000000002</v>
      </c>
      <c r="BN200">
        <v>0</v>
      </c>
      <c r="BO200">
        <v>0</v>
      </c>
      <c r="BP200">
        <v>353.70106888888893</v>
      </c>
      <c r="BQ200">
        <v>353.70106888888893</v>
      </c>
      <c r="BR200">
        <v>1.7137282666666693</v>
      </c>
      <c r="BS200">
        <v>26.52758016666667</v>
      </c>
      <c r="BT200">
        <v>39.79137025</v>
      </c>
      <c r="BU200">
        <v>66.318950416666667</v>
      </c>
      <c r="BV200">
        <v>119.37411075000001</v>
      </c>
      <c r="BW200">
        <v>253.72573985000002</v>
      </c>
      <c r="BX200">
        <v>11433.266020149998</v>
      </c>
      <c r="BY200">
        <v>929.63200000000006</v>
      </c>
      <c r="BZ200">
        <v>10503.634020149999</v>
      </c>
      <c r="CA200">
        <v>12550.031999999999</v>
      </c>
      <c r="CB200">
        <v>376.50095999999996</v>
      </c>
      <c r="CC200">
        <v>353.70106888888893</v>
      </c>
      <c r="CD200">
        <v>692.41679999999997</v>
      </c>
      <c r="CE200">
        <v>4.7127527333333399</v>
      </c>
      <c r="CF200">
        <v>74.277224466666667</v>
      </c>
      <c r="CG200">
        <v>111.41583670000003</v>
      </c>
      <c r="CH200">
        <v>176.30972551011337</v>
      </c>
      <c r="CI200">
        <v>185.69306116666672</v>
      </c>
      <c r="CJ200">
        <v>106.11032066666668</v>
      </c>
      <c r="CK200">
        <v>212.22064133333336</v>
      </c>
      <c r="CL200">
        <v>334.24751010000006</v>
      </c>
      <c r="CM200">
        <v>1897.4038726767799</v>
      </c>
      <c r="CN200">
        <v>530.55160333333333</v>
      </c>
      <c r="CO200">
        <v>2804.4564360101131</v>
      </c>
      <c r="CQ200">
        <v>382.0405479452055</v>
      </c>
      <c r="CR200">
        <v>101.8774794520548</v>
      </c>
      <c r="CS200">
        <v>391.01850082191777</v>
      </c>
      <c r="CT200">
        <v>16271.091630895955</v>
      </c>
      <c r="CY200">
        <v>0</v>
      </c>
      <c r="DB200">
        <v>11155.583999999999</v>
      </c>
      <c r="DE200" s="61">
        <v>16271.091630895955</v>
      </c>
    </row>
    <row r="201" spans="1:109" hidden="1" x14ac:dyDescent="0.3">
      <c r="A201">
        <v>1722</v>
      </c>
      <c r="B201" t="s">
        <v>602</v>
      </c>
      <c r="C201" t="s">
        <v>603</v>
      </c>
      <c r="D201" t="s">
        <v>604</v>
      </c>
      <c r="E201" t="s">
        <v>786</v>
      </c>
      <c r="F201" t="s">
        <v>739</v>
      </c>
      <c r="G201" t="s">
        <v>640</v>
      </c>
      <c r="H201" t="s">
        <v>622</v>
      </c>
      <c r="I201" t="s">
        <v>623</v>
      </c>
      <c r="J201" s="3">
        <v>45183</v>
      </c>
      <c r="K201">
        <v>1.3835616438356164</v>
      </c>
      <c r="L201">
        <v>1</v>
      </c>
      <c r="M201" t="s">
        <v>676</v>
      </c>
      <c r="N201" t="s">
        <v>676</v>
      </c>
      <c r="O201">
        <v>1.0507</v>
      </c>
      <c r="P201">
        <v>3439.4559999999997</v>
      </c>
      <c r="Q201">
        <v>3439.4559999999997</v>
      </c>
      <c r="R201">
        <v>305.77999999999997</v>
      </c>
      <c r="S201">
        <v>321.28304599999996</v>
      </c>
      <c r="T201">
        <v>111.57</v>
      </c>
      <c r="U201">
        <v>432.85304599999995</v>
      </c>
      <c r="V201">
        <v>30.4</v>
      </c>
      <c r="W201">
        <v>9295.7119999999995</v>
      </c>
      <c r="AE201">
        <v>41.666666666666664</v>
      </c>
      <c r="AF201">
        <v>929.57119999999998</v>
      </c>
      <c r="AG201">
        <v>929.57119999999998</v>
      </c>
      <c r="AH201">
        <v>464.78559999999999</v>
      </c>
      <c r="AI201">
        <v>929.57119999999998</v>
      </c>
      <c r="AJ201">
        <v>0</v>
      </c>
      <c r="AK201">
        <v>0</v>
      </c>
      <c r="AL201">
        <v>1859.1424</v>
      </c>
      <c r="AM201">
        <v>12549.2112</v>
      </c>
      <c r="AN201">
        <v>12590.877866666666</v>
      </c>
      <c r="AO201">
        <v>12549.2112</v>
      </c>
      <c r="AQ201">
        <v>9295.7119999999995</v>
      </c>
      <c r="AR201">
        <v>24076.191999999999</v>
      </c>
      <c r="AS201">
        <v>11154.8544</v>
      </c>
      <c r="AT201">
        <v>0</v>
      </c>
      <c r="AU201">
        <v>12921.337599999999</v>
      </c>
      <c r="AV201">
        <v>1859.1424</v>
      </c>
      <c r="AW201">
        <v>0</v>
      </c>
      <c r="AX201">
        <v>11196.521066666666</v>
      </c>
      <c r="AY201">
        <v>11128.02</v>
      </c>
      <c r="AZ201">
        <v>68.501066666665793</v>
      </c>
      <c r="BA201">
        <v>0.16</v>
      </c>
      <c r="BB201">
        <v>10.960170666666526</v>
      </c>
      <c r="BC201">
        <v>893.63</v>
      </c>
      <c r="BD201">
        <v>904.59017066666649</v>
      </c>
      <c r="BE201">
        <v>0</v>
      </c>
      <c r="BF201">
        <v>904.59017066666649</v>
      </c>
      <c r="BG201">
        <v>1.3888888888888888</v>
      </c>
      <c r="BH201">
        <v>0</v>
      </c>
      <c r="BI201">
        <v>434.24193488888886</v>
      </c>
      <c r="BJ201">
        <v>1302.7258046666666</v>
      </c>
      <c r="BK201">
        <v>0</v>
      </c>
      <c r="BL201">
        <v>0</v>
      </c>
      <c r="BM201">
        <v>30.577999999999999</v>
      </c>
      <c r="BN201">
        <v>0</v>
      </c>
      <c r="BO201">
        <v>0</v>
      </c>
      <c r="BP201">
        <v>353.24993488888884</v>
      </c>
      <c r="BQ201">
        <v>353.24993488888884</v>
      </c>
      <c r="BR201">
        <v>1.6595921866666594</v>
      </c>
      <c r="BS201">
        <v>26.493745116666663</v>
      </c>
      <c r="BT201">
        <v>39.740617674999996</v>
      </c>
      <c r="BU201">
        <v>66.234362791666655</v>
      </c>
      <c r="BV201">
        <v>119.22185302499999</v>
      </c>
      <c r="BW201">
        <v>253.35017079499994</v>
      </c>
      <c r="BX201">
        <v>11432.937525204999</v>
      </c>
      <c r="BY201">
        <v>929.57119999999998</v>
      </c>
      <c r="BZ201">
        <v>10503.366325204999</v>
      </c>
      <c r="CA201">
        <v>12549.2112</v>
      </c>
      <c r="CB201">
        <v>376.476336</v>
      </c>
      <c r="CC201">
        <v>353.24993488888884</v>
      </c>
      <c r="CD201">
        <v>692.41679999999997</v>
      </c>
      <c r="CE201">
        <v>4.5638785133333126</v>
      </c>
      <c r="CF201">
        <v>74.182486326666648</v>
      </c>
      <c r="CG201">
        <v>111.27372948999999</v>
      </c>
      <c r="CH201">
        <v>176.08484829399933</v>
      </c>
      <c r="CI201">
        <v>185.45621581666666</v>
      </c>
      <c r="CJ201">
        <v>105.97498046666665</v>
      </c>
      <c r="CK201">
        <v>211.9499609333333</v>
      </c>
      <c r="CL201">
        <v>333.82118846999992</v>
      </c>
      <c r="CM201">
        <v>1895.7240883106658</v>
      </c>
      <c r="CN201">
        <v>529.87490233333324</v>
      </c>
      <c r="CO201">
        <v>2802.0753266439988</v>
      </c>
      <c r="CQ201">
        <v>382.01556164383555</v>
      </c>
      <c r="CR201">
        <v>89.136964383561633</v>
      </c>
      <c r="CS201">
        <v>390.61091178082188</v>
      </c>
      <c r="CT201">
        <v>16254.716631118885</v>
      </c>
      <c r="CY201">
        <v>0</v>
      </c>
      <c r="DB201">
        <v>11154.8544</v>
      </c>
      <c r="DE201" s="61">
        <v>16254.716631118885</v>
      </c>
    </row>
    <row r="202" spans="1:109" hidden="1" x14ac:dyDescent="0.3">
      <c r="A202">
        <v>1405</v>
      </c>
      <c r="B202" t="s">
        <v>637</v>
      </c>
      <c r="C202" t="s">
        <v>603</v>
      </c>
      <c r="D202" t="s">
        <v>604</v>
      </c>
      <c r="E202" t="s">
        <v>724</v>
      </c>
      <c r="F202" t="s">
        <v>681</v>
      </c>
      <c r="G202" t="s">
        <v>607</v>
      </c>
      <c r="H202" t="s">
        <v>622</v>
      </c>
      <c r="I202" t="s">
        <v>623</v>
      </c>
      <c r="J202" s="3">
        <v>44531</v>
      </c>
      <c r="K202">
        <v>3.1698630136986301</v>
      </c>
      <c r="L202">
        <v>3</v>
      </c>
      <c r="M202" t="s">
        <v>698</v>
      </c>
      <c r="N202" t="s">
        <v>698</v>
      </c>
      <c r="O202">
        <v>1.0533999999999999</v>
      </c>
      <c r="P202">
        <v>3439.4559999999997</v>
      </c>
      <c r="Q202">
        <v>3439.4559999999997</v>
      </c>
      <c r="R202">
        <v>302.87</v>
      </c>
      <c r="S202">
        <v>319.04325799999998</v>
      </c>
      <c r="T202">
        <v>14.54</v>
      </c>
      <c r="U202">
        <v>333.583258</v>
      </c>
      <c r="V202">
        <v>30.4</v>
      </c>
      <c r="W202">
        <v>9207.2479999999996</v>
      </c>
      <c r="AE202">
        <v>41.666666666666664</v>
      </c>
      <c r="AF202">
        <v>920.72480000000007</v>
      </c>
      <c r="AG202">
        <v>920.72480000000007</v>
      </c>
      <c r="AH202">
        <v>460.36239999999998</v>
      </c>
      <c r="AI202">
        <v>920.72479999999996</v>
      </c>
      <c r="AJ202">
        <v>0</v>
      </c>
      <c r="AK202">
        <v>0</v>
      </c>
      <c r="AL202">
        <v>1841.4496000000001</v>
      </c>
      <c r="AM202">
        <v>12429.784799999999</v>
      </c>
      <c r="AN202">
        <v>12471.451466666666</v>
      </c>
      <c r="AO202">
        <v>12429.784799999999</v>
      </c>
      <c r="AQ202">
        <v>9207.2479999999996</v>
      </c>
      <c r="AR202">
        <v>24076.191999999999</v>
      </c>
      <c r="AS202">
        <v>11048.6976</v>
      </c>
      <c r="AT202">
        <v>0</v>
      </c>
      <c r="AU202">
        <v>13027.4944</v>
      </c>
      <c r="AV202">
        <v>1841.4496000000001</v>
      </c>
      <c r="AW202">
        <v>0</v>
      </c>
      <c r="AX202">
        <v>11090.364266666666</v>
      </c>
      <c r="AY202">
        <v>6332.06</v>
      </c>
      <c r="AZ202">
        <v>4758.3042666666652</v>
      </c>
      <c r="BA202">
        <v>0.10880000000000001</v>
      </c>
      <c r="BB202">
        <v>517.70350421333319</v>
      </c>
      <c r="BC202">
        <v>371.83</v>
      </c>
      <c r="BD202">
        <v>889.53350421333312</v>
      </c>
      <c r="BE202">
        <v>0</v>
      </c>
      <c r="BF202">
        <v>889.53350421333312</v>
      </c>
      <c r="BG202">
        <v>1.3888888888888888</v>
      </c>
      <c r="BH202">
        <v>0</v>
      </c>
      <c r="BI202">
        <v>334.97214688888891</v>
      </c>
      <c r="BJ202">
        <v>1004.9164406666667</v>
      </c>
      <c r="BK202">
        <v>0</v>
      </c>
      <c r="BL202">
        <v>0</v>
      </c>
      <c r="BM202">
        <v>30.286999999999999</v>
      </c>
      <c r="BN202">
        <v>0</v>
      </c>
      <c r="BO202">
        <v>0</v>
      </c>
      <c r="BP202">
        <v>350.71914688888887</v>
      </c>
      <c r="BQ202">
        <v>350.71914688888887</v>
      </c>
      <c r="BR202">
        <v>1.3558976266666627</v>
      </c>
      <c r="BS202">
        <v>26.303936016666665</v>
      </c>
      <c r="BT202">
        <v>39.455904024999995</v>
      </c>
      <c r="BU202">
        <v>65.759840041666664</v>
      </c>
      <c r="BV202">
        <v>118.36771207499999</v>
      </c>
      <c r="BW202">
        <v>251.24328978499997</v>
      </c>
      <c r="BX202">
        <v>11330.674672668332</v>
      </c>
      <c r="BY202">
        <v>920.72479999999996</v>
      </c>
      <c r="BZ202">
        <v>10409.949872668332</v>
      </c>
      <c r="CA202">
        <v>12429.784799999999</v>
      </c>
      <c r="CB202">
        <v>372.89354399999996</v>
      </c>
      <c r="CC202">
        <v>350.71914688888887</v>
      </c>
      <c r="CD202">
        <v>692.41679999999997</v>
      </c>
      <c r="CE202">
        <v>3.7287184733333221</v>
      </c>
      <c r="CF202">
        <v>73.651020846666668</v>
      </c>
      <c r="CG202">
        <v>110.47653127000001</v>
      </c>
      <c r="CH202">
        <v>174.82332386885133</v>
      </c>
      <c r="CI202">
        <v>184.12755211666666</v>
      </c>
      <c r="CJ202">
        <v>105.21574406666666</v>
      </c>
      <c r="CK202">
        <v>210.43148813333332</v>
      </c>
      <c r="CL202">
        <v>331.42959381000003</v>
      </c>
      <c r="CM202">
        <v>1886.3007725855182</v>
      </c>
      <c r="CN202">
        <v>526.07872033333331</v>
      </c>
      <c r="CO202">
        <v>2785.2730369188516</v>
      </c>
      <c r="CQ202">
        <v>378.38005479452056</v>
      </c>
      <c r="CR202">
        <v>113.51401643835615</v>
      </c>
      <c r="CS202">
        <v>387.65036613698629</v>
      </c>
      <c r="CT202">
        <v>16136.26894095538</v>
      </c>
      <c r="CY202">
        <v>0</v>
      </c>
      <c r="DB202">
        <v>11048.6976</v>
      </c>
      <c r="DE202" s="61">
        <v>16136.26894095538</v>
      </c>
    </row>
    <row r="203" spans="1:109" hidden="1" x14ac:dyDescent="0.3">
      <c r="A203">
        <v>1047</v>
      </c>
      <c r="B203" t="s">
        <v>658</v>
      </c>
      <c r="C203" t="s">
        <v>603</v>
      </c>
      <c r="D203" t="s">
        <v>604</v>
      </c>
      <c r="E203" t="s">
        <v>659</v>
      </c>
      <c r="F203" t="s">
        <v>660</v>
      </c>
      <c r="G203" t="s">
        <v>621</v>
      </c>
      <c r="H203" t="s">
        <v>622</v>
      </c>
      <c r="I203" t="s">
        <v>623</v>
      </c>
      <c r="J203" s="3">
        <v>43748</v>
      </c>
      <c r="K203">
        <v>5.3150684931506849</v>
      </c>
      <c r="L203">
        <v>5</v>
      </c>
      <c r="M203" t="s">
        <v>654</v>
      </c>
      <c r="N203" t="s">
        <v>654</v>
      </c>
      <c r="O203">
        <v>1.0562</v>
      </c>
      <c r="P203">
        <v>3439.4559999999997</v>
      </c>
      <c r="Q203">
        <v>3439.4559999999997</v>
      </c>
      <c r="R203">
        <v>288.8</v>
      </c>
      <c r="S203">
        <v>305.03056000000004</v>
      </c>
      <c r="T203">
        <v>0</v>
      </c>
      <c r="U203">
        <v>305.03056000000004</v>
      </c>
      <c r="V203">
        <v>30.4</v>
      </c>
      <c r="W203">
        <v>8779.52</v>
      </c>
      <c r="AE203">
        <v>41.666666666666664</v>
      </c>
      <c r="AF203">
        <v>877.952</v>
      </c>
      <c r="AG203">
        <v>877.952</v>
      </c>
      <c r="AH203">
        <v>438.97600000000006</v>
      </c>
      <c r="AI203">
        <v>877.95200000000011</v>
      </c>
      <c r="AJ203">
        <v>0</v>
      </c>
      <c r="AK203">
        <v>0</v>
      </c>
      <c r="AL203">
        <v>1755.904</v>
      </c>
      <c r="AM203">
        <v>11852.352000000001</v>
      </c>
      <c r="AN203">
        <v>11894.018666666665</v>
      </c>
      <c r="AO203">
        <v>11852.352000000001</v>
      </c>
      <c r="AQ203">
        <v>8821.1866666666665</v>
      </c>
      <c r="AR203">
        <v>24076.191999999999</v>
      </c>
      <c r="AS203">
        <v>10535.424000000001</v>
      </c>
      <c r="AT203">
        <v>0</v>
      </c>
      <c r="AU203">
        <v>13540.767999999998</v>
      </c>
      <c r="AV203">
        <v>1755.904</v>
      </c>
      <c r="AW203">
        <v>0</v>
      </c>
      <c r="AX203">
        <v>10577.090666666665</v>
      </c>
      <c r="AY203">
        <v>6332.06</v>
      </c>
      <c r="AZ203">
        <v>4245.0306666666647</v>
      </c>
      <c r="BA203">
        <v>0.10880000000000001</v>
      </c>
      <c r="BB203">
        <v>461.85933653333313</v>
      </c>
      <c r="BC203">
        <v>371.83</v>
      </c>
      <c r="BD203">
        <v>833.68933653333306</v>
      </c>
      <c r="BE203">
        <v>0</v>
      </c>
      <c r="BF203">
        <v>833.68933653333306</v>
      </c>
      <c r="BG203">
        <v>1.3888888888888888</v>
      </c>
      <c r="BH203">
        <v>0</v>
      </c>
      <c r="BI203">
        <v>306.41944888888895</v>
      </c>
      <c r="BJ203">
        <v>919.25834666666697</v>
      </c>
      <c r="BK203">
        <v>0</v>
      </c>
      <c r="BL203">
        <v>0</v>
      </c>
      <c r="BM203">
        <v>28.880000000000006</v>
      </c>
      <c r="BN203">
        <v>0</v>
      </c>
      <c r="BO203">
        <v>0</v>
      </c>
      <c r="BP203">
        <v>335.29944888888895</v>
      </c>
      <c r="BQ203">
        <v>335.29944888888895</v>
      </c>
      <c r="BR203">
        <v>0</v>
      </c>
      <c r="BS203">
        <v>25.147458666666672</v>
      </c>
      <c r="BT203">
        <v>37.721188000000005</v>
      </c>
      <c r="BU203">
        <v>62.868646666666685</v>
      </c>
      <c r="BV203">
        <v>113.16356400000001</v>
      </c>
      <c r="BW203">
        <v>238.90085733333336</v>
      </c>
      <c r="BX203">
        <v>10821.428472799998</v>
      </c>
      <c r="BY203">
        <v>877.95200000000011</v>
      </c>
      <c r="BZ203">
        <v>9943.4764727999991</v>
      </c>
      <c r="CA203">
        <v>11852.351999999999</v>
      </c>
      <c r="CB203">
        <v>355.57055999999994</v>
      </c>
      <c r="CC203">
        <v>335.29944888888895</v>
      </c>
      <c r="CD203">
        <v>692.41679999999997</v>
      </c>
      <c r="CE203">
        <v>0</v>
      </c>
      <c r="CF203">
        <v>70.41288426666668</v>
      </c>
      <c r="CG203">
        <v>105.61932640000002</v>
      </c>
      <c r="CH203">
        <v>167.13705158709337</v>
      </c>
      <c r="CI203">
        <v>176.03221066666671</v>
      </c>
      <c r="CJ203">
        <v>100.58983466666669</v>
      </c>
      <c r="CK203">
        <v>201.17966933333338</v>
      </c>
      <c r="CL203">
        <v>316.85797920000005</v>
      </c>
      <c r="CM203">
        <v>1830.2457561204269</v>
      </c>
      <c r="CN203">
        <v>502.94917333333348</v>
      </c>
      <c r="CO203">
        <v>2688.7654894537604</v>
      </c>
      <c r="CQ203">
        <v>360.80219178082194</v>
      </c>
      <c r="CR203">
        <v>132.29413698630137</v>
      </c>
      <c r="CS203">
        <v>370.36344986301373</v>
      </c>
      <c r="CT203">
        <v>15446.243934750564</v>
      </c>
      <c r="CY203">
        <v>0</v>
      </c>
      <c r="DB203">
        <v>10535.423999999999</v>
      </c>
      <c r="DC203">
        <v>113.27749999999999</v>
      </c>
      <c r="DE203" s="61">
        <v>15559.521434750564</v>
      </c>
    </row>
    <row r="204" spans="1:109" hidden="1" x14ac:dyDescent="0.3">
      <c r="A204">
        <v>1048</v>
      </c>
      <c r="B204" t="s">
        <v>658</v>
      </c>
      <c r="C204" t="s">
        <v>603</v>
      </c>
      <c r="D204" t="s">
        <v>604</v>
      </c>
      <c r="E204" t="s">
        <v>661</v>
      </c>
      <c r="F204" t="s">
        <v>660</v>
      </c>
      <c r="G204" t="s">
        <v>621</v>
      </c>
      <c r="H204" t="s">
        <v>622</v>
      </c>
      <c r="I204" t="s">
        <v>623</v>
      </c>
      <c r="J204" s="3">
        <v>43748</v>
      </c>
      <c r="K204">
        <v>5.3150684931506849</v>
      </c>
      <c r="L204">
        <v>5</v>
      </c>
      <c r="M204" t="s">
        <v>654</v>
      </c>
      <c r="N204" t="s">
        <v>654</v>
      </c>
      <c r="O204">
        <v>1.0562</v>
      </c>
      <c r="P204">
        <v>3439.4559999999997</v>
      </c>
      <c r="Q204">
        <v>3439.4559999999997</v>
      </c>
      <c r="R204">
        <v>288.8</v>
      </c>
      <c r="S204">
        <v>305.03056000000004</v>
      </c>
      <c r="T204">
        <v>0</v>
      </c>
      <c r="U204">
        <v>305.03056000000004</v>
      </c>
      <c r="V204">
        <v>30.4</v>
      </c>
      <c r="W204">
        <v>8779.52</v>
      </c>
      <c r="AE204">
        <v>41.666666666666664</v>
      </c>
      <c r="AF204">
        <v>877.952</v>
      </c>
      <c r="AG204">
        <v>877.952</v>
      </c>
      <c r="AH204">
        <v>438.97600000000006</v>
      </c>
      <c r="AI204">
        <v>877.95200000000011</v>
      </c>
      <c r="AJ204">
        <v>0</v>
      </c>
      <c r="AK204">
        <v>0</v>
      </c>
      <c r="AL204">
        <v>1755.904</v>
      </c>
      <c r="AM204">
        <v>11852.352000000001</v>
      </c>
      <c r="AN204">
        <v>11894.018666666665</v>
      </c>
      <c r="AO204">
        <v>11852.352000000001</v>
      </c>
      <c r="AQ204">
        <v>8821.1866666666665</v>
      </c>
      <c r="AR204">
        <v>24076.191999999999</v>
      </c>
      <c r="AS204">
        <v>10535.424000000001</v>
      </c>
      <c r="AT204">
        <v>0</v>
      </c>
      <c r="AU204">
        <v>13540.767999999998</v>
      </c>
      <c r="AV204">
        <v>1755.904</v>
      </c>
      <c r="AW204">
        <v>0</v>
      </c>
      <c r="AX204">
        <v>10577.090666666665</v>
      </c>
      <c r="AY204">
        <v>6332.06</v>
      </c>
      <c r="AZ204">
        <v>4245.0306666666647</v>
      </c>
      <c r="BA204">
        <v>0.10880000000000001</v>
      </c>
      <c r="BB204">
        <v>461.85933653333313</v>
      </c>
      <c r="BC204">
        <v>371.83</v>
      </c>
      <c r="BD204">
        <v>833.68933653333306</v>
      </c>
      <c r="BE204">
        <v>0</v>
      </c>
      <c r="BF204">
        <v>833.68933653333306</v>
      </c>
      <c r="BG204">
        <v>1.3888888888888888</v>
      </c>
      <c r="BH204">
        <v>0</v>
      </c>
      <c r="BI204">
        <v>306.41944888888895</v>
      </c>
      <c r="BJ204">
        <v>919.25834666666697</v>
      </c>
      <c r="BK204">
        <v>0</v>
      </c>
      <c r="BL204">
        <v>0</v>
      </c>
      <c r="BM204">
        <v>28.880000000000006</v>
      </c>
      <c r="BN204">
        <v>0</v>
      </c>
      <c r="BO204">
        <v>0</v>
      </c>
      <c r="BP204">
        <v>335.29944888888895</v>
      </c>
      <c r="BQ204">
        <v>335.29944888888895</v>
      </c>
      <c r="BR204">
        <v>0</v>
      </c>
      <c r="BS204">
        <v>25.147458666666672</v>
      </c>
      <c r="BT204">
        <v>37.721188000000005</v>
      </c>
      <c r="BU204">
        <v>62.868646666666685</v>
      </c>
      <c r="BV204">
        <v>113.16356400000001</v>
      </c>
      <c r="BW204">
        <v>238.90085733333336</v>
      </c>
      <c r="BX204">
        <v>10821.428472799998</v>
      </c>
      <c r="BY204">
        <v>877.95200000000011</v>
      </c>
      <c r="BZ204">
        <v>9943.4764727999991</v>
      </c>
      <c r="CA204">
        <v>11852.351999999999</v>
      </c>
      <c r="CB204">
        <v>355.57055999999994</v>
      </c>
      <c r="CC204">
        <v>335.29944888888895</v>
      </c>
      <c r="CD204">
        <v>692.41679999999997</v>
      </c>
      <c r="CE204">
        <v>0</v>
      </c>
      <c r="CF204">
        <v>70.41288426666668</v>
      </c>
      <c r="CG204">
        <v>105.61932640000002</v>
      </c>
      <c r="CH204">
        <v>167.13705158709337</v>
      </c>
      <c r="CI204">
        <v>176.03221066666671</v>
      </c>
      <c r="CJ204">
        <v>100.58983466666669</v>
      </c>
      <c r="CK204">
        <v>201.17966933333338</v>
      </c>
      <c r="CL204">
        <v>316.85797920000005</v>
      </c>
      <c r="CM204">
        <v>1830.2457561204269</v>
      </c>
      <c r="CN204">
        <v>502.94917333333348</v>
      </c>
      <c r="CO204">
        <v>2688.7654894537604</v>
      </c>
      <c r="CQ204">
        <v>360.80219178082194</v>
      </c>
      <c r="CR204">
        <v>132.29413698630137</v>
      </c>
      <c r="CS204">
        <v>370.36344986301373</v>
      </c>
      <c r="CT204">
        <v>15446.243934750564</v>
      </c>
      <c r="CY204">
        <v>0</v>
      </c>
      <c r="DB204">
        <v>10535.423999999999</v>
      </c>
      <c r="DC204">
        <v>113.27749999999999</v>
      </c>
      <c r="DE204" s="61">
        <v>15559.521434750564</v>
      </c>
    </row>
    <row r="205" spans="1:109" hidden="1" x14ac:dyDescent="0.3">
      <c r="A205">
        <v>1041</v>
      </c>
      <c r="B205" t="s">
        <v>637</v>
      </c>
      <c r="C205" t="s">
        <v>603</v>
      </c>
      <c r="D205" t="s">
        <v>604</v>
      </c>
      <c r="E205" t="s">
        <v>655</v>
      </c>
      <c r="F205" t="s">
        <v>639</v>
      </c>
      <c r="G205" t="s">
        <v>640</v>
      </c>
      <c r="H205" t="s">
        <v>622</v>
      </c>
      <c r="I205" t="s">
        <v>623</v>
      </c>
      <c r="J205" s="3">
        <v>43633</v>
      </c>
      <c r="K205">
        <v>5.6301369863013697</v>
      </c>
      <c r="L205">
        <v>5</v>
      </c>
      <c r="M205" t="s">
        <v>654</v>
      </c>
      <c r="N205" t="s">
        <v>654</v>
      </c>
      <c r="O205">
        <v>1.0562</v>
      </c>
      <c r="P205">
        <v>3439.4559999999997</v>
      </c>
      <c r="Q205">
        <v>3439.4559999999997</v>
      </c>
      <c r="R205">
        <v>288.8</v>
      </c>
      <c r="S205">
        <v>305.03056000000004</v>
      </c>
      <c r="T205">
        <v>0</v>
      </c>
      <c r="U205">
        <v>305.03056000000004</v>
      </c>
      <c r="V205">
        <v>30.4</v>
      </c>
      <c r="W205">
        <v>8779.52</v>
      </c>
      <c r="AE205">
        <v>41.666666666666664</v>
      </c>
      <c r="AF205">
        <v>877.952</v>
      </c>
      <c r="AG205">
        <v>877.952</v>
      </c>
      <c r="AH205">
        <v>438.97600000000006</v>
      </c>
      <c r="AI205">
        <v>877.95200000000011</v>
      </c>
      <c r="AJ205">
        <v>0</v>
      </c>
      <c r="AK205">
        <v>0</v>
      </c>
      <c r="AL205">
        <v>1755.904</v>
      </c>
      <c r="AM205">
        <v>11852.352000000001</v>
      </c>
      <c r="AN205">
        <v>11894.018666666665</v>
      </c>
      <c r="AO205">
        <v>11852.352000000001</v>
      </c>
      <c r="AQ205">
        <v>8821.1866666666665</v>
      </c>
      <c r="AR205">
        <v>24076.191999999999</v>
      </c>
      <c r="AS205">
        <v>10535.424000000001</v>
      </c>
      <c r="AT205">
        <v>0</v>
      </c>
      <c r="AU205">
        <v>13540.767999999998</v>
      </c>
      <c r="AV205">
        <v>1755.904</v>
      </c>
      <c r="AW205">
        <v>0</v>
      </c>
      <c r="AX205">
        <v>10577.090666666665</v>
      </c>
      <c r="AY205">
        <v>6332.06</v>
      </c>
      <c r="AZ205">
        <v>4245.0306666666647</v>
      </c>
      <c r="BA205">
        <v>0.10880000000000001</v>
      </c>
      <c r="BB205">
        <v>461.85933653333313</v>
      </c>
      <c r="BC205">
        <v>371.83</v>
      </c>
      <c r="BD205">
        <v>833.68933653333306</v>
      </c>
      <c r="BE205">
        <v>0</v>
      </c>
      <c r="BF205">
        <v>833.68933653333306</v>
      </c>
      <c r="BG205">
        <v>1.3888888888888888</v>
      </c>
      <c r="BH205">
        <v>0</v>
      </c>
      <c r="BI205">
        <v>306.41944888888895</v>
      </c>
      <c r="BJ205">
        <v>919.25834666666697</v>
      </c>
      <c r="BK205">
        <v>0</v>
      </c>
      <c r="BL205">
        <v>0</v>
      </c>
      <c r="BM205">
        <v>28.880000000000006</v>
      </c>
      <c r="BN205">
        <v>0</v>
      </c>
      <c r="BO205">
        <v>0</v>
      </c>
      <c r="BP205">
        <v>335.29944888888895</v>
      </c>
      <c r="BQ205">
        <v>335.29944888888895</v>
      </c>
      <c r="BR205">
        <v>0</v>
      </c>
      <c r="BS205">
        <v>25.147458666666672</v>
      </c>
      <c r="BT205">
        <v>37.721188000000005</v>
      </c>
      <c r="BU205">
        <v>62.868646666666685</v>
      </c>
      <c r="BV205">
        <v>113.16356400000001</v>
      </c>
      <c r="BW205">
        <v>238.90085733333336</v>
      </c>
      <c r="BX205">
        <v>10821.428472799998</v>
      </c>
      <c r="BY205">
        <v>877.95200000000011</v>
      </c>
      <c r="BZ205">
        <v>9943.4764727999991</v>
      </c>
      <c r="CA205">
        <v>11852.351999999999</v>
      </c>
      <c r="CB205">
        <v>355.57055999999994</v>
      </c>
      <c r="CC205">
        <v>335.29944888888895</v>
      </c>
      <c r="CD205">
        <v>692.41679999999997</v>
      </c>
      <c r="CE205">
        <v>0</v>
      </c>
      <c r="CF205">
        <v>70.41288426666668</v>
      </c>
      <c r="CG205">
        <v>105.61932640000002</v>
      </c>
      <c r="CH205">
        <v>167.13705158709337</v>
      </c>
      <c r="CI205">
        <v>176.03221066666671</v>
      </c>
      <c r="CJ205">
        <v>100.58983466666669</v>
      </c>
      <c r="CK205">
        <v>201.17966933333338</v>
      </c>
      <c r="CL205">
        <v>316.85797920000005</v>
      </c>
      <c r="CM205">
        <v>1830.2457561204269</v>
      </c>
      <c r="CN205">
        <v>502.94917333333348</v>
      </c>
      <c r="CO205">
        <v>2688.7654894537604</v>
      </c>
      <c r="CQ205">
        <v>360.80219178082194</v>
      </c>
      <c r="CR205">
        <v>132.29413698630137</v>
      </c>
      <c r="CS205">
        <v>370.36344986301373</v>
      </c>
      <c r="CT205">
        <v>15446.243934750564</v>
      </c>
      <c r="CY205">
        <v>0</v>
      </c>
      <c r="DB205">
        <v>10535.423999999999</v>
      </c>
      <c r="DC205">
        <v>105.82911643835583</v>
      </c>
      <c r="DE205" s="61">
        <v>15552.07305118892</v>
      </c>
    </row>
    <row r="206" spans="1:109" hidden="1" x14ac:dyDescent="0.3">
      <c r="A206">
        <v>1768</v>
      </c>
      <c r="B206" t="s">
        <v>602</v>
      </c>
      <c r="C206" t="s">
        <v>603</v>
      </c>
      <c r="D206" t="s">
        <v>604</v>
      </c>
      <c r="E206" t="s">
        <v>805</v>
      </c>
      <c r="F206" t="s">
        <v>691</v>
      </c>
      <c r="G206" t="s">
        <v>626</v>
      </c>
      <c r="H206" t="s">
        <v>622</v>
      </c>
      <c r="I206" t="s">
        <v>623</v>
      </c>
      <c r="J206" s="3">
        <v>45432</v>
      </c>
      <c r="K206">
        <v>0.70136986301369864</v>
      </c>
      <c r="L206">
        <v>0</v>
      </c>
      <c r="M206" t="s">
        <v>678</v>
      </c>
      <c r="N206" t="s">
        <v>678</v>
      </c>
      <c r="O206">
        <v>1.0492999999999999</v>
      </c>
      <c r="P206">
        <v>3439.4559999999997</v>
      </c>
      <c r="Q206">
        <v>3439.4559999999997</v>
      </c>
      <c r="R206">
        <v>290.7</v>
      </c>
      <c r="S206">
        <v>305.03150999999997</v>
      </c>
      <c r="T206">
        <v>60.45</v>
      </c>
      <c r="U206">
        <v>365.48150999999996</v>
      </c>
      <c r="V206">
        <v>30.4</v>
      </c>
      <c r="W206">
        <v>8837.2799999999988</v>
      </c>
      <c r="AE206">
        <v>41.666666666666664</v>
      </c>
      <c r="AF206">
        <v>883.72799999999995</v>
      </c>
      <c r="AG206">
        <v>883.72799999999995</v>
      </c>
      <c r="AH206">
        <v>441.86399999999998</v>
      </c>
      <c r="AI206">
        <v>883.72799999999995</v>
      </c>
      <c r="AJ206">
        <v>0</v>
      </c>
      <c r="AK206">
        <v>0</v>
      </c>
      <c r="AL206">
        <v>1767.4559999999999</v>
      </c>
      <c r="AM206">
        <v>11930.327999999998</v>
      </c>
      <c r="AN206">
        <v>11971.994666666662</v>
      </c>
      <c r="AO206">
        <v>11930.327999999998</v>
      </c>
      <c r="AQ206">
        <v>8837.2799999999988</v>
      </c>
      <c r="AR206">
        <v>24076.191999999999</v>
      </c>
      <c r="AS206">
        <v>10604.735999999999</v>
      </c>
      <c r="AT206">
        <v>0</v>
      </c>
      <c r="AU206">
        <v>13471.456</v>
      </c>
      <c r="AV206">
        <v>1767.4559999999999</v>
      </c>
      <c r="AW206">
        <v>0</v>
      </c>
      <c r="AX206">
        <v>10646.402666666663</v>
      </c>
      <c r="AY206">
        <v>6332.06</v>
      </c>
      <c r="AZ206">
        <v>4314.3426666666628</v>
      </c>
      <c r="BA206">
        <v>0.10880000000000001</v>
      </c>
      <c r="BB206">
        <v>469.40048213333296</v>
      </c>
      <c r="BC206">
        <v>371.83</v>
      </c>
      <c r="BD206">
        <v>841.230482133333</v>
      </c>
      <c r="BE206">
        <v>0</v>
      </c>
      <c r="BF206">
        <v>841.230482133333</v>
      </c>
      <c r="BG206">
        <v>1.3888888888888888</v>
      </c>
      <c r="BH206">
        <v>0</v>
      </c>
      <c r="BI206">
        <v>366.87039888888887</v>
      </c>
      <c r="BJ206">
        <v>1100.6111966666665</v>
      </c>
      <c r="BK206">
        <v>0</v>
      </c>
      <c r="BL206">
        <v>0</v>
      </c>
      <c r="BM206">
        <v>29.07</v>
      </c>
      <c r="BN206">
        <v>0</v>
      </c>
      <c r="BO206">
        <v>0</v>
      </c>
      <c r="BP206">
        <v>335.49039888888888</v>
      </c>
      <c r="BQ206">
        <v>335.49039888888888</v>
      </c>
      <c r="BR206">
        <v>0</v>
      </c>
      <c r="BS206">
        <v>25.161779916666667</v>
      </c>
      <c r="BT206">
        <v>37.742669874999997</v>
      </c>
      <c r="BU206">
        <v>62.904449791666671</v>
      </c>
      <c r="BV206">
        <v>113.228009625</v>
      </c>
      <c r="BW206">
        <v>239.03690920833333</v>
      </c>
      <c r="BX206">
        <v>10891.727275324996</v>
      </c>
      <c r="BY206">
        <v>883.72799999999995</v>
      </c>
      <c r="BZ206">
        <v>10007.999275324997</v>
      </c>
      <c r="CA206">
        <v>11930.327999999996</v>
      </c>
      <c r="CB206">
        <v>357.90983999999986</v>
      </c>
      <c r="CC206">
        <v>335.49039888888888</v>
      </c>
      <c r="CD206">
        <v>692.41679999999997</v>
      </c>
      <c r="CE206">
        <v>0</v>
      </c>
      <c r="CF206">
        <v>70.452983766666677</v>
      </c>
      <c r="CG206">
        <v>105.67947565</v>
      </c>
      <c r="CH206">
        <v>167.23223462454334</v>
      </c>
      <c r="CI206">
        <v>176.13245941666668</v>
      </c>
      <c r="CJ206">
        <v>100.64711966666667</v>
      </c>
      <c r="CK206">
        <v>201.29423933333334</v>
      </c>
      <c r="CL206">
        <v>317.03842694999997</v>
      </c>
      <c r="CM206">
        <v>1830.8937394078766</v>
      </c>
      <c r="CN206">
        <v>503.23559833333337</v>
      </c>
      <c r="CO206">
        <v>2692.0391777412096</v>
      </c>
      <c r="CQ206">
        <v>363.17589041095886</v>
      </c>
      <c r="CR206">
        <v>72.635178082191771</v>
      </c>
      <c r="CS206">
        <v>370.98417205479444</v>
      </c>
      <c r="CT206">
        <v>15470.829084955816</v>
      </c>
      <c r="CY206">
        <v>0</v>
      </c>
      <c r="DB206">
        <v>10604.735999999997</v>
      </c>
      <c r="DE206" s="61">
        <v>15470.829084955816</v>
      </c>
    </row>
    <row r="207" spans="1:109" hidden="1" x14ac:dyDescent="0.3">
      <c r="A207">
        <v>1194</v>
      </c>
      <c r="B207" t="s">
        <v>602</v>
      </c>
      <c r="C207" t="s">
        <v>603</v>
      </c>
      <c r="D207" t="s">
        <v>604</v>
      </c>
      <c r="E207" t="s">
        <v>696</v>
      </c>
      <c r="F207" t="s">
        <v>639</v>
      </c>
      <c r="G207" t="s">
        <v>621</v>
      </c>
      <c r="H207" t="s">
        <v>622</v>
      </c>
      <c r="I207" t="s">
        <v>623</v>
      </c>
      <c r="J207" s="3">
        <v>44221</v>
      </c>
      <c r="K207">
        <v>4.0191780821917806</v>
      </c>
      <c r="L207">
        <v>4</v>
      </c>
      <c r="M207" t="s">
        <v>668</v>
      </c>
      <c r="N207" t="s">
        <v>668</v>
      </c>
      <c r="O207">
        <v>1.0548</v>
      </c>
      <c r="P207">
        <v>3439.4559999999997</v>
      </c>
      <c r="Q207">
        <v>3439.4559999999997</v>
      </c>
      <c r="R207">
        <v>288.8</v>
      </c>
      <c r="S207">
        <v>304.62624</v>
      </c>
      <c r="T207">
        <v>0</v>
      </c>
      <c r="U207">
        <v>304.62624</v>
      </c>
      <c r="V207">
        <v>30.4</v>
      </c>
      <c r="W207">
        <v>8779.52</v>
      </c>
      <c r="AE207">
        <v>41.666666666666664</v>
      </c>
      <c r="AF207">
        <v>877.952</v>
      </c>
      <c r="AG207">
        <v>877.952</v>
      </c>
      <c r="AH207">
        <v>438.97600000000006</v>
      </c>
      <c r="AI207">
        <v>877.95200000000011</v>
      </c>
      <c r="AJ207">
        <v>0</v>
      </c>
      <c r="AK207">
        <v>0</v>
      </c>
      <c r="AL207">
        <v>1755.904</v>
      </c>
      <c r="AM207">
        <v>11852.352000000001</v>
      </c>
      <c r="AN207">
        <v>11894.018666666665</v>
      </c>
      <c r="AO207">
        <v>11852.352000000001</v>
      </c>
      <c r="AQ207">
        <v>8821.1866666666665</v>
      </c>
      <c r="AR207">
        <v>24076.191999999999</v>
      </c>
      <c r="AS207">
        <v>10535.424000000001</v>
      </c>
      <c r="AT207">
        <v>0</v>
      </c>
      <c r="AU207">
        <v>13540.767999999998</v>
      </c>
      <c r="AV207">
        <v>1755.904</v>
      </c>
      <c r="AW207">
        <v>0</v>
      </c>
      <c r="AX207">
        <v>10577.090666666665</v>
      </c>
      <c r="AY207">
        <v>6332.06</v>
      </c>
      <c r="AZ207">
        <v>4245.0306666666647</v>
      </c>
      <c r="BA207">
        <v>0.10880000000000001</v>
      </c>
      <c r="BB207">
        <v>461.85933653333313</v>
      </c>
      <c r="BC207">
        <v>371.83</v>
      </c>
      <c r="BD207">
        <v>833.68933653333306</v>
      </c>
      <c r="BE207">
        <v>0</v>
      </c>
      <c r="BF207">
        <v>833.68933653333306</v>
      </c>
      <c r="BG207">
        <v>1.3888888888888888</v>
      </c>
      <c r="BH207">
        <v>0</v>
      </c>
      <c r="BI207">
        <v>306.01512888888891</v>
      </c>
      <c r="BJ207">
        <v>918.04538666666667</v>
      </c>
      <c r="BK207">
        <v>0</v>
      </c>
      <c r="BL207">
        <v>0</v>
      </c>
      <c r="BM207">
        <v>28.880000000000006</v>
      </c>
      <c r="BN207">
        <v>0</v>
      </c>
      <c r="BO207">
        <v>0</v>
      </c>
      <c r="BP207">
        <v>334.89512888888891</v>
      </c>
      <c r="BQ207">
        <v>334.89512888888891</v>
      </c>
      <c r="BR207">
        <v>0</v>
      </c>
      <c r="BS207">
        <v>25.117134666666669</v>
      </c>
      <c r="BT207">
        <v>37.675702000000001</v>
      </c>
      <c r="BU207">
        <v>62.792836666666666</v>
      </c>
      <c r="BV207">
        <v>113.027106</v>
      </c>
      <c r="BW207">
        <v>238.61277933333335</v>
      </c>
      <c r="BX207">
        <v>10821.7165508</v>
      </c>
      <c r="BY207">
        <v>877.95200000000011</v>
      </c>
      <c r="BZ207">
        <v>9943.7645508000005</v>
      </c>
      <c r="CA207">
        <v>11852.351999999999</v>
      </c>
      <c r="CB207">
        <v>355.57055999999994</v>
      </c>
      <c r="CC207">
        <v>334.89512888888891</v>
      </c>
      <c r="CD207">
        <v>692.41679999999997</v>
      </c>
      <c r="CE207">
        <v>0</v>
      </c>
      <c r="CF207">
        <v>70.327977066666676</v>
      </c>
      <c r="CG207">
        <v>105.49196560000001</v>
      </c>
      <c r="CH207">
        <v>166.93550979237335</v>
      </c>
      <c r="CI207">
        <v>175.81994266666669</v>
      </c>
      <c r="CJ207">
        <v>100.46853866666667</v>
      </c>
      <c r="CK207">
        <v>200.93707733333335</v>
      </c>
      <c r="CL207">
        <v>316.47589679999999</v>
      </c>
      <c r="CM207">
        <v>1828.8737079257066</v>
      </c>
      <c r="CN207">
        <v>502.34269333333333</v>
      </c>
      <c r="CO207">
        <v>2686.7869612590403</v>
      </c>
      <c r="CQ207">
        <v>360.80219178082194</v>
      </c>
      <c r="CR207">
        <v>120.26739726027397</v>
      </c>
      <c r="CS207">
        <v>370.00264767123286</v>
      </c>
      <c r="CT207">
        <v>15431.877864638034</v>
      </c>
      <c r="CY207">
        <v>0</v>
      </c>
      <c r="DB207">
        <v>10535.423999999999</v>
      </c>
      <c r="DE207" s="61">
        <v>15431.877864638034</v>
      </c>
    </row>
    <row r="208" spans="1:109" hidden="1" x14ac:dyDescent="0.3">
      <c r="A208">
        <v>1378</v>
      </c>
      <c r="B208" t="s">
        <v>602</v>
      </c>
      <c r="C208" t="s">
        <v>603</v>
      </c>
      <c r="D208" t="s">
        <v>604</v>
      </c>
      <c r="E208" t="s">
        <v>721</v>
      </c>
      <c r="F208" t="s">
        <v>639</v>
      </c>
      <c r="G208" t="s">
        <v>621</v>
      </c>
      <c r="H208" t="s">
        <v>622</v>
      </c>
      <c r="I208" t="s">
        <v>623</v>
      </c>
      <c r="J208" s="3">
        <v>44473</v>
      </c>
      <c r="K208">
        <v>3.3287671232876712</v>
      </c>
      <c r="L208">
        <v>3</v>
      </c>
      <c r="M208" t="s">
        <v>698</v>
      </c>
      <c r="N208" t="s">
        <v>698</v>
      </c>
      <c r="O208">
        <v>1.0533999999999999</v>
      </c>
      <c r="P208">
        <v>3439.4559999999997</v>
      </c>
      <c r="Q208">
        <v>3439.4559999999997</v>
      </c>
      <c r="R208">
        <v>288.8</v>
      </c>
      <c r="S208">
        <v>304.22191999999995</v>
      </c>
      <c r="T208">
        <v>0</v>
      </c>
      <c r="U208">
        <v>304.22191999999995</v>
      </c>
      <c r="V208">
        <v>30.4</v>
      </c>
      <c r="W208">
        <v>8779.52</v>
      </c>
      <c r="AE208">
        <v>41.666666666666664</v>
      </c>
      <c r="AF208">
        <v>877.952</v>
      </c>
      <c r="AG208">
        <v>877.952</v>
      </c>
      <c r="AH208">
        <v>438.97600000000006</v>
      </c>
      <c r="AI208">
        <v>877.95200000000011</v>
      </c>
      <c r="AJ208">
        <v>0</v>
      </c>
      <c r="AK208">
        <v>0</v>
      </c>
      <c r="AL208">
        <v>1755.904</v>
      </c>
      <c r="AM208">
        <v>11852.352000000001</v>
      </c>
      <c r="AN208">
        <v>11894.018666666665</v>
      </c>
      <c r="AO208">
        <v>11852.352000000001</v>
      </c>
      <c r="AQ208">
        <v>8821.1866666666665</v>
      </c>
      <c r="AR208">
        <v>24076.191999999999</v>
      </c>
      <c r="AS208">
        <v>10535.424000000001</v>
      </c>
      <c r="AT208">
        <v>0</v>
      </c>
      <c r="AU208">
        <v>13540.767999999998</v>
      </c>
      <c r="AV208">
        <v>1755.904</v>
      </c>
      <c r="AW208">
        <v>0</v>
      </c>
      <c r="AX208">
        <v>10577.090666666665</v>
      </c>
      <c r="AY208">
        <v>6332.06</v>
      </c>
      <c r="AZ208">
        <v>4245.0306666666647</v>
      </c>
      <c r="BA208">
        <v>0.10880000000000001</v>
      </c>
      <c r="BB208">
        <v>461.85933653333313</v>
      </c>
      <c r="BC208">
        <v>371.83</v>
      </c>
      <c r="BD208">
        <v>833.68933653333306</v>
      </c>
      <c r="BE208">
        <v>0</v>
      </c>
      <c r="BF208">
        <v>833.68933653333306</v>
      </c>
      <c r="BG208">
        <v>1.3888888888888888</v>
      </c>
      <c r="BH208">
        <v>0</v>
      </c>
      <c r="BI208">
        <v>305.61080888888887</v>
      </c>
      <c r="BJ208">
        <v>916.83242666666672</v>
      </c>
      <c r="BK208">
        <v>0</v>
      </c>
      <c r="BL208">
        <v>0</v>
      </c>
      <c r="BM208">
        <v>28.880000000000006</v>
      </c>
      <c r="BN208">
        <v>0</v>
      </c>
      <c r="BO208">
        <v>0</v>
      </c>
      <c r="BP208">
        <v>334.49080888888886</v>
      </c>
      <c r="BQ208">
        <v>334.49080888888886</v>
      </c>
      <c r="BR208">
        <v>0</v>
      </c>
      <c r="BS208">
        <v>25.086810666666668</v>
      </c>
      <c r="BT208">
        <v>37.630215999999997</v>
      </c>
      <c r="BU208">
        <v>62.717026666666662</v>
      </c>
      <c r="BV208">
        <v>112.89064799999998</v>
      </c>
      <c r="BW208">
        <v>238.32470133333334</v>
      </c>
      <c r="BX208">
        <v>10822.004628799999</v>
      </c>
      <c r="BY208">
        <v>877.95200000000011</v>
      </c>
      <c r="BZ208">
        <v>9944.0526288000001</v>
      </c>
      <c r="CA208">
        <v>11852.351999999999</v>
      </c>
      <c r="CB208">
        <v>355.57055999999994</v>
      </c>
      <c r="CC208">
        <v>334.49080888888886</v>
      </c>
      <c r="CD208">
        <v>692.41679999999997</v>
      </c>
      <c r="CE208">
        <v>0</v>
      </c>
      <c r="CF208">
        <v>70.243069866666659</v>
      </c>
      <c r="CG208">
        <v>105.3646048</v>
      </c>
      <c r="CH208">
        <v>166.73396799765331</v>
      </c>
      <c r="CI208">
        <v>175.60767466666667</v>
      </c>
      <c r="CJ208">
        <v>100.34724266666667</v>
      </c>
      <c r="CK208">
        <v>200.69448533333335</v>
      </c>
      <c r="CL208">
        <v>316.09381439999999</v>
      </c>
      <c r="CM208">
        <v>1827.5016597309868</v>
      </c>
      <c r="CN208">
        <v>501.7362133333333</v>
      </c>
      <c r="CO208">
        <v>2684.8084330643201</v>
      </c>
      <c r="CQ208">
        <v>360.80219178082194</v>
      </c>
      <c r="CR208">
        <v>108.24065753424657</v>
      </c>
      <c r="CS208">
        <v>369.64184547945206</v>
      </c>
      <c r="CT208">
        <v>15417.511794525504</v>
      </c>
      <c r="CY208">
        <v>0</v>
      </c>
      <c r="DB208">
        <v>10535.423999999999</v>
      </c>
      <c r="DE208" s="61">
        <v>15417.511794525504</v>
      </c>
    </row>
    <row r="209" spans="1:109" hidden="1" x14ac:dyDescent="0.3">
      <c r="A209">
        <v>1431</v>
      </c>
      <c r="B209" t="s">
        <v>602</v>
      </c>
      <c r="C209" t="s">
        <v>603</v>
      </c>
      <c r="D209" t="s">
        <v>604</v>
      </c>
      <c r="E209" t="s">
        <v>731</v>
      </c>
      <c r="F209" t="s">
        <v>639</v>
      </c>
      <c r="G209" t="s">
        <v>621</v>
      </c>
      <c r="H209" t="s">
        <v>622</v>
      </c>
      <c r="I209" t="s">
        <v>623</v>
      </c>
      <c r="J209" s="3">
        <v>44585</v>
      </c>
      <c r="K209">
        <v>3.021917808219178</v>
      </c>
      <c r="L209">
        <v>3</v>
      </c>
      <c r="M209" t="s">
        <v>698</v>
      </c>
      <c r="N209" t="s">
        <v>698</v>
      </c>
      <c r="O209">
        <v>1.0533999999999999</v>
      </c>
      <c r="P209">
        <v>3439.4559999999997</v>
      </c>
      <c r="Q209">
        <v>3439.4559999999997</v>
      </c>
      <c r="R209">
        <v>288.8</v>
      </c>
      <c r="S209">
        <v>304.22191999999995</v>
      </c>
      <c r="T209">
        <v>0</v>
      </c>
      <c r="U209">
        <v>304.22191999999995</v>
      </c>
      <c r="V209">
        <v>30.4</v>
      </c>
      <c r="W209">
        <v>8779.52</v>
      </c>
      <c r="AE209">
        <v>41.666666666666664</v>
      </c>
      <c r="AF209">
        <v>877.952</v>
      </c>
      <c r="AG209">
        <v>877.952</v>
      </c>
      <c r="AH209">
        <v>438.97600000000006</v>
      </c>
      <c r="AI209">
        <v>877.95200000000011</v>
      </c>
      <c r="AJ209">
        <v>0</v>
      </c>
      <c r="AK209">
        <v>0</v>
      </c>
      <c r="AL209">
        <v>1755.904</v>
      </c>
      <c r="AM209">
        <v>11852.352000000001</v>
      </c>
      <c r="AN209">
        <v>11894.018666666665</v>
      </c>
      <c r="AO209">
        <v>11852.352000000001</v>
      </c>
      <c r="AQ209">
        <v>8821.1866666666665</v>
      </c>
      <c r="AR209">
        <v>24076.191999999999</v>
      </c>
      <c r="AS209">
        <v>10535.424000000001</v>
      </c>
      <c r="AT209">
        <v>0</v>
      </c>
      <c r="AU209">
        <v>13540.767999999998</v>
      </c>
      <c r="AV209">
        <v>1755.904</v>
      </c>
      <c r="AW209">
        <v>0</v>
      </c>
      <c r="AX209">
        <v>10577.090666666665</v>
      </c>
      <c r="AY209">
        <v>6332.06</v>
      </c>
      <c r="AZ209">
        <v>4245.0306666666647</v>
      </c>
      <c r="BA209">
        <v>0.10880000000000001</v>
      </c>
      <c r="BB209">
        <v>461.85933653333313</v>
      </c>
      <c r="BC209">
        <v>371.83</v>
      </c>
      <c r="BD209">
        <v>833.68933653333306</v>
      </c>
      <c r="BE209">
        <v>0</v>
      </c>
      <c r="BF209">
        <v>833.68933653333306</v>
      </c>
      <c r="BG209">
        <v>1.3888888888888888</v>
      </c>
      <c r="BH209">
        <v>0</v>
      </c>
      <c r="BI209">
        <v>305.61080888888887</v>
      </c>
      <c r="BJ209">
        <v>916.83242666666672</v>
      </c>
      <c r="BK209">
        <v>0</v>
      </c>
      <c r="BL209">
        <v>0</v>
      </c>
      <c r="BM209">
        <v>28.880000000000006</v>
      </c>
      <c r="BN209">
        <v>0</v>
      </c>
      <c r="BO209">
        <v>0</v>
      </c>
      <c r="BP209">
        <v>334.49080888888886</v>
      </c>
      <c r="BQ209">
        <v>334.49080888888886</v>
      </c>
      <c r="BR209">
        <v>0</v>
      </c>
      <c r="BS209">
        <v>25.086810666666668</v>
      </c>
      <c r="BT209">
        <v>37.630215999999997</v>
      </c>
      <c r="BU209">
        <v>62.717026666666662</v>
      </c>
      <c r="BV209">
        <v>112.89064799999998</v>
      </c>
      <c r="BW209">
        <v>238.32470133333334</v>
      </c>
      <c r="BX209">
        <v>10822.004628799999</v>
      </c>
      <c r="BY209">
        <v>877.95200000000011</v>
      </c>
      <c r="BZ209">
        <v>9944.0526288000001</v>
      </c>
      <c r="CA209">
        <v>11852.351999999999</v>
      </c>
      <c r="CB209">
        <v>355.57055999999994</v>
      </c>
      <c r="CC209">
        <v>334.49080888888886</v>
      </c>
      <c r="CD209">
        <v>692.41679999999997</v>
      </c>
      <c r="CE209">
        <v>0</v>
      </c>
      <c r="CF209">
        <v>70.243069866666659</v>
      </c>
      <c r="CG209">
        <v>105.3646048</v>
      </c>
      <c r="CH209">
        <v>166.73396799765331</v>
      </c>
      <c r="CI209">
        <v>175.60767466666667</v>
      </c>
      <c r="CJ209">
        <v>100.34724266666667</v>
      </c>
      <c r="CK209">
        <v>200.69448533333335</v>
      </c>
      <c r="CL209">
        <v>316.09381439999999</v>
      </c>
      <c r="CM209">
        <v>1827.5016597309868</v>
      </c>
      <c r="CN209">
        <v>501.7362133333333</v>
      </c>
      <c r="CO209">
        <v>2684.8084330643201</v>
      </c>
      <c r="CQ209">
        <v>360.80219178082194</v>
      </c>
      <c r="CR209">
        <v>108.24065753424657</v>
      </c>
      <c r="CS209">
        <v>369.64184547945206</v>
      </c>
      <c r="CT209">
        <v>15417.511794525504</v>
      </c>
      <c r="CY209">
        <v>0</v>
      </c>
      <c r="DB209">
        <v>10535.423999999999</v>
      </c>
      <c r="DE209" s="61">
        <v>15417.511794525504</v>
      </c>
    </row>
    <row r="210" spans="1:109" hidden="1" x14ac:dyDescent="0.3">
      <c r="A210">
        <v>1542</v>
      </c>
      <c r="B210" t="s">
        <v>611</v>
      </c>
      <c r="C210" t="s">
        <v>603</v>
      </c>
      <c r="D210" t="s">
        <v>604</v>
      </c>
      <c r="E210" t="s">
        <v>753</v>
      </c>
      <c r="F210" t="s">
        <v>639</v>
      </c>
      <c r="G210" t="s">
        <v>640</v>
      </c>
      <c r="H210" t="s">
        <v>608</v>
      </c>
      <c r="I210" t="s">
        <v>609</v>
      </c>
      <c r="J210" s="3">
        <v>44796</v>
      </c>
      <c r="K210">
        <v>2.4438356164383563</v>
      </c>
      <c r="L210">
        <v>2</v>
      </c>
      <c r="M210" t="s">
        <v>735</v>
      </c>
      <c r="N210" t="s">
        <v>735</v>
      </c>
      <c r="O210">
        <v>1.0521</v>
      </c>
      <c r="P210">
        <v>3439.4559999999997</v>
      </c>
      <c r="Q210">
        <v>3439.4559999999997</v>
      </c>
      <c r="R210">
        <v>288.8</v>
      </c>
      <c r="S210">
        <v>303.84648000000004</v>
      </c>
      <c r="T210">
        <v>10.85</v>
      </c>
      <c r="U210">
        <v>314.69648000000007</v>
      </c>
      <c r="V210">
        <v>30.4</v>
      </c>
      <c r="W210">
        <v>8779.52</v>
      </c>
      <c r="AE210">
        <v>41.666666666666664</v>
      </c>
      <c r="AF210">
        <v>877.952</v>
      </c>
      <c r="AG210">
        <v>877.952</v>
      </c>
      <c r="AH210">
        <v>438.97600000000006</v>
      </c>
      <c r="AI210">
        <v>877.95200000000011</v>
      </c>
      <c r="AJ210">
        <v>0</v>
      </c>
      <c r="AK210">
        <v>0</v>
      </c>
      <c r="AL210">
        <v>1755.904</v>
      </c>
      <c r="AM210">
        <v>11852.352000000001</v>
      </c>
      <c r="AN210">
        <v>11894.018666666665</v>
      </c>
      <c r="AO210">
        <v>11852.352000000001</v>
      </c>
      <c r="AQ210">
        <v>8821.1866666666665</v>
      </c>
      <c r="AR210">
        <v>24076.191999999999</v>
      </c>
      <c r="AS210">
        <v>10535.424000000001</v>
      </c>
      <c r="AT210">
        <v>0</v>
      </c>
      <c r="AU210">
        <v>13540.767999999998</v>
      </c>
      <c r="AV210">
        <v>1755.904</v>
      </c>
      <c r="AW210">
        <v>0</v>
      </c>
      <c r="AX210">
        <v>10577.090666666665</v>
      </c>
      <c r="AY210">
        <v>6332.06</v>
      </c>
      <c r="AZ210">
        <v>4245.0306666666647</v>
      </c>
      <c r="BA210">
        <v>0.10880000000000001</v>
      </c>
      <c r="BB210">
        <v>461.85933653333313</v>
      </c>
      <c r="BC210">
        <v>371.83</v>
      </c>
      <c r="BD210">
        <v>833.68933653333306</v>
      </c>
      <c r="BE210">
        <v>0</v>
      </c>
      <c r="BF210">
        <v>833.68933653333306</v>
      </c>
      <c r="BG210">
        <v>1.3888888888888888</v>
      </c>
      <c r="BH210">
        <v>0</v>
      </c>
      <c r="BI210">
        <v>316.08536888888898</v>
      </c>
      <c r="BJ210">
        <v>948.25610666666694</v>
      </c>
      <c r="BK210">
        <v>0</v>
      </c>
      <c r="BL210">
        <v>0</v>
      </c>
      <c r="BM210">
        <v>28.880000000000006</v>
      </c>
      <c r="BN210">
        <v>0</v>
      </c>
      <c r="BO210">
        <v>0</v>
      </c>
      <c r="BP210">
        <v>334.11536888888895</v>
      </c>
      <c r="BQ210">
        <v>334.11536888888895</v>
      </c>
      <c r="BR210">
        <v>0</v>
      </c>
      <c r="BS210">
        <v>25.058652666666674</v>
      </c>
      <c r="BT210">
        <v>37.587979000000004</v>
      </c>
      <c r="BU210">
        <v>62.646631666666678</v>
      </c>
      <c r="BV210">
        <v>112.76393700000003</v>
      </c>
      <c r="BW210">
        <v>238.05720033333338</v>
      </c>
      <c r="BX210">
        <v>10822.2721298</v>
      </c>
      <c r="BY210">
        <v>877.95200000000011</v>
      </c>
      <c r="BZ210">
        <v>9944.3201298000004</v>
      </c>
      <c r="CA210">
        <v>11852.351999999999</v>
      </c>
      <c r="CB210">
        <v>355.57055999999994</v>
      </c>
      <c r="CC210">
        <v>334.11536888888895</v>
      </c>
      <c r="CD210">
        <v>692.41679999999997</v>
      </c>
      <c r="CE210">
        <v>0</v>
      </c>
      <c r="CF210">
        <v>70.164227466666674</v>
      </c>
      <c r="CG210">
        <v>105.24634120000003</v>
      </c>
      <c r="CH210">
        <v>166.54682204541336</v>
      </c>
      <c r="CI210">
        <v>175.41056866666673</v>
      </c>
      <c r="CJ210">
        <v>100.2346106666667</v>
      </c>
      <c r="CK210">
        <v>200.46922133333339</v>
      </c>
      <c r="CL210">
        <v>315.73902360000005</v>
      </c>
      <c r="CM210">
        <v>1826.2276149787472</v>
      </c>
      <c r="CN210">
        <v>501.17305333333343</v>
      </c>
      <c r="CO210">
        <v>2682.9712283120807</v>
      </c>
      <c r="CQ210">
        <v>360.80219178082194</v>
      </c>
      <c r="CR210">
        <v>96.213917808219179</v>
      </c>
      <c r="CS210">
        <v>369.28104328767125</v>
      </c>
      <c r="CT210">
        <v>15403.287047855458</v>
      </c>
      <c r="CY210">
        <v>0</v>
      </c>
      <c r="DB210">
        <v>10535.423999999999</v>
      </c>
      <c r="DE210" s="61">
        <v>15403.287047855458</v>
      </c>
    </row>
    <row r="211" spans="1:109" hidden="1" x14ac:dyDescent="0.3">
      <c r="A211">
        <v>1779</v>
      </c>
      <c r="B211" t="s">
        <v>637</v>
      </c>
      <c r="C211" t="s">
        <v>603</v>
      </c>
      <c r="D211" t="s">
        <v>604</v>
      </c>
      <c r="E211" t="s">
        <v>810</v>
      </c>
      <c r="F211" t="s">
        <v>639</v>
      </c>
      <c r="G211" t="s">
        <v>640</v>
      </c>
      <c r="H211" t="s">
        <v>622</v>
      </c>
      <c r="I211" t="s">
        <v>623</v>
      </c>
      <c r="J211" s="3">
        <v>45460</v>
      </c>
      <c r="K211">
        <v>0.62465753424657533</v>
      </c>
      <c r="L211">
        <v>0</v>
      </c>
      <c r="M211" t="s">
        <v>678</v>
      </c>
      <c r="N211" t="s">
        <v>678</v>
      </c>
      <c r="O211">
        <v>1.0492999999999999</v>
      </c>
      <c r="P211">
        <v>3439.4559999999997</v>
      </c>
      <c r="Q211">
        <v>3439.4559999999997</v>
      </c>
      <c r="R211">
        <v>288.8</v>
      </c>
      <c r="S211">
        <v>303.03783999999996</v>
      </c>
      <c r="T211">
        <v>0</v>
      </c>
      <c r="U211">
        <v>303.03783999999996</v>
      </c>
      <c r="V211">
        <v>30.4</v>
      </c>
      <c r="W211">
        <v>8779.52</v>
      </c>
      <c r="AE211">
        <v>41.666666666666664</v>
      </c>
      <c r="AF211">
        <v>877.952</v>
      </c>
      <c r="AG211">
        <v>877.952</v>
      </c>
      <c r="AH211">
        <v>438.97600000000006</v>
      </c>
      <c r="AI211">
        <v>877.95200000000011</v>
      </c>
      <c r="AJ211">
        <v>0</v>
      </c>
      <c r="AK211">
        <v>0</v>
      </c>
      <c r="AL211">
        <v>1755.904</v>
      </c>
      <c r="AM211">
        <v>11852.352000000001</v>
      </c>
      <c r="AN211">
        <v>11894.018666666665</v>
      </c>
      <c r="AO211">
        <v>11852.352000000001</v>
      </c>
      <c r="AR211">
        <v>24076.191999999999</v>
      </c>
      <c r="AS211">
        <v>10535.424000000001</v>
      </c>
      <c r="AT211">
        <v>0</v>
      </c>
      <c r="AU211">
        <v>13540.767999999998</v>
      </c>
      <c r="AV211">
        <v>1755.904</v>
      </c>
      <c r="AW211">
        <v>0</v>
      </c>
      <c r="AX211">
        <v>10577.090666666665</v>
      </c>
      <c r="AY211">
        <v>6332.06</v>
      </c>
      <c r="AZ211">
        <v>4245.0306666666647</v>
      </c>
      <c r="BA211">
        <v>0.10880000000000001</v>
      </c>
      <c r="BB211">
        <v>461.85933653333313</v>
      </c>
      <c r="BC211">
        <v>371.83</v>
      </c>
      <c r="BD211">
        <v>833.68933653333306</v>
      </c>
      <c r="BE211">
        <v>0</v>
      </c>
      <c r="BF211">
        <v>833.68933653333306</v>
      </c>
      <c r="BG211">
        <v>1.3888888888888888</v>
      </c>
      <c r="BH211">
        <v>0</v>
      </c>
      <c r="BI211">
        <v>304.42672888888887</v>
      </c>
      <c r="BJ211">
        <v>913.28018666666674</v>
      </c>
      <c r="BK211">
        <v>0</v>
      </c>
      <c r="BL211">
        <v>0</v>
      </c>
      <c r="BM211">
        <v>28.880000000000006</v>
      </c>
      <c r="BN211">
        <v>0</v>
      </c>
      <c r="BO211">
        <v>0</v>
      </c>
      <c r="BP211">
        <v>333.30672888888887</v>
      </c>
      <c r="BQ211">
        <v>333.30672888888887</v>
      </c>
      <c r="BR211">
        <v>0</v>
      </c>
      <c r="BS211">
        <v>24.998004666666663</v>
      </c>
      <c r="BT211">
        <v>37.497006999999996</v>
      </c>
      <c r="BU211">
        <v>62.49501166666667</v>
      </c>
      <c r="BV211">
        <v>112.49102099999999</v>
      </c>
      <c r="BW211">
        <v>237.48104433333333</v>
      </c>
      <c r="BX211">
        <v>10822.848285799999</v>
      </c>
      <c r="BY211">
        <v>877.95200000000011</v>
      </c>
      <c r="BZ211">
        <v>9944.8962857999995</v>
      </c>
      <c r="CA211">
        <v>11852.351999999999</v>
      </c>
      <c r="CB211">
        <v>355.57055999999994</v>
      </c>
      <c r="CC211">
        <v>333.30672888888887</v>
      </c>
      <c r="CD211">
        <v>692.41679999999997</v>
      </c>
      <c r="CE211">
        <v>0</v>
      </c>
      <c r="CF211">
        <v>69.994413066666667</v>
      </c>
      <c r="CG211">
        <v>104.99161959999999</v>
      </c>
      <c r="CH211">
        <v>166.14373845597333</v>
      </c>
      <c r="CI211">
        <v>174.98603266666669</v>
      </c>
      <c r="CJ211">
        <v>99.992018666666652</v>
      </c>
      <c r="CK211">
        <v>199.9840373333333</v>
      </c>
      <c r="CL211">
        <v>314.97485879999999</v>
      </c>
      <c r="CM211">
        <v>1823.4835185893066</v>
      </c>
      <c r="CN211">
        <v>499.96009333333336</v>
      </c>
      <c r="CO211">
        <v>2679.0141719226403</v>
      </c>
      <c r="CQ211">
        <v>360.80219178082194</v>
      </c>
      <c r="CR211">
        <v>72.160438356164377</v>
      </c>
      <c r="CS211">
        <v>368.55943890410958</v>
      </c>
      <c r="CT211">
        <v>15374.5549076304</v>
      </c>
      <c r="CY211">
        <v>0</v>
      </c>
      <c r="DB211">
        <v>10535.423999999999</v>
      </c>
      <c r="DE211" s="61">
        <v>15374.5549076304</v>
      </c>
    </row>
    <row r="212" spans="1:109" hidden="1" x14ac:dyDescent="0.3">
      <c r="A212">
        <v>1807</v>
      </c>
      <c r="B212" t="s">
        <v>658</v>
      </c>
      <c r="C212" t="s">
        <v>603</v>
      </c>
      <c r="D212" t="s">
        <v>604</v>
      </c>
      <c r="E212" t="s">
        <v>832</v>
      </c>
      <c r="F212" t="s">
        <v>639</v>
      </c>
      <c r="G212" t="s">
        <v>621</v>
      </c>
      <c r="H212" t="s">
        <v>622</v>
      </c>
      <c r="I212" t="s">
        <v>623</v>
      </c>
      <c r="J212" s="3">
        <v>45552</v>
      </c>
      <c r="K212">
        <v>0.37260273972602742</v>
      </c>
      <c r="L212">
        <v>0</v>
      </c>
      <c r="M212" t="s">
        <v>678</v>
      </c>
      <c r="N212" t="s">
        <v>678</v>
      </c>
      <c r="O212">
        <v>1.0492999999999999</v>
      </c>
      <c r="P212">
        <v>3439.4559999999997</v>
      </c>
      <c r="Q212">
        <v>3439.4559999999997</v>
      </c>
      <c r="R212">
        <v>288.8</v>
      </c>
      <c r="S212">
        <v>303.03783999999996</v>
      </c>
      <c r="T212">
        <v>0</v>
      </c>
      <c r="U212">
        <v>303.03783999999996</v>
      </c>
      <c r="V212">
        <v>30.4</v>
      </c>
      <c r="W212">
        <v>8779.52</v>
      </c>
      <c r="AE212">
        <v>41.666666666666664</v>
      </c>
      <c r="AF212">
        <v>877.952</v>
      </c>
      <c r="AG212">
        <v>877.952</v>
      </c>
      <c r="AH212">
        <v>438.97600000000006</v>
      </c>
      <c r="AI212">
        <v>877.95200000000011</v>
      </c>
      <c r="AJ212">
        <v>0</v>
      </c>
      <c r="AK212">
        <v>0</v>
      </c>
      <c r="AL212">
        <v>1755.904</v>
      </c>
      <c r="AM212">
        <v>11852.352000000001</v>
      </c>
      <c r="AN212">
        <v>11894.018666666665</v>
      </c>
      <c r="AO212">
        <v>11852.352000000001</v>
      </c>
      <c r="AQ212">
        <v>8821.1866666666665</v>
      </c>
      <c r="AR212">
        <v>24076.191999999999</v>
      </c>
      <c r="AS212">
        <v>10535.424000000001</v>
      </c>
      <c r="AT212">
        <v>0</v>
      </c>
      <c r="AU212">
        <v>13540.767999999998</v>
      </c>
      <c r="AV212">
        <v>1755.904</v>
      </c>
      <c r="AW212">
        <v>0</v>
      </c>
      <c r="AX212">
        <v>10577.090666666665</v>
      </c>
      <c r="AY212">
        <v>6332.06</v>
      </c>
      <c r="AZ212">
        <v>4245.0306666666647</v>
      </c>
      <c r="BA212">
        <v>0.10880000000000001</v>
      </c>
      <c r="BB212">
        <v>461.85933653333313</v>
      </c>
      <c r="BC212">
        <v>371.83</v>
      </c>
      <c r="BD212">
        <v>833.68933653333306</v>
      </c>
      <c r="BE212">
        <v>0</v>
      </c>
      <c r="BF212">
        <v>833.68933653333306</v>
      </c>
      <c r="BG212">
        <v>1.3888888888888888</v>
      </c>
      <c r="BH212">
        <v>0</v>
      </c>
      <c r="BI212">
        <v>304.42672888888887</v>
      </c>
      <c r="BJ212">
        <v>913.28018666666674</v>
      </c>
      <c r="BK212">
        <v>0</v>
      </c>
      <c r="BL212">
        <v>0</v>
      </c>
      <c r="BM212">
        <v>28.880000000000006</v>
      </c>
      <c r="BN212">
        <v>0</v>
      </c>
      <c r="BO212">
        <v>0</v>
      </c>
      <c r="BP212">
        <v>333.30672888888887</v>
      </c>
      <c r="BQ212">
        <v>333.30672888888887</v>
      </c>
      <c r="BR212">
        <v>0</v>
      </c>
      <c r="BS212">
        <v>24.998004666666663</v>
      </c>
      <c r="BT212">
        <v>37.497006999999996</v>
      </c>
      <c r="BU212">
        <v>62.49501166666667</v>
      </c>
      <c r="BV212">
        <v>112.49102099999999</v>
      </c>
      <c r="BW212">
        <v>237.48104433333333</v>
      </c>
      <c r="BX212">
        <v>10822.848285799999</v>
      </c>
      <c r="BY212">
        <v>877.95200000000011</v>
      </c>
      <c r="BZ212">
        <v>9944.8962857999995</v>
      </c>
      <c r="CA212">
        <v>11852.351999999999</v>
      </c>
      <c r="CB212">
        <v>355.57055999999994</v>
      </c>
      <c r="CC212">
        <v>333.30672888888887</v>
      </c>
      <c r="CD212">
        <v>692.41679999999997</v>
      </c>
      <c r="CE212">
        <v>0</v>
      </c>
      <c r="CF212">
        <v>69.994413066666667</v>
      </c>
      <c r="CG212">
        <v>104.99161959999999</v>
      </c>
      <c r="CH212">
        <v>166.14373845597333</v>
      </c>
      <c r="CI212">
        <v>174.98603266666669</v>
      </c>
      <c r="CJ212">
        <v>99.992018666666652</v>
      </c>
      <c r="CK212">
        <v>199.9840373333333</v>
      </c>
      <c r="CL212">
        <v>314.97485879999999</v>
      </c>
      <c r="CM212">
        <v>1823.4835185893066</v>
      </c>
      <c r="CN212">
        <v>499.96009333333336</v>
      </c>
      <c r="CO212">
        <v>2679.0141719226403</v>
      </c>
      <c r="CQ212">
        <v>360.80219178082194</v>
      </c>
      <c r="CR212">
        <v>72.160438356164377</v>
      </c>
      <c r="CS212">
        <v>368.55943890410958</v>
      </c>
      <c r="CT212">
        <v>15374.5549076304</v>
      </c>
      <c r="CY212">
        <v>0</v>
      </c>
      <c r="DB212">
        <v>10535.423999999999</v>
      </c>
      <c r="DE212" s="61">
        <v>15374.5549076304</v>
      </c>
    </row>
    <row r="213" spans="1:109" hidden="1" x14ac:dyDescent="0.3">
      <c r="A213">
        <v>1812</v>
      </c>
      <c r="B213" t="s">
        <v>602</v>
      </c>
      <c r="C213" t="s">
        <v>603</v>
      </c>
      <c r="D213" t="s">
        <v>604</v>
      </c>
      <c r="E213" t="s">
        <v>836</v>
      </c>
      <c r="F213" t="s">
        <v>837</v>
      </c>
      <c r="G213" t="s">
        <v>653</v>
      </c>
      <c r="H213" t="s">
        <v>622</v>
      </c>
      <c r="I213" t="s">
        <v>623</v>
      </c>
      <c r="J213" s="3">
        <v>45558</v>
      </c>
      <c r="K213">
        <v>0.35616438356164382</v>
      </c>
      <c r="L213">
        <v>0</v>
      </c>
      <c r="M213" t="s">
        <v>678</v>
      </c>
      <c r="N213" t="s">
        <v>678</v>
      </c>
      <c r="O213">
        <v>1.0492999999999999</v>
      </c>
      <c r="P213">
        <v>3439.4559999999997</v>
      </c>
      <c r="Q213">
        <v>3439.4559999999997</v>
      </c>
      <c r="R213">
        <v>288.8</v>
      </c>
      <c r="S213">
        <v>303.03783999999996</v>
      </c>
      <c r="T213">
        <v>0</v>
      </c>
      <c r="U213">
        <v>303.03783999999996</v>
      </c>
      <c r="V213">
        <v>30.4</v>
      </c>
      <c r="W213">
        <v>8779.52</v>
      </c>
      <c r="AE213">
        <v>41.666666666666664</v>
      </c>
      <c r="AF213">
        <v>877.952</v>
      </c>
      <c r="AG213">
        <v>877.952</v>
      </c>
      <c r="AH213">
        <v>438.97600000000006</v>
      </c>
      <c r="AI213">
        <v>877.95200000000011</v>
      </c>
      <c r="AJ213">
        <v>0</v>
      </c>
      <c r="AK213">
        <v>0</v>
      </c>
      <c r="AL213">
        <v>1755.904</v>
      </c>
      <c r="AM213">
        <v>11852.352000000001</v>
      </c>
      <c r="AN213">
        <v>11894.018666666665</v>
      </c>
      <c r="AO213">
        <v>11852.352000000001</v>
      </c>
      <c r="AQ213">
        <v>8821.1866666666665</v>
      </c>
      <c r="AR213">
        <v>24076.191999999999</v>
      </c>
      <c r="AS213">
        <v>10535.424000000001</v>
      </c>
      <c r="AT213">
        <v>0</v>
      </c>
      <c r="AU213">
        <v>13540.767999999998</v>
      </c>
      <c r="AV213">
        <v>1755.904</v>
      </c>
      <c r="AW213">
        <v>0</v>
      </c>
      <c r="AX213">
        <v>10577.090666666665</v>
      </c>
      <c r="AY213">
        <v>6332.06</v>
      </c>
      <c r="AZ213">
        <v>4245.0306666666647</v>
      </c>
      <c r="BA213">
        <v>0.10880000000000001</v>
      </c>
      <c r="BB213">
        <v>461.85933653333313</v>
      </c>
      <c r="BC213">
        <v>371.83</v>
      </c>
      <c r="BD213">
        <v>833.68933653333306</v>
      </c>
      <c r="BE213">
        <v>0</v>
      </c>
      <c r="BF213">
        <v>833.68933653333306</v>
      </c>
      <c r="BG213">
        <v>1.3888888888888888</v>
      </c>
      <c r="BH213">
        <v>0</v>
      </c>
      <c r="BI213">
        <v>304.42672888888887</v>
      </c>
      <c r="BJ213">
        <v>913.28018666666674</v>
      </c>
      <c r="BK213">
        <v>0</v>
      </c>
      <c r="BL213">
        <v>0</v>
      </c>
      <c r="BM213">
        <v>28.880000000000006</v>
      </c>
      <c r="BN213">
        <v>0</v>
      </c>
      <c r="BO213">
        <v>0</v>
      </c>
      <c r="BP213">
        <v>333.30672888888887</v>
      </c>
      <c r="BQ213">
        <v>333.30672888888887</v>
      </c>
      <c r="BR213">
        <v>0</v>
      </c>
      <c r="BS213">
        <v>24.998004666666663</v>
      </c>
      <c r="BT213">
        <v>37.497006999999996</v>
      </c>
      <c r="BU213">
        <v>62.49501166666667</v>
      </c>
      <c r="BV213">
        <v>112.49102099999999</v>
      </c>
      <c r="BW213">
        <v>237.48104433333333</v>
      </c>
      <c r="BX213">
        <v>10822.848285799999</v>
      </c>
      <c r="BY213">
        <v>877.95200000000011</v>
      </c>
      <c r="BZ213">
        <v>9944.8962857999995</v>
      </c>
      <c r="CA213">
        <v>11852.351999999999</v>
      </c>
      <c r="CB213">
        <v>355.57055999999994</v>
      </c>
      <c r="CC213">
        <v>333.30672888888887</v>
      </c>
      <c r="CD213">
        <v>692.41679999999997</v>
      </c>
      <c r="CE213">
        <v>0</v>
      </c>
      <c r="CF213">
        <v>69.994413066666667</v>
      </c>
      <c r="CG213">
        <v>104.99161959999999</v>
      </c>
      <c r="CH213">
        <v>166.14373845597333</v>
      </c>
      <c r="CI213">
        <v>174.98603266666669</v>
      </c>
      <c r="CJ213">
        <v>99.992018666666652</v>
      </c>
      <c r="CK213">
        <v>199.9840373333333</v>
      </c>
      <c r="CL213">
        <v>314.97485879999999</v>
      </c>
      <c r="CM213">
        <v>1823.4835185893066</v>
      </c>
      <c r="CN213">
        <v>499.96009333333336</v>
      </c>
      <c r="CO213">
        <v>2679.0141719226403</v>
      </c>
      <c r="CQ213">
        <v>360.80219178082194</v>
      </c>
      <c r="CR213">
        <v>72.160438356164377</v>
      </c>
      <c r="CS213">
        <v>368.55943890410958</v>
      </c>
      <c r="CT213">
        <v>15374.5549076304</v>
      </c>
      <c r="CY213">
        <v>0</v>
      </c>
      <c r="DB213">
        <v>10535.423999999999</v>
      </c>
      <c r="DE213" s="61">
        <v>15374.5549076304</v>
      </c>
    </row>
    <row r="214" spans="1:109" hidden="1" x14ac:dyDescent="0.3">
      <c r="A214">
        <v>1887</v>
      </c>
      <c r="B214" t="s">
        <v>637</v>
      </c>
      <c r="C214" t="s">
        <v>603</v>
      </c>
      <c r="D214" t="s">
        <v>604</v>
      </c>
      <c r="E214" t="s">
        <v>880</v>
      </c>
      <c r="F214" t="s">
        <v>639</v>
      </c>
      <c r="G214" t="s">
        <v>640</v>
      </c>
      <c r="H214" t="s">
        <v>622</v>
      </c>
      <c r="I214" t="s">
        <v>623</v>
      </c>
      <c r="J214" s="3">
        <v>45630</v>
      </c>
      <c r="K214">
        <v>0.15890410958904111</v>
      </c>
      <c r="L214">
        <v>0</v>
      </c>
      <c r="M214" t="s">
        <v>678</v>
      </c>
      <c r="N214" t="s">
        <v>678</v>
      </c>
      <c r="O214">
        <v>1.0492999999999999</v>
      </c>
      <c r="P214">
        <v>3439.4559999999997</v>
      </c>
      <c r="Q214">
        <v>3439.4559999999997</v>
      </c>
      <c r="R214">
        <v>288.8</v>
      </c>
      <c r="S214">
        <v>303.03783999999996</v>
      </c>
      <c r="T214">
        <v>22.61</v>
      </c>
      <c r="U214">
        <v>325.64783999999997</v>
      </c>
      <c r="V214">
        <v>30.4</v>
      </c>
      <c r="W214">
        <v>8779.52</v>
      </c>
      <c r="AE214">
        <v>41.666666666666664</v>
      </c>
      <c r="AF214">
        <v>877.952</v>
      </c>
      <c r="AG214">
        <v>877.952</v>
      </c>
      <c r="AH214">
        <v>438.97600000000006</v>
      </c>
      <c r="AI214">
        <v>877.95200000000011</v>
      </c>
      <c r="AJ214">
        <v>0</v>
      </c>
      <c r="AK214">
        <v>0</v>
      </c>
      <c r="AL214">
        <v>1755.904</v>
      </c>
      <c r="AM214">
        <v>11852.352000000001</v>
      </c>
      <c r="AN214">
        <v>11894.018666666665</v>
      </c>
      <c r="AO214">
        <v>11852.352000000001</v>
      </c>
      <c r="AQ214">
        <v>8821.1866666666665</v>
      </c>
      <c r="AR214">
        <v>24076.191999999999</v>
      </c>
      <c r="AS214">
        <v>10535.424000000001</v>
      </c>
      <c r="AT214">
        <v>0</v>
      </c>
      <c r="AU214">
        <v>13540.767999999998</v>
      </c>
      <c r="AV214">
        <v>1755.904</v>
      </c>
      <c r="AW214">
        <v>0</v>
      </c>
      <c r="AX214">
        <v>10577.090666666665</v>
      </c>
      <c r="AY214">
        <v>6332.06</v>
      </c>
      <c r="AZ214">
        <v>4245.0306666666647</v>
      </c>
      <c r="BA214">
        <v>0.10880000000000001</v>
      </c>
      <c r="BB214">
        <v>461.85933653333313</v>
      </c>
      <c r="BC214">
        <v>371.83</v>
      </c>
      <c r="BD214">
        <v>833.68933653333306</v>
      </c>
      <c r="BE214">
        <v>0</v>
      </c>
      <c r="BF214">
        <v>833.68933653333306</v>
      </c>
      <c r="BG214">
        <v>1.3888888888888888</v>
      </c>
      <c r="BH214">
        <v>0</v>
      </c>
      <c r="BI214">
        <v>327.03672888888889</v>
      </c>
      <c r="BJ214">
        <v>981.11018666666666</v>
      </c>
      <c r="BK214">
        <v>0</v>
      </c>
      <c r="BL214">
        <v>0</v>
      </c>
      <c r="BM214">
        <v>28.880000000000006</v>
      </c>
      <c r="BN214">
        <v>0</v>
      </c>
      <c r="BO214">
        <v>0</v>
      </c>
      <c r="BP214">
        <v>333.30672888888887</v>
      </c>
      <c r="BQ214">
        <v>333.30672888888887</v>
      </c>
      <c r="BR214">
        <v>0</v>
      </c>
      <c r="BS214">
        <v>24.998004666666663</v>
      </c>
      <c r="BT214">
        <v>37.497006999999996</v>
      </c>
      <c r="BU214">
        <v>62.49501166666667</v>
      </c>
      <c r="BV214">
        <v>112.49102099999999</v>
      </c>
      <c r="BW214">
        <v>237.48104433333333</v>
      </c>
      <c r="BX214">
        <v>10822.848285799999</v>
      </c>
      <c r="BY214">
        <v>877.95200000000011</v>
      </c>
      <c r="BZ214">
        <v>9944.8962857999995</v>
      </c>
      <c r="CA214">
        <v>11852.351999999999</v>
      </c>
      <c r="CB214">
        <v>355.57055999999994</v>
      </c>
      <c r="CC214">
        <v>333.30672888888887</v>
      </c>
      <c r="CD214">
        <v>692.41679999999997</v>
      </c>
      <c r="CE214">
        <v>0</v>
      </c>
      <c r="CF214">
        <v>69.994413066666667</v>
      </c>
      <c r="CG214">
        <v>104.99161959999999</v>
      </c>
      <c r="CH214">
        <v>166.14373845597333</v>
      </c>
      <c r="CI214">
        <v>174.98603266666669</v>
      </c>
      <c r="CJ214">
        <v>99.992018666666652</v>
      </c>
      <c r="CK214">
        <v>199.9840373333333</v>
      </c>
      <c r="CL214">
        <v>314.97485879999999</v>
      </c>
      <c r="CM214">
        <v>1823.4835185893066</v>
      </c>
      <c r="CN214">
        <v>499.96009333333336</v>
      </c>
      <c r="CO214">
        <v>2679.0141719226403</v>
      </c>
      <c r="CQ214">
        <v>360.80219178082194</v>
      </c>
      <c r="CR214">
        <v>72.160438356164377</v>
      </c>
      <c r="CS214">
        <v>368.55943890410958</v>
      </c>
      <c r="CT214">
        <v>15374.5549076304</v>
      </c>
      <c r="CY214">
        <v>0</v>
      </c>
      <c r="DB214">
        <v>10535.423999999999</v>
      </c>
      <c r="DE214" s="61">
        <v>15374.5549076304</v>
      </c>
    </row>
    <row r="215" spans="1:109" hidden="1" x14ac:dyDescent="0.3">
      <c r="A215">
        <v>1908</v>
      </c>
      <c r="B215" t="s">
        <v>684</v>
      </c>
      <c r="C215" t="s">
        <v>603</v>
      </c>
      <c r="D215" t="s">
        <v>604</v>
      </c>
      <c r="E215" t="s">
        <v>893</v>
      </c>
      <c r="F215" t="s">
        <v>639</v>
      </c>
      <c r="G215" t="s">
        <v>640</v>
      </c>
      <c r="H215" t="s">
        <v>622</v>
      </c>
      <c r="I215" t="s">
        <v>623</v>
      </c>
      <c r="J215" s="3">
        <v>45663</v>
      </c>
      <c r="K215">
        <v>6.8493150684931503E-2</v>
      </c>
      <c r="L215">
        <v>0</v>
      </c>
      <c r="M215" t="s">
        <v>678</v>
      </c>
      <c r="N215" t="s">
        <v>678</v>
      </c>
      <c r="O215">
        <v>1.0492999999999999</v>
      </c>
      <c r="P215">
        <v>3439.4559999999997</v>
      </c>
      <c r="Q215">
        <v>3439.4559999999997</v>
      </c>
      <c r="R215">
        <v>288.8</v>
      </c>
      <c r="S215">
        <v>303.03783999999996</v>
      </c>
      <c r="T215">
        <v>0</v>
      </c>
      <c r="U215">
        <v>303.03783999999996</v>
      </c>
      <c r="V215">
        <v>30.4</v>
      </c>
      <c r="W215">
        <v>8779.52</v>
      </c>
      <c r="AE215">
        <v>41.666666666666664</v>
      </c>
      <c r="AF215">
        <v>877.952</v>
      </c>
      <c r="AG215">
        <v>877.952</v>
      </c>
      <c r="AH215">
        <v>438.97600000000006</v>
      </c>
      <c r="AI215">
        <v>877.95200000000011</v>
      </c>
      <c r="AJ215">
        <v>0</v>
      </c>
      <c r="AK215">
        <v>0</v>
      </c>
      <c r="AL215">
        <v>1755.904</v>
      </c>
      <c r="AM215">
        <v>11852.352000000001</v>
      </c>
      <c r="AN215">
        <v>11894.018666666665</v>
      </c>
      <c r="AO215">
        <v>11852.352000000001</v>
      </c>
      <c r="AQ215">
        <v>8821.1866666666665</v>
      </c>
      <c r="AR215">
        <v>24076.191999999999</v>
      </c>
      <c r="AS215">
        <v>10535.424000000001</v>
      </c>
      <c r="AT215">
        <v>0</v>
      </c>
      <c r="AU215">
        <v>13540.767999999998</v>
      </c>
      <c r="AV215">
        <v>1755.904</v>
      </c>
      <c r="AW215">
        <v>0</v>
      </c>
      <c r="AX215">
        <v>10577.090666666665</v>
      </c>
      <c r="AY215">
        <v>6332.06</v>
      </c>
      <c r="AZ215">
        <v>4245.0306666666647</v>
      </c>
      <c r="BA215">
        <v>0.10880000000000001</v>
      </c>
      <c r="BB215">
        <v>461.85933653333313</v>
      </c>
      <c r="BC215">
        <v>371.83</v>
      </c>
      <c r="BD215">
        <v>833.68933653333306</v>
      </c>
      <c r="BE215">
        <v>0</v>
      </c>
      <c r="BF215">
        <v>833.68933653333306</v>
      </c>
      <c r="BG215">
        <v>1.3888888888888888</v>
      </c>
      <c r="BH215">
        <v>0</v>
      </c>
      <c r="BI215">
        <v>304.42672888888887</v>
      </c>
      <c r="BJ215">
        <v>913.28018666666674</v>
      </c>
      <c r="BK215">
        <v>0</v>
      </c>
      <c r="BL215">
        <v>0</v>
      </c>
      <c r="BM215">
        <v>28.880000000000006</v>
      </c>
      <c r="BN215">
        <v>0</v>
      </c>
      <c r="BO215">
        <v>0</v>
      </c>
      <c r="BP215">
        <v>333.30672888888887</v>
      </c>
      <c r="BQ215">
        <v>333.30672888888887</v>
      </c>
      <c r="BR215">
        <v>0</v>
      </c>
      <c r="BS215">
        <v>24.998004666666663</v>
      </c>
      <c r="BT215">
        <v>37.497006999999996</v>
      </c>
      <c r="BU215">
        <v>62.49501166666667</v>
      </c>
      <c r="BV215">
        <v>112.49102099999999</v>
      </c>
      <c r="BW215">
        <v>237.48104433333333</v>
      </c>
      <c r="BX215">
        <v>10822.848285799999</v>
      </c>
      <c r="BY215">
        <v>877.95200000000011</v>
      </c>
      <c r="BZ215">
        <v>9944.8962857999995</v>
      </c>
      <c r="CA215">
        <v>11852.351999999999</v>
      </c>
      <c r="CB215">
        <v>355.57055999999994</v>
      </c>
      <c r="CC215">
        <v>333.30672888888887</v>
      </c>
      <c r="CD215">
        <v>692.41679999999997</v>
      </c>
      <c r="CE215">
        <v>0</v>
      </c>
      <c r="CF215">
        <v>69.994413066666667</v>
      </c>
      <c r="CG215">
        <v>104.99161959999999</v>
      </c>
      <c r="CH215">
        <v>166.14373845597333</v>
      </c>
      <c r="CI215">
        <v>174.98603266666669</v>
      </c>
      <c r="CJ215">
        <v>99.992018666666652</v>
      </c>
      <c r="CK215">
        <v>199.9840373333333</v>
      </c>
      <c r="CL215">
        <v>314.97485879999999</v>
      </c>
      <c r="CM215">
        <v>1823.4835185893066</v>
      </c>
      <c r="CN215">
        <v>499.96009333333336</v>
      </c>
      <c r="CO215">
        <v>2679.0141719226403</v>
      </c>
      <c r="CQ215">
        <v>360.80219178082194</v>
      </c>
      <c r="CR215">
        <v>72.160438356164377</v>
      </c>
      <c r="CS215">
        <v>368.55943890410958</v>
      </c>
      <c r="CT215">
        <v>15374.5549076304</v>
      </c>
      <c r="CY215">
        <v>0</v>
      </c>
      <c r="DB215">
        <v>10535.423999999999</v>
      </c>
      <c r="DE215" s="61">
        <v>15374.5549076304</v>
      </c>
    </row>
    <row r="216" spans="1:109" hidden="1" x14ac:dyDescent="0.3">
      <c r="A216">
        <v>1910</v>
      </c>
      <c r="B216" t="s">
        <v>602</v>
      </c>
      <c r="C216" t="s">
        <v>603</v>
      </c>
      <c r="D216" t="s">
        <v>604</v>
      </c>
      <c r="E216" t="s">
        <v>895</v>
      </c>
      <c r="F216" t="s">
        <v>896</v>
      </c>
      <c r="G216" t="s">
        <v>772</v>
      </c>
      <c r="H216" t="s">
        <v>622</v>
      </c>
      <c r="I216" t="s">
        <v>623</v>
      </c>
      <c r="J216" s="3">
        <v>45663</v>
      </c>
      <c r="K216">
        <v>6.8493150684931503E-2</v>
      </c>
      <c r="L216">
        <v>0</v>
      </c>
      <c r="M216" t="s">
        <v>678</v>
      </c>
      <c r="N216" t="s">
        <v>678</v>
      </c>
      <c r="O216">
        <v>1.0492999999999999</v>
      </c>
      <c r="P216">
        <v>3439.4559999999997</v>
      </c>
      <c r="Q216">
        <v>3439.4559999999997</v>
      </c>
      <c r="R216">
        <v>288.8</v>
      </c>
      <c r="S216">
        <v>303.03783999999996</v>
      </c>
      <c r="T216">
        <v>0</v>
      </c>
      <c r="U216">
        <v>303.03783999999996</v>
      </c>
      <c r="V216">
        <v>30.4</v>
      </c>
      <c r="W216">
        <v>8779.52</v>
      </c>
      <c r="AE216">
        <v>41.666666666666664</v>
      </c>
      <c r="AF216">
        <v>877.952</v>
      </c>
      <c r="AG216">
        <v>877.952</v>
      </c>
      <c r="AH216">
        <v>438.97600000000006</v>
      </c>
      <c r="AI216">
        <v>877.95200000000011</v>
      </c>
      <c r="AJ216">
        <v>0</v>
      </c>
      <c r="AK216">
        <v>0</v>
      </c>
      <c r="AL216">
        <v>1755.904</v>
      </c>
      <c r="AM216">
        <v>11852.352000000001</v>
      </c>
      <c r="AN216">
        <v>11894.018666666665</v>
      </c>
      <c r="AO216">
        <v>11852.352000000001</v>
      </c>
      <c r="AQ216">
        <v>8821.1866666666665</v>
      </c>
      <c r="AR216">
        <v>24076.191999999999</v>
      </c>
      <c r="AS216">
        <v>10535.424000000001</v>
      </c>
      <c r="AT216">
        <v>0</v>
      </c>
      <c r="AU216">
        <v>13540.767999999998</v>
      </c>
      <c r="AV216">
        <v>1755.904</v>
      </c>
      <c r="AW216">
        <v>0</v>
      </c>
      <c r="AX216">
        <v>10577.090666666665</v>
      </c>
      <c r="AY216">
        <v>6332.06</v>
      </c>
      <c r="AZ216">
        <v>4245.0306666666647</v>
      </c>
      <c r="BA216">
        <v>0.10880000000000001</v>
      </c>
      <c r="BB216">
        <v>461.85933653333313</v>
      </c>
      <c r="BC216">
        <v>371.83</v>
      </c>
      <c r="BD216">
        <v>833.68933653333306</v>
      </c>
      <c r="BE216">
        <v>0</v>
      </c>
      <c r="BF216">
        <v>833.68933653333306</v>
      </c>
      <c r="BG216">
        <v>1.3888888888888888</v>
      </c>
      <c r="BH216">
        <v>0</v>
      </c>
      <c r="BI216">
        <v>304.42672888888887</v>
      </c>
      <c r="BJ216">
        <v>913.28018666666674</v>
      </c>
      <c r="BK216">
        <v>0</v>
      </c>
      <c r="BL216">
        <v>0</v>
      </c>
      <c r="BM216">
        <v>28.880000000000006</v>
      </c>
      <c r="BN216">
        <v>0</v>
      </c>
      <c r="BO216">
        <v>0</v>
      </c>
      <c r="BP216">
        <v>333.30672888888887</v>
      </c>
      <c r="BQ216">
        <v>333.30672888888887</v>
      </c>
      <c r="BR216">
        <v>0</v>
      </c>
      <c r="BS216">
        <v>24.998004666666663</v>
      </c>
      <c r="BT216">
        <v>37.497006999999996</v>
      </c>
      <c r="BU216">
        <v>62.49501166666667</v>
      </c>
      <c r="BV216">
        <v>112.49102099999999</v>
      </c>
      <c r="BW216">
        <v>237.48104433333333</v>
      </c>
      <c r="BX216">
        <v>10822.848285799999</v>
      </c>
      <c r="BY216">
        <v>877.95200000000011</v>
      </c>
      <c r="BZ216">
        <v>9944.8962857999995</v>
      </c>
      <c r="CA216">
        <v>11852.351999999999</v>
      </c>
      <c r="CB216">
        <v>355.57055999999994</v>
      </c>
      <c r="CC216">
        <v>333.30672888888887</v>
      </c>
      <c r="CD216">
        <v>692.41679999999997</v>
      </c>
      <c r="CE216">
        <v>0</v>
      </c>
      <c r="CF216">
        <v>69.994413066666667</v>
      </c>
      <c r="CG216">
        <v>104.99161959999999</v>
      </c>
      <c r="CH216">
        <v>166.14373845597333</v>
      </c>
      <c r="CI216">
        <v>174.98603266666669</v>
      </c>
      <c r="CJ216">
        <v>99.992018666666652</v>
      </c>
      <c r="CK216">
        <v>199.9840373333333</v>
      </c>
      <c r="CL216">
        <v>314.97485879999999</v>
      </c>
      <c r="CM216">
        <v>1823.4835185893066</v>
      </c>
      <c r="CN216">
        <v>499.96009333333336</v>
      </c>
      <c r="CO216">
        <v>2679.0141719226403</v>
      </c>
      <c r="CQ216">
        <v>360.80219178082194</v>
      </c>
      <c r="CR216">
        <v>72.160438356164377</v>
      </c>
      <c r="CS216">
        <v>368.55943890410958</v>
      </c>
      <c r="CT216">
        <v>15374.5549076304</v>
      </c>
      <c r="CY216">
        <v>0</v>
      </c>
      <c r="DB216">
        <v>10535.423999999999</v>
      </c>
      <c r="DE216" s="61">
        <v>15374.5549076304</v>
      </c>
    </row>
    <row r="217" spans="1:109" hidden="1" x14ac:dyDescent="0.3">
      <c r="B217" t="s">
        <v>901</v>
      </c>
      <c r="E217" t="s">
        <v>905</v>
      </c>
      <c r="F217" t="s">
        <v>903</v>
      </c>
      <c r="G217" t="s">
        <v>901</v>
      </c>
      <c r="H217" t="s">
        <v>623</v>
      </c>
      <c r="I217" t="s">
        <v>623</v>
      </c>
      <c r="J217" s="3">
        <v>45292</v>
      </c>
      <c r="K217">
        <v>0</v>
      </c>
      <c r="L217">
        <v>0</v>
      </c>
      <c r="M217" t="s">
        <v>904</v>
      </c>
      <c r="N217" t="s">
        <v>904</v>
      </c>
      <c r="O217">
        <v>0</v>
      </c>
      <c r="P217">
        <v>0</v>
      </c>
      <c r="Q217">
        <v>0</v>
      </c>
      <c r="R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Q217">
        <v>370</v>
      </c>
      <c r="CR217">
        <v>0</v>
      </c>
      <c r="CS217">
        <v>11.1</v>
      </c>
      <c r="CT217">
        <v>381.1</v>
      </c>
      <c r="CV217">
        <v>8998.4</v>
      </c>
      <c r="CY217">
        <v>0</v>
      </c>
      <c r="CZ217">
        <v>0</v>
      </c>
      <c r="DA217">
        <v>0</v>
      </c>
      <c r="DD217">
        <v>370</v>
      </c>
      <c r="DE217" s="61">
        <v>9749.5</v>
      </c>
    </row>
    <row r="218" spans="1:109" hidden="1" x14ac:dyDescent="0.3">
      <c r="A218">
        <v>1893</v>
      </c>
      <c r="B218" t="s">
        <v>684</v>
      </c>
      <c r="C218" t="s">
        <v>603</v>
      </c>
      <c r="D218" t="s">
        <v>604</v>
      </c>
      <c r="E218" t="s">
        <v>886</v>
      </c>
      <c r="F218" t="s">
        <v>855</v>
      </c>
      <c r="G218" t="s">
        <v>617</v>
      </c>
      <c r="H218" t="s">
        <v>622</v>
      </c>
      <c r="I218" t="s">
        <v>623</v>
      </c>
      <c r="J218" s="3">
        <v>45635</v>
      </c>
      <c r="K218">
        <v>0.14520547945205478</v>
      </c>
      <c r="L218">
        <v>0</v>
      </c>
      <c r="M218" t="s">
        <v>678</v>
      </c>
      <c r="N218" t="s">
        <v>678</v>
      </c>
      <c r="O218">
        <v>1.0492999999999999</v>
      </c>
      <c r="P218">
        <v>3439.4559999999997</v>
      </c>
      <c r="Q218">
        <v>3439.4559999999997</v>
      </c>
      <c r="R218">
        <v>288.8</v>
      </c>
      <c r="S218">
        <v>303.03783999999996</v>
      </c>
      <c r="T218">
        <v>12.95</v>
      </c>
      <c r="U218">
        <v>315.98783999999995</v>
      </c>
      <c r="V218">
        <v>30.4</v>
      </c>
      <c r="W218">
        <v>8779.52</v>
      </c>
      <c r="Y218">
        <v>438.97599999999994</v>
      </c>
      <c r="AE218">
        <v>41.666666666666664</v>
      </c>
      <c r="AF218">
        <v>877.952</v>
      </c>
      <c r="AG218">
        <v>877.952</v>
      </c>
      <c r="AH218">
        <v>438.97600000000006</v>
      </c>
      <c r="AI218">
        <v>877.95200000000011</v>
      </c>
      <c r="AJ218">
        <v>0</v>
      </c>
      <c r="AK218">
        <v>0</v>
      </c>
      <c r="AL218">
        <v>1755.904</v>
      </c>
      <c r="AM218">
        <v>11852.352000000001</v>
      </c>
      <c r="AR218">
        <v>24076.191999999999</v>
      </c>
      <c r="AS218">
        <v>10535.424000000001</v>
      </c>
      <c r="AT218">
        <v>0</v>
      </c>
      <c r="AU218">
        <v>13540.767999999998</v>
      </c>
      <c r="AV218">
        <v>1755.904</v>
      </c>
      <c r="AW218">
        <v>0</v>
      </c>
      <c r="BG218">
        <v>16.02142222222222</v>
      </c>
      <c r="BH218">
        <v>0</v>
      </c>
      <c r="BI218">
        <v>332.00926222222216</v>
      </c>
      <c r="BJ218">
        <v>996.02778666666654</v>
      </c>
      <c r="BK218">
        <v>0</v>
      </c>
      <c r="BL218">
        <v>0</v>
      </c>
      <c r="BM218">
        <v>28.880000000000006</v>
      </c>
      <c r="BN218">
        <v>0</v>
      </c>
      <c r="BO218">
        <v>0</v>
      </c>
      <c r="BP218">
        <v>347.93926222222217</v>
      </c>
      <c r="BQ218">
        <v>347.93926222222217</v>
      </c>
      <c r="BR218">
        <v>1.0223114666666584</v>
      </c>
      <c r="BS218">
        <v>26.095444666666662</v>
      </c>
      <c r="BT218">
        <v>39.143166999999991</v>
      </c>
      <c r="BU218">
        <v>65.238611666666657</v>
      </c>
      <c r="BV218">
        <v>117.42950099999997</v>
      </c>
      <c r="BW218">
        <v>248.92903579999995</v>
      </c>
      <c r="BY218">
        <v>877.95200000000011</v>
      </c>
      <c r="CC218">
        <v>347.93926222222217</v>
      </c>
      <c r="CD218">
        <v>692.41679999999997</v>
      </c>
      <c r="CE218">
        <v>2.8113565333333099</v>
      </c>
      <c r="CF218">
        <v>73.067245066666658</v>
      </c>
      <c r="CG218">
        <v>109.60086759999999</v>
      </c>
      <c r="CH218">
        <v>173.43763197917332</v>
      </c>
      <c r="CI218">
        <v>182.66811266666667</v>
      </c>
      <c r="CJ218">
        <v>104.38177866666665</v>
      </c>
      <c r="CK218">
        <v>208.7635573333333</v>
      </c>
      <c r="CL218">
        <v>328.80260279999993</v>
      </c>
      <c r="CM218">
        <v>1875.9499526458396</v>
      </c>
      <c r="CN218">
        <v>521.90889333333325</v>
      </c>
      <c r="CQ218">
        <v>360.80219178082194</v>
      </c>
      <c r="CR218">
        <v>72.160438356164377</v>
      </c>
      <c r="CS218">
        <v>368.55943890410958</v>
      </c>
      <c r="CT218">
        <v>0</v>
      </c>
      <c r="CY218">
        <v>0</v>
      </c>
      <c r="DB218">
        <v>10535.423999999999</v>
      </c>
      <c r="DE218" s="61">
        <v>0</v>
      </c>
    </row>
    <row r="219" spans="1:109" hidden="1" x14ac:dyDescent="0.3">
      <c r="A219">
        <v>1784</v>
      </c>
      <c r="B219" t="s">
        <v>602</v>
      </c>
      <c r="C219" t="s">
        <v>603</v>
      </c>
      <c r="D219" t="s">
        <v>604</v>
      </c>
      <c r="E219" t="s">
        <v>812</v>
      </c>
      <c r="F219" t="s">
        <v>813</v>
      </c>
      <c r="G219" t="s">
        <v>772</v>
      </c>
      <c r="H219" t="s">
        <v>622</v>
      </c>
      <c r="I219" t="s">
        <v>623</v>
      </c>
      <c r="J219" s="3">
        <v>45509</v>
      </c>
      <c r="K219">
        <v>0.49041095890410957</v>
      </c>
      <c r="L219">
        <v>0</v>
      </c>
      <c r="M219" t="s">
        <v>678</v>
      </c>
      <c r="N219" t="s">
        <v>678</v>
      </c>
      <c r="O219">
        <v>1.0492999999999999</v>
      </c>
    </row>
  </sheetData>
  <pageMargins left="0.7" right="0.7" top="0.75" bottom="0.75" header="0.3" footer="0.3"/>
  <headerFooter>
    <oddHeader>&amp;R&amp;"Calibri"&amp;10&amp;K000000 Confidencial&amp;1#_x000D_</oddHeader>
  </headerFooter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49DD-EAC4-477F-A54F-DBE9EE163583}">
  <sheetPr codeName="Sheet25"/>
  <dimension ref="C1:J17"/>
  <sheetViews>
    <sheetView workbookViewId="0">
      <selection activeCell="I6" sqref="I6"/>
    </sheetView>
  </sheetViews>
  <sheetFormatPr baseColWidth="10" defaultColWidth="8.88671875" defaultRowHeight="14.4" x14ac:dyDescent="0.3"/>
  <cols>
    <col min="3" max="3" width="21.109375" bestFit="1" customWidth="1"/>
    <col min="4" max="6" width="12.44140625" bestFit="1" customWidth="1"/>
    <col min="8" max="8" width="21.109375" bestFit="1" customWidth="1"/>
    <col min="9" max="9" width="14.44140625" customWidth="1"/>
    <col min="10" max="10" width="12.44140625" bestFit="1" customWidth="1"/>
  </cols>
  <sheetData>
    <row r="1" spans="3:10" x14ac:dyDescent="0.3">
      <c r="C1" t="s">
        <v>499</v>
      </c>
    </row>
    <row r="2" spans="3:10" x14ac:dyDescent="0.3">
      <c r="D2" t="s">
        <v>1698</v>
      </c>
      <c r="E2" t="s">
        <v>1687</v>
      </c>
      <c r="F2" t="s">
        <v>1699</v>
      </c>
      <c r="I2" t="s">
        <v>1697</v>
      </c>
      <c r="J2" t="s">
        <v>1700</v>
      </c>
    </row>
    <row r="3" spans="3:10" x14ac:dyDescent="0.3">
      <c r="C3" t="s">
        <v>653</v>
      </c>
      <c r="D3" s="62">
        <f>SUMIF('Sueldos Total Nominal Enero'!G:G,'Subtotal Nom_Enero'!C3,'Sueldos Total Nominal Enero'!DE:DE)</f>
        <v>425267.77066186437</v>
      </c>
      <c r="E3" s="62">
        <v>323102.10727204254</v>
      </c>
      <c r="F3" s="9">
        <f t="shared" ref="F3:F13" si="0">E3-D3</f>
        <v>-102165.66338982183</v>
      </c>
      <c r="H3" t="s">
        <v>653</v>
      </c>
      <c r="I3" s="9">
        <v>302196.48590346833</v>
      </c>
      <c r="J3" s="9">
        <f>E3-I3</f>
        <v>20905.621368574211</v>
      </c>
    </row>
    <row r="4" spans="3:10" x14ac:dyDescent="0.3">
      <c r="C4" t="s">
        <v>665</v>
      </c>
      <c r="D4" s="62">
        <f>SUMIF('Sueldos Total Nominal Enero'!G:G,'Subtotal Nom_Enero'!C4,'Sueldos Total Nominal Enero'!DE:DE)</f>
        <v>177725.19969278027</v>
      </c>
      <c r="E4" s="62">
        <v>191005.53599028659</v>
      </c>
      <c r="F4" s="62">
        <f t="shared" si="0"/>
        <v>13280.336297506321</v>
      </c>
      <c r="H4" t="s">
        <v>1695</v>
      </c>
      <c r="I4" s="9">
        <v>106477.76592398346</v>
      </c>
      <c r="J4" s="9">
        <f t="shared" ref="J4:J13" si="1">E4-I4</f>
        <v>84527.770066303128</v>
      </c>
    </row>
    <row r="5" spans="3:10" x14ac:dyDescent="0.3">
      <c r="C5" t="s">
        <v>626</v>
      </c>
      <c r="D5" s="62">
        <f>SUMIF('Sueldos Total Nominal Enero'!G:G,'Subtotal Nom_Enero'!C5,'Sueldos Total Nominal Enero'!DE:DE)</f>
        <v>255475.27911132251</v>
      </c>
      <c r="E5" s="62">
        <v>238079.15543903608</v>
      </c>
      <c r="F5" s="62">
        <f t="shared" si="0"/>
        <v>-17396.123672286427</v>
      </c>
      <c r="H5" t="s">
        <v>626</v>
      </c>
      <c r="I5" s="9">
        <v>212084.15904452244</v>
      </c>
      <c r="J5" s="62">
        <f t="shared" si="1"/>
        <v>25994.996394513641</v>
      </c>
    </row>
    <row r="6" spans="3:10" x14ac:dyDescent="0.3">
      <c r="C6" t="s">
        <v>772</v>
      </c>
      <c r="D6" s="62">
        <f>SUMIF('Sueldos Total Nominal Enero'!G:G,'Subtotal Nom_Enero'!C6,'Sueldos Total Nominal Enero'!DE:DE)</f>
        <v>240779.67574799209</v>
      </c>
      <c r="E6" s="9">
        <v>224607.71097219529</v>
      </c>
      <c r="F6" s="9">
        <f t="shared" si="0"/>
        <v>-16171.964775796805</v>
      </c>
      <c r="H6" t="s">
        <v>772</v>
      </c>
      <c r="I6" s="9">
        <v>143877.27574556653</v>
      </c>
      <c r="J6" s="9">
        <f t="shared" si="1"/>
        <v>80730.435226628761</v>
      </c>
    </row>
    <row r="7" spans="3:10" x14ac:dyDescent="0.3">
      <c r="C7" t="s">
        <v>621</v>
      </c>
      <c r="D7" s="62">
        <f>SUMIF('Sueldos Total Nominal Enero'!G:G,'Subtotal Nom_Enero'!C7,'Sueldos Total Nominal Enero'!DE:DE)</f>
        <v>679204.6794791735</v>
      </c>
      <c r="E7" s="62">
        <f>D7</f>
        <v>679204.6794791735</v>
      </c>
      <c r="F7" s="62">
        <f t="shared" si="0"/>
        <v>0</v>
      </c>
      <c r="H7" t="s">
        <v>621</v>
      </c>
      <c r="I7" s="9">
        <v>691301.12620685494</v>
      </c>
      <c r="J7" s="9">
        <f t="shared" si="1"/>
        <v>-12096.446727681439</v>
      </c>
    </row>
    <row r="8" spans="3:10" x14ac:dyDescent="0.3">
      <c r="C8" t="s">
        <v>901</v>
      </c>
      <c r="D8" s="62">
        <f>SUMIF('Sueldos Total Nominal Enero'!G:G,'Subtotal Nom_Enero'!C8,'Sueldos Total Nominal Enero'!DE:DE)</f>
        <v>44918.949013157893</v>
      </c>
      <c r="E8" s="9">
        <v>44918.949013157893</v>
      </c>
      <c r="F8" s="62">
        <f t="shared" si="0"/>
        <v>0</v>
      </c>
      <c r="H8" t="s">
        <v>1696</v>
      </c>
      <c r="I8" s="9">
        <v>42009.795480003449</v>
      </c>
      <c r="J8" s="9">
        <f t="shared" si="1"/>
        <v>2909.1535331544437</v>
      </c>
    </row>
    <row r="9" spans="3:10" x14ac:dyDescent="0.3">
      <c r="C9" t="s">
        <v>635</v>
      </c>
      <c r="D9" s="62">
        <f>SUMIF('Sueldos Total Nominal Enero'!G:G,'Subtotal Nom_Enero'!C9,'Sueldos Total Nominal Enero'!DE:DE)</f>
        <v>98981.87296270467</v>
      </c>
      <c r="E9" s="62">
        <v>87622.044463912331</v>
      </c>
      <c r="F9" s="62">
        <f t="shared" si="0"/>
        <v>-11359.82849879234</v>
      </c>
      <c r="H9" t="s">
        <v>16</v>
      </c>
      <c r="I9" s="9">
        <v>89511.555222891082</v>
      </c>
      <c r="J9" s="9">
        <f t="shared" si="1"/>
        <v>-1889.5107589787513</v>
      </c>
    </row>
    <row r="10" spans="3:10" x14ac:dyDescent="0.3">
      <c r="C10" t="s">
        <v>617</v>
      </c>
      <c r="D10" s="62">
        <f>SUMIF('Sueldos Total Nominal Enero'!G:G,'Subtotal Nom_Enero'!C10,'Sueldos Total Nominal Enero'!DE:DE)</f>
        <v>2312843.698851428</v>
      </c>
      <c r="E10" s="62">
        <v>1795060.8717747489</v>
      </c>
      <c r="F10" s="9">
        <f t="shared" si="0"/>
        <v>-517782.8270766791</v>
      </c>
      <c r="H10" t="s">
        <v>1694</v>
      </c>
      <c r="I10" s="9">
        <v>1855899.5794887727</v>
      </c>
      <c r="J10" s="9">
        <f t="shared" si="1"/>
        <v>-60838.707714023767</v>
      </c>
    </row>
    <row r="11" spans="3:10" x14ac:dyDescent="0.3">
      <c r="C11" t="s">
        <v>640</v>
      </c>
      <c r="D11" s="62">
        <f>SUMIF('Sueldos Total Nominal Enero'!G:G,'Subtotal Nom_Enero'!C11,'Sueldos Total Nominal Enero'!DE:DE)</f>
        <v>142850.53070651233</v>
      </c>
      <c r="E11" s="62">
        <v>130519.68432029353</v>
      </c>
      <c r="F11" s="9">
        <f t="shared" si="0"/>
        <v>-12330.846386218807</v>
      </c>
      <c r="H11" t="s">
        <v>640</v>
      </c>
      <c r="I11" s="9">
        <v>75666.616737382486</v>
      </c>
      <c r="J11" s="9">
        <f t="shared" si="1"/>
        <v>54853.067582911041</v>
      </c>
    </row>
    <row r="12" spans="3:10" x14ac:dyDescent="0.3">
      <c r="C12" t="s">
        <v>607</v>
      </c>
      <c r="D12" s="62">
        <f>SUMIF('Sueldos Total Nominal Enero'!G:G,'Subtotal Nom_Enero'!C12,'Sueldos Total Nominal Enero'!DE:DE)</f>
        <v>502206.1516006795</v>
      </c>
      <c r="E12" s="62">
        <v>375227.51985006098</v>
      </c>
      <c r="F12" s="62">
        <f t="shared" si="0"/>
        <v>-126978.63175061852</v>
      </c>
      <c r="H12" t="s">
        <v>607</v>
      </c>
      <c r="I12" s="9">
        <v>441012.56758206454</v>
      </c>
      <c r="J12" s="9">
        <f t="shared" si="1"/>
        <v>-65785.047732003557</v>
      </c>
    </row>
    <row r="13" spans="3:10" x14ac:dyDescent="0.3">
      <c r="C13" t="s">
        <v>630</v>
      </c>
      <c r="D13" s="62">
        <f>SUMIF('Sueldos Total Nominal Enero'!G:G,'Subtotal Nom_Enero'!C13,'Sueldos Total Nominal Enero'!DE:DE)</f>
        <v>523340.74862214405</v>
      </c>
      <c r="E13" s="62">
        <f>608529.304705392-140000</f>
        <v>468529.30470539199</v>
      </c>
      <c r="F13" s="9">
        <f t="shared" si="0"/>
        <v>-54811.443916752061</v>
      </c>
      <c r="H13" t="s">
        <v>630</v>
      </c>
      <c r="I13" s="9">
        <v>459725.46335899906</v>
      </c>
      <c r="J13" s="9">
        <f t="shared" si="1"/>
        <v>8803.8413463929319</v>
      </c>
    </row>
    <row r="14" spans="3:10" x14ac:dyDescent="0.3">
      <c r="H14" t="s">
        <v>1693</v>
      </c>
      <c r="I14" s="9">
        <v>198645.6858005804</v>
      </c>
      <c r="J14" s="9">
        <f>E16-I14</f>
        <v>-198645.6858005804</v>
      </c>
    </row>
    <row r="17" spans="3:10" x14ac:dyDescent="0.3">
      <c r="C17" t="s">
        <v>133</v>
      </c>
      <c r="D17" s="160">
        <f>SUM(D2:D13)</f>
        <v>5403594.5564497588</v>
      </c>
      <c r="E17" s="160">
        <f>SUM(E2:E13)</f>
        <v>4557877.5632802993</v>
      </c>
      <c r="F17" s="160">
        <f>SUM(F2:F13)</f>
        <v>-845716.99316945951</v>
      </c>
      <c r="I17" s="160">
        <f>SUM(I2:I14)</f>
        <v>4618408.0764950886</v>
      </c>
      <c r="J17" s="160">
        <f>SUM(J2:J14)</f>
        <v>-60530.513214789768</v>
      </c>
    </row>
  </sheetData>
  <autoFilter ref="H2:I14" xr:uid="{E26849DD-EAC4-477F-A54F-DBE9EE163583}">
    <sortState xmlns:xlrd2="http://schemas.microsoft.com/office/spreadsheetml/2017/richdata2" ref="H3:I14">
      <sortCondition ref="H2:H14"/>
    </sortState>
  </autoFilter>
  <pageMargins left="0.7" right="0.7" top="0.75" bottom="0.75" header="0.3" footer="0.3"/>
  <headerFooter>
    <oddHeader>&amp;R&amp;"Calibri"&amp;10&amp;K000000 Confidencial&amp;1#_x000D_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A23BC-B626-4473-BB9F-3A730D8F3F12}">
  <sheetPr codeName="Sheet11"/>
  <dimension ref="B5:AC8"/>
  <sheetViews>
    <sheetView workbookViewId="0">
      <selection activeCell="G8" sqref="G8"/>
    </sheetView>
  </sheetViews>
  <sheetFormatPr baseColWidth="10" defaultColWidth="8.88671875" defaultRowHeight="14.4" x14ac:dyDescent="0.3"/>
  <cols>
    <col min="2" max="2" width="11.5546875" customWidth="1"/>
    <col min="3" max="3" width="13.5546875" bestFit="1" customWidth="1"/>
    <col min="4" max="4" width="12.44140625" bestFit="1" customWidth="1"/>
    <col min="6" max="17" width="10.88671875" bestFit="1" customWidth="1"/>
  </cols>
  <sheetData>
    <row r="5" spans="2:29" x14ac:dyDescent="0.3">
      <c r="F5">
        <v>1</v>
      </c>
      <c r="G5">
        <v>2</v>
      </c>
      <c r="H5">
        <v>3</v>
      </c>
      <c r="I5">
        <v>4</v>
      </c>
      <c r="J5">
        <v>5</v>
      </c>
      <c r="K5">
        <v>6</v>
      </c>
      <c r="L5">
        <v>7</v>
      </c>
      <c r="M5">
        <v>8</v>
      </c>
      <c r="N5">
        <v>9</v>
      </c>
      <c r="O5">
        <v>10</v>
      </c>
      <c r="P5">
        <v>11</v>
      </c>
      <c r="Q5">
        <v>12</v>
      </c>
      <c r="R5">
        <v>1</v>
      </c>
      <c r="S5">
        <v>2</v>
      </c>
      <c r="T5">
        <v>3</v>
      </c>
      <c r="U5">
        <v>4</v>
      </c>
      <c r="V5">
        <v>5</v>
      </c>
      <c r="W5">
        <v>6</v>
      </c>
      <c r="X5">
        <v>7</v>
      </c>
      <c r="Y5">
        <v>8</v>
      </c>
      <c r="Z5">
        <v>9</v>
      </c>
      <c r="AA5">
        <v>10</v>
      </c>
      <c r="AB5">
        <v>11</v>
      </c>
      <c r="AC5">
        <v>12</v>
      </c>
    </row>
    <row r="6" spans="2:29" x14ac:dyDescent="0.3">
      <c r="F6">
        <v>1</v>
      </c>
      <c r="G6">
        <v>1</v>
      </c>
      <c r="H6">
        <v>1</v>
      </c>
      <c r="I6">
        <v>2</v>
      </c>
      <c r="J6">
        <v>2</v>
      </c>
      <c r="K6">
        <v>2</v>
      </c>
      <c r="L6">
        <v>3</v>
      </c>
      <c r="M6">
        <v>3</v>
      </c>
      <c r="N6">
        <v>3</v>
      </c>
      <c r="O6">
        <v>4</v>
      </c>
      <c r="P6">
        <v>4</v>
      </c>
      <c r="Q6">
        <v>4</v>
      </c>
    </row>
    <row r="7" spans="2:29" x14ac:dyDescent="0.3">
      <c r="B7" s="58" t="s">
        <v>1566</v>
      </c>
      <c r="C7" s="58" t="s">
        <v>952</v>
      </c>
      <c r="D7" s="58" t="s">
        <v>1569</v>
      </c>
      <c r="E7" s="59"/>
      <c r="F7" s="59">
        <v>2025</v>
      </c>
      <c r="G7" s="59">
        <v>2025</v>
      </c>
      <c r="H7" s="59">
        <v>2025</v>
      </c>
      <c r="I7" s="59">
        <v>2025</v>
      </c>
      <c r="J7" s="59">
        <v>2025</v>
      </c>
      <c r="K7" s="59">
        <v>2025</v>
      </c>
      <c r="L7" s="59">
        <v>2025</v>
      </c>
      <c r="M7" s="59">
        <v>2025</v>
      </c>
      <c r="N7" s="59">
        <v>2025</v>
      </c>
      <c r="O7" s="59">
        <v>2025</v>
      </c>
      <c r="P7" s="59">
        <v>2025</v>
      </c>
      <c r="Q7" s="59">
        <v>2025</v>
      </c>
      <c r="R7" s="59">
        <v>2026</v>
      </c>
      <c r="S7" s="59">
        <v>2026</v>
      </c>
      <c r="T7" s="59">
        <v>2026</v>
      </c>
      <c r="U7" s="59">
        <v>2026</v>
      </c>
      <c r="V7" s="59">
        <v>2026</v>
      </c>
      <c r="W7" s="59">
        <v>2026</v>
      </c>
      <c r="X7" s="59">
        <v>2026</v>
      </c>
      <c r="Y7" s="59">
        <v>2026</v>
      </c>
      <c r="Z7" s="59">
        <v>2026</v>
      </c>
      <c r="AA7" s="59">
        <v>2026</v>
      </c>
      <c r="AB7" s="59">
        <v>2026</v>
      </c>
      <c r="AC7" s="59">
        <v>2026</v>
      </c>
    </row>
    <row r="8" spans="2:29" x14ac:dyDescent="0.3">
      <c r="B8" t="s">
        <v>1567</v>
      </c>
      <c r="C8" t="s">
        <v>1568</v>
      </c>
      <c r="D8" s="60">
        <v>2000000</v>
      </c>
      <c r="F8" s="2">
        <f>$D8/12</f>
        <v>166666.66666666666</v>
      </c>
      <c r="G8" s="2">
        <f t="shared" ref="G8:Q8" si="0">$D8/12</f>
        <v>166666.66666666666</v>
      </c>
      <c r="H8" s="2">
        <f t="shared" si="0"/>
        <v>166666.66666666666</v>
      </c>
      <c r="I8" s="2">
        <f t="shared" si="0"/>
        <v>166666.66666666666</v>
      </c>
      <c r="J8" s="2">
        <f t="shared" si="0"/>
        <v>166666.66666666666</v>
      </c>
      <c r="K8" s="2">
        <f t="shared" si="0"/>
        <v>166666.66666666666</v>
      </c>
      <c r="L8" s="2">
        <f t="shared" si="0"/>
        <v>166666.66666666666</v>
      </c>
      <c r="M8" s="2">
        <f t="shared" si="0"/>
        <v>166666.66666666666</v>
      </c>
      <c r="N8" s="2">
        <f t="shared" si="0"/>
        <v>166666.66666666666</v>
      </c>
      <c r="O8" s="2">
        <f t="shared" si="0"/>
        <v>166666.66666666666</v>
      </c>
      <c r="P8" s="2">
        <f t="shared" si="0"/>
        <v>166666.66666666666</v>
      </c>
      <c r="Q8" s="2">
        <f t="shared" si="0"/>
        <v>166666.66666666666</v>
      </c>
    </row>
  </sheetData>
  <pageMargins left="0.7" right="0.7" top="0.75" bottom="0.75" header="0.3" footer="0.3"/>
  <headerFooter>
    <oddHeader>&amp;R&amp;"Calibri"&amp;10&amp;K000000 Confidencial&amp;1#_x000D_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F87C1A1CF27E438E57A85DDBA9F1D4" ma:contentTypeVersion="3" ma:contentTypeDescription="Crear nuevo documento." ma:contentTypeScope="" ma:versionID="a7bbcd258ee40a56eed653759f876ef4">
  <xsd:schema xmlns:xsd="http://www.w3.org/2001/XMLSchema" xmlns:xs="http://www.w3.org/2001/XMLSchema" xmlns:p="http://schemas.microsoft.com/office/2006/metadata/properties" xmlns:ns2="9172dbcb-e835-42fb-bacf-4390aea87e33" targetNamespace="http://schemas.microsoft.com/office/2006/metadata/properties" ma:root="true" ma:fieldsID="1c909e5b029b1c13f3586d3cabdeaab7" ns2:_="">
    <xsd:import namespace="9172dbcb-e835-42fb-bacf-4390aea87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72dbcb-e835-42fb-bacf-4390aea87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382CF0-AC78-4392-9538-905115F3146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2F0CFDA-3D08-47CE-B8D6-E17DD6512E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52F4B4-C26A-4FE5-AC32-094268AEB832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9A21F7B-4445-46FD-9D29-4B7A9E0C7D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72dbcb-e835-42fb-bacf-4390aea87e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29</vt:i4>
      </vt:variant>
    </vt:vector>
  </HeadingPairs>
  <TitlesOfParts>
    <vt:vector size="29" baseType="lpstr">
      <vt:lpstr>Capital de Trabajo</vt:lpstr>
      <vt:lpstr>Flujo</vt:lpstr>
      <vt:lpstr>1Q Consolidado</vt:lpstr>
      <vt:lpstr>Linea Sesajal</vt:lpstr>
      <vt:lpstr>Cashflow (ROLLING) CAP</vt:lpstr>
      <vt:lpstr>IS (ROLLING)</vt:lpstr>
      <vt:lpstr>BEAR V. ROLLING</vt:lpstr>
      <vt:lpstr>Interest Expense</vt:lpstr>
      <vt:lpstr>KPIs SEP 2024 V. MAY</vt:lpstr>
      <vt:lpstr>IS (BRIEF)</vt:lpstr>
      <vt:lpstr>IS (SCENARIO CAP)</vt:lpstr>
      <vt:lpstr>KEY DATA NEGOTIATION</vt:lpstr>
      <vt:lpstr>MODELO SESAJAL (ROLLING) STS QU</vt:lpstr>
      <vt:lpstr>AUX MODELO SESAJAL (ROLLING)</vt:lpstr>
      <vt:lpstr>IS (BEAR)</vt:lpstr>
      <vt:lpstr>MODELO SESAJAL (BEAR)</vt:lpstr>
      <vt:lpstr>AUX MODELO SESAJAL (BEAR)</vt:lpstr>
      <vt:lpstr>IS</vt:lpstr>
      <vt:lpstr>ASSUMPTIONS</vt:lpstr>
      <vt:lpstr>FCST $ 2024</vt:lpstr>
      <vt:lpstr>Gastos</vt:lpstr>
      <vt:lpstr>Seguros</vt:lpstr>
      <vt:lpstr>CREDITOS</vt:lpstr>
      <vt:lpstr>ARRENDAMIENTOS</vt:lpstr>
      <vt:lpstr>BIOMIRAL PVT LBL</vt:lpstr>
      <vt:lpstr>Margen_ Bruto</vt:lpstr>
      <vt:lpstr>Sueldos Total Nominal Enero</vt:lpstr>
      <vt:lpstr>Subtotal Nom_Enero</vt:lpstr>
      <vt:lpstr>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Martinez</dc:creator>
  <cp:lastModifiedBy>Gerardo Fuentes</cp:lastModifiedBy>
  <dcterms:created xsi:type="dcterms:W3CDTF">2025-01-29T00:27:54Z</dcterms:created>
  <dcterms:modified xsi:type="dcterms:W3CDTF">2025-09-06T02:23:20Z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8100249-81e7-494f-8f60-6e8638d09040_Enabled">
    <vt:lpwstr>true</vt:lpwstr>
  </property>
  <property fmtid="{D5CDD505-2E9C-101B-9397-08002B2CF9AE}" pid="3" name="MSIP_Label_f8100249-81e7-494f-8f60-6e8638d09040_SetDate">
    <vt:lpwstr>2025-07-01T17:30:51Z</vt:lpwstr>
  </property>
  <property fmtid="{D5CDD505-2E9C-101B-9397-08002B2CF9AE}" pid="4" name="MSIP_Label_f8100249-81e7-494f-8f60-6e8638d09040_Method">
    <vt:lpwstr>Privileged</vt:lpwstr>
  </property>
  <property fmtid="{D5CDD505-2E9C-101B-9397-08002B2CF9AE}" pid="5" name="MSIP_Label_f8100249-81e7-494f-8f60-6e8638d09040_Name">
    <vt:lpwstr>Confidencial</vt:lpwstr>
  </property>
  <property fmtid="{D5CDD505-2E9C-101B-9397-08002B2CF9AE}" pid="6" name="MSIP_Label_f8100249-81e7-494f-8f60-6e8638d09040_SiteId">
    <vt:lpwstr>0354edd6-9d4e-45a8-bf73-e3d96f08445c</vt:lpwstr>
  </property>
  <property fmtid="{D5CDD505-2E9C-101B-9397-08002B2CF9AE}" pid="7" name="MSIP_Label_f8100249-81e7-494f-8f60-6e8638d09040_ActionId">
    <vt:lpwstr>2cee8f63-a75b-4209-8109-764075b41808</vt:lpwstr>
  </property>
  <property fmtid="{D5CDD505-2E9C-101B-9397-08002B2CF9AE}" pid="8" name="MSIP_Label_f8100249-81e7-494f-8f60-6e8638d09040_ContentBits">
    <vt:lpwstr>1</vt:lpwstr>
  </property>
  <property fmtid="{D5CDD505-2E9C-101B-9397-08002B2CF9AE}" pid="9" name="ContentTypeId">
    <vt:lpwstr>0x010100BDF87C1A1CF27E438E57A85DDBA9F1D4</vt:lpwstr>
  </property>
</Properties>
</file>