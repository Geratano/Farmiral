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miral53\Desktop\Farmiral\"/>
    </mc:Choice>
  </mc:AlternateContent>
  <xr:revisionPtr revIDLastSave="0" documentId="13_ncr:1_{5D3FBA6E-926A-4D78-A4F8-090AEB3E8508}" xr6:coauthVersionLast="47" xr6:coauthVersionMax="47" xr10:uidLastSave="{00000000-0000-0000-0000-000000000000}"/>
  <bookViews>
    <workbookView xWindow="-28788" yWindow="-16416" windowWidth="29016" windowHeight="15696" xr2:uid="{24261E9D-80EF-4BD4-8D58-13D8DCCA2662}"/>
  </bookViews>
  <sheets>
    <sheet name="catalogo" sheetId="1" r:id="rId1"/>
  </sheets>
  <externalReferences>
    <externalReference r:id="rId2"/>
  </externalReferences>
  <definedNames>
    <definedName name="_xlnm._FilterDatabase" localSheetId="0" hidden="1">catalogo!$A$1:$J$1781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51" i="1" l="1"/>
  <c r="E1451" i="1"/>
  <c r="G1177" i="1" l="1" a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E996" i="1"/>
  <c r="E936" i="1"/>
  <c r="E935" i="1"/>
  <c r="E934" i="1"/>
  <c r="E932" i="1"/>
  <c r="E933" i="1"/>
  <c r="E931" i="1"/>
  <c r="E93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H1183" i="1" s="1"/>
  <c r="E1256" i="1"/>
  <c r="E1257" i="1"/>
  <c r="E1258" i="1"/>
  <c r="E1259" i="1"/>
  <c r="E1260" i="1"/>
  <c r="E1261" i="1"/>
  <c r="E1262" i="1"/>
  <c r="H1188" i="1" s="1"/>
  <c r="E1263" i="1"/>
  <c r="E1264" i="1"/>
  <c r="E1265" i="1"/>
  <c r="H1190" i="1" s="1"/>
  <c r="E1266" i="1"/>
  <c r="E1267" i="1"/>
  <c r="E1268" i="1"/>
  <c r="E1269" i="1"/>
  <c r="E1270" i="1"/>
  <c r="E1271" i="1"/>
  <c r="E1272" i="1"/>
  <c r="E1273" i="1"/>
  <c r="E1274" i="1"/>
  <c r="H1196" i="1" s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H1204" i="1" s="1"/>
  <c r="E1295" i="1"/>
  <c r="E1296" i="1"/>
  <c r="H1206" i="1" s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H1180" i="1" l="1"/>
  <c r="H1203" i="1"/>
  <c r="H1182" i="1"/>
  <c r="H1191" i="1"/>
  <c r="H1198" i="1"/>
  <c r="H1199" i="1"/>
  <c r="H1207" i="1"/>
  <c r="H1181" i="1"/>
  <c r="H1189" i="1"/>
  <c r="H1197" i="1"/>
  <c r="H1205" i="1"/>
  <c r="H1184" i="1"/>
  <c r="H1192" i="1"/>
  <c r="H1200" i="1"/>
  <c r="H1208" i="1"/>
  <c r="H1185" i="1"/>
  <c r="H1193" i="1"/>
  <c r="H1201" i="1"/>
  <c r="H1209" i="1"/>
  <c r="H1178" i="1"/>
  <c r="H1186" i="1"/>
  <c r="H1194" i="1"/>
  <c r="H1202" i="1"/>
  <c r="H1210" i="1"/>
  <c r="H1179" i="1"/>
  <c r="H1187" i="1"/>
  <c r="H1195" i="1"/>
  <c r="G1177" i="1"/>
  <c r="H1177" i="1" s="1"/>
  <c r="I117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<sst xmlns="http://schemas.openxmlformats.org/spreadsheetml/2006/main" count="7118" uniqueCount="4924">
  <si>
    <t>100-00-00-000</t>
  </si>
  <si>
    <t>Activo</t>
  </si>
  <si>
    <t>100-01-00-000</t>
  </si>
  <si>
    <t>Activo a corto plazo</t>
  </si>
  <si>
    <t>101-00-00-000</t>
  </si>
  <si>
    <t>Caja</t>
  </si>
  <si>
    <t>101-01-00-000</t>
  </si>
  <si>
    <t>Caja y Efectivo</t>
  </si>
  <si>
    <t>101-01-00-001</t>
  </si>
  <si>
    <t>Caja Tesistan</t>
  </si>
  <si>
    <t>101-01-00-002</t>
  </si>
  <si>
    <t>Caja Rosa</t>
  </si>
  <si>
    <t>101-01-00-003</t>
  </si>
  <si>
    <t>Caja Argentina</t>
  </si>
  <si>
    <t>101-01-00-004</t>
  </si>
  <si>
    <t>Despensa EyF ALM</t>
  </si>
  <si>
    <t>102-00-00-000</t>
  </si>
  <si>
    <t>Bancos</t>
  </si>
  <si>
    <t>102-01-00-000</t>
  </si>
  <si>
    <t>Bancos Nacionales</t>
  </si>
  <si>
    <t>102-01-01-000</t>
  </si>
  <si>
    <t>Bancos MNX</t>
  </si>
  <si>
    <t>102-01-00-001</t>
  </si>
  <si>
    <t>Santander MXN</t>
  </si>
  <si>
    <t>102-01-00-002</t>
  </si>
  <si>
    <t>Banorte MXN</t>
  </si>
  <si>
    <t>102-01-00-003</t>
  </si>
  <si>
    <t>Banregio MXN (sin uso)</t>
  </si>
  <si>
    <t>102-01-00-004</t>
  </si>
  <si>
    <t>STP Capital X MXN</t>
  </si>
  <si>
    <t>102-01-00-005</t>
  </si>
  <si>
    <t>STP Farmiral MXN</t>
  </si>
  <si>
    <t>102-01-00-006</t>
  </si>
  <si>
    <t>STP ICM Farmiral</t>
  </si>
  <si>
    <t>102-01-00-007</t>
  </si>
  <si>
    <t>Banregio ICM MXN (sin uso)</t>
  </si>
  <si>
    <t>102-01-00-008</t>
  </si>
  <si>
    <t>Base 1017 MXN</t>
  </si>
  <si>
    <t>102-01-00-009</t>
  </si>
  <si>
    <t>Base 1033 MXN</t>
  </si>
  <si>
    <t>102-01-00-010</t>
  </si>
  <si>
    <t>Mifel MXN</t>
  </si>
  <si>
    <t>102-01-00-011</t>
  </si>
  <si>
    <t>STP Higo</t>
  </si>
  <si>
    <t>102-01-02-000</t>
  </si>
  <si>
    <t>Bancos USD en MN</t>
  </si>
  <si>
    <t>102-01-02-100</t>
  </si>
  <si>
    <t>Bancos USD</t>
  </si>
  <si>
    <t>102-01-02-101</t>
  </si>
  <si>
    <t>Base USD</t>
  </si>
  <si>
    <t>102-01-02-102</t>
  </si>
  <si>
    <t>Banorte USD</t>
  </si>
  <si>
    <t>102-01-02-103</t>
  </si>
  <si>
    <t>Banregio USD</t>
  </si>
  <si>
    <t>102-01-02-200</t>
  </si>
  <si>
    <t>Bancos USD Complementaria</t>
  </si>
  <si>
    <t>102-01-02-201</t>
  </si>
  <si>
    <t>Base USD Complementaria</t>
  </si>
  <si>
    <t>102-01-02-202</t>
  </si>
  <si>
    <t>Banorte USD Complementaria</t>
  </si>
  <si>
    <t>102-01-02-203</t>
  </si>
  <si>
    <t>Banregio USD Complementaria</t>
  </si>
  <si>
    <t>102-02-00-000</t>
  </si>
  <si>
    <t>Bancos Extranjeros</t>
  </si>
  <si>
    <t>103-00-00-000</t>
  </si>
  <si>
    <t>Inversiones</t>
  </si>
  <si>
    <t>103-01-00-000</t>
  </si>
  <si>
    <t>Inversiones Temporales</t>
  </si>
  <si>
    <t>103-01-00-001</t>
  </si>
  <si>
    <t>Banco Base 1017 MXN</t>
  </si>
  <si>
    <t>103-02-00-000</t>
  </si>
  <si>
    <t>Inversiones en fideicomisos</t>
  </si>
  <si>
    <t>103-03-00-000</t>
  </si>
  <si>
    <t>Otras Inversiones</t>
  </si>
  <si>
    <t>104-00-00-000</t>
  </si>
  <si>
    <t>Otros instrumentos financieros</t>
  </si>
  <si>
    <t>104-01-00-000</t>
  </si>
  <si>
    <t>105-00-00-000</t>
  </si>
  <si>
    <t>Clientes</t>
  </si>
  <si>
    <t>105-01-00-000</t>
  </si>
  <si>
    <t>Clientes nacionales</t>
  </si>
  <si>
    <t>105-01-01-000</t>
  </si>
  <si>
    <t>Maquila</t>
  </si>
  <si>
    <t>105-01-01-001</t>
  </si>
  <si>
    <t>Aspen Labs</t>
  </si>
  <si>
    <t>105-01-01-002</t>
  </si>
  <si>
    <t>Grisi Hnos</t>
  </si>
  <si>
    <t>105-01-01-003</t>
  </si>
  <si>
    <t>Laboratorio Elmor Mexico</t>
  </si>
  <si>
    <t>105-01-01-004</t>
  </si>
  <si>
    <t>Farmacias De Similares</t>
  </si>
  <si>
    <t>105-01-01-005</t>
  </si>
  <si>
    <t>Kps Comercializadora</t>
  </si>
  <si>
    <t>105-01-01-006</t>
  </si>
  <si>
    <t>Farmacias Benavides</t>
  </si>
  <si>
    <t>105-01-01-007</t>
  </si>
  <si>
    <t>Star Alai</t>
  </si>
  <si>
    <t>105-01-01-008</t>
  </si>
  <si>
    <t>Mtex Mexico</t>
  </si>
  <si>
    <t>105-01-01-009</t>
  </si>
  <si>
    <t>Boreal Farmaceutica</t>
  </si>
  <si>
    <t>105-01-01-011</t>
  </si>
  <si>
    <t>LABORATORIOS BEST</t>
  </si>
  <si>
    <t>105-01-01-100</t>
  </si>
  <si>
    <t>Otros Maquila</t>
  </si>
  <si>
    <t>105-01-02-000</t>
  </si>
  <si>
    <t>Distribuidores</t>
  </si>
  <si>
    <t>105-01-02-001</t>
  </si>
  <si>
    <t>Levic</t>
  </si>
  <si>
    <t>105-01-02-002</t>
  </si>
  <si>
    <t>Pharma Amigo</t>
  </si>
  <si>
    <t>105-01-02-003</t>
  </si>
  <si>
    <t>Comercial Gfc</t>
  </si>
  <si>
    <t>105-01-02-004</t>
  </si>
  <si>
    <t>Distribuidora Sevi</t>
  </si>
  <si>
    <t>105-01-02-006</t>
  </si>
  <si>
    <t>Lifoods</t>
  </si>
  <si>
    <t>105-01-02-007</t>
  </si>
  <si>
    <t>Distribuidora Farmaceutica Rase</t>
  </si>
  <si>
    <t>105-01-02-009</t>
  </si>
  <si>
    <t>Leticia Paz Urias</t>
  </si>
  <si>
    <t>105-01-02-010</t>
  </si>
  <si>
    <t xml:space="preserve">Reinvex </t>
  </si>
  <si>
    <t>105-01-02-011</t>
  </si>
  <si>
    <t>Alma Gabriela Burgos Jaurena</t>
  </si>
  <si>
    <t>105-01-02-012</t>
  </si>
  <si>
    <t>Remedio</t>
  </si>
  <si>
    <t>105-01-02-013</t>
  </si>
  <si>
    <t>Medicamentos nacionales y mas</t>
  </si>
  <si>
    <t>105-01-02-014</t>
  </si>
  <si>
    <t>Super Mayoreo Naturista</t>
  </si>
  <si>
    <t>105-01-02-015</t>
  </si>
  <si>
    <t>Difarmer</t>
  </si>
  <si>
    <t>105-01-02-016</t>
  </si>
  <si>
    <t>Rosario Mendoza Macedo</t>
  </si>
  <si>
    <t>105-01-02-017</t>
  </si>
  <si>
    <t>Brudifarma</t>
  </si>
  <si>
    <t>105-01-02-019</t>
  </si>
  <si>
    <t>Proveedora Farmaceutica Race</t>
  </si>
  <si>
    <t>105-01-02-020</t>
  </si>
  <si>
    <t>Distribuidora Farmaceutica Calderon</t>
  </si>
  <si>
    <t>105-01-02-021</t>
  </si>
  <si>
    <t>Promotora Saludanat</t>
  </si>
  <si>
    <t>105-01-02-022</t>
  </si>
  <si>
    <t>Farmaceuticos Tenorio</t>
  </si>
  <si>
    <t>105-01-02-023</t>
  </si>
  <si>
    <t>Pharma Life</t>
  </si>
  <si>
    <t>105-01-02-024</t>
  </si>
  <si>
    <t>Xana Lab</t>
  </si>
  <si>
    <t>105-01-02-025</t>
  </si>
  <si>
    <t>Grupo Comercializadora la Espiga</t>
  </si>
  <si>
    <t>105-01-02-026</t>
  </si>
  <si>
    <t>Disag Farmaceutica</t>
  </si>
  <si>
    <t>105-01-02-027</t>
  </si>
  <si>
    <t>Distribuidora Naturista de Occidente</t>
  </si>
  <si>
    <t>105-01-02-028</t>
  </si>
  <si>
    <t>Farmatotal</t>
  </si>
  <si>
    <t>105-01-02-029</t>
  </si>
  <si>
    <t>Comercializadora Naturista de Mexico</t>
  </si>
  <si>
    <t>105-01-02-030</t>
  </si>
  <si>
    <t>Farmaceutica Delta</t>
  </si>
  <si>
    <t>105-01-03-000</t>
  </si>
  <si>
    <t>Retail</t>
  </si>
  <si>
    <t>105-01-03-001</t>
  </si>
  <si>
    <t>Pharma Plus</t>
  </si>
  <si>
    <t>105-01-03-002</t>
  </si>
  <si>
    <t>Nadro</t>
  </si>
  <si>
    <t>105-01-03-003</t>
  </si>
  <si>
    <t>Farmacia Guadalajara</t>
  </si>
  <si>
    <t>105-01-03-004</t>
  </si>
  <si>
    <t>Farmacos Nacionales</t>
  </si>
  <si>
    <t>105-01-03-005</t>
  </si>
  <si>
    <t>Flores y Regalos Angeles</t>
  </si>
  <si>
    <t>105-01-03-006</t>
  </si>
  <si>
    <t>Supermercados Internacionales H E B</t>
  </si>
  <si>
    <t>105-01-03-008</t>
  </si>
  <si>
    <t xml:space="preserve">Empleados </t>
  </si>
  <si>
    <t>105-01-03-009</t>
  </si>
  <si>
    <t>Rosa Elizabeth Aide Reyna Leal</t>
  </si>
  <si>
    <t>105-01-03-010</t>
  </si>
  <si>
    <t>VENTA DE ECOMERCE</t>
  </si>
  <si>
    <t>105-01-03-011</t>
  </si>
  <si>
    <t>Otros Retail</t>
  </si>
  <si>
    <t>105-02-00-000</t>
  </si>
  <si>
    <t>Clientes extranjeros</t>
  </si>
  <si>
    <t>105-03-00-000</t>
  </si>
  <si>
    <t>Clientes nacionales partes relacionadas</t>
  </si>
  <si>
    <t>105-04-00-000</t>
  </si>
  <si>
    <t>Clientes extranjeros partes relacionadas</t>
  </si>
  <si>
    <t>106-00-00-000</t>
  </si>
  <si>
    <t>Ctas y doctos x cobrar a corto plazo</t>
  </si>
  <si>
    <t>106-01-00-000</t>
  </si>
  <si>
    <t>Ctas y doctos x cobrar a corto plazo nal</t>
  </si>
  <si>
    <t>106-02-00-000</t>
  </si>
  <si>
    <t>Ctas y doctos x cobrar a corto plazo ext</t>
  </si>
  <si>
    <t>106-03-00-000</t>
  </si>
  <si>
    <t>Ctas y dtos x cobrar a corto plazo nal part relac</t>
  </si>
  <si>
    <t>106-04-00-000</t>
  </si>
  <si>
    <t>Ctas y dtos x cobrar a corto plazo ext part relac</t>
  </si>
  <si>
    <t>106-05-00-000</t>
  </si>
  <si>
    <t>Intereses x cobrar a corto plazo nal</t>
  </si>
  <si>
    <t>106-06-00-000</t>
  </si>
  <si>
    <t>Intereses x cobrar a corto plazo ext</t>
  </si>
  <si>
    <t>106-07-00-000</t>
  </si>
  <si>
    <t>Intereses x cobrar a corto plazo nal parte relac</t>
  </si>
  <si>
    <t>106-08-00-000</t>
  </si>
  <si>
    <t>Intereses x cobrar a corto plazo ext parte relac</t>
  </si>
  <si>
    <t>106-09-00-000</t>
  </si>
  <si>
    <t>Otr ctas y dtos x cobrar corto plazo</t>
  </si>
  <si>
    <t>106-10-00-000</t>
  </si>
  <si>
    <t>Otr ctas y dtos x cobrar corto plazo parte relac</t>
  </si>
  <si>
    <t>107-00-00-000</t>
  </si>
  <si>
    <t>Deudores diversos</t>
  </si>
  <si>
    <t>107-01-00-000</t>
  </si>
  <si>
    <t>Funcionarios y empleados</t>
  </si>
  <si>
    <t>107-01-01-000</t>
  </si>
  <si>
    <t>Empleados</t>
  </si>
  <si>
    <t>107-01-01-001</t>
  </si>
  <si>
    <t>Empleados cta provisional</t>
  </si>
  <si>
    <t>107-01-01-002</t>
  </si>
  <si>
    <t>Christian Sotelo</t>
  </si>
  <si>
    <t>107-01-01-003</t>
  </si>
  <si>
    <t>ALVARO LOMELI</t>
  </si>
  <si>
    <t>107-02-00-000</t>
  </si>
  <si>
    <t>Socios y accionistas</t>
  </si>
  <si>
    <t>107-02-00-001</t>
  </si>
  <si>
    <t>Luis Fernando Correa Miramontes</t>
  </si>
  <si>
    <t>107-02-00-002</t>
  </si>
  <si>
    <t>Ana Luisa Miramontes Zepeda</t>
  </si>
  <si>
    <t>107-03-00-000</t>
  </si>
  <si>
    <t>Partes relacionadas nacionales</t>
  </si>
  <si>
    <t>107-04-00-000</t>
  </si>
  <si>
    <t>Partes relacionadas extranjeros</t>
  </si>
  <si>
    <t>107-05-00-000</t>
  </si>
  <si>
    <t>Otros deudores diversos</t>
  </si>
  <si>
    <t>107-05-00-001</t>
  </si>
  <si>
    <t>107-05-00-002</t>
  </si>
  <si>
    <t xml:space="preserve">Otros deudores </t>
  </si>
  <si>
    <t>107-05-00-003</t>
  </si>
  <si>
    <t>Capital X</t>
  </si>
  <si>
    <t>107-05-00-004</t>
  </si>
  <si>
    <t>Cuenta puente deposito por mercado en Xanalab</t>
  </si>
  <si>
    <t>108-00-00-000</t>
  </si>
  <si>
    <t>Estimación de cuentas incobrables</t>
  </si>
  <si>
    <t>108-01-00-000</t>
  </si>
  <si>
    <t>Estimación de cuentas incobrables nacional</t>
  </si>
  <si>
    <t>108-02-00-000</t>
  </si>
  <si>
    <t>Estimación de cuentas incobrables extranjero</t>
  </si>
  <si>
    <t>108-03-00-000</t>
  </si>
  <si>
    <t>Estimación de ctas incobrables nal parte relac</t>
  </si>
  <si>
    <t>108-04-00-000</t>
  </si>
  <si>
    <t>Estimación de ctas incobrables ext parte relac</t>
  </si>
  <si>
    <t>109-00-00-000</t>
  </si>
  <si>
    <t>Pagos anticipados</t>
  </si>
  <si>
    <t>109-01-00-000</t>
  </si>
  <si>
    <t>Seg y fianzas pagados x anticipado nal</t>
  </si>
  <si>
    <t>109-01-00-001</t>
  </si>
  <si>
    <t>Seguros pagados por anticipado</t>
  </si>
  <si>
    <t>109-02-00-000</t>
  </si>
  <si>
    <t>Seg y fianzas pagados x anticipado ext</t>
  </si>
  <si>
    <t>109-03-00-000</t>
  </si>
  <si>
    <t>Seg y fianzas pagados x anticipado nal parte relac</t>
  </si>
  <si>
    <t>109-04-00-000</t>
  </si>
  <si>
    <t>Seg y fianzas pagados x anticipado ext parte relac</t>
  </si>
  <si>
    <t>109-05-00-000</t>
  </si>
  <si>
    <t>Rentas pagados x anticipado nal</t>
  </si>
  <si>
    <t>109-06-00-000</t>
  </si>
  <si>
    <t>Rentas pagados x anticipado ext</t>
  </si>
  <si>
    <t>109-07-00-000</t>
  </si>
  <si>
    <t>Rentas pagados x anticipado nal parte relac</t>
  </si>
  <si>
    <t>109-08-00-000</t>
  </si>
  <si>
    <t>Rentas pagados x anticipado ext parte relac</t>
  </si>
  <si>
    <t>109-09-00-000</t>
  </si>
  <si>
    <t>Intereses pagados x anticipado nal</t>
  </si>
  <si>
    <t>109-10-00-000</t>
  </si>
  <si>
    <t>Intereses pagados x anticipado ext</t>
  </si>
  <si>
    <t>109-11-00-000</t>
  </si>
  <si>
    <t>Intereses pagados x anticipado nal parte relac</t>
  </si>
  <si>
    <t>109-12-00-000</t>
  </si>
  <si>
    <t>Intereses pagados x anticipado ext parte relac</t>
  </si>
  <si>
    <t>109-13-00-000</t>
  </si>
  <si>
    <t>Factoraje financiero pagados x anticipado nal</t>
  </si>
  <si>
    <t>109-14-00-000</t>
  </si>
  <si>
    <t>Factoraje financiero pagados x anticipado ext</t>
  </si>
  <si>
    <t>109-15-00-000</t>
  </si>
  <si>
    <t>Factoraje financ pag x antic nal parte relac</t>
  </si>
  <si>
    <t>109-16-00-000</t>
  </si>
  <si>
    <t>Factoraje financ pag x antic ext parte relac</t>
  </si>
  <si>
    <t>109-17-00-000</t>
  </si>
  <si>
    <t>Arrendamiento financiero pag x antic nal</t>
  </si>
  <si>
    <t>109-18-00-000</t>
  </si>
  <si>
    <t>Arrendamiento financiero pag x ant ext</t>
  </si>
  <si>
    <t>109-19-00-000</t>
  </si>
  <si>
    <t>Arrend financ pag x antic nal parte relac</t>
  </si>
  <si>
    <t>109-20-00-000</t>
  </si>
  <si>
    <t>Arrend financ pag x antic ext parte relac</t>
  </si>
  <si>
    <t>109-21-00-000</t>
  </si>
  <si>
    <t>Pérdida por deterioro de pagos anticipados</t>
  </si>
  <si>
    <t>109-22-00-000</t>
  </si>
  <si>
    <t>Derechos fiduciarios</t>
  </si>
  <si>
    <t>109-23-00-000</t>
  </si>
  <si>
    <t>Otros pagos anticipados</t>
  </si>
  <si>
    <t>109-23-01-000</t>
  </si>
  <si>
    <t>Licencias pagadas por anticipado</t>
  </si>
  <si>
    <t>109-23-02-000</t>
  </si>
  <si>
    <t>Dividendos pagados por anticipado</t>
  </si>
  <si>
    <t>110-00-00-000</t>
  </si>
  <si>
    <t>Subsidio al empleo por aplicar</t>
  </si>
  <si>
    <t>110-01-00-000</t>
  </si>
  <si>
    <t>111-00-00-000</t>
  </si>
  <si>
    <t>Crédito al diesel por acreditar</t>
  </si>
  <si>
    <t>111-01-00-000</t>
  </si>
  <si>
    <t>112-00-00-000</t>
  </si>
  <si>
    <t>Otros estímulos</t>
  </si>
  <si>
    <t>112-01-00-000</t>
  </si>
  <si>
    <t>113-00-00-000</t>
  </si>
  <si>
    <t>Impuestos a favor</t>
  </si>
  <si>
    <t>113-01-00-000</t>
  </si>
  <si>
    <t>IVA a favor</t>
  </si>
  <si>
    <t>113-02-00-000</t>
  </si>
  <si>
    <t>ISR a favor</t>
  </si>
  <si>
    <t>113-03-00-000</t>
  </si>
  <si>
    <t>IETU a favor</t>
  </si>
  <si>
    <t>113-04-00-000</t>
  </si>
  <si>
    <t>IDE a favor</t>
  </si>
  <si>
    <t>113-05-00-000</t>
  </si>
  <si>
    <t>IA a favor</t>
  </si>
  <si>
    <t>113-06-00-000</t>
  </si>
  <si>
    <t>Subsidio al empleo</t>
  </si>
  <si>
    <t>113-07-00-000</t>
  </si>
  <si>
    <t>Pago de lo indebido</t>
  </si>
  <si>
    <t>113-08-00-000</t>
  </si>
  <si>
    <t>Otros impuestos a favor</t>
  </si>
  <si>
    <t>114-00-00-000</t>
  </si>
  <si>
    <t>Pagos provisionales</t>
  </si>
  <si>
    <t>114-01-00-000</t>
  </si>
  <si>
    <t>Pagos provisionales de ISR</t>
  </si>
  <si>
    <t>115-00-00-000</t>
  </si>
  <si>
    <t>Inventario</t>
  </si>
  <si>
    <t>115-01-00-000</t>
  </si>
  <si>
    <t>115-02-00-000</t>
  </si>
  <si>
    <t>Materia prima y materiales</t>
  </si>
  <si>
    <t>115-02-01-000</t>
  </si>
  <si>
    <t>Materia prima</t>
  </si>
  <si>
    <t>115-02-02-000</t>
  </si>
  <si>
    <t>Material de empaque</t>
  </si>
  <si>
    <t>115-02-03-000</t>
  </si>
  <si>
    <t>Fletes y Logistica</t>
  </si>
  <si>
    <t>115-03-00-000</t>
  </si>
  <si>
    <t>Producción en proceso</t>
  </si>
  <si>
    <t>115-04-00-000</t>
  </si>
  <si>
    <t>Productos terminados</t>
  </si>
  <si>
    <t>115-05-00-000</t>
  </si>
  <si>
    <t>Mercancías en tránsito</t>
  </si>
  <si>
    <t>115-06-00-000</t>
  </si>
  <si>
    <t>Mercancías en poder de terceros</t>
  </si>
  <si>
    <t>115-07-00-000</t>
  </si>
  <si>
    <t>Producto rechazado</t>
  </si>
  <si>
    <t>115-08-00-000</t>
  </si>
  <si>
    <t>Almacen Varios</t>
  </si>
  <si>
    <t>116-00-00-000</t>
  </si>
  <si>
    <t>Estimación de inv obsoletos y de lento movto</t>
  </si>
  <si>
    <t>116-01-00-000</t>
  </si>
  <si>
    <t>117-00-00-000</t>
  </si>
  <si>
    <t>Obras en proceso de inmuebles</t>
  </si>
  <si>
    <t>117-01-00-000</t>
  </si>
  <si>
    <t>118-00-00-000</t>
  </si>
  <si>
    <t>Impuestos acreditables pagados</t>
  </si>
  <si>
    <t>118-01-00-000</t>
  </si>
  <si>
    <t>IVA acreditable pagado</t>
  </si>
  <si>
    <t>118-02-00-000</t>
  </si>
  <si>
    <t>IVA acreditable de importación pagado</t>
  </si>
  <si>
    <t>118-03-00-000</t>
  </si>
  <si>
    <t>IEPS acreditable pagado</t>
  </si>
  <si>
    <t>118-04-00-000</t>
  </si>
  <si>
    <t>IEPS pagado en importación</t>
  </si>
  <si>
    <t>119-00-00-000</t>
  </si>
  <si>
    <t>Impuestos acreditables por pagar</t>
  </si>
  <si>
    <t>119-01-00-000</t>
  </si>
  <si>
    <t>IVA pendiente de pago</t>
  </si>
  <si>
    <t>119-02-00-000</t>
  </si>
  <si>
    <t>IVA de importación pendiente de pago</t>
  </si>
  <si>
    <t>119-03-00-000</t>
  </si>
  <si>
    <t>IEPS pendiente de pago</t>
  </si>
  <si>
    <t>119-04-00-000</t>
  </si>
  <si>
    <t>IEPS pendiente de pago en importación</t>
  </si>
  <si>
    <t>120-00-00-000</t>
  </si>
  <si>
    <t>Anticipo a proveedores</t>
  </si>
  <si>
    <t>120-01-00-000</t>
  </si>
  <si>
    <t>Anticipo a proveedores nacional</t>
  </si>
  <si>
    <t>120-01-01-000</t>
  </si>
  <si>
    <t>Anticipo a proveedores MXN</t>
  </si>
  <si>
    <t>120-01-01-001</t>
  </si>
  <si>
    <t>SERVICIOS Y MERCANCIAS</t>
  </si>
  <si>
    <t>120-01-01-002</t>
  </si>
  <si>
    <t>REGINA MINAKATA PONCE</t>
  </si>
  <si>
    <t>120-01-01-003</t>
  </si>
  <si>
    <t>SPECIAL NUTRITION GROUP</t>
  </si>
  <si>
    <t>120-01-01-004</t>
  </si>
  <si>
    <t>BIOCAPS DE MEXICO</t>
  </si>
  <si>
    <t>120-01-01-005</t>
  </si>
  <si>
    <t xml:space="preserve">INDUSTRIAS BOGRI </t>
  </si>
  <si>
    <t>120-01-01-006</t>
  </si>
  <si>
    <t>XIOMARA GONZALEZ LOPEZ</t>
  </si>
  <si>
    <t>120-01-01-007</t>
  </si>
  <si>
    <t>EMPAQUES MPK</t>
  </si>
  <si>
    <t>120-01-01-008</t>
  </si>
  <si>
    <t>GRUPO ARCO IRIS PLASTICOS</t>
  </si>
  <si>
    <t>120-01-01-009</t>
  </si>
  <si>
    <t>MA LUISA LLMAS LARES</t>
  </si>
  <si>
    <t>120-01-01-010</t>
  </si>
  <si>
    <t>CHEMICO ESPECIALIDADES QUIMICAS</t>
  </si>
  <si>
    <t>120-01-01-011</t>
  </si>
  <si>
    <t>PATRICIA GARCIA DAVALOS</t>
  </si>
  <si>
    <t>120-01-01-012</t>
  </si>
  <si>
    <t>SANTANDER MN</t>
  </si>
  <si>
    <t>120-01-01-013</t>
  </si>
  <si>
    <t>BANORTE MN</t>
  </si>
  <si>
    <t>120-01-01-014</t>
  </si>
  <si>
    <t xml:space="preserve">STP FARMIRAL </t>
  </si>
  <si>
    <t>120-01-01-015</t>
  </si>
  <si>
    <t>UNIFIN FINANCIERA</t>
  </si>
  <si>
    <t>120-01-01-016</t>
  </si>
  <si>
    <t xml:space="preserve">BASTION CAPITAL </t>
  </si>
  <si>
    <t>120-01-01-017</t>
  </si>
  <si>
    <t>PEDRO CRUZ QUIROZ</t>
  </si>
  <si>
    <t>120-01-01-018</t>
  </si>
  <si>
    <t>ETIQUETAS ELECTRONICAS DE OCCIDENTE</t>
  </si>
  <si>
    <t>120-01-01-019</t>
  </si>
  <si>
    <t>LATIN PACIFIC</t>
  </si>
  <si>
    <t>120-01-01-020</t>
  </si>
  <si>
    <t>ADYCHEM</t>
  </si>
  <si>
    <t>120-01-01-021</t>
  </si>
  <si>
    <t>DHL EXPRESS MEXICO</t>
  </si>
  <si>
    <t>120-01-01-022</t>
  </si>
  <si>
    <t xml:space="preserve">INTELIGENCIA EN COMERCIO EXTERIOR SC </t>
  </si>
  <si>
    <t>120-01-01-023</t>
  </si>
  <si>
    <t>AVISAIL FLORES LUNA</t>
  </si>
  <si>
    <t>120-01-01-024</t>
  </si>
  <si>
    <t>SI VALE</t>
  </si>
  <si>
    <t>120-01-01-025</t>
  </si>
  <si>
    <t>COMISION FEDERAL DE ELECTRICIDAD</t>
  </si>
  <si>
    <t>120-01-01-026</t>
  </si>
  <si>
    <t>JOSE GALLARDO JIMENEZ</t>
  </si>
  <si>
    <t>120-01-01-027</t>
  </si>
  <si>
    <t>SERVICIOS DE MENSAJERIA DE PREPAGO</t>
  </si>
  <si>
    <t>120-01-01-028</t>
  </si>
  <si>
    <t>INTEGRADORA LOGISTICA FERNANDEZ DE ALBA Y LOPEZ</t>
  </si>
  <si>
    <t>120-01-01-029</t>
  </si>
  <si>
    <t>QUALITAS COMPAÑIA DE SEGUROS</t>
  </si>
  <si>
    <t>120-01-01-030</t>
  </si>
  <si>
    <t>LEASY ARRENDAMIENTOS</t>
  </si>
  <si>
    <t>120-01-01-031</t>
  </si>
  <si>
    <t>ARRENDAMIENTOS Y SOLUCIONES EN ACTIVOS (CIBANCO)</t>
  </si>
  <si>
    <t>120-01-01-100</t>
  </si>
  <si>
    <t>Anticipo a proveedores saldo 2024</t>
  </si>
  <si>
    <t>120-01-02-000</t>
  </si>
  <si>
    <t>Anticipo a proveedores USD</t>
  </si>
  <si>
    <t>120-01-02-001</t>
  </si>
  <si>
    <t>120-01-02-002</t>
  </si>
  <si>
    <t>120-01-02-003</t>
  </si>
  <si>
    <t>120-01-02-004</t>
  </si>
  <si>
    <t>120-01-03-000</t>
  </si>
  <si>
    <t>Anticipo a proveedores USD Complementaria</t>
  </si>
  <si>
    <t>120-01-03-001</t>
  </si>
  <si>
    <t>120-01-03-002</t>
  </si>
  <si>
    <t>120-01-03-003</t>
  </si>
  <si>
    <t>120-01-03-004</t>
  </si>
  <si>
    <t>120-02-00-000</t>
  </si>
  <si>
    <t>Anticipo a proveedores extranjero</t>
  </si>
  <si>
    <t>120-02-01-000</t>
  </si>
  <si>
    <t>Anticipo a proveedores extranjeros USD</t>
  </si>
  <si>
    <t>120-02-01-001</t>
  </si>
  <si>
    <t>Weihai One Two One Plastic</t>
  </si>
  <si>
    <t>120-02-02-000</t>
  </si>
  <si>
    <t>Anticipo a proveedores extranjeros USD Complementa</t>
  </si>
  <si>
    <t>120-02-02-001</t>
  </si>
  <si>
    <t>120-03-00-000</t>
  </si>
  <si>
    <t>Anticipo a proveedores nacional parte relac</t>
  </si>
  <si>
    <t>120-04-00-000</t>
  </si>
  <si>
    <t>Anticipo a proveedores extranjero parte relac</t>
  </si>
  <si>
    <t>121-00-00-000</t>
  </si>
  <si>
    <t>Otros activos a corto plazo</t>
  </si>
  <si>
    <t>121-01-00-000</t>
  </si>
  <si>
    <t>121-01-01-000</t>
  </si>
  <si>
    <t>Leasy Arrendamientos</t>
  </si>
  <si>
    <t>121-01-01-001</t>
  </si>
  <si>
    <t>Contrato 0505-001 CAMIONETA JEEP SA</t>
  </si>
  <si>
    <t>121-01-02-000</t>
  </si>
  <si>
    <t>Hewlett Packard Operations Mexico</t>
  </si>
  <si>
    <t>121-01-02-001</t>
  </si>
  <si>
    <t>Arrendamiento eq computo 4</t>
  </si>
  <si>
    <t>121-01-02-002</t>
  </si>
  <si>
    <t>Arrendamiento eq computo 5</t>
  </si>
  <si>
    <t>121-01-02-003</t>
  </si>
  <si>
    <t>Arrendamiento eq computo 6</t>
  </si>
  <si>
    <t>100-02-00-000</t>
  </si>
  <si>
    <t>Activo a largo plazo</t>
  </si>
  <si>
    <t>151-00-00-000</t>
  </si>
  <si>
    <t>Terrenos</t>
  </si>
  <si>
    <t>151-01-00-000</t>
  </si>
  <si>
    <t>152-00-00-000</t>
  </si>
  <si>
    <t>Edificios</t>
  </si>
  <si>
    <t>152-01-00-000</t>
  </si>
  <si>
    <t>153-00-00-000</t>
  </si>
  <si>
    <t>Maquinaria y equipo</t>
  </si>
  <si>
    <t>153-01-00-000</t>
  </si>
  <si>
    <t>154-00-00-000</t>
  </si>
  <si>
    <t>Automóviles, autobuses, camiones de carga</t>
  </si>
  <si>
    <t>154-01-00-000</t>
  </si>
  <si>
    <t>155-00-00-000</t>
  </si>
  <si>
    <t>Mobiliario y equipo de oficina</t>
  </si>
  <si>
    <t>155-01-00-000</t>
  </si>
  <si>
    <t>156-00-00-000</t>
  </si>
  <si>
    <t>Equipo de cómputo</t>
  </si>
  <si>
    <t>156-01-00-000</t>
  </si>
  <si>
    <t>157-00-00-000</t>
  </si>
  <si>
    <t>Equipo de comunicación</t>
  </si>
  <si>
    <t>157-01-00-000</t>
  </si>
  <si>
    <t>158-00-00-000</t>
  </si>
  <si>
    <t>Activos biológicos, vegetales y semovientes</t>
  </si>
  <si>
    <t>158-01-00-000</t>
  </si>
  <si>
    <t>159-00-00-000</t>
  </si>
  <si>
    <t>Obras en proceso de activos fijos</t>
  </si>
  <si>
    <t>159-01-00-000</t>
  </si>
  <si>
    <t>160-00-00-000</t>
  </si>
  <si>
    <t>Otros activos fijos</t>
  </si>
  <si>
    <t>160-01-00-000</t>
  </si>
  <si>
    <t>160-01-01-000</t>
  </si>
  <si>
    <t>160-01-01-001</t>
  </si>
  <si>
    <t>Contrato 0505-008 JOURNEY DODGE  (DIEGO CORREA )</t>
  </si>
  <si>
    <t>160-01-01-002</t>
  </si>
  <si>
    <t>Contrato 0505-009 JOURNEY DODGE BLANCA  (JESUS)</t>
  </si>
  <si>
    <t>160-01-01-003</t>
  </si>
  <si>
    <t>Contrato 0505-010 JETTA (JORGE CORREA)</t>
  </si>
  <si>
    <t>160-01-02-000</t>
  </si>
  <si>
    <t>Arrendamientos y Soluciones en Activos</t>
  </si>
  <si>
    <t>160-01-02-001</t>
  </si>
  <si>
    <t>A2010017 MAQUINA EMPAC PEDIMENTO 20483</t>
  </si>
  <si>
    <t>160-01-02-002</t>
  </si>
  <si>
    <t>A2012015 Vehículo Utilitario Isuzu Elf 500H 2021</t>
  </si>
  <si>
    <t>160-01-02-003</t>
  </si>
  <si>
    <t>A2012016 1 CAMIONETA NP300 NISSAN</t>
  </si>
  <si>
    <t>160-01-02-004</t>
  </si>
  <si>
    <t>A2211006 MF 2 MAQUINA EMPACADORA-SELLADORA MODEL</t>
  </si>
  <si>
    <t>160-01-02-005</t>
  </si>
  <si>
    <t>A2107045 1 MAQUINA MF PACKAGING 1</t>
  </si>
  <si>
    <t>160-01-02-006</t>
  </si>
  <si>
    <t>A2203002 1 MAQUINA MEZCLADORA HARVILL INTERNACIONA</t>
  </si>
  <si>
    <t>160-01-02-007</t>
  </si>
  <si>
    <t>A2203032 Racks Industriales</t>
  </si>
  <si>
    <t>160-01-02-008</t>
  </si>
  <si>
    <t>A2211005 TABLETEADORA MANESTY MODELO EXPRESS SERIE</t>
  </si>
  <si>
    <t>160-01-02-009</t>
  </si>
  <si>
    <t>A2211004 UNIDAD MANEJADORA DE AIRE UMA-01 MODELO C</t>
  </si>
  <si>
    <t>160-01-02-010</t>
  </si>
  <si>
    <t>A2307022 INFINITI TIPOM56 MOD 2012 SERIE:JN1AY11E0</t>
  </si>
  <si>
    <t>160-01-02-011</t>
  </si>
  <si>
    <t>A2307021 INFINITI QX80 MOD 2015 SERIE:JN1AZ28C2F90</t>
  </si>
  <si>
    <t>160-01-02-012</t>
  </si>
  <si>
    <t xml:space="preserve">A2307020 VOLKSWAGEN JETTA TREND LINE 1.4 MOD 2019 </t>
  </si>
  <si>
    <t>160-01-02-013</t>
  </si>
  <si>
    <t>A2307018 NISSAN VERSA ADVANCE CVT 20 MOD 2020 SERI</t>
  </si>
  <si>
    <t>160-01-02-014</t>
  </si>
  <si>
    <t>A2307019 NISSAN VERSA SENSE CVT 20 MOD 2020 SERIE:</t>
  </si>
  <si>
    <t>160-01-02-015</t>
  </si>
  <si>
    <t>A2307017 MAQUINA ELECTRONIC COUNTINGMACHINE MOD CP</t>
  </si>
  <si>
    <t>160-01-02-016</t>
  </si>
  <si>
    <t>A2211015 MAQUINA EMPAC PEDIMENTO 224834702001382 S</t>
  </si>
  <si>
    <t>160-01-03-000</t>
  </si>
  <si>
    <t>Unifin Financiera</t>
  </si>
  <si>
    <t>160-01-03-001</t>
  </si>
  <si>
    <t>CONTRATO 9945 MAQUINA ETIQUETADORA MT200 GRUPO 3R</t>
  </si>
  <si>
    <t>160-01-04-000</t>
  </si>
  <si>
    <t>Grupo Optima GDL</t>
  </si>
  <si>
    <t>160-01-04-001</t>
  </si>
  <si>
    <t>AO2208001 TORNADO VAN B 2023 (MARIO CHOFER)</t>
  </si>
  <si>
    <t>161-00-00-000</t>
  </si>
  <si>
    <t>Ferrocariles</t>
  </si>
  <si>
    <t>161-01-00-000</t>
  </si>
  <si>
    <t>162-00-00-000</t>
  </si>
  <si>
    <t>Embarcaciones</t>
  </si>
  <si>
    <t>162-01-00-000</t>
  </si>
  <si>
    <t>163-00-00-000</t>
  </si>
  <si>
    <t>Aviones</t>
  </si>
  <si>
    <t>163-01-00-000</t>
  </si>
  <si>
    <t>164-00-00-000</t>
  </si>
  <si>
    <t>Troqueles, moldes, matrices y herramental</t>
  </si>
  <si>
    <t>164-01-00-000</t>
  </si>
  <si>
    <t>165-00-00-000</t>
  </si>
  <si>
    <t>Equipo de comunicaciones telefónicas</t>
  </si>
  <si>
    <t>165-01-00-000</t>
  </si>
  <si>
    <t>166-00-00-000</t>
  </si>
  <si>
    <t>Equipo de comunicación satelital</t>
  </si>
  <si>
    <t>166-01-00-000</t>
  </si>
  <si>
    <t>167-00-00-000</t>
  </si>
  <si>
    <t>Eq de adaptaciones para personas con capac dif</t>
  </si>
  <si>
    <t>167-01-00-000</t>
  </si>
  <si>
    <t>168-00-00-000</t>
  </si>
  <si>
    <t>Maq y eq de generación de energía de ftes renov</t>
  </si>
  <si>
    <t>168-01-00-000</t>
  </si>
  <si>
    <t>169-00-00-000</t>
  </si>
  <si>
    <t>Otra maquinaria y equipo</t>
  </si>
  <si>
    <t>169-01-00-000</t>
  </si>
  <si>
    <t>170-00-00-000</t>
  </si>
  <si>
    <t>Adaptaciones y mejoras</t>
  </si>
  <si>
    <t>170-01-00-000</t>
  </si>
  <si>
    <t>170-01-00-001</t>
  </si>
  <si>
    <t>Instalaciones mejoras</t>
  </si>
  <si>
    <t>171-00-00-000</t>
  </si>
  <si>
    <t>Depreciación acumulada de activos fijos</t>
  </si>
  <si>
    <t>171-01-00-000</t>
  </si>
  <si>
    <t>Depreciación acumulada de edificios</t>
  </si>
  <si>
    <t>171-02-00-000</t>
  </si>
  <si>
    <t>Depreciación acumulada de maquinaria y equipo</t>
  </si>
  <si>
    <t>171-03-00-000</t>
  </si>
  <si>
    <t>Depr acum de automóviles, autobuses, camiones</t>
  </si>
  <si>
    <t>171-04-00-000</t>
  </si>
  <si>
    <t>Depr acum de mobiliario y equipo de oficina</t>
  </si>
  <si>
    <t>171-05-00-000</t>
  </si>
  <si>
    <t>Depreciación acumulada de eq de cómputo</t>
  </si>
  <si>
    <t>171-06-00-000</t>
  </si>
  <si>
    <t>Depreciación acumulada de eq de comunicación</t>
  </si>
  <si>
    <t>171-07-00-000</t>
  </si>
  <si>
    <t>Depr acum activos biológicos vegetales y semov</t>
  </si>
  <si>
    <t>171-08-00-000</t>
  </si>
  <si>
    <t>Depreciación acumulada de otros activos fijos</t>
  </si>
  <si>
    <t>171-09-00-000</t>
  </si>
  <si>
    <t>Depreciación acumulada de ferrocarriles</t>
  </si>
  <si>
    <t>171-10-00-000</t>
  </si>
  <si>
    <t>Depreciación acumulada de embarcaciones</t>
  </si>
  <si>
    <t>171-11-00-000</t>
  </si>
  <si>
    <t>Depreciación acumulada de aviones</t>
  </si>
  <si>
    <t>171-12-00-000</t>
  </si>
  <si>
    <t>Depr acum de troqueles moldes matrices y herram</t>
  </si>
  <si>
    <t>171-13-00-000</t>
  </si>
  <si>
    <t>Depr acum de eq de comunicaciones telefónicas</t>
  </si>
  <si>
    <t>171-14-00-000</t>
  </si>
  <si>
    <t>Depr acum de eq de comunicación satelital</t>
  </si>
  <si>
    <t>171-15-00-000</t>
  </si>
  <si>
    <t>Depr acum eq de adapt para pers capac dif</t>
  </si>
  <si>
    <t>171-16-00-000</t>
  </si>
  <si>
    <t>Depr acum maq y eq gener energía fuentes renov</t>
  </si>
  <si>
    <t>171-17-00-000</t>
  </si>
  <si>
    <t>Depr acumulada de adaptaciones y mejoras</t>
  </si>
  <si>
    <t>171-18-00-000</t>
  </si>
  <si>
    <t>Depr acumulada de otra maquinaria y equipo</t>
  </si>
  <si>
    <t>172-00-00-000</t>
  </si>
  <si>
    <t>Pérdida x deterioro acum de activos fijos</t>
  </si>
  <si>
    <t>172-01-00-000</t>
  </si>
  <si>
    <t>Pérdida x deterioro acum de edificios</t>
  </si>
  <si>
    <t>172-02-00-000</t>
  </si>
  <si>
    <t>Pérdida x deterioro acum de maq y equipo</t>
  </si>
  <si>
    <t>172-03-00-000</t>
  </si>
  <si>
    <t>Pérdida x deterioro acum de autom, autobuses</t>
  </si>
  <si>
    <t>172-04-00-000</t>
  </si>
  <si>
    <t>Pérdida x deterioro acum de mob y eq de ofi</t>
  </si>
  <si>
    <t>172-05-00-000</t>
  </si>
  <si>
    <t>Pérdida x deterioro acum de eq de cómputo</t>
  </si>
  <si>
    <t>172-06-00-000</t>
  </si>
  <si>
    <t>Pérdida x deterioro acum de eq de comunicación</t>
  </si>
  <si>
    <t>172-07-00-000</t>
  </si>
  <si>
    <t>Pérdida x deterioro acum de activos biológicos</t>
  </si>
  <si>
    <t>172-08-00-000</t>
  </si>
  <si>
    <t>Pérdida x deterioro acumulado de otros act fijos</t>
  </si>
  <si>
    <t>172-09-00-000</t>
  </si>
  <si>
    <t>Pérdida x deterioro acumulado de ferrocarriles</t>
  </si>
  <si>
    <t>172-10-00-000</t>
  </si>
  <si>
    <t>Pérdida x deterioro acum de embarcaciones</t>
  </si>
  <si>
    <t>172-11-00-000</t>
  </si>
  <si>
    <t>Pérdida x deterioro acumulado de aviones</t>
  </si>
  <si>
    <t>172-12-00-000</t>
  </si>
  <si>
    <t>Pérdida x deterioro acum troqueles moldes matric</t>
  </si>
  <si>
    <t>172-13-00-000</t>
  </si>
  <si>
    <t>Pérdida x deterioro acum de eq de comunic tel</t>
  </si>
  <si>
    <t>172-14-00-000</t>
  </si>
  <si>
    <t>Pérdida x deterioro acum de eq de comunic satel</t>
  </si>
  <si>
    <t>172-15-00-000</t>
  </si>
  <si>
    <t>Pérdida x deterioro acum eq adapt pers cap dif</t>
  </si>
  <si>
    <t>172-16-00-000</t>
  </si>
  <si>
    <t>Pérdida x deterioro acum maq y eq de ftes renov</t>
  </si>
  <si>
    <t>172-17-00-000</t>
  </si>
  <si>
    <t>Pérdida x deterioro acum de adapt y mejoras</t>
  </si>
  <si>
    <t>172-18-00-000</t>
  </si>
  <si>
    <t>Pérdida x deterioro acum de otra maq y equipo</t>
  </si>
  <si>
    <t>173-00-00-000</t>
  </si>
  <si>
    <t>Gastos diferidos</t>
  </si>
  <si>
    <t>173-01-00-000</t>
  </si>
  <si>
    <t>174-00-00-000</t>
  </si>
  <si>
    <t>Gastos pre operativos</t>
  </si>
  <si>
    <t>174-01-00-000</t>
  </si>
  <si>
    <t>175-00-00-000</t>
  </si>
  <si>
    <t>Regalías, asistencia técnica y otros gtos dif</t>
  </si>
  <si>
    <t>175-01-00-000</t>
  </si>
  <si>
    <t>176-00-00-000</t>
  </si>
  <si>
    <t>Activos intangibles</t>
  </si>
  <si>
    <t>176-01-00-000</t>
  </si>
  <si>
    <t>176-01-01-000</t>
  </si>
  <si>
    <t>Marcas</t>
  </si>
  <si>
    <t>176-01-01-001</t>
  </si>
  <si>
    <t>Marca</t>
  </si>
  <si>
    <t>177-00-00-000</t>
  </si>
  <si>
    <t>Gastos de organización</t>
  </si>
  <si>
    <t>177-01-00-000</t>
  </si>
  <si>
    <t>178-00-00-000</t>
  </si>
  <si>
    <t>Investigación y desarrollo de mercado</t>
  </si>
  <si>
    <t>178-01-00-000</t>
  </si>
  <si>
    <t>179-00-00-000</t>
  </si>
  <si>
    <t>Marcas y patentes</t>
  </si>
  <si>
    <t>179-01-00-000</t>
  </si>
  <si>
    <t>180-00-00-000</t>
  </si>
  <si>
    <t>Crédito mercantil</t>
  </si>
  <si>
    <t>180-01-00-000</t>
  </si>
  <si>
    <t>181-00-00-000</t>
  </si>
  <si>
    <t>Gastos de instalación</t>
  </si>
  <si>
    <t>181-01-00-000</t>
  </si>
  <si>
    <t>182-00-00-000</t>
  </si>
  <si>
    <t>Otros activos diferidos</t>
  </si>
  <si>
    <t>182-01-00-000</t>
  </si>
  <si>
    <t>183-00-00-000</t>
  </si>
  <si>
    <t>Amortización acumulada de activos diferidos</t>
  </si>
  <si>
    <t>183-01-00-000</t>
  </si>
  <si>
    <t>Amortización acumulada de gastos diferidos</t>
  </si>
  <si>
    <t>183-02-00-000</t>
  </si>
  <si>
    <t>Amortización acumulada de gastos pre opert</t>
  </si>
  <si>
    <t>183-03-00-000</t>
  </si>
  <si>
    <t>Amort acum de regalías, asist téc y otros gtos dif</t>
  </si>
  <si>
    <t>183-04-00-000</t>
  </si>
  <si>
    <t>Amortización acumulada de activos intangibles</t>
  </si>
  <si>
    <t>183-05-00-000</t>
  </si>
  <si>
    <t>Amortización acumulada de gtos de organización</t>
  </si>
  <si>
    <t>183-06-00-000</t>
  </si>
  <si>
    <t>Amort acum de invest y desarrollo de mercado</t>
  </si>
  <si>
    <t>183-07-00-000</t>
  </si>
  <si>
    <t>Amortización acumulada de marcas y patentes</t>
  </si>
  <si>
    <t>183-08-00-000</t>
  </si>
  <si>
    <t>Amortización acumulada de crédito mercantil</t>
  </si>
  <si>
    <t>183-09-00-000</t>
  </si>
  <si>
    <t>Amortización acumulada de gastos de instalación</t>
  </si>
  <si>
    <t>183-10-00-000</t>
  </si>
  <si>
    <t>Amortización acumulada de otros activos diferidos</t>
  </si>
  <si>
    <t>183-10-01-000</t>
  </si>
  <si>
    <t>183-10-02-000</t>
  </si>
  <si>
    <t>183-10-03-000</t>
  </si>
  <si>
    <t>183-10-04-000</t>
  </si>
  <si>
    <t>184-00-00-000</t>
  </si>
  <si>
    <t>Depósitos en garantía</t>
  </si>
  <si>
    <t>184-01-00-000</t>
  </si>
  <si>
    <t>Depósitos de fianzas</t>
  </si>
  <si>
    <t>184-02-00-000</t>
  </si>
  <si>
    <t>Depósitos de arrendamiento de bienes inmuebles</t>
  </si>
  <si>
    <t>184-03-00-000</t>
  </si>
  <si>
    <t>Otros depósitos en garantía</t>
  </si>
  <si>
    <t>185-00-00-000</t>
  </si>
  <si>
    <t>Impuestos diferidos</t>
  </si>
  <si>
    <t>185-01-00-000</t>
  </si>
  <si>
    <t>Impuestos diferidos ISR</t>
  </si>
  <si>
    <t>186-00-00-000</t>
  </si>
  <si>
    <t>Cuentas y documentos por cobrar a largo plazo</t>
  </si>
  <si>
    <t>186-01-00-000</t>
  </si>
  <si>
    <t>Ctas y doctos por cobrar a largo plazo nal</t>
  </si>
  <si>
    <t>186-02-00-000</t>
  </si>
  <si>
    <t>Ctas y doctos por cobrar a largo plazo ext</t>
  </si>
  <si>
    <t>186-03-00-000</t>
  </si>
  <si>
    <t>Ctas y dtos x cobrar a largo plazo nal parte relac</t>
  </si>
  <si>
    <t>186-04-00-000</t>
  </si>
  <si>
    <t>Ctas y dtos x cobrar a largo plazo ext parte relac</t>
  </si>
  <si>
    <t>186-05-00-000</t>
  </si>
  <si>
    <t>Intereses por cobrar a largo plazo nacional</t>
  </si>
  <si>
    <t>186-06-00-000</t>
  </si>
  <si>
    <t>Intereses por cobrar a largo plazo extranjero</t>
  </si>
  <si>
    <t>186-07-00-000</t>
  </si>
  <si>
    <t>Intereses por cobrar a largo plazo nal parte relac</t>
  </si>
  <si>
    <t>186-08-00-000</t>
  </si>
  <si>
    <t>Intereses por cobrar a largo plazo ext parte relac</t>
  </si>
  <si>
    <t>186-09-00-000</t>
  </si>
  <si>
    <t>Otras cuentas y doctos por cobrar a largo plazo</t>
  </si>
  <si>
    <t>186-10-00-000</t>
  </si>
  <si>
    <t>Otr ctas y dtos x cobrar largo plzo part relac</t>
  </si>
  <si>
    <t>187-00-00-000</t>
  </si>
  <si>
    <t>Part de los trabajadores en las utilidades dif</t>
  </si>
  <si>
    <t>187-01-00-000</t>
  </si>
  <si>
    <t>188-00-00-000</t>
  </si>
  <si>
    <t>Inversiones permanentes en acciones</t>
  </si>
  <si>
    <t>188-01-00-000</t>
  </si>
  <si>
    <t>Inversiones a largo plazo en subsidiarias</t>
  </si>
  <si>
    <t>188-02-00-000</t>
  </si>
  <si>
    <t>Inversiones a largo plazo en asociadas</t>
  </si>
  <si>
    <t>188-03-00-000</t>
  </si>
  <si>
    <t>Otras inversiones permanentes en acciones</t>
  </si>
  <si>
    <t>189-00-00-000</t>
  </si>
  <si>
    <t>Estim x deterioro de inv permanentes en acciones</t>
  </si>
  <si>
    <t>189-01-00-000</t>
  </si>
  <si>
    <t>190-00-00-000</t>
  </si>
  <si>
    <t>190-01-00-000</t>
  </si>
  <si>
    <t>191-00-00-000</t>
  </si>
  <si>
    <t>Otros activos a largo plazo</t>
  </si>
  <si>
    <t>191-01-00-000</t>
  </si>
  <si>
    <t>200-00-00-000</t>
  </si>
  <si>
    <t>Pasivo</t>
  </si>
  <si>
    <t>200-01-00-000</t>
  </si>
  <si>
    <t>Pasivo a corto plazo</t>
  </si>
  <si>
    <t>201-00-00-000</t>
  </si>
  <si>
    <t>Proveedores</t>
  </si>
  <si>
    <t>201-01-00-000</t>
  </si>
  <si>
    <t>Proveedores nacionales</t>
  </si>
  <si>
    <t>201-01-01-000</t>
  </si>
  <si>
    <t>Proveedores MN</t>
  </si>
  <si>
    <t>201-01-01-001</t>
  </si>
  <si>
    <t>MOTI PRINTS</t>
  </si>
  <si>
    <t>201-01-01-002</t>
  </si>
  <si>
    <t>POLIMEROS ENVASES Y TAPAS TAPATIOS</t>
  </si>
  <si>
    <t>201-01-01-003</t>
  </si>
  <si>
    <t>EDITORIAL MATRO</t>
  </si>
  <si>
    <t>201-01-01-004</t>
  </si>
  <si>
    <t>GEMETYTEC DE GUADALAJARA</t>
  </si>
  <si>
    <t>201-01-01-005</t>
  </si>
  <si>
    <t>FORMFLEX</t>
  </si>
  <si>
    <t>201-01-01-006</t>
  </si>
  <si>
    <t>ETIPRESS DE MEXICO</t>
  </si>
  <si>
    <t>201-01-01-007</t>
  </si>
  <si>
    <t>GRUPO MAYAPACK</t>
  </si>
  <si>
    <t>201-01-01-008</t>
  </si>
  <si>
    <t>IMPRENTA COMERCIAL EL DEBATE</t>
  </si>
  <si>
    <t>201-01-01-009</t>
  </si>
  <si>
    <t>201-01-01-010</t>
  </si>
  <si>
    <t>201-01-01-011</t>
  </si>
  <si>
    <t>EXTRUPACK</t>
  </si>
  <si>
    <t>201-01-01-012</t>
  </si>
  <si>
    <t>YADIRA TERRONES MENDOZA</t>
  </si>
  <si>
    <t>201-01-01-013</t>
  </si>
  <si>
    <t>ARTE GCA</t>
  </si>
  <si>
    <t>201-01-01-014</t>
  </si>
  <si>
    <t>CAROLINA PEREZ GOMEZ</t>
  </si>
  <si>
    <t>201-01-01-015</t>
  </si>
  <si>
    <t>COMERCIAL DE MERCANCIAS SELECTAS</t>
  </si>
  <si>
    <t>201-01-01-016</t>
  </si>
  <si>
    <t>INDUPLAS DE OCCIDENTE</t>
  </si>
  <si>
    <t>201-01-01-017</t>
  </si>
  <si>
    <t>201-01-01-018</t>
  </si>
  <si>
    <t>SANITIZADO MEZCLAS Y MOLIENDAS</t>
  </si>
  <si>
    <t>201-01-01-021</t>
  </si>
  <si>
    <t>DAVID ROMERO PIMIENTA</t>
  </si>
  <si>
    <t>201-01-01-022</t>
  </si>
  <si>
    <t>SR RODAMIENTO</t>
  </si>
  <si>
    <t>201-01-01-023</t>
  </si>
  <si>
    <t>COMERCIALIZADORA VOEFIK</t>
  </si>
  <si>
    <t>201-01-01-024</t>
  </si>
  <si>
    <t>JOSE ALBERTO DE JESUS URZUA</t>
  </si>
  <si>
    <t>201-01-01-027</t>
  </si>
  <si>
    <t>COMPRESORES, REFACCIONES Y EQUIPOS</t>
  </si>
  <si>
    <t>201-01-01-030</t>
  </si>
  <si>
    <t>RICARDO MARTINEZ GALLARDO MENDOZA</t>
  </si>
  <si>
    <t>201-01-01-032</t>
  </si>
  <si>
    <t>GUTIERREZ AVELAR ASESORES</t>
  </si>
  <si>
    <t>201-01-01-033</t>
  </si>
  <si>
    <t>JUAN JOSE SILVA MARES</t>
  </si>
  <si>
    <t>201-01-01-034</t>
  </si>
  <si>
    <t>ETIQUETAS ELECTRONICAS DE OCCIDENTE SA DE CV</t>
  </si>
  <si>
    <t>201-01-01-035</t>
  </si>
  <si>
    <t>201-01-01-036</t>
  </si>
  <si>
    <t>HUGO EDUARDO REMUS CORBY</t>
  </si>
  <si>
    <t>201-01-01-037</t>
  </si>
  <si>
    <t>MTEX MEXICO S. DE R.L. DE C.V.</t>
  </si>
  <si>
    <t>201-01-01-038</t>
  </si>
  <si>
    <t>GRUPO ARCO IRIS PLASTICOS, S.A. DE C.V.</t>
  </si>
  <si>
    <t>201-01-01-039</t>
  </si>
  <si>
    <t>RENATA VITAL NIETO</t>
  </si>
  <si>
    <t>201-01-01-040</t>
  </si>
  <si>
    <t>ROTA IMPRESOS NUEVA GALICIA, S.A. de C.V.</t>
  </si>
  <si>
    <t>201-01-01-041</t>
  </si>
  <si>
    <t>SG FLEXO SA DE CV</t>
  </si>
  <si>
    <t>201-01-01-042</t>
  </si>
  <si>
    <t>SISTEMAS DE CODIFICACION Y MARCAJE S.A DE C.V</t>
  </si>
  <si>
    <t>201-01-01-043</t>
  </si>
  <si>
    <t>TRIANA NUTRITION SA DE CV</t>
  </si>
  <si>
    <t>201-01-01-044</t>
  </si>
  <si>
    <t>SANITY INTERNACIONAL SA DE CV</t>
  </si>
  <si>
    <t>201-01-01-045</t>
  </si>
  <si>
    <t>Xana Lab SA de CV</t>
  </si>
  <si>
    <t>201-01-01-046</t>
  </si>
  <si>
    <t>SPECIAL NUTRICION GROUP</t>
  </si>
  <si>
    <t>201-01-01-047</t>
  </si>
  <si>
    <t>BIONUTRIENTS GLOBAL</t>
  </si>
  <si>
    <t>201-01-01-048</t>
  </si>
  <si>
    <t>COSMEPACK</t>
  </si>
  <si>
    <t>201-01-01-049</t>
  </si>
  <si>
    <t>ENESA AUTOMATIZACION Y CONTROL DE PROCESOS INDUSTR</t>
  </si>
  <si>
    <t>201-01-01-050</t>
  </si>
  <si>
    <t>FRIOCITY</t>
  </si>
  <si>
    <t>201-01-01-051</t>
  </si>
  <si>
    <t>INSTITUTO MEXICANO DE PROFESIONALES EN ENVASE</t>
  </si>
  <si>
    <t>201-01-01-052</t>
  </si>
  <si>
    <t>INDUSTRIAS BOGRI</t>
  </si>
  <si>
    <t>201-01-01-053</t>
  </si>
  <si>
    <t>GAS LICUADO</t>
  </si>
  <si>
    <t>201-01-01-054</t>
  </si>
  <si>
    <t>JUAN ANGEL FLORES CASTRO</t>
  </si>
  <si>
    <t>201-01-01-055</t>
  </si>
  <si>
    <t>SXERIA PHARMA HCSAR</t>
  </si>
  <si>
    <t>201-01-01-056</t>
  </si>
  <si>
    <t>JESUS ALEJANDRO HERNANDEZ BERMUDES</t>
  </si>
  <si>
    <t>201-01-01-057</t>
  </si>
  <si>
    <t xml:space="preserve">SSA MEXICO HOLDING </t>
  </si>
  <si>
    <t>201-01-01-058</t>
  </si>
  <si>
    <t>CENTRO EMPRESARIAL DE JALISCO</t>
  </si>
  <si>
    <t>201-01-01-059</t>
  </si>
  <si>
    <t>GLOBAL FUENTES SA DE CV</t>
  </si>
  <si>
    <t>201-01-01-060</t>
  </si>
  <si>
    <t>TECNOCAPS</t>
  </si>
  <si>
    <t>201-01-01-061</t>
  </si>
  <si>
    <t>201-01-01-100</t>
  </si>
  <si>
    <t xml:space="preserve">Proveedores generales saldo 2024 </t>
  </si>
  <si>
    <t>201-01-02-000</t>
  </si>
  <si>
    <t>Proveedores USD</t>
  </si>
  <si>
    <t>201-01-02-001</t>
  </si>
  <si>
    <t>FTF INOVATIV</t>
  </si>
  <si>
    <t>201-01-02-002</t>
  </si>
  <si>
    <t>MOLECULAS FINAS DE MEXICO</t>
  </si>
  <si>
    <t>201-01-02-003</t>
  </si>
  <si>
    <t>FLAVORS CGV INTERNACIONAL</t>
  </si>
  <si>
    <t>201-01-02-004</t>
  </si>
  <si>
    <t>CORPORATIVO MEXINGREDIENT INTERNACIONAL</t>
  </si>
  <si>
    <t>201-01-02-005</t>
  </si>
  <si>
    <t>BEMIS PACKAGING MEXICO</t>
  </si>
  <si>
    <t>201-01-02-006</t>
  </si>
  <si>
    <t>ALFAMEX INDUSTRIAL</t>
  </si>
  <si>
    <t>201-01-02-007</t>
  </si>
  <si>
    <t>GO D'GHUSTAN</t>
  </si>
  <si>
    <t>201-01-02-008</t>
  </si>
  <si>
    <t>ENZIMAS Y PRODUCTOS QUIMICOS</t>
  </si>
  <si>
    <t>201-01-02-009</t>
  </si>
  <si>
    <t>PKR INDUSTRIAL</t>
  </si>
  <si>
    <t>201-01-02-010</t>
  </si>
  <si>
    <t>PRONAQUIM</t>
  </si>
  <si>
    <t>201-01-02-011</t>
  </si>
  <si>
    <t>201-01-02-012</t>
  </si>
  <si>
    <t>CENTRAL DE PRODUCTOS QUIMICOS</t>
  </si>
  <si>
    <t>201-01-02-013</t>
  </si>
  <si>
    <t>NEXIRA</t>
  </si>
  <si>
    <t>201-01-02-014</t>
  </si>
  <si>
    <t>MASTERSENSE</t>
  </si>
  <si>
    <t>201-01-02-015</t>
  </si>
  <si>
    <t>ASTROQUIM</t>
  </si>
  <si>
    <t>201-01-02-016</t>
  </si>
  <si>
    <t>COMERCIALIZADORA NEFUR</t>
  </si>
  <si>
    <t>201-01-02-017</t>
  </si>
  <si>
    <t>GIVAUDAN DE MEXICO</t>
  </si>
  <si>
    <t>201-01-02-018</t>
  </si>
  <si>
    <t>DVA MEXICANA</t>
  </si>
  <si>
    <t>201-01-02-019</t>
  </si>
  <si>
    <t>201-01-02-020</t>
  </si>
  <si>
    <t>JAIDEV</t>
  </si>
  <si>
    <t>201-01-02-021</t>
  </si>
  <si>
    <t>VAN DYCK DISTRIBUCIONES</t>
  </si>
  <si>
    <t>201-01-02-022</t>
  </si>
  <si>
    <t>SYRSA QUIMICOS DE MEXICO</t>
  </si>
  <si>
    <t>201-01-02-023</t>
  </si>
  <si>
    <t>SALUBRITE MEXICO</t>
  </si>
  <si>
    <t>201-01-02-024</t>
  </si>
  <si>
    <t>QUANTUM NATURA</t>
  </si>
  <si>
    <t>201-01-02-025</t>
  </si>
  <si>
    <t>DSM NUTRITIONAL PRODUCTS MEXICO</t>
  </si>
  <si>
    <t>201-01-02-026</t>
  </si>
  <si>
    <t>MEXALC</t>
  </si>
  <si>
    <t>201-01-02-027</t>
  </si>
  <si>
    <t>DANISCO MEXICANA</t>
  </si>
  <si>
    <t>201-01-02-028</t>
  </si>
  <si>
    <t>LUCTA MEXICANA</t>
  </si>
  <si>
    <t>201-01-02-029</t>
  </si>
  <si>
    <t xml:space="preserve">MARTRI GENERAL SERVICES                           </t>
  </si>
  <si>
    <t>201-01-02-030</t>
  </si>
  <si>
    <t xml:space="preserve">POLIKIMEX                                         </t>
  </si>
  <si>
    <t>201-01-03-000</t>
  </si>
  <si>
    <t>Proveedores Complementaria USD</t>
  </si>
  <si>
    <t>201-01-03-001</t>
  </si>
  <si>
    <t>201-01-03-002</t>
  </si>
  <si>
    <t>201-01-03-003</t>
  </si>
  <si>
    <t>201-01-03-004</t>
  </si>
  <si>
    <t>201-01-03-005</t>
  </si>
  <si>
    <t>201-01-03-006</t>
  </si>
  <si>
    <t>201-01-03-007</t>
  </si>
  <si>
    <t>201-01-03-008</t>
  </si>
  <si>
    <t>201-01-03-009</t>
  </si>
  <si>
    <t>201-01-03-010</t>
  </si>
  <si>
    <t>201-01-03-011</t>
  </si>
  <si>
    <t>201-01-03-012</t>
  </si>
  <si>
    <t>201-01-03-013</t>
  </si>
  <si>
    <t>201-01-03-014</t>
  </si>
  <si>
    <t>201-01-03-015</t>
  </si>
  <si>
    <t>201-01-03-016</t>
  </si>
  <si>
    <t>201-01-03-017</t>
  </si>
  <si>
    <t>201-01-03-018</t>
  </si>
  <si>
    <t>201-01-03-019</t>
  </si>
  <si>
    <t>201-01-03-020</t>
  </si>
  <si>
    <t>201-01-03-022</t>
  </si>
  <si>
    <t>SYRSA QUIMICOS MEXICO</t>
  </si>
  <si>
    <t>201-01-03-023</t>
  </si>
  <si>
    <t>201-01-03-024</t>
  </si>
  <si>
    <t>201-01-03-025</t>
  </si>
  <si>
    <t>201-01-03-026</t>
  </si>
  <si>
    <t>201-01-03-027</t>
  </si>
  <si>
    <t>201-01-03-028</t>
  </si>
  <si>
    <t>201-01-03-029</t>
  </si>
  <si>
    <t>201-01-03-030</t>
  </si>
  <si>
    <t>201-02-00-000</t>
  </si>
  <si>
    <t>Proveedores extranjeros</t>
  </si>
  <si>
    <t>201-03-00-000</t>
  </si>
  <si>
    <t>Proveedores nacionales parte relacionada</t>
  </si>
  <si>
    <t>201-04-00-000</t>
  </si>
  <si>
    <t>Proveedores extranjeros parte relacionada</t>
  </si>
  <si>
    <t>202-00-00-000</t>
  </si>
  <si>
    <t>Cuentas por pagar a corto plazo</t>
  </si>
  <si>
    <t>202-01-00-000</t>
  </si>
  <si>
    <t>Doctos x pagar bancario y financiero nal</t>
  </si>
  <si>
    <t>202-01-01-000</t>
  </si>
  <si>
    <t>Tarjetas</t>
  </si>
  <si>
    <t>202-01-01-001</t>
  </si>
  <si>
    <t xml:space="preserve">TC American Express Company Mexico </t>
  </si>
  <si>
    <t>202-01-01-002</t>
  </si>
  <si>
    <t>TC Banregio</t>
  </si>
  <si>
    <t>202-01-01-003</t>
  </si>
  <si>
    <t>TC Clara</t>
  </si>
  <si>
    <t>202-01-01-004</t>
  </si>
  <si>
    <t>TC Tribal</t>
  </si>
  <si>
    <t>202-01-01-005</t>
  </si>
  <si>
    <t>TC Amex pagos diferidos</t>
  </si>
  <si>
    <t>202-01-02-000</t>
  </si>
  <si>
    <t>202-02-00-000</t>
  </si>
  <si>
    <t>Doctos x pagar bancario y financiero ext</t>
  </si>
  <si>
    <t>202-03-00-000</t>
  </si>
  <si>
    <t>Doctos y ctas x pagar a corto plazo nal</t>
  </si>
  <si>
    <t>202-04-00-000</t>
  </si>
  <si>
    <t>Doctos y ctas xpagar a corto plazo ext</t>
  </si>
  <si>
    <t>202-05-00-000</t>
  </si>
  <si>
    <t>Dtos y ctas x pagar corto plzo nal parte relac</t>
  </si>
  <si>
    <t>202-06-00-000</t>
  </si>
  <si>
    <t>Dtos y ctas x pagar corto plzo ext parte relaci</t>
  </si>
  <si>
    <t>202-07-00-000</t>
  </si>
  <si>
    <t>Intereses por pagar a corto plazo nacional</t>
  </si>
  <si>
    <t>202-08-00-000</t>
  </si>
  <si>
    <t>Intereses por pagar a corto plazo extranjero</t>
  </si>
  <si>
    <t>202-09-00-000</t>
  </si>
  <si>
    <t>Intereses x pagar corto plzo nal parte relac</t>
  </si>
  <si>
    <t>202-10-00-000</t>
  </si>
  <si>
    <t>Intereses x pagar corto plzo ext parte relac</t>
  </si>
  <si>
    <t>202-11-00-000</t>
  </si>
  <si>
    <t>Dividendo por pagar nacional</t>
  </si>
  <si>
    <t>202-12-00-000</t>
  </si>
  <si>
    <t>Dividendo por pagar extranjero</t>
  </si>
  <si>
    <t>203-00-00-000</t>
  </si>
  <si>
    <t>Cobros anticipados a corto plazo</t>
  </si>
  <si>
    <t>203-01-00-000</t>
  </si>
  <si>
    <t>Rentas cobradas x antic corto plzo nal</t>
  </si>
  <si>
    <t>203-02-00-000</t>
  </si>
  <si>
    <t>Rentas cobradas x antic corto plzo ext</t>
  </si>
  <si>
    <t>203-03-00-000</t>
  </si>
  <si>
    <t>Rentas cobr x ant corto plzo nal parte relac</t>
  </si>
  <si>
    <t>203-04-00-000</t>
  </si>
  <si>
    <t>Rentas cobr x ant corto plzo ext part relac</t>
  </si>
  <si>
    <t>203-05-00-000</t>
  </si>
  <si>
    <t>Intereses cobr x ant corto plzo nal</t>
  </si>
  <si>
    <t>203-06-00-000</t>
  </si>
  <si>
    <t>Intereses cobr x ant corto plzo ext</t>
  </si>
  <si>
    <t>203-07-00-000</t>
  </si>
  <si>
    <t>Intereses cobr x ant corto plzo nal part relac</t>
  </si>
  <si>
    <t>203-08-00-000</t>
  </si>
  <si>
    <t>Intereses cobr x ant corto plzo ext part relac</t>
  </si>
  <si>
    <t>203-09-00-000</t>
  </si>
  <si>
    <t>Factor finan cobr x ant corto plzo nal</t>
  </si>
  <si>
    <t>203-10-00-000</t>
  </si>
  <si>
    <t>Factor finan cobr x ant corto plzo ext</t>
  </si>
  <si>
    <t>203-11-00-000</t>
  </si>
  <si>
    <t>Factor finan cobr x ant corto plzo nal part relac</t>
  </si>
  <si>
    <t>203-12-00-000</t>
  </si>
  <si>
    <t>Fact finan cobr x ant corto plzo ext pte relac</t>
  </si>
  <si>
    <t>203-13-00-000</t>
  </si>
  <si>
    <t>Arrendto financ cobr x ant corto plzo nal</t>
  </si>
  <si>
    <t>203-14-00-000</t>
  </si>
  <si>
    <t>Arrendto financ cobr x ant corto plzo ext</t>
  </si>
  <si>
    <t>203-15-00-000</t>
  </si>
  <si>
    <t>Arrend finan cobr x ant corto plzo nal part relac</t>
  </si>
  <si>
    <t>203-16-00-000</t>
  </si>
  <si>
    <t>Arrdto fin cob x ant cto pzo ext pte relac</t>
  </si>
  <si>
    <t>203-17-00-000</t>
  </si>
  <si>
    <t>203-18-00-000</t>
  </si>
  <si>
    <t>Otros cobros anticipados</t>
  </si>
  <si>
    <t>204-00-00-000</t>
  </si>
  <si>
    <t>Instrumentos financieros a corto plazo</t>
  </si>
  <si>
    <t>204-01-00-000</t>
  </si>
  <si>
    <t>204-01-01-000</t>
  </si>
  <si>
    <t>Factoraje Financiero a corto plazo</t>
  </si>
  <si>
    <t>204-01-01-001</t>
  </si>
  <si>
    <t>Capital X S.A. de C.V.</t>
  </si>
  <si>
    <t>205-00-00-000</t>
  </si>
  <si>
    <t>Acreedores diversos a corto plazo</t>
  </si>
  <si>
    <t>205-01-00-000</t>
  </si>
  <si>
    <t>Socios, accionistas o representante legal</t>
  </si>
  <si>
    <t>205-02-00-000</t>
  </si>
  <si>
    <t>Acreedores diversos a corto plazo nal</t>
  </si>
  <si>
    <t>205-02-01-000</t>
  </si>
  <si>
    <t>Acreedores MXN</t>
  </si>
  <si>
    <t>205-02-01-001</t>
  </si>
  <si>
    <t>Si Vale</t>
  </si>
  <si>
    <t>205-02-01-002</t>
  </si>
  <si>
    <t>TELEFONOS DE MEXICO</t>
  </si>
  <si>
    <t>205-02-01-003</t>
  </si>
  <si>
    <t>AXA SEGUROS</t>
  </si>
  <si>
    <t>205-02-01-004</t>
  </si>
  <si>
    <t>ANC RECOLECTORA</t>
  </si>
  <si>
    <t>205-02-01-005</t>
  </si>
  <si>
    <t>GEN INDUSTRIAL</t>
  </si>
  <si>
    <t>205-02-01-006</t>
  </si>
  <si>
    <t>MARIA DEL ROCIO MELGOZA CAÑEDO</t>
  </si>
  <si>
    <t>205-02-01-007</t>
  </si>
  <si>
    <t>ENTERPRISE SOURCE CAPITAL DE MEXICO</t>
  </si>
  <si>
    <t>205-02-01-009</t>
  </si>
  <si>
    <t>AUTOLINEAS JR</t>
  </si>
  <si>
    <t>205-02-01-010</t>
  </si>
  <si>
    <t>AUTOTRANSPORTES NEW PICK</t>
  </si>
  <si>
    <t>205-02-01-011</t>
  </si>
  <si>
    <t>TRANSPORTES MON-RO</t>
  </si>
  <si>
    <t>205-02-01-012</t>
  </si>
  <si>
    <t>ISMAEL GUTIERREZ HERRERA</t>
  </si>
  <si>
    <t>205-02-01-013</t>
  </si>
  <si>
    <t>FUMYLIM</t>
  </si>
  <si>
    <t>205-02-01-014</t>
  </si>
  <si>
    <t>AUTOTRANSPORTES VILLARREAL</t>
  </si>
  <si>
    <t>205-02-01-015</t>
  </si>
  <si>
    <t>AT&amp;T COMUNICACIONES DIGITALES</t>
  </si>
  <si>
    <t>205-02-01-016</t>
  </si>
  <si>
    <t>205-02-01-017</t>
  </si>
  <si>
    <t>IDT TELECOM MEXICO</t>
  </si>
  <si>
    <t>205-02-01-018</t>
  </si>
  <si>
    <t>TOTAL PLAY TELECOMUNICACIONES</t>
  </si>
  <si>
    <t>205-02-01-019</t>
  </si>
  <si>
    <t>SEGUROS SURA</t>
  </si>
  <si>
    <t>205-02-01-020</t>
  </si>
  <si>
    <t>ENTREGAS PUNTUALES</t>
  </si>
  <si>
    <t>205-02-01-021</t>
  </si>
  <si>
    <t>MAPFRE MEXICO</t>
  </si>
  <si>
    <t>205-02-01-022</t>
  </si>
  <si>
    <t>TRANSPADEX LOGISTICS</t>
  </si>
  <si>
    <t>205-02-01-023</t>
  </si>
  <si>
    <t>ADT PRIVATE SECURITY SERVICES DE MEXICO</t>
  </si>
  <si>
    <t>205-02-01-024</t>
  </si>
  <si>
    <t>GLOBAL STANDARDS</t>
  </si>
  <si>
    <t>205-02-01-025</t>
  </si>
  <si>
    <t>SUPER MAYOREO NATURISTA</t>
  </si>
  <si>
    <t>205-02-01-026</t>
  </si>
  <si>
    <t>ADVANTECH SERVICIOS FINANCIEROS</t>
  </si>
  <si>
    <t>205-02-01-027</t>
  </si>
  <si>
    <t>G2M ASESORIA &amp; REPRESENTACION</t>
  </si>
  <si>
    <t>205-02-01-028</t>
  </si>
  <si>
    <t>CFE SUMINISTRADOR DE SERVICIOS BASICOS</t>
  </si>
  <si>
    <t>205-02-01-029</t>
  </si>
  <si>
    <t>GRUPO NACIONAL PROVINCIAL</t>
  </si>
  <si>
    <t>205-02-01-030</t>
  </si>
  <si>
    <t>LOGISTICA Y SEGURIDAD FARMACEUTICA</t>
  </si>
  <si>
    <t>205-02-01-031</t>
  </si>
  <si>
    <t>PROMOTORA TESISTAN</t>
  </si>
  <si>
    <t>205-02-01-032</t>
  </si>
  <si>
    <t>JUAN PABLO HERNANDEZ MEDINA</t>
  </si>
  <si>
    <t>205-02-01-033</t>
  </si>
  <si>
    <t>FARMACIAS BENAVIDES</t>
  </si>
  <si>
    <t>205-02-01-034</t>
  </si>
  <si>
    <t>ARRENDAMIENTOS Y SOLUCIONES EN ACTIVOS</t>
  </si>
  <si>
    <t>205-02-01-035</t>
  </si>
  <si>
    <t>INGENIERIA EPAO</t>
  </si>
  <si>
    <t>205-02-01-036</t>
  </si>
  <si>
    <t>205-02-01-037</t>
  </si>
  <si>
    <t>Leticia Ramirez Luna</t>
  </si>
  <si>
    <t>205-02-01-038</t>
  </si>
  <si>
    <t xml:space="preserve">Ricardo de Alba Estrada </t>
  </si>
  <si>
    <t>205-02-01-039</t>
  </si>
  <si>
    <t>CAPACITACION PARA EL DESARROLLO TURISTICO</t>
  </si>
  <si>
    <t>205-02-01-040</t>
  </si>
  <si>
    <t>Bastion Capital</t>
  </si>
  <si>
    <t>205-02-01-041</t>
  </si>
  <si>
    <t xml:space="preserve">LEASY ARRENDAMIENTOS </t>
  </si>
  <si>
    <t>205-02-01-042</t>
  </si>
  <si>
    <t>205-02-01-043</t>
  </si>
  <si>
    <t>PSII LABORAL Y AMBIENTAL SC</t>
  </si>
  <si>
    <t>205-02-01-044</t>
  </si>
  <si>
    <t>QUALITAS</t>
  </si>
  <si>
    <t>205-02-01-045</t>
  </si>
  <si>
    <t>RICARDO AVILES RIOS</t>
  </si>
  <si>
    <t>205-02-01-046</t>
  </si>
  <si>
    <t>SERVIFIS</t>
  </si>
  <si>
    <t>205-02-01-047</t>
  </si>
  <si>
    <t>XIREC CONSULTORES</t>
  </si>
  <si>
    <t>205-02-01-048</t>
  </si>
  <si>
    <t>205-02-01-049</t>
  </si>
  <si>
    <t>205-02-01-050</t>
  </si>
  <si>
    <t>CORONA NEPOTE</t>
  </si>
  <si>
    <t>205-02-01-051</t>
  </si>
  <si>
    <t>PHARMA PLUS</t>
  </si>
  <si>
    <t>205-02-01-052</t>
  </si>
  <si>
    <t>ALFONSO GIL ALVAREZ</t>
  </si>
  <si>
    <t>205-02-01-053</t>
  </si>
  <si>
    <t>AUTOTRANSPORTES DE CARGA TRES GUERRAS</t>
  </si>
  <si>
    <t>205-02-01-054</t>
  </si>
  <si>
    <t>HELEN LILY ALCAZAR</t>
  </si>
  <si>
    <t>205-02-01-055</t>
  </si>
  <si>
    <t>PROMOCIONES BIOMEDICAS DE OCCIDENTE</t>
  </si>
  <si>
    <t>205-02-01-100</t>
  </si>
  <si>
    <t>Otros acreedores saldo 2024</t>
  </si>
  <si>
    <t>205-02-03-003</t>
  </si>
  <si>
    <t>Otros</t>
  </si>
  <si>
    <t>205-02-02-000</t>
  </si>
  <si>
    <t>Acreedores USD en Pesos</t>
  </si>
  <si>
    <t>205-02-02-100</t>
  </si>
  <si>
    <t>Acreedores USD</t>
  </si>
  <si>
    <t>205-02-02-101</t>
  </si>
  <si>
    <t>SINERGY INGENIERIA</t>
  </si>
  <si>
    <t>205-02-02-102</t>
  </si>
  <si>
    <t>HDI Seguros</t>
  </si>
  <si>
    <t>205-02-02-103</t>
  </si>
  <si>
    <t>205-02-02-200</t>
  </si>
  <si>
    <t>Acreedores USD Complementaria</t>
  </si>
  <si>
    <t>205-02-02-201</t>
  </si>
  <si>
    <t>205-02-02-202</t>
  </si>
  <si>
    <t>205-02-02-203</t>
  </si>
  <si>
    <t>205-03-00-000</t>
  </si>
  <si>
    <t>Acreedores diversos a corto plazo extr</t>
  </si>
  <si>
    <t>205-04-00-000</t>
  </si>
  <si>
    <t>Acreedores div a corto plazo nal pte relac</t>
  </si>
  <si>
    <t>205-05-00-000</t>
  </si>
  <si>
    <t>Acreedores div a corto plazo ext pte relac</t>
  </si>
  <si>
    <t>205-06-00-000</t>
  </si>
  <si>
    <t>Otros acreedores diversos a corto plazo</t>
  </si>
  <si>
    <t>206-00-00-000</t>
  </si>
  <si>
    <t>Anticipo de cliente</t>
  </si>
  <si>
    <t>206-01-00-000</t>
  </si>
  <si>
    <t>Anticipo de cliente nacional</t>
  </si>
  <si>
    <t>206-01-01-000</t>
  </si>
  <si>
    <t>Anticipo de clientes MN</t>
  </si>
  <si>
    <t>206-01-01-001</t>
  </si>
  <si>
    <t>KPS Comercializadora</t>
  </si>
  <si>
    <t>206-01-01-002</t>
  </si>
  <si>
    <t>Laboratorio Elmor</t>
  </si>
  <si>
    <t>206-01-01-003</t>
  </si>
  <si>
    <t>Clientes en general</t>
  </si>
  <si>
    <t>206-01-02-000</t>
  </si>
  <si>
    <t>Anticipo de clientes USD en MN</t>
  </si>
  <si>
    <t>206-01-02-100</t>
  </si>
  <si>
    <t>Anticipo de clientes USD</t>
  </si>
  <si>
    <t>206-01-02-101</t>
  </si>
  <si>
    <t>KPS Comercializadora USD</t>
  </si>
  <si>
    <t>206-01-02-200</t>
  </si>
  <si>
    <t>Anticipo de clientes USD Complementaria</t>
  </si>
  <si>
    <t>206-01-02-201</t>
  </si>
  <si>
    <t>KPS Comercializadora USD Comp</t>
  </si>
  <si>
    <t>206-02-00-000</t>
  </si>
  <si>
    <t>Anticipo de cliente extranjero</t>
  </si>
  <si>
    <t>206-03-00-000</t>
  </si>
  <si>
    <t>Anticipo de cliente nacional parte relac</t>
  </si>
  <si>
    <t>206-04-00-000</t>
  </si>
  <si>
    <t>Anticipo de cliente extranjero parte relac</t>
  </si>
  <si>
    <t>206-05-00-000</t>
  </si>
  <si>
    <t>Otros anticipos de clientes</t>
  </si>
  <si>
    <t>207-00-00-000</t>
  </si>
  <si>
    <t>Impuestos trasladados</t>
  </si>
  <si>
    <t>207-01-00-000</t>
  </si>
  <si>
    <t>IVA trasladado</t>
  </si>
  <si>
    <t>207-02-00-000</t>
  </si>
  <si>
    <t>IEPS trasladado</t>
  </si>
  <si>
    <t>208-00-00-000</t>
  </si>
  <si>
    <t>Impuestos trasladados cobrados</t>
  </si>
  <si>
    <t>208-01-00-000</t>
  </si>
  <si>
    <t>IVA trasladado cobrado</t>
  </si>
  <si>
    <t>208-02-00-000</t>
  </si>
  <si>
    <t>IEPS trasladado cobrado</t>
  </si>
  <si>
    <t>209-00-00-000</t>
  </si>
  <si>
    <t>Impuestos trasladados no cobrados</t>
  </si>
  <si>
    <t>209-01-00-000</t>
  </si>
  <si>
    <t>IVA trasladado no cobrado</t>
  </si>
  <si>
    <t>209-02-00-000</t>
  </si>
  <si>
    <t>IEPS trasladado no cobrado</t>
  </si>
  <si>
    <t>210-00-00-000</t>
  </si>
  <si>
    <t>Provisión de sueldos y salarios x pagar</t>
  </si>
  <si>
    <t>210-01-00-000</t>
  </si>
  <si>
    <t>210-02-00-000</t>
  </si>
  <si>
    <t>Provisión de vacaciones por pagar</t>
  </si>
  <si>
    <t>210-03-00-000</t>
  </si>
  <si>
    <t>Provisión de aguinaldo por pagar</t>
  </si>
  <si>
    <t>210-04-00-000</t>
  </si>
  <si>
    <t>Provisión de fondo de ahorro por pagar</t>
  </si>
  <si>
    <t>210-05-00-000</t>
  </si>
  <si>
    <t>Provisión de asimilados a salarios por pagar</t>
  </si>
  <si>
    <t>210-06-00-000</t>
  </si>
  <si>
    <t>Provisión de anticipos o remtes x distribuir</t>
  </si>
  <si>
    <t>210-07-00-000</t>
  </si>
  <si>
    <t>Provisión de otros sdos y salarios x pagar</t>
  </si>
  <si>
    <t>211-00-00-000</t>
  </si>
  <si>
    <t>Provisión de contribuciones segsocial x pagar</t>
  </si>
  <si>
    <t>211-01-00-000</t>
  </si>
  <si>
    <t>Provisión de IMSS patronal por pagar</t>
  </si>
  <si>
    <t>211-02-00-000</t>
  </si>
  <si>
    <t>Provisión de SAR por pagar</t>
  </si>
  <si>
    <t>211-03-00-000</t>
  </si>
  <si>
    <t>Provisión de infonavit por pagar</t>
  </si>
  <si>
    <t>212-00-00-000</t>
  </si>
  <si>
    <t>Provisión de imoto estatal s nómina x pagar</t>
  </si>
  <si>
    <t>212-01-00-000</t>
  </si>
  <si>
    <t>213-00-00-000</t>
  </si>
  <si>
    <t>Impuestos y derechos por pagar</t>
  </si>
  <si>
    <t>213-01-00-000</t>
  </si>
  <si>
    <t>IVA por pagar</t>
  </si>
  <si>
    <t>213-02-00-000</t>
  </si>
  <si>
    <t>IEPS por pagar</t>
  </si>
  <si>
    <t>213-03-00-000</t>
  </si>
  <si>
    <t>ISR por pagar</t>
  </si>
  <si>
    <t>213-04-00-000</t>
  </si>
  <si>
    <t>Impuesto estatal sobre nómina por pagar</t>
  </si>
  <si>
    <t>213-05-00-000</t>
  </si>
  <si>
    <t>Impuesto estatal y municipal por pagar</t>
  </si>
  <si>
    <t>213-06-00-000</t>
  </si>
  <si>
    <t>Derechos por pagar</t>
  </si>
  <si>
    <t>213-07-00-000</t>
  </si>
  <si>
    <t>Otros impuestos por pagar</t>
  </si>
  <si>
    <t>214-00-00-000</t>
  </si>
  <si>
    <t>Dividendos por pagar</t>
  </si>
  <si>
    <t>214-01-00-000</t>
  </si>
  <si>
    <t>215-00-00-000</t>
  </si>
  <si>
    <t>PTU por pagar</t>
  </si>
  <si>
    <t>215-01-00-000</t>
  </si>
  <si>
    <t>215-02-00-000</t>
  </si>
  <si>
    <t>PTU por pagar de ejercicios anteriores</t>
  </si>
  <si>
    <t>215-03-00-000</t>
  </si>
  <si>
    <t>Provisión de PTU por pagar</t>
  </si>
  <si>
    <t>216-00-00-000</t>
  </si>
  <si>
    <t>Impuestos retenidos</t>
  </si>
  <si>
    <t>216-01-00-000</t>
  </si>
  <si>
    <t>Impuestos ret de ISR x sdos y salarios</t>
  </si>
  <si>
    <t>216-02-00-000</t>
  </si>
  <si>
    <t>Impuestos ret de ISR x asim salarios</t>
  </si>
  <si>
    <t>216-03-00-000</t>
  </si>
  <si>
    <t>Impuestos ret de ISR x arrend</t>
  </si>
  <si>
    <t>216-03-01-000</t>
  </si>
  <si>
    <t>ISR x arrend credito</t>
  </si>
  <si>
    <t>216-03-02-000</t>
  </si>
  <si>
    <t>ISR x arrend pagado</t>
  </si>
  <si>
    <t>216-04-00-000</t>
  </si>
  <si>
    <t>Impuestos ret de ISR x servicios prof</t>
  </si>
  <si>
    <t>216-04-01-000</t>
  </si>
  <si>
    <t>ret de ISR x servicios prof credito</t>
  </si>
  <si>
    <t>216-04-02-000</t>
  </si>
  <si>
    <t>ret de ISR x servicios prof pagado</t>
  </si>
  <si>
    <t>216-05-00-000</t>
  </si>
  <si>
    <t>Impuestos ret de ISR x divid</t>
  </si>
  <si>
    <t>216-06-00-000</t>
  </si>
  <si>
    <t>Impuestos ret de ISR x intereses</t>
  </si>
  <si>
    <t>216-07-00-000</t>
  </si>
  <si>
    <t>Impuestos ret de ISR x pagos al ext</t>
  </si>
  <si>
    <t>216-08-00-000</t>
  </si>
  <si>
    <t>Impuestos ret de ISR x venta acciones</t>
  </si>
  <si>
    <t>216-09-00-000</t>
  </si>
  <si>
    <t>Impuestos ret de ISR x venta ptes soc</t>
  </si>
  <si>
    <t>216-10-00-000</t>
  </si>
  <si>
    <t>Impuestos retenidos de IVA</t>
  </si>
  <si>
    <t>216-10-01-000</t>
  </si>
  <si>
    <t>Iva retenido credito</t>
  </si>
  <si>
    <t>216-10-01-001</t>
  </si>
  <si>
    <t>Iva ret cred fletes 4%</t>
  </si>
  <si>
    <t>216-10-01-002</t>
  </si>
  <si>
    <t>Iva ret cred Honorario</t>
  </si>
  <si>
    <t>216-10-01-003</t>
  </si>
  <si>
    <t>Iva ret cred arrendamiento</t>
  </si>
  <si>
    <t>216-10-02-000</t>
  </si>
  <si>
    <t>Iva retenido pagado</t>
  </si>
  <si>
    <t>216-10-02-001</t>
  </si>
  <si>
    <t>Iva ret pagado fletes 4%</t>
  </si>
  <si>
    <t>216-10-02-002</t>
  </si>
  <si>
    <t>Iva ret pagado Honorario</t>
  </si>
  <si>
    <t>216-10-02-003</t>
  </si>
  <si>
    <t>Iva ret pagado arrendamiento</t>
  </si>
  <si>
    <t>216-11-00-000</t>
  </si>
  <si>
    <t>Retenciones de IMSS a los trabaj</t>
  </si>
  <si>
    <t>216-12-00-000</t>
  </si>
  <si>
    <t>Retenciones empleados</t>
  </si>
  <si>
    <t>216-12-01-000</t>
  </si>
  <si>
    <t>Comedor</t>
  </si>
  <si>
    <t>216-13-00-000</t>
  </si>
  <si>
    <t>Credito Infonavit empleados</t>
  </si>
  <si>
    <t>216-13-00-001</t>
  </si>
  <si>
    <t>Martinez Lopez Socorro</t>
  </si>
  <si>
    <t>216-13-00-002</t>
  </si>
  <si>
    <t>LOMELI OROPEZA JUAN MANUEL</t>
  </si>
  <si>
    <t>216-13-00-003</t>
  </si>
  <si>
    <t>MURILLO LEDESMA NANCY LILIANA</t>
  </si>
  <si>
    <t>216-13-00-004</t>
  </si>
  <si>
    <t>CARO VALERIO JUAN LUIS SEBASTIAN</t>
  </si>
  <si>
    <t>216-13-00-005</t>
  </si>
  <si>
    <t>MEZA REYNOSO MARISOL</t>
  </si>
  <si>
    <t>216-13-00-006</t>
  </si>
  <si>
    <t>MORENO BASTIAN MARIA DE JESUS</t>
  </si>
  <si>
    <t>216-13-00-007</t>
  </si>
  <si>
    <t>GUZMAN RODRIGUEZ NANCY NALLELY</t>
  </si>
  <si>
    <t>216-13-00-008</t>
  </si>
  <si>
    <t>RENTERIA PONCE MARIA ELIZABETH</t>
  </si>
  <si>
    <t>216-13-00-009</t>
  </si>
  <si>
    <t>LOPEZ CERVERA MARIA DEL CARMEN</t>
  </si>
  <si>
    <t>216-13-00-010</t>
  </si>
  <si>
    <t>MURO ARJON MA DEL ROSARIO</t>
  </si>
  <si>
    <t>216-13-00-011</t>
  </si>
  <si>
    <t>MAYORGA PULIDO GERARDO DANIEL</t>
  </si>
  <si>
    <t>216-13-00-012</t>
  </si>
  <si>
    <t>RODRIGUEZ CONTRERAS JESUS GUADALUPE</t>
  </si>
  <si>
    <t>216-13-00-013</t>
  </si>
  <si>
    <t>RENTERIA LAMAS GABRIELA</t>
  </si>
  <si>
    <t>216-13-00-014</t>
  </si>
  <si>
    <t>CHIMAL HERNANDEZ GABRIELA</t>
  </si>
  <si>
    <t>216-13-00-015</t>
  </si>
  <si>
    <t>LOPEZ GAMIÑO NANCY AGLADET</t>
  </si>
  <si>
    <t>216-13-00-016</t>
  </si>
  <si>
    <t>RAMIREZ DAVALOS MIGUEL ANGEL</t>
  </si>
  <si>
    <t>216-13-00-017</t>
  </si>
  <si>
    <t>LOZANO ROMERO SONIA VERONICA</t>
  </si>
  <si>
    <t>216-13-00-018</t>
  </si>
  <si>
    <t>ROQUE MERCADO JUAN LUIS</t>
  </si>
  <si>
    <t>216-13-00-019</t>
  </si>
  <si>
    <t>APECECHEA SOTO ROSA ORALIA</t>
  </si>
  <si>
    <t>216-13-00-020</t>
  </si>
  <si>
    <t>FLORES SALAMANCA ADRIAN DE JESUS</t>
  </si>
  <si>
    <t>216-13-00-021</t>
  </si>
  <si>
    <t>CASTRO MOLINA JESUS ORLANDO</t>
  </si>
  <si>
    <t>216-13-00-022</t>
  </si>
  <si>
    <t>RODRIGUEZ BARAJAS SANTIAGO</t>
  </si>
  <si>
    <t>216-13-00-023</t>
  </si>
  <si>
    <t>TREJO SALAS NICTE-JA</t>
  </si>
  <si>
    <t>216-13-00-024</t>
  </si>
  <si>
    <t>FONSECA ROBLEDO JESSICA ANGELINA</t>
  </si>
  <si>
    <t>216-13-00-025</t>
  </si>
  <si>
    <t>MARTINEZ CORTES JULIA</t>
  </si>
  <si>
    <t>216-13-00-026</t>
  </si>
  <si>
    <t>CARMONA CORTES MARIA GUADALUPE</t>
  </si>
  <si>
    <t>216-13-00-027</t>
  </si>
  <si>
    <t>IBARRA TLAHUEL ARACELI</t>
  </si>
  <si>
    <t>216-13-00-028</t>
  </si>
  <si>
    <t>MARTINEZ BECERRA JESSICA CELINA</t>
  </si>
  <si>
    <t>216-13-00-100</t>
  </si>
  <si>
    <t>Creditos infonavit 2024</t>
  </si>
  <si>
    <t>216-14-00-000</t>
  </si>
  <si>
    <t>Impuesto ret de ISR x Reg simplificado</t>
  </si>
  <si>
    <t>216-14-01-000</t>
  </si>
  <si>
    <t>ISR ret reg simpl credito</t>
  </si>
  <si>
    <t>216-14-02-000</t>
  </si>
  <si>
    <t>ISR ret reg simpl contado</t>
  </si>
  <si>
    <t>217-00-00-000</t>
  </si>
  <si>
    <t>Pagos realizados x cta de terceros</t>
  </si>
  <si>
    <t>217-01-00-000</t>
  </si>
  <si>
    <t>217-01-00-001</t>
  </si>
  <si>
    <t>Ana Luisa Miramontes</t>
  </si>
  <si>
    <t>217-01-00-002</t>
  </si>
  <si>
    <t>Tercero no identificado</t>
  </si>
  <si>
    <t>217-01-00-003</t>
  </si>
  <si>
    <t>217-01-00-004</t>
  </si>
  <si>
    <t>VIATICOS EMPLEADOS</t>
  </si>
  <si>
    <t>218-00-00-000</t>
  </si>
  <si>
    <t>Otros pasivos a corto plazo</t>
  </si>
  <si>
    <t>218-01-00-000</t>
  </si>
  <si>
    <t>218-01-00-001</t>
  </si>
  <si>
    <t>Despensa por pagar</t>
  </si>
  <si>
    <t>218-01-00-002</t>
  </si>
  <si>
    <t>Neto nomina</t>
  </si>
  <si>
    <t>218-01-00-003</t>
  </si>
  <si>
    <t>Fondo de ahorro empleados</t>
  </si>
  <si>
    <t>218-01-00-004</t>
  </si>
  <si>
    <t>Fondo de ahorro empresa</t>
  </si>
  <si>
    <t>218-01-01-000</t>
  </si>
  <si>
    <t>218-01-01-001</t>
  </si>
  <si>
    <t>218-01-02-000</t>
  </si>
  <si>
    <t>218-01-02-001</t>
  </si>
  <si>
    <t>218-01-02-002</t>
  </si>
  <si>
    <t>218-01-02-003</t>
  </si>
  <si>
    <t>200-02-00-000</t>
  </si>
  <si>
    <t>Pasivo a largo plazo</t>
  </si>
  <si>
    <t>251-00-00-000</t>
  </si>
  <si>
    <t>Acreedores diversos a largo plazo</t>
  </si>
  <si>
    <t>251-01-00-000</t>
  </si>
  <si>
    <t>Socios, accionistas o rep legal</t>
  </si>
  <si>
    <t>251-02-00-000</t>
  </si>
  <si>
    <t>Acreedores div largo plazo nal</t>
  </si>
  <si>
    <t>251-03-00-000</t>
  </si>
  <si>
    <t>Acreedores div largo plazo ext</t>
  </si>
  <si>
    <t>251-04-00-000</t>
  </si>
  <si>
    <t>Acreedores div largo pzo nal pte relac</t>
  </si>
  <si>
    <t>251-05-00-000</t>
  </si>
  <si>
    <t>Acreedores div lgo pzo ext pte relac</t>
  </si>
  <si>
    <t>251-06-00-000</t>
  </si>
  <si>
    <t>Otros acreedores diversos lgo plzo</t>
  </si>
  <si>
    <t>252-00-00-000</t>
  </si>
  <si>
    <t>Cuentas por pagar a largo plazo</t>
  </si>
  <si>
    <t>252-01-00-000</t>
  </si>
  <si>
    <t>Dtos banc y fin x pagar lgo pzo nal</t>
  </si>
  <si>
    <t>252-01-01-000</t>
  </si>
  <si>
    <t xml:space="preserve">Creditos </t>
  </si>
  <si>
    <t>252-01-01-001</t>
  </si>
  <si>
    <t xml:space="preserve">Credito Arrendamas </t>
  </si>
  <si>
    <t>252-01-01-002</t>
  </si>
  <si>
    <t>Credito Aspiria</t>
  </si>
  <si>
    <t>252-01-01-003</t>
  </si>
  <si>
    <t>Credito Banregio</t>
  </si>
  <si>
    <t>252-01-01-004</t>
  </si>
  <si>
    <t>Credito Intercam</t>
  </si>
  <si>
    <t>252-01-01-005</t>
  </si>
  <si>
    <t>Credito Konfio</t>
  </si>
  <si>
    <t>252-01-01-006</t>
  </si>
  <si>
    <t>Credito Santander</t>
  </si>
  <si>
    <t>252-01-01-007</t>
  </si>
  <si>
    <t>Banorte credito 1</t>
  </si>
  <si>
    <t>252-01-01-008</t>
  </si>
  <si>
    <t>Banorte credito 91775</t>
  </si>
  <si>
    <t>252-01-01-009</t>
  </si>
  <si>
    <t>Banorte credito 57362</t>
  </si>
  <si>
    <t>252-01-01-010</t>
  </si>
  <si>
    <t>Capix MX</t>
  </si>
  <si>
    <t>252-01-01-011</t>
  </si>
  <si>
    <t>Ixhua Tech</t>
  </si>
  <si>
    <t>252-02-00-000</t>
  </si>
  <si>
    <t>Dtos banc y fin x pagar lgo pzo ext</t>
  </si>
  <si>
    <t>252-03-00-000</t>
  </si>
  <si>
    <t>Doctos y ctas x pagar largo plzo nal</t>
  </si>
  <si>
    <t>252-04-00-000</t>
  </si>
  <si>
    <t>Doctos y ctas x pagar largo plzo ext</t>
  </si>
  <si>
    <t>252-05-00-000</t>
  </si>
  <si>
    <t>Doctos y ctas x pagar lgo plzo nal pte relac</t>
  </si>
  <si>
    <t>252-06-00-000</t>
  </si>
  <si>
    <t>Doctos y ctas x pagar lgo plzo ext pte relac</t>
  </si>
  <si>
    <t>252-07-00-000</t>
  </si>
  <si>
    <t>Hipotecas por pagar a largo plazo nacional</t>
  </si>
  <si>
    <t>252-08-00-000</t>
  </si>
  <si>
    <t>Hipotecas por pagar a largo plazo extr</t>
  </si>
  <si>
    <t>252-09-00-000</t>
  </si>
  <si>
    <t>Hipotecas x pagar a largo plazo nal pte relac</t>
  </si>
  <si>
    <t>252-10-00-000</t>
  </si>
  <si>
    <t>Hipotecas x pagar largo plzo ext pte relac</t>
  </si>
  <si>
    <t>252-11-00-000</t>
  </si>
  <si>
    <t>Intereses por pagar a largo plazo nacional</t>
  </si>
  <si>
    <t>252-12-00-000</t>
  </si>
  <si>
    <t>Intereses por pagar a largo plazo extranjero</t>
  </si>
  <si>
    <t>252-13-00-000</t>
  </si>
  <si>
    <t>Intereses por pagar a largo plazo nal pte relac</t>
  </si>
  <si>
    <t>252-14-00-000</t>
  </si>
  <si>
    <t>Intereses por pagar a largo plazo ext pte relac</t>
  </si>
  <si>
    <t>252-15-00-000</t>
  </si>
  <si>
    <t>Dividendos por pagar nacionales</t>
  </si>
  <si>
    <t>252-16-00-000</t>
  </si>
  <si>
    <t>Dividendos por pagar extranjeros</t>
  </si>
  <si>
    <t>252-17-00-000</t>
  </si>
  <si>
    <t>Otras cuentas y dtos x pagar largo plazo</t>
  </si>
  <si>
    <t>252-17-01-000</t>
  </si>
  <si>
    <t>252-17-01-001</t>
  </si>
  <si>
    <t>252-17-01-002</t>
  </si>
  <si>
    <t>252-17-01-003</t>
  </si>
  <si>
    <t>252-17-02-000</t>
  </si>
  <si>
    <t>252-17-02-001</t>
  </si>
  <si>
    <t>252-17-02-002</t>
  </si>
  <si>
    <t>252-17-02-003</t>
  </si>
  <si>
    <t>252-17-02-004</t>
  </si>
  <si>
    <t>252-17-02-005</t>
  </si>
  <si>
    <t>252-17-02-006</t>
  </si>
  <si>
    <t>252-17-02-007</t>
  </si>
  <si>
    <t>252-17-02-008</t>
  </si>
  <si>
    <t>252-17-02-009</t>
  </si>
  <si>
    <t>252-17-02-010</t>
  </si>
  <si>
    <t>252-17-02-011</t>
  </si>
  <si>
    <t>252-17-02-012</t>
  </si>
  <si>
    <t>252-17-02-013</t>
  </si>
  <si>
    <t>252-17-02-014</t>
  </si>
  <si>
    <t>252-17-02-015</t>
  </si>
  <si>
    <t>252-17-02-016</t>
  </si>
  <si>
    <t>252-17-03-000</t>
  </si>
  <si>
    <t>252-17-03-001</t>
  </si>
  <si>
    <t>252-17-04-000</t>
  </si>
  <si>
    <t>252-17-04-001</t>
  </si>
  <si>
    <t>253-00-00-000</t>
  </si>
  <si>
    <t>Cobros anticipados a largo plazo</t>
  </si>
  <si>
    <t>253-01-00-000</t>
  </si>
  <si>
    <t>Rentas cobradas por ant largo plazo nal</t>
  </si>
  <si>
    <t>253-02-00-000</t>
  </si>
  <si>
    <t>Rentas cobradas por ant largo plazo ext</t>
  </si>
  <si>
    <t>253-03-00-000</t>
  </si>
  <si>
    <t>Rentas cobr x ant largo plazo nal pte relac</t>
  </si>
  <si>
    <t>253-04-00-000</t>
  </si>
  <si>
    <t>Rentas cobr x ant lgo plzo ext pte relac</t>
  </si>
  <si>
    <t>253-05-00-000</t>
  </si>
  <si>
    <t>Intereses cobrados x ant lgo plzo nal</t>
  </si>
  <si>
    <t>253-06-00-000</t>
  </si>
  <si>
    <t>Intereses cobrados x ant lgo plzo ext</t>
  </si>
  <si>
    <t>253-07-00-000</t>
  </si>
  <si>
    <t>Intereses cobr x ant lgo plzo nal pte relac</t>
  </si>
  <si>
    <t>253-08-00-000</t>
  </si>
  <si>
    <t>Intereses cobr x ant lgo plzo ext pte relac</t>
  </si>
  <si>
    <t>253-09-00-000</t>
  </si>
  <si>
    <t>Factoraje financiero cob x ant lgo plzo nal</t>
  </si>
  <si>
    <t>253-10-00-000</t>
  </si>
  <si>
    <t>Factoraje financiero cobr x ant largo plzo ext</t>
  </si>
  <si>
    <t>253-11-00-000</t>
  </si>
  <si>
    <t>Factoraje fin cobr x ant lgo plzo nal pte relac</t>
  </si>
  <si>
    <t>253-12-00-000</t>
  </si>
  <si>
    <t>Factoraje fin cobr x ant lgo plzo ext pte relac</t>
  </si>
  <si>
    <t>253-13-00-000</t>
  </si>
  <si>
    <t>Arrendamiento fin cobrx ant lgo plzo nal</t>
  </si>
  <si>
    <t>253-14-00-000</t>
  </si>
  <si>
    <t>Arrendamiento fin cobr x ant lgo plzo ext</t>
  </si>
  <si>
    <t>253-15-00-000</t>
  </si>
  <si>
    <t>Arrendto fin cobr x ant  lgo plzo nal pte relac</t>
  </si>
  <si>
    <t>253-16-00-000</t>
  </si>
  <si>
    <t>Arrendto fin cobr x ant lgo plzo ext pte relac</t>
  </si>
  <si>
    <t>253-17-00-000</t>
  </si>
  <si>
    <t>253-18-00-000</t>
  </si>
  <si>
    <t>254-00-00-000</t>
  </si>
  <si>
    <t>Instrumentos financieros a largo plazo</t>
  </si>
  <si>
    <t>254-01-00-000</t>
  </si>
  <si>
    <t>255-00-00-000</t>
  </si>
  <si>
    <t>Pasivos por benefi a empleados go plzo</t>
  </si>
  <si>
    <t>255-01-00-000</t>
  </si>
  <si>
    <t>Pasivos por benef a empleados lgo plzo</t>
  </si>
  <si>
    <t>256-00-00-000</t>
  </si>
  <si>
    <t>Otros pasivos a largo plazo</t>
  </si>
  <si>
    <t>256-01-00-000</t>
  </si>
  <si>
    <t>257-00-00-000</t>
  </si>
  <si>
    <t>Participación de los trabaj en util dif</t>
  </si>
  <si>
    <t>257-01-00-000</t>
  </si>
  <si>
    <t>Participación de los trabaj en utildif</t>
  </si>
  <si>
    <t>258-00-00-000</t>
  </si>
  <si>
    <t>Obligaciones contraídas de fideicomisos</t>
  </si>
  <si>
    <t>258-01-00-000</t>
  </si>
  <si>
    <t>259-00-00-000</t>
  </si>
  <si>
    <t>259-01-00-000</t>
  </si>
  <si>
    <t>ISR diferido</t>
  </si>
  <si>
    <t>259-02-00-000</t>
  </si>
  <si>
    <t>ISR por dividendo diferido</t>
  </si>
  <si>
    <t>259-03-00-000</t>
  </si>
  <si>
    <t>Otros impuestos diferidos</t>
  </si>
  <si>
    <t>260-00-00-000</t>
  </si>
  <si>
    <t>Pasivos diferidos</t>
  </si>
  <si>
    <t>260-01-00-000</t>
  </si>
  <si>
    <t>300-00-00-000</t>
  </si>
  <si>
    <t>Capital</t>
  </si>
  <si>
    <t>301-00-00-000</t>
  </si>
  <si>
    <t>Capital Social</t>
  </si>
  <si>
    <t>301-01-00-000</t>
  </si>
  <si>
    <t>Capital fijo</t>
  </si>
  <si>
    <t>301-01-00-001</t>
  </si>
  <si>
    <t>301-01-00-002</t>
  </si>
  <si>
    <t>Jorge Axel Correa Miramontes</t>
  </si>
  <si>
    <t>301-01-00-003</t>
  </si>
  <si>
    <t>Diego Alejandro Correa Miramontes</t>
  </si>
  <si>
    <t>301-02-00-000</t>
  </si>
  <si>
    <t>Capital variable</t>
  </si>
  <si>
    <t>301-02-00-001</t>
  </si>
  <si>
    <t>301-02-00-002</t>
  </si>
  <si>
    <t>301-02-00-003</t>
  </si>
  <si>
    <t>301-03-00-000</t>
  </si>
  <si>
    <t>Aportaciones p fut aumentos de capital</t>
  </si>
  <si>
    <t>301-04-00-000</t>
  </si>
  <si>
    <t>Prima en suscripción de acciones</t>
  </si>
  <si>
    <t>301-05-00-000</t>
  </si>
  <si>
    <t>Prima en suscripción de partes sociales</t>
  </si>
  <si>
    <t>302-00-00-000</t>
  </si>
  <si>
    <t>Patrimonio</t>
  </si>
  <si>
    <t>302-01-00-000</t>
  </si>
  <si>
    <t>302-02-00-000</t>
  </si>
  <si>
    <t>Aportación patrimonial</t>
  </si>
  <si>
    <t>302-03-00-000</t>
  </si>
  <si>
    <t>Déficit o remanente del ejercicio</t>
  </si>
  <si>
    <t>303-00-00-000</t>
  </si>
  <si>
    <t>Reserva legal</t>
  </si>
  <si>
    <t>303-01-00-000</t>
  </si>
  <si>
    <t>304-00-00-000</t>
  </si>
  <si>
    <t>Resultado de ejercicios anteriores</t>
  </si>
  <si>
    <t>304-01-00-000</t>
  </si>
  <si>
    <t>Utilidad de ejercicios anteriores</t>
  </si>
  <si>
    <t>304-02-00-000</t>
  </si>
  <si>
    <t>Pérdida de ejercicios anteriores</t>
  </si>
  <si>
    <t>304-02-01-000</t>
  </si>
  <si>
    <t>Perdida de ejercicios anteriores</t>
  </si>
  <si>
    <t>304-02-02-000</t>
  </si>
  <si>
    <t>Perdida del ejercicio 2024</t>
  </si>
  <si>
    <t>304-03-00-000</t>
  </si>
  <si>
    <t>Resultado integral de ejercicios ant</t>
  </si>
  <si>
    <t>304-04-00-000</t>
  </si>
  <si>
    <t>Déficit o remanente de ejercicios ant</t>
  </si>
  <si>
    <t>305-00-00-000</t>
  </si>
  <si>
    <t>Resultado del ejercicio</t>
  </si>
  <si>
    <t>305-01-00-000</t>
  </si>
  <si>
    <t>Utilidad del ejercicio</t>
  </si>
  <si>
    <t>305-02-00-000</t>
  </si>
  <si>
    <t>Pérdida del ejercicio</t>
  </si>
  <si>
    <t>305-03-00-000</t>
  </si>
  <si>
    <t>Resultado integral</t>
  </si>
  <si>
    <t>306-00-00-000</t>
  </si>
  <si>
    <t>Otras cuentas de capital</t>
  </si>
  <si>
    <t>306-01-00-000</t>
  </si>
  <si>
    <t>400-00-00-000</t>
  </si>
  <si>
    <t>Ingresos</t>
  </si>
  <si>
    <t>401-00-00-000</t>
  </si>
  <si>
    <t>401-01-00-000</t>
  </si>
  <si>
    <t>Ventas de producto grav a tasa gral</t>
  </si>
  <si>
    <t>401-01-01-000</t>
  </si>
  <si>
    <t>401-01-02-000</t>
  </si>
  <si>
    <t>Marca Propia</t>
  </si>
  <si>
    <t>401-01-03-000</t>
  </si>
  <si>
    <t>Biomiral</t>
  </si>
  <si>
    <t>401-01-03-001</t>
  </si>
  <si>
    <t>Biomiral Distribuidores</t>
  </si>
  <si>
    <t>401-01-03-002</t>
  </si>
  <si>
    <t>Biomiral Retail</t>
  </si>
  <si>
    <t>402-00-00-000</t>
  </si>
  <si>
    <t>Devoluciones, descuentos o bonif sobre ingresos</t>
  </si>
  <si>
    <t>402-01-00-000</t>
  </si>
  <si>
    <t>Dev, desctos o bonifi s vtas y/o serv tasa gral</t>
  </si>
  <si>
    <t>402-01-00-001</t>
  </si>
  <si>
    <t xml:space="preserve">Devoluciones s/venta </t>
  </si>
  <si>
    <t>402-01-00-002</t>
  </si>
  <si>
    <t>Descuento por MKT</t>
  </si>
  <si>
    <t>402-01-00-003</t>
  </si>
  <si>
    <t>Descuento relacion comercial (sat)</t>
  </si>
  <si>
    <t>402-01-00-004</t>
  </si>
  <si>
    <t>Descuento por piezas faltantes</t>
  </si>
  <si>
    <t>402-01-00-005</t>
  </si>
  <si>
    <t>Descuento por piezas dañadas</t>
  </si>
  <si>
    <t>402-01-00-006</t>
  </si>
  <si>
    <t>Descuento por pronto pago (cumplimiento tyc)</t>
  </si>
  <si>
    <t>402-01-00-007</t>
  </si>
  <si>
    <t>Descuento por error en precio</t>
  </si>
  <si>
    <t>402-01-00-008</t>
  </si>
  <si>
    <t>Descuento diversos</t>
  </si>
  <si>
    <t>402-01-00-009</t>
  </si>
  <si>
    <t>Descuento por caducidad del producto</t>
  </si>
  <si>
    <t>403-00-00-000</t>
  </si>
  <si>
    <t>Otros ingresos</t>
  </si>
  <si>
    <t>403-01-00-000</t>
  </si>
  <si>
    <t>Otros Ingresos</t>
  </si>
  <si>
    <t>403-01-01-000</t>
  </si>
  <si>
    <t>Descuento por relacion comercial</t>
  </si>
  <si>
    <t>403-01-02-000</t>
  </si>
  <si>
    <t>Otros ingresos varios</t>
  </si>
  <si>
    <t>403-02-00-000</t>
  </si>
  <si>
    <t>Otros ingresos nacionales parte relac</t>
  </si>
  <si>
    <t>403-03-00-000</t>
  </si>
  <si>
    <t>Otros ingresos extranjeros parte relac</t>
  </si>
  <si>
    <t>403-04-00-000</t>
  </si>
  <si>
    <t>Ingresos por operaciones discontinuas</t>
  </si>
  <si>
    <t>403-05-00-000</t>
  </si>
  <si>
    <t>Ingresos por condonación de adeudo</t>
  </si>
  <si>
    <t>500-00-00-000</t>
  </si>
  <si>
    <t>Costos</t>
  </si>
  <si>
    <t>501-00-00-000</t>
  </si>
  <si>
    <t>Costos Directos</t>
  </si>
  <si>
    <t>501-01-00-000</t>
  </si>
  <si>
    <t>Materia prima directa utilizada para la prod</t>
  </si>
  <si>
    <t>501-01-01-000</t>
  </si>
  <si>
    <t>Materia Prima</t>
  </si>
  <si>
    <t>501-01-02-000</t>
  </si>
  <si>
    <t>Material Empaque</t>
  </si>
  <si>
    <t>501-02-00-000</t>
  </si>
  <si>
    <t>Fletes y logistica</t>
  </si>
  <si>
    <t>501-03-00-000</t>
  </si>
  <si>
    <t>Costo de servicios</t>
  </si>
  <si>
    <t>501-03-01-000</t>
  </si>
  <si>
    <t>Maniobras</t>
  </si>
  <si>
    <t>501-04-00-000</t>
  </si>
  <si>
    <t>Mano de obra directa</t>
  </si>
  <si>
    <t>501-04-01-000</t>
  </si>
  <si>
    <t>Sueldos y Salarios Produccion</t>
  </si>
  <si>
    <t>501-04-02-000</t>
  </si>
  <si>
    <t>Compensaciones Produccion</t>
  </si>
  <si>
    <t>501-04-03-000</t>
  </si>
  <si>
    <t>Tiempos extras Produccion</t>
  </si>
  <si>
    <t>501-04-04-000</t>
  </si>
  <si>
    <t>Premios de asistencia Produccion</t>
  </si>
  <si>
    <t>501-04-05-000</t>
  </si>
  <si>
    <t>Premios de puntualidad Produccion</t>
  </si>
  <si>
    <t>501-04-06-000</t>
  </si>
  <si>
    <t>Vacaciones Produccion</t>
  </si>
  <si>
    <t>501-04-07-000</t>
  </si>
  <si>
    <t>Prima vacacional Produccion</t>
  </si>
  <si>
    <t>501-04-08-000</t>
  </si>
  <si>
    <t>Prima dominical Produccion</t>
  </si>
  <si>
    <t>501-04-09-000</t>
  </si>
  <si>
    <t>Días festivos Produccion</t>
  </si>
  <si>
    <t>501-04-10-000</t>
  </si>
  <si>
    <t>Gratificaciones Produccion</t>
  </si>
  <si>
    <t>501-04-11-000</t>
  </si>
  <si>
    <t>Primas de antigüedad Produccion</t>
  </si>
  <si>
    <t>501-04-12-000</t>
  </si>
  <si>
    <t>Aguinaldo Produccion</t>
  </si>
  <si>
    <t>501-04-13-000</t>
  </si>
  <si>
    <t>Indemnizaciones Produccion</t>
  </si>
  <si>
    <t>501-04-14-000</t>
  </si>
  <si>
    <t>Destajo Produccion</t>
  </si>
  <si>
    <t>501-04-15-000</t>
  </si>
  <si>
    <t>Despensa Produccion</t>
  </si>
  <si>
    <t>501-04-16-000</t>
  </si>
  <si>
    <t>Transporte Produccion</t>
  </si>
  <si>
    <t>501-04-17-000</t>
  </si>
  <si>
    <t>Servicio médico Produccion</t>
  </si>
  <si>
    <t>501-04-18-000</t>
  </si>
  <si>
    <t>Ayuda en gastos funerarios Produccion</t>
  </si>
  <si>
    <t>501-04-19-000</t>
  </si>
  <si>
    <t>Fondo de ahorro Produccion</t>
  </si>
  <si>
    <t>501-04-20-000</t>
  </si>
  <si>
    <t>Cuotas sindicales Produccion</t>
  </si>
  <si>
    <t>501-04-21-000</t>
  </si>
  <si>
    <t>PTU Produccion</t>
  </si>
  <si>
    <t>501-04-22-000</t>
  </si>
  <si>
    <t>Estímulo al personal Produccion</t>
  </si>
  <si>
    <t>501-04-23-000</t>
  </si>
  <si>
    <t>Prevision Social Produccion</t>
  </si>
  <si>
    <t>501-04-24-000</t>
  </si>
  <si>
    <t>Septimo día Produccion</t>
  </si>
  <si>
    <t>501-04-25-000</t>
  </si>
  <si>
    <t>Bono cumpleaños Produccion</t>
  </si>
  <si>
    <t>501-04-26-000</t>
  </si>
  <si>
    <t>Bono de productividad Produccion</t>
  </si>
  <si>
    <t>501-04-27-000</t>
  </si>
  <si>
    <t>Bono E Produccion</t>
  </si>
  <si>
    <t>501-04-28-000</t>
  </si>
  <si>
    <t>Vales de gasolina</t>
  </si>
  <si>
    <t>501-04-29-000</t>
  </si>
  <si>
    <t>Tarjeta azul produccion</t>
  </si>
  <si>
    <t>501-04-30-000</t>
  </si>
  <si>
    <t>Otros conceptos produccion</t>
  </si>
  <si>
    <t>501-04-31-000</t>
  </si>
  <si>
    <t>Aportaciones para el plan de jubilación</t>
  </si>
  <si>
    <t>501-05-00-000</t>
  </si>
  <si>
    <t>Seguridad social Produccion</t>
  </si>
  <si>
    <t>501-05-01-000</t>
  </si>
  <si>
    <t>501-05-02-000</t>
  </si>
  <si>
    <t>Cuotas al IMSS</t>
  </si>
  <si>
    <t>501-05-03-000</t>
  </si>
  <si>
    <t>Aportaciones al infonavit</t>
  </si>
  <si>
    <t>501-05-04-000</t>
  </si>
  <si>
    <t>Aportaciones al SAR</t>
  </si>
  <si>
    <t>501-05-05-000</t>
  </si>
  <si>
    <t>Impuesto estatal sobre nóminas</t>
  </si>
  <si>
    <t>501-05-06-000</t>
  </si>
  <si>
    <t>Otras aportaciones</t>
  </si>
  <si>
    <t>501-06-00-000</t>
  </si>
  <si>
    <t>Gastos Generales de Produccion</t>
  </si>
  <si>
    <t>501-06-01-000</t>
  </si>
  <si>
    <t>Mantenimiento de maquinaria (no usar)</t>
  </si>
  <si>
    <t>501-06-01-001</t>
  </si>
  <si>
    <t>Preventivo (no usar)</t>
  </si>
  <si>
    <t>501-06-01-002</t>
  </si>
  <si>
    <t>Correctivo (no usar)</t>
  </si>
  <si>
    <t>501-06-01-003</t>
  </si>
  <si>
    <t>Refacciones (no usar)</t>
  </si>
  <si>
    <t>501-06-02-000</t>
  </si>
  <si>
    <t xml:space="preserve">Pruebas de calidad </t>
  </si>
  <si>
    <t>501-06-03-000</t>
  </si>
  <si>
    <t>Sanitizacion de insumos</t>
  </si>
  <si>
    <t>501-08-00-000</t>
  </si>
  <si>
    <t>Otros conceptos de costo</t>
  </si>
  <si>
    <t>502-00-00-000</t>
  </si>
  <si>
    <t>Compras</t>
  </si>
  <si>
    <t>502-01-00-000</t>
  </si>
  <si>
    <t>Compras nacionales</t>
  </si>
  <si>
    <t>502-02-00-000</t>
  </si>
  <si>
    <t>Compras nacionales parte relacionada</t>
  </si>
  <si>
    <t>502-03-00-000</t>
  </si>
  <si>
    <t>Compras de Importación</t>
  </si>
  <si>
    <t>502-04-00-000</t>
  </si>
  <si>
    <t>Compras de Importación partes relac</t>
  </si>
  <si>
    <t>503-00-00-000</t>
  </si>
  <si>
    <t>Devoluciones, destos o bonif s compras</t>
  </si>
  <si>
    <t>503-01-00-000</t>
  </si>
  <si>
    <t>Devoluciones, desctos o bonif s compras</t>
  </si>
  <si>
    <t>504-00-00-000</t>
  </si>
  <si>
    <t>Costos Indirectos</t>
  </si>
  <si>
    <t>504-01-00-000</t>
  </si>
  <si>
    <t>Nomina Soporte a la Operacion</t>
  </si>
  <si>
    <t>504-01-01-000</t>
  </si>
  <si>
    <t>Sueldos y Salarios SO</t>
  </si>
  <si>
    <t>504-01-02-000</t>
  </si>
  <si>
    <t>Compensaciones SO</t>
  </si>
  <si>
    <t>504-01-03-000</t>
  </si>
  <si>
    <t>Tiempos extras SO</t>
  </si>
  <si>
    <t>504-01-04-000</t>
  </si>
  <si>
    <t>Premios de asistencia SO</t>
  </si>
  <si>
    <t>504-01-05-000</t>
  </si>
  <si>
    <t>Premios de puntualidad SO</t>
  </si>
  <si>
    <t>504-01-06-000</t>
  </si>
  <si>
    <t>Vacaciones SO</t>
  </si>
  <si>
    <t>504-01-07-000</t>
  </si>
  <si>
    <t>Prima vacacional SO</t>
  </si>
  <si>
    <t>504-01-08-000</t>
  </si>
  <si>
    <t>Prima dominical SO</t>
  </si>
  <si>
    <t>504-01-09-000</t>
  </si>
  <si>
    <t>Días festivos SO</t>
  </si>
  <si>
    <t>504-01-10-000</t>
  </si>
  <si>
    <t>Gratificaciones SO</t>
  </si>
  <si>
    <t>504-01-11-000</t>
  </si>
  <si>
    <t>Primas de antigüedad SO</t>
  </si>
  <si>
    <t>504-01-12-000</t>
  </si>
  <si>
    <t>Aguinaldo SO</t>
  </si>
  <si>
    <t>504-01-13-000</t>
  </si>
  <si>
    <t>Indemnizaciones SO</t>
  </si>
  <si>
    <t>504-01-14-000</t>
  </si>
  <si>
    <t>Destajo SO</t>
  </si>
  <si>
    <t>504-01-15-000</t>
  </si>
  <si>
    <t>Despensa SO</t>
  </si>
  <si>
    <t>504-01-16-000</t>
  </si>
  <si>
    <t>Transporte SO</t>
  </si>
  <si>
    <t>504-01-17-000</t>
  </si>
  <si>
    <t>Servicio médico SO</t>
  </si>
  <si>
    <t>504-01-18-000</t>
  </si>
  <si>
    <t>Ayuda en gastos funerarios SO</t>
  </si>
  <si>
    <t>504-01-19-000</t>
  </si>
  <si>
    <t>Fondo de ahorro SO</t>
  </si>
  <si>
    <t>504-01-20-000</t>
  </si>
  <si>
    <t>Cuotas sindicales SO</t>
  </si>
  <si>
    <t>504-01-21-000</t>
  </si>
  <si>
    <t>PTU SO</t>
  </si>
  <si>
    <t>504-01-22-000</t>
  </si>
  <si>
    <t>Estímulo al personal SO</t>
  </si>
  <si>
    <t>504-01-24-000</t>
  </si>
  <si>
    <t>Septimo día SO</t>
  </si>
  <si>
    <t>504-01-25-000</t>
  </si>
  <si>
    <t>Bono cumpleaños SO</t>
  </si>
  <si>
    <t>504-01-26-000</t>
  </si>
  <si>
    <t>Bono de productividad SO</t>
  </si>
  <si>
    <t>504-01-27-000</t>
  </si>
  <si>
    <t>Bono E SO</t>
  </si>
  <si>
    <t>504-01-28-000</t>
  </si>
  <si>
    <t>Vales de gasolina SO</t>
  </si>
  <si>
    <t>504-01-29-000</t>
  </si>
  <si>
    <t>Tarjeta azul SO</t>
  </si>
  <si>
    <t>504-01-30-000</t>
  </si>
  <si>
    <t>Otros conceptos SO</t>
  </si>
  <si>
    <t>504-01-31-000</t>
  </si>
  <si>
    <t>Aportaciones para el plan de jubilación SO</t>
  </si>
  <si>
    <t>504-02-00-000</t>
  </si>
  <si>
    <t>Seguridad Social Soporte a la Operacion</t>
  </si>
  <si>
    <t>504-02-00-001</t>
  </si>
  <si>
    <t>504-02-00-002</t>
  </si>
  <si>
    <t>Cuotas al IMSS SO</t>
  </si>
  <si>
    <t>504-02-00-003</t>
  </si>
  <si>
    <t>Aportaciones al infonavit SO</t>
  </si>
  <si>
    <t>504-02-00-004</t>
  </si>
  <si>
    <t>Aportaciones al SAR SO</t>
  </si>
  <si>
    <t>504-02-00-005</t>
  </si>
  <si>
    <t>Impuesto estatal sobre nóminas SO</t>
  </si>
  <si>
    <t>504-02-00-006</t>
  </si>
  <si>
    <t>Otras aportaciones SO</t>
  </si>
  <si>
    <t>504-03-00-000</t>
  </si>
  <si>
    <t>Gastos Indirectos de Fabricacion</t>
  </si>
  <si>
    <t>504-03-01-000</t>
  </si>
  <si>
    <t>Arrendamiento Nave</t>
  </si>
  <si>
    <t>504-03-02-000</t>
  </si>
  <si>
    <t>Luz</t>
  </si>
  <si>
    <t>504-03-03-000</t>
  </si>
  <si>
    <t>Renta de Equipos</t>
  </si>
  <si>
    <t>504-03-04-000</t>
  </si>
  <si>
    <t>Seguridad e Higiene</t>
  </si>
  <si>
    <t>504-03-05-000</t>
  </si>
  <si>
    <t>Tarimas de madera</t>
  </si>
  <si>
    <t>504-03-06-000</t>
  </si>
  <si>
    <t>Mantenimiento a instalaciones</t>
  </si>
  <si>
    <t>504-03-06-001</t>
  </si>
  <si>
    <t>Preventivo</t>
  </si>
  <si>
    <t>504-03-06-002</t>
  </si>
  <si>
    <t>Correctivo</t>
  </si>
  <si>
    <t>504-03-06-003</t>
  </si>
  <si>
    <t>Refacciones y Consumibles</t>
  </si>
  <si>
    <t>504-03-06-004</t>
  </si>
  <si>
    <t>Herramienta e Instrumentacion</t>
  </si>
  <si>
    <t>504-03-07-000</t>
  </si>
  <si>
    <t>Mantenimiento Nave (arrendamiento)</t>
  </si>
  <si>
    <t>504-03-08-000</t>
  </si>
  <si>
    <t>Gas licuado</t>
  </si>
  <si>
    <t>504-03-09-000</t>
  </si>
  <si>
    <t>Pruebas de Desarrollo</t>
  </si>
  <si>
    <t>504-03-10-000</t>
  </si>
  <si>
    <t>Consumibles para produccion</t>
  </si>
  <si>
    <t>504-04-00-000</t>
  </si>
  <si>
    <t>Nomina Cadena de Suministros/Almacen</t>
  </si>
  <si>
    <t>504-01-23-000</t>
  </si>
  <si>
    <t>Previsión social SO</t>
  </si>
  <si>
    <t>504-04-01-000</t>
  </si>
  <si>
    <t>Sueldos y Salarios CS</t>
  </si>
  <si>
    <t>504-04-02-000</t>
  </si>
  <si>
    <t>Compensaciones CS</t>
  </si>
  <si>
    <t>504-04-03-000</t>
  </si>
  <si>
    <t>Tiempos extras CS</t>
  </si>
  <si>
    <t>504-04-04-000</t>
  </si>
  <si>
    <t>Premios de asistencia CS</t>
  </si>
  <si>
    <t>504-04-05-000</t>
  </si>
  <si>
    <t>Premios de puntualidad</t>
  </si>
  <si>
    <t>504-04-06-000</t>
  </si>
  <si>
    <t>Vacaciones CS</t>
  </si>
  <si>
    <t>504-04-07-000</t>
  </si>
  <si>
    <t>Prima vacacional</t>
  </si>
  <si>
    <t>504-04-08-000</t>
  </si>
  <si>
    <t>Prima dominical CS</t>
  </si>
  <si>
    <t>504-04-09-000</t>
  </si>
  <si>
    <t>Días festivos CS</t>
  </si>
  <si>
    <t>504-04-10-000</t>
  </si>
  <si>
    <t>Gratificaciones CS</t>
  </si>
  <si>
    <t>504-04-11-000</t>
  </si>
  <si>
    <t>Primas de antigüedad CS</t>
  </si>
  <si>
    <t>504-04-12-000</t>
  </si>
  <si>
    <t>Aguinaldo CS</t>
  </si>
  <si>
    <t>504-04-13-000</t>
  </si>
  <si>
    <t>Indemnizaciones CS</t>
  </si>
  <si>
    <t>504-04-14-000</t>
  </si>
  <si>
    <t>Destajo CS</t>
  </si>
  <si>
    <t>504-04-15-000</t>
  </si>
  <si>
    <t>Despensa CS</t>
  </si>
  <si>
    <t>504-04-16-000</t>
  </si>
  <si>
    <t>Transporte CS</t>
  </si>
  <si>
    <t>504-04-17-000</t>
  </si>
  <si>
    <t>Servicio médico CS</t>
  </si>
  <si>
    <t>504-04-18-000</t>
  </si>
  <si>
    <t>Ayuda en gastos funerarios CS</t>
  </si>
  <si>
    <t>504-04-19-000</t>
  </si>
  <si>
    <t>Fondo de ahorro CS</t>
  </si>
  <si>
    <t>504-04-20-000</t>
  </si>
  <si>
    <t>Cuotas sindicales CS</t>
  </si>
  <si>
    <t>504-04-21-000</t>
  </si>
  <si>
    <t>PTU CS</t>
  </si>
  <si>
    <t>504-04-22-000</t>
  </si>
  <si>
    <t>Estímulo al personal CS</t>
  </si>
  <si>
    <t>504-04-23-000</t>
  </si>
  <si>
    <t>Previsión social CS</t>
  </si>
  <si>
    <t>504-04-24-000</t>
  </si>
  <si>
    <t>Septimo día CS</t>
  </si>
  <si>
    <t>504-04-25-000</t>
  </si>
  <si>
    <t>Bono cumpleaños CS</t>
  </si>
  <si>
    <t>504-04-26-000</t>
  </si>
  <si>
    <t>Bono de productividad CS</t>
  </si>
  <si>
    <t>504-04-27-000</t>
  </si>
  <si>
    <t>Bono E CS</t>
  </si>
  <si>
    <t>504-04-28-000</t>
  </si>
  <si>
    <t>Vales de gasolina CS</t>
  </si>
  <si>
    <t>504-04-29-000</t>
  </si>
  <si>
    <t>504-04-30-000</t>
  </si>
  <si>
    <t>Otros conceptos CS</t>
  </si>
  <si>
    <t>504-04-31-000</t>
  </si>
  <si>
    <t>Aportaciones para el plan de jubilación CS</t>
  </si>
  <si>
    <t>504-05-00-000</t>
  </si>
  <si>
    <t>Seguridad Social CS/Almacen</t>
  </si>
  <si>
    <t>504-05-01-000</t>
  </si>
  <si>
    <t>Aportaciones para el plan de jubilación CS/A</t>
  </si>
  <si>
    <t>504-05-02-000</t>
  </si>
  <si>
    <t>Cuotas al IMSS CS/Alm</t>
  </si>
  <si>
    <t>504-05-03-000</t>
  </si>
  <si>
    <t>Aportaciones al infonavit CS/Alm</t>
  </si>
  <si>
    <t>504-05-04-000</t>
  </si>
  <si>
    <t>Aportaciones al SAR CS/Alm</t>
  </si>
  <si>
    <t>504-05-05-000</t>
  </si>
  <si>
    <t>Impuesto estatal sobre nóminas CS/Alm</t>
  </si>
  <si>
    <t>504-05-06-000</t>
  </si>
  <si>
    <t>Otras aportaciones CS/Alm</t>
  </si>
  <si>
    <t>504-06-00-000</t>
  </si>
  <si>
    <t>Nomina Mantenimiento</t>
  </si>
  <si>
    <t>504-06-01-000</t>
  </si>
  <si>
    <t>Sueldos y Salarios Mtto</t>
  </si>
  <si>
    <t>504-06-02-000</t>
  </si>
  <si>
    <t>Compensaciones Mtto</t>
  </si>
  <si>
    <t>504-06-03-000</t>
  </si>
  <si>
    <t>Tiempos extras Mtto</t>
  </si>
  <si>
    <t>504-06-04-000</t>
  </si>
  <si>
    <t>Premios de asistencia Mtto</t>
  </si>
  <si>
    <t>504-06-05-000</t>
  </si>
  <si>
    <t>Premios de puntualidad Mtto</t>
  </si>
  <si>
    <t>504-06-06-000</t>
  </si>
  <si>
    <t>Vacaciones Mtto</t>
  </si>
  <si>
    <t>504-06-07-000</t>
  </si>
  <si>
    <t>Prima vacacional Mtto</t>
  </si>
  <si>
    <t>504-06-08-000</t>
  </si>
  <si>
    <t>Prima dominical Mtto</t>
  </si>
  <si>
    <t>504-06-09-000</t>
  </si>
  <si>
    <t>Días festivos Mtto</t>
  </si>
  <si>
    <t>504-06-10-000</t>
  </si>
  <si>
    <t>Gratificaciones Mtto</t>
  </si>
  <si>
    <t>504-06-11-000</t>
  </si>
  <si>
    <t>Primas de antigüedad Mtto</t>
  </si>
  <si>
    <t>504-06-12-000</t>
  </si>
  <si>
    <t>Aguinaldo Mtto</t>
  </si>
  <si>
    <t>504-06-13-000</t>
  </si>
  <si>
    <t>Indemnizaciones Mtto</t>
  </si>
  <si>
    <t>504-06-14-000</t>
  </si>
  <si>
    <t>Destajo Mtto</t>
  </si>
  <si>
    <t>504-06-15-000</t>
  </si>
  <si>
    <t>Despensa Mtto</t>
  </si>
  <si>
    <t>504-06-16-000</t>
  </si>
  <si>
    <t>Transporte Mtto</t>
  </si>
  <si>
    <t>504-06-17-000</t>
  </si>
  <si>
    <t>Servicio médico Mtto</t>
  </si>
  <si>
    <t>504-06-18-000</t>
  </si>
  <si>
    <t>Ayuda en gastos funerarios Mtto</t>
  </si>
  <si>
    <t>504-06-19-000</t>
  </si>
  <si>
    <t>Fondo de ahorro Mtto</t>
  </si>
  <si>
    <t>504-06-20-000</t>
  </si>
  <si>
    <t>Cuotas sindicales Mtto</t>
  </si>
  <si>
    <t>504-06-21-000</t>
  </si>
  <si>
    <t>PTU Mtto</t>
  </si>
  <si>
    <t>504-06-22-000</t>
  </si>
  <si>
    <t>Estímulo al personal Mtto</t>
  </si>
  <si>
    <t>504-06-23-000</t>
  </si>
  <si>
    <t>Prevision Social Mtto</t>
  </si>
  <si>
    <t>504-06-24-000</t>
  </si>
  <si>
    <t>Septimo día Mtto</t>
  </si>
  <si>
    <t>504-06-25-000</t>
  </si>
  <si>
    <t>Bono cumpleaños Mtto</t>
  </si>
  <si>
    <t>504-06-26-000</t>
  </si>
  <si>
    <t>Bono de productividad Mtto</t>
  </si>
  <si>
    <t>504-06-27-000</t>
  </si>
  <si>
    <t>Bono E Mtto</t>
  </si>
  <si>
    <t>504-06-28-000</t>
  </si>
  <si>
    <t>Vales de gasolina Mtto</t>
  </si>
  <si>
    <t>504-06-29-000</t>
  </si>
  <si>
    <t>Tarjeta azul Mtto</t>
  </si>
  <si>
    <t>504-06-30-000</t>
  </si>
  <si>
    <t>Otros conceptos Mtto</t>
  </si>
  <si>
    <t>504-06-31-000</t>
  </si>
  <si>
    <t>Aportaciones para el plan de jubilación Mtto</t>
  </si>
  <si>
    <t>504-07-00-000</t>
  </si>
  <si>
    <t>Seguridad Social Mtto</t>
  </si>
  <si>
    <t>504-07-00-001</t>
  </si>
  <si>
    <t>504-07-00-002</t>
  </si>
  <si>
    <t>Cuotas al IMSS Mtto</t>
  </si>
  <si>
    <t>504-07-00-003</t>
  </si>
  <si>
    <t>Aportaciones al infonavit Mtto</t>
  </si>
  <si>
    <t>504-07-00-004</t>
  </si>
  <si>
    <t>Aportaciones al SAR Mtto</t>
  </si>
  <si>
    <t>504-07-00-005</t>
  </si>
  <si>
    <t>Impuesto estatal sobre nóminas Mtto</t>
  </si>
  <si>
    <t>504-07-00-006</t>
  </si>
  <si>
    <t>Otras aportaciones Mtto</t>
  </si>
  <si>
    <t>504-08-00-000</t>
  </si>
  <si>
    <t>Depreciación de maquinaria y equipo</t>
  </si>
  <si>
    <t>504-09-00-000</t>
  </si>
  <si>
    <t>Depr de autom, autob, camiones, tractoc</t>
  </si>
  <si>
    <t>504-10-00-000</t>
  </si>
  <si>
    <t>Depreciación de mobiliario y eq de ofic</t>
  </si>
  <si>
    <t>504-11-00-000</t>
  </si>
  <si>
    <t>Depreciación de equipo de cómputo</t>
  </si>
  <si>
    <t>504-12-00-000</t>
  </si>
  <si>
    <t>Depreciación de equipo de comunicación</t>
  </si>
  <si>
    <t>504-13-00-000</t>
  </si>
  <si>
    <t>Depr de act biológicos, veg y semovientes</t>
  </si>
  <si>
    <t>504-14-00-000</t>
  </si>
  <si>
    <t>Depreciación de otros activos fijos</t>
  </si>
  <si>
    <t>504-15-00-000</t>
  </si>
  <si>
    <t>Depreciación de ferrocarriles</t>
  </si>
  <si>
    <t>504-16-00-000</t>
  </si>
  <si>
    <t>Depreciación de embarcaciones</t>
  </si>
  <si>
    <t>504-17-00-000</t>
  </si>
  <si>
    <t>Depreciación de aviones</t>
  </si>
  <si>
    <t>504-18-00-000</t>
  </si>
  <si>
    <t>Deprec de troqueles, moldes, matrices herr</t>
  </si>
  <si>
    <t>504-19-00-000</t>
  </si>
  <si>
    <t>Depreciación de equipo de comun telef</t>
  </si>
  <si>
    <t>504-20-00-000</t>
  </si>
  <si>
    <t>Depreciación de equipo de comun satel</t>
  </si>
  <si>
    <t>504-21-00-000</t>
  </si>
  <si>
    <t>Depr de eq de adapt personas cap dif</t>
  </si>
  <si>
    <t>504-22-00-000</t>
  </si>
  <si>
    <t>Depr de maq y eq gener energía fuentes ren</t>
  </si>
  <si>
    <t>504-23-00-000</t>
  </si>
  <si>
    <t>Depreciación de adaptaciones y mejoras</t>
  </si>
  <si>
    <t>504-24-00-000</t>
  </si>
  <si>
    <t>Depreciación de otra maquinaria y eq</t>
  </si>
  <si>
    <t>504-25-00-000</t>
  </si>
  <si>
    <t>Otras cuentas de costos</t>
  </si>
  <si>
    <t>505-00-00-000</t>
  </si>
  <si>
    <t>Costo de activo fijo</t>
  </si>
  <si>
    <t>505-01-00-000</t>
  </si>
  <si>
    <t>Costo por venta de activo fijo</t>
  </si>
  <si>
    <t>505-02-00-000</t>
  </si>
  <si>
    <t>Costo por baja de activo fijo</t>
  </si>
  <si>
    <t>600-00-00-000</t>
  </si>
  <si>
    <t>Gastos</t>
  </si>
  <si>
    <t>601-00-00-000</t>
  </si>
  <si>
    <t>Gastos generales</t>
  </si>
  <si>
    <t>601-01-00-000</t>
  </si>
  <si>
    <t>Sueldos y salarios</t>
  </si>
  <si>
    <t>601-01-01-000</t>
  </si>
  <si>
    <t>Sueldos y salarios SG</t>
  </si>
  <si>
    <t>601-01-02-000</t>
  </si>
  <si>
    <t>Compensaciones SG</t>
  </si>
  <si>
    <t>601-01-03-000</t>
  </si>
  <si>
    <t>Tiempos extras SG</t>
  </si>
  <si>
    <t>601-01-04-000</t>
  </si>
  <si>
    <t>Premios de asistencia SG</t>
  </si>
  <si>
    <t>601-01-05-000</t>
  </si>
  <si>
    <t>Premios de puntualidad SG</t>
  </si>
  <si>
    <t>601-01-06-000</t>
  </si>
  <si>
    <t>Vacaciones SG</t>
  </si>
  <si>
    <t>601-01-07-000</t>
  </si>
  <si>
    <t>Prima vacacional SG</t>
  </si>
  <si>
    <t>601-01-08-000</t>
  </si>
  <si>
    <t>Prima dominical SG</t>
  </si>
  <si>
    <t>601-01-09-000</t>
  </si>
  <si>
    <t>Días festivos SG</t>
  </si>
  <si>
    <t>601-01-10-000</t>
  </si>
  <si>
    <t>Gratificaciones SG</t>
  </si>
  <si>
    <t>601-01-11-000</t>
  </si>
  <si>
    <t>Primas de antigüedad SG</t>
  </si>
  <si>
    <t>601-01-12-000</t>
  </si>
  <si>
    <t>Aguinaldo SG</t>
  </si>
  <si>
    <t>601-01-13-000</t>
  </si>
  <si>
    <t>Indemnizaciones SG</t>
  </si>
  <si>
    <t>601-01-14-000</t>
  </si>
  <si>
    <t>Bono E SG</t>
  </si>
  <si>
    <t>601-01-15-000</t>
  </si>
  <si>
    <t>Despensa SG</t>
  </si>
  <si>
    <t>601-01-16-000</t>
  </si>
  <si>
    <t>Transporte SG</t>
  </si>
  <si>
    <t>601-01-17-000</t>
  </si>
  <si>
    <t>Servicio médico SG</t>
  </si>
  <si>
    <t>601-01-18-000</t>
  </si>
  <si>
    <t>Ayuda en gastos funerarios SG</t>
  </si>
  <si>
    <t>601-01-19-000</t>
  </si>
  <si>
    <t>Fondo de ahorro SG</t>
  </si>
  <si>
    <t>601-01-20-000</t>
  </si>
  <si>
    <t>Cuotas sindicales SG</t>
  </si>
  <si>
    <t>601-01-21-000</t>
  </si>
  <si>
    <t>PTU SG</t>
  </si>
  <si>
    <t>601-01-22-000</t>
  </si>
  <si>
    <t>Estímulo al personal SG</t>
  </si>
  <si>
    <t>601-01-23-000</t>
  </si>
  <si>
    <t>Previsión social SG</t>
  </si>
  <si>
    <t>601-01-24-000</t>
  </si>
  <si>
    <t>Septimo día SG</t>
  </si>
  <si>
    <t>601-01-25-000</t>
  </si>
  <si>
    <t>Bono cumpleaños SG</t>
  </si>
  <si>
    <t>601-01-26-000</t>
  </si>
  <si>
    <t>Bono de productividad SG</t>
  </si>
  <si>
    <t>601-01-27-000</t>
  </si>
  <si>
    <t>601-01-28-000</t>
  </si>
  <si>
    <t>Vales de gasolina SG</t>
  </si>
  <si>
    <t>601-01-29-000</t>
  </si>
  <si>
    <t>Tarjeta azul SG</t>
  </si>
  <si>
    <t>601-01-30-000</t>
  </si>
  <si>
    <t>Otras conceptos SG</t>
  </si>
  <si>
    <t>601-01-31-000</t>
  </si>
  <si>
    <t>Aportaciones para el plan de jubilación SG</t>
  </si>
  <si>
    <t>601-02-00-000</t>
  </si>
  <si>
    <t>Compensaciones</t>
  </si>
  <si>
    <t>601-03-00-000</t>
  </si>
  <si>
    <t>Tiempos extras</t>
  </si>
  <si>
    <t>601-04-00-000</t>
  </si>
  <si>
    <t>Premios de asistencia</t>
  </si>
  <si>
    <t>601-05-00-000</t>
  </si>
  <si>
    <t>601-06-00-000</t>
  </si>
  <si>
    <t>Vacaciones</t>
  </si>
  <si>
    <t>601-07-00-000</t>
  </si>
  <si>
    <t>601-08-00-000</t>
  </si>
  <si>
    <t>Prima dominical</t>
  </si>
  <si>
    <t>601-09-00-000</t>
  </si>
  <si>
    <t>Días festivos</t>
  </si>
  <si>
    <t>601-10-00-000</t>
  </si>
  <si>
    <t>Gratificaciones</t>
  </si>
  <si>
    <t>601-11-00-000</t>
  </si>
  <si>
    <t>Primas de antigüedad</t>
  </si>
  <si>
    <t>601-12-00-000</t>
  </si>
  <si>
    <t>Aguinaldo</t>
  </si>
  <si>
    <t>601-13-00-000</t>
  </si>
  <si>
    <t>Indemnizaciones</t>
  </si>
  <si>
    <t>601-14-00-000</t>
  </si>
  <si>
    <t>Bono E</t>
  </si>
  <si>
    <t>601-15-00-000</t>
  </si>
  <si>
    <t>Despensa</t>
  </si>
  <si>
    <t>601-16-00-000</t>
  </si>
  <si>
    <t>Transporte</t>
  </si>
  <si>
    <t>601-17-00-000</t>
  </si>
  <si>
    <t>Servicio médico</t>
  </si>
  <si>
    <t>601-18-00-000</t>
  </si>
  <si>
    <t>Ayuda en gastos funerarios</t>
  </si>
  <si>
    <t>601-19-00-000</t>
  </si>
  <si>
    <t>Fondo de ahorro</t>
  </si>
  <si>
    <t>601-20-00-000</t>
  </si>
  <si>
    <t>Cuotas sindicales</t>
  </si>
  <si>
    <t>601-21-00-000</t>
  </si>
  <si>
    <t>PTU</t>
  </si>
  <si>
    <t>601-22-00-000</t>
  </si>
  <si>
    <t>Estímulo al personal</t>
  </si>
  <si>
    <t>601-23-00-000</t>
  </si>
  <si>
    <t>Previsión social</t>
  </si>
  <si>
    <t>601-25-00-000</t>
  </si>
  <si>
    <t>Otras prestaciones al personal</t>
  </si>
  <si>
    <t>601-25-00-001</t>
  </si>
  <si>
    <t>Vales de Gasolina</t>
  </si>
  <si>
    <t>601-26-00-000</t>
  </si>
  <si>
    <t>601-27-00-000</t>
  </si>
  <si>
    <t>601-28-00-000</t>
  </si>
  <si>
    <t>601-29-00-000</t>
  </si>
  <si>
    <t>601-30-00-000</t>
  </si>
  <si>
    <t>601-31-00-000</t>
  </si>
  <si>
    <t>Asimilados a salarios</t>
  </si>
  <si>
    <t>601-32-00-000</t>
  </si>
  <si>
    <t>Servicios administrativos</t>
  </si>
  <si>
    <t>601-33-00-000</t>
  </si>
  <si>
    <t>Servicios administrativos partes relac</t>
  </si>
  <si>
    <t>601-34-00-000</t>
  </si>
  <si>
    <t>Honorarios a personas fís residentes nal</t>
  </si>
  <si>
    <t>601-35-00-000</t>
  </si>
  <si>
    <t>Honorarios pers fís residtes nal pte relac</t>
  </si>
  <si>
    <t>601-36-00-000</t>
  </si>
  <si>
    <t>Honorarios personas físicas residtes ext</t>
  </si>
  <si>
    <t>601-37-00-000</t>
  </si>
  <si>
    <t>Hon personas físicas residtes ext ptes relac</t>
  </si>
  <si>
    <t>601-38-00-000</t>
  </si>
  <si>
    <t>Honorarios a personas morales residtes nal</t>
  </si>
  <si>
    <t>601-39-00-000</t>
  </si>
  <si>
    <t>Hon a pers morales residtes nal ptes relac</t>
  </si>
  <si>
    <t>601-40-00-000</t>
  </si>
  <si>
    <t>Hon a personas morales residtes ext</t>
  </si>
  <si>
    <t>601-41-00-000</t>
  </si>
  <si>
    <t>Hon a pers morales residtes del ext pte relac</t>
  </si>
  <si>
    <t>601-42-00-000</t>
  </si>
  <si>
    <t>Honorarios aduanales personas físicas</t>
  </si>
  <si>
    <t>601-43-00-000</t>
  </si>
  <si>
    <t>Honorarios aduanales personas morales</t>
  </si>
  <si>
    <t>601-44-00-000</t>
  </si>
  <si>
    <t>Honorarios al consejo de administración</t>
  </si>
  <si>
    <t>601-45-00-000</t>
  </si>
  <si>
    <t>Arrendamiento a pers físicas residtes nal</t>
  </si>
  <si>
    <t>601-45-01-000</t>
  </si>
  <si>
    <t>Multifuncionales Juan Pablo Hernandez Medina</t>
  </si>
  <si>
    <t>601-45-02-000</t>
  </si>
  <si>
    <t>Arrendamiento de inmuebles</t>
  </si>
  <si>
    <t>601-46-00-000</t>
  </si>
  <si>
    <t>Arrendamiento a pers morales residtes nal</t>
  </si>
  <si>
    <t>601-47-00-000</t>
  </si>
  <si>
    <t>Arrendamiento a residentes del extranjero</t>
  </si>
  <si>
    <t>601-48-00-000</t>
  </si>
  <si>
    <t>Combustibles y lubricantes</t>
  </si>
  <si>
    <t>601-49-00-000</t>
  </si>
  <si>
    <t>Viáticos y gastos de viaje</t>
  </si>
  <si>
    <t>601-50-00-000</t>
  </si>
  <si>
    <t>Teléfono, internet</t>
  </si>
  <si>
    <t>601-51-00-000</t>
  </si>
  <si>
    <t>Agua</t>
  </si>
  <si>
    <t>601-52-00-000</t>
  </si>
  <si>
    <t>Energía eléctrica</t>
  </si>
  <si>
    <t>601-53-00-000</t>
  </si>
  <si>
    <t>Vigilancia y seguridad</t>
  </si>
  <si>
    <t>601-54-00-000</t>
  </si>
  <si>
    <t>Limpieza</t>
  </si>
  <si>
    <t>601-55-00-000</t>
  </si>
  <si>
    <t>Papelería y artículos de oficina</t>
  </si>
  <si>
    <t>601-56-00-000</t>
  </si>
  <si>
    <t>Mantenimiento y conservación</t>
  </si>
  <si>
    <t>601-56-01-000</t>
  </si>
  <si>
    <t>Edificio e Instalaciones</t>
  </si>
  <si>
    <t>601-56-02-000</t>
  </si>
  <si>
    <t>Equipo de Transporte</t>
  </si>
  <si>
    <t>601-56-03-000</t>
  </si>
  <si>
    <t>Equipo de computo</t>
  </si>
  <si>
    <t>601-57-00-000</t>
  </si>
  <si>
    <t>Seguros y fianzas</t>
  </si>
  <si>
    <t>601-58-00-000</t>
  </si>
  <si>
    <t>Otros impuestos y derechos</t>
  </si>
  <si>
    <t>601-59-00-000</t>
  </si>
  <si>
    <t>Recargos fiscales</t>
  </si>
  <si>
    <t>601-60-00-000</t>
  </si>
  <si>
    <t>Cuotas y suscripciones</t>
  </si>
  <si>
    <t>601-61-00-000</t>
  </si>
  <si>
    <t>Propaganda y publicidad</t>
  </si>
  <si>
    <t>601-61-00-002</t>
  </si>
  <si>
    <t>Publicidad</t>
  </si>
  <si>
    <t>601-62-00-000</t>
  </si>
  <si>
    <t>Capacitación al personal</t>
  </si>
  <si>
    <t>601-63-00-000</t>
  </si>
  <si>
    <t>Donativos y ayudas</t>
  </si>
  <si>
    <t>601-64-00-000</t>
  </si>
  <si>
    <t>Asistencia técnica</t>
  </si>
  <si>
    <t>601-65-00-000</t>
  </si>
  <si>
    <t>Regalías sujetas a otros porcentajes</t>
  </si>
  <si>
    <t>601-66-00-000</t>
  </si>
  <si>
    <t>Regalías sujetas al 5%</t>
  </si>
  <si>
    <t>601-67-00-000</t>
  </si>
  <si>
    <t>Regalías sujetas al 10%</t>
  </si>
  <si>
    <t>601-68-00-000</t>
  </si>
  <si>
    <t>Regalías sujetas al 15%</t>
  </si>
  <si>
    <t>601-69-00-000</t>
  </si>
  <si>
    <t>Regalías sujetas al 25%</t>
  </si>
  <si>
    <t>601-70-00-000</t>
  </si>
  <si>
    <t>Regalías sujetas al 30%</t>
  </si>
  <si>
    <t>601-71-00-000</t>
  </si>
  <si>
    <t>Regalías sin retención</t>
  </si>
  <si>
    <t>601-72-00-000</t>
  </si>
  <si>
    <t>Fletes y acarreos</t>
  </si>
  <si>
    <t>601-73-00-000</t>
  </si>
  <si>
    <t>Gastos de importación</t>
  </si>
  <si>
    <t>601-74-00-000</t>
  </si>
  <si>
    <t>Comisiones sobre ventas</t>
  </si>
  <si>
    <t>601-75-00-000</t>
  </si>
  <si>
    <t>Comisiones por tarjetas de crédito</t>
  </si>
  <si>
    <t>601-76-00-000</t>
  </si>
  <si>
    <t>Patentes y marcas</t>
  </si>
  <si>
    <t>601-77-00-000</t>
  </si>
  <si>
    <t>Uniformes</t>
  </si>
  <si>
    <t>601-78-00-000</t>
  </si>
  <si>
    <t>Prediales</t>
  </si>
  <si>
    <t>601-79-00-000</t>
  </si>
  <si>
    <t>Gastos generales de urbanización</t>
  </si>
  <si>
    <t>601-80-00-000</t>
  </si>
  <si>
    <t>Gastos generales de construcción</t>
  </si>
  <si>
    <t>601-81-00-000</t>
  </si>
  <si>
    <t>Fletes del extranjero</t>
  </si>
  <si>
    <t>601-82-00-000</t>
  </si>
  <si>
    <t>Recolec bienes del sector agropec y/o gan</t>
  </si>
  <si>
    <t>601-83-00-000</t>
  </si>
  <si>
    <t>Gastos no deduc (sin requisitos fiscales)</t>
  </si>
  <si>
    <t>601-84-00-000</t>
  </si>
  <si>
    <t>Otros gastos generales</t>
  </si>
  <si>
    <t>601-85-00-000</t>
  </si>
  <si>
    <t>Gastos Comercial y MKT</t>
  </si>
  <si>
    <t>601-86-00-000</t>
  </si>
  <si>
    <t>Otros gastos por arrendamiento financiero</t>
  </si>
  <si>
    <t>601-87-00-000</t>
  </si>
  <si>
    <t>Convenios Laborales</t>
  </si>
  <si>
    <t>601-88-00-000</t>
  </si>
  <si>
    <t>601-89-00-000</t>
  </si>
  <si>
    <t xml:space="preserve">Programas </t>
  </si>
  <si>
    <t>601-90-00-000</t>
  </si>
  <si>
    <t>Mensajeria</t>
  </si>
  <si>
    <t>602-00-00-000</t>
  </si>
  <si>
    <t>Gastos de venta y marketing</t>
  </si>
  <si>
    <t>602-01-00-000</t>
  </si>
  <si>
    <t>Nomina de Venta y Marketing</t>
  </si>
  <si>
    <t>602-01-01-000</t>
  </si>
  <si>
    <t>602-01-02-000</t>
  </si>
  <si>
    <t>602-01-03-000</t>
  </si>
  <si>
    <t>602-01-04-000</t>
  </si>
  <si>
    <t>602-01-05-000</t>
  </si>
  <si>
    <t>602-01-06-000</t>
  </si>
  <si>
    <t>602-01-07-000</t>
  </si>
  <si>
    <t>602-01-08-000</t>
  </si>
  <si>
    <t>602-01-09-000</t>
  </si>
  <si>
    <t>602-01-10-000</t>
  </si>
  <si>
    <t>602-01-11-000</t>
  </si>
  <si>
    <t>602-01-12-000</t>
  </si>
  <si>
    <t>602-01-13-000</t>
  </si>
  <si>
    <t>602-01-14-000</t>
  </si>
  <si>
    <t>602-01-15-000</t>
  </si>
  <si>
    <t>602-01-16-000</t>
  </si>
  <si>
    <t>602-01-17-000</t>
  </si>
  <si>
    <t>602-01-18-000</t>
  </si>
  <si>
    <t>602-01-19-000</t>
  </si>
  <si>
    <t>602-01-20-000</t>
  </si>
  <si>
    <t>602-01-21-000</t>
  </si>
  <si>
    <t>602-01-22-000</t>
  </si>
  <si>
    <t>602-01-23-000</t>
  </si>
  <si>
    <t>602-01-24-000</t>
  </si>
  <si>
    <t>Septimo día</t>
  </si>
  <si>
    <t>602-01-25-000</t>
  </si>
  <si>
    <t>Bono cumpleaños</t>
  </si>
  <si>
    <t>602-01-27-000</t>
  </si>
  <si>
    <t>602-01-28-000</t>
  </si>
  <si>
    <t>Vales de gasolina Ventas</t>
  </si>
  <si>
    <t>602-01-29-000</t>
  </si>
  <si>
    <t>Tarjeta azul ventas</t>
  </si>
  <si>
    <t>602-01-30-000</t>
  </si>
  <si>
    <t>Otros conceptos ventas</t>
  </si>
  <si>
    <t>602-01-31-000</t>
  </si>
  <si>
    <t>602-26-00-000</t>
  </si>
  <si>
    <t>602-27-00-000</t>
  </si>
  <si>
    <t>602-28-00-000</t>
  </si>
  <si>
    <t>602-29-00-000</t>
  </si>
  <si>
    <t>602-30-00-000</t>
  </si>
  <si>
    <t>602-31-00-000</t>
  </si>
  <si>
    <t>602-32-00-000</t>
  </si>
  <si>
    <t>602-33-00-000</t>
  </si>
  <si>
    <t>602-34-00-000</t>
  </si>
  <si>
    <t>Honorarios a pers físicas residtes nal</t>
  </si>
  <si>
    <t>602-35-00-000</t>
  </si>
  <si>
    <t>Honorarios a pers físicas residtes nal pte relac</t>
  </si>
  <si>
    <t>602-36-00-000</t>
  </si>
  <si>
    <t>Honorarios a personas físicas residtes del ext</t>
  </si>
  <si>
    <t>602-37-00-000</t>
  </si>
  <si>
    <t>Honorarios a pers físicas residtes ext pte relac</t>
  </si>
  <si>
    <t>602-38-00-000</t>
  </si>
  <si>
    <t>Honorarios a pers morales residtes nal</t>
  </si>
  <si>
    <t>602-39-00-000</t>
  </si>
  <si>
    <t>Honorarios a pers morales residtes nal pte relac</t>
  </si>
  <si>
    <t>602-40-00-000</t>
  </si>
  <si>
    <t>Honorarios a pers morales residentes del ext</t>
  </si>
  <si>
    <t>602-41-00-000</t>
  </si>
  <si>
    <t>Honorarios a pers morales resid ext pte relac</t>
  </si>
  <si>
    <t>602-42-00-000</t>
  </si>
  <si>
    <t>602-43-00-000</t>
  </si>
  <si>
    <t>602-44-00-000</t>
  </si>
  <si>
    <t>602-45-00-000</t>
  </si>
  <si>
    <t>Arrendamiento a personas físicas resid nal</t>
  </si>
  <si>
    <t>602-46-00-000</t>
  </si>
  <si>
    <t>Arrendamiento a personas morales resid nal</t>
  </si>
  <si>
    <t>602-47-00-000</t>
  </si>
  <si>
    <t>602-48-00-000</t>
  </si>
  <si>
    <t>602-49-00-000</t>
  </si>
  <si>
    <t>602-50-00-000</t>
  </si>
  <si>
    <t>602-51-00-000</t>
  </si>
  <si>
    <t>602-52-00-000</t>
  </si>
  <si>
    <t>602-53-00-000</t>
  </si>
  <si>
    <t>602-54-00-000</t>
  </si>
  <si>
    <t>602-55-00-000</t>
  </si>
  <si>
    <t>602-56-00-000</t>
  </si>
  <si>
    <t>602-57-00-000</t>
  </si>
  <si>
    <t>602-58-00-000</t>
  </si>
  <si>
    <t>602-59-00-000</t>
  </si>
  <si>
    <t>602-60-00-000</t>
  </si>
  <si>
    <t>602-61-00-000</t>
  </si>
  <si>
    <t>602-62-00-000</t>
  </si>
  <si>
    <t>602-63-00-000</t>
  </si>
  <si>
    <t>602-64-00-000</t>
  </si>
  <si>
    <t>602-65-00-000</t>
  </si>
  <si>
    <t>602-66-00-000</t>
  </si>
  <si>
    <t>602-67-00-000</t>
  </si>
  <si>
    <t>602-68-00-000</t>
  </si>
  <si>
    <t>602-69-00-000</t>
  </si>
  <si>
    <t>602-70-00-000</t>
  </si>
  <si>
    <t>602-71-00-000</t>
  </si>
  <si>
    <t>602-72-00-000</t>
  </si>
  <si>
    <t>602-73-00-000</t>
  </si>
  <si>
    <t>602-74-00-000</t>
  </si>
  <si>
    <t>602-75-00-000</t>
  </si>
  <si>
    <t>602-76-00-000</t>
  </si>
  <si>
    <t>602-77-00-000</t>
  </si>
  <si>
    <t>602-78-00-000</t>
  </si>
  <si>
    <t>602-79-00-000</t>
  </si>
  <si>
    <t>Gastos de venta de urbanización</t>
  </si>
  <si>
    <t>602-80-00-000</t>
  </si>
  <si>
    <t>Gastos de venta de construcción</t>
  </si>
  <si>
    <t>602-81-00-000</t>
  </si>
  <si>
    <t>602-82-00-000</t>
  </si>
  <si>
    <t>Recolecc bienes del sector agrop y/o ganad</t>
  </si>
  <si>
    <t>602-83-00-000</t>
  </si>
  <si>
    <t>Gastos no deducibles (sin requisitos fiscales)</t>
  </si>
  <si>
    <t>602-84-00-000</t>
  </si>
  <si>
    <t>Otros gastos de venta</t>
  </si>
  <si>
    <t>602-85-00-000</t>
  </si>
  <si>
    <t>Atencion al cliente MKT</t>
  </si>
  <si>
    <t>603-00-00-000</t>
  </si>
  <si>
    <t>Gastos de administración</t>
  </si>
  <si>
    <t>603-01-00-000</t>
  </si>
  <si>
    <t>Nomina de Administracion</t>
  </si>
  <si>
    <t>603-01-01-000</t>
  </si>
  <si>
    <t>Sueldos y salarios Administracion</t>
  </si>
  <si>
    <t>603-01-02-000</t>
  </si>
  <si>
    <t>603-01-03-000</t>
  </si>
  <si>
    <t>603-01-04-000</t>
  </si>
  <si>
    <t>603-01-05-000</t>
  </si>
  <si>
    <t>603-01-06-000</t>
  </si>
  <si>
    <t>603-01-07-000</t>
  </si>
  <si>
    <t>603-01-08-000</t>
  </si>
  <si>
    <t>603-01-09-000</t>
  </si>
  <si>
    <t>603-01-10-000</t>
  </si>
  <si>
    <t>603-01-11-000</t>
  </si>
  <si>
    <t>603-01-12-000</t>
  </si>
  <si>
    <t>603-01-13-000</t>
  </si>
  <si>
    <t>603-01-14-000</t>
  </si>
  <si>
    <t>603-01-15-000</t>
  </si>
  <si>
    <t>603-01-16-000</t>
  </si>
  <si>
    <t>603-01-17-000</t>
  </si>
  <si>
    <t>603-01-18-000</t>
  </si>
  <si>
    <t>603-01-19-000</t>
  </si>
  <si>
    <t>603-01-20-000</t>
  </si>
  <si>
    <t>603-01-21-000</t>
  </si>
  <si>
    <t>603-01-22-000</t>
  </si>
  <si>
    <t>603-01-23-000</t>
  </si>
  <si>
    <t>603-01-24-000</t>
  </si>
  <si>
    <t>603-01-25-000</t>
  </si>
  <si>
    <t>603-01-26-000</t>
  </si>
  <si>
    <t xml:space="preserve">Bono de productividad </t>
  </si>
  <si>
    <t>603-01-27-000</t>
  </si>
  <si>
    <t>603-01-28-000</t>
  </si>
  <si>
    <t>Vales de gasolina administracion</t>
  </si>
  <si>
    <t>603-01-29-000</t>
  </si>
  <si>
    <t>Tarjeta azul administracion</t>
  </si>
  <si>
    <t>603-01-30-000</t>
  </si>
  <si>
    <t>Otras conceptos administracion</t>
  </si>
  <si>
    <t>603-01-31-000</t>
  </si>
  <si>
    <t>603-26-00-000</t>
  </si>
  <si>
    <t>603-27-00-000</t>
  </si>
  <si>
    <t>603-28-00-000</t>
  </si>
  <si>
    <t>603-29-00-000</t>
  </si>
  <si>
    <t>603-30-00-000</t>
  </si>
  <si>
    <t>603-31-00-000</t>
  </si>
  <si>
    <t>603-32-00-000</t>
  </si>
  <si>
    <t>603-33-00-000</t>
  </si>
  <si>
    <t>603-34-00-000</t>
  </si>
  <si>
    <t>603-35-00-000</t>
  </si>
  <si>
    <t>603-36-00-000</t>
  </si>
  <si>
    <t>603-37-00-000</t>
  </si>
  <si>
    <t>603-38-00-000</t>
  </si>
  <si>
    <t>603-39-00-000</t>
  </si>
  <si>
    <t>603-40-00-000</t>
  </si>
  <si>
    <t>603-41-00-000</t>
  </si>
  <si>
    <t>603-42-00-000</t>
  </si>
  <si>
    <t>603-43-00-000</t>
  </si>
  <si>
    <t>603-44-00-000</t>
  </si>
  <si>
    <t>603-45-00-000</t>
  </si>
  <si>
    <t>603-46-00-000</t>
  </si>
  <si>
    <t>603-47-00-000</t>
  </si>
  <si>
    <t>603-48-00-000</t>
  </si>
  <si>
    <t>603-49-00-000</t>
  </si>
  <si>
    <t>603-50-00-000</t>
  </si>
  <si>
    <t>603-51-00-000</t>
  </si>
  <si>
    <t>603-52-00-000</t>
  </si>
  <si>
    <t>603-53-00-000</t>
  </si>
  <si>
    <t>603-54-00-000</t>
  </si>
  <si>
    <t>603-55-00-000</t>
  </si>
  <si>
    <t>603-56-00-000</t>
  </si>
  <si>
    <t>603-57-00-000</t>
  </si>
  <si>
    <t>603-58-00-000</t>
  </si>
  <si>
    <t>603-59-00-000</t>
  </si>
  <si>
    <t>603-60-00-000</t>
  </si>
  <si>
    <t>603-61-00-000</t>
  </si>
  <si>
    <t>603-62-00-000</t>
  </si>
  <si>
    <t>603-63-00-000</t>
  </si>
  <si>
    <t>603-64-00-000</t>
  </si>
  <si>
    <t>603-65-00-000</t>
  </si>
  <si>
    <t>603-66-00-000</t>
  </si>
  <si>
    <t>603-67-00-000</t>
  </si>
  <si>
    <t>603-68-00-000</t>
  </si>
  <si>
    <t>603-69-00-000</t>
  </si>
  <si>
    <t>603-70-00-000</t>
  </si>
  <si>
    <t>603-71-00-000</t>
  </si>
  <si>
    <t>603-72-00-000</t>
  </si>
  <si>
    <t>603-73-00-000</t>
  </si>
  <si>
    <t>603-74-00-000</t>
  </si>
  <si>
    <t>603-75-00-000</t>
  </si>
  <si>
    <t>603-76-00-000</t>
  </si>
  <si>
    <t>603-77-00-000</t>
  </si>
  <si>
    <t>Gastos de administración de urbanización</t>
  </si>
  <si>
    <t>603-78-00-000</t>
  </si>
  <si>
    <t>Gastos de administración de construcción</t>
  </si>
  <si>
    <t>603-79-00-000</t>
  </si>
  <si>
    <t>603-80-00-000</t>
  </si>
  <si>
    <t>603-81-00-000</t>
  </si>
  <si>
    <t>603-82-00-000</t>
  </si>
  <si>
    <t>Otros gastos de administración</t>
  </si>
  <si>
    <t>604-00-00-000</t>
  </si>
  <si>
    <t>Gastos de calidad</t>
  </si>
  <si>
    <t>604-01-00-000</t>
  </si>
  <si>
    <t>Nomina Calidad</t>
  </si>
  <si>
    <t>604-01-01-000</t>
  </si>
  <si>
    <t>604-01-02-000</t>
  </si>
  <si>
    <t>604-01-03-000</t>
  </si>
  <si>
    <t>604-01-04-000</t>
  </si>
  <si>
    <t>604-01-05-000</t>
  </si>
  <si>
    <t>604-01-06-000</t>
  </si>
  <si>
    <t>604-01-07-000</t>
  </si>
  <si>
    <t>604-01-08-000</t>
  </si>
  <si>
    <t>604-01-09-000</t>
  </si>
  <si>
    <t>604-01-10-000</t>
  </si>
  <si>
    <t>604-01-11-000</t>
  </si>
  <si>
    <t>604-01-12-000</t>
  </si>
  <si>
    <t>604-01-13-000</t>
  </si>
  <si>
    <t>604-01-14-000</t>
  </si>
  <si>
    <t>604-01-15-000</t>
  </si>
  <si>
    <t>604-01-16-000</t>
  </si>
  <si>
    <t>604-01-17-000</t>
  </si>
  <si>
    <t>604-01-18-000</t>
  </si>
  <si>
    <t>604-01-19-000</t>
  </si>
  <si>
    <t>604-01-20-000</t>
  </si>
  <si>
    <t>604-01-21-000</t>
  </si>
  <si>
    <t>604-01-22-000</t>
  </si>
  <si>
    <t>604-01-23-000</t>
  </si>
  <si>
    <t>604-01-24-000</t>
  </si>
  <si>
    <t>604-01-25-000</t>
  </si>
  <si>
    <t>604-01-26-000</t>
  </si>
  <si>
    <t>Bono de productividad</t>
  </si>
  <si>
    <t>604-01-27-000</t>
  </si>
  <si>
    <t>604-01-28-000</t>
  </si>
  <si>
    <t>Vales de gasolina calidad</t>
  </si>
  <si>
    <t>604-01-29-000</t>
  </si>
  <si>
    <t>Tarjeta azul calidad</t>
  </si>
  <si>
    <t>604-01-30-000</t>
  </si>
  <si>
    <t>Otros conceptos calidad</t>
  </si>
  <si>
    <t>604-01-31-000</t>
  </si>
  <si>
    <t>604-26-00-000</t>
  </si>
  <si>
    <t>604-27-00-000</t>
  </si>
  <si>
    <t>604-28-00-000</t>
  </si>
  <si>
    <t>604-29-00-000</t>
  </si>
  <si>
    <t>604-30-00-000</t>
  </si>
  <si>
    <t>604-31-00-000</t>
  </si>
  <si>
    <t>604-32-00-000</t>
  </si>
  <si>
    <t>604-33-00-000</t>
  </si>
  <si>
    <t>604-34-00-000</t>
  </si>
  <si>
    <t>604-35-00-000</t>
  </si>
  <si>
    <t>604-36-00-000</t>
  </si>
  <si>
    <t>604-37-00-000</t>
  </si>
  <si>
    <t>604-38-00-000</t>
  </si>
  <si>
    <t>604-39-00-000</t>
  </si>
  <si>
    <t>604-40-00-000</t>
  </si>
  <si>
    <t>604-41-00-000</t>
  </si>
  <si>
    <t>604-42-00-000</t>
  </si>
  <si>
    <t>604-43-00-000</t>
  </si>
  <si>
    <t>604-44-00-000</t>
  </si>
  <si>
    <t>604-45-00-000</t>
  </si>
  <si>
    <t>604-46-00-000</t>
  </si>
  <si>
    <t>604-47-00-000</t>
  </si>
  <si>
    <t>604-48-00-000</t>
  </si>
  <si>
    <t>604-49-00-000</t>
  </si>
  <si>
    <t>604-50-00-000</t>
  </si>
  <si>
    <t>604-51-00-000</t>
  </si>
  <si>
    <t>604-52-00-000</t>
  </si>
  <si>
    <t>604-53-00-000</t>
  </si>
  <si>
    <t>604-54-00-000</t>
  </si>
  <si>
    <t>604-55-00-000</t>
  </si>
  <si>
    <t>604-56-00-000</t>
  </si>
  <si>
    <t>604-57-00-000</t>
  </si>
  <si>
    <t>604-58-00-000</t>
  </si>
  <si>
    <t>604-59-00-000</t>
  </si>
  <si>
    <t>604-60-00-000</t>
  </si>
  <si>
    <t>604-61-00-000</t>
  </si>
  <si>
    <t>604-62-00-000</t>
  </si>
  <si>
    <t>604-63-00-000</t>
  </si>
  <si>
    <t>604-64-00-000</t>
  </si>
  <si>
    <t>604-65-00-000</t>
  </si>
  <si>
    <t>604-66-00-000</t>
  </si>
  <si>
    <t>604-67-00-000</t>
  </si>
  <si>
    <t>604-68-00-000</t>
  </si>
  <si>
    <t>604-69-00-000</t>
  </si>
  <si>
    <t>604-70-00-000</t>
  </si>
  <si>
    <t>604-71-00-000</t>
  </si>
  <si>
    <t>604-72-00-000</t>
  </si>
  <si>
    <t>604-73-00-000</t>
  </si>
  <si>
    <t>604-74-00-000</t>
  </si>
  <si>
    <t>604-75-00-000</t>
  </si>
  <si>
    <t>604-76-00-000</t>
  </si>
  <si>
    <t>604-77-00-000</t>
  </si>
  <si>
    <t>Gastos de fabricación de urbanización</t>
  </si>
  <si>
    <t>604-78-00-000</t>
  </si>
  <si>
    <t>Gastos de fabricación de construcción</t>
  </si>
  <si>
    <t>604-79-00-000</t>
  </si>
  <si>
    <t>604-80-00-000</t>
  </si>
  <si>
    <t>604-81-00-000</t>
  </si>
  <si>
    <t>604-82-00-000</t>
  </si>
  <si>
    <t>Otros gastos de fabricación</t>
  </si>
  <si>
    <t>605-00-00-000</t>
  </si>
  <si>
    <t>Gastos de desarrollo</t>
  </si>
  <si>
    <t>605-01-00-000</t>
  </si>
  <si>
    <t>Nomina Desarrollo</t>
  </si>
  <si>
    <t>605-01-01-000</t>
  </si>
  <si>
    <t>Sueldos y Salarios</t>
  </si>
  <si>
    <t>605-01-02-000</t>
  </si>
  <si>
    <t>605-01-03-000</t>
  </si>
  <si>
    <t>605-01-04-000</t>
  </si>
  <si>
    <t>605-01-05-000</t>
  </si>
  <si>
    <t>605-01-06-000</t>
  </si>
  <si>
    <t>605-01-07-000</t>
  </si>
  <si>
    <t>605-01-08-000</t>
  </si>
  <si>
    <t>605-01-09-000</t>
  </si>
  <si>
    <t>605-01-10-000</t>
  </si>
  <si>
    <t>605-01-11-000</t>
  </si>
  <si>
    <t>605-01-12-000</t>
  </si>
  <si>
    <t>605-01-14-000</t>
  </si>
  <si>
    <t>605-01-15-000</t>
  </si>
  <si>
    <t>605-01-16-000</t>
  </si>
  <si>
    <t>605-01-17-000</t>
  </si>
  <si>
    <t>605-01-18-000</t>
  </si>
  <si>
    <t>605-01-19-000</t>
  </si>
  <si>
    <t>605-01-20-000</t>
  </si>
  <si>
    <t>605-01-21-000</t>
  </si>
  <si>
    <t>605-01-22-000</t>
  </si>
  <si>
    <t>605-01-23-000</t>
  </si>
  <si>
    <t>605-01-24-000</t>
  </si>
  <si>
    <t>605-01-25-000</t>
  </si>
  <si>
    <t>605-01-26-000</t>
  </si>
  <si>
    <t>605-01-27-000</t>
  </si>
  <si>
    <t>605-01-28-000</t>
  </si>
  <si>
    <t>Vales de gasolina desarrollo</t>
  </si>
  <si>
    <t>605-01-29-000</t>
  </si>
  <si>
    <t>Tarjeta azul desarrollo</t>
  </si>
  <si>
    <t>605-01-30-000</t>
  </si>
  <si>
    <t>Otros conceptos desarrollo</t>
  </si>
  <si>
    <t>605-01-31-000</t>
  </si>
  <si>
    <t>605-26-00-000</t>
  </si>
  <si>
    <t>605-27-00-000</t>
  </si>
  <si>
    <t>605-28-00-000</t>
  </si>
  <si>
    <t>605-29-00-000</t>
  </si>
  <si>
    <t>Impuesto sobre nomina</t>
  </si>
  <si>
    <t>605-30-00-000</t>
  </si>
  <si>
    <t>605-31-00-000</t>
  </si>
  <si>
    <t>Otros costos de mano de obra directa</t>
  </si>
  <si>
    <t>606-00-00-000</t>
  </si>
  <si>
    <t>Gastos de direccion</t>
  </si>
  <si>
    <t>606-01-00-000</t>
  </si>
  <si>
    <t>Nomina Direccion</t>
  </si>
  <si>
    <t>606-01-01-000</t>
  </si>
  <si>
    <t>606-01-02-000</t>
  </si>
  <si>
    <t>606-01-03-000</t>
  </si>
  <si>
    <t>606-01-04-000</t>
  </si>
  <si>
    <t>606-01-05-000</t>
  </si>
  <si>
    <t>606-01-06-000</t>
  </si>
  <si>
    <t>606-01-07-000</t>
  </si>
  <si>
    <t>606-01-08-000</t>
  </si>
  <si>
    <t>606-01-09-000</t>
  </si>
  <si>
    <t>606-01-10-000</t>
  </si>
  <si>
    <t>606-01-11-000</t>
  </si>
  <si>
    <t>Pima de Antiguedad</t>
  </si>
  <si>
    <t>606-01-12-000</t>
  </si>
  <si>
    <t>606-01-13-000</t>
  </si>
  <si>
    <t>606-01-14-000</t>
  </si>
  <si>
    <t>606-01-15-000</t>
  </si>
  <si>
    <t>606-01-16-000</t>
  </si>
  <si>
    <t>606-01-17-000</t>
  </si>
  <si>
    <t>606-01-20-000</t>
  </si>
  <si>
    <t>606-01-22-000</t>
  </si>
  <si>
    <t>606-01-23-000</t>
  </si>
  <si>
    <t>606-01-24-000</t>
  </si>
  <si>
    <t>606-01-25-000</t>
  </si>
  <si>
    <t>606-01-26-000</t>
  </si>
  <si>
    <t>606-01-27-000</t>
  </si>
  <si>
    <t>606-01-28-000</t>
  </si>
  <si>
    <t>606-01-29-000</t>
  </si>
  <si>
    <t>Tarjeta azul direccion</t>
  </si>
  <si>
    <t>606-01-30-000</t>
  </si>
  <si>
    <t>Otros conceptos</t>
  </si>
  <si>
    <t>606-01-31-000</t>
  </si>
  <si>
    <t>606-26-00-000</t>
  </si>
  <si>
    <t>Cuotas IMSS</t>
  </si>
  <si>
    <t>606-27-00-000</t>
  </si>
  <si>
    <t>606-28-00-000</t>
  </si>
  <si>
    <t>606-29-00-000</t>
  </si>
  <si>
    <t>607-00-00-000</t>
  </si>
  <si>
    <t>Participación de los trabaj en las utilidades</t>
  </si>
  <si>
    <t>607-01-00-000</t>
  </si>
  <si>
    <t>608-00-00-000</t>
  </si>
  <si>
    <t>Gastos de Ejercicios anteriores</t>
  </si>
  <si>
    <t>608-01-00-000</t>
  </si>
  <si>
    <t>Gastos financieros ejercicios anteriores</t>
  </si>
  <si>
    <t>608-02-00-000</t>
  </si>
  <si>
    <t xml:space="preserve">Gastos operativos ejercicios anteriores </t>
  </si>
  <si>
    <t>609-00-00-000</t>
  </si>
  <si>
    <t>Participación en resultados de asociadas</t>
  </si>
  <si>
    <t>609-01-00-000</t>
  </si>
  <si>
    <t>610-00-00-000</t>
  </si>
  <si>
    <t>Participación de los trabaj en utilidades dif</t>
  </si>
  <si>
    <t>610-01-00-000</t>
  </si>
  <si>
    <t>611-00-00-000</t>
  </si>
  <si>
    <t>Impuesto Sobre la renta</t>
  </si>
  <si>
    <t>611-01-00-000</t>
  </si>
  <si>
    <t>611-02-00-000</t>
  </si>
  <si>
    <t>Impuesto Sobre la renta por reman distrib</t>
  </si>
  <si>
    <t>612-00-00-000</t>
  </si>
  <si>
    <t>Gastos no deducibles para CUFIN</t>
  </si>
  <si>
    <t>612-01-00-000</t>
  </si>
  <si>
    <t>613-00-00-000</t>
  </si>
  <si>
    <t>Depreciacion Contable</t>
  </si>
  <si>
    <t>613-01-00-000</t>
  </si>
  <si>
    <t>Depreciación de edificios</t>
  </si>
  <si>
    <t>613-02-00-000</t>
  </si>
  <si>
    <t>613-03-00-000</t>
  </si>
  <si>
    <t>613-04-00-000</t>
  </si>
  <si>
    <t>613-05-00-000</t>
  </si>
  <si>
    <t>613-06-00-000</t>
  </si>
  <si>
    <t>613-07-00-000</t>
  </si>
  <si>
    <t>613-08-00-000</t>
  </si>
  <si>
    <t>613-09-00-000</t>
  </si>
  <si>
    <t>613-10-00-000</t>
  </si>
  <si>
    <t>613-11-00-000</t>
  </si>
  <si>
    <t>613-12-00-000</t>
  </si>
  <si>
    <t>613-13-00-000</t>
  </si>
  <si>
    <t>613-14-00-000</t>
  </si>
  <si>
    <t>613-15-00-000</t>
  </si>
  <si>
    <t>Depr de eq de adapt ppersonas cap dif</t>
  </si>
  <si>
    <t>613-16-00-000</t>
  </si>
  <si>
    <t>613-17-00-000</t>
  </si>
  <si>
    <t>613-18-00-000</t>
  </si>
  <si>
    <t>614-00-00-000</t>
  </si>
  <si>
    <t>Amortización contable</t>
  </si>
  <si>
    <t>614-01-00-000</t>
  </si>
  <si>
    <t>614-02-00-000</t>
  </si>
  <si>
    <t>614-03-00-000</t>
  </si>
  <si>
    <t>614-04-00-000</t>
  </si>
  <si>
    <t>614-05-00-000</t>
  </si>
  <si>
    <t>614-06-00-000</t>
  </si>
  <si>
    <t>614-07-00-000</t>
  </si>
  <si>
    <t>614-08-00-000</t>
  </si>
  <si>
    <t>614-09-00-000</t>
  </si>
  <si>
    <t>614-10-00-000</t>
  </si>
  <si>
    <t>614-10-01-000</t>
  </si>
  <si>
    <t>Arrendamientos</t>
  </si>
  <si>
    <t>700-00-00-000</t>
  </si>
  <si>
    <t>Resultado integral de financiamiento</t>
  </si>
  <si>
    <t>701-00-00-000</t>
  </si>
  <si>
    <t>Gastos financieros</t>
  </si>
  <si>
    <t>701-01-00-000</t>
  </si>
  <si>
    <t>Pérdida cambiaria</t>
  </si>
  <si>
    <t>701-02-00-000</t>
  </si>
  <si>
    <t>Pérdida cambiaria nacional parte relacionada</t>
  </si>
  <si>
    <t>701-03-00-000</t>
  </si>
  <si>
    <t>Pérdida cambiaria extranjero parte relacionada</t>
  </si>
  <si>
    <t>701-04-00-000</t>
  </si>
  <si>
    <t>Intereses a cargo bancario nacional</t>
  </si>
  <si>
    <t>701-05-00-000</t>
  </si>
  <si>
    <t>Intereses a cargo bancario extranjero</t>
  </si>
  <si>
    <t>701-06-00-000</t>
  </si>
  <si>
    <t>Intereses a cargo de personas físicas nacional</t>
  </si>
  <si>
    <t>701-07-00-000</t>
  </si>
  <si>
    <t>Intereses a cargo de personas físicas extranjero</t>
  </si>
  <si>
    <t>701-08-00-000</t>
  </si>
  <si>
    <t>Intereses a cargo de personas morales nacional</t>
  </si>
  <si>
    <t>701-09-00-000</t>
  </si>
  <si>
    <t>Intereses a cargo de personas morales extranjero</t>
  </si>
  <si>
    <t>701-10-00-000</t>
  </si>
  <si>
    <t>Comisiones bancarias</t>
  </si>
  <si>
    <t>701-11-00-000</t>
  </si>
  <si>
    <t xml:space="preserve">Comisiones por financiamiento </t>
  </si>
  <si>
    <t>701-12-00-000</t>
  </si>
  <si>
    <t>Descuentos por pronto pago a clientes</t>
  </si>
  <si>
    <t>701-13-00-000</t>
  </si>
  <si>
    <t>Otros gastos financieros</t>
  </si>
  <si>
    <t>702-00-00-000</t>
  </si>
  <si>
    <t>Productos financieros</t>
  </si>
  <si>
    <t>702-01-00-000</t>
  </si>
  <si>
    <t>Utilidad cambiaria efectiva</t>
  </si>
  <si>
    <t>702-02-00-000</t>
  </si>
  <si>
    <t>Utilidad cambiaria nacional parte relacionada</t>
  </si>
  <si>
    <t>702-03-00-000</t>
  </si>
  <si>
    <t>Utilidad cambiaria extranjero parte relacionada</t>
  </si>
  <si>
    <t>702-04-00-000</t>
  </si>
  <si>
    <t>Intereses a favor bancarios nacional</t>
  </si>
  <si>
    <t>702-05-00-000</t>
  </si>
  <si>
    <t>Intereses a favor bancarios extranjero</t>
  </si>
  <si>
    <t>702-06-00-000</t>
  </si>
  <si>
    <t>Intereses a favor de personas físicas nacional</t>
  </si>
  <si>
    <t>702-07-00-000</t>
  </si>
  <si>
    <t>Intereses a favor de personas físicas extranjero</t>
  </si>
  <si>
    <t>702-08-00-000</t>
  </si>
  <si>
    <t>Intereses a favor de personas morales nacional</t>
  </si>
  <si>
    <t>702-09-00-000</t>
  </si>
  <si>
    <t>Intereses a favor de personas morales extranjero</t>
  </si>
  <si>
    <t>702-10-00-000</t>
  </si>
  <si>
    <t>Otros productos financieros</t>
  </si>
  <si>
    <t>702-11-00-000</t>
  </si>
  <si>
    <t>Utilidad cambiaria cierre mensual</t>
  </si>
  <si>
    <t>703-00-00-000</t>
  </si>
  <si>
    <t>Otros gastos</t>
  </si>
  <si>
    <t>703-01-00-000</t>
  </si>
  <si>
    <t>Pérdida en vta y/o baja de terrenos</t>
  </si>
  <si>
    <t>703-02-00-000</t>
  </si>
  <si>
    <t>Pérdida en vta y/o baja de edificios</t>
  </si>
  <si>
    <t>703-03-00-000</t>
  </si>
  <si>
    <t>Pérdida en vta y/o baja de maquinaria y equipo</t>
  </si>
  <si>
    <t>703-04-00-000</t>
  </si>
  <si>
    <t>Pérdida en vta y/o baja de autom autob camion</t>
  </si>
  <si>
    <t>703-05-00-000</t>
  </si>
  <si>
    <t>Pérdida en vta y/o baja de mobil y eq de of</t>
  </si>
  <si>
    <t>703-06-00-000</t>
  </si>
  <si>
    <t>Pérdida en vta y/o baja de eq de cómp</t>
  </si>
  <si>
    <t>703-07-00-000</t>
  </si>
  <si>
    <t>Pérdida en vta y/o baja de equipo de comunic</t>
  </si>
  <si>
    <t>703-08-00-000</t>
  </si>
  <si>
    <t>Pérdida en vta y/o baja de act biológicos, veg</t>
  </si>
  <si>
    <t>703-09-00-000</t>
  </si>
  <si>
    <t>Pérdida en vta y/o baja de otros activos fijos</t>
  </si>
  <si>
    <t>703-10-00-000</t>
  </si>
  <si>
    <t>Pérdida en vta y/o baja de ferrocarriles</t>
  </si>
  <si>
    <t>703-11-00-000</t>
  </si>
  <si>
    <t>Pérdida en vta y/o baja de embarcaciones</t>
  </si>
  <si>
    <t>703-12-00-000</t>
  </si>
  <si>
    <t>Pérdida en vta y/o baja de aviones</t>
  </si>
  <si>
    <t>703-13-00-000</t>
  </si>
  <si>
    <t>Pérdida en vta y/o baja de troqueles, moldes</t>
  </si>
  <si>
    <t>703-14-00-000</t>
  </si>
  <si>
    <t>Pérdida en vta y/o baja de eq comunic telef</t>
  </si>
  <si>
    <t>703-15-00-000</t>
  </si>
  <si>
    <t>Pérdida en vta y/o baja de eq de com satel</t>
  </si>
  <si>
    <t>703-16-00-000</t>
  </si>
  <si>
    <t>Pérdida en vta y/o baja de eq de adap cap dif</t>
  </si>
  <si>
    <t>703-17-00-000</t>
  </si>
  <si>
    <t>Pérdida en vta y/o baja de maq y eq gen energía</t>
  </si>
  <si>
    <t>703-18-00-000</t>
  </si>
  <si>
    <t>Pérdida en venta y/o baja de otra maq y eq</t>
  </si>
  <si>
    <t>703-19-00-000</t>
  </si>
  <si>
    <t>Pérdida por enajenación de acciones</t>
  </si>
  <si>
    <t>703-20-00-000</t>
  </si>
  <si>
    <t>Pérdida por enajenación de partes sociales</t>
  </si>
  <si>
    <t>703-21-00-000</t>
  </si>
  <si>
    <t>704-00-00-000</t>
  </si>
  <si>
    <t>Otros productos</t>
  </si>
  <si>
    <t>704-01-00-000</t>
  </si>
  <si>
    <t>Ganancia en vta y/o baja de terrenos</t>
  </si>
  <si>
    <t>704-02-00-000</t>
  </si>
  <si>
    <t>Ganancia en vta y/o baja de edificios</t>
  </si>
  <si>
    <t>704-03-00-000</t>
  </si>
  <si>
    <t>Ganancia en vta y/o baja de maquinaria y equipo</t>
  </si>
  <si>
    <t>704-04-00-000</t>
  </si>
  <si>
    <t>Ganancia en vta y/o baja de autom autob camion</t>
  </si>
  <si>
    <t>704-05-00-000</t>
  </si>
  <si>
    <t>Ganancia en vta y/o baja de mobil y eq de of</t>
  </si>
  <si>
    <t>704-06-00-000</t>
  </si>
  <si>
    <t>Ganancia en vta y/o baja de eq de cómp</t>
  </si>
  <si>
    <t>704-07-00-000</t>
  </si>
  <si>
    <t>Ganancia en vta y/o baja de equipo de comunic</t>
  </si>
  <si>
    <t>704-08-00-000</t>
  </si>
  <si>
    <t>Ganancia en vta y/o baja de act biológicos, veg</t>
  </si>
  <si>
    <t>704-09-00-000</t>
  </si>
  <si>
    <t>Ganancia en vta y/o baja de otros activos fijos</t>
  </si>
  <si>
    <t>704-10-00-000</t>
  </si>
  <si>
    <t>Ganancia en vta y/o baja de ferrocarriles</t>
  </si>
  <si>
    <t>704-11-00-000</t>
  </si>
  <si>
    <t>Ganancia en vta y/o baja de embarcaciones</t>
  </si>
  <si>
    <t>704-12-00-000</t>
  </si>
  <si>
    <t>Ganancia en vta y/o baja de aviones</t>
  </si>
  <si>
    <t>704-13-00-000</t>
  </si>
  <si>
    <t>Ganancia en vta y/o baja de troqueles, moldes</t>
  </si>
  <si>
    <t>704-14-00-000</t>
  </si>
  <si>
    <t>Ganancia en vta y/o baja de eq comunic telef</t>
  </si>
  <si>
    <t>704-15-00-000</t>
  </si>
  <si>
    <t>Ganancia en vta y/o baja de eq de com satel</t>
  </si>
  <si>
    <t>704-16-00-000</t>
  </si>
  <si>
    <t>Ganancia en vta y/o baja de eq de adap cap dif</t>
  </si>
  <si>
    <t>704-17-00-000</t>
  </si>
  <si>
    <t>Ganancia en vta y/o baja de maq y eq gen energía</t>
  </si>
  <si>
    <t>704-18-00-000</t>
  </si>
  <si>
    <t>Ganancia en venta y/o baja de otra maq y eq</t>
  </si>
  <si>
    <t>704-19-00-000</t>
  </si>
  <si>
    <t>Ganancia por enajenación de acciones</t>
  </si>
  <si>
    <t>704-20-00-000</t>
  </si>
  <si>
    <t>Ganancia por enajenación de partes sociales</t>
  </si>
  <si>
    <t>704-21-00-000</t>
  </si>
  <si>
    <t>Ingresos por estímulos fiscales</t>
  </si>
  <si>
    <t>704-22-00-000</t>
  </si>
  <si>
    <t>704-23-00-000</t>
  </si>
  <si>
    <t>PPTO</t>
  </si>
  <si>
    <t>-</t>
  </si>
  <si>
    <t>MAQUILA</t>
  </si>
  <si>
    <t>MARCA PROPIA</t>
  </si>
  <si>
    <t>BIOMIRAL</t>
  </si>
  <si>
    <t>DESCUENTOS/DEVOLUCIONES</t>
  </si>
  <si>
    <t>TMI</t>
  </si>
  <si>
    <t>OTROS INGRESOS</t>
  </si>
  <si>
    <t>MP/ME</t>
  </si>
  <si>
    <t>NOMINA PRODUCCION</t>
  </si>
  <si>
    <t>NO USAR</t>
  </si>
  <si>
    <t>PRUEBAS CALIDAD</t>
  </si>
  <si>
    <t>NOMINA SOPORTE OPERACION</t>
  </si>
  <si>
    <t>RENTA</t>
  </si>
  <si>
    <t>LUZ/GAS</t>
  </si>
  <si>
    <t>RENTA EQUIPOS</t>
  </si>
  <si>
    <t>CERTIFICACIONES/AUDITORIAS</t>
  </si>
  <si>
    <t>CONSUMIBLES PRODUCCION</t>
  </si>
  <si>
    <t>MANTENIMIENTO</t>
  </si>
  <si>
    <t>PRUEBAS DESARROLLO</t>
  </si>
  <si>
    <t>NOMINA ALMACEN</t>
  </si>
  <si>
    <t>?</t>
  </si>
  <si>
    <t>NOMINA MTTO</t>
  </si>
  <si>
    <t>ACTIVO FIJO</t>
  </si>
  <si>
    <t>NOMINA SERVICIOS GENERALES</t>
  </si>
  <si>
    <t>HONORARIOS</t>
  </si>
  <si>
    <t>GASOLINA</t>
  </si>
  <si>
    <t>VIATICOS ADMIN</t>
  </si>
  <si>
    <t>SERVICIOS GENERALES</t>
  </si>
  <si>
    <t>VIGILANCIA</t>
  </si>
  <si>
    <t>LIMPIEZA</t>
  </si>
  <si>
    <t>CONSUMIBLES OFICINAS</t>
  </si>
  <si>
    <t>MTTO EQUIPOS TRANSPORTE</t>
  </si>
  <si>
    <t>SEGUROS</t>
  </si>
  <si>
    <t>OTROS IMPUESTOS</t>
  </si>
  <si>
    <t>CAPACITACIONES</t>
  </si>
  <si>
    <t>DONATIVOS</t>
  </si>
  <si>
    <t>FLETES</t>
  </si>
  <si>
    <t>IMPORTACIONES</t>
  </si>
  <si>
    <t>COMISIONES</t>
  </si>
  <si>
    <t>PATENTES/MARCAS</t>
  </si>
  <si>
    <t>UNIFORMES</t>
  </si>
  <si>
    <t>PERMISOS</t>
  </si>
  <si>
    <t>NO DEDUCIBLES</t>
  </si>
  <si>
    <t>OTROS GASTOS GENERALES</t>
  </si>
  <si>
    <t>OTROS GASTOS VENTAS</t>
  </si>
  <si>
    <t>ARRENDAMIENTOS</t>
  </si>
  <si>
    <t>CONVENIOS LABORALES</t>
  </si>
  <si>
    <t>GASTOS 2024</t>
  </si>
  <si>
    <t>SERVICIOS PROGRAMAS</t>
  </si>
  <si>
    <t>MENSAJERIA</t>
  </si>
  <si>
    <t>NOMINA VENTAS</t>
  </si>
  <si>
    <t>HONORARIOS VENTAS</t>
  </si>
  <si>
    <t>VIATICOS VENTAS</t>
  </si>
  <si>
    <t>A&amp;P</t>
  </si>
  <si>
    <t>NOMINA ADMIN</t>
  </si>
  <si>
    <t>NOMINA CALIDAD</t>
  </si>
  <si>
    <t>NOMINA DESARROLLO</t>
  </si>
  <si>
    <t>NOMINA DIRECCION</t>
  </si>
  <si>
    <t>PERDIDA/UTILIDAD CAMBIARIA</t>
  </si>
  <si>
    <t>INTERESES</t>
  </si>
  <si>
    <t>OTROS GASTOS FINANCIEROS</t>
  </si>
  <si>
    <t>SIN SINONIMO</t>
  </si>
  <si>
    <t>Cuenta</t>
  </si>
  <si>
    <t>Nombre</t>
  </si>
  <si>
    <t>504-03-12-000</t>
  </si>
  <si>
    <t>504-03-14-000</t>
  </si>
  <si>
    <t>Señaletica</t>
  </si>
  <si>
    <t>Grabados de impresion (MP)</t>
  </si>
  <si>
    <t>1000000000</t>
  </si>
  <si>
    <t>1000100000</t>
  </si>
  <si>
    <t>1010000000</t>
  </si>
  <si>
    <t>1010100000</t>
  </si>
  <si>
    <t>1010100001</t>
  </si>
  <si>
    <t>1010100002</t>
  </si>
  <si>
    <t>1010100003</t>
  </si>
  <si>
    <t>1010100004</t>
  </si>
  <si>
    <t>1020000000</t>
  </si>
  <si>
    <t>1020100000</t>
  </si>
  <si>
    <t>1020101000</t>
  </si>
  <si>
    <t>1020100001</t>
  </si>
  <si>
    <t>1020100002</t>
  </si>
  <si>
    <t>1020100003</t>
  </si>
  <si>
    <t>1020100004</t>
  </si>
  <si>
    <t>1020100005</t>
  </si>
  <si>
    <t>1020100006</t>
  </si>
  <si>
    <t>1020100007</t>
  </si>
  <si>
    <t>1020100008</t>
  </si>
  <si>
    <t>1020100009</t>
  </si>
  <si>
    <t>1020100010</t>
  </si>
  <si>
    <t>1020100011</t>
  </si>
  <si>
    <t>1020102000</t>
  </si>
  <si>
    <t>1020102100</t>
  </si>
  <si>
    <t>1020102101</t>
  </si>
  <si>
    <t>1020102102</t>
  </si>
  <si>
    <t>1020102103</t>
  </si>
  <si>
    <t>1020102200</t>
  </si>
  <si>
    <t>1020102201</t>
  </si>
  <si>
    <t>1020102202</t>
  </si>
  <si>
    <t>1020102203</t>
  </si>
  <si>
    <t>1020200000</t>
  </si>
  <si>
    <t>1030000000</t>
  </si>
  <si>
    <t>1030100000</t>
  </si>
  <si>
    <t>1030100001</t>
  </si>
  <si>
    <t>1030200000</t>
  </si>
  <si>
    <t>1030300000</t>
  </si>
  <si>
    <t>1040000000</t>
  </si>
  <si>
    <t>1040100000</t>
  </si>
  <si>
    <t>1050000000</t>
  </si>
  <si>
    <t>1050100000</t>
  </si>
  <si>
    <t>1050101000</t>
  </si>
  <si>
    <t>1050101001</t>
  </si>
  <si>
    <t>1050101002</t>
  </si>
  <si>
    <t>1050101003</t>
  </si>
  <si>
    <t>1050101004</t>
  </si>
  <si>
    <t>1050101005</t>
  </si>
  <si>
    <t>1050101006</t>
  </si>
  <si>
    <t>1050101007</t>
  </si>
  <si>
    <t>1050101008</t>
  </si>
  <si>
    <t>1050101009</t>
  </si>
  <si>
    <t>1050101011</t>
  </si>
  <si>
    <t>1050101100</t>
  </si>
  <si>
    <t>1050102000</t>
  </si>
  <si>
    <t>1050102001</t>
  </si>
  <si>
    <t>1050102002</t>
  </si>
  <si>
    <t>1050102003</t>
  </si>
  <si>
    <t>1050102004</t>
  </si>
  <si>
    <t>1050102006</t>
  </si>
  <si>
    <t>1050102007</t>
  </si>
  <si>
    <t>1050102009</t>
  </si>
  <si>
    <t>1050102010</t>
  </si>
  <si>
    <t>1050102011</t>
  </si>
  <si>
    <t>1050102012</t>
  </si>
  <si>
    <t>1050102013</t>
  </si>
  <si>
    <t>1050102014</t>
  </si>
  <si>
    <t>1050102015</t>
  </si>
  <si>
    <t>1050102016</t>
  </si>
  <si>
    <t>1050102017</t>
  </si>
  <si>
    <t>1050102019</t>
  </si>
  <si>
    <t>1050102020</t>
  </si>
  <si>
    <t>1050102021</t>
  </si>
  <si>
    <t>1050102022</t>
  </si>
  <si>
    <t>1050102023</t>
  </si>
  <si>
    <t>1050102024</t>
  </si>
  <si>
    <t>1050102025</t>
  </si>
  <si>
    <t>1050102026</t>
  </si>
  <si>
    <t>1050102027</t>
  </si>
  <si>
    <t>1050102028</t>
  </si>
  <si>
    <t>1050102029</t>
  </si>
  <si>
    <t>1050102030</t>
  </si>
  <si>
    <t>1050103000</t>
  </si>
  <si>
    <t>1050103001</t>
  </si>
  <si>
    <t>1050103002</t>
  </si>
  <si>
    <t>1050103003</t>
  </si>
  <si>
    <t>1050103004</t>
  </si>
  <si>
    <t>1050103005</t>
  </si>
  <si>
    <t>1050103006</t>
  </si>
  <si>
    <t>1050103008</t>
  </si>
  <si>
    <t>1050103009</t>
  </si>
  <si>
    <t>1050103010</t>
  </si>
  <si>
    <t>1050103011</t>
  </si>
  <si>
    <t>1050200000</t>
  </si>
  <si>
    <t>1050300000</t>
  </si>
  <si>
    <t>1050400000</t>
  </si>
  <si>
    <t>1060000000</t>
  </si>
  <si>
    <t>1060100000</t>
  </si>
  <si>
    <t>1060200000</t>
  </si>
  <si>
    <t>1060300000</t>
  </si>
  <si>
    <t>1060400000</t>
  </si>
  <si>
    <t>1060500000</t>
  </si>
  <si>
    <t>1060600000</t>
  </si>
  <si>
    <t>1060700000</t>
  </si>
  <si>
    <t>1060800000</t>
  </si>
  <si>
    <t>1060900000</t>
  </si>
  <si>
    <t>1061000000</t>
  </si>
  <si>
    <t>1070000000</t>
  </si>
  <si>
    <t>1070100000</t>
  </si>
  <si>
    <t>1070101000</t>
  </si>
  <si>
    <t>1070101001</t>
  </si>
  <si>
    <t>1070101002</t>
  </si>
  <si>
    <t>1070101003</t>
  </si>
  <si>
    <t>1070200000</t>
  </si>
  <si>
    <t>1070200001</t>
  </si>
  <si>
    <t>1070200002</t>
  </si>
  <si>
    <t>1070300000</t>
  </si>
  <si>
    <t>1070400000</t>
  </si>
  <si>
    <t>1070500000</t>
  </si>
  <si>
    <t>1070500001</t>
  </si>
  <si>
    <t>1070500002</t>
  </si>
  <si>
    <t>1070500003</t>
  </si>
  <si>
    <t>1070500004</t>
  </si>
  <si>
    <t>1080000000</t>
  </si>
  <si>
    <t>1080100000</t>
  </si>
  <si>
    <t>1080200000</t>
  </si>
  <si>
    <t>1080300000</t>
  </si>
  <si>
    <t>1080400000</t>
  </si>
  <si>
    <t>1090000000</t>
  </si>
  <si>
    <t>1090100000</t>
  </si>
  <si>
    <t>1090100001</t>
  </si>
  <si>
    <t>1090200000</t>
  </si>
  <si>
    <t>1090300000</t>
  </si>
  <si>
    <t>1090400000</t>
  </si>
  <si>
    <t>1090500000</t>
  </si>
  <si>
    <t>1090600000</t>
  </si>
  <si>
    <t>1090700000</t>
  </si>
  <si>
    <t>1090800000</t>
  </si>
  <si>
    <t>1090900000</t>
  </si>
  <si>
    <t>1091000000</t>
  </si>
  <si>
    <t>1091100000</t>
  </si>
  <si>
    <t>1091200000</t>
  </si>
  <si>
    <t>1091300000</t>
  </si>
  <si>
    <t>1091400000</t>
  </si>
  <si>
    <t>1091500000</t>
  </si>
  <si>
    <t>1091600000</t>
  </si>
  <si>
    <t>1091700000</t>
  </si>
  <si>
    <t>1091800000</t>
  </si>
  <si>
    <t>1091900000</t>
  </si>
  <si>
    <t>1092000000</t>
  </si>
  <si>
    <t>1092100000</t>
  </si>
  <si>
    <t>1092200000</t>
  </si>
  <si>
    <t>1092300000</t>
  </si>
  <si>
    <t>1092301000</t>
  </si>
  <si>
    <t>1092302000</t>
  </si>
  <si>
    <t>1100000000</t>
  </si>
  <si>
    <t>1100100000</t>
  </si>
  <si>
    <t>1110000000</t>
  </si>
  <si>
    <t>1110100000</t>
  </si>
  <si>
    <t>1120000000</t>
  </si>
  <si>
    <t>1120100000</t>
  </si>
  <si>
    <t>1130000000</t>
  </si>
  <si>
    <t>1130100000</t>
  </si>
  <si>
    <t>1130200000</t>
  </si>
  <si>
    <t>1130300000</t>
  </si>
  <si>
    <t>1130400000</t>
  </si>
  <si>
    <t>1130500000</t>
  </si>
  <si>
    <t>1130600000</t>
  </si>
  <si>
    <t>1130700000</t>
  </si>
  <si>
    <t>1130800000</t>
  </si>
  <si>
    <t>1140000000</t>
  </si>
  <si>
    <t>1140100000</t>
  </si>
  <si>
    <t>1150000000</t>
  </si>
  <si>
    <t>1150100000</t>
  </si>
  <si>
    <t>1150200000</t>
  </si>
  <si>
    <t>1150201000</t>
  </si>
  <si>
    <t>1150202000</t>
  </si>
  <si>
    <t>1150203000</t>
  </si>
  <si>
    <t>1150300000</t>
  </si>
  <si>
    <t>1150400000</t>
  </si>
  <si>
    <t>1150500000</t>
  </si>
  <si>
    <t>1150600000</t>
  </si>
  <si>
    <t>1150700000</t>
  </si>
  <si>
    <t>1150800000</t>
  </si>
  <si>
    <t>1160000000</t>
  </si>
  <si>
    <t>1160100000</t>
  </si>
  <si>
    <t>1170000000</t>
  </si>
  <si>
    <t>1170100000</t>
  </si>
  <si>
    <t>1180000000</t>
  </si>
  <si>
    <t>1180100000</t>
  </si>
  <si>
    <t>1180200000</t>
  </si>
  <si>
    <t>1180300000</t>
  </si>
  <si>
    <t>1180400000</t>
  </si>
  <si>
    <t>1190000000</t>
  </si>
  <si>
    <t>1190100000</t>
  </si>
  <si>
    <t>1190200000</t>
  </si>
  <si>
    <t>1190300000</t>
  </si>
  <si>
    <t>1190400000</t>
  </si>
  <si>
    <t>1200000000</t>
  </si>
  <si>
    <t>1200100000</t>
  </si>
  <si>
    <t>1200101000</t>
  </si>
  <si>
    <t>1200101001</t>
  </si>
  <si>
    <t>1200101002</t>
  </si>
  <si>
    <t>1200101003</t>
  </si>
  <si>
    <t>1200101004</t>
  </si>
  <si>
    <t>1200101005</t>
  </si>
  <si>
    <t>1200101006</t>
  </si>
  <si>
    <t>1200101007</t>
  </si>
  <si>
    <t>1200101008</t>
  </si>
  <si>
    <t>1200101009</t>
  </si>
  <si>
    <t>1200101010</t>
  </si>
  <si>
    <t>1200101011</t>
  </si>
  <si>
    <t>1200101012</t>
  </si>
  <si>
    <t>1200101013</t>
  </si>
  <si>
    <t>1200101014</t>
  </si>
  <si>
    <t>1200101015</t>
  </si>
  <si>
    <t>1200101016</t>
  </si>
  <si>
    <t>1200101017</t>
  </si>
  <si>
    <t>1200101018</t>
  </si>
  <si>
    <t>1200101019</t>
  </si>
  <si>
    <t>1200101020</t>
  </si>
  <si>
    <t>1200101021</t>
  </si>
  <si>
    <t>1200101022</t>
  </si>
  <si>
    <t>1200101023</t>
  </si>
  <si>
    <t>1200101024</t>
  </si>
  <si>
    <t>1200101025</t>
  </si>
  <si>
    <t>1200101026</t>
  </si>
  <si>
    <t>1200101027</t>
  </si>
  <si>
    <t>1200101028</t>
  </si>
  <si>
    <t>1200101029</t>
  </si>
  <si>
    <t>1200101030</t>
  </si>
  <si>
    <t>1200101031</t>
  </si>
  <si>
    <t>1200101100</t>
  </si>
  <si>
    <t>1200102000</t>
  </si>
  <si>
    <t>1200102001</t>
  </si>
  <si>
    <t>1200102002</t>
  </si>
  <si>
    <t>1200102003</t>
  </si>
  <si>
    <t>1200102004</t>
  </si>
  <si>
    <t>1200103000</t>
  </si>
  <si>
    <t>1200103001</t>
  </si>
  <si>
    <t>1200103002</t>
  </si>
  <si>
    <t>1200103003</t>
  </si>
  <si>
    <t>1200103004</t>
  </si>
  <si>
    <t>1200200000</t>
  </si>
  <si>
    <t>1200201000</t>
  </si>
  <si>
    <t>1200201001</t>
  </si>
  <si>
    <t>1200202000</t>
  </si>
  <si>
    <t>1200202001</t>
  </si>
  <si>
    <t>1200300000</t>
  </si>
  <si>
    <t>1200400000</t>
  </si>
  <si>
    <t>1210000000</t>
  </si>
  <si>
    <t>1210100000</t>
  </si>
  <si>
    <t>1210101000</t>
  </si>
  <si>
    <t>1210101001</t>
  </si>
  <si>
    <t>1210102000</t>
  </si>
  <si>
    <t>1210102001</t>
  </si>
  <si>
    <t>1210102002</t>
  </si>
  <si>
    <t>1210102003</t>
  </si>
  <si>
    <t>1000200000</t>
  </si>
  <si>
    <t>1510000000</t>
  </si>
  <si>
    <t>1510100000</t>
  </si>
  <si>
    <t>1520000000</t>
  </si>
  <si>
    <t>1520100000</t>
  </si>
  <si>
    <t>1530000000</t>
  </si>
  <si>
    <t>1530100000</t>
  </si>
  <si>
    <t>1540000000</t>
  </si>
  <si>
    <t>1540100000</t>
  </si>
  <si>
    <t>1550000000</t>
  </si>
  <si>
    <t>1550100000</t>
  </si>
  <si>
    <t>1560000000</t>
  </si>
  <si>
    <t>1560100000</t>
  </si>
  <si>
    <t>1570000000</t>
  </si>
  <si>
    <t>1570100000</t>
  </si>
  <si>
    <t>1580000000</t>
  </si>
  <si>
    <t>1580100000</t>
  </si>
  <si>
    <t>1590000000</t>
  </si>
  <si>
    <t>1590100000</t>
  </si>
  <si>
    <t>1600000000</t>
  </si>
  <si>
    <t>1600100000</t>
  </si>
  <si>
    <t>1600101000</t>
  </si>
  <si>
    <t>1600101001</t>
  </si>
  <si>
    <t>1600101002</t>
  </si>
  <si>
    <t>1600101003</t>
  </si>
  <si>
    <t>1600102000</t>
  </si>
  <si>
    <t>1600102001</t>
  </si>
  <si>
    <t>1600102002</t>
  </si>
  <si>
    <t>1600102003</t>
  </si>
  <si>
    <t>1600102004</t>
  </si>
  <si>
    <t>1600102005</t>
  </si>
  <si>
    <t>1600102006</t>
  </si>
  <si>
    <t>1600102007</t>
  </si>
  <si>
    <t>1600102008</t>
  </si>
  <si>
    <t>1600102009</t>
  </si>
  <si>
    <t>1600102010</t>
  </si>
  <si>
    <t>1600102011</t>
  </si>
  <si>
    <t>1600102012</t>
  </si>
  <si>
    <t>1600102013</t>
  </si>
  <si>
    <t>1600102014</t>
  </si>
  <si>
    <t>1600102015</t>
  </si>
  <si>
    <t>1600102016</t>
  </si>
  <si>
    <t>1600103000</t>
  </si>
  <si>
    <t>1600103001</t>
  </si>
  <si>
    <t>1600104000</t>
  </si>
  <si>
    <t>1600104001</t>
  </si>
  <si>
    <t>1610000000</t>
  </si>
  <si>
    <t>1610100000</t>
  </si>
  <si>
    <t>1620000000</t>
  </si>
  <si>
    <t>1620100000</t>
  </si>
  <si>
    <t>1630000000</t>
  </si>
  <si>
    <t>1630100000</t>
  </si>
  <si>
    <t>1640000000</t>
  </si>
  <si>
    <t>1640100000</t>
  </si>
  <si>
    <t>1650000000</t>
  </si>
  <si>
    <t>1650100000</t>
  </si>
  <si>
    <t>1660000000</t>
  </si>
  <si>
    <t>1660100000</t>
  </si>
  <si>
    <t>1670000000</t>
  </si>
  <si>
    <t>1670100000</t>
  </si>
  <si>
    <t>1680000000</t>
  </si>
  <si>
    <t>1680100000</t>
  </si>
  <si>
    <t>1690000000</t>
  </si>
  <si>
    <t>1690100000</t>
  </si>
  <si>
    <t>1700000000</t>
  </si>
  <si>
    <t>1700100000</t>
  </si>
  <si>
    <t>1700100001</t>
  </si>
  <si>
    <t>1710000000</t>
  </si>
  <si>
    <t>1710100000</t>
  </si>
  <si>
    <t>1710200000</t>
  </si>
  <si>
    <t>1710300000</t>
  </si>
  <si>
    <t>1710400000</t>
  </si>
  <si>
    <t>1710500000</t>
  </si>
  <si>
    <t>1710600000</t>
  </si>
  <si>
    <t>1710700000</t>
  </si>
  <si>
    <t>1710800000</t>
  </si>
  <si>
    <t>1710900000</t>
  </si>
  <si>
    <t>1711000000</t>
  </si>
  <si>
    <t>1711100000</t>
  </si>
  <si>
    <t>1711200000</t>
  </si>
  <si>
    <t>1711300000</t>
  </si>
  <si>
    <t>1711400000</t>
  </si>
  <si>
    <t>1711500000</t>
  </si>
  <si>
    <t>1711600000</t>
  </si>
  <si>
    <t>1711700000</t>
  </si>
  <si>
    <t>1711800000</t>
  </si>
  <si>
    <t>1720000000</t>
  </si>
  <si>
    <t>1720100000</t>
  </si>
  <si>
    <t>1720200000</t>
  </si>
  <si>
    <t>1720300000</t>
  </si>
  <si>
    <t>1720400000</t>
  </si>
  <si>
    <t>1720500000</t>
  </si>
  <si>
    <t>1720600000</t>
  </si>
  <si>
    <t>1720700000</t>
  </si>
  <si>
    <t>1720800000</t>
  </si>
  <si>
    <t>1720900000</t>
  </si>
  <si>
    <t>1721000000</t>
  </si>
  <si>
    <t>1721100000</t>
  </si>
  <si>
    <t>1721200000</t>
  </si>
  <si>
    <t>1721300000</t>
  </si>
  <si>
    <t>1721400000</t>
  </si>
  <si>
    <t>1721500000</t>
  </si>
  <si>
    <t>1721600000</t>
  </si>
  <si>
    <t>1721700000</t>
  </si>
  <si>
    <t>1721800000</t>
  </si>
  <si>
    <t>1730000000</t>
  </si>
  <si>
    <t>1730100000</t>
  </si>
  <si>
    <t>1740000000</t>
  </si>
  <si>
    <t>1740100000</t>
  </si>
  <si>
    <t>1750000000</t>
  </si>
  <si>
    <t>1750100000</t>
  </si>
  <si>
    <t>1760000000</t>
  </si>
  <si>
    <t>1760100000</t>
  </si>
  <si>
    <t>1760101000</t>
  </si>
  <si>
    <t>1760101001</t>
  </si>
  <si>
    <t>1770000000</t>
  </si>
  <si>
    <t>1770100000</t>
  </si>
  <si>
    <t>1780000000</t>
  </si>
  <si>
    <t>1780100000</t>
  </si>
  <si>
    <t>1790000000</t>
  </si>
  <si>
    <t>1790100000</t>
  </si>
  <si>
    <t>1800000000</t>
  </si>
  <si>
    <t>1800100000</t>
  </si>
  <si>
    <t>1810000000</t>
  </si>
  <si>
    <t>1810100000</t>
  </si>
  <si>
    <t>1820000000</t>
  </si>
  <si>
    <t>1820100000</t>
  </si>
  <si>
    <t>1830000000</t>
  </si>
  <si>
    <t>1830100000</t>
  </si>
  <si>
    <t>1830200000</t>
  </si>
  <si>
    <t>1830300000</t>
  </si>
  <si>
    <t>1830400000</t>
  </si>
  <si>
    <t>1830500000</t>
  </si>
  <si>
    <t>1830600000</t>
  </si>
  <si>
    <t>1830700000</t>
  </si>
  <si>
    <t>1830800000</t>
  </si>
  <si>
    <t>1830900000</t>
  </si>
  <si>
    <t>1831000000</t>
  </si>
  <si>
    <t>1831001000</t>
  </si>
  <si>
    <t>1831002000</t>
  </si>
  <si>
    <t>1831003000</t>
  </si>
  <si>
    <t>1831004000</t>
  </si>
  <si>
    <t>1840000000</t>
  </si>
  <si>
    <t>1840100000</t>
  </si>
  <si>
    <t>1840200000</t>
  </si>
  <si>
    <t>1840300000</t>
  </si>
  <si>
    <t>1850000000</t>
  </si>
  <si>
    <t>1850100000</t>
  </si>
  <si>
    <t>1860000000</t>
  </si>
  <si>
    <t>1860100000</t>
  </si>
  <si>
    <t>1860200000</t>
  </si>
  <si>
    <t>1860300000</t>
  </si>
  <si>
    <t>1860400000</t>
  </si>
  <si>
    <t>1860500000</t>
  </si>
  <si>
    <t>1860600000</t>
  </si>
  <si>
    <t>1860700000</t>
  </si>
  <si>
    <t>1860800000</t>
  </si>
  <si>
    <t>1860900000</t>
  </si>
  <si>
    <t>1861000000</t>
  </si>
  <si>
    <t>1870000000</t>
  </si>
  <si>
    <t>1870100000</t>
  </si>
  <si>
    <t>1880000000</t>
  </si>
  <si>
    <t>1880100000</t>
  </si>
  <si>
    <t>1880200000</t>
  </si>
  <si>
    <t>1880300000</t>
  </si>
  <si>
    <t>1890000000</t>
  </si>
  <si>
    <t>1890100000</t>
  </si>
  <si>
    <t>1900000000</t>
  </si>
  <si>
    <t>1900100000</t>
  </si>
  <si>
    <t>1910000000</t>
  </si>
  <si>
    <t>1910100000</t>
  </si>
  <si>
    <t>2000000000</t>
  </si>
  <si>
    <t>2000100000</t>
  </si>
  <si>
    <t>2010000000</t>
  </si>
  <si>
    <t>2010100000</t>
  </si>
  <si>
    <t>2010101000</t>
  </si>
  <si>
    <t>2010101001</t>
  </si>
  <si>
    <t>2010101002</t>
  </si>
  <si>
    <t>2010101003</t>
  </si>
  <si>
    <t>2010101004</t>
  </si>
  <si>
    <t>2010101005</t>
  </si>
  <si>
    <t>2010101006</t>
  </si>
  <si>
    <t>2010101007</t>
  </si>
  <si>
    <t>2010101008</t>
  </si>
  <si>
    <t>2010101009</t>
  </si>
  <si>
    <t>2010101010</t>
  </si>
  <si>
    <t>2010101011</t>
  </si>
  <si>
    <t>2010101012</t>
  </si>
  <si>
    <t>2010101013</t>
  </si>
  <si>
    <t>2010101014</t>
  </si>
  <si>
    <t>2010101015</t>
  </si>
  <si>
    <t>2010101016</t>
  </si>
  <si>
    <t>2010101017</t>
  </si>
  <si>
    <t>2010101018</t>
  </si>
  <si>
    <t>2010101021</t>
  </si>
  <si>
    <t>2010101022</t>
  </si>
  <si>
    <t>2010101023</t>
  </si>
  <si>
    <t>2010101024</t>
  </si>
  <si>
    <t>2010101027</t>
  </si>
  <si>
    <t>2010101030</t>
  </si>
  <si>
    <t>2010101032</t>
  </si>
  <si>
    <t>2010101033</t>
  </si>
  <si>
    <t>2010101034</t>
  </si>
  <si>
    <t>2010101035</t>
  </si>
  <si>
    <t>2010101036</t>
  </si>
  <si>
    <t>2010101037</t>
  </si>
  <si>
    <t>2010101038</t>
  </si>
  <si>
    <t>2010101039</t>
  </si>
  <si>
    <t>2010101040</t>
  </si>
  <si>
    <t>2010101041</t>
  </si>
  <si>
    <t>2010101042</t>
  </si>
  <si>
    <t>2010101043</t>
  </si>
  <si>
    <t>2010101044</t>
  </si>
  <si>
    <t>2010101045</t>
  </si>
  <si>
    <t>2010101046</t>
  </si>
  <si>
    <t>2010101047</t>
  </si>
  <si>
    <t>2010101048</t>
  </si>
  <si>
    <t>2010101049</t>
  </si>
  <si>
    <t>2010101050</t>
  </si>
  <si>
    <t>2010101051</t>
  </si>
  <si>
    <t>2010101052</t>
  </si>
  <si>
    <t>2010101053</t>
  </si>
  <si>
    <t>2010101054</t>
  </si>
  <si>
    <t>2010101055</t>
  </si>
  <si>
    <t>2010101056</t>
  </si>
  <si>
    <t>2010101057</t>
  </si>
  <si>
    <t>2010101058</t>
  </si>
  <si>
    <t>2010101059</t>
  </si>
  <si>
    <t>2010101060</t>
  </si>
  <si>
    <t>2010101061</t>
  </si>
  <si>
    <t>2010101100</t>
  </si>
  <si>
    <t>2010102000</t>
  </si>
  <si>
    <t>2010102001</t>
  </si>
  <si>
    <t>2010102002</t>
  </si>
  <si>
    <t>2010102003</t>
  </si>
  <si>
    <t>2010102004</t>
  </si>
  <si>
    <t>2010102005</t>
  </si>
  <si>
    <t>2010102006</t>
  </si>
  <si>
    <t>2010102007</t>
  </si>
  <si>
    <t>2010102008</t>
  </si>
  <si>
    <t>2010102009</t>
  </si>
  <si>
    <t>2010102010</t>
  </si>
  <si>
    <t>2010102011</t>
  </si>
  <si>
    <t>2010102012</t>
  </si>
  <si>
    <t>2010102013</t>
  </si>
  <si>
    <t>2010102014</t>
  </si>
  <si>
    <t>2010102015</t>
  </si>
  <si>
    <t>2010102016</t>
  </si>
  <si>
    <t>2010102017</t>
  </si>
  <si>
    <t>2010102018</t>
  </si>
  <si>
    <t>2010102019</t>
  </si>
  <si>
    <t>2010102020</t>
  </si>
  <si>
    <t>2010102021</t>
  </si>
  <si>
    <t>2010102022</t>
  </si>
  <si>
    <t>2010102023</t>
  </si>
  <si>
    <t>2010102024</t>
  </si>
  <si>
    <t>2010102025</t>
  </si>
  <si>
    <t>2010102026</t>
  </si>
  <si>
    <t>2010102027</t>
  </si>
  <si>
    <t>2010102028</t>
  </si>
  <si>
    <t>2010102029</t>
  </si>
  <si>
    <t>2010102030</t>
  </si>
  <si>
    <t>2010103000</t>
  </si>
  <si>
    <t>2010103001</t>
  </si>
  <si>
    <t>2010103002</t>
  </si>
  <si>
    <t>2010103003</t>
  </si>
  <si>
    <t>2010103004</t>
  </si>
  <si>
    <t>2010103005</t>
  </si>
  <si>
    <t>2010103006</t>
  </si>
  <si>
    <t>2010103007</t>
  </si>
  <si>
    <t>2010103008</t>
  </si>
  <si>
    <t>2010103009</t>
  </si>
  <si>
    <t>2010103010</t>
  </si>
  <si>
    <t>2010103011</t>
  </si>
  <si>
    <t>2010103012</t>
  </si>
  <si>
    <t>2010103013</t>
  </si>
  <si>
    <t>2010103014</t>
  </si>
  <si>
    <t>2010103015</t>
  </si>
  <si>
    <t>2010103016</t>
  </si>
  <si>
    <t>2010103017</t>
  </si>
  <si>
    <t>2010103018</t>
  </si>
  <si>
    <t>2010103019</t>
  </si>
  <si>
    <t>2010103020</t>
  </si>
  <si>
    <t>2010103022</t>
  </si>
  <si>
    <t>2010103023</t>
  </si>
  <si>
    <t>2010103024</t>
  </si>
  <si>
    <t>2010103025</t>
  </si>
  <si>
    <t>2010103026</t>
  </si>
  <si>
    <t>2010103027</t>
  </si>
  <si>
    <t>2010103028</t>
  </si>
  <si>
    <t>2010103029</t>
  </si>
  <si>
    <t>2010103030</t>
  </si>
  <si>
    <t>2010200000</t>
  </si>
  <si>
    <t>2010300000</t>
  </si>
  <si>
    <t>2010400000</t>
  </si>
  <si>
    <t>2020000000</t>
  </si>
  <si>
    <t>2020100000</t>
  </si>
  <si>
    <t>2020101000</t>
  </si>
  <si>
    <t>2020101001</t>
  </si>
  <si>
    <t>2020101002</t>
  </si>
  <si>
    <t>2020101003</t>
  </si>
  <si>
    <t>2020101004</t>
  </si>
  <si>
    <t>2020101005</t>
  </si>
  <si>
    <t>2020102000</t>
  </si>
  <si>
    <t>2020200000</t>
  </si>
  <si>
    <t>2020300000</t>
  </si>
  <si>
    <t>2020400000</t>
  </si>
  <si>
    <t>2020500000</t>
  </si>
  <si>
    <t>2020600000</t>
  </si>
  <si>
    <t>2020700000</t>
  </si>
  <si>
    <t>2020800000</t>
  </si>
  <si>
    <t>2020900000</t>
  </si>
  <si>
    <t>2021000000</t>
  </si>
  <si>
    <t>2021100000</t>
  </si>
  <si>
    <t>2021200000</t>
  </si>
  <si>
    <t>2030000000</t>
  </si>
  <si>
    <t>2030100000</t>
  </si>
  <si>
    <t>2030200000</t>
  </si>
  <si>
    <t>2030300000</t>
  </si>
  <si>
    <t>2030400000</t>
  </si>
  <si>
    <t>2030500000</t>
  </si>
  <si>
    <t>2030600000</t>
  </si>
  <si>
    <t>2030700000</t>
  </si>
  <si>
    <t>2030800000</t>
  </si>
  <si>
    <t>2030900000</t>
  </si>
  <si>
    <t>2031000000</t>
  </si>
  <si>
    <t>2031100000</t>
  </si>
  <si>
    <t>2031200000</t>
  </si>
  <si>
    <t>2031300000</t>
  </si>
  <si>
    <t>2031400000</t>
  </si>
  <si>
    <t>2031500000</t>
  </si>
  <si>
    <t>2031600000</t>
  </si>
  <si>
    <t>2031700000</t>
  </si>
  <si>
    <t>2031800000</t>
  </si>
  <si>
    <t>2040000000</t>
  </si>
  <si>
    <t>2040100000</t>
  </si>
  <si>
    <t>2040101000</t>
  </si>
  <si>
    <t>2040101001</t>
  </si>
  <si>
    <t>2050000000</t>
  </si>
  <si>
    <t>2050100000</t>
  </si>
  <si>
    <t>2050200000</t>
  </si>
  <si>
    <t>2050201000</t>
  </si>
  <si>
    <t>2050201001</t>
  </si>
  <si>
    <t>2050201002</t>
  </si>
  <si>
    <t>2050201003</t>
  </si>
  <si>
    <t>2050201004</t>
  </si>
  <si>
    <t>2050201005</t>
  </si>
  <si>
    <t>2050201006</t>
  </si>
  <si>
    <t>2050201007</t>
  </si>
  <si>
    <t>2050201009</t>
  </si>
  <si>
    <t>2050201010</t>
  </si>
  <si>
    <t>2050201011</t>
  </si>
  <si>
    <t>2050201012</t>
  </si>
  <si>
    <t>2050201013</t>
  </si>
  <si>
    <t>2050201014</t>
  </si>
  <si>
    <t>2050201015</t>
  </si>
  <si>
    <t>2050201016</t>
  </si>
  <si>
    <t>2050201017</t>
  </si>
  <si>
    <t>2050201018</t>
  </si>
  <si>
    <t>2050201019</t>
  </si>
  <si>
    <t>2050201020</t>
  </si>
  <si>
    <t>2050201021</t>
  </si>
  <si>
    <t>2050201022</t>
  </si>
  <si>
    <t>2050201023</t>
  </si>
  <si>
    <t>2050201024</t>
  </si>
  <si>
    <t>2050201025</t>
  </si>
  <si>
    <t>2050201026</t>
  </si>
  <si>
    <t>2050201027</t>
  </si>
  <si>
    <t>2050201028</t>
  </si>
  <si>
    <t>2050201029</t>
  </si>
  <si>
    <t>2050201030</t>
  </si>
  <si>
    <t>2050201031</t>
  </si>
  <si>
    <t>2050201032</t>
  </si>
  <si>
    <t>2050201033</t>
  </si>
  <si>
    <t>2050201034</t>
  </si>
  <si>
    <t>2050201035</t>
  </si>
  <si>
    <t>2050201036</t>
  </si>
  <si>
    <t>2050201037</t>
  </si>
  <si>
    <t>2050201038</t>
  </si>
  <si>
    <t>2050201039</t>
  </si>
  <si>
    <t>2050201040</t>
  </si>
  <si>
    <t>2050201041</t>
  </si>
  <si>
    <t>2050201042</t>
  </si>
  <si>
    <t>2050201043</t>
  </si>
  <si>
    <t>2050201044</t>
  </si>
  <si>
    <t>2050201045</t>
  </si>
  <si>
    <t>2050201046</t>
  </si>
  <si>
    <t>2050201047</t>
  </si>
  <si>
    <t>2050201048</t>
  </si>
  <si>
    <t>2050201049</t>
  </si>
  <si>
    <t>2050201050</t>
  </si>
  <si>
    <t>2050201051</t>
  </si>
  <si>
    <t>2050201052</t>
  </si>
  <si>
    <t>2050201053</t>
  </si>
  <si>
    <t>2050201054</t>
  </si>
  <si>
    <t>2050201055</t>
  </si>
  <si>
    <t>2050201100</t>
  </si>
  <si>
    <t>2050203003</t>
  </si>
  <si>
    <t>2050202000</t>
  </si>
  <si>
    <t>2050202100</t>
  </si>
  <si>
    <t>2050202101</t>
  </si>
  <si>
    <t>2050202102</t>
  </si>
  <si>
    <t>2050202103</t>
  </si>
  <si>
    <t>2050202200</t>
  </si>
  <si>
    <t>2050202201</t>
  </si>
  <si>
    <t>2050202202</t>
  </si>
  <si>
    <t>2050202203</t>
  </si>
  <si>
    <t>2050300000</t>
  </si>
  <si>
    <t>2050400000</t>
  </si>
  <si>
    <t>2050500000</t>
  </si>
  <si>
    <t>2050600000</t>
  </si>
  <si>
    <t>2060000000</t>
  </si>
  <si>
    <t>2060100000</t>
  </si>
  <si>
    <t>2060101000</t>
  </si>
  <si>
    <t>2060101001</t>
  </si>
  <si>
    <t>2060101002</t>
  </si>
  <si>
    <t>2060101003</t>
  </si>
  <si>
    <t>2060102000</t>
  </si>
  <si>
    <t>2060102100</t>
  </si>
  <si>
    <t>2060102101</t>
  </si>
  <si>
    <t>2060102200</t>
  </si>
  <si>
    <t>2060102201</t>
  </si>
  <si>
    <t>2060200000</t>
  </si>
  <si>
    <t>2060300000</t>
  </si>
  <si>
    <t>2060400000</t>
  </si>
  <si>
    <t>2060500000</t>
  </si>
  <si>
    <t>2070000000</t>
  </si>
  <si>
    <t>2070100000</t>
  </si>
  <si>
    <t>2070200000</t>
  </si>
  <si>
    <t>2080000000</t>
  </si>
  <si>
    <t>2080100000</t>
  </si>
  <si>
    <t>2080200000</t>
  </si>
  <si>
    <t>2090000000</t>
  </si>
  <si>
    <t>2090100000</t>
  </si>
  <si>
    <t>2090200000</t>
  </si>
  <si>
    <t>2100000000</t>
  </si>
  <si>
    <t>2100100000</t>
  </si>
  <si>
    <t>2100200000</t>
  </si>
  <si>
    <t>2100300000</t>
  </si>
  <si>
    <t>2100400000</t>
  </si>
  <si>
    <t>2100500000</t>
  </si>
  <si>
    <t>2100600000</t>
  </si>
  <si>
    <t>2100700000</t>
  </si>
  <si>
    <t>2110000000</t>
  </si>
  <si>
    <t>2110100000</t>
  </si>
  <si>
    <t>2110200000</t>
  </si>
  <si>
    <t>2110300000</t>
  </si>
  <si>
    <t>2120000000</t>
  </si>
  <si>
    <t>2120100000</t>
  </si>
  <si>
    <t>2130000000</t>
  </si>
  <si>
    <t>2130100000</t>
  </si>
  <si>
    <t>2130200000</t>
  </si>
  <si>
    <t>2130300000</t>
  </si>
  <si>
    <t>2130400000</t>
  </si>
  <si>
    <t>2130500000</t>
  </si>
  <si>
    <t>2130600000</t>
  </si>
  <si>
    <t>2130700000</t>
  </si>
  <si>
    <t>2140000000</t>
  </si>
  <si>
    <t>2140100000</t>
  </si>
  <si>
    <t>2150000000</t>
  </si>
  <si>
    <t>2150100000</t>
  </si>
  <si>
    <t>2150200000</t>
  </si>
  <si>
    <t>2150300000</t>
  </si>
  <si>
    <t>2160000000</t>
  </si>
  <si>
    <t>2160100000</t>
  </si>
  <si>
    <t>2160200000</t>
  </si>
  <si>
    <t>2160300000</t>
  </si>
  <si>
    <t>2160301000</t>
  </si>
  <si>
    <t>2160302000</t>
  </si>
  <si>
    <t>2160400000</t>
  </si>
  <si>
    <t>2160401000</t>
  </si>
  <si>
    <t>2160402000</t>
  </si>
  <si>
    <t>2160500000</t>
  </si>
  <si>
    <t>2160600000</t>
  </si>
  <si>
    <t>2160700000</t>
  </si>
  <si>
    <t>2160800000</t>
  </si>
  <si>
    <t>2160900000</t>
  </si>
  <si>
    <t>2161000000</t>
  </si>
  <si>
    <t>2161001000</t>
  </si>
  <si>
    <t>2161001001</t>
  </si>
  <si>
    <t>2161001002</t>
  </si>
  <si>
    <t>2161001003</t>
  </si>
  <si>
    <t>2161002000</t>
  </si>
  <si>
    <t>2161002001</t>
  </si>
  <si>
    <t>2161002002</t>
  </si>
  <si>
    <t>2161002003</t>
  </si>
  <si>
    <t>2161100000</t>
  </si>
  <si>
    <t>2161200000</t>
  </si>
  <si>
    <t>2161201000</t>
  </si>
  <si>
    <t>2161300000</t>
  </si>
  <si>
    <t>2161300001</t>
  </si>
  <si>
    <t>2161300002</t>
  </si>
  <si>
    <t>2161300003</t>
  </si>
  <si>
    <t>2161300004</t>
  </si>
  <si>
    <t>2161300005</t>
  </si>
  <si>
    <t>2161300006</t>
  </si>
  <si>
    <t>2161300007</t>
  </si>
  <si>
    <t>2161300008</t>
  </si>
  <si>
    <t>2161300009</t>
  </si>
  <si>
    <t>2161300010</t>
  </si>
  <si>
    <t>2161300011</t>
  </si>
  <si>
    <t>2161300012</t>
  </si>
  <si>
    <t>2161300013</t>
  </si>
  <si>
    <t>2161300014</t>
  </si>
  <si>
    <t>2161300015</t>
  </si>
  <si>
    <t>2161300016</t>
  </si>
  <si>
    <t>2161300017</t>
  </si>
  <si>
    <t>2161300018</t>
  </si>
  <si>
    <t>2161300019</t>
  </si>
  <si>
    <t>2161300020</t>
  </si>
  <si>
    <t>2161300021</t>
  </si>
  <si>
    <t>2161300022</t>
  </si>
  <si>
    <t>2161300023</t>
  </si>
  <si>
    <t>2161300024</t>
  </si>
  <si>
    <t>2161300025</t>
  </si>
  <si>
    <t>2161300026</t>
  </si>
  <si>
    <t>2161300027</t>
  </si>
  <si>
    <t>2161300028</t>
  </si>
  <si>
    <t>2161300100</t>
  </si>
  <si>
    <t>2161400000</t>
  </si>
  <si>
    <t>2161401000</t>
  </si>
  <si>
    <t>2161402000</t>
  </si>
  <si>
    <t>2170000000</t>
  </si>
  <si>
    <t>2170100000</t>
  </si>
  <si>
    <t>2170100001</t>
  </si>
  <si>
    <t>2170100002</t>
  </si>
  <si>
    <t>2170100003</t>
  </si>
  <si>
    <t>2170100004</t>
  </si>
  <si>
    <t>2180000000</t>
  </si>
  <si>
    <t>2180100000</t>
  </si>
  <si>
    <t>2180100001</t>
  </si>
  <si>
    <t>2180100002</t>
  </si>
  <si>
    <t>2180100003</t>
  </si>
  <si>
    <t>2180100004</t>
  </si>
  <si>
    <t>2180101000</t>
  </si>
  <si>
    <t>2180101001</t>
  </si>
  <si>
    <t>2180102000</t>
  </si>
  <si>
    <t>2180102001</t>
  </si>
  <si>
    <t>2180102002</t>
  </si>
  <si>
    <t>2180102003</t>
  </si>
  <si>
    <t>2000200000</t>
  </si>
  <si>
    <t>2510000000</t>
  </si>
  <si>
    <t>2510100000</t>
  </si>
  <si>
    <t>2510200000</t>
  </si>
  <si>
    <t>2510300000</t>
  </si>
  <si>
    <t>2510400000</t>
  </si>
  <si>
    <t>2510500000</t>
  </si>
  <si>
    <t>2510600000</t>
  </si>
  <si>
    <t>2520000000</t>
  </si>
  <si>
    <t>2520100000</t>
  </si>
  <si>
    <t>2520101000</t>
  </si>
  <si>
    <t>2520101001</t>
  </si>
  <si>
    <t>2520101002</t>
  </si>
  <si>
    <t>2520101003</t>
  </si>
  <si>
    <t>2520101004</t>
  </si>
  <si>
    <t>2520101005</t>
  </si>
  <si>
    <t>2520101006</t>
  </si>
  <si>
    <t>2520101007</t>
  </si>
  <si>
    <t>2520101008</t>
  </si>
  <si>
    <t>2520101009</t>
  </si>
  <si>
    <t>2520101010</t>
  </si>
  <si>
    <t>2520101011</t>
  </si>
  <si>
    <t>2520200000</t>
  </si>
  <si>
    <t>2520300000</t>
  </si>
  <si>
    <t>2520400000</t>
  </si>
  <si>
    <t>2520500000</t>
  </si>
  <si>
    <t>2520600000</t>
  </si>
  <si>
    <t>2520700000</t>
  </si>
  <si>
    <t>2520800000</t>
  </si>
  <si>
    <t>2520900000</t>
  </si>
  <si>
    <t>2521000000</t>
  </si>
  <si>
    <t>2521100000</t>
  </si>
  <si>
    <t>2521200000</t>
  </si>
  <si>
    <t>2521300000</t>
  </si>
  <si>
    <t>2521400000</t>
  </si>
  <si>
    <t>2521500000</t>
  </si>
  <si>
    <t>2521600000</t>
  </si>
  <si>
    <t>2521700000</t>
  </si>
  <si>
    <t>2521701000</t>
  </si>
  <si>
    <t>2521701001</t>
  </si>
  <si>
    <t>2521701002</t>
  </si>
  <si>
    <t>2521701003</t>
  </si>
  <si>
    <t>2521702000</t>
  </si>
  <si>
    <t>2521702001</t>
  </si>
  <si>
    <t>2521702002</t>
  </si>
  <si>
    <t>2521702003</t>
  </si>
  <si>
    <t>2521702004</t>
  </si>
  <si>
    <t>2521702005</t>
  </si>
  <si>
    <t>2521702006</t>
  </si>
  <si>
    <t>2521702007</t>
  </si>
  <si>
    <t>2521702008</t>
  </si>
  <si>
    <t>2521702009</t>
  </si>
  <si>
    <t>2521702010</t>
  </si>
  <si>
    <t>2521702011</t>
  </si>
  <si>
    <t>2521702012</t>
  </si>
  <si>
    <t>2521702013</t>
  </si>
  <si>
    <t>2521702014</t>
  </si>
  <si>
    <t>2521702015</t>
  </si>
  <si>
    <t>2521702016</t>
  </si>
  <si>
    <t>2521703000</t>
  </si>
  <si>
    <t>2521703001</t>
  </si>
  <si>
    <t>2521704000</t>
  </si>
  <si>
    <t>2521704001</t>
  </si>
  <si>
    <t>2530000000</t>
  </si>
  <si>
    <t>2530100000</t>
  </si>
  <si>
    <t>2530200000</t>
  </si>
  <si>
    <t>2530300000</t>
  </si>
  <si>
    <t>2530400000</t>
  </si>
  <si>
    <t>2530500000</t>
  </si>
  <si>
    <t>2530600000</t>
  </si>
  <si>
    <t>2530700000</t>
  </si>
  <si>
    <t>2530800000</t>
  </si>
  <si>
    <t>2530900000</t>
  </si>
  <si>
    <t>2531000000</t>
  </si>
  <si>
    <t>2531100000</t>
  </si>
  <si>
    <t>2531200000</t>
  </si>
  <si>
    <t>2531300000</t>
  </si>
  <si>
    <t>2531400000</t>
  </si>
  <si>
    <t>2531500000</t>
  </si>
  <si>
    <t>2531600000</t>
  </si>
  <si>
    <t>2531700000</t>
  </si>
  <si>
    <t>2531800000</t>
  </si>
  <si>
    <t>2540000000</t>
  </si>
  <si>
    <t>2540100000</t>
  </si>
  <si>
    <t>2550000000</t>
  </si>
  <si>
    <t>2550100000</t>
  </si>
  <si>
    <t>2560000000</t>
  </si>
  <si>
    <t>2560100000</t>
  </si>
  <si>
    <t>2570000000</t>
  </si>
  <si>
    <t>2570100000</t>
  </si>
  <si>
    <t>2580000000</t>
  </si>
  <si>
    <t>2580100000</t>
  </si>
  <si>
    <t>2590000000</t>
  </si>
  <si>
    <t>2590100000</t>
  </si>
  <si>
    <t>2590200000</t>
  </si>
  <si>
    <t>2590300000</t>
  </si>
  <si>
    <t>2600000000</t>
  </si>
  <si>
    <t>2600100000</t>
  </si>
  <si>
    <t>3000000000</t>
  </si>
  <si>
    <t>3010000000</t>
  </si>
  <si>
    <t>3010100000</t>
  </si>
  <si>
    <t>3010100001</t>
  </si>
  <si>
    <t>3010100002</t>
  </si>
  <si>
    <t>3010100003</t>
  </si>
  <si>
    <t>3010200000</t>
  </si>
  <si>
    <t>3010200001</t>
  </si>
  <si>
    <t>3010200002</t>
  </si>
  <si>
    <t>3010200003</t>
  </si>
  <si>
    <t>3010300000</t>
  </si>
  <si>
    <t>3010400000</t>
  </si>
  <si>
    <t>3010500000</t>
  </si>
  <si>
    <t>3020000000</t>
  </si>
  <si>
    <t>3020100000</t>
  </si>
  <si>
    <t>3020200000</t>
  </si>
  <si>
    <t>3020300000</t>
  </si>
  <si>
    <t>3030000000</t>
  </si>
  <si>
    <t>3030100000</t>
  </si>
  <si>
    <t>3040000000</t>
  </si>
  <si>
    <t>3040100000</t>
  </si>
  <si>
    <t>3040200000</t>
  </si>
  <si>
    <t>3040201000</t>
  </si>
  <si>
    <t>3040202000</t>
  </si>
  <si>
    <t>3040300000</t>
  </si>
  <si>
    <t>3040400000</t>
  </si>
  <si>
    <t>3050000000</t>
  </si>
  <si>
    <t>3050100000</t>
  </si>
  <si>
    <t>3050200000</t>
  </si>
  <si>
    <t>3050300000</t>
  </si>
  <si>
    <t>3060000000</t>
  </si>
  <si>
    <t>3060100000</t>
  </si>
  <si>
    <t>4000000000</t>
  </si>
  <si>
    <t>4010000000</t>
  </si>
  <si>
    <t>4010100000</t>
  </si>
  <si>
    <t>4010101000</t>
  </si>
  <si>
    <t>4010102000</t>
  </si>
  <si>
    <t>4010103000</t>
  </si>
  <si>
    <t>4010103001</t>
  </si>
  <si>
    <t>4010103002</t>
  </si>
  <si>
    <t>4020000000</t>
  </si>
  <si>
    <t>4020100000</t>
  </si>
  <si>
    <t>4020100001</t>
  </si>
  <si>
    <t>4020100002</t>
  </si>
  <si>
    <t>4020100003</t>
  </si>
  <si>
    <t>4020100004</t>
  </si>
  <si>
    <t>4020100005</t>
  </si>
  <si>
    <t>4020100006</t>
  </si>
  <si>
    <t>4020100007</t>
  </si>
  <si>
    <t>4020100008</t>
  </si>
  <si>
    <t>4020100009</t>
  </si>
  <si>
    <t>4030000000</t>
  </si>
  <si>
    <t>4030100000</t>
  </si>
  <si>
    <t>4030101000</t>
  </si>
  <si>
    <t>4030102000</t>
  </si>
  <si>
    <t>4030200000</t>
  </si>
  <si>
    <t>4030300000</t>
  </si>
  <si>
    <t>4030400000</t>
  </si>
  <si>
    <t>4030500000</t>
  </si>
  <si>
    <t>5000000000</t>
  </si>
  <si>
    <t>5010000000</t>
  </si>
  <si>
    <t>5010100000</t>
  </si>
  <si>
    <t>5010101000</t>
  </si>
  <si>
    <t>5010102000</t>
  </si>
  <si>
    <t>5010200000</t>
  </si>
  <si>
    <t>5010300000</t>
  </si>
  <si>
    <t>5010301000</t>
  </si>
  <si>
    <t>5010400000</t>
  </si>
  <si>
    <t>5010401000</t>
  </si>
  <si>
    <t>5010402000</t>
  </si>
  <si>
    <t>5010403000</t>
  </si>
  <si>
    <t>5010404000</t>
  </si>
  <si>
    <t>5010405000</t>
  </si>
  <si>
    <t>5010406000</t>
  </si>
  <si>
    <t>5010407000</t>
  </si>
  <si>
    <t>5010408000</t>
  </si>
  <si>
    <t>5010409000</t>
  </si>
  <si>
    <t>5010410000</t>
  </si>
  <si>
    <t>5010411000</t>
  </si>
  <si>
    <t>5010412000</t>
  </si>
  <si>
    <t>5010413000</t>
  </si>
  <si>
    <t>5010414000</t>
  </si>
  <si>
    <t>5010415000</t>
  </si>
  <si>
    <t>5010416000</t>
  </si>
  <si>
    <t>5010417000</t>
  </si>
  <si>
    <t>5010418000</t>
  </si>
  <si>
    <t>5010419000</t>
  </si>
  <si>
    <t>5010420000</t>
  </si>
  <si>
    <t>5010421000</t>
  </si>
  <si>
    <t>5010422000</t>
  </si>
  <si>
    <t>5010423000</t>
  </si>
  <si>
    <t>5010424000</t>
  </si>
  <si>
    <t>5010425000</t>
  </si>
  <si>
    <t>5010426000</t>
  </si>
  <si>
    <t>5010427000</t>
  </si>
  <si>
    <t>5010428000</t>
  </si>
  <si>
    <t>5010429000</t>
  </si>
  <si>
    <t>5010430000</t>
  </si>
  <si>
    <t>5010431000</t>
  </si>
  <si>
    <t>5010500000</t>
  </si>
  <si>
    <t>5010501000</t>
  </si>
  <si>
    <t>5010502000</t>
  </si>
  <si>
    <t>5010503000</t>
  </si>
  <si>
    <t>5010504000</t>
  </si>
  <si>
    <t>5010505000</t>
  </si>
  <si>
    <t>5010506000</t>
  </si>
  <si>
    <t>5010600000</t>
  </si>
  <si>
    <t>5010601000</t>
  </si>
  <si>
    <t>5010601001</t>
  </si>
  <si>
    <t>5010601002</t>
  </si>
  <si>
    <t>5010601003</t>
  </si>
  <si>
    <t>5010602000</t>
  </si>
  <si>
    <t>5010603000</t>
  </si>
  <si>
    <t>5010800000</t>
  </si>
  <si>
    <t>5020000000</t>
  </si>
  <si>
    <t>5020100000</t>
  </si>
  <si>
    <t>5020200000</t>
  </si>
  <si>
    <t>5020300000</t>
  </si>
  <si>
    <t>5020400000</t>
  </si>
  <si>
    <t>5030000000</t>
  </si>
  <si>
    <t>5030100000</t>
  </si>
  <si>
    <t>5040000000</t>
  </si>
  <si>
    <t>5040100000</t>
  </si>
  <si>
    <t>5040101000</t>
  </si>
  <si>
    <t>5040102000</t>
  </si>
  <si>
    <t>5040103000</t>
  </si>
  <si>
    <t>5040104000</t>
  </si>
  <si>
    <t>5040105000</t>
  </si>
  <si>
    <t>5040106000</t>
  </si>
  <si>
    <t>5040107000</t>
  </si>
  <si>
    <t>5040108000</t>
  </si>
  <si>
    <t>5040109000</t>
  </si>
  <si>
    <t>5040110000</t>
  </si>
  <si>
    <t>5040111000</t>
  </si>
  <si>
    <t>5040112000</t>
  </si>
  <si>
    <t>5040113000</t>
  </si>
  <si>
    <t>5040114000</t>
  </si>
  <si>
    <t>5040115000</t>
  </si>
  <si>
    <t>5040116000</t>
  </si>
  <si>
    <t>5040117000</t>
  </si>
  <si>
    <t>5040118000</t>
  </si>
  <si>
    <t>5040119000</t>
  </si>
  <si>
    <t>5040120000</t>
  </si>
  <si>
    <t>5040121000</t>
  </si>
  <si>
    <t>5040122000</t>
  </si>
  <si>
    <t>5040124000</t>
  </si>
  <si>
    <t>5040125000</t>
  </si>
  <si>
    <t>5040126000</t>
  </si>
  <si>
    <t>5040127000</t>
  </si>
  <si>
    <t>5040128000</t>
  </si>
  <si>
    <t>5040129000</t>
  </si>
  <si>
    <t>5040130000</t>
  </si>
  <si>
    <t>5040131000</t>
  </si>
  <si>
    <t>5040200000</t>
  </si>
  <si>
    <t>5040200001</t>
  </si>
  <si>
    <t>5040200002</t>
  </si>
  <si>
    <t>5040200003</t>
  </si>
  <si>
    <t>5040200004</t>
  </si>
  <si>
    <t>5040200005</t>
  </si>
  <si>
    <t>5040200006</t>
  </si>
  <si>
    <t>5040300000</t>
  </si>
  <si>
    <t>5040301000</t>
  </si>
  <si>
    <t>5040302000</t>
  </si>
  <si>
    <t>5040303000</t>
  </si>
  <si>
    <t>5040304000</t>
  </si>
  <si>
    <t>5040305000</t>
  </si>
  <si>
    <t>5040306000</t>
  </si>
  <si>
    <t>5040306001</t>
  </si>
  <si>
    <t>5040306002</t>
  </si>
  <si>
    <t>5040306003</t>
  </si>
  <si>
    <t>5040306004</t>
  </si>
  <si>
    <t>5040307000</t>
  </si>
  <si>
    <t>5040308000</t>
  </si>
  <si>
    <t>5040309000</t>
  </si>
  <si>
    <t>5040310000</t>
  </si>
  <si>
    <t>5040400000</t>
  </si>
  <si>
    <t>5040123000</t>
  </si>
  <si>
    <t>5040401000</t>
  </si>
  <si>
    <t>5040402000</t>
  </si>
  <si>
    <t>5040403000</t>
  </si>
  <si>
    <t>5040404000</t>
  </si>
  <si>
    <t>5040405000</t>
  </si>
  <si>
    <t>5040406000</t>
  </si>
  <si>
    <t>5040407000</t>
  </si>
  <si>
    <t>5040408000</t>
  </si>
  <si>
    <t>5040409000</t>
  </si>
  <si>
    <t>5040410000</t>
  </si>
  <si>
    <t>5040411000</t>
  </si>
  <si>
    <t>5040412000</t>
  </si>
  <si>
    <t>5040413000</t>
  </si>
  <si>
    <t>5040414000</t>
  </si>
  <si>
    <t>5040415000</t>
  </si>
  <si>
    <t>5040416000</t>
  </si>
  <si>
    <t>5040417000</t>
  </si>
  <si>
    <t>5040418000</t>
  </si>
  <si>
    <t>5040419000</t>
  </si>
  <si>
    <t>5040420000</t>
  </si>
  <si>
    <t>5040421000</t>
  </si>
  <si>
    <t>5040422000</t>
  </si>
  <si>
    <t>5040423000</t>
  </si>
  <si>
    <t>5040424000</t>
  </si>
  <si>
    <t>5040425000</t>
  </si>
  <si>
    <t>5040426000</t>
  </si>
  <si>
    <t>5040427000</t>
  </si>
  <si>
    <t>5040428000</t>
  </si>
  <si>
    <t>5040429000</t>
  </si>
  <si>
    <t>5040430000</t>
  </si>
  <si>
    <t>5040431000</t>
  </si>
  <si>
    <t>5040500000</t>
  </si>
  <si>
    <t>5040501000</t>
  </si>
  <si>
    <t>5040502000</t>
  </si>
  <si>
    <t>5040503000</t>
  </si>
  <si>
    <t>5040504000</t>
  </si>
  <si>
    <t>5040505000</t>
  </si>
  <si>
    <t>5040506000</t>
  </si>
  <si>
    <t>5040600000</t>
  </si>
  <si>
    <t>5040601000</t>
  </si>
  <si>
    <t>5040602000</t>
  </si>
  <si>
    <t>5040603000</t>
  </si>
  <si>
    <t>5040604000</t>
  </si>
  <si>
    <t>5040605000</t>
  </si>
  <si>
    <t>5040606000</t>
  </si>
  <si>
    <t>5040607000</t>
  </si>
  <si>
    <t>5040608000</t>
  </si>
  <si>
    <t>5040609000</t>
  </si>
  <si>
    <t>5040610000</t>
  </si>
  <si>
    <t>5040611000</t>
  </si>
  <si>
    <t>5040612000</t>
  </si>
  <si>
    <t>5040613000</t>
  </si>
  <si>
    <t>5040614000</t>
  </si>
  <si>
    <t>5040615000</t>
  </si>
  <si>
    <t>5040616000</t>
  </si>
  <si>
    <t>5040617000</t>
  </si>
  <si>
    <t>5040618000</t>
  </si>
  <si>
    <t>5040619000</t>
  </si>
  <si>
    <t>5040620000</t>
  </si>
  <si>
    <t>5040621000</t>
  </si>
  <si>
    <t>5040622000</t>
  </si>
  <si>
    <t>5040623000</t>
  </si>
  <si>
    <t>5040624000</t>
  </si>
  <si>
    <t>5040625000</t>
  </si>
  <si>
    <t>5040626000</t>
  </si>
  <si>
    <t>5040627000</t>
  </si>
  <si>
    <t>5040628000</t>
  </si>
  <si>
    <t>5040629000</t>
  </si>
  <si>
    <t>5040630000</t>
  </si>
  <si>
    <t>5040631000</t>
  </si>
  <si>
    <t>5040700000</t>
  </si>
  <si>
    <t>5040700001</t>
  </si>
  <si>
    <t>5040700002</t>
  </si>
  <si>
    <t>5040700003</t>
  </si>
  <si>
    <t>5040700004</t>
  </si>
  <si>
    <t>5040700005</t>
  </si>
  <si>
    <t>5040700006</t>
  </si>
  <si>
    <t>5040800000</t>
  </si>
  <si>
    <t>5040900000</t>
  </si>
  <si>
    <t>5041000000</t>
  </si>
  <si>
    <t>5041100000</t>
  </si>
  <si>
    <t>5041200000</t>
  </si>
  <si>
    <t>5041300000</t>
  </si>
  <si>
    <t>5041400000</t>
  </si>
  <si>
    <t>5041500000</t>
  </si>
  <si>
    <t>5041600000</t>
  </si>
  <si>
    <t>5041700000</t>
  </si>
  <si>
    <t>5041800000</t>
  </si>
  <si>
    <t>5041900000</t>
  </si>
  <si>
    <t>5042000000</t>
  </si>
  <si>
    <t>5042100000</t>
  </si>
  <si>
    <t>5042200000</t>
  </si>
  <si>
    <t>5042300000</t>
  </si>
  <si>
    <t>5042400000</t>
  </si>
  <si>
    <t>5042500000</t>
  </si>
  <si>
    <t>5050000000</t>
  </si>
  <si>
    <t>5050100000</t>
  </si>
  <si>
    <t>5050200000</t>
  </si>
  <si>
    <t>6000000000</t>
  </si>
  <si>
    <t>6010000000</t>
  </si>
  <si>
    <t>6010100000</t>
  </si>
  <si>
    <t>6010101000</t>
  </si>
  <si>
    <t>6010102000</t>
  </si>
  <si>
    <t>6010103000</t>
  </si>
  <si>
    <t>6010104000</t>
  </si>
  <si>
    <t>6010105000</t>
  </si>
  <si>
    <t>6010106000</t>
  </si>
  <si>
    <t>6010107000</t>
  </si>
  <si>
    <t>6010108000</t>
  </si>
  <si>
    <t>6010109000</t>
  </si>
  <si>
    <t>6010110000</t>
  </si>
  <si>
    <t>6010111000</t>
  </si>
  <si>
    <t>6010112000</t>
  </si>
  <si>
    <t>6010113000</t>
  </si>
  <si>
    <t>6010114000</t>
  </si>
  <si>
    <t>6010115000</t>
  </si>
  <si>
    <t>6010116000</t>
  </si>
  <si>
    <t>6010117000</t>
  </si>
  <si>
    <t>6010118000</t>
  </si>
  <si>
    <t>6010119000</t>
  </si>
  <si>
    <t>6010120000</t>
  </si>
  <si>
    <t>6010121000</t>
  </si>
  <si>
    <t>6010122000</t>
  </si>
  <si>
    <t>6010123000</t>
  </si>
  <si>
    <t>6010124000</t>
  </si>
  <si>
    <t>6010125000</t>
  </si>
  <si>
    <t>6010126000</t>
  </si>
  <si>
    <t>6010127000</t>
  </si>
  <si>
    <t>6010128000</t>
  </si>
  <si>
    <t>6010129000</t>
  </si>
  <si>
    <t>6010130000</t>
  </si>
  <si>
    <t>6010131000</t>
  </si>
  <si>
    <t>6010200000</t>
  </si>
  <si>
    <t>6010300000</t>
  </si>
  <si>
    <t>6010400000</t>
  </si>
  <si>
    <t>6010500000</t>
  </si>
  <si>
    <t>6010600000</t>
  </si>
  <si>
    <t>6010700000</t>
  </si>
  <si>
    <t>6010800000</t>
  </si>
  <si>
    <t>6010900000</t>
  </si>
  <si>
    <t>6011000000</t>
  </si>
  <si>
    <t>6011100000</t>
  </si>
  <si>
    <t>6011200000</t>
  </si>
  <si>
    <t>6011300000</t>
  </si>
  <si>
    <t>6011400000</t>
  </si>
  <si>
    <t>6011500000</t>
  </si>
  <si>
    <t>6011600000</t>
  </si>
  <si>
    <t>6011700000</t>
  </si>
  <si>
    <t>6011800000</t>
  </si>
  <si>
    <t>6011900000</t>
  </si>
  <si>
    <t>6012000000</t>
  </si>
  <si>
    <t>6012100000</t>
  </si>
  <si>
    <t>6012200000</t>
  </si>
  <si>
    <t>6012300000</t>
  </si>
  <si>
    <t>6012500000</t>
  </si>
  <si>
    <t>6012500001</t>
  </si>
  <si>
    <t>6012600000</t>
  </si>
  <si>
    <t>6012700000</t>
  </si>
  <si>
    <t>6012800000</t>
  </si>
  <si>
    <t>6012900000</t>
  </si>
  <si>
    <t>6013000000</t>
  </si>
  <si>
    <t>6013100000</t>
  </si>
  <si>
    <t>6013200000</t>
  </si>
  <si>
    <t>6013300000</t>
  </si>
  <si>
    <t>6013400000</t>
  </si>
  <si>
    <t>6013500000</t>
  </si>
  <si>
    <t>6013600000</t>
  </si>
  <si>
    <t>6013700000</t>
  </si>
  <si>
    <t>6013800000</t>
  </si>
  <si>
    <t>6013900000</t>
  </si>
  <si>
    <t>6014000000</t>
  </si>
  <si>
    <t>6014100000</t>
  </si>
  <si>
    <t>6014200000</t>
  </si>
  <si>
    <t>6014300000</t>
  </si>
  <si>
    <t>6014400000</t>
  </si>
  <si>
    <t>6014500000</t>
  </si>
  <si>
    <t>6014501000</t>
  </si>
  <si>
    <t>6014502000</t>
  </si>
  <si>
    <t>6014600000</t>
  </si>
  <si>
    <t>6014700000</t>
  </si>
  <si>
    <t>6014800000</t>
  </si>
  <si>
    <t>6014900000</t>
  </si>
  <si>
    <t>6015000000</t>
  </si>
  <si>
    <t>6015100000</t>
  </si>
  <si>
    <t>6015200000</t>
  </si>
  <si>
    <t>6015300000</t>
  </si>
  <si>
    <t>6015400000</t>
  </si>
  <si>
    <t>6015500000</t>
  </si>
  <si>
    <t>6015600000</t>
  </si>
  <si>
    <t>6015601000</t>
  </si>
  <si>
    <t>6015602000</t>
  </si>
  <si>
    <t>6015603000</t>
  </si>
  <si>
    <t>6015700000</t>
  </si>
  <si>
    <t>6015800000</t>
  </si>
  <si>
    <t>6015900000</t>
  </si>
  <si>
    <t>6016000000</t>
  </si>
  <si>
    <t>6016100000</t>
  </si>
  <si>
    <t>6016100002</t>
  </si>
  <si>
    <t>6016200000</t>
  </si>
  <si>
    <t>6016300000</t>
  </si>
  <si>
    <t>6016400000</t>
  </si>
  <si>
    <t>6016500000</t>
  </si>
  <si>
    <t>6016600000</t>
  </si>
  <si>
    <t>6016700000</t>
  </si>
  <si>
    <t>6016800000</t>
  </si>
  <si>
    <t>6016900000</t>
  </si>
  <si>
    <t>6017000000</t>
  </si>
  <si>
    <t>6017100000</t>
  </si>
  <si>
    <t>6017200000</t>
  </si>
  <si>
    <t>6017300000</t>
  </si>
  <si>
    <t>6017400000</t>
  </si>
  <si>
    <t>6017500000</t>
  </si>
  <si>
    <t>6017600000</t>
  </si>
  <si>
    <t>6017700000</t>
  </si>
  <si>
    <t>6017800000</t>
  </si>
  <si>
    <t>6017900000</t>
  </si>
  <si>
    <t>6018000000</t>
  </si>
  <si>
    <t>6018100000</t>
  </si>
  <si>
    <t>6018200000</t>
  </si>
  <si>
    <t>6018300000</t>
  </si>
  <si>
    <t>6018400000</t>
  </si>
  <si>
    <t>6018500000</t>
  </si>
  <si>
    <t>6018600000</t>
  </si>
  <si>
    <t>6018700000</t>
  </si>
  <si>
    <t>6018800000</t>
  </si>
  <si>
    <t>6018900000</t>
  </si>
  <si>
    <t>6019000000</t>
  </si>
  <si>
    <t>6020000000</t>
  </si>
  <si>
    <t>6020100000</t>
  </si>
  <si>
    <t>6020101000</t>
  </si>
  <si>
    <t>6020102000</t>
  </si>
  <si>
    <t>6020103000</t>
  </si>
  <si>
    <t>6020104000</t>
  </si>
  <si>
    <t>6020105000</t>
  </si>
  <si>
    <t>6020106000</t>
  </si>
  <si>
    <t>6020107000</t>
  </si>
  <si>
    <t>6020108000</t>
  </si>
  <si>
    <t>6020109000</t>
  </si>
  <si>
    <t>6020110000</t>
  </si>
  <si>
    <t>6020111000</t>
  </si>
  <si>
    <t>6020112000</t>
  </si>
  <si>
    <t>6020113000</t>
  </si>
  <si>
    <t>6020114000</t>
  </si>
  <si>
    <t>6020115000</t>
  </si>
  <si>
    <t>6020116000</t>
  </si>
  <si>
    <t>6020117000</t>
  </si>
  <si>
    <t>6020118000</t>
  </si>
  <si>
    <t>6020119000</t>
  </si>
  <si>
    <t>6020120000</t>
  </si>
  <si>
    <t>6020121000</t>
  </si>
  <si>
    <t>6020122000</t>
  </si>
  <si>
    <t>6020123000</t>
  </si>
  <si>
    <t>6020124000</t>
  </si>
  <si>
    <t>6020125000</t>
  </si>
  <si>
    <t>6020127000</t>
  </si>
  <si>
    <t>6020128000</t>
  </si>
  <si>
    <t>6020129000</t>
  </si>
  <si>
    <t>6020130000</t>
  </si>
  <si>
    <t>6020131000</t>
  </si>
  <si>
    <t>6022600000</t>
  </si>
  <si>
    <t>6022700000</t>
  </si>
  <si>
    <t>6022800000</t>
  </si>
  <si>
    <t>6022900000</t>
  </si>
  <si>
    <t>6023000000</t>
  </si>
  <si>
    <t>6023100000</t>
  </si>
  <si>
    <t>6023200000</t>
  </si>
  <si>
    <t>6023300000</t>
  </si>
  <si>
    <t>6023400000</t>
  </si>
  <si>
    <t>6023500000</t>
  </si>
  <si>
    <t>6023600000</t>
  </si>
  <si>
    <t>6023700000</t>
  </si>
  <si>
    <t>6023800000</t>
  </si>
  <si>
    <t>6023900000</t>
  </si>
  <si>
    <t>6024000000</t>
  </si>
  <si>
    <t>6024100000</t>
  </si>
  <si>
    <t>6024200000</t>
  </si>
  <si>
    <t>6024300000</t>
  </si>
  <si>
    <t>6024400000</t>
  </si>
  <si>
    <t>6024500000</t>
  </si>
  <si>
    <t>6024600000</t>
  </si>
  <si>
    <t>6024700000</t>
  </si>
  <si>
    <t>6024800000</t>
  </si>
  <si>
    <t>6024900000</t>
  </si>
  <si>
    <t>6025000000</t>
  </si>
  <si>
    <t>6025100000</t>
  </si>
  <si>
    <t>6025200000</t>
  </si>
  <si>
    <t>6025300000</t>
  </si>
  <si>
    <t>6025400000</t>
  </si>
  <si>
    <t>6025500000</t>
  </si>
  <si>
    <t>6025600000</t>
  </si>
  <si>
    <t>6025700000</t>
  </si>
  <si>
    <t>6025800000</t>
  </si>
  <si>
    <t>6025900000</t>
  </si>
  <si>
    <t>6026000000</t>
  </si>
  <si>
    <t>6026100000</t>
  </si>
  <si>
    <t>6026200000</t>
  </si>
  <si>
    <t>6026300000</t>
  </si>
  <si>
    <t>6026400000</t>
  </si>
  <si>
    <t>6026500000</t>
  </si>
  <si>
    <t>6026600000</t>
  </si>
  <si>
    <t>6026700000</t>
  </si>
  <si>
    <t>6026800000</t>
  </si>
  <si>
    <t>6026900000</t>
  </si>
  <si>
    <t>6027000000</t>
  </si>
  <si>
    <t>6027100000</t>
  </si>
  <si>
    <t>6027200000</t>
  </si>
  <si>
    <t>6027300000</t>
  </si>
  <si>
    <t>6027400000</t>
  </si>
  <si>
    <t>6027500000</t>
  </si>
  <si>
    <t>6027600000</t>
  </si>
  <si>
    <t>6027700000</t>
  </si>
  <si>
    <t>6027800000</t>
  </si>
  <si>
    <t>6027900000</t>
  </si>
  <si>
    <t>6028000000</t>
  </si>
  <si>
    <t>6028100000</t>
  </si>
  <si>
    <t>6028200000</t>
  </si>
  <si>
    <t>6028300000</t>
  </si>
  <si>
    <t>6028400000</t>
  </si>
  <si>
    <t>6028500000</t>
  </si>
  <si>
    <t>6030000000</t>
  </si>
  <si>
    <t>6030100000</t>
  </si>
  <si>
    <t>6030101000</t>
  </si>
  <si>
    <t>6030102000</t>
  </si>
  <si>
    <t>6030103000</t>
  </si>
  <si>
    <t>6030104000</t>
  </si>
  <si>
    <t>6030105000</t>
  </si>
  <si>
    <t>6030106000</t>
  </si>
  <si>
    <t>6030107000</t>
  </si>
  <si>
    <t>6030108000</t>
  </si>
  <si>
    <t>6030109000</t>
  </si>
  <si>
    <t>6030110000</t>
  </si>
  <si>
    <t>6030111000</t>
  </si>
  <si>
    <t>6030112000</t>
  </si>
  <si>
    <t>6030113000</t>
  </si>
  <si>
    <t>6030114000</t>
  </si>
  <si>
    <t>6030115000</t>
  </si>
  <si>
    <t>6030116000</t>
  </si>
  <si>
    <t>6030117000</t>
  </si>
  <si>
    <t>6030118000</t>
  </si>
  <si>
    <t>6030119000</t>
  </si>
  <si>
    <t>6030120000</t>
  </si>
  <si>
    <t>6030121000</t>
  </si>
  <si>
    <t>6030122000</t>
  </si>
  <si>
    <t>6030123000</t>
  </si>
  <si>
    <t>6030124000</t>
  </si>
  <si>
    <t>6030125000</t>
  </si>
  <si>
    <t>6030126000</t>
  </si>
  <si>
    <t>6030127000</t>
  </si>
  <si>
    <t>6030128000</t>
  </si>
  <si>
    <t>6030129000</t>
  </si>
  <si>
    <t>6030130000</t>
  </si>
  <si>
    <t>6030131000</t>
  </si>
  <si>
    <t>6032600000</t>
  </si>
  <si>
    <t>6032700000</t>
  </si>
  <si>
    <t>6032800000</t>
  </si>
  <si>
    <t>6032900000</t>
  </si>
  <si>
    <t>6033000000</t>
  </si>
  <si>
    <t>6033100000</t>
  </si>
  <si>
    <t>6033200000</t>
  </si>
  <si>
    <t>6033300000</t>
  </si>
  <si>
    <t>6033400000</t>
  </si>
  <si>
    <t>6033500000</t>
  </si>
  <si>
    <t>6033600000</t>
  </si>
  <si>
    <t>6033700000</t>
  </si>
  <si>
    <t>6033800000</t>
  </si>
  <si>
    <t>6033900000</t>
  </si>
  <si>
    <t>6034000000</t>
  </si>
  <si>
    <t>6034100000</t>
  </si>
  <si>
    <t>6034200000</t>
  </si>
  <si>
    <t>6034300000</t>
  </si>
  <si>
    <t>6034400000</t>
  </si>
  <si>
    <t>6034500000</t>
  </si>
  <si>
    <t>6034600000</t>
  </si>
  <si>
    <t>6034700000</t>
  </si>
  <si>
    <t>6034800000</t>
  </si>
  <si>
    <t>6034900000</t>
  </si>
  <si>
    <t>6035000000</t>
  </si>
  <si>
    <t>6035100000</t>
  </si>
  <si>
    <t>6035200000</t>
  </si>
  <si>
    <t>6035300000</t>
  </si>
  <si>
    <t>6035400000</t>
  </si>
  <si>
    <t>6035500000</t>
  </si>
  <si>
    <t>6035600000</t>
  </si>
  <si>
    <t>6035700000</t>
  </si>
  <si>
    <t>6035800000</t>
  </si>
  <si>
    <t>6035900000</t>
  </si>
  <si>
    <t>6036000000</t>
  </si>
  <si>
    <t>6036100000</t>
  </si>
  <si>
    <t>6036200000</t>
  </si>
  <si>
    <t>6036300000</t>
  </si>
  <si>
    <t>6036400000</t>
  </si>
  <si>
    <t>6036500000</t>
  </si>
  <si>
    <t>6036600000</t>
  </si>
  <si>
    <t>6036700000</t>
  </si>
  <si>
    <t>6036800000</t>
  </si>
  <si>
    <t>6036900000</t>
  </si>
  <si>
    <t>6037000000</t>
  </si>
  <si>
    <t>6037100000</t>
  </si>
  <si>
    <t>6037200000</t>
  </si>
  <si>
    <t>6037300000</t>
  </si>
  <si>
    <t>6037400000</t>
  </si>
  <si>
    <t>6037500000</t>
  </si>
  <si>
    <t>6037600000</t>
  </si>
  <si>
    <t>6037700000</t>
  </si>
  <si>
    <t>6037800000</t>
  </si>
  <si>
    <t>6037900000</t>
  </si>
  <si>
    <t>6038000000</t>
  </si>
  <si>
    <t>6038100000</t>
  </si>
  <si>
    <t>6038200000</t>
  </si>
  <si>
    <t>6040000000</t>
  </si>
  <si>
    <t>6040100000</t>
  </si>
  <si>
    <t>6040101000</t>
  </si>
  <si>
    <t>6040102000</t>
  </si>
  <si>
    <t>6040103000</t>
  </si>
  <si>
    <t>6040104000</t>
  </si>
  <si>
    <t>6040105000</t>
  </si>
  <si>
    <t>6040106000</t>
  </si>
  <si>
    <t>6040107000</t>
  </si>
  <si>
    <t>6040108000</t>
  </si>
  <si>
    <t>6040109000</t>
  </si>
  <si>
    <t>6040110000</t>
  </si>
  <si>
    <t>6040111000</t>
  </si>
  <si>
    <t>6040112000</t>
  </si>
  <si>
    <t>6040113000</t>
  </si>
  <si>
    <t>6040114000</t>
  </si>
  <si>
    <t>6040115000</t>
  </si>
  <si>
    <t>6040116000</t>
  </si>
  <si>
    <t>6040117000</t>
  </si>
  <si>
    <t>6040118000</t>
  </si>
  <si>
    <t>6040119000</t>
  </si>
  <si>
    <t>6040120000</t>
  </si>
  <si>
    <t>6040121000</t>
  </si>
  <si>
    <t>6040122000</t>
  </si>
  <si>
    <t>6040123000</t>
  </si>
  <si>
    <t>6040124000</t>
  </si>
  <si>
    <t>6040125000</t>
  </si>
  <si>
    <t>6040126000</t>
  </si>
  <si>
    <t>6040127000</t>
  </si>
  <si>
    <t>6040128000</t>
  </si>
  <si>
    <t>6040129000</t>
  </si>
  <si>
    <t>6040130000</t>
  </si>
  <si>
    <t>6040131000</t>
  </si>
  <si>
    <t>6042600000</t>
  </si>
  <si>
    <t>6042700000</t>
  </si>
  <si>
    <t>6042800000</t>
  </si>
  <si>
    <t>6042900000</t>
  </si>
  <si>
    <t>6043000000</t>
  </si>
  <si>
    <t>6043100000</t>
  </si>
  <si>
    <t>6043200000</t>
  </si>
  <si>
    <t>6043300000</t>
  </si>
  <si>
    <t>6043400000</t>
  </si>
  <si>
    <t>6043500000</t>
  </si>
  <si>
    <t>6043600000</t>
  </si>
  <si>
    <t>6043700000</t>
  </si>
  <si>
    <t>6043800000</t>
  </si>
  <si>
    <t>6043900000</t>
  </si>
  <si>
    <t>6044000000</t>
  </si>
  <si>
    <t>6044100000</t>
  </si>
  <si>
    <t>6044200000</t>
  </si>
  <si>
    <t>6044300000</t>
  </si>
  <si>
    <t>6044400000</t>
  </si>
  <si>
    <t>6044500000</t>
  </si>
  <si>
    <t>6044600000</t>
  </si>
  <si>
    <t>6044700000</t>
  </si>
  <si>
    <t>6044800000</t>
  </si>
  <si>
    <t>6044900000</t>
  </si>
  <si>
    <t>6045000000</t>
  </si>
  <si>
    <t>6045100000</t>
  </si>
  <si>
    <t>6045200000</t>
  </si>
  <si>
    <t>6045300000</t>
  </si>
  <si>
    <t>6045400000</t>
  </si>
  <si>
    <t>6045500000</t>
  </si>
  <si>
    <t>6045600000</t>
  </si>
  <si>
    <t>6045700000</t>
  </si>
  <si>
    <t>6045800000</t>
  </si>
  <si>
    <t>6045900000</t>
  </si>
  <si>
    <t>6046000000</t>
  </si>
  <si>
    <t>6046100000</t>
  </si>
  <si>
    <t>6046200000</t>
  </si>
  <si>
    <t>6046300000</t>
  </si>
  <si>
    <t>6046400000</t>
  </si>
  <si>
    <t>6046500000</t>
  </si>
  <si>
    <t>6046600000</t>
  </si>
  <si>
    <t>6046700000</t>
  </si>
  <si>
    <t>6046800000</t>
  </si>
  <si>
    <t>6046900000</t>
  </si>
  <si>
    <t>6047000000</t>
  </si>
  <si>
    <t>6047100000</t>
  </si>
  <si>
    <t>6047200000</t>
  </si>
  <si>
    <t>6047300000</t>
  </si>
  <si>
    <t>6047400000</t>
  </si>
  <si>
    <t>6047500000</t>
  </si>
  <si>
    <t>6047600000</t>
  </si>
  <si>
    <t>6047700000</t>
  </si>
  <si>
    <t>6047800000</t>
  </si>
  <si>
    <t>6047900000</t>
  </si>
  <si>
    <t>6048000000</t>
  </si>
  <si>
    <t>6048100000</t>
  </si>
  <si>
    <t>6048200000</t>
  </si>
  <si>
    <t>6050000000</t>
  </si>
  <si>
    <t>6050100000</t>
  </si>
  <si>
    <t>6050101000</t>
  </si>
  <si>
    <t>6050102000</t>
  </si>
  <si>
    <t>6050103000</t>
  </si>
  <si>
    <t>6050104000</t>
  </si>
  <si>
    <t>6050105000</t>
  </si>
  <si>
    <t>6050106000</t>
  </si>
  <si>
    <t>6050107000</t>
  </si>
  <si>
    <t>6050108000</t>
  </si>
  <si>
    <t>6050109000</t>
  </si>
  <si>
    <t>6050110000</t>
  </si>
  <si>
    <t>6050111000</t>
  </si>
  <si>
    <t>6050112000</t>
  </si>
  <si>
    <t>6050114000</t>
  </si>
  <si>
    <t>6050115000</t>
  </si>
  <si>
    <t>6050116000</t>
  </si>
  <si>
    <t>6050117000</t>
  </si>
  <si>
    <t>6050118000</t>
  </si>
  <si>
    <t>6050119000</t>
  </si>
  <si>
    <t>6050120000</t>
  </si>
  <si>
    <t>6050121000</t>
  </si>
  <si>
    <t>6050122000</t>
  </si>
  <si>
    <t>6050123000</t>
  </si>
  <si>
    <t>6050124000</t>
  </si>
  <si>
    <t>6050125000</t>
  </si>
  <si>
    <t>6050126000</t>
  </si>
  <si>
    <t>6050127000</t>
  </si>
  <si>
    <t>6050128000</t>
  </si>
  <si>
    <t>6050129000</t>
  </si>
  <si>
    <t>6050130000</t>
  </si>
  <si>
    <t>6050131000</t>
  </si>
  <si>
    <t>6052600000</t>
  </si>
  <si>
    <t>6052700000</t>
  </si>
  <si>
    <t>6052800000</t>
  </si>
  <si>
    <t>6052900000</t>
  </si>
  <si>
    <t>6053000000</t>
  </si>
  <si>
    <t>6053100000</t>
  </si>
  <si>
    <t>6060000000</t>
  </si>
  <si>
    <t>6060100000</t>
  </si>
  <si>
    <t>6060101000</t>
  </si>
  <si>
    <t>6060102000</t>
  </si>
  <si>
    <t>6060103000</t>
  </si>
  <si>
    <t>6060104000</t>
  </si>
  <si>
    <t>6060105000</t>
  </si>
  <si>
    <t>6060106000</t>
  </si>
  <si>
    <t>6060107000</t>
  </si>
  <si>
    <t>6060108000</t>
  </si>
  <si>
    <t>6060109000</t>
  </si>
  <si>
    <t>6060110000</t>
  </si>
  <si>
    <t>6060111000</t>
  </si>
  <si>
    <t>6060112000</t>
  </si>
  <si>
    <t>6060113000</t>
  </si>
  <si>
    <t>6060114000</t>
  </si>
  <si>
    <t>6060115000</t>
  </si>
  <si>
    <t>6060116000</t>
  </si>
  <si>
    <t>6060117000</t>
  </si>
  <si>
    <t>6060120000</t>
  </si>
  <si>
    <t>6060122000</t>
  </si>
  <si>
    <t>6060123000</t>
  </si>
  <si>
    <t>6060124000</t>
  </si>
  <si>
    <t>6060125000</t>
  </si>
  <si>
    <t>6060126000</t>
  </si>
  <si>
    <t>6060127000</t>
  </si>
  <si>
    <t>6060128000</t>
  </si>
  <si>
    <t>6060129000</t>
  </si>
  <si>
    <t>6060130000</t>
  </si>
  <si>
    <t>6060131000</t>
  </si>
  <si>
    <t>6062600000</t>
  </si>
  <si>
    <t>6062700000</t>
  </si>
  <si>
    <t>6062800000</t>
  </si>
  <si>
    <t>6062900000</t>
  </si>
  <si>
    <t>6070000000</t>
  </si>
  <si>
    <t>6070100000</t>
  </si>
  <si>
    <t>6080000000</t>
  </si>
  <si>
    <t>6080100000</t>
  </si>
  <si>
    <t>6080200000</t>
  </si>
  <si>
    <t>6090000000</t>
  </si>
  <si>
    <t>6090100000</t>
  </si>
  <si>
    <t>6100000000</t>
  </si>
  <si>
    <t>6100100000</t>
  </si>
  <si>
    <t>6110000000</t>
  </si>
  <si>
    <t>6110100000</t>
  </si>
  <si>
    <t>6110200000</t>
  </si>
  <si>
    <t>6120000000</t>
  </si>
  <si>
    <t>6120100000</t>
  </si>
  <si>
    <t>6130000000</t>
  </si>
  <si>
    <t>6130100000</t>
  </si>
  <si>
    <t>6130200000</t>
  </si>
  <si>
    <t>6130300000</t>
  </si>
  <si>
    <t>6130400000</t>
  </si>
  <si>
    <t>6130500000</t>
  </si>
  <si>
    <t>6130600000</t>
  </si>
  <si>
    <t>6130700000</t>
  </si>
  <si>
    <t>6130800000</t>
  </si>
  <si>
    <t>6130900000</t>
  </si>
  <si>
    <t>6131000000</t>
  </si>
  <si>
    <t>6131100000</t>
  </si>
  <si>
    <t>6131200000</t>
  </si>
  <si>
    <t>6131300000</t>
  </si>
  <si>
    <t>6131400000</t>
  </si>
  <si>
    <t>6131500000</t>
  </si>
  <si>
    <t>6131600000</t>
  </si>
  <si>
    <t>6131700000</t>
  </si>
  <si>
    <t>6131800000</t>
  </si>
  <si>
    <t>6140000000</t>
  </si>
  <si>
    <t>6140100000</t>
  </si>
  <si>
    <t>6140200000</t>
  </si>
  <si>
    <t>6140300000</t>
  </si>
  <si>
    <t>6140400000</t>
  </si>
  <si>
    <t>6140500000</t>
  </si>
  <si>
    <t>6140600000</t>
  </si>
  <si>
    <t>6140700000</t>
  </si>
  <si>
    <t>6140800000</t>
  </si>
  <si>
    <t>6140900000</t>
  </si>
  <si>
    <t>6141000000</t>
  </si>
  <si>
    <t>6141001000</t>
  </si>
  <si>
    <t>7000000000</t>
  </si>
  <si>
    <t>7010000000</t>
  </si>
  <si>
    <t>7010100000</t>
  </si>
  <si>
    <t>7010200000</t>
  </si>
  <si>
    <t>7010300000</t>
  </si>
  <si>
    <t>7010400000</t>
  </si>
  <si>
    <t>7010500000</t>
  </si>
  <si>
    <t>7010600000</t>
  </si>
  <si>
    <t>7010700000</t>
  </si>
  <si>
    <t>7010800000</t>
  </si>
  <si>
    <t>7010900000</t>
  </si>
  <si>
    <t>7011000000</t>
  </si>
  <si>
    <t>7011100000</t>
  </si>
  <si>
    <t>7011200000</t>
  </si>
  <si>
    <t>7011300000</t>
  </si>
  <si>
    <t>7020000000</t>
  </si>
  <si>
    <t>7020100000</t>
  </si>
  <si>
    <t>7020200000</t>
  </si>
  <si>
    <t>7020300000</t>
  </si>
  <si>
    <t>7020400000</t>
  </si>
  <si>
    <t>7020500000</t>
  </si>
  <si>
    <t>7020600000</t>
  </si>
  <si>
    <t>7020700000</t>
  </si>
  <si>
    <t>7020800000</t>
  </si>
  <si>
    <t>7020900000</t>
  </si>
  <si>
    <t>7021000000</t>
  </si>
  <si>
    <t>7021100000</t>
  </si>
  <si>
    <t>7030000000</t>
  </si>
  <si>
    <t>7030100000</t>
  </si>
  <si>
    <t>7030200000</t>
  </si>
  <si>
    <t>7030300000</t>
  </si>
  <si>
    <t>7030400000</t>
  </si>
  <si>
    <t>7030500000</t>
  </si>
  <si>
    <t>7030600000</t>
  </si>
  <si>
    <t>7030700000</t>
  </si>
  <si>
    <t>7030800000</t>
  </si>
  <si>
    <t>7030900000</t>
  </si>
  <si>
    <t>7031000000</t>
  </si>
  <si>
    <t>7031100000</t>
  </si>
  <si>
    <t>7031200000</t>
  </si>
  <si>
    <t>7031300000</t>
  </si>
  <si>
    <t>7031400000</t>
  </si>
  <si>
    <t>7031500000</t>
  </si>
  <si>
    <t>7031600000</t>
  </si>
  <si>
    <t>7031700000</t>
  </si>
  <si>
    <t>7031800000</t>
  </si>
  <si>
    <t>7031900000</t>
  </si>
  <si>
    <t>7032000000</t>
  </si>
  <si>
    <t>7032100000</t>
  </si>
  <si>
    <t>7040000000</t>
  </si>
  <si>
    <t>7040100000</t>
  </si>
  <si>
    <t>7040200000</t>
  </si>
  <si>
    <t>7040300000</t>
  </si>
  <si>
    <t>7040400000</t>
  </si>
  <si>
    <t>7040500000</t>
  </si>
  <si>
    <t>7040600000</t>
  </si>
  <si>
    <t>7040700000</t>
  </si>
  <si>
    <t>7040800000</t>
  </si>
  <si>
    <t>7040900000</t>
  </si>
  <si>
    <t>7041000000</t>
  </si>
  <si>
    <t>7041100000</t>
  </si>
  <si>
    <t>7041200000</t>
  </si>
  <si>
    <t>7041300000</t>
  </si>
  <si>
    <t>7041400000</t>
  </si>
  <si>
    <t>7041500000</t>
  </si>
  <si>
    <t>7041600000</t>
  </si>
  <si>
    <t>7041700000</t>
  </si>
  <si>
    <t>7041800000</t>
  </si>
  <si>
    <t>7041900000</t>
  </si>
  <si>
    <t>7042000000</t>
  </si>
  <si>
    <t>7042100000</t>
  </si>
  <si>
    <t>7042200000</t>
  </si>
  <si>
    <t>7042300000</t>
  </si>
  <si>
    <t>5040312000</t>
  </si>
  <si>
    <t>5040314000</t>
  </si>
  <si>
    <t>SUSCRIPCIONES</t>
  </si>
  <si>
    <t>GASOLINA VENTAS</t>
  </si>
  <si>
    <t>602-61-00-001</t>
  </si>
  <si>
    <t>602-01-32-000</t>
  </si>
  <si>
    <t>Nomina LFCM</t>
  </si>
  <si>
    <t>OTROS GASTOS ADMINISTRACION</t>
  </si>
  <si>
    <t>Fondo de ahorro dirección</t>
  </si>
  <si>
    <t>Cuotas sindicales dirección</t>
  </si>
  <si>
    <t>606-01-19-000</t>
  </si>
  <si>
    <t>606-01-18-000</t>
  </si>
  <si>
    <t>606-01-21-000</t>
  </si>
  <si>
    <t>6060118000</t>
  </si>
  <si>
    <t>6060119000</t>
  </si>
  <si>
    <t>6060121000</t>
  </si>
  <si>
    <t>MTTO EDIFICIOS</t>
  </si>
  <si>
    <t>PUBLICIDAD RECLASIFICAR</t>
  </si>
  <si>
    <t>6020132000</t>
  </si>
  <si>
    <t>SEGUROS VTAS RECLASIFICAR</t>
  </si>
  <si>
    <t>COMISIONES VTAS RECLASIFICAR</t>
  </si>
  <si>
    <t>UNIFORMES VTAS RECLASIFICAR</t>
  </si>
  <si>
    <t>HONORARIOS ADMIN</t>
  </si>
  <si>
    <t>CONSUMIBLES OFICINAS NO USAR</t>
  </si>
  <si>
    <t>603-25-00-000</t>
  </si>
  <si>
    <t>Otras prestaciones al personal Admon</t>
  </si>
  <si>
    <t>6032500000</t>
  </si>
  <si>
    <t>603-83-00-000</t>
  </si>
  <si>
    <t>603-84-00-000</t>
  </si>
  <si>
    <t>603-85-00-000</t>
  </si>
  <si>
    <t>603-86-00-000</t>
  </si>
  <si>
    <t>603-87-00-000</t>
  </si>
  <si>
    <t>603-88-00-000</t>
  </si>
  <si>
    <t>Programas</t>
  </si>
  <si>
    <t>PROGRAMAS ADMIN</t>
  </si>
  <si>
    <t>6038300000</t>
  </si>
  <si>
    <t>6038400000</t>
  </si>
  <si>
    <t>6038500000</t>
  </si>
  <si>
    <t>6038600000</t>
  </si>
  <si>
    <t>6038700000</t>
  </si>
  <si>
    <t>6038800000</t>
  </si>
  <si>
    <t>VIATICOS CALIDAD RECLASIFICAR</t>
  </si>
  <si>
    <t>DEPRECIACION MAQUINARIA</t>
  </si>
  <si>
    <t>DEPRECIACION MOBILIARIO</t>
  </si>
  <si>
    <t>DEPRECIACION EQUIPO COMPUTO</t>
  </si>
  <si>
    <t>DEPRECIACION ADAPTACIONES</t>
  </si>
  <si>
    <t>DEPRECIACION OTROS</t>
  </si>
  <si>
    <t>702-01-01-000</t>
  </si>
  <si>
    <t>702-01-02-000</t>
  </si>
  <si>
    <t>7020101000</t>
  </si>
  <si>
    <t>7020102000</t>
  </si>
  <si>
    <t>606-25-00-000</t>
  </si>
  <si>
    <t>Otros conceptos Direccion</t>
  </si>
  <si>
    <t>6062500000</t>
  </si>
  <si>
    <t>Monto Balanza XANALAB</t>
  </si>
  <si>
    <t>Monto Balanza FARMIRAL</t>
  </si>
  <si>
    <t>501-04-32-000</t>
  </si>
  <si>
    <t>5010432000</t>
  </si>
  <si>
    <t>ARRENDAMIENTOS REC</t>
  </si>
  <si>
    <t>FLETES REC</t>
  </si>
  <si>
    <t>DEPRECIACION AUTOMOVILES</t>
  </si>
  <si>
    <t>ARRENDAMIENTO JESUS</t>
  </si>
  <si>
    <t>6026100001</t>
  </si>
  <si>
    <t>603-46-01-001</t>
  </si>
  <si>
    <t>VW Tiguan (Diego Mtz)</t>
  </si>
  <si>
    <t>6034601001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</si>
</sst>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4" fillId="0" borderId="0" applyFont="0" applyFill="0" applyBorder="0" applyAlignment="0" applyProtection="0"/>
  </cellStyleXfs>
  <cellXfs count="7">
    <xf numFmtId="0" fontId="0" fillId="0" borderId="0" xfId="0"/>
    <xf numFmtId="49" fontId="2" fillId="0" borderId="0" xfId="1" applyNumberFormat="1" applyFont="1" applyAlignment="1">
      <alignment horizontal="left" vertical="top"/>
    </xf>
    <xf numFmtId="49" fontId="3" fillId="0" borderId="0" xfId="1" applyNumberFormat="1" applyFont="1" applyAlignment="1">
      <alignment horizontal="left" vertical="top"/>
    </xf>
    <xf numFmtId="0" fontId="0" fillId="2" borderId="0" xfId="0" applyFill="1"/>
    <xf numFmtId="49" fontId="3" fillId="2" borderId="0" xfId="1" applyNumberFormat="1" applyFont="1" applyFill="1" applyAlignment="1">
      <alignment horizontal="left" vertical="top"/>
    </xf>
    <xf numFmtId="49" fontId="0" fillId="0" borderId="0" xfId="0" applyNumberFormat="1"/>
    <xf numFmtId="44" fontId="0" fillId="0" borderId="0" xfId="2" applyFont="1"/>
  </cellXfs>
  <cellStyles count="3">
    <cellStyle name="Moneda" xfId="2" builtinId="4"/>
    <cellStyle name="Normal" xfId="0" builtinId="0"/>
    <cellStyle name="Normal 2" xfId="1" xr:uid="{A67D3F82-64BF-4D2C-A476-F4F7B84665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rmiral53\Desktop\Farmiral\06.25%20EEFF%20Consolidados%20v05.08.25.xlsx" TargetMode="External"/><Relationship Id="rId1" Type="http://schemas.openxmlformats.org/officeDocument/2006/relationships/externalLinkPath" Target="06.25%20EEFF%20Consolidados%20v05.08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"/>
      <sheetName val="ER"/>
      <sheetName val="Balanza"/>
    </sheetNames>
    <sheetDataSet>
      <sheetData sheetId="0"/>
      <sheetData sheetId="1"/>
      <sheetData sheetId="2">
        <row r="3">
          <cell r="E3" t="str">
            <v>Saldos Iniciales  Deudor - Acreedor</v>
          </cell>
          <cell r="F3" t="str">
            <v>Cargos</v>
          </cell>
          <cell r="G3" t="str">
            <v>Abonos</v>
          </cell>
          <cell r="H3" t="str">
            <v>Saldos Actuales  Deudor - Acreedor</v>
          </cell>
          <cell r="I3" t="str">
            <v>Saldos Iniciales  Deudor - Acreedor</v>
          </cell>
          <cell r="J3" t="str">
            <v>Cargos</v>
          </cell>
          <cell r="K3" t="str">
            <v>Abonos</v>
          </cell>
        </row>
        <row r="4">
          <cell r="A4" t="str">
            <v>1010100001</v>
          </cell>
          <cell r="B4">
            <v>2</v>
          </cell>
          <cell r="C4">
            <v>1</v>
          </cell>
          <cell r="D4" t="str">
            <v>Caja Tesistan</v>
          </cell>
          <cell r="E4">
            <v>22215.8</v>
          </cell>
          <cell r="F4">
            <v>80.33</v>
          </cell>
          <cell r="G4">
            <v>0</v>
          </cell>
          <cell r="H4">
            <v>22296.13</v>
          </cell>
          <cell r="I4">
            <v>12548.63</v>
          </cell>
          <cell r="J4">
            <v>26818.94</v>
          </cell>
          <cell r="K4">
            <v>20365.71</v>
          </cell>
        </row>
        <row r="5">
          <cell r="A5" t="str">
            <v>1010100002</v>
          </cell>
          <cell r="B5">
            <v>2</v>
          </cell>
          <cell r="C5">
            <v>1</v>
          </cell>
          <cell r="D5" t="str">
            <v>Caja Cheques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312168.21999999997</v>
          </cell>
          <cell r="J5">
            <v>0</v>
          </cell>
          <cell r="K5">
            <v>0</v>
          </cell>
        </row>
        <row r="6">
          <cell r="A6" t="str">
            <v>1010100003</v>
          </cell>
          <cell r="B6">
            <v>2</v>
          </cell>
          <cell r="C6">
            <v>1</v>
          </cell>
          <cell r="D6" t="str">
            <v>Caja Argentina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9116.84</v>
          </cell>
          <cell r="J6">
            <v>0</v>
          </cell>
          <cell r="K6">
            <v>3823.88</v>
          </cell>
        </row>
        <row r="7">
          <cell r="A7" t="str">
            <v>1010100004</v>
          </cell>
          <cell r="B7">
            <v>2</v>
          </cell>
          <cell r="C7">
            <v>1</v>
          </cell>
          <cell r="D7" t="str">
            <v>Despensa EyF ALMZ</v>
          </cell>
          <cell r="E7">
            <v>3187.96</v>
          </cell>
          <cell r="F7">
            <v>0</v>
          </cell>
          <cell r="G7">
            <v>0</v>
          </cell>
          <cell r="H7">
            <v>3187.96</v>
          </cell>
          <cell r="I7">
            <v>10968.9</v>
          </cell>
          <cell r="J7">
            <v>0</v>
          </cell>
          <cell r="K7">
            <v>0</v>
          </cell>
        </row>
        <row r="8">
          <cell r="A8" t="str">
            <v>1020101001</v>
          </cell>
          <cell r="B8">
            <v>2</v>
          </cell>
          <cell r="C8">
            <v>1</v>
          </cell>
          <cell r="D8" t="str">
            <v>Santander MXN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9737.02</v>
          </cell>
          <cell r="J8">
            <v>110000</v>
          </cell>
          <cell r="K8">
            <v>119737.02</v>
          </cell>
        </row>
        <row r="9">
          <cell r="A9" t="str">
            <v>1020101002</v>
          </cell>
          <cell r="B9">
            <v>2</v>
          </cell>
          <cell r="C9">
            <v>1</v>
          </cell>
          <cell r="D9" t="str">
            <v>Banorte MXN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36.11</v>
          </cell>
          <cell r="J9">
            <v>191500</v>
          </cell>
          <cell r="K9">
            <v>191449.29</v>
          </cell>
        </row>
        <row r="10">
          <cell r="A10" t="str">
            <v>1020101004</v>
          </cell>
          <cell r="B10">
            <v>2</v>
          </cell>
          <cell r="C10">
            <v>1</v>
          </cell>
          <cell r="D10" t="str">
            <v>STP Capital X MXN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33231.29</v>
          </cell>
          <cell r="J10">
            <v>0</v>
          </cell>
          <cell r="K10">
            <v>0</v>
          </cell>
        </row>
        <row r="11">
          <cell r="A11" t="str">
            <v>1020101005</v>
          </cell>
          <cell r="B11">
            <v>2</v>
          </cell>
          <cell r="C11">
            <v>1</v>
          </cell>
          <cell r="D11" t="str">
            <v>STP Farmiral MXN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1199799.17</v>
          </cell>
          <cell r="K11">
            <v>1199799.17</v>
          </cell>
        </row>
        <row r="12">
          <cell r="A12" t="str">
            <v>1020101006</v>
          </cell>
          <cell r="B12">
            <v>2</v>
          </cell>
          <cell r="C12">
            <v>1</v>
          </cell>
          <cell r="D12" t="str">
            <v>STP ICM Farmiral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3316990.99</v>
          </cell>
          <cell r="K12">
            <v>3316990.99</v>
          </cell>
        </row>
        <row r="13">
          <cell r="A13" t="str">
            <v>1020101008</v>
          </cell>
          <cell r="B13">
            <v>2</v>
          </cell>
          <cell r="C13">
            <v>1</v>
          </cell>
          <cell r="D13" t="str">
            <v>Base 1017 MXN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1116.52</v>
          </cell>
          <cell r="J13">
            <v>0</v>
          </cell>
          <cell r="K13">
            <v>1116.52</v>
          </cell>
        </row>
        <row r="14">
          <cell r="A14" t="str">
            <v>1020101010</v>
          </cell>
          <cell r="B14">
            <v>2</v>
          </cell>
          <cell r="C14">
            <v>1</v>
          </cell>
          <cell r="D14" t="str">
            <v>Mifel MXN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10.029999999999999</v>
          </cell>
          <cell r="J14">
            <v>0</v>
          </cell>
          <cell r="K14">
            <v>0</v>
          </cell>
        </row>
        <row r="15">
          <cell r="A15" t="str">
            <v>1020101011</v>
          </cell>
          <cell r="B15">
            <v>2</v>
          </cell>
          <cell r="C15">
            <v>1</v>
          </cell>
          <cell r="D15" t="str">
            <v>STP Higo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20066.82</v>
          </cell>
          <cell r="J15">
            <v>3536390.62</v>
          </cell>
          <cell r="K15">
            <v>3550237.2</v>
          </cell>
        </row>
        <row r="16">
          <cell r="A16" t="str">
            <v>1020101012</v>
          </cell>
          <cell r="B16">
            <v>2</v>
          </cell>
          <cell r="C16">
            <v>1</v>
          </cell>
          <cell r="D16" t="str">
            <v>Santander X</v>
          </cell>
          <cell r="E16">
            <v>484.85</v>
          </cell>
          <cell r="F16">
            <v>3437006.06</v>
          </cell>
          <cell r="G16">
            <v>3440712.79</v>
          </cell>
          <cell r="H16">
            <v>-3221.88</v>
          </cell>
          <cell r="I16">
            <v>0</v>
          </cell>
          <cell r="J16">
            <v>0</v>
          </cell>
          <cell r="K16">
            <v>0</v>
          </cell>
        </row>
        <row r="17">
          <cell r="A17" t="str">
            <v>1020101013</v>
          </cell>
          <cell r="B17">
            <v>2</v>
          </cell>
          <cell r="C17">
            <v>1</v>
          </cell>
          <cell r="D17" t="str">
            <v>Banregio X</v>
          </cell>
          <cell r="E17">
            <v>4640.17</v>
          </cell>
          <cell r="F17">
            <v>2130283.7599999998</v>
          </cell>
          <cell r="G17">
            <v>2133819.3199999998</v>
          </cell>
          <cell r="H17">
            <v>1104.6099999999999</v>
          </cell>
          <cell r="I17">
            <v>0</v>
          </cell>
          <cell r="J17">
            <v>0</v>
          </cell>
          <cell r="K17">
            <v>0</v>
          </cell>
        </row>
        <row r="18">
          <cell r="A18" t="str">
            <v>1020101014</v>
          </cell>
          <cell r="B18">
            <v>2</v>
          </cell>
          <cell r="C18">
            <v>1</v>
          </cell>
          <cell r="D18" t="str">
            <v>Base X</v>
          </cell>
          <cell r="E18">
            <v>0</v>
          </cell>
          <cell r="F18">
            <v>15349273.1</v>
          </cell>
          <cell r="G18">
            <v>15349273.1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A19" t="str">
            <v>1020101015</v>
          </cell>
          <cell r="B19">
            <v>2</v>
          </cell>
          <cell r="C19">
            <v>1</v>
          </cell>
          <cell r="D19" t="str">
            <v>Mifel X</v>
          </cell>
          <cell r="E19">
            <v>15133.14</v>
          </cell>
          <cell r="F19">
            <v>12245639.49</v>
          </cell>
          <cell r="G19">
            <v>12234882.59</v>
          </cell>
          <cell r="H19">
            <v>25890.04</v>
          </cell>
          <cell r="I19">
            <v>0</v>
          </cell>
          <cell r="J19">
            <v>0</v>
          </cell>
          <cell r="K19">
            <v>0</v>
          </cell>
        </row>
        <row r="20">
          <cell r="A20" t="str">
            <v>1020101016</v>
          </cell>
          <cell r="B20">
            <v>2</v>
          </cell>
          <cell r="C20">
            <v>1</v>
          </cell>
          <cell r="D20" t="str">
            <v>STP X</v>
          </cell>
          <cell r="E20">
            <v>0</v>
          </cell>
          <cell r="F20">
            <v>767379.7</v>
          </cell>
          <cell r="G20">
            <v>767379.7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A21" t="str">
            <v>1020101017</v>
          </cell>
          <cell r="B21">
            <v>2</v>
          </cell>
          <cell r="C21">
            <v>1</v>
          </cell>
          <cell r="D21" t="str">
            <v>Higo STP X</v>
          </cell>
          <cell r="E21">
            <v>-796395.55</v>
          </cell>
          <cell r="F21">
            <v>12434604.34</v>
          </cell>
          <cell r="G21">
            <v>12211351.77</v>
          </cell>
          <cell r="H21">
            <v>-573142.98</v>
          </cell>
          <cell r="I21">
            <v>0</v>
          </cell>
          <cell r="J21">
            <v>0</v>
          </cell>
          <cell r="K21">
            <v>0</v>
          </cell>
        </row>
        <row r="22">
          <cell r="A22" t="str">
            <v>1020102101</v>
          </cell>
          <cell r="B22">
            <v>2</v>
          </cell>
          <cell r="C22">
            <v>1</v>
          </cell>
          <cell r="D22" t="str">
            <v>Base USD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0.08</v>
          </cell>
          <cell r="J22">
            <v>0</v>
          </cell>
          <cell r="K22">
            <v>0</v>
          </cell>
        </row>
        <row r="23">
          <cell r="A23" t="str">
            <v>1020102102</v>
          </cell>
          <cell r="B23">
            <v>2</v>
          </cell>
          <cell r="C23">
            <v>1</v>
          </cell>
          <cell r="D23" t="str">
            <v>Banorte USD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0.01</v>
          </cell>
          <cell r="J23">
            <v>0</v>
          </cell>
          <cell r="K23">
            <v>0</v>
          </cell>
        </row>
        <row r="24">
          <cell r="A24" t="str">
            <v>1020102103</v>
          </cell>
          <cell r="B24">
            <v>2</v>
          </cell>
          <cell r="C24">
            <v>1</v>
          </cell>
          <cell r="D24" t="str">
            <v>Banregio USD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603.61</v>
          </cell>
          <cell r="J24">
            <v>0</v>
          </cell>
          <cell r="K24">
            <v>0</v>
          </cell>
        </row>
        <row r="25">
          <cell r="A25" t="str">
            <v>1020102104</v>
          </cell>
          <cell r="B25">
            <v>2</v>
          </cell>
          <cell r="C25">
            <v>1</v>
          </cell>
          <cell r="D25" t="str">
            <v>Base USD X</v>
          </cell>
          <cell r="E25">
            <v>330</v>
          </cell>
          <cell r="F25">
            <v>0</v>
          </cell>
          <cell r="G25">
            <v>100</v>
          </cell>
          <cell r="H25">
            <v>230</v>
          </cell>
          <cell r="I25">
            <v>0</v>
          </cell>
          <cell r="J25">
            <v>0</v>
          </cell>
          <cell r="K25">
            <v>0</v>
          </cell>
        </row>
        <row r="26">
          <cell r="A26" t="str">
            <v>1020102203</v>
          </cell>
          <cell r="B26">
            <v>2</v>
          </cell>
          <cell r="C26">
            <v>1</v>
          </cell>
          <cell r="D26" t="str">
            <v>Banregio USD Complementaria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11812.25</v>
          </cell>
          <cell r="J26">
            <v>0</v>
          </cell>
          <cell r="K26">
            <v>0</v>
          </cell>
        </row>
        <row r="27">
          <cell r="A27" t="str">
            <v>1020102204</v>
          </cell>
          <cell r="B27">
            <v>2</v>
          </cell>
          <cell r="C27">
            <v>1</v>
          </cell>
          <cell r="D27" t="str">
            <v>Base USD X Complementaria</v>
          </cell>
          <cell r="E27">
            <v>6426.37</v>
          </cell>
          <cell r="F27">
            <v>0</v>
          </cell>
          <cell r="G27">
            <v>1818.11</v>
          </cell>
          <cell r="H27">
            <v>4608.26</v>
          </cell>
          <cell r="I27">
            <v>0</v>
          </cell>
          <cell r="J27">
            <v>0</v>
          </cell>
          <cell r="K27">
            <v>0</v>
          </cell>
        </row>
        <row r="28">
          <cell r="A28" t="str">
            <v>1050101001</v>
          </cell>
          <cell r="B28">
            <v>2</v>
          </cell>
          <cell r="C28">
            <v>1</v>
          </cell>
          <cell r="D28" t="str">
            <v>Aspen Labs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1210301.6000000001</v>
          </cell>
          <cell r="J28">
            <v>1318671.95</v>
          </cell>
          <cell r="K28">
            <v>1481886.14</v>
          </cell>
        </row>
        <row r="29">
          <cell r="A29" t="str">
            <v>1050101002</v>
          </cell>
          <cell r="B29">
            <v>2</v>
          </cell>
          <cell r="C29">
            <v>1</v>
          </cell>
          <cell r="D29" t="str">
            <v>Grisi Hnos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732281.09</v>
          </cell>
          <cell r="J29">
            <v>480184.32000000001</v>
          </cell>
          <cell r="K29">
            <v>0</v>
          </cell>
        </row>
        <row r="30">
          <cell r="A30" t="str">
            <v>1050101003</v>
          </cell>
          <cell r="B30">
            <v>2</v>
          </cell>
          <cell r="C30">
            <v>1</v>
          </cell>
          <cell r="D30" t="str">
            <v>Laboratorio Elmor Mexico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2857177.1</v>
          </cell>
          <cell r="J30">
            <v>168472.6</v>
          </cell>
          <cell r="K30">
            <v>1303567.93</v>
          </cell>
        </row>
        <row r="31">
          <cell r="A31" t="str">
            <v>1050101004</v>
          </cell>
          <cell r="B31">
            <v>2</v>
          </cell>
          <cell r="C31">
            <v>1</v>
          </cell>
          <cell r="D31" t="str">
            <v>Farmacias De Similares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1504100.98</v>
          </cell>
          <cell r="J31">
            <v>343476</v>
          </cell>
          <cell r="K31">
            <v>217584.17</v>
          </cell>
        </row>
        <row r="32">
          <cell r="A32" t="str">
            <v>1050101005</v>
          </cell>
          <cell r="B32">
            <v>2</v>
          </cell>
          <cell r="C32">
            <v>1</v>
          </cell>
          <cell r="D32" t="str">
            <v>Kps Comercializadora</v>
          </cell>
          <cell r="E32">
            <v>3036243.88</v>
          </cell>
          <cell r="F32">
            <v>6036396.4000000004</v>
          </cell>
          <cell r="G32">
            <v>3175221.6</v>
          </cell>
          <cell r="H32">
            <v>5897418.6799999997</v>
          </cell>
          <cell r="I32">
            <v>6757138.6600000001</v>
          </cell>
          <cell r="J32">
            <v>0</v>
          </cell>
          <cell r="K32">
            <v>674919.62</v>
          </cell>
        </row>
        <row r="33">
          <cell r="A33" t="str">
            <v>1050101006</v>
          </cell>
          <cell r="B33">
            <v>2</v>
          </cell>
          <cell r="C33">
            <v>1</v>
          </cell>
          <cell r="D33" t="str">
            <v>Farmacias Benavides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1643988.19</v>
          </cell>
          <cell r="J33">
            <v>311342.26</v>
          </cell>
          <cell r="K33">
            <v>285475.48</v>
          </cell>
        </row>
        <row r="34">
          <cell r="A34" t="str">
            <v>1050101009</v>
          </cell>
          <cell r="B34">
            <v>2</v>
          </cell>
          <cell r="C34">
            <v>1</v>
          </cell>
          <cell r="D34" t="str">
            <v>Boreal Farmaceutica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299005.08</v>
          </cell>
          <cell r="J34">
            <v>278047.48</v>
          </cell>
          <cell r="K34">
            <v>313545.8</v>
          </cell>
        </row>
        <row r="35">
          <cell r="A35" t="str">
            <v>1050101011</v>
          </cell>
          <cell r="B35">
            <v>2</v>
          </cell>
          <cell r="C35">
            <v>1</v>
          </cell>
          <cell r="D35" t="str">
            <v>LABORATORIOS BEST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1485958.6</v>
          </cell>
          <cell r="K35">
            <v>0</v>
          </cell>
        </row>
        <row r="36">
          <cell r="A36" t="str">
            <v>1050101012</v>
          </cell>
          <cell r="B36">
            <v>2</v>
          </cell>
          <cell r="C36">
            <v>1</v>
          </cell>
          <cell r="D36" t="str">
            <v>DUMO LABS</v>
          </cell>
          <cell r="E36">
            <v>0</v>
          </cell>
          <cell r="F36">
            <v>322045</v>
          </cell>
          <cell r="G36">
            <v>80040</v>
          </cell>
          <cell r="H36">
            <v>242005</v>
          </cell>
          <cell r="I36">
            <v>0</v>
          </cell>
          <cell r="J36">
            <v>0</v>
          </cell>
          <cell r="K36">
            <v>0</v>
          </cell>
        </row>
        <row r="37">
          <cell r="A37" t="str">
            <v>1050102001</v>
          </cell>
          <cell r="B37">
            <v>2</v>
          </cell>
          <cell r="C37">
            <v>1</v>
          </cell>
          <cell r="D37" t="str">
            <v>Levic</v>
          </cell>
          <cell r="E37">
            <v>5698093.9699999997</v>
          </cell>
          <cell r="F37">
            <v>1766682.03</v>
          </cell>
          <cell r="G37">
            <v>974950.45</v>
          </cell>
          <cell r="H37">
            <v>6489825.5499999998</v>
          </cell>
          <cell r="I37">
            <v>0</v>
          </cell>
          <cell r="J37">
            <v>0</v>
          </cell>
          <cell r="K37">
            <v>0</v>
          </cell>
        </row>
        <row r="38">
          <cell r="A38" t="str">
            <v>1050102002</v>
          </cell>
          <cell r="B38">
            <v>2</v>
          </cell>
          <cell r="C38">
            <v>1</v>
          </cell>
          <cell r="D38" t="str">
            <v>Pharma Amigo</v>
          </cell>
          <cell r="E38">
            <v>983966.61</v>
          </cell>
          <cell r="F38">
            <v>817167.89</v>
          </cell>
          <cell r="G38">
            <v>658853.18999999994</v>
          </cell>
          <cell r="H38">
            <v>1142281.31</v>
          </cell>
          <cell r="I38">
            <v>0</v>
          </cell>
          <cell r="J38">
            <v>0</v>
          </cell>
          <cell r="K38">
            <v>0</v>
          </cell>
        </row>
        <row r="39">
          <cell r="A39" t="str">
            <v>1050102003</v>
          </cell>
          <cell r="B39">
            <v>2</v>
          </cell>
          <cell r="C39">
            <v>1</v>
          </cell>
          <cell r="D39" t="str">
            <v>Comercial Gfc</v>
          </cell>
          <cell r="E39">
            <v>633885.31999999995</v>
          </cell>
          <cell r="F39">
            <v>174925.09</v>
          </cell>
          <cell r="G39">
            <v>279982.01</v>
          </cell>
          <cell r="H39">
            <v>528828.4</v>
          </cell>
          <cell r="I39">
            <v>0</v>
          </cell>
          <cell r="J39">
            <v>0</v>
          </cell>
          <cell r="K39">
            <v>0</v>
          </cell>
        </row>
        <row r="40">
          <cell r="A40" t="str">
            <v>1050102004</v>
          </cell>
          <cell r="B40">
            <v>2</v>
          </cell>
          <cell r="C40">
            <v>1</v>
          </cell>
          <cell r="D40" t="str">
            <v>Distribuidora Sevi</v>
          </cell>
          <cell r="E40">
            <v>335531</v>
          </cell>
          <cell r="F40">
            <v>13328.4</v>
          </cell>
          <cell r="G40">
            <v>107787.93</v>
          </cell>
          <cell r="H40">
            <v>241071.47</v>
          </cell>
          <cell r="I40">
            <v>0</v>
          </cell>
          <cell r="J40">
            <v>0</v>
          </cell>
          <cell r="K40">
            <v>0</v>
          </cell>
        </row>
        <row r="41">
          <cell r="A41" t="str">
            <v>1050102006</v>
          </cell>
          <cell r="B41">
            <v>2</v>
          </cell>
          <cell r="C41">
            <v>1</v>
          </cell>
          <cell r="D41" t="str">
            <v>Lifoods</v>
          </cell>
          <cell r="E41">
            <v>159668.43</v>
          </cell>
          <cell r="F41">
            <v>0</v>
          </cell>
          <cell r="G41">
            <v>0</v>
          </cell>
          <cell r="H41">
            <v>159668.43</v>
          </cell>
          <cell r="I41">
            <v>0</v>
          </cell>
          <cell r="J41">
            <v>0</v>
          </cell>
          <cell r="K41">
            <v>0</v>
          </cell>
        </row>
        <row r="42">
          <cell r="A42" t="str">
            <v>1050102009</v>
          </cell>
          <cell r="B42">
            <v>2</v>
          </cell>
          <cell r="C42">
            <v>1</v>
          </cell>
          <cell r="D42" t="str">
            <v>Leticia Paz Urias</v>
          </cell>
          <cell r="E42">
            <v>0</v>
          </cell>
          <cell r="F42">
            <v>92988.5</v>
          </cell>
          <cell r="G42">
            <v>0</v>
          </cell>
          <cell r="H42">
            <v>92988.5</v>
          </cell>
          <cell r="I42">
            <v>0</v>
          </cell>
          <cell r="J42">
            <v>0</v>
          </cell>
          <cell r="K42">
            <v>0</v>
          </cell>
        </row>
        <row r="43">
          <cell r="A43" t="str">
            <v>1050102010</v>
          </cell>
          <cell r="B43">
            <v>2</v>
          </cell>
          <cell r="C43">
            <v>1</v>
          </cell>
          <cell r="D43" t="str">
            <v>Reinvex</v>
          </cell>
          <cell r="E43">
            <v>1596697.59</v>
          </cell>
          <cell r="F43">
            <v>765115.75</v>
          </cell>
          <cell r="G43">
            <v>658506.34</v>
          </cell>
          <cell r="H43">
            <v>1703307</v>
          </cell>
          <cell r="I43">
            <v>479294</v>
          </cell>
          <cell r="J43">
            <v>0</v>
          </cell>
          <cell r="K43">
            <v>0</v>
          </cell>
        </row>
        <row r="44">
          <cell r="A44" t="str">
            <v>1050102011</v>
          </cell>
          <cell r="B44">
            <v>2</v>
          </cell>
          <cell r="C44">
            <v>1</v>
          </cell>
          <cell r="D44" t="str">
            <v>Alma Gabriela Burgos Jaurena</v>
          </cell>
          <cell r="E44">
            <v>17994.82</v>
          </cell>
          <cell r="F44">
            <v>0</v>
          </cell>
          <cell r="G44">
            <v>0</v>
          </cell>
          <cell r="H44">
            <v>17994.82</v>
          </cell>
          <cell r="I44">
            <v>0</v>
          </cell>
          <cell r="J44">
            <v>0</v>
          </cell>
          <cell r="K44">
            <v>0</v>
          </cell>
        </row>
        <row r="45">
          <cell r="A45" t="str">
            <v>1050102013</v>
          </cell>
          <cell r="B45">
            <v>2</v>
          </cell>
          <cell r="C45">
            <v>1</v>
          </cell>
          <cell r="D45" t="str">
            <v>Medicamentos nacionales y mas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3222.14</v>
          </cell>
          <cell r="J45">
            <v>0</v>
          </cell>
          <cell r="K45">
            <v>0</v>
          </cell>
        </row>
        <row r="46">
          <cell r="A46" t="str">
            <v>1050102014</v>
          </cell>
          <cell r="B46">
            <v>2</v>
          </cell>
          <cell r="C46">
            <v>1</v>
          </cell>
          <cell r="D46" t="str">
            <v>Super Mayoreo Naturista</v>
          </cell>
          <cell r="E46">
            <v>0</v>
          </cell>
          <cell r="F46">
            <v>266026.39</v>
          </cell>
          <cell r="G46">
            <v>0</v>
          </cell>
          <cell r="H46">
            <v>266026.39</v>
          </cell>
          <cell r="I46">
            <v>697967.67</v>
          </cell>
          <cell r="J46">
            <v>176829.3</v>
          </cell>
          <cell r="K46">
            <v>338997.59</v>
          </cell>
        </row>
        <row r="47">
          <cell r="A47" t="str">
            <v>1050102015</v>
          </cell>
          <cell r="B47">
            <v>2</v>
          </cell>
          <cell r="C47">
            <v>1</v>
          </cell>
          <cell r="D47" t="str">
            <v>Difarmer</v>
          </cell>
          <cell r="E47">
            <v>268721.90000000002</v>
          </cell>
          <cell r="F47">
            <v>739465.96</v>
          </cell>
          <cell r="G47">
            <v>434540.37</v>
          </cell>
          <cell r="H47">
            <v>573647.49</v>
          </cell>
          <cell r="I47">
            <v>0</v>
          </cell>
          <cell r="J47">
            <v>0</v>
          </cell>
          <cell r="K47">
            <v>0</v>
          </cell>
        </row>
        <row r="48">
          <cell r="A48" t="str">
            <v>1050102016</v>
          </cell>
          <cell r="B48">
            <v>2</v>
          </cell>
          <cell r="C48">
            <v>1</v>
          </cell>
          <cell r="D48" t="str">
            <v>Rosario Mendoza Macedo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627511.69999999995</v>
          </cell>
          <cell r="J48">
            <v>174274.93</v>
          </cell>
          <cell r="K48">
            <v>366778.6</v>
          </cell>
        </row>
        <row r="49">
          <cell r="A49" t="str">
            <v>1050102017</v>
          </cell>
          <cell r="B49">
            <v>2</v>
          </cell>
          <cell r="C49">
            <v>1</v>
          </cell>
          <cell r="D49" t="str">
            <v>Brudifarma</v>
          </cell>
          <cell r="E49">
            <v>237551.01</v>
          </cell>
          <cell r="F49">
            <v>331195.59999999998</v>
          </cell>
          <cell r="G49">
            <v>298309.40000000002</v>
          </cell>
          <cell r="H49">
            <v>270437.21000000002</v>
          </cell>
          <cell r="I49">
            <v>0</v>
          </cell>
          <cell r="J49">
            <v>0</v>
          </cell>
          <cell r="K49">
            <v>0</v>
          </cell>
        </row>
        <row r="50">
          <cell r="A50" t="str">
            <v>1050102019</v>
          </cell>
          <cell r="B50">
            <v>2</v>
          </cell>
          <cell r="C50">
            <v>1</v>
          </cell>
          <cell r="D50" t="str">
            <v>Proveedora Farmaceutica Race</v>
          </cell>
          <cell r="E50">
            <v>56879.56</v>
          </cell>
          <cell r="F50">
            <v>63010.13</v>
          </cell>
          <cell r="G50">
            <v>2513.5100000000002</v>
          </cell>
          <cell r="H50">
            <v>117376.18</v>
          </cell>
          <cell r="I50">
            <v>0</v>
          </cell>
          <cell r="J50">
            <v>0</v>
          </cell>
          <cell r="K50">
            <v>0</v>
          </cell>
        </row>
        <row r="51">
          <cell r="A51" t="str">
            <v>1050102020</v>
          </cell>
          <cell r="B51">
            <v>2</v>
          </cell>
          <cell r="C51">
            <v>1</v>
          </cell>
          <cell r="D51" t="str">
            <v>Distribuidora Farmaceutica Calderon</v>
          </cell>
          <cell r="E51">
            <v>285541.65000000002</v>
          </cell>
          <cell r="F51">
            <v>195169.67</v>
          </cell>
          <cell r="G51">
            <v>285541.65000000002</v>
          </cell>
          <cell r="H51">
            <v>195169.67</v>
          </cell>
          <cell r="I51">
            <v>0</v>
          </cell>
          <cell r="J51">
            <v>0</v>
          </cell>
          <cell r="K51">
            <v>0</v>
          </cell>
        </row>
        <row r="52">
          <cell r="A52" t="str">
            <v>1050102021</v>
          </cell>
          <cell r="B52">
            <v>2</v>
          </cell>
          <cell r="C52">
            <v>1</v>
          </cell>
          <cell r="D52" t="str">
            <v>Promotora Saludanat</v>
          </cell>
          <cell r="E52">
            <v>0</v>
          </cell>
          <cell r="F52">
            <v>107217.88</v>
          </cell>
          <cell r="G52">
            <v>0</v>
          </cell>
          <cell r="H52">
            <v>107217.88</v>
          </cell>
          <cell r="I52">
            <v>383238.02</v>
          </cell>
          <cell r="J52">
            <v>55933.61</v>
          </cell>
          <cell r="K52">
            <v>65753.34</v>
          </cell>
        </row>
        <row r="53">
          <cell r="A53" t="str">
            <v>1050102022</v>
          </cell>
          <cell r="B53">
            <v>2</v>
          </cell>
          <cell r="C53">
            <v>1</v>
          </cell>
          <cell r="D53" t="str">
            <v>Farmaceuticos Tenorio</v>
          </cell>
          <cell r="E53">
            <v>707996.57</v>
          </cell>
          <cell r="F53">
            <v>207643.19</v>
          </cell>
          <cell r="G53">
            <v>127800.39</v>
          </cell>
          <cell r="H53">
            <v>787839.37</v>
          </cell>
          <cell r="I53">
            <v>0</v>
          </cell>
          <cell r="J53">
            <v>0</v>
          </cell>
          <cell r="K53">
            <v>0</v>
          </cell>
        </row>
        <row r="54">
          <cell r="A54" t="str">
            <v>1050102023</v>
          </cell>
          <cell r="B54">
            <v>2</v>
          </cell>
          <cell r="C54">
            <v>1</v>
          </cell>
          <cell r="D54" t="str">
            <v>Pharma Life</v>
          </cell>
          <cell r="E54">
            <v>48343.93</v>
          </cell>
          <cell r="F54">
            <v>28839.78</v>
          </cell>
          <cell r="G54">
            <v>30446.87</v>
          </cell>
          <cell r="H54">
            <v>46736.84</v>
          </cell>
          <cell r="I54">
            <v>0</v>
          </cell>
          <cell r="J54">
            <v>0</v>
          </cell>
          <cell r="K54">
            <v>0</v>
          </cell>
        </row>
        <row r="55">
          <cell r="A55" t="str">
            <v>1050102024</v>
          </cell>
          <cell r="B55">
            <v>2</v>
          </cell>
          <cell r="C55">
            <v>1</v>
          </cell>
          <cell r="D55" t="str">
            <v>Xana Lab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738043.62</v>
          </cell>
          <cell r="J55">
            <v>56750.19</v>
          </cell>
          <cell r="K55">
            <v>223757.95</v>
          </cell>
        </row>
        <row r="56">
          <cell r="A56" t="str">
            <v>1050102025</v>
          </cell>
          <cell r="B56">
            <v>2</v>
          </cell>
          <cell r="C56">
            <v>1</v>
          </cell>
          <cell r="D56" t="str">
            <v>Grupo Comercializadora la Espiga</v>
          </cell>
          <cell r="E56">
            <v>0</v>
          </cell>
          <cell r="F56">
            <v>9803.99</v>
          </cell>
          <cell r="G56">
            <v>0</v>
          </cell>
          <cell r="H56">
            <v>9803.99</v>
          </cell>
          <cell r="I56">
            <v>0</v>
          </cell>
          <cell r="J56">
            <v>0</v>
          </cell>
          <cell r="K56">
            <v>0</v>
          </cell>
        </row>
        <row r="57">
          <cell r="A57" t="str">
            <v>1050102026</v>
          </cell>
          <cell r="B57">
            <v>2</v>
          </cell>
          <cell r="C57">
            <v>1</v>
          </cell>
          <cell r="D57" t="str">
            <v>Disag Farmaceutica</v>
          </cell>
          <cell r="E57">
            <v>68420.92</v>
          </cell>
          <cell r="F57">
            <v>0</v>
          </cell>
          <cell r="G57">
            <v>68420.92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A58" t="str">
            <v>1050102027</v>
          </cell>
          <cell r="B58">
            <v>2</v>
          </cell>
          <cell r="C58">
            <v>1</v>
          </cell>
          <cell r="D58" t="str">
            <v>Distribuidora Naturista de Occidente</v>
          </cell>
          <cell r="E58">
            <v>15518.14</v>
          </cell>
          <cell r="F58">
            <v>0</v>
          </cell>
          <cell r="G58">
            <v>0</v>
          </cell>
          <cell r="H58">
            <v>15518.14</v>
          </cell>
          <cell r="I58">
            <v>0</v>
          </cell>
          <cell r="J58">
            <v>0</v>
          </cell>
          <cell r="K58">
            <v>0</v>
          </cell>
        </row>
        <row r="59">
          <cell r="A59" t="str">
            <v>1050102028</v>
          </cell>
          <cell r="B59">
            <v>2</v>
          </cell>
          <cell r="C59">
            <v>1</v>
          </cell>
          <cell r="D59" t="str">
            <v>Farmatotal</v>
          </cell>
          <cell r="E59">
            <v>0</v>
          </cell>
          <cell r="F59">
            <v>94085.4</v>
          </cell>
          <cell r="G59">
            <v>0</v>
          </cell>
          <cell r="H59">
            <v>94085.4</v>
          </cell>
          <cell r="I59">
            <v>0</v>
          </cell>
          <cell r="J59">
            <v>0</v>
          </cell>
          <cell r="K59">
            <v>0</v>
          </cell>
        </row>
        <row r="60">
          <cell r="A60" t="str">
            <v>1050102029</v>
          </cell>
          <cell r="B60">
            <v>2</v>
          </cell>
          <cell r="C60">
            <v>1</v>
          </cell>
          <cell r="D60" t="str">
            <v>Comercializadora Naturista de Mexico</v>
          </cell>
          <cell r="E60">
            <v>0</v>
          </cell>
          <cell r="F60">
            <v>41472.01</v>
          </cell>
          <cell r="G60">
            <v>0</v>
          </cell>
          <cell r="H60">
            <v>41472.01</v>
          </cell>
          <cell r="I60">
            <v>34830.07</v>
          </cell>
          <cell r="J60">
            <v>0</v>
          </cell>
          <cell r="K60">
            <v>34830.07</v>
          </cell>
        </row>
        <row r="61">
          <cell r="A61" t="str">
            <v>1050102030</v>
          </cell>
          <cell r="B61">
            <v>2</v>
          </cell>
          <cell r="C61">
            <v>1</v>
          </cell>
          <cell r="D61" t="str">
            <v>Farmaceutica Delta</v>
          </cell>
          <cell r="E61">
            <v>80406.039999999994</v>
          </cell>
          <cell r="F61">
            <v>0</v>
          </cell>
          <cell r="G61">
            <v>0</v>
          </cell>
          <cell r="H61">
            <v>80406.039999999994</v>
          </cell>
          <cell r="I61">
            <v>0</v>
          </cell>
          <cell r="J61">
            <v>0</v>
          </cell>
          <cell r="K61">
            <v>0</v>
          </cell>
        </row>
        <row r="62">
          <cell r="A62" t="str">
            <v>1050102031</v>
          </cell>
          <cell r="B62">
            <v>2</v>
          </cell>
          <cell r="C62">
            <v>1</v>
          </cell>
          <cell r="D62" t="str">
            <v>Nutraceuticos Gamez</v>
          </cell>
          <cell r="E62">
            <v>6585.42</v>
          </cell>
          <cell r="F62">
            <v>6585.42</v>
          </cell>
          <cell r="G62">
            <v>6585.42</v>
          </cell>
          <cell r="H62">
            <v>6585.42</v>
          </cell>
          <cell r="I62">
            <v>0</v>
          </cell>
          <cell r="J62">
            <v>0</v>
          </cell>
          <cell r="K62">
            <v>0</v>
          </cell>
        </row>
        <row r="63">
          <cell r="A63" t="str">
            <v>1050102032</v>
          </cell>
          <cell r="B63">
            <v>2</v>
          </cell>
          <cell r="C63">
            <v>1</v>
          </cell>
          <cell r="D63" t="str">
            <v>La Milpa Central Naturista</v>
          </cell>
          <cell r="E63">
            <v>7894.39</v>
          </cell>
          <cell r="F63">
            <v>7335.55</v>
          </cell>
          <cell r="G63">
            <v>7335.55</v>
          </cell>
          <cell r="H63">
            <v>7894.39</v>
          </cell>
          <cell r="I63">
            <v>0</v>
          </cell>
          <cell r="J63">
            <v>0</v>
          </cell>
          <cell r="K63">
            <v>0</v>
          </cell>
        </row>
        <row r="64">
          <cell r="A64" t="str">
            <v>1050102033</v>
          </cell>
          <cell r="B64">
            <v>2</v>
          </cell>
          <cell r="C64">
            <v>1</v>
          </cell>
          <cell r="D64" t="str">
            <v>Grupo Farmaceutico  LYM</v>
          </cell>
          <cell r="E64">
            <v>0</v>
          </cell>
          <cell r="F64">
            <v>27419.54</v>
          </cell>
          <cell r="G64">
            <v>27419.54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A65" t="str">
            <v>1050102034</v>
          </cell>
          <cell r="B65">
            <v>2</v>
          </cell>
          <cell r="C65">
            <v>1</v>
          </cell>
          <cell r="D65" t="str">
            <v>Operadora Super Soya</v>
          </cell>
          <cell r="E65">
            <v>20372.939999999999</v>
          </cell>
          <cell r="F65">
            <v>10264.49</v>
          </cell>
          <cell r="G65">
            <v>12748.84</v>
          </cell>
          <cell r="H65">
            <v>17888.59</v>
          </cell>
          <cell r="I65">
            <v>0</v>
          </cell>
          <cell r="J65">
            <v>0</v>
          </cell>
          <cell r="K65">
            <v>0</v>
          </cell>
        </row>
        <row r="66">
          <cell r="A66" t="str">
            <v>1050102035</v>
          </cell>
          <cell r="B66">
            <v>2</v>
          </cell>
          <cell r="C66">
            <v>1</v>
          </cell>
          <cell r="D66" t="str">
            <v>Hilda Adriana Mercado Alvarez</v>
          </cell>
          <cell r="E66">
            <v>0</v>
          </cell>
          <cell r="F66">
            <v>1373.5</v>
          </cell>
          <cell r="G66">
            <v>1373.5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A67" t="str">
            <v>1050102036</v>
          </cell>
          <cell r="B67">
            <v>2</v>
          </cell>
          <cell r="C67">
            <v>1</v>
          </cell>
          <cell r="D67" t="str">
            <v>SERVICIOS EN PUERTOS Y TERMINALES</v>
          </cell>
          <cell r="E67">
            <v>1747212.69</v>
          </cell>
          <cell r="F67">
            <v>359163.81</v>
          </cell>
          <cell r="G67">
            <v>180058.74</v>
          </cell>
          <cell r="H67">
            <v>1926317.76</v>
          </cell>
          <cell r="I67">
            <v>0</v>
          </cell>
          <cell r="J67">
            <v>0</v>
          </cell>
          <cell r="K67">
            <v>0</v>
          </cell>
        </row>
        <row r="68">
          <cell r="A68" t="str">
            <v>1050102037</v>
          </cell>
          <cell r="B68">
            <v>2</v>
          </cell>
          <cell r="C68">
            <v>1</v>
          </cell>
          <cell r="D68" t="str">
            <v>GRUPO SOYANATURA</v>
          </cell>
          <cell r="E68">
            <v>4462.3900000000003</v>
          </cell>
          <cell r="F68">
            <v>0</v>
          </cell>
          <cell r="G68">
            <v>0</v>
          </cell>
          <cell r="H68">
            <v>4462.3900000000003</v>
          </cell>
          <cell r="I68">
            <v>0</v>
          </cell>
          <cell r="J68">
            <v>0</v>
          </cell>
          <cell r="K68">
            <v>0</v>
          </cell>
        </row>
        <row r="69">
          <cell r="A69" t="str">
            <v>1050102038</v>
          </cell>
          <cell r="B69">
            <v>2</v>
          </cell>
          <cell r="C69">
            <v>1</v>
          </cell>
          <cell r="D69" t="str">
            <v>FARMIRAL SA DE CV</v>
          </cell>
          <cell r="E69">
            <v>1288023.19</v>
          </cell>
          <cell r="F69">
            <v>1876050.71</v>
          </cell>
          <cell r="G69">
            <v>1876050.71</v>
          </cell>
          <cell r="H69">
            <v>1288023.19</v>
          </cell>
          <cell r="I69">
            <v>0</v>
          </cell>
          <cell r="J69">
            <v>0</v>
          </cell>
          <cell r="K69">
            <v>0</v>
          </cell>
        </row>
        <row r="70">
          <cell r="A70" t="str">
            <v>1050102039</v>
          </cell>
          <cell r="B70">
            <v>2</v>
          </cell>
          <cell r="C70">
            <v>1</v>
          </cell>
          <cell r="D70" t="str">
            <v>INSUMOS PARA LA SALUD ROSARIO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27943.37</v>
          </cell>
          <cell r="K70">
            <v>0</v>
          </cell>
        </row>
        <row r="71">
          <cell r="A71" t="str">
            <v>1050103001</v>
          </cell>
          <cell r="B71">
            <v>2</v>
          </cell>
          <cell r="C71">
            <v>1</v>
          </cell>
          <cell r="D71" t="str">
            <v>Pharma Plus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3901661.05</v>
          </cell>
          <cell r="J71">
            <v>2105721.88</v>
          </cell>
          <cell r="K71">
            <v>1874931.34</v>
          </cell>
        </row>
        <row r="72">
          <cell r="A72" t="str">
            <v>1050103003</v>
          </cell>
          <cell r="B72">
            <v>2</v>
          </cell>
          <cell r="C72">
            <v>1</v>
          </cell>
          <cell r="D72" t="str">
            <v>Farmacia Guadalajara</v>
          </cell>
          <cell r="E72">
            <v>2635804.54</v>
          </cell>
          <cell r="F72">
            <v>804558.72</v>
          </cell>
          <cell r="G72">
            <v>0</v>
          </cell>
          <cell r="H72">
            <v>3440363.26</v>
          </cell>
          <cell r="I72">
            <v>370538.74</v>
          </cell>
          <cell r="J72">
            <v>0</v>
          </cell>
          <cell r="K72">
            <v>0</v>
          </cell>
        </row>
        <row r="73">
          <cell r="A73" t="str">
            <v>1050103004</v>
          </cell>
          <cell r="B73">
            <v>2</v>
          </cell>
          <cell r="C73">
            <v>1</v>
          </cell>
          <cell r="D73" t="str">
            <v>Farmacos Nacionales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136540.46</v>
          </cell>
          <cell r="J73">
            <v>0</v>
          </cell>
          <cell r="K73">
            <v>0</v>
          </cell>
        </row>
        <row r="74">
          <cell r="A74" t="str">
            <v>1050103006</v>
          </cell>
          <cell r="B74">
            <v>2</v>
          </cell>
          <cell r="C74">
            <v>1</v>
          </cell>
          <cell r="D74" t="str">
            <v>Supermercados Internacionales H E B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104614.51</v>
          </cell>
          <cell r="J74">
            <v>50815.8</v>
          </cell>
          <cell r="K74">
            <v>0</v>
          </cell>
        </row>
        <row r="75">
          <cell r="A75" t="str">
            <v>1050103008</v>
          </cell>
          <cell r="B75">
            <v>2</v>
          </cell>
          <cell r="C75">
            <v>1</v>
          </cell>
          <cell r="D75" t="str">
            <v>Empleados</v>
          </cell>
          <cell r="E75">
            <v>6286.5</v>
          </cell>
          <cell r="F75">
            <v>0</v>
          </cell>
          <cell r="G75">
            <v>0</v>
          </cell>
          <cell r="H75">
            <v>6286.5</v>
          </cell>
          <cell r="I75">
            <v>0</v>
          </cell>
          <cell r="J75">
            <v>0</v>
          </cell>
          <cell r="K75">
            <v>0</v>
          </cell>
        </row>
        <row r="76">
          <cell r="A76" t="str">
            <v>1050103010</v>
          </cell>
          <cell r="B76">
            <v>2</v>
          </cell>
          <cell r="C76">
            <v>1</v>
          </cell>
          <cell r="D76" t="str">
            <v>VENTA DE ECOMERCE</v>
          </cell>
          <cell r="E76">
            <v>27625.61</v>
          </cell>
          <cell r="F76">
            <v>36387.67</v>
          </cell>
          <cell r="G76">
            <v>57903.79</v>
          </cell>
          <cell r="H76">
            <v>6109.49</v>
          </cell>
          <cell r="I76">
            <v>7198.6</v>
          </cell>
          <cell r="J76">
            <v>335.85</v>
          </cell>
          <cell r="K76">
            <v>7534.45</v>
          </cell>
        </row>
        <row r="77">
          <cell r="A77" t="str">
            <v>1050103011</v>
          </cell>
          <cell r="B77">
            <v>2</v>
          </cell>
          <cell r="C77">
            <v>1</v>
          </cell>
          <cell r="D77" t="str">
            <v>Otros Retail</v>
          </cell>
          <cell r="E77">
            <v>92563.75</v>
          </cell>
          <cell r="F77">
            <v>0</v>
          </cell>
          <cell r="G77">
            <v>0</v>
          </cell>
          <cell r="H77">
            <v>92563.75</v>
          </cell>
          <cell r="I77">
            <v>0</v>
          </cell>
          <cell r="J77">
            <v>0</v>
          </cell>
          <cell r="K77">
            <v>0</v>
          </cell>
        </row>
        <row r="78">
          <cell r="A78" t="str">
            <v>1050103013</v>
          </cell>
          <cell r="B78">
            <v>2</v>
          </cell>
          <cell r="C78">
            <v>1</v>
          </cell>
          <cell r="D78" t="str">
            <v>SALVADOR ALVAREZ OCEGUEDA</v>
          </cell>
          <cell r="E78">
            <v>0</v>
          </cell>
          <cell r="F78">
            <v>12753.44</v>
          </cell>
          <cell r="G78">
            <v>0</v>
          </cell>
          <cell r="H78">
            <v>12753.44</v>
          </cell>
          <cell r="I78">
            <v>0</v>
          </cell>
          <cell r="J78">
            <v>0</v>
          </cell>
          <cell r="K78">
            <v>0</v>
          </cell>
        </row>
        <row r="79">
          <cell r="A79" t="str">
            <v>1070101001</v>
          </cell>
          <cell r="B79">
            <v>2</v>
          </cell>
          <cell r="C79">
            <v>1</v>
          </cell>
          <cell r="D79" t="str">
            <v>Empleados cta provisional</v>
          </cell>
          <cell r="E79">
            <v>0</v>
          </cell>
          <cell r="F79">
            <v>10000</v>
          </cell>
          <cell r="G79">
            <v>10000</v>
          </cell>
          <cell r="H79">
            <v>0</v>
          </cell>
          <cell r="I79">
            <v>31358.39</v>
          </cell>
          <cell r="J79">
            <v>0</v>
          </cell>
          <cell r="K79">
            <v>0</v>
          </cell>
        </row>
        <row r="80">
          <cell r="A80" t="str">
            <v>1070101002</v>
          </cell>
          <cell r="B80">
            <v>2</v>
          </cell>
          <cell r="C80">
            <v>1</v>
          </cell>
          <cell r="D80" t="str">
            <v>Christian Sotelo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4113.4799999999996</v>
          </cell>
          <cell r="J80">
            <v>0</v>
          </cell>
          <cell r="K80">
            <v>0</v>
          </cell>
        </row>
        <row r="81">
          <cell r="A81" t="str">
            <v>1070101003</v>
          </cell>
          <cell r="B81">
            <v>2</v>
          </cell>
          <cell r="C81">
            <v>1</v>
          </cell>
          <cell r="D81" t="str">
            <v>ALVARO LOMELI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892.47</v>
          </cell>
          <cell r="K81">
            <v>0</v>
          </cell>
        </row>
        <row r="82">
          <cell r="A82" t="str">
            <v>1070101004</v>
          </cell>
          <cell r="B82">
            <v>2</v>
          </cell>
          <cell r="C82">
            <v>1</v>
          </cell>
          <cell r="D82" t="str">
            <v>DIEGO IVAN MURGUIA SALAS</v>
          </cell>
          <cell r="E82">
            <v>22622.05</v>
          </cell>
          <cell r="F82">
            <v>3800</v>
          </cell>
          <cell r="G82">
            <v>102</v>
          </cell>
          <cell r="H82">
            <v>26320.05</v>
          </cell>
          <cell r="I82">
            <v>0</v>
          </cell>
          <cell r="J82">
            <v>1148.6600000000001</v>
          </cell>
          <cell r="K82">
            <v>0</v>
          </cell>
        </row>
        <row r="83">
          <cell r="A83" t="str">
            <v>1070101005</v>
          </cell>
          <cell r="B83">
            <v>2</v>
          </cell>
          <cell r="C83">
            <v>1</v>
          </cell>
          <cell r="D83" t="str">
            <v>ARACELI IBARRA TLAHUEL</v>
          </cell>
          <cell r="E83">
            <v>4818.5</v>
          </cell>
          <cell r="F83">
            <v>0</v>
          </cell>
          <cell r="G83">
            <v>43.43</v>
          </cell>
          <cell r="H83">
            <v>4775.07</v>
          </cell>
          <cell r="I83">
            <v>0</v>
          </cell>
          <cell r="J83">
            <v>0</v>
          </cell>
          <cell r="K83">
            <v>0</v>
          </cell>
        </row>
        <row r="84">
          <cell r="A84" t="str">
            <v>1070101007</v>
          </cell>
          <cell r="B84">
            <v>2</v>
          </cell>
          <cell r="C84">
            <v>1</v>
          </cell>
          <cell r="D84" t="str">
            <v>MIRIAM ALEJANDRA MARMOLEJO BELTRAN</v>
          </cell>
          <cell r="E84">
            <v>423.48</v>
          </cell>
          <cell r="F84">
            <v>0</v>
          </cell>
          <cell r="G84">
            <v>0</v>
          </cell>
          <cell r="H84">
            <v>423.48</v>
          </cell>
          <cell r="I84">
            <v>0</v>
          </cell>
          <cell r="J84">
            <v>0</v>
          </cell>
          <cell r="K84">
            <v>0</v>
          </cell>
        </row>
        <row r="85">
          <cell r="A85" t="str">
            <v>1070101008</v>
          </cell>
          <cell r="B85">
            <v>2</v>
          </cell>
          <cell r="C85">
            <v>1</v>
          </cell>
          <cell r="D85" t="str">
            <v>LUIS FERNANDO CORREA MIRAMONTES</v>
          </cell>
          <cell r="E85">
            <v>2698.35</v>
          </cell>
          <cell r="F85">
            <v>0</v>
          </cell>
          <cell r="G85">
            <v>0</v>
          </cell>
          <cell r="H85">
            <v>2698.35</v>
          </cell>
          <cell r="I85">
            <v>0</v>
          </cell>
          <cell r="J85">
            <v>0</v>
          </cell>
          <cell r="K85">
            <v>0</v>
          </cell>
        </row>
        <row r="86">
          <cell r="A86" t="str">
            <v>1070101009</v>
          </cell>
          <cell r="B86">
            <v>2</v>
          </cell>
          <cell r="C86">
            <v>1</v>
          </cell>
          <cell r="D86" t="str">
            <v>AXEL CORREA MIRAMONTES</v>
          </cell>
          <cell r="E86">
            <v>5104</v>
          </cell>
          <cell r="F86">
            <v>0</v>
          </cell>
          <cell r="G86">
            <v>0</v>
          </cell>
          <cell r="H86">
            <v>5104</v>
          </cell>
          <cell r="I86">
            <v>0</v>
          </cell>
          <cell r="J86">
            <v>94498.27</v>
          </cell>
          <cell r="K86">
            <v>0</v>
          </cell>
        </row>
        <row r="87">
          <cell r="A87" t="str">
            <v>1070101010</v>
          </cell>
          <cell r="B87">
            <v>2</v>
          </cell>
          <cell r="C87">
            <v>1</v>
          </cell>
          <cell r="D87" t="str">
            <v>ANA LUISA MIRAMONTES ZEPEDA</v>
          </cell>
          <cell r="E87">
            <v>6775.15</v>
          </cell>
          <cell r="F87">
            <v>0</v>
          </cell>
          <cell r="G87">
            <v>0</v>
          </cell>
          <cell r="H87">
            <v>6775.15</v>
          </cell>
          <cell r="I87">
            <v>0</v>
          </cell>
          <cell r="J87">
            <v>0</v>
          </cell>
          <cell r="K87">
            <v>0</v>
          </cell>
        </row>
        <row r="88">
          <cell r="A88" t="str">
            <v>1070101011</v>
          </cell>
          <cell r="B88">
            <v>2</v>
          </cell>
          <cell r="C88">
            <v>1</v>
          </cell>
          <cell r="D88" t="str">
            <v>ALFREDO FRAUSTO PUGA</v>
          </cell>
          <cell r="E88">
            <v>10000</v>
          </cell>
          <cell r="F88">
            <v>0</v>
          </cell>
          <cell r="G88">
            <v>0</v>
          </cell>
          <cell r="H88">
            <v>10000</v>
          </cell>
          <cell r="I88">
            <v>0</v>
          </cell>
          <cell r="J88">
            <v>0</v>
          </cell>
          <cell r="K88">
            <v>0</v>
          </cell>
        </row>
        <row r="89">
          <cell r="A89" t="str">
            <v>1070101012</v>
          </cell>
          <cell r="B89">
            <v>2</v>
          </cell>
          <cell r="C89">
            <v>1</v>
          </cell>
          <cell r="D89" t="str">
            <v>MARIA CRISTINA AGUILAR GOMEZ</v>
          </cell>
          <cell r="E89">
            <v>2767.74</v>
          </cell>
          <cell r="F89">
            <v>1411.21</v>
          </cell>
          <cell r="G89">
            <v>1117.74</v>
          </cell>
          <cell r="H89">
            <v>3061.21</v>
          </cell>
          <cell r="I89">
            <v>0</v>
          </cell>
          <cell r="J89">
            <v>0</v>
          </cell>
          <cell r="K89">
            <v>0</v>
          </cell>
        </row>
        <row r="90">
          <cell r="A90" t="str">
            <v>1070101013</v>
          </cell>
          <cell r="B90">
            <v>2</v>
          </cell>
          <cell r="C90">
            <v>1</v>
          </cell>
          <cell r="D90" t="str">
            <v>MARIA GUADALUPE CARMONA</v>
          </cell>
          <cell r="E90">
            <v>5755.94</v>
          </cell>
          <cell r="F90">
            <v>0</v>
          </cell>
          <cell r="G90">
            <v>0</v>
          </cell>
          <cell r="H90">
            <v>5755.94</v>
          </cell>
          <cell r="I90">
            <v>0</v>
          </cell>
          <cell r="J90">
            <v>0</v>
          </cell>
          <cell r="K90">
            <v>0</v>
          </cell>
        </row>
        <row r="91">
          <cell r="A91" t="str">
            <v>1070101015</v>
          </cell>
          <cell r="B91">
            <v>2</v>
          </cell>
          <cell r="C91">
            <v>1</v>
          </cell>
          <cell r="D91" t="str">
            <v>MARIO CARDENAS RUVALCABA</v>
          </cell>
          <cell r="E91">
            <v>0</v>
          </cell>
          <cell r="F91">
            <v>2440.96</v>
          </cell>
          <cell r="G91">
            <v>0</v>
          </cell>
          <cell r="H91">
            <v>2440.96</v>
          </cell>
          <cell r="I91">
            <v>0</v>
          </cell>
          <cell r="J91">
            <v>0</v>
          </cell>
          <cell r="K91">
            <v>0</v>
          </cell>
        </row>
        <row r="92">
          <cell r="A92" t="str">
            <v>1070102000</v>
          </cell>
          <cell r="B92">
            <v>2</v>
          </cell>
          <cell r="C92">
            <v>1</v>
          </cell>
          <cell r="D92" t="str">
            <v>GERARDO FUENTES</v>
          </cell>
          <cell r="E92">
            <v>0</v>
          </cell>
          <cell r="F92">
            <v>3600</v>
          </cell>
          <cell r="G92">
            <v>0</v>
          </cell>
          <cell r="H92">
            <v>3600</v>
          </cell>
          <cell r="I92">
            <v>0</v>
          </cell>
          <cell r="J92">
            <v>0</v>
          </cell>
          <cell r="K92">
            <v>0</v>
          </cell>
        </row>
        <row r="93">
          <cell r="A93" t="str">
            <v>1070200001</v>
          </cell>
          <cell r="B93">
            <v>2</v>
          </cell>
          <cell r="C93">
            <v>1</v>
          </cell>
          <cell r="D93" t="str">
            <v>Luis Fernando Correa Miramontes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197113.44</v>
          </cell>
          <cell r="J93">
            <v>0</v>
          </cell>
          <cell r="K93">
            <v>0</v>
          </cell>
        </row>
        <row r="94">
          <cell r="A94" t="str">
            <v>1070200002</v>
          </cell>
          <cell r="B94">
            <v>2</v>
          </cell>
          <cell r="C94">
            <v>1</v>
          </cell>
          <cell r="D94" t="str">
            <v>Ana Luisa Miramontes Zepeda</v>
          </cell>
          <cell r="E94">
            <v>17038</v>
          </cell>
          <cell r="F94">
            <v>0</v>
          </cell>
          <cell r="G94">
            <v>0</v>
          </cell>
          <cell r="H94">
            <v>17038</v>
          </cell>
          <cell r="I94">
            <v>125923.1</v>
          </cell>
          <cell r="J94">
            <v>0</v>
          </cell>
          <cell r="K94">
            <v>0</v>
          </cell>
        </row>
        <row r="95">
          <cell r="A95" t="str">
            <v>1070500001</v>
          </cell>
          <cell r="B95">
            <v>2</v>
          </cell>
          <cell r="C95">
            <v>1</v>
          </cell>
          <cell r="D95" t="str">
            <v>Farmiral</v>
          </cell>
          <cell r="E95">
            <v>58831694.07</v>
          </cell>
          <cell r="F95">
            <v>7983192.6600000001</v>
          </cell>
          <cell r="G95">
            <v>8492286.1099999994</v>
          </cell>
          <cell r="H95">
            <v>58322600.619999997</v>
          </cell>
          <cell r="I95">
            <v>0</v>
          </cell>
          <cell r="J95">
            <v>0</v>
          </cell>
          <cell r="K95">
            <v>0</v>
          </cell>
        </row>
        <row r="96">
          <cell r="A96" t="str">
            <v>1070500004</v>
          </cell>
          <cell r="B96">
            <v>2</v>
          </cell>
          <cell r="C96">
            <v>1</v>
          </cell>
          <cell r="D96" t="str">
            <v>Luis Fernando Correa Miramontes</v>
          </cell>
          <cell r="E96">
            <v>62444</v>
          </cell>
          <cell r="F96">
            <v>0</v>
          </cell>
          <cell r="G96">
            <v>0</v>
          </cell>
          <cell r="H96">
            <v>62444</v>
          </cell>
          <cell r="I96">
            <v>0</v>
          </cell>
          <cell r="J96">
            <v>0</v>
          </cell>
          <cell r="K96">
            <v>0</v>
          </cell>
        </row>
        <row r="97">
          <cell r="A97" t="str">
            <v>1070500006</v>
          </cell>
          <cell r="B97">
            <v>2</v>
          </cell>
          <cell r="C97">
            <v>1</v>
          </cell>
          <cell r="D97" t="str">
            <v>Cuenta puente deposito por mercado en Farmiral</v>
          </cell>
          <cell r="E97">
            <v>22661.57</v>
          </cell>
          <cell r="F97">
            <v>0</v>
          </cell>
          <cell r="G97">
            <v>0</v>
          </cell>
          <cell r="H97">
            <v>22661.57</v>
          </cell>
          <cell r="I97">
            <v>0</v>
          </cell>
          <cell r="J97">
            <v>0</v>
          </cell>
          <cell r="K97">
            <v>0</v>
          </cell>
        </row>
        <row r="98">
          <cell r="A98" t="str">
            <v>1070500009</v>
          </cell>
          <cell r="B98">
            <v>2</v>
          </cell>
          <cell r="C98">
            <v>1</v>
          </cell>
          <cell r="D98" t="str">
            <v>XIOMARA GONZALEZ LOPEZ</v>
          </cell>
          <cell r="E98">
            <v>8668.4500000000007</v>
          </cell>
          <cell r="F98">
            <v>0</v>
          </cell>
          <cell r="G98">
            <v>0</v>
          </cell>
          <cell r="H98">
            <v>8668.4500000000007</v>
          </cell>
          <cell r="I98">
            <v>0</v>
          </cell>
          <cell r="J98">
            <v>0</v>
          </cell>
          <cell r="K98">
            <v>0</v>
          </cell>
        </row>
        <row r="99">
          <cell r="A99" t="str">
            <v>1070500010</v>
          </cell>
          <cell r="B99">
            <v>2</v>
          </cell>
          <cell r="C99">
            <v>1</v>
          </cell>
          <cell r="D99" t="str">
            <v>IMSS</v>
          </cell>
          <cell r="E99">
            <v>99832.2</v>
          </cell>
          <cell r="F99">
            <v>0</v>
          </cell>
          <cell r="G99">
            <v>0</v>
          </cell>
          <cell r="H99">
            <v>99832.2</v>
          </cell>
          <cell r="I99">
            <v>0</v>
          </cell>
          <cell r="J99">
            <v>0</v>
          </cell>
          <cell r="K99">
            <v>0</v>
          </cell>
        </row>
        <row r="100">
          <cell r="A100" t="str">
            <v>1070500011</v>
          </cell>
          <cell r="B100">
            <v>2</v>
          </cell>
          <cell r="C100">
            <v>1</v>
          </cell>
          <cell r="D100" t="str">
            <v>Otros deudores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277737.26</v>
          </cell>
          <cell r="J100">
            <v>0</v>
          </cell>
          <cell r="K100">
            <v>0</v>
          </cell>
        </row>
        <row r="101">
          <cell r="A101" t="str">
            <v>1070500012</v>
          </cell>
          <cell r="B101">
            <v>2</v>
          </cell>
          <cell r="C101">
            <v>1</v>
          </cell>
          <cell r="D101" t="str">
            <v>INFONAVIT</v>
          </cell>
          <cell r="E101">
            <v>27478.95</v>
          </cell>
          <cell r="F101">
            <v>0</v>
          </cell>
          <cell r="G101">
            <v>0</v>
          </cell>
          <cell r="H101">
            <v>27478.95</v>
          </cell>
          <cell r="I101">
            <v>0</v>
          </cell>
          <cell r="J101">
            <v>0</v>
          </cell>
          <cell r="K101">
            <v>0</v>
          </cell>
        </row>
        <row r="102">
          <cell r="A102" t="str">
            <v>1070500013</v>
          </cell>
          <cell r="B102">
            <v>2</v>
          </cell>
          <cell r="C102">
            <v>1</v>
          </cell>
          <cell r="D102" t="str">
            <v>IMPRENTA COMERCIAL EL DEBATE (DEV MCIA MAL)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84291.199999999997</v>
          </cell>
          <cell r="J102">
            <v>0</v>
          </cell>
          <cell r="K102">
            <v>84291.199999999997</v>
          </cell>
        </row>
        <row r="103">
          <cell r="A103" t="str">
            <v>1070500014</v>
          </cell>
          <cell r="B103">
            <v>2</v>
          </cell>
          <cell r="C103">
            <v>1</v>
          </cell>
          <cell r="D103" t="str">
            <v>Cuenta puente deposito por mercado en Xanalab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36875.050000000003</v>
          </cell>
          <cell r="J103">
            <v>0</v>
          </cell>
          <cell r="K103">
            <v>0</v>
          </cell>
        </row>
        <row r="104">
          <cell r="A104" t="str">
            <v>1070500015</v>
          </cell>
          <cell r="B104">
            <v>2</v>
          </cell>
          <cell r="C104">
            <v>1</v>
          </cell>
          <cell r="D104" t="str">
            <v>COMERCIAL DE MERCANCIAS SELECTAS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100000</v>
          </cell>
          <cell r="K104">
            <v>0</v>
          </cell>
        </row>
        <row r="105">
          <cell r="A105" t="str">
            <v>1070500016</v>
          </cell>
          <cell r="B105">
            <v>2</v>
          </cell>
          <cell r="C105">
            <v>1</v>
          </cell>
          <cell r="D105" t="str">
            <v>GUSTAVO ASCENCION GRAJEDA JIMENEZ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5163.75</v>
          </cell>
          <cell r="K105">
            <v>0</v>
          </cell>
        </row>
        <row r="106">
          <cell r="A106" t="str">
            <v>1070500017</v>
          </cell>
          <cell r="B106">
            <v>2</v>
          </cell>
          <cell r="C106">
            <v>1</v>
          </cell>
          <cell r="D106" t="str">
            <v>TECNOLOGIAS APLICADAS LEBEN</v>
          </cell>
          <cell r="E106">
            <v>84192.06</v>
          </cell>
          <cell r="F106">
            <v>0</v>
          </cell>
          <cell r="G106">
            <v>0</v>
          </cell>
          <cell r="H106">
            <v>84192.06</v>
          </cell>
          <cell r="I106">
            <v>0</v>
          </cell>
          <cell r="J106">
            <v>0</v>
          </cell>
          <cell r="K106">
            <v>0</v>
          </cell>
        </row>
        <row r="107">
          <cell r="A107" t="str">
            <v>1070500018</v>
          </cell>
          <cell r="B107">
            <v>2</v>
          </cell>
          <cell r="C107">
            <v>1</v>
          </cell>
          <cell r="D107" t="str">
            <v>ALFAMEX INDUSTRIAL</v>
          </cell>
          <cell r="E107">
            <v>0</v>
          </cell>
          <cell r="F107">
            <v>24636.12</v>
          </cell>
          <cell r="G107">
            <v>0</v>
          </cell>
          <cell r="H107">
            <v>24636.12</v>
          </cell>
          <cell r="I107">
            <v>0</v>
          </cell>
          <cell r="J107">
            <v>0</v>
          </cell>
          <cell r="K107">
            <v>0</v>
          </cell>
        </row>
        <row r="108">
          <cell r="A108" t="str">
            <v>1090100001</v>
          </cell>
          <cell r="B108">
            <v>2</v>
          </cell>
          <cell r="C108">
            <v>1</v>
          </cell>
          <cell r="D108" t="str">
            <v>Seguros pagados por anticipado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270041.32</v>
          </cell>
          <cell r="J108">
            <v>0</v>
          </cell>
          <cell r="K108">
            <v>0</v>
          </cell>
        </row>
        <row r="109">
          <cell r="A109" t="str">
            <v>1092301000</v>
          </cell>
          <cell r="B109">
            <v>2</v>
          </cell>
          <cell r="C109">
            <v>1</v>
          </cell>
          <cell r="D109" t="str">
            <v>Licencias pagadas por anticipado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58053</v>
          </cell>
          <cell r="J109">
            <v>0</v>
          </cell>
          <cell r="K109">
            <v>0</v>
          </cell>
        </row>
        <row r="110">
          <cell r="A110" t="str">
            <v>1092302000</v>
          </cell>
          <cell r="B110">
            <v>2</v>
          </cell>
          <cell r="C110">
            <v>1</v>
          </cell>
          <cell r="D110" t="str">
            <v>Dividendos pagados por anticipado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120000</v>
          </cell>
          <cell r="J110">
            <v>0</v>
          </cell>
          <cell r="K110">
            <v>0</v>
          </cell>
        </row>
        <row r="111">
          <cell r="A111" t="str">
            <v>1130100000</v>
          </cell>
          <cell r="B111">
            <v>2</v>
          </cell>
          <cell r="C111">
            <v>1</v>
          </cell>
          <cell r="D111" t="str">
            <v>IVA a favor</v>
          </cell>
          <cell r="E111">
            <v>608781.27</v>
          </cell>
          <cell r="F111">
            <v>546387.38</v>
          </cell>
          <cell r="G111">
            <v>0</v>
          </cell>
          <cell r="H111">
            <v>1155168.6499999999</v>
          </cell>
          <cell r="I111">
            <v>1050021.1399999999</v>
          </cell>
          <cell r="J111">
            <v>0</v>
          </cell>
          <cell r="K111">
            <v>0</v>
          </cell>
        </row>
        <row r="112">
          <cell r="A112" t="str">
            <v>1130200000</v>
          </cell>
          <cell r="B112">
            <v>2</v>
          </cell>
          <cell r="C112">
            <v>1</v>
          </cell>
          <cell r="D112" t="str">
            <v>ISR a favor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6549221.21</v>
          </cell>
          <cell r="J112">
            <v>0</v>
          </cell>
          <cell r="K112">
            <v>0</v>
          </cell>
        </row>
        <row r="113">
          <cell r="A113" t="str">
            <v>1130700000</v>
          </cell>
          <cell r="B113">
            <v>2</v>
          </cell>
          <cell r="C113">
            <v>1</v>
          </cell>
          <cell r="D113" t="str">
            <v>Pago de lo indebido</v>
          </cell>
          <cell r="E113">
            <v>1360</v>
          </cell>
          <cell r="F113">
            <v>0</v>
          </cell>
          <cell r="G113">
            <v>0</v>
          </cell>
          <cell r="H113">
            <v>1360</v>
          </cell>
          <cell r="I113">
            <v>0</v>
          </cell>
          <cell r="J113">
            <v>0</v>
          </cell>
          <cell r="K113">
            <v>0</v>
          </cell>
        </row>
        <row r="114">
          <cell r="A114" t="str">
            <v>1140100000</v>
          </cell>
          <cell r="B114">
            <v>2</v>
          </cell>
          <cell r="C114">
            <v>1</v>
          </cell>
          <cell r="D114" t="str">
            <v>Pagos provisionales de ISR</v>
          </cell>
          <cell r="E114">
            <v>151161</v>
          </cell>
          <cell r="F114">
            <v>284962</v>
          </cell>
          <cell r="G114">
            <v>0</v>
          </cell>
          <cell r="H114">
            <v>436123</v>
          </cell>
          <cell r="I114">
            <v>0</v>
          </cell>
          <cell r="J114">
            <v>0</v>
          </cell>
          <cell r="K114">
            <v>0</v>
          </cell>
        </row>
        <row r="115">
          <cell r="A115" t="str">
            <v>1150100000</v>
          </cell>
          <cell r="B115">
            <v>2</v>
          </cell>
          <cell r="C115">
            <v>1</v>
          </cell>
          <cell r="D115" t="str">
            <v>Inventario</v>
          </cell>
          <cell r="E115">
            <v>2507504.0499999998</v>
          </cell>
          <cell r="F115">
            <v>-123366.36</v>
          </cell>
          <cell r="G115">
            <v>0</v>
          </cell>
          <cell r="H115">
            <v>2384137.69</v>
          </cell>
          <cell r="I115">
            <v>2757832.75</v>
          </cell>
          <cell r="J115">
            <v>1617285.11</v>
          </cell>
          <cell r="K115">
            <v>0</v>
          </cell>
        </row>
        <row r="116">
          <cell r="A116" t="str">
            <v>1150201000</v>
          </cell>
          <cell r="B116">
            <v>2</v>
          </cell>
          <cell r="C116">
            <v>1</v>
          </cell>
          <cell r="D116" t="str">
            <v>Materia prima</v>
          </cell>
          <cell r="E116">
            <v>23169779.68</v>
          </cell>
          <cell r="F116">
            <v>7624562.2199999997</v>
          </cell>
          <cell r="G116">
            <v>6424846.4800000004</v>
          </cell>
          <cell r="H116">
            <v>24369495.420000002</v>
          </cell>
          <cell r="I116">
            <v>4149920.13</v>
          </cell>
          <cell r="J116">
            <v>91487.66</v>
          </cell>
          <cell r="K116">
            <v>2104202.5699999998</v>
          </cell>
        </row>
        <row r="117">
          <cell r="A117" t="str">
            <v>1150202000</v>
          </cell>
          <cell r="B117">
            <v>2</v>
          </cell>
          <cell r="C117">
            <v>1</v>
          </cell>
          <cell r="D117" t="str">
            <v>Material de empaque</v>
          </cell>
          <cell r="E117">
            <v>12668657.91</v>
          </cell>
          <cell r="F117">
            <v>2830760.82</v>
          </cell>
          <cell r="G117">
            <v>0</v>
          </cell>
          <cell r="H117">
            <v>15499418.73</v>
          </cell>
          <cell r="I117">
            <v>0</v>
          </cell>
          <cell r="J117">
            <v>0</v>
          </cell>
          <cell r="K117">
            <v>0</v>
          </cell>
        </row>
        <row r="118">
          <cell r="A118" t="str">
            <v>1150203000</v>
          </cell>
          <cell r="B118">
            <v>2</v>
          </cell>
          <cell r="C118">
            <v>1</v>
          </cell>
          <cell r="D118" t="str">
            <v>Fletes y Logistica</v>
          </cell>
          <cell r="E118">
            <v>658.71</v>
          </cell>
          <cell r="F118">
            <v>0</v>
          </cell>
          <cell r="G118">
            <v>0</v>
          </cell>
          <cell r="H118">
            <v>658.71</v>
          </cell>
          <cell r="I118">
            <v>5891.08</v>
          </cell>
          <cell r="J118">
            <v>31432.400000000001</v>
          </cell>
          <cell r="K118">
            <v>0</v>
          </cell>
        </row>
        <row r="119">
          <cell r="A119" t="str">
            <v>1150400000</v>
          </cell>
          <cell r="B119">
            <v>2</v>
          </cell>
          <cell r="C119">
            <v>1</v>
          </cell>
          <cell r="D119" t="str">
            <v>Productos terminados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13341686.76</v>
          </cell>
          <cell r="J119">
            <v>0</v>
          </cell>
          <cell r="K119">
            <v>0</v>
          </cell>
        </row>
        <row r="120">
          <cell r="A120" t="str">
            <v>1150500000</v>
          </cell>
          <cell r="B120">
            <v>2</v>
          </cell>
          <cell r="C120">
            <v>1</v>
          </cell>
          <cell r="D120" t="str">
            <v>Mercancías en tránsito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78219.98</v>
          </cell>
          <cell r="J120">
            <v>0</v>
          </cell>
          <cell r="K120">
            <v>0</v>
          </cell>
        </row>
        <row r="121">
          <cell r="A121" t="str">
            <v>1150800000</v>
          </cell>
          <cell r="B121">
            <v>2</v>
          </cell>
          <cell r="C121">
            <v>1</v>
          </cell>
          <cell r="D121" t="str">
            <v>Almacen Varios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730679.74</v>
          </cell>
          <cell r="J121">
            <v>0</v>
          </cell>
          <cell r="K121">
            <v>0</v>
          </cell>
        </row>
        <row r="122">
          <cell r="A122" t="str">
            <v>1180100000</v>
          </cell>
          <cell r="B122">
            <v>2</v>
          </cell>
          <cell r="C122">
            <v>1</v>
          </cell>
          <cell r="D122" t="str">
            <v>IVA acreditable pagado</v>
          </cell>
          <cell r="E122">
            <v>153040.57999999999</v>
          </cell>
          <cell r="F122">
            <v>1547311.26</v>
          </cell>
          <cell r="G122">
            <v>1537897.1</v>
          </cell>
          <cell r="H122">
            <v>162454.74</v>
          </cell>
          <cell r="I122">
            <v>5223049.3600000003</v>
          </cell>
          <cell r="J122">
            <v>399495.42</v>
          </cell>
          <cell r="K122">
            <v>0</v>
          </cell>
        </row>
        <row r="123">
          <cell r="A123" t="str">
            <v>1190100000</v>
          </cell>
          <cell r="B123">
            <v>2</v>
          </cell>
          <cell r="C123">
            <v>1</v>
          </cell>
          <cell r="D123" t="str">
            <v>IVA pendiente de pago</v>
          </cell>
          <cell r="E123">
            <v>3747854.97</v>
          </cell>
          <cell r="F123">
            <v>1598959.52</v>
          </cell>
          <cell r="G123">
            <v>1167099.95</v>
          </cell>
          <cell r="H123">
            <v>4179714.54</v>
          </cell>
          <cell r="I123">
            <v>5427290.79</v>
          </cell>
          <cell r="J123">
            <v>412667.11</v>
          </cell>
          <cell r="K123">
            <v>325157.71000000002</v>
          </cell>
        </row>
        <row r="124">
          <cell r="A124" t="str">
            <v>1190200000</v>
          </cell>
          <cell r="B124">
            <v>2</v>
          </cell>
          <cell r="C124">
            <v>1</v>
          </cell>
          <cell r="D124" t="str">
            <v>IVA de importación pendiente de pago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644.82000000000005</v>
          </cell>
          <cell r="J124">
            <v>0</v>
          </cell>
          <cell r="K124">
            <v>0</v>
          </cell>
        </row>
        <row r="125">
          <cell r="A125" t="str">
            <v>1200101002</v>
          </cell>
          <cell r="B125">
            <v>2</v>
          </cell>
          <cell r="C125">
            <v>1</v>
          </cell>
          <cell r="D125" t="str">
            <v>REGINA MINAKATA PONCE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276931.81</v>
          </cell>
          <cell r="J125">
            <v>0</v>
          </cell>
          <cell r="K125">
            <v>0</v>
          </cell>
        </row>
        <row r="126">
          <cell r="A126" t="str">
            <v>1200101005</v>
          </cell>
          <cell r="B126">
            <v>2</v>
          </cell>
          <cell r="C126">
            <v>1</v>
          </cell>
          <cell r="D126" t="str">
            <v>INDUSTRIAS BOGRI</v>
          </cell>
          <cell r="E126">
            <v>0</v>
          </cell>
          <cell r="F126">
            <v>96733.52</v>
          </cell>
          <cell r="G126">
            <v>0</v>
          </cell>
          <cell r="H126">
            <v>96733.52</v>
          </cell>
          <cell r="I126">
            <v>0</v>
          </cell>
          <cell r="J126">
            <v>0</v>
          </cell>
          <cell r="K126">
            <v>0</v>
          </cell>
        </row>
        <row r="127">
          <cell r="A127" t="str">
            <v>1200101010</v>
          </cell>
          <cell r="B127">
            <v>2</v>
          </cell>
          <cell r="C127">
            <v>1</v>
          </cell>
          <cell r="D127" t="str">
            <v>CHEMICO ESPECIALIDADES QUIMICAS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1001.87</v>
          </cell>
          <cell r="J127">
            <v>0</v>
          </cell>
          <cell r="K127">
            <v>0</v>
          </cell>
        </row>
        <row r="128">
          <cell r="A128" t="str">
            <v>1200101012</v>
          </cell>
          <cell r="B128">
            <v>2</v>
          </cell>
          <cell r="C128">
            <v>1</v>
          </cell>
          <cell r="D128" t="str">
            <v>SANTANDER MN F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311.5</v>
          </cell>
          <cell r="J128">
            <v>232</v>
          </cell>
          <cell r="K128">
            <v>0</v>
          </cell>
        </row>
        <row r="129">
          <cell r="A129" t="str">
            <v>1200101013</v>
          </cell>
          <cell r="B129">
            <v>2</v>
          </cell>
          <cell r="C129">
            <v>1</v>
          </cell>
          <cell r="D129" t="str">
            <v>BANORTE MN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2118.08</v>
          </cell>
          <cell r="J129">
            <v>463.99</v>
          </cell>
          <cell r="K129">
            <v>0</v>
          </cell>
        </row>
        <row r="130">
          <cell r="A130" t="str">
            <v>1200101014</v>
          </cell>
          <cell r="B130">
            <v>2</v>
          </cell>
          <cell r="C130">
            <v>1</v>
          </cell>
          <cell r="D130" t="str">
            <v>STP FARMIRAL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668.93</v>
          </cell>
          <cell r="J130">
            <v>0</v>
          </cell>
          <cell r="K130">
            <v>0</v>
          </cell>
        </row>
        <row r="131">
          <cell r="A131" t="str">
            <v>1200101015</v>
          </cell>
          <cell r="B131">
            <v>2</v>
          </cell>
          <cell r="C131">
            <v>1</v>
          </cell>
          <cell r="D131" t="str">
            <v>UNIFIN FINANCIERA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1012.44</v>
          </cell>
          <cell r="J131">
            <v>0</v>
          </cell>
          <cell r="K131">
            <v>0</v>
          </cell>
        </row>
        <row r="132">
          <cell r="A132" t="str">
            <v>1200101019</v>
          </cell>
          <cell r="B132">
            <v>2</v>
          </cell>
          <cell r="C132">
            <v>1</v>
          </cell>
          <cell r="D132" t="str">
            <v>LATIN PACIFIC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10232.620000000001</v>
          </cell>
          <cell r="J132">
            <v>0</v>
          </cell>
          <cell r="K132">
            <v>0</v>
          </cell>
        </row>
        <row r="133">
          <cell r="A133" t="str">
            <v>1200101024</v>
          </cell>
          <cell r="B133">
            <v>2</v>
          </cell>
          <cell r="C133">
            <v>1</v>
          </cell>
          <cell r="D133" t="str">
            <v>SI VALE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180</v>
          </cell>
          <cell r="J133">
            <v>0</v>
          </cell>
          <cell r="K133">
            <v>0</v>
          </cell>
        </row>
        <row r="134">
          <cell r="A134" t="str">
            <v>1200101028</v>
          </cell>
          <cell r="B134">
            <v>2</v>
          </cell>
          <cell r="C134">
            <v>1</v>
          </cell>
          <cell r="D134" t="str">
            <v>INTEGRADORA LOGISTICA FERNANDEZ DE ALBA Y LOPEZ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1910.47</v>
          </cell>
          <cell r="J134">
            <v>0</v>
          </cell>
          <cell r="K134">
            <v>0</v>
          </cell>
        </row>
        <row r="135">
          <cell r="A135" t="str">
            <v>1200101029</v>
          </cell>
          <cell r="B135">
            <v>2</v>
          </cell>
          <cell r="C135">
            <v>1</v>
          </cell>
          <cell r="D135" t="str">
            <v>QUALITAS COMPAÑIA DE SEGUROS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13504.86</v>
          </cell>
          <cell r="J135">
            <v>0</v>
          </cell>
          <cell r="K135">
            <v>0</v>
          </cell>
        </row>
        <row r="136">
          <cell r="A136" t="str">
            <v>1200101032</v>
          </cell>
          <cell r="B136">
            <v>2</v>
          </cell>
          <cell r="C136">
            <v>1</v>
          </cell>
          <cell r="D136" t="str">
            <v>EDITORIAL MATRO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17719</v>
          </cell>
          <cell r="J136">
            <v>0</v>
          </cell>
          <cell r="K136">
            <v>17719</v>
          </cell>
        </row>
        <row r="137">
          <cell r="A137" t="str">
            <v>1200101034</v>
          </cell>
          <cell r="B137">
            <v>2</v>
          </cell>
          <cell r="C137">
            <v>1</v>
          </cell>
          <cell r="D137" t="str">
            <v>HIGO STP</v>
          </cell>
          <cell r="E137">
            <v>0</v>
          </cell>
          <cell r="F137">
            <v>0</v>
          </cell>
          <cell r="G137">
            <v>-9.99</v>
          </cell>
          <cell r="H137">
            <v>9.99</v>
          </cell>
          <cell r="I137">
            <v>0</v>
          </cell>
          <cell r="J137">
            <v>20000</v>
          </cell>
          <cell r="K137">
            <v>0</v>
          </cell>
        </row>
        <row r="138">
          <cell r="A138" t="str">
            <v>1200101038</v>
          </cell>
          <cell r="B138">
            <v>2</v>
          </cell>
          <cell r="C138">
            <v>1</v>
          </cell>
          <cell r="D138" t="str">
            <v>TELEVISION INTERNACIONAL</v>
          </cell>
          <cell r="E138">
            <v>80.010000000000005</v>
          </cell>
          <cell r="F138">
            <v>0</v>
          </cell>
          <cell r="G138">
            <v>0</v>
          </cell>
          <cell r="H138">
            <v>80.010000000000005</v>
          </cell>
          <cell r="I138">
            <v>0</v>
          </cell>
          <cell r="J138">
            <v>0</v>
          </cell>
          <cell r="K138">
            <v>0</v>
          </cell>
        </row>
        <row r="139">
          <cell r="A139" t="str">
            <v>1200101039</v>
          </cell>
          <cell r="B139">
            <v>2</v>
          </cell>
          <cell r="C139">
            <v>1</v>
          </cell>
          <cell r="D139" t="str">
            <v>COPALU INSUMOS</v>
          </cell>
          <cell r="E139">
            <v>13282</v>
          </cell>
          <cell r="F139">
            <v>29232</v>
          </cell>
          <cell r="G139">
            <v>0</v>
          </cell>
          <cell r="H139">
            <v>42514</v>
          </cell>
          <cell r="I139">
            <v>0</v>
          </cell>
          <cell r="J139">
            <v>0</v>
          </cell>
          <cell r="K139">
            <v>0</v>
          </cell>
        </row>
        <row r="140">
          <cell r="A140" t="str">
            <v>1200101041</v>
          </cell>
          <cell r="B140">
            <v>2</v>
          </cell>
          <cell r="C140">
            <v>1</v>
          </cell>
          <cell r="D140" t="str">
            <v>SERVICIO DE MENSAJERIA DE PREPAGO</v>
          </cell>
          <cell r="E140">
            <v>3000</v>
          </cell>
          <cell r="F140">
            <v>0</v>
          </cell>
          <cell r="G140">
            <v>0</v>
          </cell>
          <cell r="H140">
            <v>3000</v>
          </cell>
          <cell r="I140">
            <v>0</v>
          </cell>
          <cell r="J140">
            <v>0</v>
          </cell>
          <cell r="K140">
            <v>0</v>
          </cell>
        </row>
        <row r="141">
          <cell r="A141" t="str">
            <v>1200101042</v>
          </cell>
          <cell r="B141">
            <v>2</v>
          </cell>
          <cell r="C141">
            <v>1</v>
          </cell>
          <cell r="D141" t="str">
            <v>SERVICIOS ESPECIALIZADOS DE GRAFICACION</v>
          </cell>
          <cell r="E141">
            <v>1244.5</v>
          </cell>
          <cell r="F141">
            <v>-1244.5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A142" t="str">
            <v>1200101043</v>
          </cell>
          <cell r="B142">
            <v>2</v>
          </cell>
          <cell r="C142">
            <v>1</v>
          </cell>
          <cell r="D142" t="str">
            <v>SINDICATO</v>
          </cell>
          <cell r="E142">
            <v>11600</v>
          </cell>
          <cell r="F142">
            <v>0</v>
          </cell>
          <cell r="G142">
            <v>0</v>
          </cell>
          <cell r="H142">
            <v>11600</v>
          </cell>
          <cell r="I142">
            <v>0</v>
          </cell>
          <cell r="J142">
            <v>0</v>
          </cell>
          <cell r="K142">
            <v>0</v>
          </cell>
        </row>
        <row r="143">
          <cell r="A143" t="str">
            <v>1200101044</v>
          </cell>
          <cell r="B143">
            <v>2</v>
          </cell>
          <cell r="C143">
            <v>1</v>
          </cell>
          <cell r="D143" t="str">
            <v>PRODUCTOS QUIMICOS MRC</v>
          </cell>
          <cell r="E143">
            <v>84277.89</v>
          </cell>
          <cell r="F143">
            <v>0</v>
          </cell>
          <cell r="G143">
            <v>84277.89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A144" t="str">
            <v>1200101046</v>
          </cell>
          <cell r="B144">
            <v>2</v>
          </cell>
          <cell r="C144">
            <v>1</v>
          </cell>
          <cell r="D144" t="str">
            <v>ANDREA ACEVES NAVARRO</v>
          </cell>
          <cell r="E144">
            <v>1566</v>
          </cell>
          <cell r="F144">
            <v>0</v>
          </cell>
          <cell r="G144">
            <v>0</v>
          </cell>
          <cell r="H144">
            <v>1566</v>
          </cell>
          <cell r="I144">
            <v>0</v>
          </cell>
          <cell r="J144">
            <v>0</v>
          </cell>
          <cell r="K144">
            <v>0</v>
          </cell>
        </row>
        <row r="145">
          <cell r="A145" t="str">
            <v>1200101049</v>
          </cell>
          <cell r="B145">
            <v>2</v>
          </cell>
          <cell r="C145">
            <v>1</v>
          </cell>
          <cell r="D145" t="str">
            <v>Banregio</v>
          </cell>
          <cell r="E145">
            <v>39733.699999999997</v>
          </cell>
          <cell r="F145">
            <v>1631.28</v>
          </cell>
          <cell r="G145">
            <v>0</v>
          </cell>
          <cell r="H145">
            <v>41364.980000000003</v>
          </cell>
          <cell r="I145">
            <v>0</v>
          </cell>
          <cell r="J145">
            <v>0</v>
          </cell>
          <cell r="K145">
            <v>0</v>
          </cell>
        </row>
        <row r="146">
          <cell r="A146" t="str">
            <v>1200101050</v>
          </cell>
          <cell r="B146">
            <v>2</v>
          </cell>
          <cell r="C146">
            <v>1</v>
          </cell>
          <cell r="D146" t="str">
            <v>Base X</v>
          </cell>
          <cell r="E146">
            <v>530.58000000000004</v>
          </cell>
          <cell r="F146">
            <v>0</v>
          </cell>
          <cell r="G146">
            <v>102</v>
          </cell>
          <cell r="H146">
            <v>428.58</v>
          </cell>
          <cell r="I146">
            <v>0</v>
          </cell>
          <cell r="J146">
            <v>0</v>
          </cell>
          <cell r="K146">
            <v>0</v>
          </cell>
        </row>
        <row r="147">
          <cell r="A147" t="str">
            <v>1200101052</v>
          </cell>
          <cell r="B147">
            <v>2</v>
          </cell>
          <cell r="C147">
            <v>1</v>
          </cell>
          <cell r="D147" t="str">
            <v>Mifel X</v>
          </cell>
          <cell r="E147">
            <v>4176</v>
          </cell>
          <cell r="F147">
            <v>0</v>
          </cell>
          <cell r="G147">
            <v>0</v>
          </cell>
          <cell r="H147">
            <v>4176</v>
          </cell>
          <cell r="I147">
            <v>0</v>
          </cell>
          <cell r="J147">
            <v>0</v>
          </cell>
          <cell r="K147">
            <v>0</v>
          </cell>
        </row>
        <row r="148">
          <cell r="A148" t="str">
            <v>1200101054</v>
          </cell>
          <cell r="B148">
            <v>2</v>
          </cell>
          <cell r="C148">
            <v>1</v>
          </cell>
          <cell r="D148" t="str">
            <v>Santander X</v>
          </cell>
          <cell r="E148">
            <v>50803.17</v>
          </cell>
          <cell r="F148">
            <v>870</v>
          </cell>
          <cell r="G148">
            <v>0.04</v>
          </cell>
          <cell r="H148">
            <v>51673.13</v>
          </cell>
          <cell r="I148">
            <v>0</v>
          </cell>
          <cell r="J148">
            <v>0</v>
          </cell>
          <cell r="K148">
            <v>0</v>
          </cell>
        </row>
        <row r="149">
          <cell r="A149" t="str">
            <v>1200101058</v>
          </cell>
          <cell r="B149">
            <v>2</v>
          </cell>
          <cell r="C149">
            <v>1</v>
          </cell>
          <cell r="D149" t="str">
            <v>SUMINISTROS HERBOLARIOS Y QUIMICOS</v>
          </cell>
          <cell r="E149">
            <v>23708.42</v>
          </cell>
          <cell r="F149">
            <v>0</v>
          </cell>
          <cell r="G149">
            <v>14616</v>
          </cell>
          <cell r="H149">
            <v>9092.42</v>
          </cell>
          <cell r="I149">
            <v>0</v>
          </cell>
          <cell r="J149">
            <v>0</v>
          </cell>
          <cell r="K149">
            <v>0</v>
          </cell>
        </row>
        <row r="150">
          <cell r="A150" t="str">
            <v>1200101059</v>
          </cell>
          <cell r="B150">
            <v>2</v>
          </cell>
          <cell r="C150">
            <v>1</v>
          </cell>
          <cell r="D150" t="str">
            <v>INDUPLAST DE OCCIDENTE</v>
          </cell>
          <cell r="E150">
            <v>0</v>
          </cell>
          <cell r="F150">
            <v>4572.72</v>
          </cell>
          <cell r="G150">
            <v>0</v>
          </cell>
          <cell r="H150">
            <v>4572.72</v>
          </cell>
          <cell r="I150">
            <v>0</v>
          </cell>
          <cell r="J150">
            <v>0</v>
          </cell>
          <cell r="K150">
            <v>0</v>
          </cell>
        </row>
        <row r="151">
          <cell r="A151" t="str">
            <v>1200101060</v>
          </cell>
          <cell r="B151">
            <v>2</v>
          </cell>
          <cell r="C151">
            <v>1</v>
          </cell>
          <cell r="D151" t="str">
            <v>SANITY INTERNACIONAL</v>
          </cell>
          <cell r="E151">
            <v>0</v>
          </cell>
          <cell r="F151">
            <v>7581.56</v>
          </cell>
          <cell r="G151">
            <v>0</v>
          </cell>
          <cell r="H151">
            <v>7581.56</v>
          </cell>
          <cell r="I151">
            <v>0</v>
          </cell>
          <cell r="J151">
            <v>0</v>
          </cell>
          <cell r="K151">
            <v>0</v>
          </cell>
        </row>
        <row r="152">
          <cell r="A152" t="str">
            <v>1200101061</v>
          </cell>
          <cell r="B152">
            <v>2</v>
          </cell>
          <cell r="C152">
            <v>1</v>
          </cell>
          <cell r="D152" t="str">
            <v>SYRSA QUIMICOS DE MEXICO</v>
          </cell>
          <cell r="E152">
            <v>0</v>
          </cell>
          <cell r="F152">
            <v>6122.93</v>
          </cell>
          <cell r="G152">
            <v>0</v>
          </cell>
          <cell r="H152">
            <v>6122.93</v>
          </cell>
          <cell r="I152">
            <v>0</v>
          </cell>
          <cell r="J152">
            <v>0</v>
          </cell>
          <cell r="K152">
            <v>0</v>
          </cell>
        </row>
        <row r="153">
          <cell r="A153" t="str">
            <v>1200101062</v>
          </cell>
          <cell r="B153">
            <v>2</v>
          </cell>
          <cell r="C153">
            <v>1</v>
          </cell>
          <cell r="D153" t="str">
            <v>SISTEMAS DE CODIFICACION Y MARCAJE S.A DE C.V</v>
          </cell>
          <cell r="E153">
            <v>14441.54</v>
          </cell>
          <cell r="F153">
            <v>0</v>
          </cell>
          <cell r="G153">
            <v>14441.54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A154" t="str">
            <v>1200101064</v>
          </cell>
          <cell r="B154">
            <v>2</v>
          </cell>
          <cell r="C154">
            <v>1</v>
          </cell>
          <cell r="D154" t="str">
            <v>QHERBAL</v>
          </cell>
          <cell r="E154">
            <v>20472.330000000002</v>
          </cell>
          <cell r="F154">
            <v>0</v>
          </cell>
          <cell r="G154">
            <v>20472.330000000002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A155" t="str">
            <v>1200101100</v>
          </cell>
          <cell r="B155">
            <v>2</v>
          </cell>
          <cell r="C155">
            <v>1</v>
          </cell>
          <cell r="D155" t="str">
            <v>Anticipo a proveedores saldo 2024</v>
          </cell>
          <cell r="E155">
            <v>0</v>
          </cell>
          <cell r="F155">
            <v>64651.37</v>
          </cell>
          <cell r="G155">
            <v>0</v>
          </cell>
          <cell r="H155">
            <v>64651.37</v>
          </cell>
          <cell r="I155">
            <v>4785667.3099999996</v>
          </cell>
          <cell r="J155">
            <v>295897.61</v>
          </cell>
          <cell r="K155">
            <v>808255.93</v>
          </cell>
        </row>
        <row r="156">
          <cell r="A156" t="str">
            <v>1200102102</v>
          </cell>
          <cell r="B156">
            <v>2</v>
          </cell>
          <cell r="C156">
            <v>1</v>
          </cell>
          <cell r="D156" t="str">
            <v>Banorte USD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62.38</v>
          </cell>
          <cell r="J156">
            <v>0</v>
          </cell>
          <cell r="K156">
            <v>0</v>
          </cell>
        </row>
        <row r="157">
          <cell r="A157" t="str">
            <v>1200102104</v>
          </cell>
          <cell r="B157">
            <v>2</v>
          </cell>
          <cell r="C157">
            <v>1</v>
          </cell>
          <cell r="D157" t="str">
            <v>Banregio USD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3.48</v>
          </cell>
          <cell r="J157">
            <v>0</v>
          </cell>
          <cell r="K157">
            <v>0</v>
          </cell>
        </row>
        <row r="158">
          <cell r="A158" t="str">
            <v>1200102202</v>
          </cell>
          <cell r="B158">
            <v>2</v>
          </cell>
          <cell r="C158">
            <v>1</v>
          </cell>
          <cell r="D158" t="str">
            <v>Banorte USD Complementaria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1120.6500000000001</v>
          </cell>
          <cell r="J158">
            <v>0</v>
          </cell>
          <cell r="K158">
            <v>0</v>
          </cell>
        </row>
        <row r="159">
          <cell r="A159" t="str">
            <v>1200102204</v>
          </cell>
          <cell r="B159">
            <v>2</v>
          </cell>
          <cell r="C159">
            <v>1</v>
          </cell>
          <cell r="D159" t="str">
            <v>Banregio USD Complementaria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66.430000000000007</v>
          </cell>
          <cell r="J159">
            <v>0</v>
          </cell>
          <cell r="K159">
            <v>0</v>
          </cell>
        </row>
        <row r="160">
          <cell r="A160" t="str">
            <v>1210102001</v>
          </cell>
          <cell r="B160">
            <v>2</v>
          </cell>
          <cell r="C160">
            <v>1</v>
          </cell>
          <cell r="D160" t="str">
            <v>Arrendamiento eq computo 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43433.37</v>
          </cell>
          <cell r="J160">
            <v>0</v>
          </cell>
          <cell r="K160">
            <v>0</v>
          </cell>
        </row>
        <row r="161">
          <cell r="A161" t="str">
            <v>1210102002</v>
          </cell>
          <cell r="B161">
            <v>2</v>
          </cell>
          <cell r="C161">
            <v>1</v>
          </cell>
          <cell r="D161" t="str">
            <v>Arrendamiento eq computo 5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59145.96</v>
          </cell>
          <cell r="J161">
            <v>0</v>
          </cell>
          <cell r="K161">
            <v>0</v>
          </cell>
        </row>
        <row r="162">
          <cell r="A162" t="str">
            <v>1210102003</v>
          </cell>
          <cell r="B162">
            <v>2</v>
          </cell>
          <cell r="C162">
            <v>1</v>
          </cell>
          <cell r="D162" t="str">
            <v>Arrendamiento eq computo 6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60854.16</v>
          </cell>
          <cell r="J162">
            <v>0</v>
          </cell>
          <cell r="K162">
            <v>0</v>
          </cell>
        </row>
        <row r="163">
          <cell r="A163" t="str">
            <v>1530100001</v>
          </cell>
          <cell r="B163">
            <v>2</v>
          </cell>
          <cell r="C163">
            <v>1</v>
          </cell>
          <cell r="D163" t="str">
            <v>LOTE DE MAQUINARIA Y EQUIPO DE EJ ANTERIORES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10548566.689999999</v>
          </cell>
          <cell r="J163">
            <v>0</v>
          </cell>
          <cell r="K163">
            <v>0</v>
          </cell>
        </row>
        <row r="164">
          <cell r="A164" t="str">
            <v>1530100002</v>
          </cell>
          <cell r="B164">
            <v>2</v>
          </cell>
          <cell r="C164">
            <v>1</v>
          </cell>
          <cell r="D164" t="str">
            <v>RACKS PARA ALMACENAMIENTO CON 368 POSICIONES</v>
          </cell>
          <cell r="E164">
            <v>357880</v>
          </cell>
          <cell r="F164">
            <v>0</v>
          </cell>
          <cell r="G164">
            <v>0</v>
          </cell>
          <cell r="H164">
            <v>357880</v>
          </cell>
          <cell r="I164">
            <v>0</v>
          </cell>
          <cell r="J164">
            <v>0</v>
          </cell>
          <cell r="K164">
            <v>0</v>
          </cell>
        </row>
        <row r="165">
          <cell r="A165" t="str">
            <v>1530100004</v>
          </cell>
          <cell r="B165">
            <v>2</v>
          </cell>
          <cell r="C165">
            <v>1</v>
          </cell>
          <cell r="D165" t="str">
            <v>BALANZA ANALITICA 220G RES 0.1MG PX224</v>
          </cell>
          <cell r="E165">
            <v>47295.09</v>
          </cell>
          <cell r="F165">
            <v>0</v>
          </cell>
          <cell r="G165">
            <v>0</v>
          </cell>
          <cell r="H165">
            <v>47295.09</v>
          </cell>
          <cell r="I165">
            <v>0</v>
          </cell>
          <cell r="J165">
            <v>0</v>
          </cell>
          <cell r="K165">
            <v>0</v>
          </cell>
        </row>
        <row r="166">
          <cell r="A166" t="str">
            <v>1530100005</v>
          </cell>
          <cell r="B166">
            <v>2</v>
          </cell>
          <cell r="C166">
            <v>1</v>
          </cell>
          <cell r="D166" t="str">
            <v>BANCOS DE ACERO INOXIDABLE 11 PZS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11000</v>
          </cell>
          <cell r="J166">
            <v>0</v>
          </cell>
          <cell r="K166">
            <v>0</v>
          </cell>
        </row>
        <row r="167">
          <cell r="A167" t="str">
            <v>1530100006</v>
          </cell>
          <cell r="B167">
            <v>2</v>
          </cell>
          <cell r="C167">
            <v>1</v>
          </cell>
          <cell r="D167" t="str">
            <v>CARRITO PLATAFORMA DE ACERO + 2 BANCOS DE ACERO IN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10900</v>
          </cell>
          <cell r="J167">
            <v>0</v>
          </cell>
          <cell r="K167">
            <v>0</v>
          </cell>
        </row>
        <row r="168">
          <cell r="A168" t="str">
            <v>1530100007</v>
          </cell>
          <cell r="B168">
            <v>2</v>
          </cell>
          <cell r="C168">
            <v>1</v>
          </cell>
          <cell r="D168" t="str">
            <v>ETIQUETADORA SEMI AUTOMATICA</v>
          </cell>
          <cell r="E168">
            <v>36148.519999999997</v>
          </cell>
          <cell r="F168">
            <v>0</v>
          </cell>
          <cell r="G168">
            <v>0</v>
          </cell>
          <cell r="H168">
            <v>36148.519999999997</v>
          </cell>
          <cell r="I168">
            <v>0</v>
          </cell>
          <cell r="J168">
            <v>0</v>
          </cell>
          <cell r="K168">
            <v>0</v>
          </cell>
        </row>
        <row r="169">
          <cell r="A169" t="str">
            <v>1530100008</v>
          </cell>
          <cell r="B169">
            <v>2</v>
          </cell>
          <cell r="C169">
            <v>1</v>
          </cell>
          <cell r="D169" t="str">
            <v>ETIQUETADORA MARCA-SHANGHAI</v>
          </cell>
          <cell r="E169">
            <v>98075.06</v>
          </cell>
          <cell r="F169">
            <v>0</v>
          </cell>
          <cell r="G169">
            <v>0</v>
          </cell>
          <cell r="H169">
            <v>98075.06</v>
          </cell>
          <cell r="I169">
            <v>0</v>
          </cell>
          <cell r="J169">
            <v>0</v>
          </cell>
          <cell r="K169">
            <v>0</v>
          </cell>
        </row>
        <row r="170">
          <cell r="A170" t="str">
            <v>1530100009</v>
          </cell>
          <cell r="B170">
            <v>2</v>
          </cell>
          <cell r="C170">
            <v>1</v>
          </cell>
          <cell r="D170" t="str">
            <v>DISCO PARA ENCAPSULADORA</v>
          </cell>
          <cell r="E170">
            <v>56816.17</v>
          </cell>
          <cell r="F170">
            <v>0</v>
          </cell>
          <cell r="G170">
            <v>0</v>
          </cell>
          <cell r="H170">
            <v>56816.17</v>
          </cell>
          <cell r="I170">
            <v>0</v>
          </cell>
          <cell r="J170">
            <v>0</v>
          </cell>
          <cell r="K170">
            <v>0</v>
          </cell>
        </row>
        <row r="171">
          <cell r="A171" t="str">
            <v>1530100010</v>
          </cell>
          <cell r="B171">
            <v>2</v>
          </cell>
          <cell r="C171">
            <v>1</v>
          </cell>
          <cell r="D171" t="str">
            <v>ENGARGOLADORA DE LATAS SEMI AUTOMATICA</v>
          </cell>
          <cell r="E171">
            <v>0</v>
          </cell>
          <cell r="F171">
            <v>34500</v>
          </cell>
          <cell r="G171">
            <v>0</v>
          </cell>
          <cell r="H171">
            <v>34500</v>
          </cell>
          <cell r="I171">
            <v>0</v>
          </cell>
          <cell r="J171">
            <v>0</v>
          </cell>
          <cell r="K171">
            <v>0</v>
          </cell>
        </row>
        <row r="172">
          <cell r="A172" t="str">
            <v>1530100011</v>
          </cell>
          <cell r="B172">
            <v>2</v>
          </cell>
          <cell r="C172">
            <v>1</v>
          </cell>
          <cell r="D172" t="str">
            <v>PULIDORA DE CAPSULA SED-JPG-1-R25</v>
          </cell>
          <cell r="E172">
            <v>0</v>
          </cell>
          <cell r="F172">
            <v>82385.61</v>
          </cell>
          <cell r="G172">
            <v>0</v>
          </cell>
          <cell r="H172">
            <v>82385.61</v>
          </cell>
          <cell r="I172">
            <v>0</v>
          </cell>
          <cell r="J172">
            <v>0</v>
          </cell>
          <cell r="K172">
            <v>0</v>
          </cell>
        </row>
        <row r="173">
          <cell r="A173" t="str">
            <v>1530100012</v>
          </cell>
          <cell r="B173">
            <v>2</v>
          </cell>
          <cell r="C173">
            <v>1</v>
          </cell>
          <cell r="D173" t="str">
            <v>BANCOS DE ACERO INOXIDABLE 3 PZAS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6600</v>
          </cell>
          <cell r="J173">
            <v>0</v>
          </cell>
          <cell r="K173">
            <v>0</v>
          </cell>
        </row>
        <row r="174">
          <cell r="A174" t="str">
            <v>1530100013</v>
          </cell>
          <cell r="B174">
            <v>2</v>
          </cell>
          <cell r="C174">
            <v>1</v>
          </cell>
          <cell r="D174" t="str">
            <v>MESA CON GABINETE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14062.5</v>
          </cell>
          <cell r="J174">
            <v>0</v>
          </cell>
          <cell r="K174">
            <v>0</v>
          </cell>
        </row>
        <row r="175">
          <cell r="A175" t="str">
            <v>1530100014</v>
          </cell>
          <cell r="B175">
            <v>2</v>
          </cell>
          <cell r="C175">
            <v>1</v>
          </cell>
          <cell r="D175" t="str">
            <v>BANCOS DE ACERO INOXIDABLE 5 PIEZAS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11000</v>
          </cell>
          <cell r="K175">
            <v>0</v>
          </cell>
        </row>
        <row r="176">
          <cell r="A176" t="str">
            <v>1540100000</v>
          </cell>
          <cell r="B176">
            <v>2</v>
          </cell>
          <cell r="C176">
            <v>1</v>
          </cell>
          <cell r="D176" t="str">
            <v>Automóviles, autobuses, camiones de carga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1456491.4</v>
          </cell>
          <cell r="J176">
            <v>0</v>
          </cell>
          <cell r="K176">
            <v>0</v>
          </cell>
        </row>
        <row r="177">
          <cell r="A177" t="str">
            <v>1550100001</v>
          </cell>
          <cell r="B177">
            <v>2</v>
          </cell>
          <cell r="C177">
            <v>1</v>
          </cell>
          <cell r="D177" t="str">
            <v>LOTE DE ACTIVOS EJ ANTERIORES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2276951.2799999998</v>
          </cell>
          <cell r="J177">
            <v>0</v>
          </cell>
          <cell r="K177">
            <v>0</v>
          </cell>
        </row>
        <row r="178">
          <cell r="A178" t="str">
            <v>1550100002</v>
          </cell>
          <cell r="B178">
            <v>2</v>
          </cell>
          <cell r="C178">
            <v>1</v>
          </cell>
          <cell r="D178" t="str">
            <v>LOCKER UNIVERSAL 2PZAS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8000</v>
          </cell>
          <cell r="J178">
            <v>0</v>
          </cell>
          <cell r="K178">
            <v>0</v>
          </cell>
        </row>
        <row r="179">
          <cell r="A179" t="str">
            <v>1550100003</v>
          </cell>
          <cell r="B179">
            <v>2</v>
          </cell>
          <cell r="C179">
            <v>1</v>
          </cell>
          <cell r="D179" t="str">
            <v>LOCKER DEPORTIVO 5 PUERTAS</v>
          </cell>
          <cell r="E179">
            <v>19450</v>
          </cell>
          <cell r="F179">
            <v>0</v>
          </cell>
          <cell r="G179">
            <v>0</v>
          </cell>
          <cell r="H179">
            <v>19450</v>
          </cell>
          <cell r="I179">
            <v>0</v>
          </cell>
          <cell r="J179">
            <v>0</v>
          </cell>
          <cell r="K179">
            <v>0</v>
          </cell>
        </row>
        <row r="180">
          <cell r="A180" t="str">
            <v>1560100001</v>
          </cell>
          <cell r="B180">
            <v>2</v>
          </cell>
          <cell r="C180">
            <v>1</v>
          </cell>
          <cell r="D180" t="str">
            <v>PAQHPZ6STM PAQUETE HP Z6 24 CORTADOR STM</v>
          </cell>
          <cell r="E180">
            <v>73275.86</v>
          </cell>
          <cell r="F180">
            <v>0</v>
          </cell>
          <cell r="G180">
            <v>0</v>
          </cell>
          <cell r="H180">
            <v>73275.86</v>
          </cell>
          <cell r="I180">
            <v>0</v>
          </cell>
          <cell r="J180">
            <v>0</v>
          </cell>
          <cell r="K180">
            <v>0</v>
          </cell>
        </row>
        <row r="181">
          <cell r="A181" t="str">
            <v>1560100002</v>
          </cell>
          <cell r="B181">
            <v>2</v>
          </cell>
          <cell r="C181">
            <v>1</v>
          </cell>
          <cell r="D181" t="str">
            <v>Servidor Lenovo ThinkSystem SR250</v>
          </cell>
          <cell r="E181">
            <v>196173.98</v>
          </cell>
          <cell r="F181">
            <v>0</v>
          </cell>
          <cell r="G181">
            <v>0</v>
          </cell>
          <cell r="H181">
            <v>196173.98</v>
          </cell>
          <cell r="I181">
            <v>0</v>
          </cell>
          <cell r="J181">
            <v>0</v>
          </cell>
          <cell r="K181">
            <v>0</v>
          </cell>
        </row>
        <row r="182">
          <cell r="A182" t="str">
            <v>1560100003</v>
          </cell>
          <cell r="B182">
            <v>2</v>
          </cell>
          <cell r="C182">
            <v>1</v>
          </cell>
          <cell r="D182" t="str">
            <v>UPS-1103 3KVA IND-RP RACK 1F</v>
          </cell>
          <cell r="E182">
            <v>12491.84</v>
          </cell>
          <cell r="F182">
            <v>0</v>
          </cell>
          <cell r="G182">
            <v>0</v>
          </cell>
          <cell r="H182">
            <v>12491.84</v>
          </cell>
          <cell r="I182">
            <v>0</v>
          </cell>
          <cell r="J182">
            <v>0</v>
          </cell>
          <cell r="K182">
            <v>0</v>
          </cell>
        </row>
        <row r="183">
          <cell r="A183" t="str">
            <v>1560100004</v>
          </cell>
          <cell r="B183">
            <v>2</v>
          </cell>
          <cell r="C183">
            <v>1</v>
          </cell>
          <cell r="D183" t="str">
            <v>HP Lote de computadoras mayo 25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556086.66</v>
          </cell>
          <cell r="J183">
            <v>0</v>
          </cell>
          <cell r="K183">
            <v>0</v>
          </cell>
        </row>
        <row r="184">
          <cell r="A184" t="str">
            <v>1560100005</v>
          </cell>
          <cell r="B184">
            <v>2</v>
          </cell>
          <cell r="C184">
            <v>1</v>
          </cell>
          <cell r="D184" t="str">
            <v>HP Lote de computadoras abril 25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16965.439999999999</v>
          </cell>
          <cell r="J184">
            <v>0</v>
          </cell>
          <cell r="K184">
            <v>0</v>
          </cell>
        </row>
        <row r="185">
          <cell r="A185" t="str">
            <v>1600101001</v>
          </cell>
          <cell r="B185">
            <v>2</v>
          </cell>
          <cell r="C185">
            <v>1</v>
          </cell>
          <cell r="D185" t="str">
            <v>Contrato 0505-008 JOURNEY DODGE  (DIEGO CORREA )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344362.4</v>
          </cell>
          <cell r="J185">
            <v>0</v>
          </cell>
          <cell r="K185">
            <v>0</v>
          </cell>
        </row>
        <row r="186">
          <cell r="A186" t="str">
            <v>1600101002</v>
          </cell>
          <cell r="B186">
            <v>2</v>
          </cell>
          <cell r="C186">
            <v>1</v>
          </cell>
          <cell r="D186" t="str">
            <v>Contrato 0505-009 JOURNEY DODGE BLANCA  (JESUS)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318963.69</v>
          </cell>
          <cell r="J186">
            <v>0</v>
          </cell>
          <cell r="K186">
            <v>0</v>
          </cell>
        </row>
        <row r="187">
          <cell r="A187" t="str">
            <v>1600101003</v>
          </cell>
          <cell r="B187">
            <v>2</v>
          </cell>
          <cell r="C187">
            <v>1</v>
          </cell>
          <cell r="D187" t="str">
            <v>Contrato 0505-010 JETTA (JORGE CORREA)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297779.17</v>
          </cell>
          <cell r="J187">
            <v>0</v>
          </cell>
          <cell r="K187">
            <v>0</v>
          </cell>
        </row>
        <row r="188">
          <cell r="A188" t="str">
            <v>1600102001</v>
          </cell>
          <cell r="B188">
            <v>2</v>
          </cell>
          <cell r="C188">
            <v>1</v>
          </cell>
          <cell r="D188" t="str">
            <v>A2010017 MAQUINA EMPAC PEDIMENTO 20483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321504.74</v>
          </cell>
          <cell r="J188">
            <v>0</v>
          </cell>
          <cell r="K188">
            <v>0</v>
          </cell>
        </row>
        <row r="189">
          <cell r="A189" t="str">
            <v>1600102002</v>
          </cell>
          <cell r="B189">
            <v>2</v>
          </cell>
          <cell r="C189">
            <v>1</v>
          </cell>
          <cell r="D189" t="str">
            <v>A2012015 Vehículo Utilitario Isuzu Elf 500H 2021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408610.84</v>
          </cell>
          <cell r="J189">
            <v>0</v>
          </cell>
          <cell r="K189">
            <v>0</v>
          </cell>
        </row>
        <row r="190">
          <cell r="A190" t="str">
            <v>1600102003</v>
          </cell>
          <cell r="B190">
            <v>2</v>
          </cell>
          <cell r="C190">
            <v>1</v>
          </cell>
          <cell r="D190" t="str">
            <v>A2012016 1 CAMIONETA NP300 NISSAN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163758.67000000001</v>
          </cell>
          <cell r="J190">
            <v>0</v>
          </cell>
          <cell r="K190">
            <v>0</v>
          </cell>
        </row>
        <row r="191">
          <cell r="A191" t="str">
            <v>1600102004</v>
          </cell>
          <cell r="B191">
            <v>2</v>
          </cell>
          <cell r="C191">
            <v>1</v>
          </cell>
          <cell r="D191" t="str">
            <v>A2211006 MF 2 MAQUINA EMPACADORA-SELLADORA MODEL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2734004.75</v>
          </cell>
          <cell r="J191">
            <v>0</v>
          </cell>
          <cell r="K191">
            <v>0</v>
          </cell>
        </row>
        <row r="192">
          <cell r="A192" t="str">
            <v>1600102005</v>
          </cell>
          <cell r="B192">
            <v>2</v>
          </cell>
          <cell r="C192">
            <v>1</v>
          </cell>
          <cell r="D192" t="str">
            <v>A2107045 1 MAQUINA MF PACKAGING 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1514392.64</v>
          </cell>
          <cell r="J192">
            <v>0</v>
          </cell>
          <cell r="K192">
            <v>0</v>
          </cell>
        </row>
        <row r="193">
          <cell r="A193" t="str">
            <v>1600102006</v>
          </cell>
          <cell r="B193">
            <v>2</v>
          </cell>
          <cell r="C193">
            <v>1</v>
          </cell>
          <cell r="D193" t="str">
            <v>A2203002 1 MAQUINA MEZCLADORA HARVILL INTERNACIONA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1373176.58</v>
          </cell>
          <cell r="J193">
            <v>0</v>
          </cell>
          <cell r="K193">
            <v>0</v>
          </cell>
        </row>
        <row r="194">
          <cell r="A194" t="str">
            <v>1600102007</v>
          </cell>
          <cell r="B194">
            <v>2</v>
          </cell>
          <cell r="C194">
            <v>1</v>
          </cell>
          <cell r="D194" t="str">
            <v>A2203032 Racks Industriales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621155.85</v>
          </cell>
          <cell r="J194">
            <v>0</v>
          </cell>
          <cell r="K194">
            <v>0</v>
          </cell>
        </row>
        <row r="195">
          <cell r="A195" t="str">
            <v>1600102008</v>
          </cell>
          <cell r="B195">
            <v>2</v>
          </cell>
          <cell r="C195">
            <v>1</v>
          </cell>
          <cell r="D195" t="str">
            <v>A2211005 TABLETEADORA MANESTY MODELO EXPRESS SERIE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1231668.92</v>
          </cell>
          <cell r="J195">
            <v>0</v>
          </cell>
          <cell r="K195">
            <v>0</v>
          </cell>
        </row>
        <row r="196">
          <cell r="A196" t="str">
            <v>1600102009</v>
          </cell>
          <cell r="B196">
            <v>2</v>
          </cell>
          <cell r="C196">
            <v>1</v>
          </cell>
          <cell r="D196" t="str">
            <v>A2211004 UNIDAD MANEJADORA DE AIRE UMA-01 MODELO C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2587940.5499999998</v>
          </cell>
          <cell r="J196">
            <v>0</v>
          </cell>
          <cell r="K196">
            <v>0</v>
          </cell>
        </row>
        <row r="197">
          <cell r="A197" t="str">
            <v>1600102010</v>
          </cell>
          <cell r="B197">
            <v>2</v>
          </cell>
          <cell r="C197">
            <v>1</v>
          </cell>
          <cell r="D197" t="str">
            <v>A2307022 INFINITI TIPOM56 MOD 2012 SERIE:JN1AY11E0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171106.2</v>
          </cell>
          <cell r="J197">
            <v>0</v>
          </cell>
          <cell r="K197">
            <v>0</v>
          </cell>
        </row>
        <row r="198">
          <cell r="A198" t="str">
            <v>1600102011</v>
          </cell>
          <cell r="B198">
            <v>2</v>
          </cell>
          <cell r="C198">
            <v>1</v>
          </cell>
          <cell r="D198" t="str">
            <v>A2307021 INFINITI QX80 MOD 2015 SERIE:JN1AZ28C2F90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320810.86</v>
          </cell>
          <cell r="J198">
            <v>0</v>
          </cell>
          <cell r="K198">
            <v>0</v>
          </cell>
        </row>
        <row r="199">
          <cell r="A199" t="str">
            <v>1600102012</v>
          </cell>
          <cell r="B199">
            <v>2</v>
          </cell>
          <cell r="C199">
            <v>1</v>
          </cell>
          <cell r="D199" t="str">
            <v>A2307020 VOLKSWAGEN JETTA TREND LINE 1.4 MOD 2019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189906.35</v>
          </cell>
          <cell r="J199">
            <v>0</v>
          </cell>
          <cell r="K199">
            <v>0</v>
          </cell>
        </row>
        <row r="200">
          <cell r="A200" t="str">
            <v>1600102013</v>
          </cell>
          <cell r="B200">
            <v>2</v>
          </cell>
          <cell r="C200">
            <v>1</v>
          </cell>
          <cell r="D200" t="str">
            <v>A2307018 NISSAN VERSA ADVANCE CVT 20 MOD 2020 SERI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165570.92000000001</v>
          </cell>
          <cell r="J200">
            <v>0</v>
          </cell>
          <cell r="K200">
            <v>0</v>
          </cell>
        </row>
        <row r="201">
          <cell r="A201" t="str">
            <v>1600102014</v>
          </cell>
          <cell r="B201">
            <v>2</v>
          </cell>
          <cell r="C201">
            <v>1</v>
          </cell>
          <cell r="D201" t="str">
            <v>A2307019 NISSAN VERSA SENSE CVT 20 MOD 2020 SERIE: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152603.14000000001</v>
          </cell>
          <cell r="J201">
            <v>0</v>
          </cell>
          <cell r="K201">
            <v>0</v>
          </cell>
        </row>
        <row r="202">
          <cell r="A202" t="str">
            <v>1600102015</v>
          </cell>
          <cell r="B202">
            <v>2</v>
          </cell>
          <cell r="C202">
            <v>1</v>
          </cell>
          <cell r="D202" t="str">
            <v>A2307017 MAQUINA ELECTRONIC COUNTINGMACHINE MOD CP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728079.4</v>
          </cell>
          <cell r="J202">
            <v>0</v>
          </cell>
          <cell r="K202">
            <v>0</v>
          </cell>
        </row>
        <row r="203">
          <cell r="A203" t="str">
            <v>1600102016</v>
          </cell>
          <cell r="B203">
            <v>2</v>
          </cell>
          <cell r="C203">
            <v>1</v>
          </cell>
          <cell r="D203" t="str">
            <v>A2211015 MAQUINA EMPAC PEDIMENTO 224834702001382 S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1164041.82</v>
          </cell>
          <cell r="J203">
            <v>0</v>
          </cell>
          <cell r="K203">
            <v>0</v>
          </cell>
        </row>
        <row r="204">
          <cell r="A204" t="str">
            <v>1600104001</v>
          </cell>
          <cell r="B204">
            <v>2</v>
          </cell>
          <cell r="C204">
            <v>1</v>
          </cell>
          <cell r="D204" t="str">
            <v>AO2208001 TORNADO VAN B 2023 (MARIO CHOFER)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257586.79</v>
          </cell>
          <cell r="J204">
            <v>0</v>
          </cell>
          <cell r="K204">
            <v>0</v>
          </cell>
        </row>
        <row r="205">
          <cell r="A205" t="str">
            <v>1700100001</v>
          </cell>
          <cell r="B205">
            <v>2</v>
          </cell>
          <cell r="C205">
            <v>1</v>
          </cell>
          <cell r="D205" t="str">
            <v>Instalaciones mejoras</v>
          </cell>
          <cell r="E205">
            <v>1512301.75</v>
          </cell>
          <cell r="F205">
            <v>242999.12</v>
          </cell>
          <cell r="G205">
            <v>0</v>
          </cell>
          <cell r="H205">
            <v>1755300.87</v>
          </cell>
          <cell r="I205">
            <v>14057839.23</v>
          </cell>
          <cell r="J205">
            <v>0</v>
          </cell>
          <cell r="K205">
            <v>0</v>
          </cell>
        </row>
        <row r="206">
          <cell r="A206" t="str">
            <v>1710100000</v>
          </cell>
          <cell r="B206">
            <v>2</v>
          </cell>
          <cell r="C206">
            <v>1</v>
          </cell>
          <cell r="D206" t="str">
            <v>Depreciación acumulada de edificios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4227752</v>
          </cell>
          <cell r="J206">
            <v>0</v>
          </cell>
          <cell r="K206">
            <v>0</v>
          </cell>
        </row>
        <row r="207">
          <cell r="A207" t="str">
            <v>1710200001</v>
          </cell>
          <cell r="B207">
            <v>2</v>
          </cell>
          <cell r="C207">
            <v>1</v>
          </cell>
          <cell r="D207" t="str">
            <v>LOTE DE MAQUINARIA Y EQUIPO DE EJ ANTERIORES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3801684.65</v>
          </cell>
          <cell r="J207">
            <v>0</v>
          </cell>
          <cell r="K207">
            <v>55255.33</v>
          </cell>
        </row>
        <row r="208">
          <cell r="A208" t="str">
            <v>1710200002</v>
          </cell>
          <cell r="B208">
            <v>2</v>
          </cell>
          <cell r="C208">
            <v>1</v>
          </cell>
          <cell r="D208" t="str">
            <v>RACKS PARA ALMACENAMIENTO CON 368 POSICIONES</v>
          </cell>
          <cell r="E208">
            <v>5964.66</v>
          </cell>
          <cell r="F208">
            <v>0</v>
          </cell>
          <cell r="G208">
            <v>2982.33</v>
          </cell>
          <cell r="H208">
            <v>8946.99</v>
          </cell>
          <cell r="I208">
            <v>0</v>
          </cell>
          <cell r="J208">
            <v>0</v>
          </cell>
          <cell r="K208">
            <v>0</v>
          </cell>
        </row>
        <row r="209">
          <cell r="A209" t="str">
            <v>1710200004</v>
          </cell>
          <cell r="B209">
            <v>2</v>
          </cell>
          <cell r="C209">
            <v>1</v>
          </cell>
          <cell r="D209" t="str">
            <v>BALANZA ANALITICA 220G RES 0.1MG PX224</v>
          </cell>
          <cell r="E209">
            <v>0</v>
          </cell>
          <cell r="F209">
            <v>0</v>
          </cell>
          <cell r="G209">
            <v>394.13</v>
          </cell>
          <cell r="H209">
            <v>394.13</v>
          </cell>
          <cell r="I209">
            <v>0</v>
          </cell>
          <cell r="J209">
            <v>0</v>
          </cell>
          <cell r="K209">
            <v>0</v>
          </cell>
        </row>
        <row r="210">
          <cell r="A210" t="str">
            <v>1710200005</v>
          </cell>
          <cell r="B210">
            <v>2</v>
          </cell>
          <cell r="C210">
            <v>1</v>
          </cell>
          <cell r="D210" t="str">
            <v>BANCOS DE ACERO INOXIDABLE 11 PZS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91.67</v>
          </cell>
        </row>
        <row r="211">
          <cell r="A211" t="str">
            <v>1710200006</v>
          </cell>
          <cell r="B211">
            <v>2</v>
          </cell>
          <cell r="C211">
            <v>1</v>
          </cell>
          <cell r="D211" t="str">
            <v>CARRITO PLATAFORMA DE ACERO + 2 BANCOS DE ACERO IN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90.83</v>
          </cell>
        </row>
        <row r="212">
          <cell r="A212" t="str">
            <v>1710200007</v>
          </cell>
          <cell r="B212">
            <v>2</v>
          </cell>
          <cell r="C212">
            <v>1</v>
          </cell>
          <cell r="D212" t="str">
            <v>ETIQUETADORA SEMI AUTOMATICA</v>
          </cell>
          <cell r="E212">
            <v>0</v>
          </cell>
          <cell r="F212">
            <v>0</v>
          </cell>
          <cell r="G212">
            <v>301.24</v>
          </cell>
          <cell r="H212">
            <v>301.24</v>
          </cell>
          <cell r="I212">
            <v>0</v>
          </cell>
          <cell r="J212">
            <v>0</v>
          </cell>
          <cell r="K212">
            <v>0</v>
          </cell>
        </row>
        <row r="213">
          <cell r="A213" t="str">
            <v>1710200008</v>
          </cell>
          <cell r="B213">
            <v>2</v>
          </cell>
          <cell r="C213">
            <v>1</v>
          </cell>
          <cell r="D213" t="str">
            <v>ETIQUETADORA MARCA-SHANGHAI</v>
          </cell>
          <cell r="E213">
            <v>1634.58</v>
          </cell>
          <cell r="F213">
            <v>0</v>
          </cell>
          <cell r="G213">
            <v>817.29</v>
          </cell>
          <cell r="H213">
            <v>2451.87</v>
          </cell>
          <cell r="I213">
            <v>0</v>
          </cell>
          <cell r="J213">
            <v>0</v>
          </cell>
          <cell r="K213">
            <v>0</v>
          </cell>
        </row>
        <row r="214">
          <cell r="A214" t="str">
            <v>1710200009</v>
          </cell>
          <cell r="B214">
            <v>2</v>
          </cell>
          <cell r="C214">
            <v>1</v>
          </cell>
          <cell r="D214" t="str">
            <v>DISCO PARA ENCAPSULADORA</v>
          </cell>
          <cell r="E214">
            <v>0</v>
          </cell>
          <cell r="F214">
            <v>0</v>
          </cell>
          <cell r="G214">
            <v>473.47</v>
          </cell>
          <cell r="H214">
            <v>473.47</v>
          </cell>
          <cell r="I214">
            <v>0</v>
          </cell>
          <cell r="J214">
            <v>0</v>
          </cell>
          <cell r="K214">
            <v>0</v>
          </cell>
        </row>
        <row r="215">
          <cell r="A215" t="str">
            <v>1710200012</v>
          </cell>
          <cell r="B215">
            <v>2</v>
          </cell>
          <cell r="C215">
            <v>1</v>
          </cell>
          <cell r="D215" t="str">
            <v>BANCOS DE ACERO INOXIDABLE 3 PZAS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55</v>
          </cell>
        </row>
        <row r="216">
          <cell r="A216" t="str">
            <v>1710200013</v>
          </cell>
          <cell r="B216">
            <v>2</v>
          </cell>
          <cell r="C216">
            <v>1</v>
          </cell>
          <cell r="D216" t="str">
            <v>MESA CON GABINETE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117.19</v>
          </cell>
        </row>
        <row r="217">
          <cell r="A217" t="str">
            <v>1710300000</v>
          </cell>
          <cell r="B217">
            <v>2</v>
          </cell>
          <cell r="C217">
            <v>1</v>
          </cell>
          <cell r="D217" t="str">
            <v>Depr acum de automóviles, autobuses, camiones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1079570.45</v>
          </cell>
          <cell r="J217">
            <v>0</v>
          </cell>
          <cell r="K217">
            <v>1948.89</v>
          </cell>
        </row>
        <row r="218">
          <cell r="A218" t="str">
            <v>1710400001</v>
          </cell>
          <cell r="B218">
            <v>2</v>
          </cell>
          <cell r="C218">
            <v>1</v>
          </cell>
          <cell r="D218" t="str">
            <v>LOTE DE ACTIVOS EJ ANTERIORES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1206071.6000000001</v>
          </cell>
          <cell r="J218">
            <v>0</v>
          </cell>
          <cell r="K218">
            <v>124345.92</v>
          </cell>
        </row>
        <row r="219">
          <cell r="A219" t="str">
            <v>1710400002</v>
          </cell>
          <cell r="B219">
            <v>2</v>
          </cell>
          <cell r="C219">
            <v>1</v>
          </cell>
          <cell r="D219" t="str">
            <v>LOCKER UNIVERSAL 2PZAS</v>
          </cell>
          <cell r="E219">
            <v>0</v>
          </cell>
          <cell r="F219">
            <v>0</v>
          </cell>
          <cell r="G219">
            <v>162.08000000000001</v>
          </cell>
          <cell r="H219">
            <v>162.08000000000001</v>
          </cell>
          <cell r="I219">
            <v>0</v>
          </cell>
          <cell r="J219">
            <v>0</v>
          </cell>
          <cell r="K219">
            <v>66.67</v>
          </cell>
        </row>
        <row r="220">
          <cell r="A220" t="str">
            <v>1710500001</v>
          </cell>
          <cell r="B220">
            <v>2</v>
          </cell>
          <cell r="C220">
            <v>1</v>
          </cell>
          <cell r="D220" t="str">
            <v>PAQHPZ6STM PAQUETE HP Z6 24 CORTADOR STM</v>
          </cell>
          <cell r="E220">
            <v>3663.8</v>
          </cell>
          <cell r="F220">
            <v>0</v>
          </cell>
          <cell r="G220">
            <v>1831.9</v>
          </cell>
          <cell r="H220">
            <v>5495.7</v>
          </cell>
          <cell r="I220">
            <v>0</v>
          </cell>
          <cell r="J220">
            <v>0</v>
          </cell>
          <cell r="K220">
            <v>0</v>
          </cell>
        </row>
        <row r="221">
          <cell r="A221" t="str">
            <v>1710500002</v>
          </cell>
          <cell r="B221">
            <v>2</v>
          </cell>
          <cell r="C221">
            <v>1</v>
          </cell>
          <cell r="D221" t="str">
            <v xml:space="preserve">Servidor Lenovo ThinkSystem SR250_x000D_
</v>
          </cell>
          <cell r="E221">
            <v>9808.7000000000007</v>
          </cell>
          <cell r="F221">
            <v>0</v>
          </cell>
          <cell r="G221">
            <v>4904.3500000000004</v>
          </cell>
          <cell r="H221">
            <v>14713.05</v>
          </cell>
          <cell r="I221">
            <v>0</v>
          </cell>
          <cell r="J221">
            <v>0</v>
          </cell>
          <cell r="K221">
            <v>0</v>
          </cell>
        </row>
        <row r="222">
          <cell r="A222" t="str">
            <v>1710500003</v>
          </cell>
          <cell r="B222">
            <v>2</v>
          </cell>
          <cell r="C222">
            <v>1</v>
          </cell>
          <cell r="D222" t="str">
            <v>UPS-1103 3KVA IND-RP RACK 1F</v>
          </cell>
          <cell r="E222">
            <v>0</v>
          </cell>
          <cell r="F222">
            <v>0</v>
          </cell>
          <cell r="G222">
            <v>312.3</v>
          </cell>
          <cell r="H222">
            <v>312.3</v>
          </cell>
          <cell r="I222">
            <v>0</v>
          </cell>
          <cell r="J222">
            <v>0</v>
          </cell>
          <cell r="K222">
            <v>0</v>
          </cell>
        </row>
        <row r="223">
          <cell r="A223" t="str">
            <v>1710500004</v>
          </cell>
          <cell r="B223">
            <v>2</v>
          </cell>
          <cell r="C223">
            <v>1</v>
          </cell>
          <cell r="D223" t="str">
            <v>HP Lote de computadoras mayo 25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723837.95</v>
          </cell>
          <cell r="J223">
            <v>0</v>
          </cell>
          <cell r="K223">
            <v>490.19</v>
          </cell>
        </row>
        <row r="224">
          <cell r="A224" t="str">
            <v>1711700000</v>
          </cell>
          <cell r="B224">
            <v>2</v>
          </cell>
          <cell r="C224">
            <v>1</v>
          </cell>
          <cell r="D224" t="str">
            <v>Depr acumulada de adaptaciones y mejoras</v>
          </cell>
          <cell r="E224">
            <v>21611.52</v>
          </cell>
          <cell r="F224">
            <v>0</v>
          </cell>
          <cell r="G224">
            <v>12535.01</v>
          </cell>
          <cell r="H224">
            <v>34146.53</v>
          </cell>
          <cell r="I224">
            <v>21506.37</v>
          </cell>
          <cell r="J224">
            <v>0</v>
          </cell>
          <cell r="K224">
            <v>6177.12</v>
          </cell>
        </row>
        <row r="225">
          <cell r="A225" t="str">
            <v>1760101001</v>
          </cell>
          <cell r="B225">
            <v>2</v>
          </cell>
          <cell r="C225">
            <v>1</v>
          </cell>
          <cell r="D225" t="str">
            <v>Marca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15000000</v>
          </cell>
          <cell r="J225">
            <v>0</v>
          </cell>
          <cell r="K225">
            <v>0</v>
          </cell>
        </row>
        <row r="226">
          <cell r="A226" t="str">
            <v>1831001000</v>
          </cell>
          <cell r="B226">
            <v>2</v>
          </cell>
          <cell r="C226">
            <v>1</v>
          </cell>
          <cell r="D226" t="str">
            <v>Leasy Arrendamientos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-132129.32999999999</v>
          </cell>
          <cell r="J226">
            <v>0</v>
          </cell>
          <cell r="K226">
            <v>28388.73</v>
          </cell>
        </row>
        <row r="227">
          <cell r="A227" t="str">
            <v>1831002000</v>
          </cell>
          <cell r="B227">
            <v>2</v>
          </cell>
          <cell r="C227">
            <v>1</v>
          </cell>
          <cell r="D227" t="str">
            <v>Arrendamientos y Soluciones en Activos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-734854.72</v>
          </cell>
          <cell r="J227">
            <v>0</v>
          </cell>
          <cell r="K227">
            <v>185159.16</v>
          </cell>
        </row>
        <row r="228">
          <cell r="A228" t="str">
            <v>1831004000</v>
          </cell>
          <cell r="B228">
            <v>2</v>
          </cell>
          <cell r="C228">
            <v>1</v>
          </cell>
          <cell r="D228" t="str">
            <v>Grupo Optima GDL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-31152.33</v>
          </cell>
          <cell r="J228">
            <v>0</v>
          </cell>
          <cell r="K228">
            <v>6421.5</v>
          </cell>
        </row>
        <row r="229">
          <cell r="A229" t="str">
            <v>1831005000</v>
          </cell>
          <cell r="B229">
            <v>2</v>
          </cell>
          <cell r="C229">
            <v>1</v>
          </cell>
          <cell r="D229" t="str">
            <v>Hewlett Packard Operations Mexico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-117714.41</v>
          </cell>
          <cell r="J229">
            <v>0</v>
          </cell>
          <cell r="K229">
            <v>3194.92</v>
          </cell>
        </row>
        <row r="230">
          <cell r="A230" t="str">
            <v>1840200001</v>
          </cell>
          <cell r="B230">
            <v>2</v>
          </cell>
          <cell r="C230">
            <v>1</v>
          </cell>
          <cell r="D230" t="str">
            <v>PROMOTORA TESISTAN</v>
          </cell>
          <cell r="E230">
            <v>24403.03</v>
          </cell>
          <cell r="F230">
            <v>0</v>
          </cell>
          <cell r="G230">
            <v>0</v>
          </cell>
          <cell r="H230">
            <v>24403.03</v>
          </cell>
          <cell r="I230">
            <v>537569</v>
          </cell>
          <cell r="J230">
            <v>0</v>
          </cell>
          <cell r="K230">
            <v>0</v>
          </cell>
        </row>
        <row r="231">
          <cell r="A231" t="str">
            <v>1910100001</v>
          </cell>
          <cell r="B231">
            <v>2</v>
          </cell>
          <cell r="C231">
            <v>1</v>
          </cell>
          <cell r="D231" t="str">
            <v>Arrendamiento y Soluciones</v>
          </cell>
          <cell r="E231">
            <v>2757156</v>
          </cell>
          <cell r="F231">
            <v>0</v>
          </cell>
          <cell r="G231">
            <v>0</v>
          </cell>
          <cell r="H231">
            <v>2757156</v>
          </cell>
          <cell r="I231">
            <v>0</v>
          </cell>
          <cell r="J231">
            <v>0</v>
          </cell>
          <cell r="K231">
            <v>0</v>
          </cell>
        </row>
        <row r="232">
          <cell r="A232" t="str">
            <v>2010101002</v>
          </cell>
          <cell r="B232">
            <v>2</v>
          </cell>
          <cell r="C232">
            <v>1</v>
          </cell>
          <cell r="D232" t="str">
            <v>POLIMEROS ENVASES Y TAPAS TAPATIOS</v>
          </cell>
          <cell r="E232">
            <v>716035.52</v>
          </cell>
          <cell r="F232">
            <v>716035.52</v>
          </cell>
          <cell r="G232">
            <v>725835.2</v>
          </cell>
          <cell r="H232">
            <v>725835.2</v>
          </cell>
          <cell r="I232">
            <v>3259.14</v>
          </cell>
          <cell r="J232">
            <v>0</v>
          </cell>
          <cell r="K232">
            <v>0</v>
          </cell>
        </row>
        <row r="233">
          <cell r="A233" t="str">
            <v>2010101003</v>
          </cell>
          <cell r="B233">
            <v>2</v>
          </cell>
          <cell r="C233">
            <v>1</v>
          </cell>
          <cell r="D233" t="str">
            <v>EDITORIAL MATRO</v>
          </cell>
          <cell r="E233">
            <v>744446.82</v>
          </cell>
          <cell r="F233">
            <v>86536</v>
          </cell>
          <cell r="G233">
            <v>551566.13</v>
          </cell>
          <cell r="H233">
            <v>1209476.95</v>
          </cell>
          <cell r="I233">
            <v>203754</v>
          </cell>
          <cell r="J233">
            <v>0</v>
          </cell>
          <cell r="K233">
            <v>0</v>
          </cell>
        </row>
        <row r="234">
          <cell r="A234" t="str">
            <v>2010101004</v>
          </cell>
          <cell r="B234">
            <v>2</v>
          </cell>
          <cell r="C234">
            <v>1</v>
          </cell>
          <cell r="D234" t="str">
            <v>GEMETYTEC DE GUADALAJARA</v>
          </cell>
          <cell r="E234">
            <v>0</v>
          </cell>
          <cell r="F234">
            <v>0</v>
          </cell>
          <cell r="G234">
            <v>13427.35</v>
          </cell>
          <cell r="H234">
            <v>13427.35</v>
          </cell>
          <cell r="I234">
            <v>0</v>
          </cell>
          <cell r="J234">
            <v>0</v>
          </cell>
          <cell r="K234">
            <v>0</v>
          </cell>
        </row>
        <row r="235">
          <cell r="A235" t="str">
            <v>2010101005</v>
          </cell>
          <cell r="B235">
            <v>2</v>
          </cell>
          <cell r="C235">
            <v>1</v>
          </cell>
          <cell r="D235" t="str">
            <v>FORMFLEX</v>
          </cell>
          <cell r="E235">
            <v>463560.35</v>
          </cell>
          <cell r="F235">
            <v>0</v>
          </cell>
          <cell r="G235">
            <v>62453.13</v>
          </cell>
          <cell r="H235">
            <v>526013.48</v>
          </cell>
          <cell r="I235">
            <v>12235.62</v>
          </cell>
          <cell r="J235">
            <v>0</v>
          </cell>
          <cell r="K235">
            <v>0</v>
          </cell>
        </row>
        <row r="236">
          <cell r="A236" t="str">
            <v>2010101006</v>
          </cell>
          <cell r="B236">
            <v>2</v>
          </cell>
          <cell r="C236">
            <v>1</v>
          </cell>
          <cell r="D236" t="str">
            <v>ETIPRESS DE MEXICO</v>
          </cell>
          <cell r="E236">
            <v>216552.86</v>
          </cell>
          <cell r="F236">
            <v>38542.639999999999</v>
          </cell>
          <cell r="G236">
            <v>172680.64</v>
          </cell>
          <cell r="H236">
            <v>350690.86</v>
          </cell>
          <cell r="I236">
            <v>0</v>
          </cell>
          <cell r="J236">
            <v>0</v>
          </cell>
          <cell r="K236">
            <v>0</v>
          </cell>
        </row>
        <row r="237">
          <cell r="A237" t="str">
            <v>2010101007</v>
          </cell>
          <cell r="B237">
            <v>2</v>
          </cell>
          <cell r="C237">
            <v>1</v>
          </cell>
          <cell r="D237" t="str">
            <v>GRUPO MAYAPACK</v>
          </cell>
          <cell r="E237">
            <v>344807.89</v>
          </cell>
          <cell r="F237">
            <v>208489.33</v>
          </cell>
          <cell r="G237">
            <v>255423.71</v>
          </cell>
          <cell r="H237">
            <v>391742.27</v>
          </cell>
          <cell r="I237">
            <v>520.98</v>
          </cell>
          <cell r="J237">
            <v>0</v>
          </cell>
          <cell r="K237">
            <v>0</v>
          </cell>
        </row>
        <row r="238">
          <cell r="A238" t="str">
            <v>2010101008</v>
          </cell>
          <cell r="B238">
            <v>2</v>
          </cell>
          <cell r="C238">
            <v>1</v>
          </cell>
          <cell r="D238" t="str">
            <v>IMPRENTA COMERCIAL EL DEBATE</v>
          </cell>
          <cell r="E238">
            <v>666549.76000000001</v>
          </cell>
          <cell r="F238">
            <v>231370.03</v>
          </cell>
          <cell r="G238">
            <v>185429.59</v>
          </cell>
          <cell r="H238">
            <v>620609.31999999995</v>
          </cell>
          <cell r="I238">
            <v>0</v>
          </cell>
          <cell r="J238">
            <v>0</v>
          </cell>
          <cell r="K238">
            <v>15708.8</v>
          </cell>
        </row>
        <row r="239">
          <cell r="A239" t="str">
            <v>2010101009</v>
          </cell>
          <cell r="B239">
            <v>2</v>
          </cell>
          <cell r="C239">
            <v>1</v>
          </cell>
          <cell r="D239" t="str">
            <v>EMPAQUES MPK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47850</v>
          </cell>
          <cell r="J239">
            <v>0</v>
          </cell>
          <cell r="K239">
            <v>0</v>
          </cell>
        </row>
        <row r="240">
          <cell r="A240" t="str">
            <v>2010101010</v>
          </cell>
          <cell r="B240">
            <v>2</v>
          </cell>
          <cell r="C240">
            <v>1</v>
          </cell>
          <cell r="D240" t="str">
            <v>XIOMARA GONZALEZ LOPEZ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64403.199999999997</v>
          </cell>
          <cell r="J240">
            <v>0</v>
          </cell>
          <cell r="K240">
            <v>0</v>
          </cell>
        </row>
        <row r="241">
          <cell r="A241" t="str">
            <v>2010101011</v>
          </cell>
          <cell r="B241">
            <v>2</v>
          </cell>
          <cell r="C241">
            <v>1</v>
          </cell>
          <cell r="D241" t="str">
            <v>EXTRUPACK</v>
          </cell>
          <cell r="E241">
            <v>640443.72</v>
          </cell>
          <cell r="F241">
            <v>254425.76</v>
          </cell>
          <cell r="G241">
            <v>364021.71</v>
          </cell>
          <cell r="H241">
            <v>750039.67</v>
          </cell>
          <cell r="I241">
            <v>160370.57999999999</v>
          </cell>
          <cell r="J241">
            <v>0</v>
          </cell>
          <cell r="K241">
            <v>0</v>
          </cell>
        </row>
        <row r="242">
          <cell r="A242" t="str">
            <v>2010101012</v>
          </cell>
          <cell r="B242">
            <v>2</v>
          </cell>
          <cell r="C242">
            <v>1</v>
          </cell>
          <cell r="D242" t="str">
            <v>YADIRA TERRONES MENDOZA</v>
          </cell>
          <cell r="E242">
            <v>411593.27</v>
          </cell>
          <cell r="F242">
            <v>101990.43</v>
          </cell>
          <cell r="G242">
            <v>226355.7</v>
          </cell>
          <cell r="H242">
            <v>535958.54</v>
          </cell>
          <cell r="I242">
            <v>0</v>
          </cell>
          <cell r="J242">
            <v>0</v>
          </cell>
          <cell r="K242">
            <v>0</v>
          </cell>
        </row>
        <row r="243">
          <cell r="A243" t="str">
            <v>2010101013</v>
          </cell>
          <cell r="B243">
            <v>2</v>
          </cell>
          <cell r="C243">
            <v>1</v>
          </cell>
          <cell r="D243" t="str">
            <v>ARTE GCA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806339.9</v>
          </cell>
          <cell r="J243">
            <v>0</v>
          </cell>
          <cell r="K243">
            <v>0</v>
          </cell>
        </row>
        <row r="244">
          <cell r="A244" t="str">
            <v>2010101014</v>
          </cell>
          <cell r="B244">
            <v>2</v>
          </cell>
          <cell r="C244">
            <v>1</v>
          </cell>
          <cell r="D244" t="str">
            <v>CAROLINA PEREZ GOMEZ</v>
          </cell>
          <cell r="E244">
            <v>53700</v>
          </cell>
          <cell r="F244">
            <v>143075</v>
          </cell>
          <cell r="G244">
            <v>250025</v>
          </cell>
          <cell r="H244">
            <v>160650</v>
          </cell>
          <cell r="I244">
            <v>0</v>
          </cell>
          <cell r="J244">
            <v>0</v>
          </cell>
          <cell r="K244">
            <v>0</v>
          </cell>
        </row>
        <row r="245">
          <cell r="A245" t="str">
            <v>2010101015</v>
          </cell>
          <cell r="B245">
            <v>2</v>
          </cell>
          <cell r="C245">
            <v>1</v>
          </cell>
          <cell r="D245" t="str">
            <v>COMERCIAL DE MERCANCIAS SELECTAS</v>
          </cell>
          <cell r="E245">
            <v>48720</v>
          </cell>
          <cell r="F245">
            <v>12180</v>
          </cell>
          <cell r="G245">
            <v>48720</v>
          </cell>
          <cell r="H245">
            <v>85260</v>
          </cell>
          <cell r="I245">
            <v>145302.88</v>
          </cell>
          <cell r="J245">
            <v>145302.88</v>
          </cell>
          <cell r="K245">
            <v>0</v>
          </cell>
        </row>
        <row r="246">
          <cell r="A246" t="str">
            <v>2010101017</v>
          </cell>
          <cell r="B246">
            <v>2</v>
          </cell>
          <cell r="C246">
            <v>1</v>
          </cell>
          <cell r="D246" t="str">
            <v>JOSE GALLARDO JIMENEZ</v>
          </cell>
          <cell r="E246">
            <v>10576.8</v>
          </cell>
          <cell r="F246">
            <v>0</v>
          </cell>
          <cell r="G246">
            <v>8672.4</v>
          </cell>
          <cell r="H246">
            <v>19249.2</v>
          </cell>
          <cell r="I246">
            <v>0</v>
          </cell>
          <cell r="J246">
            <v>0</v>
          </cell>
          <cell r="K246">
            <v>0</v>
          </cell>
        </row>
        <row r="247">
          <cell r="A247" t="str">
            <v>2010101018</v>
          </cell>
          <cell r="B247">
            <v>2</v>
          </cell>
          <cell r="C247">
            <v>1</v>
          </cell>
          <cell r="D247" t="str">
            <v>SANITIZADO MEZCLAS Y MOLIENDAS</v>
          </cell>
          <cell r="E247">
            <v>149132</v>
          </cell>
          <cell r="F247">
            <v>6000</v>
          </cell>
          <cell r="G247">
            <v>192479.28</v>
          </cell>
          <cell r="H247">
            <v>335611.28</v>
          </cell>
          <cell r="I247">
            <v>1148.5</v>
          </cell>
          <cell r="J247">
            <v>0</v>
          </cell>
          <cell r="K247">
            <v>0</v>
          </cell>
        </row>
        <row r="248">
          <cell r="A248" t="str">
            <v>2010101021</v>
          </cell>
          <cell r="B248">
            <v>2</v>
          </cell>
          <cell r="C248">
            <v>1</v>
          </cell>
          <cell r="D248" t="str">
            <v>DAVID ROMERO PIMIENTA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9860</v>
          </cell>
          <cell r="K248">
            <v>9860</v>
          </cell>
        </row>
        <row r="249">
          <cell r="A249" t="str">
            <v>2010101022</v>
          </cell>
          <cell r="B249">
            <v>2</v>
          </cell>
          <cell r="C249">
            <v>1</v>
          </cell>
          <cell r="D249" t="str">
            <v>SR RODAMIENTO</v>
          </cell>
          <cell r="E249">
            <v>0</v>
          </cell>
          <cell r="F249">
            <v>0</v>
          </cell>
          <cell r="G249">
            <v>561.44000000000005</v>
          </cell>
          <cell r="H249">
            <v>561.44000000000005</v>
          </cell>
          <cell r="I249">
            <v>0</v>
          </cell>
          <cell r="J249">
            <v>0</v>
          </cell>
          <cell r="K249">
            <v>0</v>
          </cell>
        </row>
        <row r="250">
          <cell r="A250" t="str">
            <v>2010101034</v>
          </cell>
          <cell r="B250">
            <v>2</v>
          </cell>
          <cell r="C250">
            <v>1</v>
          </cell>
          <cell r="D250" t="str">
            <v>ETIQUETAS ELECTRONICAS DE OCCIDENTE SA DE CV</v>
          </cell>
          <cell r="E250">
            <v>0</v>
          </cell>
          <cell r="F250">
            <v>12862.08</v>
          </cell>
          <cell r="G250">
            <v>12862.08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</row>
        <row r="251">
          <cell r="A251" t="str">
            <v>2010101036</v>
          </cell>
          <cell r="B251">
            <v>2</v>
          </cell>
          <cell r="C251">
            <v>1</v>
          </cell>
          <cell r="D251" t="str">
            <v>HUGO EDUARDO REMUS CORBY</v>
          </cell>
          <cell r="E251">
            <v>364158.44</v>
          </cell>
          <cell r="F251">
            <v>255204.29</v>
          </cell>
          <cell r="G251">
            <v>243033.46</v>
          </cell>
          <cell r="H251">
            <v>351987.61</v>
          </cell>
          <cell r="I251">
            <v>0</v>
          </cell>
          <cell r="J251">
            <v>0</v>
          </cell>
          <cell r="K251">
            <v>0</v>
          </cell>
        </row>
        <row r="252">
          <cell r="A252" t="str">
            <v>2010101037</v>
          </cell>
          <cell r="B252">
            <v>2</v>
          </cell>
          <cell r="C252">
            <v>1</v>
          </cell>
          <cell r="D252" t="str">
            <v>MTEX MEXICO S. DE R.L. DE C.V.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32919</v>
          </cell>
          <cell r="J252">
            <v>0</v>
          </cell>
          <cell r="K252">
            <v>0</v>
          </cell>
        </row>
        <row r="253">
          <cell r="A253" t="str">
            <v>2010101040</v>
          </cell>
          <cell r="B253">
            <v>2</v>
          </cell>
          <cell r="C253">
            <v>1</v>
          </cell>
          <cell r="D253" t="str">
            <v>ROTA IMPRESOS NUEVA GALICIA, S.A. de C.V.</v>
          </cell>
          <cell r="E253">
            <v>0</v>
          </cell>
          <cell r="F253">
            <v>0</v>
          </cell>
          <cell r="G253">
            <v>16590.669999999998</v>
          </cell>
          <cell r="H253">
            <v>16590.669999999998</v>
          </cell>
          <cell r="I253">
            <v>177283.92</v>
          </cell>
          <cell r="J253">
            <v>0</v>
          </cell>
          <cell r="K253">
            <v>0</v>
          </cell>
        </row>
        <row r="254">
          <cell r="A254" t="str">
            <v>2010101045</v>
          </cell>
          <cell r="B254">
            <v>2</v>
          </cell>
          <cell r="C254">
            <v>1</v>
          </cell>
          <cell r="D254" t="str">
            <v>Xana Lab SA de CV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156692.79</v>
          </cell>
          <cell r="J254">
            <v>0</v>
          </cell>
          <cell r="K254">
            <v>1876050.71</v>
          </cell>
        </row>
        <row r="255">
          <cell r="A255" t="str">
            <v>2010101054</v>
          </cell>
          <cell r="B255">
            <v>2</v>
          </cell>
          <cell r="C255">
            <v>1</v>
          </cell>
          <cell r="D255" t="str">
            <v>JUAN ANGEL FLORES CASTRO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30.48</v>
          </cell>
          <cell r="J255">
            <v>0</v>
          </cell>
          <cell r="K255">
            <v>0</v>
          </cell>
        </row>
        <row r="256">
          <cell r="A256" t="str">
            <v>2010101055</v>
          </cell>
          <cell r="B256">
            <v>2</v>
          </cell>
          <cell r="C256">
            <v>1</v>
          </cell>
          <cell r="D256" t="str">
            <v>SXERIA PHARMA HCSAR</v>
          </cell>
          <cell r="E256">
            <v>0</v>
          </cell>
          <cell r="F256">
            <v>0</v>
          </cell>
          <cell r="G256">
            <v>3591.36</v>
          </cell>
          <cell r="H256">
            <v>3591.36</v>
          </cell>
          <cell r="I256">
            <v>0</v>
          </cell>
          <cell r="J256">
            <v>0</v>
          </cell>
          <cell r="K256">
            <v>0</v>
          </cell>
        </row>
        <row r="257">
          <cell r="A257" t="str">
            <v>2010101056</v>
          </cell>
          <cell r="B257">
            <v>2</v>
          </cell>
          <cell r="C257">
            <v>1</v>
          </cell>
          <cell r="D257" t="str">
            <v>JESUS ALEJANDRO HERNANDEZ BERMUDES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20406.72</v>
          </cell>
          <cell r="J257">
            <v>63912.98</v>
          </cell>
          <cell r="K257">
            <v>43506.26</v>
          </cell>
        </row>
        <row r="258">
          <cell r="A258" t="str">
            <v>2010101062</v>
          </cell>
          <cell r="B258">
            <v>2</v>
          </cell>
          <cell r="C258">
            <v>1</v>
          </cell>
          <cell r="D258" t="str">
            <v>CINTHYA ELIZABETH SALCEDO REYES (EJ2023)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82771.58</v>
          </cell>
          <cell r="J258">
            <v>0</v>
          </cell>
          <cell r="K258">
            <v>0</v>
          </cell>
        </row>
        <row r="259">
          <cell r="A259" t="str">
            <v>2010101064</v>
          </cell>
          <cell r="B259">
            <v>2</v>
          </cell>
          <cell r="C259">
            <v>1</v>
          </cell>
          <cell r="D259" t="str">
            <v>BIONUTRIENTES GLOBAL</v>
          </cell>
          <cell r="E259">
            <v>-842458.12</v>
          </cell>
          <cell r="F259">
            <v>0</v>
          </cell>
          <cell r="G259">
            <v>1322413.92</v>
          </cell>
          <cell r="H259">
            <v>479955.8</v>
          </cell>
          <cell r="I259">
            <v>0</v>
          </cell>
          <cell r="J259">
            <v>0</v>
          </cell>
          <cell r="K259">
            <v>0</v>
          </cell>
        </row>
        <row r="260">
          <cell r="A260" t="str">
            <v>2010101066</v>
          </cell>
          <cell r="B260">
            <v>2</v>
          </cell>
          <cell r="C260">
            <v>1</v>
          </cell>
          <cell r="D260" t="str">
            <v>CONVERTIDORA GMV</v>
          </cell>
          <cell r="E260">
            <v>263107.3</v>
          </cell>
          <cell r="F260">
            <v>263107.3</v>
          </cell>
          <cell r="G260">
            <v>173720.49</v>
          </cell>
          <cell r="H260">
            <v>173720.49</v>
          </cell>
          <cell r="I260">
            <v>0</v>
          </cell>
          <cell r="J260">
            <v>0</v>
          </cell>
          <cell r="K260">
            <v>0</v>
          </cell>
        </row>
        <row r="261">
          <cell r="A261" t="str">
            <v>2010101067</v>
          </cell>
          <cell r="B261">
            <v>2</v>
          </cell>
          <cell r="C261">
            <v>1</v>
          </cell>
          <cell r="D261" t="str">
            <v>LINDY PHARMA</v>
          </cell>
          <cell r="E261">
            <v>719730.92</v>
          </cell>
          <cell r="F261">
            <v>362740.33</v>
          </cell>
          <cell r="G261">
            <v>642383.81000000006</v>
          </cell>
          <cell r="H261">
            <v>999374.4</v>
          </cell>
          <cell r="I261">
            <v>0</v>
          </cell>
          <cell r="J261">
            <v>0</v>
          </cell>
          <cell r="K261">
            <v>0</v>
          </cell>
        </row>
        <row r="262">
          <cell r="A262" t="str">
            <v>2010101068</v>
          </cell>
          <cell r="B262">
            <v>2</v>
          </cell>
          <cell r="C262">
            <v>1</v>
          </cell>
          <cell r="D262" t="str">
            <v>CAPSUTEC DE MEXICO</v>
          </cell>
          <cell r="E262">
            <v>147412.79999999999</v>
          </cell>
          <cell r="F262">
            <v>147412.79999999999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</row>
        <row r="263">
          <cell r="A263" t="str">
            <v>2010101069</v>
          </cell>
          <cell r="B263">
            <v>2</v>
          </cell>
          <cell r="C263">
            <v>1</v>
          </cell>
          <cell r="D263" t="str">
            <v>DISPROQUIMEX</v>
          </cell>
          <cell r="E263">
            <v>82622.13</v>
          </cell>
          <cell r="F263">
            <v>82622.13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</row>
        <row r="264">
          <cell r="A264" t="str">
            <v>2010101073</v>
          </cell>
          <cell r="B264">
            <v>2</v>
          </cell>
          <cell r="C264">
            <v>1</v>
          </cell>
          <cell r="D264" t="str">
            <v>ALBANY CREA</v>
          </cell>
          <cell r="E264">
            <v>0</v>
          </cell>
          <cell r="F264">
            <v>30268</v>
          </cell>
          <cell r="G264">
            <v>30508</v>
          </cell>
          <cell r="H264">
            <v>240</v>
          </cell>
          <cell r="I264">
            <v>0</v>
          </cell>
          <cell r="J264">
            <v>0</v>
          </cell>
          <cell r="K264">
            <v>0</v>
          </cell>
        </row>
        <row r="265">
          <cell r="A265" t="str">
            <v>2010101074</v>
          </cell>
          <cell r="B265">
            <v>2</v>
          </cell>
          <cell r="C265">
            <v>1</v>
          </cell>
          <cell r="D265" t="str">
            <v>Farmiral SA de CV</v>
          </cell>
          <cell r="E265">
            <v>11344086.470000001</v>
          </cell>
          <cell r="F265">
            <v>0</v>
          </cell>
          <cell r="G265">
            <v>-110257.58</v>
          </cell>
          <cell r="H265">
            <v>11233828.890000001</v>
          </cell>
          <cell r="I265">
            <v>0</v>
          </cell>
          <cell r="J265">
            <v>0</v>
          </cell>
          <cell r="K265">
            <v>0</v>
          </cell>
        </row>
        <row r="266">
          <cell r="A266" t="str">
            <v>2010101075</v>
          </cell>
          <cell r="B266">
            <v>2</v>
          </cell>
          <cell r="C266">
            <v>1</v>
          </cell>
          <cell r="D266" t="str">
            <v>HCQ INGREDIENTES PARA LA INDUSTRIA ALIMENTICIA</v>
          </cell>
          <cell r="E266">
            <v>1250</v>
          </cell>
          <cell r="F266">
            <v>0</v>
          </cell>
          <cell r="G266">
            <v>0</v>
          </cell>
          <cell r="H266">
            <v>1250</v>
          </cell>
          <cell r="I266">
            <v>0</v>
          </cell>
          <cell r="J266">
            <v>0</v>
          </cell>
          <cell r="K266">
            <v>0</v>
          </cell>
        </row>
        <row r="267">
          <cell r="A267" t="str">
            <v>2010102101</v>
          </cell>
          <cell r="B267">
            <v>2</v>
          </cell>
          <cell r="C267">
            <v>1</v>
          </cell>
          <cell r="D267" t="str">
            <v>FTF INOVATIV</v>
          </cell>
          <cell r="E267">
            <v>34463.14</v>
          </cell>
          <cell r="F267">
            <v>16501.580000000002</v>
          </cell>
          <cell r="G267">
            <v>20747.759999999998</v>
          </cell>
          <cell r="H267">
            <v>38709.32</v>
          </cell>
          <cell r="I267">
            <v>0</v>
          </cell>
          <cell r="J267">
            <v>0</v>
          </cell>
          <cell r="K267">
            <v>0</v>
          </cell>
        </row>
        <row r="268">
          <cell r="A268" t="str">
            <v>2010102102</v>
          </cell>
          <cell r="B268">
            <v>2</v>
          </cell>
          <cell r="C268">
            <v>1</v>
          </cell>
          <cell r="D268" t="str">
            <v>MOLECULAS FINAS DE MEXICO</v>
          </cell>
          <cell r="E268">
            <v>7395</v>
          </cell>
          <cell r="F268">
            <v>0</v>
          </cell>
          <cell r="G268">
            <v>0.57999999999999996</v>
          </cell>
          <cell r="H268">
            <v>7395.58</v>
          </cell>
          <cell r="I268">
            <v>0</v>
          </cell>
          <cell r="J268">
            <v>0</v>
          </cell>
          <cell r="K268">
            <v>0</v>
          </cell>
        </row>
        <row r="269">
          <cell r="A269" t="str">
            <v>2010102103</v>
          </cell>
          <cell r="B269">
            <v>2</v>
          </cell>
          <cell r="C269">
            <v>1</v>
          </cell>
          <cell r="D269" t="str">
            <v>FLAVORS CGV INTERNACIONAL</v>
          </cell>
          <cell r="E269">
            <v>2050.88</v>
          </cell>
          <cell r="F269">
            <v>631.04</v>
          </cell>
          <cell r="G269">
            <v>2784</v>
          </cell>
          <cell r="H269">
            <v>4203.84</v>
          </cell>
          <cell r="I269">
            <v>0</v>
          </cell>
          <cell r="J269">
            <v>0</v>
          </cell>
          <cell r="K269">
            <v>0</v>
          </cell>
        </row>
        <row r="270">
          <cell r="A270" t="str">
            <v>2010102104</v>
          </cell>
          <cell r="B270">
            <v>2</v>
          </cell>
          <cell r="C270">
            <v>1</v>
          </cell>
          <cell r="D270" t="str">
            <v>CORPORATIVO MEXINGREDIENT INTERNACIONAL</v>
          </cell>
          <cell r="E270">
            <v>2451.98</v>
          </cell>
          <cell r="F270">
            <v>1225.99</v>
          </cell>
          <cell r="G270">
            <v>1225.99</v>
          </cell>
          <cell r="H270">
            <v>2451.98</v>
          </cell>
          <cell r="I270">
            <v>0</v>
          </cell>
          <cell r="J270">
            <v>0</v>
          </cell>
          <cell r="K270">
            <v>0</v>
          </cell>
        </row>
        <row r="271">
          <cell r="A271" t="str">
            <v>2010102105</v>
          </cell>
          <cell r="B271">
            <v>2</v>
          </cell>
          <cell r="C271">
            <v>1</v>
          </cell>
          <cell r="D271" t="str">
            <v>BEMIS PACKAGING MEXICO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23528.83</v>
          </cell>
          <cell r="J271">
            <v>23528.83</v>
          </cell>
          <cell r="K271">
            <v>0</v>
          </cell>
        </row>
        <row r="272">
          <cell r="A272" t="str">
            <v>2010102106</v>
          </cell>
          <cell r="B272">
            <v>2</v>
          </cell>
          <cell r="C272">
            <v>1</v>
          </cell>
          <cell r="D272" t="str">
            <v>ALFAMEX INDUSTRIAL</v>
          </cell>
          <cell r="E272">
            <v>0</v>
          </cell>
          <cell r="F272">
            <v>3906.3</v>
          </cell>
          <cell r="G272">
            <v>3906.3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</row>
        <row r="273">
          <cell r="A273" t="str">
            <v>2010102107</v>
          </cell>
          <cell r="B273">
            <v>2</v>
          </cell>
          <cell r="C273">
            <v>1</v>
          </cell>
          <cell r="D273" t="str">
            <v>GO D'GHUSTAN</v>
          </cell>
          <cell r="E273">
            <v>0</v>
          </cell>
          <cell r="F273">
            <v>781.84</v>
          </cell>
          <cell r="G273">
            <v>1262.08</v>
          </cell>
          <cell r="H273">
            <v>480.24</v>
          </cell>
          <cell r="I273">
            <v>0</v>
          </cell>
          <cell r="J273">
            <v>0</v>
          </cell>
          <cell r="K273">
            <v>0</v>
          </cell>
        </row>
        <row r="274">
          <cell r="A274" t="str">
            <v>2010102108</v>
          </cell>
          <cell r="B274">
            <v>2</v>
          </cell>
          <cell r="C274">
            <v>1</v>
          </cell>
          <cell r="D274" t="str">
            <v>ENZIMAS Y PRODUCTOS QUIMICOS</v>
          </cell>
          <cell r="E274">
            <v>16243.02</v>
          </cell>
          <cell r="F274">
            <v>6035.02</v>
          </cell>
          <cell r="G274">
            <v>627.85</v>
          </cell>
          <cell r="H274">
            <v>10835.85</v>
          </cell>
          <cell r="I274">
            <v>0</v>
          </cell>
          <cell r="J274">
            <v>0</v>
          </cell>
          <cell r="K274">
            <v>0</v>
          </cell>
        </row>
        <row r="275">
          <cell r="A275" t="str">
            <v>2010102109</v>
          </cell>
          <cell r="B275">
            <v>2</v>
          </cell>
          <cell r="C275">
            <v>1</v>
          </cell>
          <cell r="D275" t="str">
            <v>PKR INDUSTRIAL</v>
          </cell>
          <cell r="E275">
            <v>17092.02</v>
          </cell>
          <cell r="F275">
            <v>17092.02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</row>
        <row r="276">
          <cell r="A276" t="str">
            <v>2010102110</v>
          </cell>
          <cell r="B276">
            <v>2</v>
          </cell>
          <cell r="C276">
            <v>1</v>
          </cell>
          <cell r="D276" t="str">
            <v>PRONAQUIM</v>
          </cell>
          <cell r="E276">
            <v>82275.899999999994</v>
          </cell>
          <cell r="F276">
            <v>30711</v>
          </cell>
          <cell r="G276">
            <v>49094.1</v>
          </cell>
          <cell r="H276">
            <v>100659</v>
          </cell>
          <cell r="I276">
            <v>0</v>
          </cell>
          <cell r="J276">
            <v>0</v>
          </cell>
          <cell r="K276">
            <v>0</v>
          </cell>
        </row>
        <row r="277">
          <cell r="A277" t="str">
            <v>2010102111</v>
          </cell>
          <cell r="B277">
            <v>2</v>
          </cell>
          <cell r="C277">
            <v>1</v>
          </cell>
          <cell r="D277" t="str">
            <v>ADYCHEM</v>
          </cell>
          <cell r="E277">
            <v>19573.560000000001</v>
          </cell>
          <cell r="F277">
            <v>11763.56</v>
          </cell>
          <cell r="G277">
            <v>13724.04</v>
          </cell>
          <cell r="H277">
            <v>21534.04</v>
          </cell>
          <cell r="I277">
            <v>0</v>
          </cell>
          <cell r="J277">
            <v>0</v>
          </cell>
          <cell r="K277">
            <v>0</v>
          </cell>
        </row>
        <row r="278">
          <cell r="A278" t="str">
            <v>2010102112</v>
          </cell>
          <cell r="B278">
            <v>2</v>
          </cell>
          <cell r="C278">
            <v>1</v>
          </cell>
          <cell r="D278" t="str">
            <v>CENTRAL DE PRODUCTOS QUIMICOS</v>
          </cell>
          <cell r="E278">
            <v>35696.68</v>
          </cell>
          <cell r="F278">
            <v>0</v>
          </cell>
          <cell r="G278">
            <v>0</v>
          </cell>
          <cell r="H278">
            <v>35696.68</v>
          </cell>
          <cell r="I278">
            <v>38981.26</v>
          </cell>
          <cell r="J278">
            <v>0</v>
          </cell>
          <cell r="K278">
            <v>149.12</v>
          </cell>
        </row>
        <row r="279">
          <cell r="A279" t="str">
            <v>2010102114</v>
          </cell>
          <cell r="B279">
            <v>2</v>
          </cell>
          <cell r="C279">
            <v>1</v>
          </cell>
          <cell r="D279" t="str">
            <v>MASTERSENSE</v>
          </cell>
          <cell r="E279">
            <v>47927.14</v>
          </cell>
          <cell r="F279">
            <v>0</v>
          </cell>
          <cell r="G279">
            <v>23782.32</v>
          </cell>
          <cell r="H279">
            <v>71709.460000000006</v>
          </cell>
          <cell r="I279">
            <v>20266.86</v>
          </cell>
          <cell r="J279">
            <v>0</v>
          </cell>
          <cell r="K279">
            <v>0</v>
          </cell>
        </row>
        <row r="280">
          <cell r="A280" t="str">
            <v>2010102115</v>
          </cell>
          <cell r="B280">
            <v>2</v>
          </cell>
          <cell r="C280">
            <v>1</v>
          </cell>
          <cell r="D280" t="str">
            <v>ASTROQUIM</v>
          </cell>
          <cell r="E280">
            <v>57289.79</v>
          </cell>
          <cell r="F280">
            <v>22948.86</v>
          </cell>
          <cell r="G280">
            <v>27282.62</v>
          </cell>
          <cell r="H280">
            <v>61623.55</v>
          </cell>
          <cell r="I280">
            <v>0</v>
          </cell>
          <cell r="J280">
            <v>0</v>
          </cell>
          <cell r="K280">
            <v>0</v>
          </cell>
        </row>
        <row r="281">
          <cell r="A281" t="str">
            <v>2010102116</v>
          </cell>
          <cell r="B281">
            <v>2</v>
          </cell>
          <cell r="C281">
            <v>1</v>
          </cell>
          <cell r="D281" t="str">
            <v>COMERCIALIZADORA NEFUR</v>
          </cell>
          <cell r="E281">
            <v>203</v>
          </cell>
          <cell r="F281">
            <v>0</v>
          </cell>
          <cell r="G281">
            <v>635.39</v>
          </cell>
          <cell r="H281">
            <v>838.39</v>
          </cell>
          <cell r="I281">
            <v>0</v>
          </cell>
          <cell r="J281">
            <v>0</v>
          </cell>
          <cell r="K281">
            <v>0</v>
          </cell>
        </row>
        <row r="282">
          <cell r="A282" t="str">
            <v>2010102117</v>
          </cell>
          <cell r="B282">
            <v>2</v>
          </cell>
          <cell r="C282">
            <v>1</v>
          </cell>
          <cell r="D282" t="str">
            <v>GIVAUDAN DE MEXICO</v>
          </cell>
          <cell r="E282">
            <v>33757.449999999997</v>
          </cell>
          <cell r="F282">
            <v>7749.09</v>
          </cell>
          <cell r="G282">
            <v>20664.240000000002</v>
          </cell>
          <cell r="H282">
            <v>46672.6</v>
          </cell>
          <cell r="I282">
            <v>0</v>
          </cell>
          <cell r="J282">
            <v>0</v>
          </cell>
          <cell r="K282">
            <v>0</v>
          </cell>
        </row>
        <row r="283">
          <cell r="A283" t="str">
            <v>2010102124</v>
          </cell>
          <cell r="B283">
            <v>2</v>
          </cell>
          <cell r="C283">
            <v>1</v>
          </cell>
          <cell r="D283" t="str">
            <v>QUANTUM NATURA</v>
          </cell>
          <cell r="E283">
            <v>3770</v>
          </cell>
          <cell r="F283">
            <v>3770</v>
          </cell>
          <cell r="G283">
            <v>0</v>
          </cell>
          <cell r="H283">
            <v>0</v>
          </cell>
          <cell r="I283">
            <v>86.41</v>
          </cell>
          <cell r="J283">
            <v>0</v>
          </cell>
          <cell r="K283">
            <v>0</v>
          </cell>
        </row>
        <row r="284">
          <cell r="A284" t="str">
            <v>2010102125</v>
          </cell>
          <cell r="B284">
            <v>2</v>
          </cell>
          <cell r="C284">
            <v>1</v>
          </cell>
          <cell r="D284" t="str">
            <v>DSM NUTRITIONAL PRODUCTS MEXICO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85842.77</v>
          </cell>
          <cell r="J284">
            <v>38066</v>
          </cell>
          <cell r="K284">
            <v>0</v>
          </cell>
        </row>
        <row r="285">
          <cell r="A285" t="str">
            <v>2010102126</v>
          </cell>
          <cell r="B285">
            <v>2</v>
          </cell>
          <cell r="C285">
            <v>1</v>
          </cell>
          <cell r="D285" t="str">
            <v>MEXALC</v>
          </cell>
          <cell r="E285">
            <v>4466</v>
          </cell>
          <cell r="F285">
            <v>4466</v>
          </cell>
          <cell r="G285">
            <v>4698</v>
          </cell>
          <cell r="H285">
            <v>4698</v>
          </cell>
          <cell r="I285">
            <v>0</v>
          </cell>
          <cell r="J285">
            <v>0</v>
          </cell>
          <cell r="K285">
            <v>0</v>
          </cell>
        </row>
        <row r="286">
          <cell r="A286" t="str">
            <v>2010102131</v>
          </cell>
          <cell r="B286">
            <v>2</v>
          </cell>
          <cell r="C286">
            <v>1</v>
          </cell>
          <cell r="D286" t="str">
            <v>TECNOLOGIAS APLICADAS LEBEN</v>
          </cell>
          <cell r="E286">
            <v>1100.8</v>
          </cell>
          <cell r="F286">
            <v>0</v>
          </cell>
          <cell r="G286">
            <v>0</v>
          </cell>
          <cell r="H286">
            <v>1100.8</v>
          </cell>
          <cell r="I286">
            <v>0</v>
          </cell>
          <cell r="J286">
            <v>0</v>
          </cell>
          <cell r="K286">
            <v>0</v>
          </cell>
        </row>
        <row r="287">
          <cell r="A287" t="str">
            <v>2010102132</v>
          </cell>
          <cell r="B287">
            <v>2</v>
          </cell>
          <cell r="C287">
            <v>1</v>
          </cell>
          <cell r="D287" t="str">
            <v>HCQ INGREDIENTES PARA LA INDUSTRIA ALIMENTICIA</v>
          </cell>
          <cell r="E287">
            <v>1893.57</v>
          </cell>
          <cell r="F287">
            <v>972.48</v>
          </cell>
          <cell r="G287">
            <v>1653.18</v>
          </cell>
          <cell r="H287">
            <v>2574.27</v>
          </cell>
          <cell r="I287">
            <v>0</v>
          </cell>
          <cell r="J287">
            <v>0</v>
          </cell>
          <cell r="K287">
            <v>0</v>
          </cell>
        </row>
        <row r="288">
          <cell r="A288" t="str">
            <v>2010102133</v>
          </cell>
          <cell r="B288">
            <v>2</v>
          </cell>
          <cell r="C288">
            <v>1</v>
          </cell>
          <cell r="D288" t="str">
            <v>CAPSUTEC DE MEXICO</v>
          </cell>
          <cell r="E288">
            <v>20278.66</v>
          </cell>
          <cell r="F288">
            <v>10139.32</v>
          </cell>
          <cell r="G288">
            <v>30086.57</v>
          </cell>
          <cell r="H288">
            <v>40225.910000000003</v>
          </cell>
          <cell r="I288">
            <v>0</v>
          </cell>
          <cell r="J288">
            <v>0</v>
          </cell>
          <cell r="K288">
            <v>0</v>
          </cell>
        </row>
        <row r="289">
          <cell r="A289" t="str">
            <v>2010102201</v>
          </cell>
          <cell r="B289">
            <v>2</v>
          </cell>
          <cell r="C289">
            <v>1</v>
          </cell>
          <cell r="D289" t="str">
            <v>FTF INOVATIV</v>
          </cell>
          <cell r="E289">
            <v>645021.06000000006</v>
          </cell>
          <cell r="F289">
            <v>317613.27</v>
          </cell>
          <cell r="G289">
            <v>372940.89</v>
          </cell>
          <cell r="H289">
            <v>700348.68</v>
          </cell>
          <cell r="I289">
            <v>8617.11</v>
          </cell>
          <cell r="J289">
            <v>0</v>
          </cell>
          <cell r="K289">
            <v>0</v>
          </cell>
        </row>
        <row r="290">
          <cell r="A290" t="str">
            <v>2010102202</v>
          </cell>
          <cell r="B290">
            <v>2</v>
          </cell>
          <cell r="C290">
            <v>1</v>
          </cell>
          <cell r="D290" t="str">
            <v>MOLECULAS FINAS DE MEXICO</v>
          </cell>
          <cell r="E290">
            <v>136068</v>
          </cell>
          <cell r="F290">
            <v>0</v>
          </cell>
          <cell r="G290">
            <v>10.38</v>
          </cell>
          <cell r="H290">
            <v>136078.38</v>
          </cell>
          <cell r="I290">
            <v>0</v>
          </cell>
          <cell r="J290">
            <v>0</v>
          </cell>
          <cell r="K290">
            <v>0</v>
          </cell>
        </row>
        <row r="291">
          <cell r="A291" t="str">
            <v>2010102203</v>
          </cell>
          <cell r="B291">
            <v>2</v>
          </cell>
          <cell r="C291">
            <v>1</v>
          </cell>
          <cell r="D291" t="str">
            <v>FLAVORS CGV INTERNACIONAL</v>
          </cell>
          <cell r="E291">
            <v>37443.25</v>
          </cell>
          <cell r="F291">
            <v>11720.76</v>
          </cell>
          <cell r="G291">
            <v>50336.05</v>
          </cell>
          <cell r="H291">
            <v>76058.539999999994</v>
          </cell>
          <cell r="I291">
            <v>0</v>
          </cell>
          <cell r="J291">
            <v>0</v>
          </cell>
          <cell r="K291">
            <v>0</v>
          </cell>
        </row>
        <row r="292">
          <cell r="A292" t="str">
            <v>2010102204</v>
          </cell>
          <cell r="B292">
            <v>2</v>
          </cell>
          <cell r="C292">
            <v>1</v>
          </cell>
          <cell r="D292" t="str">
            <v>CORPORATIVO MEXINGREDIENT INTERNACIONAL</v>
          </cell>
          <cell r="E292">
            <v>46533.48</v>
          </cell>
          <cell r="F292">
            <v>22974.34</v>
          </cell>
          <cell r="G292">
            <v>21982.25</v>
          </cell>
          <cell r="H292">
            <v>45541.39</v>
          </cell>
          <cell r="I292">
            <v>896.09</v>
          </cell>
          <cell r="J292">
            <v>0</v>
          </cell>
          <cell r="K292">
            <v>0</v>
          </cell>
        </row>
        <row r="293">
          <cell r="A293" t="str">
            <v>2010102205</v>
          </cell>
          <cell r="B293">
            <v>2</v>
          </cell>
          <cell r="C293">
            <v>1</v>
          </cell>
          <cell r="D293" t="str">
            <v>BEMIS PACKAGING MEXICO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457635.74</v>
          </cell>
          <cell r="J293">
            <v>457635.74</v>
          </cell>
          <cell r="K293">
            <v>0</v>
          </cell>
        </row>
        <row r="294">
          <cell r="A294" t="str">
            <v>2010102206</v>
          </cell>
          <cell r="B294">
            <v>2</v>
          </cell>
          <cell r="C294">
            <v>1</v>
          </cell>
          <cell r="D294" t="str">
            <v>ALFAMEX INDUSTRIAL</v>
          </cell>
          <cell r="E294">
            <v>0</v>
          </cell>
          <cell r="F294">
            <v>70422.69</v>
          </cell>
          <cell r="G294">
            <v>70422.69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</row>
        <row r="295">
          <cell r="A295" t="str">
            <v>2010102207</v>
          </cell>
          <cell r="B295">
            <v>2</v>
          </cell>
          <cell r="C295">
            <v>1</v>
          </cell>
          <cell r="D295" t="str">
            <v>GO D'GHUSTAN</v>
          </cell>
          <cell r="E295">
            <v>0</v>
          </cell>
          <cell r="F295">
            <v>14235.33</v>
          </cell>
          <cell r="G295">
            <v>22830.21</v>
          </cell>
          <cell r="H295">
            <v>8594.8799999999992</v>
          </cell>
          <cell r="I295">
            <v>40.17</v>
          </cell>
          <cell r="J295">
            <v>0</v>
          </cell>
          <cell r="K295">
            <v>0</v>
          </cell>
        </row>
        <row r="296">
          <cell r="A296" t="str">
            <v>2010102208</v>
          </cell>
          <cell r="B296">
            <v>2</v>
          </cell>
          <cell r="C296">
            <v>1</v>
          </cell>
          <cell r="D296" t="str">
            <v>ENZIMAS Y PRODUCTOS QUIMICOS</v>
          </cell>
          <cell r="E296">
            <v>300521.39</v>
          </cell>
          <cell r="F296">
            <v>112996.94</v>
          </cell>
          <cell r="G296">
            <v>11318.06</v>
          </cell>
          <cell r="H296">
            <v>198842.51</v>
          </cell>
          <cell r="I296">
            <v>1771.7</v>
          </cell>
          <cell r="J296">
            <v>0</v>
          </cell>
          <cell r="K296">
            <v>0</v>
          </cell>
        </row>
        <row r="297">
          <cell r="A297" t="str">
            <v>2010102209</v>
          </cell>
          <cell r="B297">
            <v>2</v>
          </cell>
          <cell r="C297">
            <v>1</v>
          </cell>
          <cell r="D297" t="str">
            <v>PKR INDUSTRIAL</v>
          </cell>
          <cell r="E297">
            <v>326897.32</v>
          </cell>
          <cell r="F297">
            <v>327772.90000000002</v>
          </cell>
          <cell r="G297">
            <v>875.58</v>
          </cell>
          <cell r="H297">
            <v>0</v>
          </cell>
          <cell r="I297">
            <v>3195.39</v>
          </cell>
          <cell r="J297">
            <v>0</v>
          </cell>
          <cell r="K297">
            <v>0</v>
          </cell>
        </row>
        <row r="298">
          <cell r="A298" t="str">
            <v>2010102210</v>
          </cell>
          <cell r="B298">
            <v>2</v>
          </cell>
          <cell r="C298">
            <v>1</v>
          </cell>
          <cell r="D298" t="str">
            <v>PRONAQUIM</v>
          </cell>
          <cell r="E298">
            <v>1529822.73</v>
          </cell>
          <cell r="F298">
            <v>580250.26</v>
          </cell>
          <cell r="G298">
            <v>882849.81</v>
          </cell>
          <cell r="H298">
            <v>1832422.28</v>
          </cell>
          <cell r="I298">
            <v>0</v>
          </cell>
          <cell r="J298">
            <v>0</v>
          </cell>
          <cell r="K298">
            <v>0</v>
          </cell>
        </row>
        <row r="299">
          <cell r="A299" t="str">
            <v>2010102211</v>
          </cell>
          <cell r="B299">
            <v>2</v>
          </cell>
          <cell r="C299">
            <v>1</v>
          </cell>
          <cell r="D299" t="str">
            <v>ADYCHEM</v>
          </cell>
          <cell r="E299">
            <v>362358.73</v>
          </cell>
          <cell r="F299">
            <v>219640.54</v>
          </cell>
          <cell r="G299">
            <v>247082.79</v>
          </cell>
          <cell r="H299">
            <v>389800.98</v>
          </cell>
          <cell r="I299">
            <v>0</v>
          </cell>
          <cell r="J299">
            <v>0</v>
          </cell>
          <cell r="K299">
            <v>0</v>
          </cell>
        </row>
        <row r="300">
          <cell r="A300" t="str">
            <v>2010102212</v>
          </cell>
          <cell r="B300">
            <v>2</v>
          </cell>
          <cell r="C300">
            <v>1</v>
          </cell>
          <cell r="D300" t="str">
            <v>CENTRAL DE PRODUCTOS QUIMICOS</v>
          </cell>
          <cell r="E300">
            <v>663712.04</v>
          </cell>
          <cell r="F300">
            <v>0</v>
          </cell>
          <cell r="G300">
            <v>0</v>
          </cell>
          <cell r="H300">
            <v>663712.04</v>
          </cell>
          <cell r="I300">
            <v>774203.22</v>
          </cell>
          <cell r="J300">
            <v>0</v>
          </cell>
          <cell r="K300">
            <v>2712.97</v>
          </cell>
        </row>
        <row r="301">
          <cell r="A301" t="str">
            <v>2010102214</v>
          </cell>
          <cell r="B301">
            <v>2</v>
          </cell>
          <cell r="C301">
            <v>1</v>
          </cell>
          <cell r="D301" t="str">
            <v>MASTERSENSE</v>
          </cell>
          <cell r="E301">
            <v>884263.23</v>
          </cell>
          <cell r="F301">
            <v>0</v>
          </cell>
          <cell r="G301">
            <v>429313.68</v>
          </cell>
          <cell r="H301">
            <v>1313576.9099999999</v>
          </cell>
          <cell r="I301">
            <v>410149.24</v>
          </cell>
          <cell r="J301">
            <v>0</v>
          </cell>
          <cell r="K301">
            <v>0</v>
          </cell>
        </row>
        <row r="302">
          <cell r="A302" t="str">
            <v>2010102215</v>
          </cell>
          <cell r="B302">
            <v>2</v>
          </cell>
          <cell r="C302">
            <v>1</v>
          </cell>
          <cell r="D302" t="str">
            <v>ASTROQUIM</v>
          </cell>
          <cell r="E302">
            <v>1075631.1200000001</v>
          </cell>
          <cell r="F302">
            <v>446645.86</v>
          </cell>
          <cell r="G302">
            <v>494937.41</v>
          </cell>
          <cell r="H302">
            <v>1123922.67</v>
          </cell>
          <cell r="I302">
            <v>0</v>
          </cell>
          <cell r="J302">
            <v>0</v>
          </cell>
          <cell r="K302">
            <v>0</v>
          </cell>
        </row>
        <row r="303">
          <cell r="A303" t="str">
            <v>2010102216</v>
          </cell>
          <cell r="B303">
            <v>2</v>
          </cell>
          <cell r="C303">
            <v>1</v>
          </cell>
          <cell r="D303" t="str">
            <v>COMERCIALIZADORA NEFUR</v>
          </cell>
          <cell r="E303">
            <v>3758.48</v>
          </cell>
          <cell r="F303">
            <v>0</v>
          </cell>
          <cell r="G303">
            <v>11360.14</v>
          </cell>
          <cell r="H303">
            <v>15118.62</v>
          </cell>
          <cell r="I303">
            <v>0</v>
          </cell>
          <cell r="J303">
            <v>0</v>
          </cell>
          <cell r="K303">
            <v>0</v>
          </cell>
        </row>
        <row r="304">
          <cell r="A304" t="str">
            <v>2010102217</v>
          </cell>
          <cell r="B304">
            <v>2</v>
          </cell>
          <cell r="C304">
            <v>1</v>
          </cell>
          <cell r="D304" t="str">
            <v>GIVAUDAN DE MEXICO</v>
          </cell>
          <cell r="E304">
            <v>639791.28</v>
          </cell>
          <cell r="F304">
            <v>147823.19</v>
          </cell>
          <cell r="G304">
            <v>373026.73</v>
          </cell>
          <cell r="H304">
            <v>864994.82</v>
          </cell>
          <cell r="I304">
            <v>1454.26</v>
          </cell>
          <cell r="J304">
            <v>0</v>
          </cell>
          <cell r="K304">
            <v>0</v>
          </cell>
        </row>
        <row r="305">
          <cell r="A305" t="str">
            <v>2010102224</v>
          </cell>
          <cell r="B305">
            <v>2</v>
          </cell>
          <cell r="C305">
            <v>1</v>
          </cell>
          <cell r="D305" t="str">
            <v>QUANTUM NATURA</v>
          </cell>
          <cell r="E305">
            <v>70054.14</v>
          </cell>
          <cell r="F305">
            <v>70054.14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</row>
        <row r="306">
          <cell r="A306" t="str">
            <v>2010102225</v>
          </cell>
          <cell r="B306">
            <v>2</v>
          </cell>
          <cell r="C306">
            <v>1</v>
          </cell>
          <cell r="D306" t="str">
            <v>DSM NUTRITIONAL PRODUCTS MEXICO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2966914.53</v>
          </cell>
          <cell r="J306">
            <v>739158.64</v>
          </cell>
          <cell r="K306">
            <v>0</v>
          </cell>
        </row>
        <row r="307">
          <cell r="A307" t="str">
            <v>2010102226</v>
          </cell>
          <cell r="B307">
            <v>2</v>
          </cell>
          <cell r="C307">
            <v>1</v>
          </cell>
          <cell r="D307" t="str">
            <v>MEXALC</v>
          </cell>
          <cell r="E307">
            <v>80392.039999999994</v>
          </cell>
          <cell r="F307">
            <v>82927.350000000006</v>
          </cell>
          <cell r="G307">
            <v>86376.48</v>
          </cell>
          <cell r="H307">
            <v>83841.17</v>
          </cell>
          <cell r="I307">
            <v>0</v>
          </cell>
          <cell r="J307">
            <v>0</v>
          </cell>
          <cell r="K307">
            <v>0</v>
          </cell>
        </row>
        <row r="308">
          <cell r="A308" t="str">
            <v>2010102231</v>
          </cell>
          <cell r="B308">
            <v>2</v>
          </cell>
          <cell r="C308">
            <v>1</v>
          </cell>
          <cell r="D308" t="str">
            <v>TECNOLOGIAS APLICADAS LEBEN</v>
          </cell>
          <cell r="E308">
            <v>-43736.17</v>
          </cell>
          <cell r="F308">
            <v>0</v>
          </cell>
          <cell r="G308">
            <v>64651.37</v>
          </cell>
          <cell r="H308">
            <v>20915.2</v>
          </cell>
          <cell r="I308">
            <v>0</v>
          </cell>
          <cell r="J308">
            <v>0</v>
          </cell>
          <cell r="K308">
            <v>0</v>
          </cell>
        </row>
        <row r="309">
          <cell r="A309" t="str">
            <v>2010102232</v>
          </cell>
          <cell r="B309">
            <v>2</v>
          </cell>
          <cell r="C309">
            <v>1</v>
          </cell>
          <cell r="D309" t="str">
            <v>HCQ INGREDIENTES PARA LA INDUSTRIA ALIMENTICIA</v>
          </cell>
          <cell r="E309">
            <v>34827.17</v>
          </cell>
          <cell r="F309">
            <v>18141.490000000002</v>
          </cell>
          <cell r="G309">
            <v>29837.119999999999</v>
          </cell>
          <cell r="H309">
            <v>46522.8</v>
          </cell>
          <cell r="I309">
            <v>0</v>
          </cell>
          <cell r="J309">
            <v>0</v>
          </cell>
          <cell r="K309">
            <v>0</v>
          </cell>
        </row>
        <row r="310">
          <cell r="A310" t="str">
            <v>2010102233</v>
          </cell>
          <cell r="B310">
            <v>2</v>
          </cell>
          <cell r="C310">
            <v>1</v>
          </cell>
          <cell r="D310" t="str">
            <v>CAPSUTEC DE MEXICO</v>
          </cell>
          <cell r="E310">
            <v>373186.74</v>
          </cell>
          <cell r="F310">
            <v>187159.44</v>
          </cell>
          <cell r="G310">
            <v>544108.18999999994</v>
          </cell>
          <cell r="H310">
            <v>730135.49</v>
          </cell>
          <cell r="I310">
            <v>0</v>
          </cell>
          <cell r="J310">
            <v>0</v>
          </cell>
          <cell r="K310">
            <v>0</v>
          </cell>
        </row>
        <row r="311">
          <cell r="A311" t="str">
            <v>2010103001</v>
          </cell>
          <cell r="B311">
            <v>2</v>
          </cell>
          <cell r="C311">
            <v>1</v>
          </cell>
          <cell r="D311" t="str">
            <v>DURONCO SA DE CV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81475</v>
          </cell>
          <cell r="J311">
            <v>0</v>
          </cell>
          <cell r="K311">
            <v>0</v>
          </cell>
        </row>
        <row r="312">
          <cell r="A312" t="str">
            <v>2010103002</v>
          </cell>
          <cell r="B312">
            <v>2</v>
          </cell>
          <cell r="C312">
            <v>1</v>
          </cell>
          <cell r="D312" t="str">
            <v>FUTURE FOODS S.A DE C.V.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308145.81</v>
          </cell>
          <cell r="J312">
            <v>0</v>
          </cell>
          <cell r="K312">
            <v>0</v>
          </cell>
        </row>
        <row r="313">
          <cell r="A313" t="str">
            <v>2010103003</v>
          </cell>
          <cell r="B313">
            <v>2</v>
          </cell>
          <cell r="C313">
            <v>1</v>
          </cell>
          <cell r="D313" t="str">
            <v>NOVAPRINT S.A DE CV.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1301013.6299999999</v>
          </cell>
          <cell r="J313">
            <v>0</v>
          </cell>
          <cell r="K313">
            <v>0</v>
          </cell>
        </row>
        <row r="314">
          <cell r="A314" t="str">
            <v>2010103004</v>
          </cell>
          <cell r="B314">
            <v>2</v>
          </cell>
          <cell r="C314">
            <v>1</v>
          </cell>
          <cell r="D314" t="str">
            <v>PRINOVA MEXICO S DE RL DE CV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37038.15</v>
          </cell>
          <cell r="J314">
            <v>0</v>
          </cell>
          <cell r="K314">
            <v>0</v>
          </cell>
        </row>
        <row r="315">
          <cell r="A315" t="str">
            <v>2010103006</v>
          </cell>
          <cell r="B315">
            <v>2</v>
          </cell>
          <cell r="C315">
            <v>1</v>
          </cell>
          <cell r="D315" t="str">
            <v>SG FLEXO SA DE CV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15847.92</v>
          </cell>
          <cell r="J315">
            <v>0</v>
          </cell>
          <cell r="K315">
            <v>0</v>
          </cell>
        </row>
        <row r="316">
          <cell r="A316" t="str">
            <v>2010103007</v>
          </cell>
          <cell r="B316">
            <v>2</v>
          </cell>
          <cell r="C316">
            <v>1</v>
          </cell>
          <cell r="D316" t="str">
            <v>TRIANA NUTRITION SA DE CV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166038.98000000001</v>
          </cell>
          <cell r="J316">
            <v>26000</v>
          </cell>
          <cell r="K316">
            <v>0</v>
          </cell>
        </row>
        <row r="317">
          <cell r="A317" t="str">
            <v>2010103008</v>
          </cell>
          <cell r="B317">
            <v>2</v>
          </cell>
          <cell r="C317">
            <v>1</v>
          </cell>
          <cell r="D317" t="str">
            <v>Proveedores generales saldo 2024</v>
          </cell>
          <cell r="E317">
            <v>-1780</v>
          </cell>
          <cell r="F317">
            <v>0</v>
          </cell>
          <cell r="G317">
            <v>1780</v>
          </cell>
          <cell r="H317">
            <v>0</v>
          </cell>
          <cell r="I317">
            <v>37114.839999999997</v>
          </cell>
          <cell r="J317">
            <v>145302.88</v>
          </cell>
          <cell r="K317">
            <v>145302.88</v>
          </cell>
        </row>
        <row r="318">
          <cell r="A318" t="str">
            <v>2010103009</v>
          </cell>
          <cell r="B318">
            <v>2</v>
          </cell>
          <cell r="C318">
            <v>1</v>
          </cell>
          <cell r="D318" t="str">
            <v>PROVEEDORES GENERALES 2023</v>
          </cell>
          <cell r="E318">
            <v>200425.25</v>
          </cell>
          <cell r="F318">
            <v>1780</v>
          </cell>
          <cell r="G318">
            <v>0</v>
          </cell>
          <cell r="H318">
            <v>198645.25</v>
          </cell>
          <cell r="I318">
            <v>0</v>
          </cell>
          <cell r="J318">
            <v>0</v>
          </cell>
          <cell r="K318">
            <v>0</v>
          </cell>
        </row>
        <row r="319">
          <cell r="A319" t="str">
            <v>2010103010</v>
          </cell>
          <cell r="B319">
            <v>2</v>
          </cell>
          <cell r="C319">
            <v>1</v>
          </cell>
          <cell r="D319" t="str">
            <v>GELPHARMA S.A. DE C.V.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338919.41</v>
          </cell>
          <cell r="J319">
            <v>0</v>
          </cell>
          <cell r="K319">
            <v>0</v>
          </cell>
        </row>
        <row r="320">
          <cell r="A320" t="str">
            <v>2010103011</v>
          </cell>
          <cell r="B320">
            <v>2</v>
          </cell>
          <cell r="C320">
            <v>1</v>
          </cell>
          <cell r="D320" t="str">
            <v>NUTRIPROTEOMICS SA DE CV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509333.34</v>
          </cell>
          <cell r="J320">
            <v>0</v>
          </cell>
          <cell r="K320">
            <v>0</v>
          </cell>
        </row>
        <row r="321">
          <cell r="A321" t="str">
            <v>2010103012</v>
          </cell>
          <cell r="B321">
            <v>2</v>
          </cell>
          <cell r="C321">
            <v>1</v>
          </cell>
          <cell r="D321" t="str">
            <v>MOVA PRINTING SOLUTIONS SA DE CV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372575.72</v>
          </cell>
          <cell r="J321">
            <v>0</v>
          </cell>
          <cell r="K321">
            <v>0</v>
          </cell>
        </row>
        <row r="322">
          <cell r="A322" t="str">
            <v>2010103013</v>
          </cell>
          <cell r="B322">
            <v>2</v>
          </cell>
          <cell r="C322">
            <v>1</v>
          </cell>
          <cell r="D322" t="str">
            <v>CENTRAL DE DROGAS S. A DE C.V.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210340.04</v>
          </cell>
          <cell r="J322">
            <v>0</v>
          </cell>
          <cell r="K322">
            <v>0</v>
          </cell>
        </row>
        <row r="323">
          <cell r="A323" t="str">
            <v>2010103014</v>
          </cell>
          <cell r="B323">
            <v>2</v>
          </cell>
          <cell r="C323">
            <v>1</v>
          </cell>
          <cell r="D323" t="str">
            <v>INPAMEX PLANTA HUEHUETOCA SA DE CV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186776.57</v>
          </cell>
          <cell r="J323">
            <v>0</v>
          </cell>
          <cell r="K323">
            <v>0</v>
          </cell>
        </row>
        <row r="324">
          <cell r="A324" t="str">
            <v>2010103015</v>
          </cell>
          <cell r="B324">
            <v>2</v>
          </cell>
          <cell r="C324">
            <v>1</v>
          </cell>
          <cell r="D324" t="str">
            <v>PAPELES ESPECIALES DE MEXICO SA DE CV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178970</v>
          </cell>
          <cell r="J324">
            <v>0</v>
          </cell>
          <cell r="K324">
            <v>0</v>
          </cell>
        </row>
        <row r="325">
          <cell r="A325" t="str">
            <v>2010103016</v>
          </cell>
          <cell r="B325">
            <v>2</v>
          </cell>
          <cell r="C325">
            <v>1</v>
          </cell>
          <cell r="D325" t="str">
            <v>SUAN FARMA MEXICO SA DE CV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138823.32</v>
          </cell>
          <cell r="J325">
            <v>0</v>
          </cell>
          <cell r="K325">
            <v>0</v>
          </cell>
        </row>
        <row r="326">
          <cell r="A326" t="str">
            <v>2010103017</v>
          </cell>
          <cell r="B326">
            <v>2</v>
          </cell>
          <cell r="C326">
            <v>1</v>
          </cell>
          <cell r="D326" t="str">
            <v>UYEDA INDUSTRIAL DE MÉXICO S.A. C.V.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88662.28</v>
          </cell>
          <cell r="J326">
            <v>0</v>
          </cell>
          <cell r="K326">
            <v>0</v>
          </cell>
        </row>
        <row r="327">
          <cell r="A327" t="str">
            <v>2010103018</v>
          </cell>
          <cell r="B327">
            <v>2</v>
          </cell>
          <cell r="C327">
            <v>1</v>
          </cell>
          <cell r="D327" t="str">
            <v>TECSA ALIMENTOS SA DE CV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55968.02</v>
          </cell>
          <cell r="J327">
            <v>0</v>
          </cell>
          <cell r="K327">
            <v>0</v>
          </cell>
        </row>
        <row r="328">
          <cell r="A328" t="str">
            <v>2010103019</v>
          </cell>
          <cell r="B328">
            <v>2</v>
          </cell>
          <cell r="C328">
            <v>1</v>
          </cell>
          <cell r="D328" t="str">
            <v>EXCELFORM SA DE CV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51070.86</v>
          </cell>
          <cell r="J328">
            <v>0</v>
          </cell>
          <cell r="K328">
            <v>0</v>
          </cell>
        </row>
        <row r="329">
          <cell r="A329" t="str">
            <v>2010103020</v>
          </cell>
          <cell r="B329">
            <v>2</v>
          </cell>
          <cell r="C329">
            <v>1</v>
          </cell>
          <cell r="D329" t="str">
            <v>GLICERINAS INDUSTRIALES S.A DE C.V.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24277.64</v>
          </cell>
          <cell r="J329">
            <v>0</v>
          </cell>
          <cell r="K329">
            <v>0</v>
          </cell>
        </row>
        <row r="330">
          <cell r="A330" t="str">
            <v>2010103021</v>
          </cell>
          <cell r="B330">
            <v>2</v>
          </cell>
          <cell r="C330">
            <v>1</v>
          </cell>
          <cell r="D330" t="str">
            <v>BIOEMPAK MEXICO SA DE CV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23891.1</v>
          </cell>
          <cell r="J330">
            <v>0</v>
          </cell>
          <cell r="K330">
            <v>0</v>
          </cell>
        </row>
        <row r="331">
          <cell r="A331" t="str">
            <v>2010103023</v>
          </cell>
          <cell r="B331">
            <v>2</v>
          </cell>
          <cell r="C331">
            <v>1</v>
          </cell>
          <cell r="D331" t="str">
            <v>ROTATIVAS Y TALLERES GRAFICOS, SA DE CV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1259.46</v>
          </cell>
          <cell r="J331">
            <v>0</v>
          </cell>
          <cell r="K331">
            <v>0</v>
          </cell>
        </row>
        <row r="332">
          <cell r="A332" t="str">
            <v>2010103024</v>
          </cell>
          <cell r="B332">
            <v>2</v>
          </cell>
          <cell r="C332">
            <v>1</v>
          </cell>
          <cell r="D332" t="str">
            <v>LOGISTICA ACTITUD Y RESPONSABILIDAD EN EL TRANSPOR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405952</v>
          </cell>
          <cell r="J332">
            <v>0</v>
          </cell>
          <cell r="K332">
            <v>0</v>
          </cell>
        </row>
        <row r="333">
          <cell r="A333" t="str">
            <v>2010103025</v>
          </cell>
          <cell r="B333">
            <v>2</v>
          </cell>
          <cell r="C333">
            <v>1</v>
          </cell>
          <cell r="D333" t="str">
            <v>Regus Management México SA de CV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288608.76</v>
          </cell>
          <cell r="J333">
            <v>0</v>
          </cell>
          <cell r="K333">
            <v>0</v>
          </cell>
        </row>
        <row r="334">
          <cell r="A334" t="str">
            <v>2010103026</v>
          </cell>
          <cell r="B334">
            <v>2</v>
          </cell>
          <cell r="C334">
            <v>1</v>
          </cell>
          <cell r="D334" t="str">
            <v>AGI MOLDES, S.A. DE C.V.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255777.68</v>
          </cell>
          <cell r="J334">
            <v>0</v>
          </cell>
          <cell r="K334">
            <v>0</v>
          </cell>
        </row>
        <row r="335">
          <cell r="A335" t="str">
            <v>2010103027</v>
          </cell>
          <cell r="B335">
            <v>2</v>
          </cell>
          <cell r="C335">
            <v>1</v>
          </cell>
          <cell r="D335" t="str">
            <v>EXECUTIVE FORUMS MEXICO SA DE CV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193702.7</v>
          </cell>
          <cell r="J335">
            <v>0</v>
          </cell>
          <cell r="K335">
            <v>0</v>
          </cell>
        </row>
        <row r="336">
          <cell r="A336" t="str">
            <v>2010103028</v>
          </cell>
          <cell r="B336">
            <v>2</v>
          </cell>
          <cell r="C336">
            <v>1</v>
          </cell>
          <cell r="D336" t="str">
            <v>FWCG SERVICIOS EN SEGURIDAD ALIMENTARIA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95522.63</v>
          </cell>
          <cell r="J336">
            <v>0</v>
          </cell>
          <cell r="K336">
            <v>0</v>
          </cell>
        </row>
        <row r="337">
          <cell r="A337" t="str">
            <v>2010103029</v>
          </cell>
          <cell r="B337">
            <v>2</v>
          </cell>
          <cell r="C337">
            <v>1</v>
          </cell>
          <cell r="D337" t="str">
            <v>ADSORBENTES Y ANTICORROSIVOS INDUSTRIALES SA DE CV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53937.93</v>
          </cell>
          <cell r="J337">
            <v>0</v>
          </cell>
          <cell r="K337">
            <v>0</v>
          </cell>
        </row>
        <row r="338">
          <cell r="A338" t="str">
            <v>2010103030</v>
          </cell>
          <cell r="B338">
            <v>2</v>
          </cell>
          <cell r="C338">
            <v>1</v>
          </cell>
          <cell r="D338" t="str">
            <v>FULL GRAPHICS S DE RL DE CV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46284</v>
          </cell>
          <cell r="J338">
            <v>0</v>
          </cell>
          <cell r="K338">
            <v>0</v>
          </cell>
        </row>
        <row r="339">
          <cell r="A339" t="str">
            <v>2010103031</v>
          </cell>
          <cell r="B339">
            <v>2</v>
          </cell>
          <cell r="C339">
            <v>1</v>
          </cell>
          <cell r="D339" t="str">
            <v>INGRAPHOS, S.A. DE C.V.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43801.599999999999</v>
          </cell>
          <cell r="J339">
            <v>0</v>
          </cell>
          <cell r="K339">
            <v>0</v>
          </cell>
        </row>
        <row r="340">
          <cell r="A340" t="str">
            <v>2010103032</v>
          </cell>
          <cell r="B340">
            <v>2</v>
          </cell>
          <cell r="C340">
            <v>1</v>
          </cell>
          <cell r="D340" t="str">
            <v>MELINATURA SA DE CV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38711.75</v>
          </cell>
          <cell r="J340">
            <v>0</v>
          </cell>
          <cell r="K340">
            <v>0</v>
          </cell>
        </row>
        <row r="341">
          <cell r="A341" t="str">
            <v>2010103033</v>
          </cell>
          <cell r="B341">
            <v>2</v>
          </cell>
          <cell r="C341">
            <v>1</v>
          </cell>
          <cell r="D341" t="str">
            <v>CONSULTORIA Y DISTRIBUIDORA GRUPO OMEGA INDUSTRIAL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38639.599999999999</v>
          </cell>
          <cell r="J341">
            <v>0</v>
          </cell>
          <cell r="K341">
            <v>0</v>
          </cell>
        </row>
        <row r="342">
          <cell r="A342" t="str">
            <v>2010103034</v>
          </cell>
          <cell r="B342">
            <v>2</v>
          </cell>
          <cell r="C342">
            <v>1</v>
          </cell>
          <cell r="D342" t="str">
            <v>GUSTAVO BUSTAMANTE LOPEZ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35388.33</v>
          </cell>
          <cell r="J342">
            <v>0</v>
          </cell>
          <cell r="K342">
            <v>0</v>
          </cell>
        </row>
        <row r="343">
          <cell r="A343" t="str">
            <v>2010103035</v>
          </cell>
          <cell r="B343">
            <v>2</v>
          </cell>
          <cell r="C343">
            <v>1</v>
          </cell>
          <cell r="D343" t="str">
            <v>UL RESPONSIBLE SOURCING MEXICO SA DE CV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32742.9</v>
          </cell>
          <cell r="J343">
            <v>0</v>
          </cell>
          <cell r="K343">
            <v>0</v>
          </cell>
        </row>
        <row r="344">
          <cell r="A344" t="str">
            <v>2010103036</v>
          </cell>
          <cell r="B344">
            <v>2</v>
          </cell>
          <cell r="C344">
            <v>1</v>
          </cell>
          <cell r="D344" t="str">
            <v>ROSA ELENA DUEÑAS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29232</v>
          </cell>
          <cell r="J344">
            <v>0</v>
          </cell>
          <cell r="K344">
            <v>0</v>
          </cell>
        </row>
        <row r="345">
          <cell r="A345" t="str">
            <v>2010103037</v>
          </cell>
          <cell r="B345">
            <v>2</v>
          </cell>
          <cell r="C345">
            <v>1</v>
          </cell>
          <cell r="D345" t="str">
            <v>DISEÑOS LEATHERMOON SA DE CV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28164.799999999999</v>
          </cell>
          <cell r="J345">
            <v>0</v>
          </cell>
          <cell r="K345">
            <v>0</v>
          </cell>
        </row>
        <row r="346">
          <cell r="A346" t="str">
            <v>2010103038</v>
          </cell>
          <cell r="B346">
            <v>2</v>
          </cell>
          <cell r="C346">
            <v>1</v>
          </cell>
          <cell r="D346" t="str">
            <v>Almacenadora GWTC, SA de CV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458</v>
          </cell>
          <cell r="J346">
            <v>0</v>
          </cell>
          <cell r="K346">
            <v>0</v>
          </cell>
        </row>
        <row r="347">
          <cell r="A347" t="str">
            <v>2010103039</v>
          </cell>
          <cell r="B347">
            <v>2</v>
          </cell>
          <cell r="C347">
            <v>1</v>
          </cell>
          <cell r="D347" t="str">
            <v>SISTEMAS DE VALIDACION Y CALIBRACION, SA DE CV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4422.21</v>
          </cell>
          <cell r="J347">
            <v>0</v>
          </cell>
          <cell r="K347">
            <v>0</v>
          </cell>
        </row>
        <row r="348">
          <cell r="A348" t="str">
            <v>2010103040</v>
          </cell>
          <cell r="B348">
            <v>2</v>
          </cell>
          <cell r="C348">
            <v>1</v>
          </cell>
          <cell r="D348" t="str">
            <v>INEZA SA DE CV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4330.8599999999997</v>
          </cell>
          <cell r="J348">
            <v>0</v>
          </cell>
          <cell r="K348">
            <v>0</v>
          </cell>
        </row>
        <row r="349">
          <cell r="A349" t="str">
            <v>2010103041</v>
          </cell>
          <cell r="B349">
            <v>2</v>
          </cell>
          <cell r="C349">
            <v>1</v>
          </cell>
          <cell r="D349" t="str">
            <v>SOLUCIONCP IDEAS EMPRESARIALES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3591</v>
          </cell>
          <cell r="J349">
            <v>0</v>
          </cell>
          <cell r="K349">
            <v>0</v>
          </cell>
        </row>
        <row r="350">
          <cell r="A350" t="str">
            <v>2010103042</v>
          </cell>
          <cell r="B350">
            <v>2</v>
          </cell>
          <cell r="C350">
            <v>1</v>
          </cell>
          <cell r="D350" t="str">
            <v>Magnocentro Ferretero, S.A. de C.V.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3575.9</v>
          </cell>
          <cell r="J350">
            <v>0</v>
          </cell>
          <cell r="K350">
            <v>0</v>
          </cell>
        </row>
        <row r="351">
          <cell r="A351" t="str">
            <v>2010103043</v>
          </cell>
          <cell r="B351">
            <v>2</v>
          </cell>
          <cell r="C351">
            <v>1</v>
          </cell>
          <cell r="D351" t="str">
            <v>ISIDRO TRUJILLO MORALES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3294.4</v>
          </cell>
          <cell r="J351">
            <v>0</v>
          </cell>
          <cell r="K351">
            <v>0</v>
          </cell>
        </row>
        <row r="352">
          <cell r="A352" t="str">
            <v>2010103044</v>
          </cell>
          <cell r="B352">
            <v>2</v>
          </cell>
          <cell r="C352">
            <v>1</v>
          </cell>
          <cell r="D352" t="str">
            <v>GRUPO FERRETERIA CALZADA SA DE CV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2799</v>
          </cell>
          <cell r="J352">
            <v>0</v>
          </cell>
          <cell r="K352">
            <v>0</v>
          </cell>
        </row>
        <row r="353">
          <cell r="A353" t="str">
            <v>2010103045</v>
          </cell>
          <cell r="B353">
            <v>2</v>
          </cell>
          <cell r="C353">
            <v>1</v>
          </cell>
          <cell r="D353" t="str">
            <v>RENE VALDERRAMA CASTRO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2325.1999999999998</v>
          </cell>
          <cell r="J353">
            <v>0</v>
          </cell>
          <cell r="K353">
            <v>0</v>
          </cell>
        </row>
        <row r="354">
          <cell r="A354" t="str">
            <v>2010103046</v>
          </cell>
          <cell r="B354">
            <v>2</v>
          </cell>
          <cell r="C354">
            <v>1</v>
          </cell>
          <cell r="D354" t="str">
            <v>VICENTE ALANIS PEREZ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2320</v>
          </cell>
          <cell r="J354">
            <v>0</v>
          </cell>
          <cell r="K354">
            <v>0</v>
          </cell>
        </row>
        <row r="355">
          <cell r="A355" t="str">
            <v>2010103047</v>
          </cell>
          <cell r="B355">
            <v>2</v>
          </cell>
          <cell r="C355">
            <v>1</v>
          </cell>
          <cell r="D355" t="str">
            <v>GRUPO EMPAC SA DE CV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2067.06</v>
          </cell>
          <cell r="J355">
            <v>0</v>
          </cell>
          <cell r="K355">
            <v>0</v>
          </cell>
        </row>
        <row r="356">
          <cell r="A356" t="str">
            <v>2010103048</v>
          </cell>
          <cell r="B356">
            <v>2</v>
          </cell>
          <cell r="C356">
            <v>1</v>
          </cell>
          <cell r="D356" t="str">
            <v>JORGE ENRIQUE MARTINEZ GONZALEZ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1982.88</v>
          </cell>
          <cell r="J356">
            <v>0</v>
          </cell>
          <cell r="K356">
            <v>0</v>
          </cell>
        </row>
        <row r="357">
          <cell r="A357" t="str">
            <v>2010103049</v>
          </cell>
          <cell r="B357">
            <v>2</v>
          </cell>
          <cell r="C357">
            <v>1</v>
          </cell>
          <cell r="D357" t="str">
            <v>UBUNTU DESARROLLO INMOBILIARIO S A P I DE CV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1400</v>
          </cell>
          <cell r="J357">
            <v>0</v>
          </cell>
          <cell r="K357">
            <v>0</v>
          </cell>
        </row>
        <row r="358">
          <cell r="A358" t="str">
            <v>2010103050</v>
          </cell>
          <cell r="B358">
            <v>2</v>
          </cell>
          <cell r="C358">
            <v>1</v>
          </cell>
          <cell r="D358" t="str">
            <v>2G NUTRITION SAS DE CV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1350</v>
          </cell>
          <cell r="J358">
            <v>0</v>
          </cell>
          <cell r="K358">
            <v>0</v>
          </cell>
        </row>
        <row r="359">
          <cell r="A359" t="str">
            <v>2010103051</v>
          </cell>
          <cell r="B359">
            <v>2</v>
          </cell>
          <cell r="C359">
            <v>1</v>
          </cell>
          <cell r="D359" t="str">
            <v>GRUPO JGJ LUAN SA DE CV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885.37</v>
          </cell>
          <cell r="J359">
            <v>0</v>
          </cell>
          <cell r="K359">
            <v>0</v>
          </cell>
        </row>
        <row r="360">
          <cell r="A360" t="str">
            <v>2020101001</v>
          </cell>
          <cell r="B360">
            <v>2</v>
          </cell>
          <cell r="C360">
            <v>1</v>
          </cell>
          <cell r="D360" t="str">
            <v>TC American Express Company Mexico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87532.95</v>
          </cell>
        </row>
        <row r="361">
          <cell r="A361" t="str">
            <v>2020101002</v>
          </cell>
          <cell r="B361">
            <v>2</v>
          </cell>
          <cell r="C361">
            <v>1</v>
          </cell>
          <cell r="D361" t="str">
            <v>TC Banregio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157439.35</v>
          </cell>
          <cell r="J361">
            <v>365000</v>
          </cell>
          <cell r="K361">
            <v>430250.55</v>
          </cell>
        </row>
        <row r="362">
          <cell r="A362" t="str">
            <v>2020101003</v>
          </cell>
          <cell r="B362">
            <v>2</v>
          </cell>
          <cell r="C362">
            <v>1</v>
          </cell>
          <cell r="D362" t="str">
            <v>TC Clara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606856</v>
          </cell>
          <cell r="J362">
            <v>0</v>
          </cell>
          <cell r="K362">
            <v>0</v>
          </cell>
        </row>
        <row r="363">
          <cell r="A363" t="str">
            <v>2020101004</v>
          </cell>
          <cell r="B363">
            <v>2</v>
          </cell>
          <cell r="C363">
            <v>1</v>
          </cell>
          <cell r="D363" t="str">
            <v>TC Tribal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916666</v>
          </cell>
          <cell r="J363">
            <v>0</v>
          </cell>
          <cell r="K363">
            <v>0</v>
          </cell>
        </row>
        <row r="364">
          <cell r="A364" t="str">
            <v>2020101005</v>
          </cell>
          <cell r="B364">
            <v>2</v>
          </cell>
          <cell r="C364">
            <v>1</v>
          </cell>
          <cell r="D364" t="str">
            <v>TC Amex pagos diferidos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25289.4</v>
          </cell>
          <cell r="J364">
            <v>10701.27</v>
          </cell>
          <cell r="K364">
            <v>0</v>
          </cell>
        </row>
        <row r="365">
          <cell r="A365" t="str">
            <v>2020300001</v>
          </cell>
          <cell r="B365">
            <v>2</v>
          </cell>
          <cell r="C365">
            <v>1</v>
          </cell>
          <cell r="D365" t="str">
            <v>Xana Lab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58445028.609999999</v>
          </cell>
          <cell r="J365">
            <v>8772213.0500000007</v>
          </cell>
          <cell r="K365">
            <v>7983192.6600000001</v>
          </cell>
        </row>
        <row r="366">
          <cell r="A366" t="str">
            <v>2020300002</v>
          </cell>
          <cell r="B366">
            <v>2</v>
          </cell>
          <cell r="C366">
            <v>1</v>
          </cell>
          <cell r="D366" t="str">
            <v>Nuvari SA de CV</v>
          </cell>
          <cell r="E366">
            <v>21700000</v>
          </cell>
          <cell r="F366">
            <v>464928.76</v>
          </cell>
          <cell r="G366">
            <v>7942669.7599999998</v>
          </cell>
          <cell r="H366">
            <v>29177741</v>
          </cell>
          <cell r="I366">
            <v>0</v>
          </cell>
          <cell r="J366">
            <v>0</v>
          </cell>
          <cell r="K366">
            <v>0</v>
          </cell>
        </row>
        <row r="367">
          <cell r="A367" t="str">
            <v>2020300004</v>
          </cell>
          <cell r="B367">
            <v>2</v>
          </cell>
          <cell r="C367">
            <v>1</v>
          </cell>
          <cell r="D367" t="str">
            <v>Diego Martinez Arregui</v>
          </cell>
          <cell r="E367">
            <v>0</v>
          </cell>
          <cell r="F367">
            <v>20000</v>
          </cell>
          <cell r="G367">
            <v>20000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</row>
        <row r="368">
          <cell r="A368" t="str">
            <v>2040101001</v>
          </cell>
          <cell r="B368">
            <v>2</v>
          </cell>
          <cell r="C368">
            <v>1</v>
          </cell>
          <cell r="D368" t="str">
            <v>Capital X S.A. de C.V.</v>
          </cell>
          <cell r="E368">
            <v>1187655.29</v>
          </cell>
          <cell r="F368">
            <v>1369439.35</v>
          </cell>
          <cell r="G368">
            <v>1457957.38</v>
          </cell>
          <cell r="H368">
            <v>1276173.32</v>
          </cell>
          <cell r="I368">
            <v>6511058.46</v>
          </cell>
          <cell r="J368">
            <v>2875147.15</v>
          </cell>
          <cell r="K368">
            <v>268278.28999999998</v>
          </cell>
        </row>
        <row r="369">
          <cell r="A369" t="str">
            <v>2050201001</v>
          </cell>
          <cell r="B369">
            <v>2</v>
          </cell>
          <cell r="C369">
            <v>1</v>
          </cell>
          <cell r="D369" t="str">
            <v>Si VALE</v>
          </cell>
          <cell r="E369">
            <v>0</v>
          </cell>
          <cell r="F369">
            <v>0</v>
          </cell>
          <cell r="G369">
            <v>127.6</v>
          </cell>
          <cell r="H369">
            <v>127.6</v>
          </cell>
          <cell r="I369">
            <v>0</v>
          </cell>
          <cell r="J369">
            <v>0</v>
          </cell>
          <cell r="K369">
            <v>0</v>
          </cell>
        </row>
        <row r="370">
          <cell r="A370" t="str">
            <v>2050201002</v>
          </cell>
          <cell r="B370">
            <v>2</v>
          </cell>
          <cell r="C370">
            <v>1</v>
          </cell>
          <cell r="D370" t="str">
            <v>TELEFONOS DE MEXICO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398.99</v>
          </cell>
          <cell r="K370">
            <v>398.99</v>
          </cell>
        </row>
        <row r="371">
          <cell r="A371" t="str">
            <v>2050201003</v>
          </cell>
          <cell r="B371">
            <v>2</v>
          </cell>
          <cell r="C371">
            <v>1</v>
          </cell>
          <cell r="D371" t="str">
            <v>AXA SEGUROS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86139</v>
          </cell>
          <cell r="J371">
            <v>0</v>
          </cell>
          <cell r="K371">
            <v>-9026.32</v>
          </cell>
        </row>
        <row r="372">
          <cell r="A372" t="str">
            <v>2050201004</v>
          </cell>
          <cell r="B372">
            <v>2</v>
          </cell>
          <cell r="C372">
            <v>1</v>
          </cell>
          <cell r="D372" t="str">
            <v>ANC RECOLECTORA</v>
          </cell>
          <cell r="E372">
            <v>0</v>
          </cell>
          <cell r="F372">
            <v>0</v>
          </cell>
          <cell r="G372">
            <v>10556</v>
          </cell>
          <cell r="H372">
            <v>10556</v>
          </cell>
          <cell r="I372">
            <v>0</v>
          </cell>
          <cell r="J372">
            <v>0</v>
          </cell>
          <cell r="K372">
            <v>0</v>
          </cell>
        </row>
        <row r="373">
          <cell r="A373" t="str">
            <v>2050201005</v>
          </cell>
          <cell r="B373">
            <v>2</v>
          </cell>
          <cell r="C373">
            <v>1</v>
          </cell>
          <cell r="D373" t="str">
            <v>GEN INDUSTRIAL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4906.7</v>
          </cell>
          <cell r="K373">
            <v>4906.7</v>
          </cell>
        </row>
        <row r="374">
          <cell r="A374" t="str">
            <v>2050201006</v>
          </cell>
          <cell r="B374">
            <v>2</v>
          </cell>
          <cell r="C374">
            <v>1</v>
          </cell>
          <cell r="D374" t="str">
            <v>MARIA DEL ROCIO MELGOZA CAÑEDO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20973.33</v>
          </cell>
          <cell r="K374">
            <v>20973.33</v>
          </cell>
        </row>
        <row r="375">
          <cell r="A375" t="str">
            <v>2050201007</v>
          </cell>
          <cell r="B375">
            <v>2</v>
          </cell>
          <cell r="C375">
            <v>1</v>
          </cell>
          <cell r="D375" t="str">
            <v>ENTERPRISE SOURCE CAPITAL DE MEXICO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18318.72</v>
          </cell>
          <cell r="K375">
            <v>18318.72</v>
          </cell>
        </row>
        <row r="376">
          <cell r="A376" t="str">
            <v>2050201009</v>
          </cell>
          <cell r="B376">
            <v>2</v>
          </cell>
          <cell r="C376">
            <v>1</v>
          </cell>
          <cell r="D376" t="str">
            <v>AUTOLINEAS JR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3566.29</v>
          </cell>
          <cell r="J376">
            <v>0</v>
          </cell>
          <cell r="K376">
            <v>0</v>
          </cell>
        </row>
        <row r="377">
          <cell r="A377" t="str">
            <v>2050201011</v>
          </cell>
          <cell r="B377">
            <v>2</v>
          </cell>
          <cell r="C377">
            <v>1</v>
          </cell>
          <cell r="D377" t="str">
            <v>TRANSPORTES MON-RO</v>
          </cell>
          <cell r="E377">
            <v>4900</v>
          </cell>
          <cell r="F377">
            <v>25767.360000000001</v>
          </cell>
          <cell r="G377">
            <v>31269.45</v>
          </cell>
          <cell r="H377">
            <v>10402.09</v>
          </cell>
          <cell r="I377">
            <v>37072.15</v>
          </cell>
          <cell r="J377">
            <v>54813.77</v>
          </cell>
          <cell r="K377">
            <v>57996.54</v>
          </cell>
        </row>
        <row r="378">
          <cell r="A378" t="str">
            <v>2050201013</v>
          </cell>
          <cell r="B378">
            <v>2</v>
          </cell>
          <cell r="C378">
            <v>1</v>
          </cell>
          <cell r="D378" t="str">
            <v>FUMYLIM</v>
          </cell>
          <cell r="E378">
            <v>27416.74</v>
          </cell>
          <cell r="F378">
            <v>12428.24</v>
          </cell>
          <cell r="G378">
            <v>15459.46</v>
          </cell>
          <cell r="H378">
            <v>30447.96</v>
          </cell>
          <cell r="I378">
            <v>5800.01</v>
          </cell>
          <cell r="J378">
            <v>0</v>
          </cell>
          <cell r="K378">
            <v>1879.2</v>
          </cell>
        </row>
        <row r="379">
          <cell r="A379" t="str">
            <v>2050201014</v>
          </cell>
          <cell r="B379">
            <v>2</v>
          </cell>
          <cell r="C379">
            <v>1</v>
          </cell>
          <cell r="D379" t="str">
            <v>AUTOTRANSPORTES VILLARREAL</v>
          </cell>
          <cell r="E379">
            <v>0</v>
          </cell>
          <cell r="F379">
            <v>227.08</v>
          </cell>
          <cell r="G379">
            <v>2178.08</v>
          </cell>
          <cell r="H379">
            <v>1951</v>
          </cell>
          <cell r="I379">
            <v>26582.66</v>
          </cell>
          <cell r="J379">
            <v>120142.08</v>
          </cell>
          <cell r="K379">
            <v>137313.34</v>
          </cell>
        </row>
        <row r="380">
          <cell r="A380" t="str">
            <v>2050201015</v>
          </cell>
          <cell r="B380">
            <v>2</v>
          </cell>
          <cell r="C380">
            <v>1</v>
          </cell>
          <cell r="D380" t="str">
            <v>AT&amp;T COMUNICACIONES DIGITALES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91653.85</v>
          </cell>
          <cell r="J380">
            <v>32268.97</v>
          </cell>
          <cell r="K380">
            <v>32123.23</v>
          </cell>
        </row>
        <row r="381">
          <cell r="A381" t="str">
            <v>2050201016</v>
          </cell>
          <cell r="B381">
            <v>2</v>
          </cell>
          <cell r="C381">
            <v>1</v>
          </cell>
          <cell r="D381" t="str">
            <v>DHL EXPRESS MEXICO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2510.31</v>
          </cell>
          <cell r="J381">
            <v>2510.31</v>
          </cell>
          <cell r="K381">
            <v>0</v>
          </cell>
        </row>
        <row r="382">
          <cell r="A382" t="str">
            <v>2050201017</v>
          </cell>
          <cell r="B382">
            <v>2</v>
          </cell>
          <cell r="C382">
            <v>1</v>
          </cell>
          <cell r="D382" t="str">
            <v>IDT TELECOM MEXICO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7271.72</v>
          </cell>
          <cell r="J382">
            <v>0</v>
          </cell>
          <cell r="K382">
            <v>3954.79</v>
          </cell>
        </row>
        <row r="383">
          <cell r="A383" t="str">
            <v>2050201018</v>
          </cell>
          <cell r="B383">
            <v>2</v>
          </cell>
          <cell r="C383">
            <v>1</v>
          </cell>
          <cell r="D383" t="str">
            <v>TOTAL PLAY TELECOMUNICACIONES</v>
          </cell>
          <cell r="E383">
            <v>0</v>
          </cell>
          <cell r="F383">
            <v>0</v>
          </cell>
          <cell r="G383">
            <v>5626.65</v>
          </cell>
          <cell r="H383">
            <v>5626.65</v>
          </cell>
          <cell r="I383">
            <v>0</v>
          </cell>
          <cell r="J383">
            <v>2818</v>
          </cell>
          <cell r="K383">
            <v>2898.47</v>
          </cell>
        </row>
        <row r="384">
          <cell r="A384" t="str">
            <v>2050201019</v>
          </cell>
          <cell r="B384">
            <v>2</v>
          </cell>
          <cell r="C384">
            <v>1</v>
          </cell>
          <cell r="D384" t="str">
            <v>SEGUROS SURA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82905.179999999993</v>
          </cell>
          <cell r="J384">
            <v>0</v>
          </cell>
          <cell r="K384">
            <v>0</v>
          </cell>
        </row>
        <row r="385">
          <cell r="A385" t="str">
            <v>2050201020</v>
          </cell>
          <cell r="B385">
            <v>2</v>
          </cell>
          <cell r="C385">
            <v>1</v>
          </cell>
          <cell r="D385" t="str">
            <v>ENTREGAS PUNTUALES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6430.06</v>
          </cell>
          <cell r="J385">
            <v>34428.04</v>
          </cell>
          <cell r="K385">
            <v>31798.36</v>
          </cell>
        </row>
        <row r="386">
          <cell r="A386" t="str">
            <v>2050201021</v>
          </cell>
          <cell r="B386">
            <v>2</v>
          </cell>
          <cell r="C386">
            <v>1</v>
          </cell>
          <cell r="D386" t="str">
            <v>MAPFRE MEXICO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42030.51</v>
          </cell>
          <cell r="J386">
            <v>0</v>
          </cell>
          <cell r="K386">
            <v>0</v>
          </cell>
        </row>
        <row r="387">
          <cell r="A387" t="str">
            <v>2050201022</v>
          </cell>
          <cell r="B387">
            <v>2</v>
          </cell>
          <cell r="C387">
            <v>1</v>
          </cell>
          <cell r="D387" t="str">
            <v>TRANSPADEX LOGISTICS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21672</v>
          </cell>
          <cell r="J387">
            <v>107436</v>
          </cell>
          <cell r="K387">
            <v>160524</v>
          </cell>
        </row>
        <row r="388">
          <cell r="A388" t="str">
            <v>2050201023</v>
          </cell>
          <cell r="B388">
            <v>2</v>
          </cell>
          <cell r="C388">
            <v>1</v>
          </cell>
          <cell r="D388" t="str">
            <v>ADT PRIVATE SECURITY SERVICES DE MEXICO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1875.72</v>
          </cell>
          <cell r="J388">
            <v>0</v>
          </cell>
          <cell r="K388">
            <v>1875.72</v>
          </cell>
        </row>
        <row r="389">
          <cell r="A389" t="str">
            <v>2050201025</v>
          </cell>
          <cell r="B389">
            <v>2</v>
          </cell>
          <cell r="C389">
            <v>1</v>
          </cell>
          <cell r="D389" t="str">
            <v>SUPER MAYOREO NATURISTA</v>
          </cell>
          <cell r="E389">
            <v>24650</v>
          </cell>
          <cell r="F389">
            <v>0</v>
          </cell>
          <cell r="G389">
            <v>0</v>
          </cell>
          <cell r="H389">
            <v>24650</v>
          </cell>
          <cell r="I389">
            <v>31320</v>
          </cell>
          <cell r="J389">
            <v>0</v>
          </cell>
          <cell r="K389">
            <v>0</v>
          </cell>
        </row>
        <row r="390">
          <cell r="A390" t="str">
            <v>2050201026</v>
          </cell>
          <cell r="B390">
            <v>2</v>
          </cell>
          <cell r="C390">
            <v>1</v>
          </cell>
          <cell r="D390" t="str">
            <v>ADVANTECH SERVICIOS FINANCIEROS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900</v>
          </cell>
          <cell r="J390">
            <v>0</v>
          </cell>
          <cell r="K390">
            <v>0</v>
          </cell>
        </row>
        <row r="391">
          <cell r="A391" t="str">
            <v>2050201027</v>
          </cell>
          <cell r="B391">
            <v>2</v>
          </cell>
          <cell r="C391">
            <v>1</v>
          </cell>
          <cell r="D391" t="str">
            <v>G2M ASESORIA &amp; REPRESENTACION</v>
          </cell>
          <cell r="E391">
            <v>0</v>
          </cell>
          <cell r="F391">
            <v>116000</v>
          </cell>
          <cell r="G391">
            <v>116000</v>
          </cell>
          <cell r="H391">
            <v>0</v>
          </cell>
          <cell r="I391">
            <v>36000</v>
          </cell>
          <cell r="J391">
            <v>36000</v>
          </cell>
          <cell r="K391">
            <v>116000</v>
          </cell>
        </row>
        <row r="392">
          <cell r="A392" t="str">
            <v>2050201028</v>
          </cell>
          <cell r="B392">
            <v>2</v>
          </cell>
          <cell r="C392">
            <v>1</v>
          </cell>
          <cell r="D392" t="str">
            <v>CFE SUMINISTRADOR DE SERVICIOS BASICOS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130733.19</v>
          </cell>
          <cell r="J392">
            <v>130824</v>
          </cell>
          <cell r="K392">
            <v>84013.99</v>
          </cell>
        </row>
        <row r="393">
          <cell r="A393" t="str">
            <v>2050201029</v>
          </cell>
          <cell r="B393">
            <v>2</v>
          </cell>
          <cell r="C393">
            <v>1</v>
          </cell>
          <cell r="D393" t="str">
            <v>GRUPO NACIONAL PROVINCIAL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188894.64</v>
          </cell>
          <cell r="J393">
            <v>83768.850000000006</v>
          </cell>
          <cell r="K393">
            <v>0</v>
          </cell>
        </row>
        <row r="394">
          <cell r="A394" t="str">
            <v>2050201030</v>
          </cell>
          <cell r="B394">
            <v>2</v>
          </cell>
          <cell r="C394">
            <v>1</v>
          </cell>
          <cell r="D394" t="str">
            <v>LOGISTICA Y SEGURIDAD FARMACEUTICA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75612.460000000006</v>
          </cell>
          <cell r="J394">
            <v>18050.27</v>
          </cell>
          <cell r="K394">
            <v>6711.37</v>
          </cell>
        </row>
        <row r="395">
          <cell r="A395" t="str">
            <v>2050201031</v>
          </cell>
          <cell r="B395">
            <v>2</v>
          </cell>
          <cell r="C395">
            <v>1</v>
          </cell>
          <cell r="D395" t="str">
            <v>PROMOTORA TESISTAN</v>
          </cell>
          <cell r="E395">
            <v>0</v>
          </cell>
          <cell r="F395">
            <v>585548.53</v>
          </cell>
          <cell r="G395">
            <v>585548.53</v>
          </cell>
          <cell r="H395">
            <v>0</v>
          </cell>
          <cell r="I395">
            <v>2205729.88</v>
          </cell>
          <cell r="J395">
            <v>0</v>
          </cell>
          <cell r="K395">
            <v>0</v>
          </cell>
        </row>
        <row r="396">
          <cell r="A396" t="str">
            <v>2050201032</v>
          </cell>
          <cell r="B396">
            <v>2</v>
          </cell>
          <cell r="C396">
            <v>1</v>
          </cell>
          <cell r="D396" t="str">
            <v>JUAN PABLO HERNANDEZ MEDINA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8670.7900000000009</v>
          </cell>
          <cell r="J396">
            <v>0</v>
          </cell>
          <cell r="K396">
            <v>13989.31</v>
          </cell>
        </row>
        <row r="397">
          <cell r="A397" t="str">
            <v>2050201033</v>
          </cell>
          <cell r="B397">
            <v>2</v>
          </cell>
          <cell r="C397">
            <v>1</v>
          </cell>
          <cell r="D397" t="str">
            <v>FARMACIAS BENAVIDES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37875.4</v>
          </cell>
          <cell r="J397">
            <v>0</v>
          </cell>
          <cell r="K397">
            <v>0</v>
          </cell>
        </row>
        <row r="398">
          <cell r="A398" t="str">
            <v>2050201035</v>
          </cell>
          <cell r="B398">
            <v>2</v>
          </cell>
          <cell r="C398">
            <v>1</v>
          </cell>
          <cell r="D398" t="str">
            <v>INGENIERIA EPAO</v>
          </cell>
          <cell r="E398">
            <v>1671296</v>
          </cell>
          <cell r="F398">
            <v>422278.1</v>
          </cell>
          <cell r="G398">
            <v>372512.68</v>
          </cell>
          <cell r="H398">
            <v>1621530.58</v>
          </cell>
          <cell r="I398">
            <v>144371.92000000001</v>
          </cell>
          <cell r="J398">
            <v>0</v>
          </cell>
          <cell r="K398">
            <v>69710.78</v>
          </cell>
        </row>
        <row r="399">
          <cell r="A399" t="str">
            <v>2050201036</v>
          </cell>
          <cell r="B399">
            <v>2</v>
          </cell>
          <cell r="C399">
            <v>1</v>
          </cell>
          <cell r="D399" t="str">
            <v>AVISAIL FLORES LUNA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1392</v>
          </cell>
          <cell r="K399">
            <v>1392</v>
          </cell>
        </row>
        <row r="400">
          <cell r="A400" t="str">
            <v>2050201037</v>
          </cell>
          <cell r="B400">
            <v>2</v>
          </cell>
          <cell r="C400">
            <v>1</v>
          </cell>
          <cell r="D400" t="str">
            <v>Leticia Ramirez Luna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211987.6</v>
          </cell>
          <cell r="J400">
            <v>70662.53</v>
          </cell>
          <cell r="K400">
            <v>0</v>
          </cell>
        </row>
        <row r="401">
          <cell r="A401" t="str">
            <v>2050201038</v>
          </cell>
          <cell r="B401">
            <v>2</v>
          </cell>
          <cell r="C401">
            <v>1</v>
          </cell>
          <cell r="D401" t="str">
            <v>Ricardo de Alba Estrada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659574.54</v>
          </cell>
          <cell r="J401">
            <v>0</v>
          </cell>
          <cell r="K401">
            <v>0</v>
          </cell>
        </row>
        <row r="402">
          <cell r="A402" t="str">
            <v>2050201039</v>
          </cell>
          <cell r="B402">
            <v>2</v>
          </cell>
          <cell r="C402">
            <v>1</v>
          </cell>
          <cell r="D402" t="str">
            <v>CAPACITACION PARA EL DESARROLLO TURISTICO</v>
          </cell>
          <cell r="E402">
            <v>200129</v>
          </cell>
          <cell r="F402">
            <v>108692</v>
          </cell>
          <cell r="G402">
            <v>127721.8</v>
          </cell>
          <cell r="H402">
            <v>219158.8</v>
          </cell>
          <cell r="I402">
            <v>0</v>
          </cell>
          <cell r="J402">
            <v>0</v>
          </cell>
          <cell r="K402">
            <v>0</v>
          </cell>
        </row>
        <row r="403">
          <cell r="A403" t="str">
            <v>2050201040</v>
          </cell>
          <cell r="B403">
            <v>2</v>
          </cell>
          <cell r="C403">
            <v>1</v>
          </cell>
          <cell r="D403" t="str">
            <v>HERNANDEZ GOMEZ ABOGADOS SC</v>
          </cell>
          <cell r="E403">
            <v>356411</v>
          </cell>
          <cell r="F403">
            <v>0</v>
          </cell>
          <cell r="G403">
            <v>0</v>
          </cell>
          <cell r="H403">
            <v>356411</v>
          </cell>
          <cell r="I403">
            <v>0</v>
          </cell>
          <cell r="J403">
            <v>0</v>
          </cell>
          <cell r="K403">
            <v>0</v>
          </cell>
        </row>
        <row r="404">
          <cell r="A404" t="str">
            <v>2050201041</v>
          </cell>
          <cell r="B404">
            <v>2</v>
          </cell>
          <cell r="C404">
            <v>1</v>
          </cell>
          <cell r="D404" t="str">
            <v>TIERRA DE IDEAS</v>
          </cell>
          <cell r="E404">
            <v>460520</v>
          </cell>
          <cell r="F404">
            <v>0</v>
          </cell>
          <cell r="G404">
            <v>0</v>
          </cell>
          <cell r="H404">
            <v>460520</v>
          </cell>
          <cell r="I404">
            <v>0</v>
          </cell>
          <cell r="J404">
            <v>0</v>
          </cell>
          <cell r="K404">
            <v>0</v>
          </cell>
        </row>
        <row r="405">
          <cell r="A405" t="str">
            <v>2050201043</v>
          </cell>
          <cell r="B405">
            <v>2</v>
          </cell>
          <cell r="C405">
            <v>1</v>
          </cell>
          <cell r="D405" t="str">
            <v>CONCETRADORA FINANCIERA HIGO</v>
          </cell>
          <cell r="E405">
            <v>0</v>
          </cell>
          <cell r="F405">
            <v>8004</v>
          </cell>
          <cell r="G405">
            <v>4002</v>
          </cell>
          <cell r="H405">
            <v>-4002</v>
          </cell>
          <cell r="I405">
            <v>0</v>
          </cell>
          <cell r="J405">
            <v>0</v>
          </cell>
          <cell r="K405">
            <v>0</v>
          </cell>
        </row>
        <row r="406">
          <cell r="A406" t="str">
            <v>2050201046</v>
          </cell>
          <cell r="B406">
            <v>2</v>
          </cell>
          <cell r="C406">
            <v>1</v>
          </cell>
          <cell r="D406" t="str">
            <v>TELEVISION INTERNACIONAL</v>
          </cell>
          <cell r="E406">
            <v>0</v>
          </cell>
          <cell r="F406">
            <v>0</v>
          </cell>
          <cell r="G406">
            <v>670</v>
          </cell>
          <cell r="H406">
            <v>670</v>
          </cell>
          <cell r="I406">
            <v>0</v>
          </cell>
          <cell r="J406">
            <v>0</v>
          </cell>
          <cell r="K406">
            <v>0</v>
          </cell>
        </row>
        <row r="407">
          <cell r="A407" t="str">
            <v>2050201047</v>
          </cell>
          <cell r="B407">
            <v>2</v>
          </cell>
          <cell r="C407">
            <v>1</v>
          </cell>
          <cell r="D407" t="str">
            <v>UNISAT MEXICANA</v>
          </cell>
          <cell r="E407">
            <v>1177.4000000000001</v>
          </cell>
          <cell r="F407">
            <v>0</v>
          </cell>
          <cell r="G407">
            <v>0</v>
          </cell>
          <cell r="H407">
            <v>1177.4000000000001</v>
          </cell>
          <cell r="I407">
            <v>0</v>
          </cell>
          <cell r="J407">
            <v>0</v>
          </cell>
          <cell r="K407">
            <v>0</v>
          </cell>
        </row>
        <row r="408">
          <cell r="A408" t="str">
            <v>2050201048</v>
          </cell>
          <cell r="B408">
            <v>2</v>
          </cell>
          <cell r="C408">
            <v>1</v>
          </cell>
          <cell r="D408" t="str">
            <v>CABLEVISION RED</v>
          </cell>
          <cell r="E408">
            <v>17651.82</v>
          </cell>
          <cell r="F408">
            <v>0</v>
          </cell>
          <cell r="G408">
            <v>0</v>
          </cell>
          <cell r="H408">
            <v>17651.82</v>
          </cell>
          <cell r="I408">
            <v>0</v>
          </cell>
          <cell r="J408">
            <v>0</v>
          </cell>
          <cell r="K408">
            <v>0</v>
          </cell>
        </row>
        <row r="409">
          <cell r="A409" t="str">
            <v>2050201049</v>
          </cell>
          <cell r="B409">
            <v>2</v>
          </cell>
          <cell r="C409">
            <v>1</v>
          </cell>
          <cell r="D409" t="str">
            <v>SISTEMA DE TRANSFERENCIAS Y PAGOS STP</v>
          </cell>
          <cell r="E409">
            <v>0</v>
          </cell>
          <cell r="F409">
            <v>4084.92</v>
          </cell>
          <cell r="G409">
            <v>4084.92</v>
          </cell>
          <cell r="H409">
            <v>0</v>
          </cell>
          <cell r="I409">
            <v>19273.98</v>
          </cell>
          <cell r="J409">
            <v>0</v>
          </cell>
          <cell r="K409">
            <v>0</v>
          </cell>
        </row>
        <row r="410">
          <cell r="A410" t="str">
            <v>2050201050</v>
          </cell>
          <cell r="B410">
            <v>2</v>
          </cell>
          <cell r="C410">
            <v>1</v>
          </cell>
          <cell r="D410" t="str">
            <v>CM EQUIPOS Y SOPORTE</v>
          </cell>
          <cell r="E410">
            <v>0</v>
          </cell>
          <cell r="F410">
            <v>0</v>
          </cell>
          <cell r="G410">
            <v>80</v>
          </cell>
          <cell r="H410">
            <v>80</v>
          </cell>
          <cell r="I410">
            <v>0</v>
          </cell>
          <cell r="J410">
            <v>0</v>
          </cell>
          <cell r="K410">
            <v>0</v>
          </cell>
        </row>
        <row r="411">
          <cell r="A411" t="str">
            <v>2050201051</v>
          </cell>
          <cell r="B411">
            <v>2</v>
          </cell>
          <cell r="C411">
            <v>1</v>
          </cell>
          <cell r="D411" t="str">
            <v>SOLUCIONES CAPITAL X</v>
          </cell>
          <cell r="E411">
            <v>552002.64</v>
          </cell>
          <cell r="F411">
            <v>0</v>
          </cell>
          <cell r="G411">
            <v>0</v>
          </cell>
          <cell r="H411">
            <v>552002.64</v>
          </cell>
          <cell r="I411">
            <v>0</v>
          </cell>
          <cell r="J411">
            <v>0</v>
          </cell>
          <cell r="K411">
            <v>0</v>
          </cell>
        </row>
        <row r="412">
          <cell r="A412" t="str">
            <v>2050201053</v>
          </cell>
          <cell r="B412">
            <v>2</v>
          </cell>
          <cell r="C412">
            <v>1</v>
          </cell>
          <cell r="D412" t="str">
            <v>ARRENDAMIENTO Y SOLUCIONES</v>
          </cell>
          <cell r="E412">
            <v>211093.26</v>
          </cell>
          <cell r="F412">
            <v>0</v>
          </cell>
          <cell r="G412">
            <v>0</v>
          </cell>
          <cell r="H412">
            <v>211093.26</v>
          </cell>
          <cell r="I412">
            <v>0</v>
          </cell>
          <cell r="J412">
            <v>0</v>
          </cell>
          <cell r="K412">
            <v>0</v>
          </cell>
        </row>
        <row r="413">
          <cell r="A413" t="str">
            <v>2050201054</v>
          </cell>
          <cell r="B413">
            <v>2</v>
          </cell>
          <cell r="C413">
            <v>1</v>
          </cell>
          <cell r="D413" t="str">
            <v>Servicio Autopista</v>
          </cell>
          <cell r="E413">
            <v>400</v>
          </cell>
          <cell r="F413">
            <v>0</v>
          </cell>
          <cell r="G413">
            <v>0</v>
          </cell>
          <cell r="H413">
            <v>400</v>
          </cell>
          <cell r="I413">
            <v>0</v>
          </cell>
          <cell r="J413">
            <v>0</v>
          </cell>
          <cell r="K413">
            <v>0</v>
          </cell>
        </row>
        <row r="414">
          <cell r="A414" t="str">
            <v>2050201055</v>
          </cell>
          <cell r="B414">
            <v>2</v>
          </cell>
          <cell r="C414">
            <v>1</v>
          </cell>
          <cell r="D414" t="str">
            <v>Servicios Logisticos Occiexpress</v>
          </cell>
          <cell r="E414">
            <v>12451.44</v>
          </cell>
          <cell r="F414">
            <v>37654.99</v>
          </cell>
          <cell r="G414">
            <v>54579.46</v>
          </cell>
          <cell r="H414">
            <v>29375.91</v>
          </cell>
          <cell r="I414">
            <v>0</v>
          </cell>
          <cell r="J414">
            <v>0</v>
          </cell>
          <cell r="K414">
            <v>0</v>
          </cell>
        </row>
        <row r="415">
          <cell r="A415" t="str">
            <v>2050201057</v>
          </cell>
          <cell r="B415">
            <v>2</v>
          </cell>
          <cell r="C415">
            <v>1</v>
          </cell>
          <cell r="D415" t="str">
            <v>PROYECTOS SIT</v>
          </cell>
          <cell r="E415">
            <v>0</v>
          </cell>
          <cell r="F415">
            <v>106488</v>
          </cell>
          <cell r="G415">
            <v>106488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</row>
        <row r="416">
          <cell r="A416" t="str">
            <v>2050201062</v>
          </cell>
          <cell r="B416">
            <v>2</v>
          </cell>
          <cell r="C416">
            <v>1</v>
          </cell>
          <cell r="D416" t="str">
            <v>PROVISIONES COMERCIALES PLANTELA</v>
          </cell>
          <cell r="E416">
            <v>0</v>
          </cell>
          <cell r="F416">
            <v>622639.07999999996</v>
          </cell>
          <cell r="G416">
            <v>680639.08</v>
          </cell>
          <cell r="H416">
            <v>58000</v>
          </cell>
          <cell r="I416">
            <v>0</v>
          </cell>
          <cell r="J416">
            <v>0</v>
          </cell>
          <cell r="K416">
            <v>0</v>
          </cell>
        </row>
        <row r="417">
          <cell r="A417" t="str">
            <v>2050201063</v>
          </cell>
          <cell r="B417">
            <v>2</v>
          </cell>
          <cell r="C417">
            <v>1</v>
          </cell>
          <cell r="D417" t="str">
            <v>MA LUISA LLAMAS LARES</v>
          </cell>
          <cell r="E417">
            <v>41890</v>
          </cell>
          <cell r="F417">
            <v>26500</v>
          </cell>
          <cell r="G417">
            <v>0</v>
          </cell>
          <cell r="H417">
            <v>15390</v>
          </cell>
          <cell r="I417">
            <v>0</v>
          </cell>
          <cell r="J417">
            <v>0</v>
          </cell>
          <cell r="K417">
            <v>0</v>
          </cell>
        </row>
        <row r="418">
          <cell r="A418" t="str">
            <v>2050201064</v>
          </cell>
          <cell r="B418">
            <v>2</v>
          </cell>
          <cell r="C418">
            <v>1</v>
          </cell>
          <cell r="D418" t="str">
            <v>SESAJAL</v>
          </cell>
          <cell r="E418">
            <v>138380.26</v>
          </cell>
          <cell r="F418">
            <v>138380.26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</row>
        <row r="419">
          <cell r="A419" t="str">
            <v>2050201070</v>
          </cell>
          <cell r="B419">
            <v>2</v>
          </cell>
          <cell r="C419">
            <v>1</v>
          </cell>
          <cell r="D419" t="str">
            <v>ASOCIACION NACIONAL DE DISTIBUIDORES Y LABORATORIO</v>
          </cell>
          <cell r="E419">
            <v>0</v>
          </cell>
          <cell r="F419">
            <v>0</v>
          </cell>
          <cell r="G419">
            <v>27500.5</v>
          </cell>
          <cell r="H419">
            <v>27500.5</v>
          </cell>
          <cell r="I419">
            <v>0</v>
          </cell>
          <cell r="J419">
            <v>0</v>
          </cell>
          <cell r="K419">
            <v>0</v>
          </cell>
        </row>
        <row r="420">
          <cell r="A420" t="str">
            <v>2050201071</v>
          </cell>
          <cell r="B420">
            <v>2</v>
          </cell>
          <cell r="C420">
            <v>1</v>
          </cell>
          <cell r="D420" t="str">
            <v>ANDREA ORTIZ GARCIA</v>
          </cell>
          <cell r="E420">
            <v>0</v>
          </cell>
          <cell r="F420">
            <v>25244.99</v>
          </cell>
          <cell r="G420">
            <v>25244.99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</row>
        <row r="421">
          <cell r="A421" t="str">
            <v>2050201072</v>
          </cell>
          <cell r="B421">
            <v>2</v>
          </cell>
          <cell r="C421">
            <v>1</v>
          </cell>
          <cell r="D421" t="str">
            <v>SISTEMAS DE CODIFICACION Y MARCAJE S.A DE C.V</v>
          </cell>
          <cell r="E421">
            <v>41626.379999999997</v>
          </cell>
          <cell r="F421">
            <v>74754.600000000006</v>
          </cell>
          <cell r="G421">
            <v>33128.22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</row>
        <row r="422">
          <cell r="A422" t="str">
            <v>2050201073</v>
          </cell>
          <cell r="B422">
            <v>2</v>
          </cell>
          <cell r="C422">
            <v>1</v>
          </cell>
          <cell r="D422" t="str">
            <v>LILIANA VAZQUEZ HERNANDEZ</v>
          </cell>
          <cell r="E422">
            <v>26332</v>
          </cell>
          <cell r="F422">
            <v>37868.199999999997</v>
          </cell>
          <cell r="G422">
            <v>30096.2</v>
          </cell>
          <cell r="H422">
            <v>18560</v>
          </cell>
          <cell r="I422">
            <v>0</v>
          </cell>
          <cell r="J422">
            <v>0</v>
          </cell>
          <cell r="K422">
            <v>0</v>
          </cell>
        </row>
        <row r="423">
          <cell r="A423" t="str">
            <v>2050201075</v>
          </cell>
          <cell r="B423">
            <v>2</v>
          </cell>
          <cell r="C423">
            <v>1</v>
          </cell>
          <cell r="D423" t="str">
            <v>CAPIX LEASING</v>
          </cell>
          <cell r="E423">
            <v>50925.55</v>
          </cell>
          <cell r="F423">
            <v>21676.91</v>
          </cell>
          <cell r="G423">
            <v>21676.91</v>
          </cell>
          <cell r="H423">
            <v>50925.55</v>
          </cell>
          <cell r="I423">
            <v>0</v>
          </cell>
          <cell r="J423">
            <v>0</v>
          </cell>
          <cell r="K423">
            <v>0</v>
          </cell>
        </row>
        <row r="424">
          <cell r="A424" t="str">
            <v>2050201077</v>
          </cell>
          <cell r="B424">
            <v>2</v>
          </cell>
          <cell r="C424">
            <v>1</v>
          </cell>
          <cell r="D424" t="str">
            <v>GRUPO 3R INGENIERIA</v>
          </cell>
          <cell r="E424">
            <v>107839.05</v>
          </cell>
          <cell r="F424">
            <v>0</v>
          </cell>
          <cell r="G424">
            <v>0</v>
          </cell>
          <cell r="H424">
            <v>107839.05</v>
          </cell>
          <cell r="I424">
            <v>0</v>
          </cell>
          <cell r="J424">
            <v>0</v>
          </cell>
          <cell r="K424">
            <v>0</v>
          </cell>
        </row>
        <row r="425">
          <cell r="A425" t="str">
            <v>2050201078</v>
          </cell>
          <cell r="B425">
            <v>2</v>
          </cell>
          <cell r="C425">
            <v>1</v>
          </cell>
          <cell r="D425" t="str">
            <v>XIREC CONSULTORES</v>
          </cell>
          <cell r="E425">
            <v>904.8</v>
          </cell>
          <cell r="F425">
            <v>2262</v>
          </cell>
          <cell r="G425">
            <v>6919.4</v>
          </cell>
          <cell r="H425">
            <v>5562.2</v>
          </cell>
          <cell r="I425">
            <v>0</v>
          </cell>
          <cell r="J425">
            <v>0</v>
          </cell>
          <cell r="K425">
            <v>0</v>
          </cell>
        </row>
        <row r="426">
          <cell r="A426" t="str">
            <v>2050201080</v>
          </cell>
          <cell r="B426">
            <v>2</v>
          </cell>
          <cell r="C426">
            <v>1</v>
          </cell>
          <cell r="D426" t="str">
            <v>MAAT ADVISORY</v>
          </cell>
          <cell r="E426">
            <v>133980</v>
          </cell>
          <cell r="F426">
            <v>0</v>
          </cell>
          <cell r="G426">
            <v>0</v>
          </cell>
          <cell r="H426">
            <v>133980</v>
          </cell>
          <cell r="I426">
            <v>0</v>
          </cell>
          <cell r="J426">
            <v>0</v>
          </cell>
          <cell r="K426">
            <v>0</v>
          </cell>
        </row>
        <row r="427">
          <cell r="A427" t="str">
            <v>2050201083</v>
          </cell>
          <cell r="B427">
            <v>2</v>
          </cell>
          <cell r="C427">
            <v>1</v>
          </cell>
          <cell r="D427" t="str">
            <v>CONSULTORES JURIDICOS GONZALEZ LUNA</v>
          </cell>
          <cell r="E427">
            <v>31547.360000000001</v>
          </cell>
          <cell r="F427">
            <v>31547.360000000001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</row>
        <row r="428">
          <cell r="A428" t="str">
            <v>2050201085</v>
          </cell>
          <cell r="B428">
            <v>2</v>
          </cell>
          <cell r="C428">
            <v>1</v>
          </cell>
          <cell r="D428" t="str">
            <v>GRUPO TRAMANDO</v>
          </cell>
          <cell r="E428">
            <v>0</v>
          </cell>
          <cell r="F428">
            <v>194826.06</v>
          </cell>
          <cell r="G428">
            <v>194826.06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</row>
        <row r="429">
          <cell r="A429" t="str">
            <v>2050201089</v>
          </cell>
          <cell r="B429">
            <v>2</v>
          </cell>
          <cell r="C429">
            <v>1</v>
          </cell>
          <cell r="D429" t="str">
            <v>RICARDO AVILES RIOS</v>
          </cell>
          <cell r="E429">
            <v>104294.44</v>
          </cell>
          <cell r="F429">
            <v>51814.879999999997</v>
          </cell>
          <cell r="G429">
            <v>83495.06</v>
          </cell>
          <cell r="H429">
            <v>135974.62</v>
          </cell>
          <cell r="I429">
            <v>0</v>
          </cell>
          <cell r="J429">
            <v>0</v>
          </cell>
          <cell r="K429">
            <v>0</v>
          </cell>
        </row>
        <row r="430">
          <cell r="A430" t="str">
            <v>2050201090</v>
          </cell>
          <cell r="B430">
            <v>2</v>
          </cell>
          <cell r="C430">
            <v>1</v>
          </cell>
          <cell r="D430" t="str">
            <v>COMERCIALIZADORA ALIVALLE</v>
          </cell>
          <cell r="E430">
            <v>0</v>
          </cell>
          <cell r="F430">
            <v>102715.56</v>
          </cell>
          <cell r="G430">
            <v>135762.34</v>
          </cell>
          <cell r="H430">
            <v>33046.78</v>
          </cell>
          <cell r="I430">
            <v>0</v>
          </cell>
          <cell r="J430">
            <v>0</v>
          </cell>
          <cell r="K430">
            <v>0</v>
          </cell>
        </row>
        <row r="431">
          <cell r="A431" t="str">
            <v>2050201091</v>
          </cell>
          <cell r="B431">
            <v>2</v>
          </cell>
          <cell r="C431">
            <v>1</v>
          </cell>
          <cell r="D431" t="str">
            <v>BRICO CONECTA</v>
          </cell>
          <cell r="E431">
            <v>0</v>
          </cell>
          <cell r="F431">
            <v>0</v>
          </cell>
          <cell r="G431">
            <v>6960</v>
          </cell>
          <cell r="H431">
            <v>6960</v>
          </cell>
          <cell r="I431">
            <v>0</v>
          </cell>
          <cell r="J431">
            <v>0</v>
          </cell>
          <cell r="K431">
            <v>0</v>
          </cell>
        </row>
        <row r="432">
          <cell r="A432" t="str">
            <v>2050201092</v>
          </cell>
          <cell r="B432">
            <v>2</v>
          </cell>
          <cell r="C432">
            <v>1</v>
          </cell>
          <cell r="D432" t="str">
            <v>LOGSTK</v>
          </cell>
          <cell r="E432">
            <v>0</v>
          </cell>
          <cell r="F432">
            <v>23710.400000000001</v>
          </cell>
          <cell r="G432">
            <v>23710.400000000001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</row>
        <row r="433">
          <cell r="A433" t="str">
            <v>2050201095</v>
          </cell>
          <cell r="B433">
            <v>2</v>
          </cell>
          <cell r="C433">
            <v>1</v>
          </cell>
          <cell r="D433" t="str">
            <v>ASSISTANCE REGULATORY MEXICO</v>
          </cell>
          <cell r="E433">
            <v>0</v>
          </cell>
          <cell r="F433">
            <v>34800</v>
          </cell>
          <cell r="G433">
            <v>34800</v>
          </cell>
          <cell r="H433">
            <v>0</v>
          </cell>
          <cell r="I433">
            <v>0</v>
          </cell>
          <cell r="J433">
            <v>0</v>
          </cell>
          <cell r="K433">
            <v>34800</v>
          </cell>
        </row>
        <row r="434">
          <cell r="A434" t="str">
            <v>2050201096</v>
          </cell>
          <cell r="B434">
            <v>2</v>
          </cell>
          <cell r="C434">
            <v>1</v>
          </cell>
          <cell r="D434" t="str">
            <v>CORREDURIA PUBLICA 58</v>
          </cell>
          <cell r="E434">
            <v>0</v>
          </cell>
          <cell r="F434">
            <v>6960</v>
          </cell>
          <cell r="G434">
            <v>6960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</row>
        <row r="435">
          <cell r="A435" t="str">
            <v>2050201097</v>
          </cell>
          <cell r="B435">
            <v>2</v>
          </cell>
          <cell r="C435">
            <v>1</v>
          </cell>
          <cell r="D435" t="str">
            <v>CORONA NEPOTE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52200</v>
          </cell>
          <cell r="J435">
            <v>52200</v>
          </cell>
          <cell r="K435">
            <v>0</v>
          </cell>
        </row>
        <row r="436">
          <cell r="A436" t="str">
            <v>2050201098</v>
          </cell>
          <cell r="B436">
            <v>2</v>
          </cell>
          <cell r="C436">
            <v>1</v>
          </cell>
          <cell r="D436" t="str">
            <v>HELEN LILY ALCAZAR</v>
          </cell>
          <cell r="E436">
            <v>29000</v>
          </cell>
          <cell r="F436">
            <v>58000</v>
          </cell>
          <cell r="G436">
            <v>58000</v>
          </cell>
          <cell r="H436">
            <v>29000</v>
          </cell>
          <cell r="I436">
            <v>0</v>
          </cell>
          <cell r="J436">
            <v>0</v>
          </cell>
          <cell r="K436">
            <v>0</v>
          </cell>
        </row>
        <row r="437">
          <cell r="A437" t="str">
            <v>2050201100</v>
          </cell>
          <cell r="B437">
            <v>2</v>
          </cell>
          <cell r="C437">
            <v>1</v>
          </cell>
          <cell r="D437" t="str">
            <v>Otros acreedores saldo 2024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67206.36</v>
          </cell>
          <cell r="J437">
            <v>0</v>
          </cell>
          <cell r="K437">
            <v>0</v>
          </cell>
        </row>
        <row r="438">
          <cell r="A438" t="str">
            <v>2050201101</v>
          </cell>
          <cell r="B438">
            <v>2</v>
          </cell>
          <cell r="C438">
            <v>1</v>
          </cell>
          <cell r="D438" t="str">
            <v>UNIFIN FINANCIERA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506.22</v>
          </cell>
          <cell r="J438">
            <v>0</v>
          </cell>
          <cell r="K438">
            <v>0</v>
          </cell>
        </row>
        <row r="439">
          <cell r="A439" t="str">
            <v>2050201102</v>
          </cell>
          <cell r="B439">
            <v>2</v>
          </cell>
          <cell r="C439">
            <v>1</v>
          </cell>
          <cell r="D439" t="str">
            <v>QUALITAS</v>
          </cell>
          <cell r="E439">
            <v>0</v>
          </cell>
          <cell r="F439">
            <v>0</v>
          </cell>
          <cell r="G439">
            <v>9671.1299999999992</v>
          </cell>
          <cell r="H439">
            <v>9671.1299999999992</v>
          </cell>
          <cell r="I439">
            <v>0</v>
          </cell>
          <cell r="J439">
            <v>750.01</v>
          </cell>
          <cell r="K439">
            <v>0</v>
          </cell>
        </row>
        <row r="440">
          <cell r="A440" t="str">
            <v>2050201103</v>
          </cell>
          <cell r="B440">
            <v>2</v>
          </cell>
          <cell r="C440">
            <v>1</v>
          </cell>
          <cell r="D440" t="str">
            <v>RICARDO AVILES RIOS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30</v>
          </cell>
          <cell r="J440">
            <v>0</v>
          </cell>
          <cell r="K440">
            <v>0</v>
          </cell>
        </row>
        <row r="441">
          <cell r="A441" t="str">
            <v>2050201105</v>
          </cell>
          <cell r="B441">
            <v>2</v>
          </cell>
          <cell r="C441">
            <v>1</v>
          </cell>
          <cell r="D441" t="str">
            <v>REGINA MINAKATA PONCE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70000</v>
          </cell>
          <cell r="K441">
            <v>135308.29</v>
          </cell>
        </row>
        <row r="442">
          <cell r="A442" t="str">
            <v>2050201107</v>
          </cell>
          <cell r="B442">
            <v>2</v>
          </cell>
          <cell r="C442">
            <v>1</v>
          </cell>
          <cell r="D442" t="str">
            <v>PHARMA PLUS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508993.66</v>
          </cell>
          <cell r="J442">
            <v>45159.43</v>
          </cell>
          <cell r="K442">
            <v>36461.58</v>
          </cell>
        </row>
        <row r="443">
          <cell r="A443" t="str">
            <v>2050201109</v>
          </cell>
          <cell r="B443">
            <v>2</v>
          </cell>
          <cell r="C443">
            <v>1</v>
          </cell>
          <cell r="D443" t="str">
            <v>AUTOTRANSPORTES DE CARGA TRES GUERRAS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4744.3999999999996</v>
          </cell>
          <cell r="K443">
            <v>4744.3999999999996</v>
          </cell>
        </row>
        <row r="444">
          <cell r="A444" t="str">
            <v>2050201111</v>
          </cell>
          <cell r="B444">
            <v>2</v>
          </cell>
          <cell r="C444">
            <v>1</v>
          </cell>
          <cell r="D444" t="str">
            <v>CECILIA MANZANO LUNA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2088</v>
          </cell>
          <cell r="J444">
            <v>0</v>
          </cell>
          <cell r="K444">
            <v>0</v>
          </cell>
        </row>
        <row r="445">
          <cell r="A445" t="str">
            <v>2050201113</v>
          </cell>
          <cell r="B445">
            <v>2</v>
          </cell>
          <cell r="C445">
            <v>1</v>
          </cell>
          <cell r="D445" t="str">
            <v>LEASY ARRENDAMIENTOS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56638.52</v>
          </cell>
          <cell r="J445">
            <v>56638.52</v>
          </cell>
          <cell r="K445">
            <v>56638.52</v>
          </cell>
        </row>
        <row r="446">
          <cell r="A446" t="str">
            <v>2050201114</v>
          </cell>
          <cell r="B446">
            <v>2</v>
          </cell>
          <cell r="C446">
            <v>1</v>
          </cell>
          <cell r="D446" t="str">
            <v>HEWLETT PACKARD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-48059.15</v>
          </cell>
          <cell r="J446">
            <v>10688.44</v>
          </cell>
          <cell r="K446">
            <v>58747.59</v>
          </cell>
        </row>
        <row r="447">
          <cell r="A447" t="str">
            <v>2050201115</v>
          </cell>
          <cell r="B447">
            <v>2</v>
          </cell>
          <cell r="C447">
            <v>1</v>
          </cell>
          <cell r="D447" t="str">
            <v>TRIXIA VALLE HERRERA (MKT)</v>
          </cell>
          <cell r="E447">
            <v>0</v>
          </cell>
          <cell r="F447">
            <v>0</v>
          </cell>
          <cell r="G447">
            <v>12760</v>
          </cell>
          <cell r="H447">
            <v>12760</v>
          </cell>
          <cell r="I447">
            <v>0</v>
          </cell>
          <cell r="J447">
            <v>0</v>
          </cell>
          <cell r="K447">
            <v>0</v>
          </cell>
        </row>
        <row r="448">
          <cell r="A448" t="str">
            <v>2050201116</v>
          </cell>
          <cell r="B448">
            <v>2</v>
          </cell>
          <cell r="C448">
            <v>1</v>
          </cell>
          <cell r="D448" t="str">
            <v>ISMAEL MURO CAMACHO (UBER)</v>
          </cell>
          <cell r="E448">
            <v>0</v>
          </cell>
          <cell r="F448">
            <v>48.44</v>
          </cell>
          <cell r="G448">
            <v>48.44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</row>
        <row r="449">
          <cell r="A449" t="str">
            <v>2050201117</v>
          </cell>
          <cell r="B449">
            <v>2</v>
          </cell>
          <cell r="C449">
            <v>1</v>
          </cell>
          <cell r="D449" t="str">
            <v>ARANZA ROMERO GRANDVALLET (MKT)</v>
          </cell>
          <cell r="E449">
            <v>0</v>
          </cell>
          <cell r="F449">
            <v>0</v>
          </cell>
          <cell r="G449">
            <v>7806.25</v>
          </cell>
          <cell r="H449">
            <v>7806.25</v>
          </cell>
          <cell r="I449">
            <v>0</v>
          </cell>
          <cell r="J449">
            <v>0</v>
          </cell>
          <cell r="K449">
            <v>0</v>
          </cell>
        </row>
        <row r="450">
          <cell r="A450" t="str">
            <v>2050201119</v>
          </cell>
          <cell r="B450">
            <v>2</v>
          </cell>
          <cell r="C450">
            <v>1</v>
          </cell>
          <cell r="D450" t="str">
            <v>CENTRO EMPRESARIAL DE JALISCO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100500</v>
          </cell>
          <cell r="J450">
            <v>0</v>
          </cell>
          <cell r="K450">
            <v>0</v>
          </cell>
        </row>
        <row r="451">
          <cell r="A451" t="str">
            <v>2050201127</v>
          </cell>
          <cell r="B451">
            <v>2</v>
          </cell>
          <cell r="C451">
            <v>1</v>
          </cell>
          <cell r="D451" t="str">
            <v>ARRENDADORA Y SOLUCIONES EN NEGOCIOS</v>
          </cell>
          <cell r="E451">
            <v>0</v>
          </cell>
          <cell r="F451">
            <v>0</v>
          </cell>
          <cell r="G451">
            <v>15028.52</v>
          </cell>
          <cell r="H451">
            <v>15028.52</v>
          </cell>
          <cell r="I451">
            <v>0</v>
          </cell>
          <cell r="J451">
            <v>0</v>
          </cell>
          <cell r="K451">
            <v>0</v>
          </cell>
        </row>
        <row r="452">
          <cell r="A452" t="str">
            <v>2050201131</v>
          </cell>
          <cell r="B452">
            <v>2</v>
          </cell>
          <cell r="C452">
            <v>1</v>
          </cell>
          <cell r="D452" t="str">
            <v>RICARDO MARTIN CADENA</v>
          </cell>
          <cell r="E452">
            <v>3385.12</v>
          </cell>
          <cell r="F452">
            <v>6139.12</v>
          </cell>
          <cell r="G452">
            <v>11658.59</v>
          </cell>
          <cell r="H452">
            <v>8904.59</v>
          </cell>
          <cell r="I452">
            <v>61442.9</v>
          </cell>
          <cell r="J452">
            <v>0</v>
          </cell>
          <cell r="K452">
            <v>0</v>
          </cell>
        </row>
        <row r="453">
          <cell r="A453" t="str">
            <v>2050201132</v>
          </cell>
          <cell r="B453">
            <v>2</v>
          </cell>
          <cell r="C453">
            <v>1</v>
          </cell>
          <cell r="D453" t="str">
            <v>PEDRO CRUZ QUIROZ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16312.5</v>
          </cell>
          <cell r="J453">
            <v>0</v>
          </cell>
          <cell r="K453">
            <v>2222.7600000000002</v>
          </cell>
        </row>
        <row r="454">
          <cell r="A454" t="str">
            <v>2050201200</v>
          </cell>
          <cell r="B454">
            <v>2</v>
          </cell>
          <cell r="C454">
            <v>1</v>
          </cell>
          <cell r="D454" t="str">
            <v>OTROS ACREEDORES SALDO 2023</v>
          </cell>
          <cell r="E454">
            <v>173805</v>
          </cell>
          <cell r="F454">
            <v>0</v>
          </cell>
          <cell r="G454">
            <v>0</v>
          </cell>
          <cell r="H454">
            <v>173805</v>
          </cell>
          <cell r="I454">
            <v>0</v>
          </cell>
          <cell r="J454">
            <v>0</v>
          </cell>
          <cell r="K454">
            <v>0</v>
          </cell>
        </row>
        <row r="455">
          <cell r="A455" t="str">
            <v>2050202101</v>
          </cell>
          <cell r="B455">
            <v>2</v>
          </cell>
          <cell r="C455">
            <v>1</v>
          </cell>
          <cell r="D455" t="str">
            <v>SINERGY INGENIERIA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190.24</v>
          </cell>
          <cell r="J455">
            <v>0</v>
          </cell>
          <cell r="K455">
            <v>0</v>
          </cell>
        </row>
        <row r="456">
          <cell r="A456" t="str">
            <v>2050202102</v>
          </cell>
          <cell r="B456">
            <v>2</v>
          </cell>
          <cell r="C456">
            <v>1</v>
          </cell>
          <cell r="D456" t="str">
            <v>HDI Seguros</v>
          </cell>
          <cell r="E456">
            <v>4547.08</v>
          </cell>
          <cell r="F456">
            <v>0</v>
          </cell>
          <cell r="G456">
            <v>0</v>
          </cell>
          <cell r="H456">
            <v>4547.08</v>
          </cell>
          <cell r="I456">
            <v>1398.38</v>
          </cell>
          <cell r="J456">
            <v>0</v>
          </cell>
          <cell r="K456">
            <v>0</v>
          </cell>
        </row>
        <row r="457">
          <cell r="A457" t="str">
            <v>2050202201</v>
          </cell>
          <cell r="B457">
            <v>2</v>
          </cell>
          <cell r="C457">
            <v>1</v>
          </cell>
          <cell r="D457" t="str">
            <v>SINERGY INGENIERIA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4041.98</v>
          </cell>
          <cell r="J457">
            <v>0</v>
          </cell>
          <cell r="K457">
            <v>0</v>
          </cell>
        </row>
        <row r="458">
          <cell r="A458" t="str">
            <v>2050202202</v>
          </cell>
          <cell r="B458">
            <v>2</v>
          </cell>
          <cell r="C458">
            <v>1</v>
          </cell>
          <cell r="D458" t="str">
            <v>HDI Seguros</v>
          </cell>
          <cell r="E458">
            <v>88299.91</v>
          </cell>
          <cell r="F458">
            <v>0</v>
          </cell>
          <cell r="G458">
            <v>0</v>
          </cell>
          <cell r="H458">
            <v>88299.91</v>
          </cell>
          <cell r="I458">
            <v>27533.51</v>
          </cell>
          <cell r="J458">
            <v>0</v>
          </cell>
          <cell r="K458">
            <v>0</v>
          </cell>
        </row>
        <row r="459">
          <cell r="A459" t="str">
            <v>2050202203</v>
          </cell>
          <cell r="B459">
            <v>2</v>
          </cell>
          <cell r="C459">
            <v>1</v>
          </cell>
          <cell r="D459" t="str">
            <v>LATIN PACIFIC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26.23</v>
          </cell>
          <cell r="J459">
            <v>0</v>
          </cell>
          <cell r="K459">
            <v>0</v>
          </cell>
        </row>
        <row r="460">
          <cell r="A460" t="str">
            <v>2060101001</v>
          </cell>
          <cell r="B460">
            <v>2</v>
          </cell>
          <cell r="C460">
            <v>1</v>
          </cell>
          <cell r="D460" t="str">
            <v>KPS Comercializadora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5130168.13</v>
          </cell>
          <cell r="J460">
            <v>0</v>
          </cell>
          <cell r="K460">
            <v>0</v>
          </cell>
        </row>
        <row r="461">
          <cell r="A461" t="str">
            <v>2060101002</v>
          </cell>
          <cell r="B461">
            <v>2</v>
          </cell>
          <cell r="C461">
            <v>1</v>
          </cell>
          <cell r="D461" t="str">
            <v>Laboratorio Elmor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164977.10999999999</v>
          </cell>
          <cell r="J461">
            <v>62000</v>
          </cell>
          <cell r="K461">
            <v>461383.85</v>
          </cell>
        </row>
        <row r="462">
          <cell r="A462" t="str">
            <v>2060101003</v>
          </cell>
          <cell r="B462">
            <v>2</v>
          </cell>
          <cell r="C462">
            <v>1</v>
          </cell>
          <cell r="D462" t="str">
            <v>Clientes en general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627171.11</v>
          </cell>
          <cell r="J462">
            <v>0</v>
          </cell>
          <cell r="K462">
            <v>0</v>
          </cell>
        </row>
        <row r="463">
          <cell r="A463" t="str">
            <v>2060102101</v>
          </cell>
          <cell r="B463">
            <v>2</v>
          </cell>
          <cell r="C463">
            <v>1</v>
          </cell>
          <cell r="D463" t="str">
            <v>KPS Comercializadora USD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32216.799999999999</v>
          </cell>
          <cell r="J463">
            <v>0</v>
          </cell>
          <cell r="K463">
            <v>0</v>
          </cell>
        </row>
        <row r="464">
          <cell r="A464" t="str">
            <v>2060102201</v>
          </cell>
          <cell r="B464">
            <v>2</v>
          </cell>
          <cell r="C464">
            <v>1</v>
          </cell>
          <cell r="D464" t="str">
            <v>KPS Comercializadora USD Comp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630839.89</v>
          </cell>
          <cell r="J464">
            <v>0</v>
          </cell>
          <cell r="K464">
            <v>0</v>
          </cell>
        </row>
        <row r="465">
          <cell r="A465" t="str">
            <v>2080100000</v>
          </cell>
          <cell r="B465">
            <v>2</v>
          </cell>
          <cell r="C465">
            <v>1</v>
          </cell>
          <cell r="D465" t="str">
            <v>IVA trasladado cobrado</v>
          </cell>
          <cell r="E465">
            <v>0</v>
          </cell>
          <cell r="F465">
            <v>991509.72</v>
          </cell>
          <cell r="G465">
            <v>993380.3</v>
          </cell>
          <cell r="H465">
            <v>1870.58</v>
          </cell>
          <cell r="I465">
            <v>0</v>
          </cell>
          <cell r="J465">
            <v>0</v>
          </cell>
          <cell r="K465">
            <v>972060.34</v>
          </cell>
        </row>
        <row r="466">
          <cell r="A466" t="str">
            <v>2090100000</v>
          </cell>
          <cell r="B466">
            <v>2</v>
          </cell>
          <cell r="C466">
            <v>1</v>
          </cell>
          <cell r="D466" t="str">
            <v>IVA trasladado no cobrado</v>
          </cell>
          <cell r="E466">
            <v>2829034.49</v>
          </cell>
          <cell r="F466">
            <v>1289988.3799999999</v>
          </cell>
          <cell r="G466">
            <v>2098547.8199999998</v>
          </cell>
          <cell r="H466">
            <v>3637593.93</v>
          </cell>
          <cell r="I466">
            <v>4317253.3</v>
          </cell>
          <cell r="J466">
            <v>1030701.49</v>
          </cell>
          <cell r="K466">
            <v>970311.5</v>
          </cell>
        </row>
        <row r="467">
          <cell r="A467" t="str">
            <v>2100100000</v>
          </cell>
          <cell r="B467">
            <v>2</v>
          </cell>
          <cell r="C467">
            <v>1</v>
          </cell>
          <cell r="D467" t="str">
            <v>Provisión de sueldos y salarios x pagar</v>
          </cell>
          <cell r="E467">
            <v>34502.019999999997</v>
          </cell>
          <cell r="F467">
            <v>1895431.02</v>
          </cell>
          <cell r="G467">
            <v>1842884.12</v>
          </cell>
          <cell r="H467">
            <v>-18044.88</v>
          </cell>
          <cell r="I467">
            <v>64006.28</v>
          </cell>
          <cell r="J467">
            <v>182002.54</v>
          </cell>
          <cell r="K467">
            <v>238050.65</v>
          </cell>
        </row>
        <row r="468">
          <cell r="A468" t="str">
            <v>2100300000</v>
          </cell>
          <cell r="B468">
            <v>2</v>
          </cell>
          <cell r="C468">
            <v>1</v>
          </cell>
          <cell r="D468" t="str">
            <v>Provisión de aguinaldo por pagar</v>
          </cell>
          <cell r="E468">
            <v>586220.02</v>
          </cell>
          <cell r="F468">
            <v>0</v>
          </cell>
          <cell r="G468">
            <v>69345.95</v>
          </cell>
          <cell r="H468">
            <v>655565.97</v>
          </cell>
          <cell r="I468">
            <v>347652.64</v>
          </cell>
          <cell r="J468">
            <v>0</v>
          </cell>
          <cell r="K468">
            <v>8439.67</v>
          </cell>
        </row>
        <row r="469">
          <cell r="A469" t="str">
            <v>2110100000</v>
          </cell>
          <cell r="B469">
            <v>2</v>
          </cell>
          <cell r="C469">
            <v>1</v>
          </cell>
          <cell r="D469" t="str">
            <v>Provisión de IMSS patronal por pagar</v>
          </cell>
          <cell r="E469">
            <v>269296.28999999998</v>
          </cell>
          <cell r="F469">
            <v>269296.28999999998</v>
          </cell>
          <cell r="G469">
            <v>259802.71</v>
          </cell>
          <cell r="H469">
            <v>259802.71</v>
          </cell>
          <cell r="I469">
            <v>81545.289999999994</v>
          </cell>
          <cell r="J469">
            <v>39426.879999999997</v>
          </cell>
          <cell r="K469">
            <v>37030.589999999997</v>
          </cell>
        </row>
        <row r="470">
          <cell r="A470" t="str">
            <v>2110200000</v>
          </cell>
          <cell r="B470">
            <v>2</v>
          </cell>
          <cell r="C470">
            <v>1</v>
          </cell>
          <cell r="D470" t="str">
            <v>Provisión de SAR por pagar</v>
          </cell>
          <cell r="E470">
            <v>0</v>
          </cell>
          <cell r="F470">
            <v>0</v>
          </cell>
          <cell r="G470">
            <v>401642.65</v>
          </cell>
          <cell r="H470">
            <v>401642.65</v>
          </cell>
          <cell r="I470">
            <v>46873.74</v>
          </cell>
          <cell r="J470">
            <v>0</v>
          </cell>
          <cell r="K470">
            <v>48623.46</v>
          </cell>
        </row>
        <row r="471">
          <cell r="A471" t="str">
            <v>2110300000</v>
          </cell>
          <cell r="B471">
            <v>2</v>
          </cell>
          <cell r="C471">
            <v>1</v>
          </cell>
          <cell r="D471" t="str">
            <v>Provisión de infonavit por pagar</v>
          </cell>
          <cell r="E471">
            <v>0</v>
          </cell>
          <cell r="F471">
            <v>0</v>
          </cell>
          <cell r="G471">
            <v>338297.61</v>
          </cell>
          <cell r="H471">
            <v>338297.61</v>
          </cell>
          <cell r="I471">
            <v>29153.439999999999</v>
          </cell>
          <cell r="J471">
            <v>0</v>
          </cell>
          <cell r="K471">
            <v>30808.51</v>
          </cell>
        </row>
        <row r="472">
          <cell r="A472" t="str">
            <v>2130100000</v>
          </cell>
          <cell r="B472">
            <v>2</v>
          </cell>
          <cell r="C472">
            <v>1</v>
          </cell>
          <cell r="D472" t="str">
            <v>IVA por pagar</v>
          </cell>
          <cell r="E472">
            <v>411760.95</v>
          </cell>
          <cell r="F472">
            <v>407640</v>
          </cell>
          <cell r="G472">
            <v>0</v>
          </cell>
          <cell r="H472">
            <v>4120.95</v>
          </cell>
          <cell r="I472">
            <v>13247607.09</v>
          </cell>
          <cell r="J472">
            <v>510057</v>
          </cell>
          <cell r="K472">
            <v>0</v>
          </cell>
        </row>
        <row r="473">
          <cell r="A473" t="str">
            <v>2130300000</v>
          </cell>
          <cell r="B473">
            <v>2</v>
          </cell>
          <cell r="C473">
            <v>1</v>
          </cell>
          <cell r="D473" t="str">
            <v>ISR por pagar</v>
          </cell>
          <cell r="E473">
            <v>34021</v>
          </cell>
          <cell r="F473">
            <v>0</v>
          </cell>
          <cell r="G473">
            <v>0</v>
          </cell>
          <cell r="H473">
            <v>34021</v>
          </cell>
          <cell r="I473">
            <v>0</v>
          </cell>
          <cell r="J473">
            <v>0</v>
          </cell>
          <cell r="K473">
            <v>0</v>
          </cell>
        </row>
        <row r="474">
          <cell r="A474" t="str">
            <v>2130400000</v>
          </cell>
          <cell r="B474">
            <v>2</v>
          </cell>
          <cell r="C474">
            <v>1</v>
          </cell>
          <cell r="D474" t="str">
            <v>Impuesto estatal sobre nómina por pagar</v>
          </cell>
          <cell r="E474">
            <v>285320.84999999998</v>
          </cell>
          <cell r="F474">
            <v>0</v>
          </cell>
          <cell r="G474">
            <v>77980.34</v>
          </cell>
          <cell r="H474">
            <v>363301.19</v>
          </cell>
          <cell r="I474">
            <v>3351021.17</v>
          </cell>
          <cell r="J474">
            <v>0</v>
          </cell>
          <cell r="K474">
            <v>9835.9500000000007</v>
          </cell>
        </row>
        <row r="475">
          <cell r="A475" t="str">
            <v>2130700000</v>
          </cell>
          <cell r="B475">
            <v>2</v>
          </cell>
          <cell r="C475">
            <v>1</v>
          </cell>
          <cell r="D475" t="str">
            <v>Otros impuestos por pagar</v>
          </cell>
          <cell r="E475">
            <v>114881.62</v>
          </cell>
          <cell r="F475">
            <v>0</v>
          </cell>
          <cell r="G475">
            <v>0</v>
          </cell>
          <cell r="H475">
            <v>114881.62</v>
          </cell>
          <cell r="I475">
            <v>0</v>
          </cell>
          <cell r="J475">
            <v>0</v>
          </cell>
          <cell r="K475">
            <v>0</v>
          </cell>
        </row>
        <row r="476">
          <cell r="A476" t="str">
            <v>2160100000</v>
          </cell>
          <cell r="B476">
            <v>2</v>
          </cell>
          <cell r="C476">
            <v>1</v>
          </cell>
          <cell r="D476" t="str">
            <v>Impuestos ret de ISR x sdos y salarios</v>
          </cell>
          <cell r="E476">
            <v>546437.93999999994</v>
          </cell>
          <cell r="F476">
            <v>516916</v>
          </cell>
          <cell r="G476">
            <v>255151.6</v>
          </cell>
          <cell r="H476">
            <v>284673.53999999998</v>
          </cell>
          <cell r="I476">
            <v>448167.85</v>
          </cell>
          <cell r="J476">
            <v>61333</v>
          </cell>
          <cell r="K476">
            <v>26153.88</v>
          </cell>
        </row>
        <row r="477">
          <cell r="A477" t="str">
            <v>2160301001</v>
          </cell>
          <cell r="B477">
            <v>2</v>
          </cell>
          <cell r="C477">
            <v>1</v>
          </cell>
          <cell r="D477" t="str">
            <v>Iva ret cred fletes 4%</v>
          </cell>
          <cell r="E477">
            <v>624.80999999999995</v>
          </cell>
          <cell r="F477">
            <v>2800.7</v>
          </cell>
          <cell r="G477">
            <v>3099.63</v>
          </cell>
          <cell r="H477">
            <v>923.74</v>
          </cell>
          <cell r="I477">
            <v>13807.17</v>
          </cell>
          <cell r="J477">
            <v>11700.34</v>
          </cell>
          <cell r="K477">
            <v>13813.85</v>
          </cell>
        </row>
        <row r="478">
          <cell r="A478" t="str">
            <v>2160301002</v>
          </cell>
          <cell r="B478">
            <v>2</v>
          </cell>
          <cell r="C478">
            <v>1</v>
          </cell>
          <cell r="D478" t="str">
            <v>Iva ret cred Honorario</v>
          </cell>
          <cell r="E478">
            <v>0</v>
          </cell>
          <cell r="F478">
            <v>0</v>
          </cell>
          <cell r="G478">
            <v>800</v>
          </cell>
          <cell r="H478">
            <v>800</v>
          </cell>
          <cell r="I478">
            <v>4462.21</v>
          </cell>
          <cell r="J478">
            <v>7173.76</v>
          </cell>
          <cell r="K478">
            <v>13866.71</v>
          </cell>
        </row>
        <row r="479">
          <cell r="A479" t="str">
            <v>2160301003</v>
          </cell>
          <cell r="B479">
            <v>2</v>
          </cell>
          <cell r="C479">
            <v>1</v>
          </cell>
          <cell r="D479" t="str">
            <v>Iva ret cred arrendamiento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1920.33</v>
          </cell>
          <cell r="J479">
            <v>2346.67</v>
          </cell>
          <cell r="K479">
            <v>2346.67</v>
          </cell>
        </row>
        <row r="480">
          <cell r="A480" t="str">
            <v>2160302001</v>
          </cell>
          <cell r="B480">
            <v>2</v>
          </cell>
          <cell r="C480">
            <v>1</v>
          </cell>
          <cell r="D480" t="str">
            <v>ISR ret honorario y simpl credito</v>
          </cell>
          <cell r="E480">
            <v>36.880000000000003</v>
          </cell>
          <cell r="F480">
            <v>128.13</v>
          </cell>
          <cell r="G480">
            <v>495.77</v>
          </cell>
          <cell r="H480">
            <v>404.52</v>
          </cell>
          <cell r="I480">
            <v>0</v>
          </cell>
          <cell r="J480">
            <v>840.68</v>
          </cell>
          <cell r="K480">
            <v>1625</v>
          </cell>
        </row>
        <row r="481">
          <cell r="A481" t="str">
            <v>2160302002</v>
          </cell>
          <cell r="B481">
            <v>2</v>
          </cell>
          <cell r="C481">
            <v>1</v>
          </cell>
          <cell r="D481" t="str">
            <v>ISR ret 10% arrendamiento credito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2200</v>
          </cell>
          <cell r="K481">
            <v>2200</v>
          </cell>
        </row>
        <row r="482">
          <cell r="A482" t="str">
            <v>2160401001</v>
          </cell>
          <cell r="B482">
            <v>2</v>
          </cell>
          <cell r="C482">
            <v>1</v>
          </cell>
          <cell r="D482" t="str">
            <v>Iva ret pagado fletes 4%</v>
          </cell>
          <cell r="E482">
            <v>5379.5</v>
          </cell>
          <cell r="F482">
            <v>6664</v>
          </cell>
          <cell r="G482">
            <v>2969.83</v>
          </cell>
          <cell r="H482">
            <v>1685.33</v>
          </cell>
          <cell r="I482">
            <v>-8568.33</v>
          </cell>
          <cell r="J482">
            <v>25177</v>
          </cell>
          <cell r="K482">
            <v>14883.4</v>
          </cell>
        </row>
        <row r="483">
          <cell r="A483" t="str">
            <v>2160401002</v>
          </cell>
          <cell r="B483">
            <v>2</v>
          </cell>
          <cell r="C483">
            <v>1</v>
          </cell>
          <cell r="D483" t="str">
            <v>Iva ret pagado Honorario</v>
          </cell>
          <cell r="E483">
            <v>11466.92</v>
          </cell>
          <cell r="F483">
            <v>9386</v>
          </cell>
          <cell r="G483">
            <v>3438.89</v>
          </cell>
          <cell r="H483">
            <v>5519.81</v>
          </cell>
          <cell r="I483">
            <v>25164.47</v>
          </cell>
          <cell r="J483">
            <v>25172</v>
          </cell>
          <cell r="K483">
            <v>7173.76</v>
          </cell>
        </row>
        <row r="484">
          <cell r="A484" t="str">
            <v>2160401003</v>
          </cell>
          <cell r="B484">
            <v>2</v>
          </cell>
          <cell r="C484">
            <v>1</v>
          </cell>
          <cell r="D484" t="str">
            <v>Iva ret pagado arrendamiento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7108.57</v>
          </cell>
          <cell r="J484">
            <v>7040</v>
          </cell>
          <cell r="K484">
            <v>2346.67</v>
          </cell>
        </row>
        <row r="485">
          <cell r="A485" t="str">
            <v>2160402001</v>
          </cell>
          <cell r="B485">
            <v>2</v>
          </cell>
          <cell r="C485">
            <v>1</v>
          </cell>
          <cell r="D485" t="str">
            <v>ISR ret honorario y simpl pagado</v>
          </cell>
          <cell r="E485">
            <v>6622.29</v>
          </cell>
          <cell r="F485">
            <v>6963</v>
          </cell>
          <cell r="G485">
            <v>1553.18</v>
          </cell>
          <cell r="H485">
            <v>1212.47</v>
          </cell>
          <cell r="I485">
            <v>8798.7099999999991</v>
          </cell>
          <cell r="J485">
            <v>4248</v>
          </cell>
          <cell r="K485">
            <v>1290.06</v>
          </cell>
        </row>
        <row r="486">
          <cell r="A486" t="str">
            <v>2160402002</v>
          </cell>
          <cell r="B486">
            <v>2</v>
          </cell>
          <cell r="C486">
            <v>1</v>
          </cell>
          <cell r="D486" t="str">
            <v>ISR ret 10% arrendamiento pagado</v>
          </cell>
          <cell r="E486">
            <v>4777.67</v>
          </cell>
          <cell r="F486">
            <v>4778</v>
          </cell>
          <cell r="G486">
            <v>2388.89</v>
          </cell>
          <cell r="H486">
            <v>2388.56</v>
          </cell>
          <cell r="I486">
            <v>4515.6899999999996</v>
          </cell>
          <cell r="J486">
            <v>2200</v>
          </cell>
          <cell r="K486">
            <v>2200</v>
          </cell>
        </row>
        <row r="487">
          <cell r="A487" t="str">
            <v>2161100000</v>
          </cell>
          <cell r="B487">
            <v>2</v>
          </cell>
          <cell r="C487">
            <v>1</v>
          </cell>
          <cell r="D487" t="str">
            <v>Retenciones de IMSS a los trabaj</v>
          </cell>
          <cell r="E487">
            <v>6225.41</v>
          </cell>
          <cell r="F487">
            <v>80036.17</v>
          </cell>
          <cell r="G487">
            <v>49933.8</v>
          </cell>
          <cell r="H487">
            <v>-23876.959999999999</v>
          </cell>
          <cell r="I487">
            <v>9376.36</v>
          </cell>
          <cell r="J487">
            <v>9596.56</v>
          </cell>
          <cell r="K487">
            <v>6064.75</v>
          </cell>
        </row>
        <row r="488">
          <cell r="A488" t="str">
            <v>2161300001</v>
          </cell>
          <cell r="B488">
            <v>2</v>
          </cell>
          <cell r="C488">
            <v>1</v>
          </cell>
          <cell r="D488" t="str">
            <v>Martinez Lopez Socorro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1365.45</v>
          </cell>
          <cell r="J488">
            <v>2146.8200000000002</v>
          </cell>
          <cell r="K488">
            <v>805.05</v>
          </cell>
        </row>
        <row r="489">
          <cell r="A489" t="str">
            <v>2161300002</v>
          </cell>
          <cell r="B489">
            <v>2</v>
          </cell>
          <cell r="C489">
            <v>1</v>
          </cell>
          <cell r="D489" t="str">
            <v>LOMELI OROPEZA JUAN MANUEL</v>
          </cell>
          <cell r="E489">
            <v>1671.22</v>
          </cell>
          <cell r="F489">
            <v>3343.18</v>
          </cell>
          <cell r="G489">
            <v>1671.6</v>
          </cell>
          <cell r="H489">
            <v>-0.36</v>
          </cell>
          <cell r="I489">
            <v>220.14</v>
          </cell>
          <cell r="J489">
            <v>0</v>
          </cell>
          <cell r="K489">
            <v>0</v>
          </cell>
        </row>
        <row r="490">
          <cell r="A490" t="str">
            <v>2161300003</v>
          </cell>
          <cell r="B490">
            <v>2</v>
          </cell>
          <cell r="C490">
            <v>1</v>
          </cell>
          <cell r="D490" t="str">
            <v>MURILLO LEDESMA NANCY LILIANA</v>
          </cell>
          <cell r="E490">
            <v>2631.6</v>
          </cell>
          <cell r="F490">
            <v>5263.22</v>
          </cell>
          <cell r="G490">
            <v>2631.6</v>
          </cell>
          <cell r="H490">
            <v>-0.02</v>
          </cell>
          <cell r="I490">
            <v>345.05</v>
          </cell>
          <cell r="J490">
            <v>0</v>
          </cell>
          <cell r="K490">
            <v>0</v>
          </cell>
        </row>
        <row r="491">
          <cell r="A491" t="str">
            <v>2161300004</v>
          </cell>
          <cell r="B491">
            <v>2</v>
          </cell>
          <cell r="C491">
            <v>1</v>
          </cell>
          <cell r="D491" t="str">
            <v>CARO VALERIO JUAN LUIS SEBASTIAN</v>
          </cell>
          <cell r="E491">
            <v>3318.18</v>
          </cell>
          <cell r="F491">
            <v>6633.86</v>
          </cell>
          <cell r="G491">
            <v>3317.2</v>
          </cell>
          <cell r="H491">
            <v>1.52</v>
          </cell>
          <cell r="I491">
            <v>555.88</v>
          </cell>
          <cell r="J491">
            <v>0</v>
          </cell>
          <cell r="K491">
            <v>0</v>
          </cell>
        </row>
        <row r="492">
          <cell r="A492" t="str">
            <v>2161300005</v>
          </cell>
          <cell r="B492">
            <v>2</v>
          </cell>
          <cell r="C492">
            <v>1</v>
          </cell>
          <cell r="D492" t="str">
            <v>MEZA REYNOSO MARISOL</v>
          </cell>
          <cell r="E492">
            <v>2529.59</v>
          </cell>
          <cell r="F492">
            <v>5059.1400000000003</v>
          </cell>
          <cell r="G492">
            <v>2529.6</v>
          </cell>
          <cell r="H492">
            <v>0.05</v>
          </cell>
          <cell r="I492">
            <v>417.99</v>
          </cell>
          <cell r="J492">
            <v>0</v>
          </cell>
          <cell r="K492">
            <v>0</v>
          </cell>
        </row>
        <row r="493">
          <cell r="A493" t="str">
            <v>2161300006</v>
          </cell>
          <cell r="B493">
            <v>2</v>
          </cell>
          <cell r="C493">
            <v>1</v>
          </cell>
          <cell r="D493" t="str">
            <v>MORENO BASTIAN MARIA DE JESUS</v>
          </cell>
          <cell r="E493">
            <v>2158.4</v>
          </cell>
          <cell r="F493">
            <v>4317.1400000000003</v>
          </cell>
          <cell r="G493">
            <v>2158.4</v>
          </cell>
          <cell r="H493">
            <v>-0.34</v>
          </cell>
          <cell r="I493">
            <v>359.32</v>
          </cell>
          <cell r="J493">
            <v>0</v>
          </cell>
          <cell r="K493">
            <v>0</v>
          </cell>
        </row>
        <row r="494">
          <cell r="A494" t="str">
            <v>2161300007</v>
          </cell>
          <cell r="B494">
            <v>2</v>
          </cell>
          <cell r="C494">
            <v>1</v>
          </cell>
          <cell r="D494" t="str">
            <v>GUZMAN RODRIGUEZ NANCY NALLELY</v>
          </cell>
          <cell r="E494">
            <v>1110.97</v>
          </cell>
          <cell r="F494">
            <v>814.22</v>
          </cell>
          <cell r="G494">
            <v>0</v>
          </cell>
          <cell r="H494">
            <v>296.75</v>
          </cell>
          <cell r="I494">
            <v>615.25</v>
          </cell>
          <cell r="J494">
            <v>0</v>
          </cell>
          <cell r="K494">
            <v>0</v>
          </cell>
        </row>
        <row r="495">
          <cell r="A495" t="str">
            <v>2161300008</v>
          </cell>
          <cell r="B495">
            <v>2</v>
          </cell>
          <cell r="C495">
            <v>1</v>
          </cell>
          <cell r="D495" t="str">
            <v>RENTERIA PONCE MARIA ELIZABETH</v>
          </cell>
          <cell r="E495">
            <v>2757.6</v>
          </cell>
          <cell r="F495">
            <v>5515.44</v>
          </cell>
          <cell r="G495">
            <v>2757.6</v>
          </cell>
          <cell r="H495">
            <v>-0.24</v>
          </cell>
          <cell r="I495">
            <v>460.27</v>
          </cell>
          <cell r="J495">
            <v>0</v>
          </cell>
          <cell r="K495">
            <v>0</v>
          </cell>
        </row>
        <row r="496">
          <cell r="A496" t="str">
            <v>2161300009</v>
          </cell>
          <cell r="B496">
            <v>2</v>
          </cell>
          <cell r="C496">
            <v>1</v>
          </cell>
          <cell r="D496" t="str">
            <v>LOPEZ CERVERA MARIA DEL CARMEN</v>
          </cell>
          <cell r="E496">
            <v>2403.4699999999998</v>
          </cell>
          <cell r="F496">
            <v>4802.5200000000004</v>
          </cell>
          <cell r="G496">
            <v>2401.1999999999998</v>
          </cell>
          <cell r="H496">
            <v>2.15</v>
          </cell>
          <cell r="I496">
            <v>-1063.57</v>
          </cell>
          <cell r="J496">
            <v>0</v>
          </cell>
          <cell r="K496">
            <v>0</v>
          </cell>
        </row>
        <row r="497">
          <cell r="A497" t="str">
            <v>2161300010</v>
          </cell>
          <cell r="B497">
            <v>2</v>
          </cell>
          <cell r="C497">
            <v>1</v>
          </cell>
          <cell r="D497" t="str">
            <v>MURO ARJON MA DEL ROSARIO</v>
          </cell>
          <cell r="E497">
            <v>1054.8</v>
          </cell>
          <cell r="F497">
            <v>2109.8200000000002</v>
          </cell>
          <cell r="G497">
            <v>1054.8</v>
          </cell>
          <cell r="H497">
            <v>-0.22</v>
          </cell>
          <cell r="I497">
            <v>173.41</v>
          </cell>
          <cell r="J497">
            <v>0</v>
          </cell>
          <cell r="K497">
            <v>0</v>
          </cell>
        </row>
        <row r="498">
          <cell r="A498" t="str">
            <v>2161300011</v>
          </cell>
          <cell r="B498">
            <v>2</v>
          </cell>
          <cell r="C498">
            <v>1</v>
          </cell>
          <cell r="D498" t="str">
            <v>MAYORGA PULIDO GERARDO DANIEL</v>
          </cell>
          <cell r="E498">
            <v>1892.78</v>
          </cell>
          <cell r="F498">
            <v>3785.8</v>
          </cell>
          <cell r="G498">
            <v>1892.8</v>
          </cell>
          <cell r="H498">
            <v>-0.22</v>
          </cell>
          <cell r="I498">
            <v>314.44</v>
          </cell>
          <cell r="J498">
            <v>0</v>
          </cell>
          <cell r="K498">
            <v>0</v>
          </cell>
        </row>
        <row r="499">
          <cell r="A499" t="str">
            <v>2161300012</v>
          </cell>
          <cell r="B499">
            <v>2</v>
          </cell>
          <cell r="C499">
            <v>1</v>
          </cell>
          <cell r="D499" t="str">
            <v>RODRIGUEZ CONTRERAS JESUS GUADALUPE</v>
          </cell>
          <cell r="E499">
            <v>3.57</v>
          </cell>
          <cell r="F499">
            <v>0</v>
          </cell>
          <cell r="G499">
            <v>0</v>
          </cell>
          <cell r="H499">
            <v>3.57</v>
          </cell>
          <cell r="I499">
            <v>352.09</v>
          </cell>
          <cell r="J499">
            <v>0</v>
          </cell>
          <cell r="K499">
            <v>0</v>
          </cell>
        </row>
        <row r="500">
          <cell r="A500" t="str">
            <v>2161300013</v>
          </cell>
          <cell r="B500">
            <v>2</v>
          </cell>
          <cell r="C500">
            <v>1</v>
          </cell>
          <cell r="D500" t="str">
            <v>RENTERIA LAMAS GABRIELA</v>
          </cell>
          <cell r="E500">
            <v>-5938.08</v>
          </cell>
          <cell r="F500">
            <v>0</v>
          </cell>
          <cell r="G500">
            <v>0</v>
          </cell>
          <cell r="H500">
            <v>-5938.08</v>
          </cell>
          <cell r="I500">
            <v>542.20000000000005</v>
          </cell>
          <cell r="J500">
            <v>0</v>
          </cell>
          <cell r="K500">
            <v>0</v>
          </cell>
        </row>
        <row r="501">
          <cell r="A501" t="str">
            <v>2161300014</v>
          </cell>
          <cell r="B501">
            <v>2</v>
          </cell>
          <cell r="C501">
            <v>1</v>
          </cell>
          <cell r="D501" t="str">
            <v>CHIMAL HERNANDEZ GABRIELA</v>
          </cell>
          <cell r="E501">
            <v>1906.58</v>
          </cell>
          <cell r="F501">
            <v>3812.46</v>
          </cell>
          <cell r="G501">
            <v>1906.4</v>
          </cell>
          <cell r="H501">
            <v>0.52</v>
          </cell>
          <cell r="I501">
            <v>1897.34</v>
          </cell>
          <cell r="J501">
            <v>0</v>
          </cell>
          <cell r="K501">
            <v>0</v>
          </cell>
        </row>
        <row r="502">
          <cell r="A502" t="str">
            <v>2161300015</v>
          </cell>
          <cell r="B502">
            <v>2</v>
          </cell>
          <cell r="C502">
            <v>1</v>
          </cell>
          <cell r="D502" t="str">
            <v>LOPEZ GAMIÑO NANCY AGLADET</v>
          </cell>
          <cell r="E502">
            <v>856.19</v>
          </cell>
          <cell r="F502">
            <v>1712.84</v>
          </cell>
          <cell r="G502">
            <v>856.4</v>
          </cell>
          <cell r="H502">
            <v>-0.25</v>
          </cell>
          <cell r="I502">
            <v>109.25</v>
          </cell>
          <cell r="J502">
            <v>0</v>
          </cell>
          <cell r="K502">
            <v>0</v>
          </cell>
        </row>
        <row r="503">
          <cell r="A503" t="str">
            <v>2161300016</v>
          </cell>
          <cell r="B503">
            <v>2</v>
          </cell>
          <cell r="C503">
            <v>1</v>
          </cell>
          <cell r="D503" t="str">
            <v>RAMIREZ DAVALOS MIGUEL ANGEL</v>
          </cell>
          <cell r="E503">
            <v>729.19</v>
          </cell>
          <cell r="F503">
            <v>1458.68</v>
          </cell>
          <cell r="G503">
            <v>729.2</v>
          </cell>
          <cell r="H503">
            <v>-0.28999999999999998</v>
          </cell>
          <cell r="I503">
            <v>118.53</v>
          </cell>
          <cell r="J503">
            <v>0</v>
          </cell>
          <cell r="K503">
            <v>0</v>
          </cell>
        </row>
        <row r="504">
          <cell r="A504" t="str">
            <v>2161300017</v>
          </cell>
          <cell r="B504">
            <v>2</v>
          </cell>
          <cell r="C504">
            <v>1</v>
          </cell>
          <cell r="D504" t="str">
            <v>LOZANO ROMERO SONIA VERONICA</v>
          </cell>
          <cell r="E504">
            <v>2608</v>
          </cell>
          <cell r="F504">
            <v>5215.96</v>
          </cell>
          <cell r="G504">
            <v>2608</v>
          </cell>
          <cell r="H504">
            <v>0.04</v>
          </cell>
          <cell r="I504">
            <v>930.06</v>
          </cell>
          <cell r="J504">
            <v>0</v>
          </cell>
          <cell r="K504">
            <v>0</v>
          </cell>
        </row>
        <row r="505">
          <cell r="A505" t="str">
            <v>2161300018</v>
          </cell>
          <cell r="B505">
            <v>2</v>
          </cell>
          <cell r="C505">
            <v>1</v>
          </cell>
          <cell r="D505" t="str">
            <v>ROQUE MERCADO JUAN LUIS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279.02999999999997</v>
          </cell>
          <cell r="J505">
            <v>0</v>
          </cell>
          <cell r="K505">
            <v>0</v>
          </cell>
        </row>
        <row r="506">
          <cell r="A506" t="str">
            <v>2161300019</v>
          </cell>
          <cell r="B506">
            <v>2</v>
          </cell>
          <cell r="C506">
            <v>1</v>
          </cell>
          <cell r="D506" t="str">
            <v>APECECHEA SOTO ROSA ORALIA</v>
          </cell>
          <cell r="E506">
            <v>4962.58</v>
          </cell>
          <cell r="F506">
            <v>9925.2000000000007</v>
          </cell>
          <cell r="G506">
            <v>4962.6000000000004</v>
          </cell>
          <cell r="H506">
            <v>-0.02</v>
          </cell>
          <cell r="I506">
            <v>1116.01</v>
          </cell>
          <cell r="J506">
            <v>0</v>
          </cell>
          <cell r="K506">
            <v>0</v>
          </cell>
        </row>
        <row r="507">
          <cell r="A507" t="str">
            <v>2161300020</v>
          </cell>
          <cell r="B507">
            <v>2</v>
          </cell>
          <cell r="C507">
            <v>1</v>
          </cell>
          <cell r="D507" t="str">
            <v>FLORES SALAMANCA ADRIAN DE JESUS</v>
          </cell>
          <cell r="E507">
            <v>4496.8900000000003</v>
          </cell>
          <cell r="F507">
            <v>8993.6200000000008</v>
          </cell>
          <cell r="G507">
            <v>4496.8</v>
          </cell>
          <cell r="H507">
            <v>7.0000000000000007E-2</v>
          </cell>
          <cell r="I507">
            <v>1332.36</v>
          </cell>
          <cell r="J507">
            <v>0</v>
          </cell>
          <cell r="K507">
            <v>0</v>
          </cell>
        </row>
        <row r="508">
          <cell r="A508" t="str">
            <v>2161300021</v>
          </cell>
          <cell r="B508">
            <v>2</v>
          </cell>
          <cell r="C508">
            <v>1</v>
          </cell>
          <cell r="D508" t="str">
            <v>CASTRO MOLINA JESUS ORLANDO</v>
          </cell>
          <cell r="E508">
            <v>6452.35</v>
          </cell>
          <cell r="F508">
            <v>13785.66</v>
          </cell>
          <cell r="G508">
            <v>7333.29</v>
          </cell>
          <cell r="H508">
            <v>-0.02</v>
          </cell>
          <cell r="I508">
            <v>458.79</v>
          </cell>
          <cell r="J508">
            <v>0</v>
          </cell>
          <cell r="K508">
            <v>0</v>
          </cell>
        </row>
        <row r="509">
          <cell r="A509" t="str">
            <v>2161300022</v>
          </cell>
          <cell r="B509">
            <v>2</v>
          </cell>
          <cell r="C509">
            <v>1</v>
          </cell>
          <cell r="D509" t="str">
            <v>RODRIGUEZ BARAJAS SANTIAGO</v>
          </cell>
          <cell r="E509">
            <v>2640.12</v>
          </cell>
          <cell r="F509">
            <v>5280.26</v>
          </cell>
          <cell r="G509">
            <v>2640.12</v>
          </cell>
          <cell r="H509">
            <v>-0.02</v>
          </cell>
          <cell r="I509">
            <v>393.17</v>
          </cell>
          <cell r="J509">
            <v>0</v>
          </cell>
          <cell r="K509">
            <v>0</v>
          </cell>
        </row>
        <row r="510">
          <cell r="A510" t="str">
            <v>2161300023</v>
          </cell>
          <cell r="B510">
            <v>2</v>
          </cell>
          <cell r="C510">
            <v>1</v>
          </cell>
          <cell r="D510" t="str">
            <v>TREJO SALAS NICTE-JA</v>
          </cell>
          <cell r="E510">
            <v>1124.19</v>
          </cell>
          <cell r="F510">
            <v>2248.44</v>
          </cell>
          <cell r="G510">
            <v>1124.2</v>
          </cell>
          <cell r="H510">
            <v>-0.05</v>
          </cell>
          <cell r="I510">
            <v>172.27</v>
          </cell>
          <cell r="J510">
            <v>0</v>
          </cell>
          <cell r="K510">
            <v>0</v>
          </cell>
        </row>
        <row r="511">
          <cell r="A511" t="str">
            <v>2161300024</v>
          </cell>
          <cell r="B511">
            <v>2</v>
          </cell>
          <cell r="C511">
            <v>1</v>
          </cell>
          <cell r="D511" t="str">
            <v>FONSECA ROBLEDO JESSICA ANGELINA</v>
          </cell>
          <cell r="E511">
            <v>1224.1500000000001</v>
          </cell>
          <cell r="F511">
            <v>2431.34</v>
          </cell>
          <cell r="G511">
            <v>1218.6600000000001</v>
          </cell>
          <cell r="H511">
            <v>11.47</v>
          </cell>
          <cell r="I511">
            <v>163.24</v>
          </cell>
          <cell r="J511">
            <v>0</v>
          </cell>
          <cell r="K511">
            <v>0</v>
          </cell>
        </row>
        <row r="512">
          <cell r="A512" t="str">
            <v>2161300025</v>
          </cell>
          <cell r="B512">
            <v>2</v>
          </cell>
          <cell r="C512">
            <v>1</v>
          </cell>
          <cell r="D512" t="str">
            <v>MARTINEZ CORTES JULIA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147.22999999999999</v>
          </cell>
          <cell r="J512">
            <v>0</v>
          </cell>
          <cell r="K512">
            <v>0</v>
          </cell>
        </row>
        <row r="513">
          <cell r="A513" t="str">
            <v>2161300026</v>
          </cell>
          <cell r="B513">
            <v>2</v>
          </cell>
          <cell r="C513">
            <v>1</v>
          </cell>
          <cell r="D513" t="str">
            <v>CARMONA CORTES MARIA GUADALUPE</v>
          </cell>
          <cell r="E513">
            <v>1622.62</v>
          </cell>
          <cell r="F513">
            <v>3245.11</v>
          </cell>
          <cell r="G513">
            <v>1622.56</v>
          </cell>
          <cell r="H513">
            <v>7.0000000000000007E-2</v>
          </cell>
          <cell r="I513">
            <v>210.95</v>
          </cell>
          <cell r="J513">
            <v>0</v>
          </cell>
          <cell r="K513">
            <v>0</v>
          </cell>
        </row>
        <row r="514">
          <cell r="A514" t="str">
            <v>2161300027</v>
          </cell>
          <cell r="B514">
            <v>2</v>
          </cell>
          <cell r="C514">
            <v>1</v>
          </cell>
          <cell r="D514" t="str">
            <v>IBARRA TLAHUEL ARACELI</v>
          </cell>
          <cell r="E514">
            <v>797.53</v>
          </cell>
          <cell r="F514">
            <v>1595.12</v>
          </cell>
          <cell r="G514">
            <v>797.54</v>
          </cell>
          <cell r="H514">
            <v>-0.05</v>
          </cell>
          <cell r="I514">
            <v>101.33</v>
          </cell>
          <cell r="J514">
            <v>0</v>
          </cell>
          <cell r="K514">
            <v>0</v>
          </cell>
        </row>
        <row r="515">
          <cell r="A515" t="str">
            <v>2161300028</v>
          </cell>
          <cell r="B515">
            <v>2</v>
          </cell>
          <cell r="C515">
            <v>1</v>
          </cell>
          <cell r="D515" t="str">
            <v>MARTINEZ BECERRA JESSICA CELINA</v>
          </cell>
          <cell r="E515">
            <v>1241.32</v>
          </cell>
          <cell r="F515">
            <v>5265.82</v>
          </cell>
          <cell r="G515">
            <v>4024.49</v>
          </cell>
          <cell r="H515">
            <v>-0.01</v>
          </cell>
          <cell r="I515">
            <v>-1171.96</v>
          </cell>
          <cell r="J515">
            <v>0</v>
          </cell>
          <cell r="K515">
            <v>0</v>
          </cell>
        </row>
        <row r="516">
          <cell r="A516" t="str">
            <v>2161300029</v>
          </cell>
          <cell r="B516">
            <v>2</v>
          </cell>
          <cell r="C516">
            <v>1</v>
          </cell>
          <cell r="D516" t="str">
            <v>HERNANDEZ FLORES JESUS SALVADOR</v>
          </cell>
          <cell r="E516">
            <v>2972.97</v>
          </cell>
          <cell r="F516">
            <v>5856.58</v>
          </cell>
          <cell r="G516">
            <v>2928.3</v>
          </cell>
          <cell r="H516">
            <v>44.69</v>
          </cell>
          <cell r="I516">
            <v>0</v>
          </cell>
          <cell r="J516">
            <v>0</v>
          </cell>
          <cell r="K516">
            <v>0</v>
          </cell>
        </row>
        <row r="517">
          <cell r="A517" t="str">
            <v>2161300100</v>
          </cell>
          <cell r="B517">
            <v>2</v>
          </cell>
          <cell r="C517">
            <v>1</v>
          </cell>
          <cell r="D517" t="str">
            <v>Creditos infonavit 2024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2280</v>
          </cell>
          <cell r="J517">
            <v>0</v>
          </cell>
          <cell r="K517">
            <v>0</v>
          </cell>
        </row>
        <row r="518">
          <cell r="A518" t="str">
            <v>2170101001</v>
          </cell>
          <cell r="B518">
            <v>2</v>
          </cell>
          <cell r="C518">
            <v>1</v>
          </cell>
          <cell r="D518" t="str">
            <v>Tercero NI CFDI 03 transferencia</v>
          </cell>
          <cell r="E518">
            <v>936235.63</v>
          </cell>
          <cell r="F518">
            <v>42830.84</v>
          </cell>
          <cell r="G518">
            <v>121450.96</v>
          </cell>
          <cell r="H518">
            <v>1014855.75</v>
          </cell>
          <cell r="I518">
            <v>349507.81</v>
          </cell>
          <cell r="J518">
            <v>1441.87</v>
          </cell>
          <cell r="K518">
            <v>0</v>
          </cell>
        </row>
        <row r="519">
          <cell r="A519" t="str">
            <v>2170101002</v>
          </cell>
          <cell r="B519">
            <v>2</v>
          </cell>
          <cell r="C519">
            <v>1</v>
          </cell>
          <cell r="D519" t="str">
            <v>Tercero NI CFDI 04 tarjeta de credito</v>
          </cell>
          <cell r="E519">
            <v>97559.49</v>
          </cell>
          <cell r="F519">
            <v>3730.42</v>
          </cell>
          <cell r="G519">
            <v>21915.72</v>
          </cell>
          <cell r="H519">
            <v>115744.79</v>
          </cell>
          <cell r="I519">
            <v>0</v>
          </cell>
          <cell r="J519">
            <v>0</v>
          </cell>
          <cell r="K519">
            <v>3730.52</v>
          </cell>
        </row>
        <row r="520">
          <cell r="A520" t="str">
            <v>2170101003</v>
          </cell>
          <cell r="B520">
            <v>2</v>
          </cell>
          <cell r="C520">
            <v>1</v>
          </cell>
          <cell r="D520" t="str">
            <v>Tercero NI CFDI 28 tarjeta debito</v>
          </cell>
          <cell r="E520">
            <v>38041.550000000003</v>
          </cell>
          <cell r="F520">
            <v>0</v>
          </cell>
          <cell r="G520">
            <v>0</v>
          </cell>
          <cell r="H520">
            <v>38041.550000000003</v>
          </cell>
          <cell r="I520">
            <v>0</v>
          </cell>
          <cell r="J520">
            <v>0</v>
          </cell>
          <cell r="K520">
            <v>379.8</v>
          </cell>
        </row>
        <row r="521">
          <cell r="A521" t="str">
            <v>2170101004</v>
          </cell>
          <cell r="B521">
            <v>2</v>
          </cell>
          <cell r="C521">
            <v>1</v>
          </cell>
          <cell r="D521" t="str">
            <v>Tercero NI CFDI 01 Efectivo</v>
          </cell>
          <cell r="E521">
            <v>6318.18</v>
          </cell>
          <cell r="F521">
            <v>249.01</v>
          </cell>
          <cell r="G521">
            <v>870</v>
          </cell>
          <cell r="H521">
            <v>6939.17</v>
          </cell>
          <cell r="I521">
            <v>0</v>
          </cell>
          <cell r="J521">
            <v>0</v>
          </cell>
          <cell r="K521">
            <v>1178.5</v>
          </cell>
        </row>
        <row r="522">
          <cell r="A522" t="str">
            <v>2180100001</v>
          </cell>
          <cell r="B522">
            <v>2</v>
          </cell>
          <cell r="C522">
            <v>1</v>
          </cell>
          <cell r="D522" t="str">
            <v>Despensa por pagar</v>
          </cell>
          <cell r="E522">
            <v>395.29</v>
          </cell>
          <cell r="F522">
            <v>183640.42</v>
          </cell>
          <cell r="G522">
            <v>183640.42</v>
          </cell>
          <cell r="H522">
            <v>395.29</v>
          </cell>
          <cell r="I522">
            <v>136473.82</v>
          </cell>
          <cell r="J522">
            <v>23906.38</v>
          </cell>
          <cell r="K522">
            <v>23769.02</v>
          </cell>
        </row>
        <row r="523">
          <cell r="A523" t="str">
            <v>2180100002</v>
          </cell>
          <cell r="B523">
            <v>2</v>
          </cell>
          <cell r="C523">
            <v>1</v>
          </cell>
          <cell r="D523" t="str">
            <v>Neto nomina</v>
          </cell>
          <cell r="E523">
            <v>1.32</v>
          </cell>
          <cell r="F523">
            <v>0.02</v>
          </cell>
          <cell r="G523">
            <v>0.73</v>
          </cell>
          <cell r="H523">
            <v>2.0299999999999998</v>
          </cell>
          <cell r="I523">
            <v>-0.55000000000000004</v>
          </cell>
          <cell r="J523">
            <v>0</v>
          </cell>
          <cell r="K523">
            <v>0.02</v>
          </cell>
        </row>
        <row r="524">
          <cell r="A524" t="str">
            <v>2180100003</v>
          </cell>
          <cell r="B524">
            <v>2</v>
          </cell>
          <cell r="C524">
            <v>1</v>
          </cell>
          <cell r="D524" t="str">
            <v>Fondo de ahorro empleados</v>
          </cell>
          <cell r="E524">
            <v>342001.73</v>
          </cell>
          <cell r="F524">
            <v>0</v>
          </cell>
          <cell r="G524">
            <v>92575</v>
          </cell>
          <cell r="H524">
            <v>434576.73</v>
          </cell>
          <cell r="I524">
            <v>34771.980000000003</v>
          </cell>
          <cell r="J524">
            <v>0</v>
          </cell>
          <cell r="K524">
            <v>11854.02</v>
          </cell>
        </row>
        <row r="525">
          <cell r="A525" t="str">
            <v>2180100004</v>
          </cell>
          <cell r="B525">
            <v>2</v>
          </cell>
          <cell r="C525">
            <v>1</v>
          </cell>
          <cell r="D525" t="str">
            <v>Fondo de ahorro empresa</v>
          </cell>
          <cell r="E525">
            <v>345763.48</v>
          </cell>
          <cell r="F525">
            <v>0</v>
          </cell>
          <cell r="G525">
            <v>92575</v>
          </cell>
          <cell r="H525">
            <v>438338.48</v>
          </cell>
          <cell r="I525">
            <v>107867.83</v>
          </cell>
          <cell r="J525">
            <v>0</v>
          </cell>
          <cell r="K525">
            <v>11854.02</v>
          </cell>
        </row>
        <row r="526">
          <cell r="A526" t="str">
            <v>2180100005</v>
          </cell>
          <cell r="B526">
            <v>2</v>
          </cell>
          <cell r="C526">
            <v>1</v>
          </cell>
          <cell r="D526" t="str">
            <v>Difarmer (pago indebido)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164882.99</v>
          </cell>
          <cell r="J526">
            <v>164882.99</v>
          </cell>
          <cell r="K526">
            <v>0</v>
          </cell>
        </row>
        <row r="527">
          <cell r="A527" t="str">
            <v>2180100006</v>
          </cell>
          <cell r="B527">
            <v>2</v>
          </cell>
          <cell r="C527">
            <v>1</v>
          </cell>
          <cell r="D527" t="str">
            <v>Comedor Empleados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22015</v>
          </cell>
          <cell r="K527">
            <v>22015</v>
          </cell>
        </row>
        <row r="528">
          <cell r="A528" t="str">
            <v>2180101001</v>
          </cell>
          <cell r="B528">
            <v>2</v>
          </cell>
          <cell r="C528">
            <v>1</v>
          </cell>
          <cell r="D528" t="str">
            <v>Contrato 0505-001 CAMIONETA JEEP SA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65953.53</v>
          </cell>
          <cell r="J528">
            <v>65953.53</v>
          </cell>
          <cell r="K528">
            <v>0</v>
          </cell>
        </row>
        <row r="529">
          <cell r="A529" t="str">
            <v>2180102003</v>
          </cell>
          <cell r="B529">
            <v>2</v>
          </cell>
          <cell r="C529">
            <v>1</v>
          </cell>
          <cell r="D529" t="str">
            <v>Arrendamiento eq computo 6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45719.08</v>
          </cell>
          <cell r="J529">
            <v>0</v>
          </cell>
          <cell r="K529">
            <v>0</v>
          </cell>
        </row>
        <row r="530">
          <cell r="A530" t="str">
            <v>2520101001</v>
          </cell>
          <cell r="B530">
            <v>2</v>
          </cell>
          <cell r="C530">
            <v>1</v>
          </cell>
          <cell r="D530" t="str">
            <v>Credito Arrendamas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332406.37</v>
          </cell>
          <cell r="J530">
            <v>0</v>
          </cell>
          <cell r="K530">
            <v>0</v>
          </cell>
        </row>
        <row r="531">
          <cell r="A531" t="str">
            <v>2520101003</v>
          </cell>
          <cell r="B531">
            <v>2</v>
          </cell>
          <cell r="C531">
            <v>1</v>
          </cell>
          <cell r="D531" t="str">
            <v>Credito Banregio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13518.44</v>
          </cell>
          <cell r="J531">
            <v>13518.44</v>
          </cell>
          <cell r="K531">
            <v>0</v>
          </cell>
        </row>
        <row r="532">
          <cell r="A532" t="str">
            <v>2520101005</v>
          </cell>
          <cell r="B532">
            <v>2</v>
          </cell>
          <cell r="C532">
            <v>1</v>
          </cell>
          <cell r="D532" t="str">
            <v>Credito Konfio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1405246</v>
          </cell>
          <cell r="J532">
            <v>0</v>
          </cell>
          <cell r="K532">
            <v>0</v>
          </cell>
        </row>
        <row r="533">
          <cell r="A533" t="str">
            <v>2520101006</v>
          </cell>
          <cell r="B533">
            <v>2</v>
          </cell>
          <cell r="C533">
            <v>1</v>
          </cell>
          <cell r="D533" t="str">
            <v>Credito Santander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112591.86</v>
          </cell>
          <cell r="J533">
            <v>103492.83</v>
          </cell>
          <cell r="K533">
            <v>441200.49</v>
          </cell>
        </row>
        <row r="534">
          <cell r="A534" t="str">
            <v>2520101008</v>
          </cell>
          <cell r="B534">
            <v>2</v>
          </cell>
          <cell r="C534">
            <v>1</v>
          </cell>
          <cell r="D534" t="str">
            <v>Banorte credito 91775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900000</v>
          </cell>
          <cell r="J534">
            <v>50000</v>
          </cell>
          <cell r="K534">
            <v>0</v>
          </cell>
        </row>
        <row r="535">
          <cell r="A535" t="str">
            <v>2520101009</v>
          </cell>
          <cell r="B535">
            <v>2</v>
          </cell>
          <cell r="C535">
            <v>1</v>
          </cell>
          <cell r="D535" t="str">
            <v>Banorte credito 57362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2587500.11</v>
          </cell>
          <cell r="J535">
            <v>95833.33</v>
          </cell>
          <cell r="K535">
            <v>0</v>
          </cell>
        </row>
        <row r="536">
          <cell r="A536" t="str">
            <v>2520101010</v>
          </cell>
          <cell r="B536">
            <v>2</v>
          </cell>
          <cell r="C536">
            <v>1</v>
          </cell>
          <cell r="D536" t="str">
            <v>Capix MX</v>
          </cell>
          <cell r="E536">
            <v>20693920.219999999</v>
          </cell>
          <cell r="F536">
            <v>1477741</v>
          </cell>
          <cell r="G536">
            <v>2001221.16</v>
          </cell>
          <cell r="H536">
            <v>21217400.379999999</v>
          </cell>
          <cell r="I536">
            <v>0</v>
          </cell>
          <cell r="J536">
            <v>0</v>
          </cell>
          <cell r="K536">
            <v>0</v>
          </cell>
        </row>
        <row r="537">
          <cell r="A537" t="str">
            <v>2521701001</v>
          </cell>
          <cell r="B537">
            <v>2</v>
          </cell>
          <cell r="C537">
            <v>1</v>
          </cell>
          <cell r="D537" t="str">
            <v>Contrato 0505-008 JOURNEY DODGE  (DIEGO CORREA )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290294.64</v>
          </cell>
          <cell r="J537">
            <v>18305.18</v>
          </cell>
          <cell r="K537">
            <v>0</v>
          </cell>
        </row>
        <row r="538">
          <cell r="A538" t="str">
            <v>2521701002</v>
          </cell>
          <cell r="B538">
            <v>2</v>
          </cell>
          <cell r="C538">
            <v>1</v>
          </cell>
          <cell r="D538" t="str">
            <v>Contrato 0505-009 JOURNEY DODGE BLANCA  (JESUS)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273853.57</v>
          </cell>
          <cell r="J538">
            <v>16137.77</v>
          </cell>
          <cell r="K538">
            <v>0</v>
          </cell>
        </row>
        <row r="539">
          <cell r="A539" t="str">
            <v>2521701003</v>
          </cell>
          <cell r="B539">
            <v>2</v>
          </cell>
          <cell r="C539">
            <v>1</v>
          </cell>
          <cell r="D539" t="str">
            <v>Contrato 0505-010 JETTA (JORGE CORREA)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264827.71999999997</v>
          </cell>
          <cell r="J539">
            <v>14383.36</v>
          </cell>
          <cell r="K539">
            <v>0</v>
          </cell>
        </row>
        <row r="540">
          <cell r="A540" t="str">
            <v>2521702001</v>
          </cell>
          <cell r="B540">
            <v>2</v>
          </cell>
          <cell r="C540">
            <v>1</v>
          </cell>
          <cell r="D540" t="str">
            <v>A2010017 MAQUINA EMPAC PEDIMENTO 20483</v>
          </cell>
          <cell r="E540">
            <v>2757156</v>
          </cell>
          <cell r="F540">
            <v>0</v>
          </cell>
          <cell r="G540">
            <v>0</v>
          </cell>
          <cell r="H540">
            <v>2757156</v>
          </cell>
          <cell r="I540">
            <v>304130.74</v>
          </cell>
          <cell r="J540">
            <v>49065.32</v>
          </cell>
          <cell r="K540">
            <v>0</v>
          </cell>
        </row>
        <row r="541">
          <cell r="A541" t="str">
            <v>2521702002</v>
          </cell>
          <cell r="B541">
            <v>2</v>
          </cell>
          <cell r="C541">
            <v>1</v>
          </cell>
          <cell r="D541" t="str">
            <v>A2012015 Vehículo Utilitario Isuzu Elf 500H 2021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390256.87</v>
          </cell>
          <cell r="J541">
            <v>0</v>
          </cell>
          <cell r="K541">
            <v>0</v>
          </cell>
        </row>
        <row r="542">
          <cell r="A542" t="str">
            <v>2521702003</v>
          </cell>
          <cell r="B542">
            <v>2</v>
          </cell>
          <cell r="C542">
            <v>1</v>
          </cell>
          <cell r="D542" t="str">
            <v>A2012016 1 CAMIONETA NP300 NISSAN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156341.75</v>
          </cell>
          <cell r="J542">
            <v>0</v>
          </cell>
          <cell r="K542">
            <v>0</v>
          </cell>
        </row>
        <row r="543">
          <cell r="A543" t="str">
            <v>2521702004</v>
          </cell>
          <cell r="B543">
            <v>2</v>
          </cell>
          <cell r="C543">
            <v>1</v>
          </cell>
          <cell r="D543" t="str">
            <v>A2211006 MF 2 MAQUINA EMPACADORA-SELLADORA MODEL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2586260.1800000002</v>
          </cell>
          <cell r="J543">
            <v>0</v>
          </cell>
          <cell r="K543">
            <v>0</v>
          </cell>
        </row>
        <row r="544">
          <cell r="A544" t="str">
            <v>2521702005</v>
          </cell>
          <cell r="B544">
            <v>2</v>
          </cell>
          <cell r="C544">
            <v>1</v>
          </cell>
          <cell r="D544" t="str">
            <v>A2107045 1 MAQUINA MF PACKAGING 1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1432546.89</v>
          </cell>
          <cell r="J544">
            <v>0</v>
          </cell>
          <cell r="K544">
            <v>0</v>
          </cell>
        </row>
        <row r="545">
          <cell r="A545" t="str">
            <v>2521702006</v>
          </cell>
          <cell r="B545">
            <v>2</v>
          </cell>
          <cell r="C545">
            <v>1</v>
          </cell>
          <cell r="D545" t="str">
            <v>A2203002 1 MAQUINA MEZCLADORA HARVILL INTERNACIONA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1298970.6499999999</v>
          </cell>
          <cell r="J545">
            <v>0</v>
          </cell>
          <cell r="K545">
            <v>0</v>
          </cell>
        </row>
        <row r="546">
          <cell r="A546" t="str">
            <v>2521702007</v>
          </cell>
          <cell r="B546">
            <v>2</v>
          </cell>
          <cell r="C546">
            <v>1</v>
          </cell>
          <cell r="D546" t="str">
            <v>A2203032 Racks Industriales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587588.81999999995</v>
          </cell>
          <cell r="J546">
            <v>0</v>
          </cell>
          <cell r="K546">
            <v>0</v>
          </cell>
        </row>
        <row r="547">
          <cell r="A547" t="str">
            <v>2521702008</v>
          </cell>
          <cell r="B547">
            <v>2</v>
          </cell>
          <cell r="C547">
            <v>1</v>
          </cell>
          <cell r="D547" t="str">
            <v>A2211005 TABLETEADORA MANESTY MODELO EXPRESS SERIE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1165110.02</v>
          </cell>
          <cell r="J547">
            <v>0</v>
          </cell>
          <cell r="K547">
            <v>0</v>
          </cell>
        </row>
        <row r="548">
          <cell r="A548" t="str">
            <v>2521702009</v>
          </cell>
          <cell r="B548">
            <v>2</v>
          </cell>
          <cell r="C548">
            <v>1</v>
          </cell>
          <cell r="D548" t="str">
            <v>A2211004 UNIDAD MANEJADORA DE AIRE UMA-01 MODELO C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2448089.67</v>
          </cell>
          <cell r="J548">
            <v>0</v>
          </cell>
          <cell r="K548">
            <v>0</v>
          </cell>
        </row>
        <row r="549">
          <cell r="A549" t="str">
            <v>2521702010</v>
          </cell>
          <cell r="B549">
            <v>2</v>
          </cell>
          <cell r="C549">
            <v>1</v>
          </cell>
          <cell r="D549" t="str">
            <v>A2307022 INFINITI TIPOM56 MOD 2012 SERIE:JN1AY11E0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163361.04</v>
          </cell>
          <cell r="J549">
            <v>0</v>
          </cell>
          <cell r="K549">
            <v>0</v>
          </cell>
        </row>
        <row r="550">
          <cell r="A550" t="str">
            <v>2521702011</v>
          </cell>
          <cell r="B550">
            <v>2</v>
          </cell>
          <cell r="C550">
            <v>1</v>
          </cell>
          <cell r="D550" t="str">
            <v>A2307021 INFINITI QX80 MOD 2015 SERIE:JN1AZ28C2F90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306378.68</v>
          </cell>
          <cell r="J550">
            <v>0</v>
          </cell>
          <cell r="K550">
            <v>0</v>
          </cell>
        </row>
        <row r="551">
          <cell r="A551" t="str">
            <v>2521702012</v>
          </cell>
          <cell r="B551">
            <v>2</v>
          </cell>
          <cell r="C551">
            <v>1</v>
          </cell>
          <cell r="D551" t="str">
            <v>A2307020 VOLKSWAGEN JETTA TREND LINE 1.4 MOD 2019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180821.58</v>
          </cell>
          <cell r="J551">
            <v>0</v>
          </cell>
          <cell r="K551">
            <v>0</v>
          </cell>
        </row>
        <row r="552">
          <cell r="A552" t="str">
            <v>2521702013</v>
          </cell>
          <cell r="B552">
            <v>2</v>
          </cell>
          <cell r="C552">
            <v>1</v>
          </cell>
          <cell r="D552" t="str">
            <v>A2307018 NISSAN VERSA ADVANCE CVT 20 MOD 2020 SERI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158073.01999999999</v>
          </cell>
          <cell r="J552">
            <v>0</v>
          </cell>
          <cell r="K552">
            <v>0</v>
          </cell>
        </row>
        <row r="553">
          <cell r="A553" t="str">
            <v>2521702014</v>
          </cell>
          <cell r="B553">
            <v>2</v>
          </cell>
          <cell r="C553">
            <v>1</v>
          </cell>
          <cell r="D553" t="str">
            <v>A2307019 NISSAN VERSA SENSE CVT 20 MOD 2020 SERIE: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145684.48000000001</v>
          </cell>
          <cell r="J553">
            <v>0</v>
          </cell>
          <cell r="K553">
            <v>0</v>
          </cell>
        </row>
        <row r="554">
          <cell r="A554" t="str">
            <v>2521702015</v>
          </cell>
          <cell r="B554">
            <v>2</v>
          </cell>
          <cell r="C554">
            <v>1</v>
          </cell>
          <cell r="D554" t="str">
            <v>A2307017 MAQUINA ELECTRONIC COUNTINGMACHINE MOD CP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688725.72</v>
          </cell>
          <cell r="J554">
            <v>0</v>
          </cell>
          <cell r="K554">
            <v>0</v>
          </cell>
        </row>
        <row r="555">
          <cell r="A555" t="str">
            <v>2521702016</v>
          </cell>
          <cell r="B555">
            <v>2</v>
          </cell>
          <cell r="C555">
            <v>1</v>
          </cell>
          <cell r="D555" t="str">
            <v>A2211015 MAQUINA EMPAC PEDIMENTO 224834702001382 S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1101137.3999999999</v>
          </cell>
          <cell r="J555">
            <v>0</v>
          </cell>
          <cell r="K555">
            <v>0</v>
          </cell>
        </row>
        <row r="556">
          <cell r="A556" t="str">
            <v>2521704001</v>
          </cell>
          <cell r="B556">
            <v>2</v>
          </cell>
          <cell r="C556">
            <v>1</v>
          </cell>
          <cell r="D556" t="str">
            <v>AO2208001 TORNADO VAN B 2023 (MARIO CHOFER)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226434.46</v>
          </cell>
          <cell r="J556">
            <v>0</v>
          </cell>
          <cell r="K556">
            <v>0</v>
          </cell>
        </row>
        <row r="557">
          <cell r="A557" t="str">
            <v>3010100001</v>
          </cell>
          <cell r="B557">
            <v>2</v>
          </cell>
          <cell r="C557">
            <v>1</v>
          </cell>
          <cell r="D557" t="str">
            <v>Luis Fernando Correa Miramontes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20000</v>
          </cell>
          <cell r="J557">
            <v>0</v>
          </cell>
          <cell r="K557">
            <v>0</v>
          </cell>
        </row>
        <row r="558">
          <cell r="A558" t="str">
            <v>3010100002</v>
          </cell>
          <cell r="B558">
            <v>2</v>
          </cell>
          <cell r="C558">
            <v>1</v>
          </cell>
          <cell r="D558" t="str">
            <v>Jorge Axel Correa Miramontes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15000</v>
          </cell>
          <cell r="J558">
            <v>0</v>
          </cell>
          <cell r="K558">
            <v>0</v>
          </cell>
        </row>
        <row r="559">
          <cell r="A559" t="str">
            <v>3010100003</v>
          </cell>
          <cell r="B559">
            <v>2</v>
          </cell>
          <cell r="C559">
            <v>1</v>
          </cell>
          <cell r="D559" t="str">
            <v>Diego Alejandro Correa Miramontes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15000</v>
          </cell>
          <cell r="J559">
            <v>0</v>
          </cell>
          <cell r="K559">
            <v>0</v>
          </cell>
        </row>
        <row r="560">
          <cell r="A560" t="str">
            <v>3010100004</v>
          </cell>
          <cell r="B560">
            <v>2</v>
          </cell>
          <cell r="C560">
            <v>1</v>
          </cell>
          <cell r="D560" t="str">
            <v>Ana Luisa Miramontes Zepeda</v>
          </cell>
          <cell r="E560">
            <v>50000</v>
          </cell>
          <cell r="F560">
            <v>0</v>
          </cell>
          <cell r="G560">
            <v>0</v>
          </cell>
          <cell r="H560">
            <v>50000</v>
          </cell>
          <cell r="I560">
            <v>0</v>
          </cell>
          <cell r="J560">
            <v>0</v>
          </cell>
          <cell r="K560">
            <v>0</v>
          </cell>
        </row>
        <row r="561">
          <cell r="A561" t="str">
            <v>3010100005</v>
          </cell>
          <cell r="B561">
            <v>2</v>
          </cell>
          <cell r="C561">
            <v>1</v>
          </cell>
          <cell r="D561" t="str">
            <v>Nuvari SA de CV</v>
          </cell>
          <cell r="E561">
            <v>50000000</v>
          </cell>
          <cell r="F561">
            <v>0</v>
          </cell>
          <cell r="G561">
            <v>0</v>
          </cell>
          <cell r="H561">
            <v>50000000</v>
          </cell>
          <cell r="I561">
            <v>0</v>
          </cell>
          <cell r="J561">
            <v>0</v>
          </cell>
          <cell r="K561">
            <v>0</v>
          </cell>
        </row>
        <row r="562">
          <cell r="A562" t="str">
            <v>3010200001</v>
          </cell>
          <cell r="B562">
            <v>2</v>
          </cell>
          <cell r="C562">
            <v>1</v>
          </cell>
          <cell r="D562" t="str">
            <v>Luis Fernando Correa Miramontes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3916913.99</v>
          </cell>
          <cell r="J562">
            <v>0</v>
          </cell>
          <cell r="K562">
            <v>0</v>
          </cell>
        </row>
        <row r="563">
          <cell r="A563" t="str">
            <v>3010200002</v>
          </cell>
          <cell r="B563">
            <v>2</v>
          </cell>
          <cell r="C563">
            <v>1</v>
          </cell>
          <cell r="D563" t="str">
            <v>Jorge Axel Correa Miramontes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2320040.73</v>
          </cell>
          <cell r="J563">
            <v>0</v>
          </cell>
          <cell r="K563">
            <v>0</v>
          </cell>
        </row>
        <row r="564">
          <cell r="A564" t="str">
            <v>3010200003</v>
          </cell>
          <cell r="B564">
            <v>2</v>
          </cell>
          <cell r="C564">
            <v>1</v>
          </cell>
          <cell r="D564" t="str">
            <v>Diego Alejandro Correa Miramontes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2320040.2799999998</v>
          </cell>
          <cell r="J564">
            <v>0</v>
          </cell>
          <cell r="K564">
            <v>0</v>
          </cell>
        </row>
        <row r="565">
          <cell r="A565" t="str">
            <v>3010300000</v>
          </cell>
          <cell r="B565">
            <v>2</v>
          </cell>
          <cell r="C565">
            <v>1</v>
          </cell>
          <cell r="D565" t="str">
            <v>Aportaciones p fut aumentos de capital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15000000</v>
          </cell>
          <cell r="J565">
            <v>0</v>
          </cell>
          <cell r="K565">
            <v>0</v>
          </cell>
        </row>
        <row r="566">
          <cell r="A566" t="str">
            <v>3040201000</v>
          </cell>
          <cell r="B566">
            <v>2</v>
          </cell>
          <cell r="C566">
            <v>1</v>
          </cell>
          <cell r="D566" t="str">
            <v>Perdida de ejercicios anteriores</v>
          </cell>
          <cell r="E566">
            <v>116185</v>
          </cell>
          <cell r="F566">
            <v>0</v>
          </cell>
          <cell r="G566">
            <v>0</v>
          </cell>
          <cell r="H566">
            <v>116185</v>
          </cell>
          <cell r="I566">
            <v>33921111.07</v>
          </cell>
          <cell r="J566">
            <v>0</v>
          </cell>
          <cell r="K566">
            <v>0</v>
          </cell>
        </row>
        <row r="567">
          <cell r="A567" t="str">
            <v>3040202000</v>
          </cell>
          <cell r="B567">
            <v>2</v>
          </cell>
          <cell r="C567">
            <v>1</v>
          </cell>
          <cell r="D567" t="str">
            <v>Perdida del ejercicio 2024</v>
          </cell>
          <cell r="E567">
            <v>846496.88</v>
          </cell>
          <cell r="F567">
            <v>0</v>
          </cell>
          <cell r="G567">
            <v>0</v>
          </cell>
          <cell r="H567">
            <v>846496.88</v>
          </cell>
          <cell r="I567">
            <v>242706</v>
          </cell>
          <cell r="J567">
            <v>0</v>
          </cell>
          <cell r="K567">
            <v>0</v>
          </cell>
        </row>
        <row r="568">
          <cell r="A568" t="str">
            <v>4010101000</v>
          </cell>
          <cell r="B568">
            <v>1</v>
          </cell>
          <cell r="C568">
            <v>1</v>
          </cell>
          <cell r="D568" t="str">
            <v>Maquila</v>
          </cell>
          <cell r="E568">
            <v>16875301.5</v>
          </cell>
          <cell r="F568">
            <v>0</v>
          </cell>
          <cell r="G568">
            <v>7004416.7599999998</v>
          </cell>
          <cell r="H568">
            <v>23879718.260000002</v>
          </cell>
          <cell r="I568">
            <v>37686962.100000001</v>
          </cell>
          <cell r="J568">
            <v>0</v>
          </cell>
          <cell r="K568">
            <v>3204132.94</v>
          </cell>
        </row>
        <row r="569">
          <cell r="A569" t="str">
            <v>4010102000</v>
          </cell>
          <cell r="B569">
            <v>1</v>
          </cell>
          <cell r="C569">
            <v>1</v>
          </cell>
          <cell r="D569" t="str">
            <v>Marca Propia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562189.99</v>
          </cell>
          <cell r="J569">
            <v>0</v>
          </cell>
          <cell r="K569">
            <v>852760.66</v>
          </cell>
        </row>
        <row r="570">
          <cell r="A570" t="str">
            <v>4010103001</v>
          </cell>
          <cell r="B570">
            <v>1</v>
          </cell>
          <cell r="C570">
            <v>1</v>
          </cell>
          <cell r="D570" t="str">
            <v>Biomiral Distribuidores</v>
          </cell>
          <cell r="E570">
            <v>18269290.09</v>
          </cell>
          <cell r="F570">
            <v>1720590.9</v>
          </cell>
          <cell r="G570">
            <v>5544196.9000000004</v>
          </cell>
          <cell r="H570">
            <v>22092896.09</v>
          </cell>
          <cell r="I570">
            <v>9274298.5</v>
          </cell>
          <cell r="J570">
            <v>48922.57</v>
          </cell>
          <cell r="K570">
            <v>2199115.7400000002</v>
          </cell>
        </row>
        <row r="571">
          <cell r="A571" t="str">
            <v>4010103002</v>
          </cell>
          <cell r="B571">
            <v>1</v>
          </cell>
          <cell r="C571">
            <v>1</v>
          </cell>
          <cell r="D571" t="str">
            <v>Biomiral Retail</v>
          </cell>
          <cell r="E571">
            <v>703084.1</v>
          </cell>
          <cell r="F571">
            <v>0</v>
          </cell>
          <cell r="G571">
            <v>693585.1</v>
          </cell>
          <cell r="H571">
            <v>1396669.2</v>
          </cell>
          <cell r="I571">
            <v>2367168.6</v>
          </cell>
          <cell r="J571">
            <v>0</v>
          </cell>
          <cell r="K571">
            <v>85581.41</v>
          </cell>
        </row>
        <row r="572">
          <cell r="A572" t="str">
            <v>4020100001</v>
          </cell>
          <cell r="B572">
            <v>1</v>
          </cell>
          <cell r="C572">
            <v>1</v>
          </cell>
          <cell r="D572" t="str">
            <v>Devoluciones s/venta</v>
          </cell>
          <cell r="E572">
            <v>36074.68</v>
          </cell>
          <cell r="F572">
            <v>3299.94</v>
          </cell>
          <cell r="G572">
            <v>0</v>
          </cell>
          <cell r="H572">
            <v>39374.620000000003</v>
          </cell>
          <cell r="I572">
            <v>961731.5</v>
          </cell>
          <cell r="J572">
            <v>179603.81</v>
          </cell>
          <cell r="K572">
            <v>0</v>
          </cell>
        </row>
        <row r="573">
          <cell r="A573" t="str">
            <v>4020100002</v>
          </cell>
          <cell r="B573">
            <v>1</v>
          </cell>
          <cell r="C573">
            <v>1</v>
          </cell>
          <cell r="D573" t="str">
            <v>Descuento por MKT</v>
          </cell>
          <cell r="E573">
            <v>674065.61</v>
          </cell>
          <cell r="F573">
            <v>35000</v>
          </cell>
          <cell r="G573">
            <v>0</v>
          </cell>
          <cell r="H573">
            <v>709065.61</v>
          </cell>
          <cell r="I573">
            <v>1114071.81</v>
          </cell>
          <cell r="J573">
            <v>189880.99</v>
          </cell>
          <cell r="K573">
            <v>0</v>
          </cell>
        </row>
        <row r="574">
          <cell r="A574" t="str">
            <v>4020100003</v>
          </cell>
          <cell r="B574">
            <v>1</v>
          </cell>
          <cell r="C574">
            <v>1</v>
          </cell>
          <cell r="D574" t="str">
            <v>Descuento relacion comercial</v>
          </cell>
          <cell r="E574">
            <v>118686.58</v>
          </cell>
          <cell r="F574">
            <v>115841.5</v>
          </cell>
          <cell r="G574">
            <v>3099.18</v>
          </cell>
          <cell r="H574">
            <v>231428.9</v>
          </cell>
          <cell r="I574">
            <v>1191909.45</v>
          </cell>
          <cell r="J574">
            <v>305533.81</v>
          </cell>
          <cell r="K574">
            <v>25187.68</v>
          </cell>
        </row>
        <row r="575">
          <cell r="A575" t="str">
            <v>4020100004</v>
          </cell>
          <cell r="B575">
            <v>1</v>
          </cell>
          <cell r="C575">
            <v>1</v>
          </cell>
          <cell r="D575" t="str">
            <v>Descuento por piezas faltantes</v>
          </cell>
          <cell r="E575">
            <v>5415.54</v>
          </cell>
          <cell r="F575">
            <v>0</v>
          </cell>
          <cell r="G575">
            <v>0</v>
          </cell>
          <cell r="H575">
            <v>5415.54</v>
          </cell>
          <cell r="I575">
            <v>51864.12</v>
          </cell>
          <cell r="J575">
            <v>218.96</v>
          </cell>
          <cell r="K575">
            <v>0</v>
          </cell>
        </row>
        <row r="576">
          <cell r="A576" t="str">
            <v>4020100005</v>
          </cell>
          <cell r="B576">
            <v>1</v>
          </cell>
          <cell r="C576">
            <v>1</v>
          </cell>
          <cell r="D576" t="str">
            <v>Descuento por piezas dañadas</v>
          </cell>
          <cell r="E576">
            <v>1206.04</v>
          </cell>
          <cell r="F576">
            <v>107708.11</v>
          </cell>
          <cell r="G576">
            <v>0</v>
          </cell>
          <cell r="H576">
            <v>108914.15</v>
          </cell>
          <cell r="I576">
            <v>260802.49</v>
          </cell>
          <cell r="J576">
            <v>9518.16</v>
          </cell>
          <cell r="K576">
            <v>0</v>
          </cell>
        </row>
        <row r="577">
          <cell r="A577" t="str">
            <v>4020100006</v>
          </cell>
          <cell r="B577">
            <v>1</v>
          </cell>
          <cell r="C577">
            <v>1</v>
          </cell>
          <cell r="D577" t="str">
            <v>Descuento por pago anticipado</v>
          </cell>
          <cell r="E577">
            <v>4396.55</v>
          </cell>
          <cell r="F577">
            <v>765.52</v>
          </cell>
          <cell r="G577">
            <v>0</v>
          </cell>
          <cell r="H577">
            <v>5162.07</v>
          </cell>
          <cell r="I577">
            <v>113928.55</v>
          </cell>
          <cell r="J577">
            <v>29153.48</v>
          </cell>
          <cell r="K577">
            <v>0</v>
          </cell>
        </row>
        <row r="578">
          <cell r="A578" t="str">
            <v>4020100007</v>
          </cell>
          <cell r="B578">
            <v>1</v>
          </cell>
          <cell r="C578">
            <v>1</v>
          </cell>
          <cell r="D578" t="str">
            <v>Descuento por error en precio</v>
          </cell>
          <cell r="E578">
            <v>8641.0499999999993</v>
          </cell>
          <cell r="F578">
            <v>0</v>
          </cell>
          <cell r="G578">
            <v>0</v>
          </cell>
          <cell r="H578">
            <v>8641.0499999999993</v>
          </cell>
          <cell r="I578">
            <v>10693.41</v>
          </cell>
          <cell r="J578">
            <v>0</v>
          </cell>
          <cell r="K578">
            <v>0</v>
          </cell>
        </row>
        <row r="579">
          <cell r="A579" t="str">
            <v>4020100008</v>
          </cell>
          <cell r="B579">
            <v>1</v>
          </cell>
          <cell r="C579">
            <v>1</v>
          </cell>
          <cell r="D579" t="str">
            <v>Descuento por penalizacion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173857.78</v>
          </cell>
          <cell r="J579">
            <v>12182.4</v>
          </cell>
          <cell r="K579">
            <v>0</v>
          </cell>
        </row>
        <row r="580">
          <cell r="A580" t="str">
            <v>4020100009</v>
          </cell>
          <cell r="B580">
            <v>1</v>
          </cell>
          <cell r="C580">
            <v>1</v>
          </cell>
          <cell r="D580" t="str">
            <v>Descuento por caducidad del producto</v>
          </cell>
          <cell r="E580">
            <v>659.47</v>
          </cell>
          <cell r="F580">
            <v>0</v>
          </cell>
          <cell r="G580">
            <v>0</v>
          </cell>
          <cell r="H580">
            <v>659.47</v>
          </cell>
          <cell r="I580">
            <v>9757.91</v>
          </cell>
          <cell r="J580">
            <v>3024.82</v>
          </cell>
          <cell r="K580">
            <v>0</v>
          </cell>
        </row>
        <row r="581">
          <cell r="A581" t="str">
            <v>4030102000</v>
          </cell>
          <cell r="B581">
            <v>2</v>
          </cell>
          <cell r="C581">
            <v>1</v>
          </cell>
          <cell r="D581" t="str">
            <v>Otros ingresos varios</v>
          </cell>
          <cell r="E581">
            <v>11421.01</v>
          </cell>
          <cell r="F581">
            <v>0</v>
          </cell>
          <cell r="G581">
            <v>39966</v>
          </cell>
          <cell r="H581">
            <v>51387.01</v>
          </cell>
          <cell r="I581">
            <v>160631</v>
          </cell>
          <cell r="J581">
            <v>0</v>
          </cell>
          <cell r="K581">
            <v>0</v>
          </cell>
        </row>
        <row r="582">
          <cell r="A582" t="str">
            <v>4030500000</v>
          </cell>
          <cell r="B582">
            <v>2</v>
          </cell>
          <cell r="C582">
            <v>1</v>
          </cell>
          <cell r="D582" t="str">
            <v>Ingresos por condonación de adeudo</v>
          </cell>
          <cell r="E582">
            <v>48.13</v>
          </cell>
          <cell r="F582">
            <v>0</v>
          </cell>
          <cell r="G582">
            <v>0</v>
          </cell>
          <cell r="H582">
            <v>48.13</v>
          </cell>
          <cell r="I582">
            <v>275613.92</v>
          </cell>
          <cell r="J582">
            <v>0</v>
          </cell>
          <cell r="K582">
            <v>0</v>
          </cell>
        </row>
        <row r="583">
          <cell r="A583" t="str">
            <v>5010101000</v>
          </cell>
          <cell r="B583">
            <v>1</v>
          </cell>
          <cell r="C583">
            <v>1</v>
          </cell>
          <cell r="D583" t="str">
            <v>Materia Prima</v>
          </cell>
          <cell r="E583">
            <v>12673912.539999999</v>
          </cell>
          <cell r="F583">
            <v>6424846.4800000004</v>
          </cell>
          <cell r="G583">
            <v>1353299.61</v>
          </cell>
          <cell r="H583">
            <v>17745459.41</v>
          </cell>
          <cell r="I583">
            <v>20754768.780000001</v>
          </cell>
          <cell r="J583">
            <v>2104202.5699999998</v>
          </cell>
          <cell r="K583">
            <v>39204.26</v>
          </cell>
        </row>
        <row r="584">
          <cell r="A584" t="str">
            <v>5010401000</v>
          </cell>
          <cell r="B584">
            <v>2</v>
          </cell>
          <cell r="C584">
            <v>1</v>
          </cell>
          <cell r="D584" t="str">
            <v>Sueldos y Salarios Produccion</v>
          </cell>
          <cell r="E584">
            <v>2356700.56</v>
          </cell>
          <cell r="F584">
            <v>616647.65</v>
          </cell>
          <cell r="G584">
            <v>0</v>
          </cell>
          <cell r="H584">
            <v>2973348.21</v>
          </cell>
          <cell r="I584">
            <v>2666201.7400000002</v>
          </cell>
          <cell r="J584">
            <v>180798.74</v>
          </cell>
          <cell r="K584">
            <v>0</v>
          </cell>
        </row>
        <row r="585">
          <cell r="A585" t="str">
            <v>5010403000</v>
          </cell>
          <cell r="B585">
            <v>2</v>
          </cell>
          <cell r="C585">
            <v>1</v>
          </cell>
          <cell r="D585" t="str">
            <v>Tiempos extras Produccion</v>
          </cell>
          <cell r="E585">
            <v>23248.560000000001</v>
          </cell>
          <cell r="F585">
            <v>23047.13</v>
          </cell>
          <cell r="G585">
            <v>0</v>
          </cell>
          <cell r="H585">
            <v>46295.69</v>
          </cell>
          <cell r="I585">
            <v>60333.39</v>
          </cell>
          <cell r="J585">
            <v>386.02</v>
          </cell>
          <cell r="K585">
            <v>0</v>
          </cell>
        </row>
        <row r="586">
          <cell r="A586" t="str">
            <v>5010404000</v>
          </cell>
          <cell r="B586">
            <v>2</v>
          </cell>
          <cell r="C586">
            <v>1</v>
          </cell>
          <cell r="D586" t="str">
            <v>Premios de asistencia Produccion</v>
          </cell>
          <cell r="E586">
            <v>291864.27</v>
          </cell>
          <cell r="F586">
            <v>73705.210000000006</v>
          </cell>
          <cell r="G586">
            <v>0</v>
          </cell>
          <cell r="H586">
            <v>365569.48</v>
          </cell>
          <cell r="I586">
            <v>299158.67</v>
          </cell>
          <cell r="J586">
            <v>21411.22</v>
          </cell>
          <cell r="K586">
            <v>0</v>
          </cell>
        </row>
        <row r="587">
          <cell r="A587" t="str">
            <v>5010405000</v>
          </cell>
          <cell r="B587">
            <v>2</v>
          </cell>
          <cell r="C587">
            <v>1</v>
          </cell>
          <cell r="D587" t="str">
            <v>Premios de puntualidad Produccion</v>
          </cell>
          <cell r="E587">
            <v>291864.3</v>
          </cell>
          <cell r="F587">
            <v>73705.210000000006</v>
          </cell>
          <cell r="G587">
            <v>0</v>
          </cell>
          <cell r="H587">
            <v>365569.51</v>
          </cell>
          <cell r="I587">
            <v>299158.67</v>
          </cell>
          <cell r="J587">
            <v>21411.22</v>
          </cell>
          <cell r="K587">
            <v>0</v>
          </cell>
        </row>
        <row r="588">
          <cell r="A588" t="str">
            <v>5010406000</v>
          </cell>
          <cell r="B588">
            <v>2</v>
          </cell>
          <cell r="C588">
            <v>1</v>
          </cell>
          <cell r="D588" t="str">
            <v>Vacaciones Produccion</v>
          </cell>
          <cell r="E588">
            <v>165050.35</v>
          </cell>
          <cell r="F588">
            <v>25220.7</v>
          </cell>
          <cell r="G588">
            <v>0</v>
          </cell>
          <cell r="H588">
            <v>190271.05</v>
          </cell>
          <cell r="I588">
            <v>130666.2</v>
          </cell>
          <cell r="J588">
            <v>3936.68</v>
          </cell>
          <cell r="K588">
            <v>0</v>
          </cell>
        </row>
        <row r="589">
          <cell r="A589" t="str">
            <v>5010407000</v>
          </cell>
          <cell r="B589">
            <v>2</v>
          </cell>
          <cell r="C589">
            <v>1</v>
          </cell>
          <cell r="D589" t="str">
            <v>Prima vacacional Produccion</v>
          </cell>
          <cell r="E589">
            <v>20344.849999999999</v>
          </cell>
          <cell r="F589">
            <v>9333.83</v>
          </cell>
          <cell r="G589">
            <v>0</v>
          </cell>
          <cell r="H589">
            <v>29678.68</v>
          </cell>
          <cell r="I589">
            <v>43295.23</v>
          </cell>
          <cell r="J589">
            <v>3228.74</v>
          </cell>
          <cell r="K589">
            <v>0</v>
          </cell>
        </row>
        <row r="590">
          <cell r="A590" t="str">
            <v>5010408000</v>
          </cell>
          <cell r="B590">
            <v>2</v>
          </cell>
          <cell r="C590">
            <v>1</v>
          </cell>
          <cell r="D590" t="str">
            <v>Prima dominical Produccion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144.4</v>
          </cell>
          <cell r="J590">
            <v>0</v>
          </cell>
          <cell r="K590">
            <v>0</v>
          </cell>
        </row>
        <row r="591">
          <cell r="A591" t="str">
            <v>5010409000</v>
          </cell>
          <cell r="B591">
            <v>2</v>
          </cell>
          <cell r="C591">
            <v>1</v>
          </cell>
          <cell r="D591" t="str">
            <v>Días festivos Produccion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1155.2</v>
          </cell>
          <cell r="J591">
            <v>0</v>
          </cell>
          <cell r="K591">
            <v>0</v>
          </cell>
        </row>
        <row r="592">
          <cell r="A592" t="str">
            <v>5010410000</v>
          </cell>
          <cell r="B592">
            <v>2</v>
          </cell>
          <cell r="C592">
            <v>1</v>
          </cell>
          <cell r="D592" t="str">
            <v>Gratificaciones Produccion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126580.76</v>
          </cell>
          <cell r="J592">
            <v>0</v>
          </cell>
          <cell r="K592">
            <v>0</v>
          </cell>
        </row>
        <row r="593">
          <cell r="A593" t="str">
            <v>5010411000</v>
          </cell>
          <cell r="B593">
            <v>2</v>
          </cell>
          <cell r="C593">
            <v>1</v>
          </cell>
          <cell r="D593" t="str">
            <v>Primas de antigüedad Produccion</v>
          </cell>
          <cell r="E593">
            <v>0</v>
          </cell>
          <cell r="F593">
            <v>5789</v>
          </cell>
          <cell r="G593">
            <v>0</v>
          </cell>
          <cell r="H593">
            <v>5789</v>
          </cell>
          <cell r="I593">
            <v>0</v>
          </cell>
          <cell r="J593">
            <v>0</v>
          </cell>
          <cell r="K593">
            <v>0</v>
          </cell>
        </row>
        <row r="594">
          <cell r="A594" t="str">
            <v>5010412000</v>
          </cell>
          <cell r="B594">
            <v>2</v>
          </cell>
          <cell r="C594">
            <v>1</v>
          </cell>
          <cell r="D594" t="str">
            <v>Aguinaldo Produccion</v>
          </cell>
          <cell r="E594">
            <v>283665.53999999998</v>
          </cell>
          <cell r="F594">
            <v>32862.449999999997</v>
          </cell>
          <cell r="G594">
            <v>0</v>
          </cell>
          <cell r="H594">
            <v>316527.99</v>
          </cell>
          <cell r="I594">
            <v>56005.919999999998</v>
          </cell>
          <cell r="J594">
            <v>9563.16</v>
          </cell>
          <cell r="K594">
            <v>0</v>
          </cell>
        </row>
        <row r="595">
          <cell r="A595" t="str">
            <v>5010415000</v>
          </cell>
          <cell r="B595">
            <v>2</v>
          </cell>
          <cell r="C595">
            <v>1</v>
          </cell>
          <cell r="D595" t="str">
            <v>Despensa Produccion</v>
          </cell>
          <cell r="E595">
            <v>292143.5</v>
          </cell>
          <cell r="F595">
            <v>73352.03</v>
          </cell>
          <cell r="G595">
            <v>0</v>
          </cell>
          <cell r="H595">
            <v>365495.53</v>
          </cell>
          <cell r="I595">
            <v>299348.38</v>
          </cell>
          <cell r="J595">
            <v>21411.22</v>
          </cell>
          <cell r="K595">
            <v>0</v>
          </cell>
        </row>
        <row r="596">
          <cell r="A596" t="str">
            <v>5010416000</v>
          </cell>
          <cell r="B596">
            <v>2</v>
          </cell>
          <cell r="C596">
            <v>1</v>
          </cell>
          <cell r="D596" t="str">
            <v>Transporte Produccion</v>
          </cell>
          <cell r="E596">
            <v>0</v>
          </cell>
          <cell r="F596">
            <v>3400</v>
          </cell>
          <cell r="G596">
            <v>0</v>
          </cell>
          <cell r="H596">
            <v>3400</v>
          </cell>
          <cell r="I596">
            <v>0.56999999999999995</v>
          </cell>
          <cell r="J596">
            <v>0</v>
          </cell>
          <cell r="K596">
            <v>0</v>
          </cell>
        </row>
        <row r="597">
          <cell r="A597" t="str">
            <v>5010419000</v>
          </cell>
          <cell r="B597">
            <v>2</v>
          </cell>
          <cell r="C597">
            <v>1</v>
          </cell>
          <cell r="D597" t="str">
            <v>Fondo de ahorro Produccion</v>
          </cell>
          <cell r="E597">
            <v>145586.13</v>
          </cell>
          <cell r="F597">
            <v>36452.35</v>
          </cell>
          <cell r="G597">
            <v>0</v>
          </cell>
          <cell r="H597">
            <v>182038.48</v>
          </cell>
          <cell r="I597">
            <v>109678.34</v>
          </cell>
          <cell r="J597">
            <v>10675.14</v>
          </cell>
          <cell r="K597">
            <v>0</v>
          </cell>
        </row>
        <row r="598">
          <cell r="A598" t="str">
            <v>5010421000</v>
          </cell>
          <cell r="B598">
            <v>2</v>
          </cell>
          <cell r="C598">
            <v>1</v>
          </cell>
          <cell r="D598" t="str">
            <v>PTU Produccion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16493</v>
          </cell>
          <cell r="K598">
            <v>0</v>
          </cell>
        </row>
        <row r="599">
          <cell r="A599" t="str">
            <v>5010424000</v>
          </cell>
          <cell r="B599">
            <v>2</v>
          </cell>
          <cell r="C599">
            <v>1</v>
          </cell>
          <cell r="D599" t="str">
            <v>Septimo día Produccion</v>
          </cell>
          <cell r="E599">
            <v>416864.95</v>
          </cell>
          <cell r="F599">
            <v>105159.83</v>
          </cell>
          <cell r="G599">
            <v>0</v>
          </cell>
          <cell r="H599">
            <v>522024.78</v>
          </cell>
          <cell r="I599">
            <v>222208.35</v>
          </cell>
          <cell r="J599">
            <v>30602.11</v>
          </cell>
          <cell r="K599">
            <v>0</v>
          </cell>
        </row>
        <row r="600">
          <cell r="A600" t="str">
            <v>5010425000</v>
          </cell>
          <cell r="B600">
            <v>2</v>
          </cell>
          <cell r="C600">
            <v>1</v>
          </cell>
          <cell r="D600" t="str">
            <v>Bono cumpleaños Produccion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5500</v>
          </cell>
          <cell r="J600">
            <v>0</v>
          </cell>
          <cell r="K600">
            <v>0</v>
          </cell>
        </row>
        <row r="601">
          <cell r="A601" t="str">
            <v>5010426000</v>
          </cell>
          <cell r="B601">
            <v>2</v>
          </cell>
          <cell r="C601">
            <v>1</v>
          </cell>
          <cell r="D601" t="str">
            <v>Bono de productividad Produccion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72507.570000000007</v>
          </cell>
          <cell r="J601">
            <v>0</v>
          </cell>
          <cell r="K601">
            <v>0</v>
          </cell>
        </row>
        <row r="602">
          <cell r="A602" t="str">
            <v>5010427000</v>
          </cell>
          <cell r="B602">
            <v>2</v>
          </cell>
          <cell r="C602">
            <v>1</v>
          </cell>
          <cell r="D602" t="str">
            <v>Bono E Produccion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41483.22</v>
          </cell>
          <cell r="J602">
            <v>0</v>
          </cell>
          <cell r="K602">
            <v>0</v>
          </cell>
        </row>
        <row r="603">
          <cell r="A603" t="str">
            <v>5010428000</v>
          </cell>
          <cell r="B603">
            <v>2</v>
          </cell>
          <cell r="C603">
            <v>1</v>
          </cell>
          <cell r="D603" t="str">
            <v>Vales de gasolina Produccion</v>
          </cell>
          <cell r="E603">
            <v>8685.7000000000007</v>
          </cell>
          <cell r="F603">
            <v>1737.14</v>
          </cell>
          <cell r="G603">
            <v>0</v>
          </cell>
          <cell r="H603">
            <v>10422.84</v>
          </cell>
          <cell r="I603">
            <v>90.95</v>
          </cell>
          <cell r="J603">
            <v>0</v>
          </cell>
          <cell r="K603">
            <v>0</v>
          </cell>
        </row>
        <row r="604">
          <cell r="A604" t="str">
            <v>5010429000</v>
          </cell>
          <cell r="B604">
            <v>2</v>
          </cell>
          <cell r="C604">
            <v>1</v>
          </cell>
          <cell r="D604" t="str">
            <v>Tarjeta azul Produccion</v>
          </cell>
          <cell r="E604">
            <v>263243.09000000003</v>
          </cell>
          <cell r="F604">
            <v>78523.100000000006</v>
          </cell>
          <cell r="G604">
            <v>0</v>
          </cell>
          <cell r="H604">
            <v>341766.19</v>
          </cell>
          <cell r="I604">
            <v>307563.21000000002</v>
          </cell>
          <cell r="J604">
            <v>51867</v>
          </cell>
          <cell r="K604">
            <v>0</v>
          </cell>
        </row>
        <row r="605">
          <cell r="A605" t="str">
            <v>5010430000</v>
          </cell>
          <cell r="B605">
            <v>2</v>
          </cell>
          <cell r="C605">
            <v>1</v>
          </cell>
          <cell r="D605" t="str">
            <v>Otras prestaciones Produccion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264545</v>
          </cell>
          <cell r="J605">
            <v>0</v>
          </cell>
          <cell r="K605">
            <v>0</v>
          </cell>
        </row>
        <row r="606">
          <cell r="A606" t="str">
            <v>5010432000</v>
          </cell>
          <cell r="B606">
            <v>2</v>
          </cell>
          <cell r="C606">
            <v>1</v>
          </cell>
          <cell r="D606" t="str">
            <v>Maniobras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3400</v>
          </cell>
          <cell r="K606">
            <v>0</v>
          </cell>
        </row>
        <row r="607">
          <cell r="A607" t="str">
            <v>5010502000</v>
          </cell>
          <cell r="B607">
            <v>2</v>
          </cell>
          <cell r="C607">
            <v>1</v>
          </cell>
          <cell r="D607" t="str">
            <v>Cuotas al IMSS</v>
          </cell>
          <cell r="E607">
            <v>412477.07</v>
          </cell>
          <cell r="F607">
            <v>116411.15</v>
          </cell>
          <cell r="G607">
            <v>0</v>
          </cell>
          <cell r="H607">
            <v>528888.22</v>
          </cell>
          <cell r="I607">
            <v>455052.32</v>
          </cell>
          <cell r="J607">
            <v>30596.82</v>
          </cell>
          <cell r="K607">
            <v>0</v>
          </cell>
        </row>
        <row r="608">
          <cell r="A608" t="str">
            <v>5010503000</v>
          </cell>
          <cell r="B608">
            <v>2</v>
          </cell>
          <cell r="C608">
            <v>1</v>
          </cell>
          <cell r="D608" t="str">
            <v>Aportaciones al infonavit</v>
          </cell>
          <cell r="E608">
            <v>129899.58</v>
          </cell>
          <cell r="F608">
            <v>92463.45</v>
          </cell>
          <cell r="G608">
            <v>0</v>
          </cell>
          <cell r="H608">
            <v>222363.03</v>
          </cell>
          <cell r="I608">
            <v>173552.08</v>
          </cell>
          <cell r="J608">
            <v>25950.91</v>
          </cell>
          <cell r="K608">
            <v>0</v>
          </cell>
        </row>
        <row r="609">
          <cell r="A609" t="str">
            <v>5010504000</v>
          </cell>
          <cell r="B609">
            <v>2</v>
          </cell>
          <cell r="C609">
            <v>1</v>
          </cell>
          <cell r="D609" t="str">
            <v>Aportaciones al SAR</v>
          </cell>
          <cell r="E609">
            <v>197483.26</v>
          </cell>
          <cell r="F609">
            <v>134021.14000000001</v>
          </cell>
          <cell r="G609">
            <v>0</v>
          </cell>
          <cell r="H609">
            <v>331504.40000000002</v>
          </cell>
          <cell r="I609">
            <v>270603.34999999998</v>
          </cell>
          <cell r="J609">
            <v>38188.46</v>
          </cell>
          <cell r="K609">
            <v>0</v>
          </cell>
        </row>
        <row r="610">
          <cell r="A610" t="str">
            <v>5010505000</v>
          </cell>
          <cell r="B610">
            <v>2</v>
          </cell>
          <cell r="C610">
            <v>1</v>
          </cell>
          <cell r="D610" t="str">
            <v>Impuesto estatal sobre nóminas</v>
          </cell>
          <cell r="E610">
            <v>120714.65</v>
          </cell>
          <cell r="F610">
            <v>31699.78</v>
          </cell>
          <cell r="G610">
            <v>0</v>
          </cell>
          <cell r="H610">
            <v>152414.43</v>
          </cell>
          <cell r="I610">
            <v>128398.51</v>
          </cell>
          <cell r="J610">
            <v>8881.0300000000007</v>
          </cell>
          <cell r="K610">
            <v>0</v>
          </cell>
        </row>
        <row r="611">
          <cell r="A611" t="str">
            <v>5010602000</v>
          </cell>
          <cell r="B611">
            <v>2</v>
          </cell>
          <cell r="C611">
            <v>1</v>
          </cell>
          <cell r="D611" t="str">
            <v>Pruebas de Calidad</v>
          </cell>
          <cell r="E611">
            <v>259760</v>
          </cell>
          <cell r="F611">
            <v>110105</v>
          </cell>
          <cell r="G611">
            <v>0</v>
          </cell>
          <cell r="H611">
            <v>369865</v>
          </cell>
          <cell r="I611">
            <v>182135</v>
          </cell>
          <cell r="J611">
            <v>0</v>
          </cell>
          <cell r="K611">
            <v>0</v>
          </cell>
        </row>
        <row r="612">
          <cell r="A612" t="str">
            <v>5040101000</v>
          </cell>
          <cell r="B612">
            <v>2</v>
          </cell>
          <cell r="C612">
            <v>1</v>
          </cell>
          <cell r="D612" t="str">
            <v>Sueldos y Salarios SO</v>
          </cell>
          <cell r="E612">
            <v>601783.55000000005</v>
          </cell>
          <cell r="F612">
            <v>172454.29</v>
          </cell>
          <cell r="G612">
            <v>0</v>
          </cell>
          <cell r="H612">
            <v>774237.84</v>
          </cell>
          <cell r="I612">
            <v>234118.32</v>
          </cell>
          <cell r="J612">
            <v>0</v>
          </cell>
          <cell r="K612">
            <v>0</v>
          </cell>
        </row>
        <row r="613">
          <cell r="A613" t="str">
            <v>5040103000</v>
          </cell>
          <cell r="B613">
            <v>2</v>
          </cell>
          <cell r="C613">
            <v>1</v>
          </cell>
          <cell r="D613" t="str">
            <v>Tiempos extras SO</v>
          </cell>
          <cell r="E613">
            <v>9612.08</v>
          </cell>
          <cell r="F613">
            <v>1587.75</v>
          </cell>
          <cell r="G613">
            <v>0</v>
          </cell>
          <cell r="H613">
            <v>11199.83</v>
          </cell>
          <cell r="I613">
            <v>0</v>
          </cell>
          <cell r="J613">
            <v>0</v>
          </cell>
          <cell r="K613">
            <v>0</v>
          </cell>
        </row>
        <row r="614">
          <cell r="A614" t="str">
            <v>5040104000</v>
          </cell>
          <cell r="B614">
            <v>2</v>
          </cell>
          <cell r="C614">
            <v>1</v>
          </cell>
          <cell r="D614" t="str">
            <v>Premios de asistencia SO</v>
          </cell>
          <cell r="E614">
            <v>62898.47</v>
          </cell>
          <cell r="F614">
            <v>17497.3</v>
          </cell>
          <cell r="G614">
            <v>0</v>
          </cell>
          <cell r="H614">
            <v>80395.77</v>
          </cell>
          <cell r="I614">
            <v>26070.91</v>
          </cell>
          <cell r="J614">
            <v>0</v>
          </cell>
          <cell r="K614">
            <v>0</v>
          </cell>
        </row>
        <row r="615">
          <cell r="A615" t="str">
            <v>5040105000</v>
          </cell>
          <cell r="B615">
            <v>2</v>
          </cell>
          <cell r="C615">
            <v>1</v>
          </cell>
          <cell r="D615" t="str">
            <v>Premios de puntualidad SO</v>
          </cell>
          <cell r="E615">
            <v>62898.47</v>
          </cell>
          <cell r="F615">
            <v>17497.3</v>
          </cell>
          <cell r="G615">
            <v>0</v>
          </cell>
          <cell r="H615">
            <v>80395.77</v>
          </cell>
          <cell r="I615">
            <v>26070.91</v>
          </cell>
          <cell r="J615">
            <v>0</v>
          </cell>
          <cell r="K615">
            <v>0</v>
          </cell>
        </row>
        <row r="616">
          <cell r="A616" t="str">
            <v>5040106000</v>
          </cell>
          <cell r="B616">
            <v>2</v>
          </cell>
          <cell r="C616">
            <v>1</v>
          </cell>
          <cell r="D616" t="str">
            <v>Vacaciones SO</v>
          </cell>
          <cell r="E616">
            <v>27200.47</v>
          </cell>
          <cell r="F616">
            <v>2518.5500000000002</v>
          </cell>
          <cell r="G616">
            <v>0</v>
          </cell>
          <cell r="H616">
            <v>29719.02</v>
          </cell>
          <cell r="I616">
            <v>20767.64</v>
          </cell>
          <cell r="J616">
            <v>0</v>
          </cell>
          <cell r="K616">
            <v>0</v>
          </cell>
        </row>
        <row r="617">
          <cell r="A617" t="str">
            <v>5040107000</v>
          </cell>
          <cell r="B617">
            <v>2</v>
          </cell>
          <cell r="C617">
            <v>1</v>
          </cell>
          <cell r="D617" t="str">
            <v>Prima vacacional SO</v>
          </cell>
          <cell r="E617">
            <v>2317.5</v>
          </cell>
          <cell r="F617">
            <v>3273.8</v>
          </cell>
          <cell r="G617">
            <v>0</v>
          </cell>
          <cell r="H617">
            <v>5591.3</v>
          </cell>
          <cell r="I617">
            <v>7084.89</v>
          </cell>
          <cell r="J617">
            <v>0</v>
          </cell>
          <cell r="K617">
            <v>0</v>
          </cell>
        </row>
        <row r="618">
          <cell r="A618" t="str">
            <v>5040110000</v>
          </cell>
          <cell r="B618">
            <v>2</v>
          </cell>
          <cell r="C618">
            <v>1</v>
          </cell>
          <cell r="D618" t="str">
            <v>Gratificaciones SO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3797.32</v>
          </cell>
          <cell r="J618">
            <v>0</v>
          </cell>
          <cell r="K618">
            <v>0</v>
          </cell>
        </row>
        <row r="619">
          <cell r="A619" t="str">
            <v>5040112000</v>
          </cell>
          <cell r="B619">
            <v>2</v>
          </cell>
          <cell r="C619">
            <v>1</v>
          </cell>
          <cell r="D619" t="str">
            <v>Aguinaldo SO</v>
          </cell>
          <cell r="E619">
            <v>46169.78</v>
          </cell>
          <cell r="F619">
            <v>7698.85</v>
          </cell>
          <cell r="G619">
            <v>0</v>
          </cell>
          <cell r="H619">
            <v>53868.63</v>
          </cell>
          <cell r="I619">
            <v>569.32000000000005</v>
          </cell>
          <cell r="J619">
            <v>0</v>
          </cell>
          <cell r="K619">
            <v>0</v>
          </cell>
        </row>
        <row r="620">
          <cell r="A620" t="str">
            <v>5040115000</v>
          </cell>
          <cell r="B620">
            <v>2</v>
          </cell>
          <cell r="C620">
            <v>1</v>
          </cell>
          <cell r="D620" t="str">
            <v>Despensa SO</v>
          </cell>
          <cell r="E620">
            <v>61497.48</v>
          </cell>
          <cell r="F620">
            <v>17112.96</v>
          </cell>
          <cell r="G620">
            <v>0</v>
          </cell>
          <cell r="H620">
            <v>78610.44</v>
          </cell>
          <cell r="I620">
            <v>25312.3</v>
          </cell>
          <cell r="J620">
            <v>0</v>
          </cell>
          <cell r="K620">
            <v>0</v>
          </cell>
        </row>
        <row r="621">
          <cell r="A621" t="str">
            <v>5040119000</v>
          </cell>
          <cell r="B621">
            <v>2</v>
          </cell>
          <cell r="C621">
            <v>1</v>
          </cell>
          <cell r="D621" t="str">
            <v>Fondo de ahorro SO</v>
          </cell>
          <cell r="E621">
            <v>31449.25</v>
          </cell>
          <cell r="F621">
            <v>8748.65</v>
          </cell>
          <cell r="G621">
            <v>0</v>
          </cell>
          <cell r="H621">
            <v>40197.9</v>
          </cell>
          <cell r="I621">
            <v>10582.87</v>
          </cell>
          <cell r="J621">
            <v>0</v>
          </cell>
          <cell r="K621">
            <v>0</v>
          </cell>
        </row>
        <row r="622">
          <cell r="A622" t="str">
            <v>5040120000</v>
          </cell>
          <cell r="B622">
            <v>2</v>
          </cell>
          <cell r="C622">
            <v>1</v>
          </cell>
          <cell r="D622" t="str">
            <v>Cuotas sindicales SO</v>
          </cell>
          <cell r="E622">
            <v>0</v>
          </cell>
          <cell r="F622">
            <v>1000</v>
          </cell>
          <cell r="G622">
            <v>0</v>
          </cell>
          <cell r="H622">
            <v>1000</v>
          </cell>
          <cell r="I622">
            <v>0</v>
          </cell>
          <cell r="J622">
            <v>0</v>
          </cell>
          <cell r="K622">
            <v>0</v>
          </cell>
        </row>
        <row r="623">
          <cell r="A623" t="str">
            <v>5040124000</v>
          </cell>
          <cell r="B623">
            <v>2</v>
          </cell>
          <cell r="C623">
            <v>1</v>
          </cell>
          <cell r="D623" t="str">
            <v>Septimo día SO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7007.82</v>
          </cell>
          <cell r="J623">
            <v>0</v>
          </cell>
          <cell r="K623">
            <v>0</v>
          </cell>
        </row>
        <row r="624">
          <cell r="A624" t="str">
            <v>5040128000</v>
          </cell>
          <cell r="B624">
            <v>2</v>
          </cell>
          <cell r="C624">
            <v>1</v>
          </cell>
          <cell r="D624" t="str">
            <v>Vales de gasolina SO</v>
          </cell>
          <cell r="E624">
            <v>26057.15</v>
          </cell>
          <cell r="F624">
            <v>5211.43</v>
          </cell>
          <cell r="G624">
            <v>0</v>
          </cell>
          <cell r="H624">
            <v>31268.58</v>
          </cell>
          <cell r="I624">
            <v>0</v>
          </cell>
          <cell r="J624">
            <v>0</v>
          </cell>
          <cell r="K624">
            <v>0</v>
          </cell>
        </row>
        <row r="625">
          <cell r="A625" t="str">
            <v>5040129000</v>
          </cell>
          <cell r="B625">
            <v>2</v>
          </cell>
          <cell r="C625">
            <v>1</v>
          </cell>
          <cell r="D625" t="str">
            <v>Tarjeta azul SO</v>
          </cell>
          <cell r="E625">
            <v>122505</v>
          </cell>
          <cell r="F625">
            <v>30989.06</v>
          </cell>
          <cell r="G625">
            <v>0</v>
          </cell>
          <cell r="H625">
            <v>153494.06</v>
          </cell>
          <cell r="I625">
            <v>201503.04</v>
          </cell>
          <cell r="J625">
            <v>22650.5</v>
          </cell>
          <cell r="K625">
            <v>0</v>
          </cell>
        </row>
        <row r="626">
          <cell r="A626" t="str">
            <v>5040130000</v>
          </cell>
          <cell r="B626">
            <v>2</v>
          </cell>
          <cell r="C626">
            <v>1</v>
          </cell>
          <cell r="D626" t="str">
            <v>Otros conceptos SO</v>
          </cell>
          <cell r="E626">
            <v>75726.67</v>
          </cell>
          <cell r="F626">
            <v>23888.89</v>
          </cell>
          <cell r="G626">
            <v>0</v>
          </cell>
          <cell r="H626">
            <v>99615.56</v>
          </cell>
          <cell r="I626">
            <v>52091.12</v>
          </cell>
          <cell r="J626">
            <v>0</v>
          </cell>
          <cell r="K626">
            <v>0</v>
          </cell>
        </row>
        <row r="627">
          <cell r="A627" t="str">
            <v>5040200002</v>
          </cell>
          <cell r="B627">
            <v>2</v>
          </cell>
          <cell r="C627">
            <v>1</v>
          </cell>
          <cell r="D627" t="str">
            <v>Cuotas al IMSS SO</v>
          </cell>
          <cell r="E627">
            <v>76363.42</v>
          </cell>
          <cell r="F627">
            <v>19038.52</v>
          </cell>
          <cell r="G627">
            <v>0</v>
          </cell>
          <cell r="H627">
            <v>95401.94</v>
          </cell>
          <cell r="I627">
            <v>28173.72</v>
          </cell>
          <cell r="J627">
            <v>0</v>
          </cell>
          <cell r="K627">
            <v>0</v>
          </cell>
        </row>
        <row r="628">
          <cell r="A628" t="str">
            <v>5040200003</v>
          </cell>
          <cell r="B628">
            <v>2</v>
          </cell>
          <cell r="C628">
            <v>1</v>
          </cell>
          <cell r="D628" t="str">
            <v>Aportaciones al infonavit SO</v>
          </cell>
          <cell r="E628">
            <v>31054.2</v>
          </cell>
          <cell r="F628">
            <v>22046.15</v>
          </cell>
          <cell r="G628">
            <v>0</v>
          </cell>
          <cell r="H628">
            <v>53100.35</v>
          </cell>
          <cell r="I628">
            <v>14132.96</v>
          </cell>
          <cell r="J628">
            <v>0</v>
          </cell>
          <cell r="K628">
            <v>0</v>
          </cell>
        </row>
        <row r="629">
          <cell r="A629" t="str">
            <v>5040200004</v>
          </cell>
          <cell r="B629">
            <v>2</v>
          </cell>
          <cell r="C629">
            <v>1</v>
          </cell>
          <cell r="D629" t="str">
            <v>Aportaciones al SAR SO</v>
          </cell>
          <cell r="E629">
            <v>51489.55</v>
          </cell>
          <cell r="F629">
            <v>36746.800000000003</v>
          </cell>
          <cell r="G629">
            <v>0</v>
          </cell>
          <cell r="H629">
            <v>88236.35</v>
          </cell>
          <cell r="I629">
            <v>23553.93</v>
          </cell>
          <cell r="J629">
            <v>0</v>
          </cell>
          <cell r="K629">
            <v>0</v>
          </cell>
        </row>
        <row r="630">
          <cell r="A630" t="str">
            <v>5040200005</v>
          </cell>
          <cell r="B630">
            <v>2</v>
          </cell>
          <cell r="C630">
            <v>1</v>
          </cell>
          <cell r="D630" t="str">
            <v>Impuesto estatal sobre nóminas SO</v>
          </cell>
          <cell r="E630">
            <v>25789.7</v>
          </cell>
          <cell r="F630">
            <v>7220.72</v>
          </cell>
          <cell r="G630">
            <v>0</v>
          </cell>
          <cell r="H630">
            <v>33010.42</v>
          </cell>
          <cell r="I630">
            <v>10299.68</v>
          </cell>
          <cell r="J630">
            <v>0</v>
          </cell>
          <cell r="K630">
            <v>0</v>
          </cell>
        </row>
        <row r="631">
          <cell r="A631" t="str">
            <v>5040301000</v>
          </cell>
          <cell r="B631">
            <v>2</v>
          </cell>
          <cell r="C631">
            <v>1</v>
          </cell>
          <cell r="D631" t="str">
            <v>Arrendamiento Nave</v>
          </cell>
          <cell r="E631">
            <v>918664.62</v>
          </cell>
          <cell r="F631">
            <v>504783.22</v>
          </cell>
          <cell r="G631">
            <v>0</v>
          </cell>
          <cell r="H631">
            <v>1423447.84</v>
          </cell>
          <cell r="I631">
            <v>1204290.3400000001</v>
          </cell>
          <cell r="J631">
            <v>22000</v>
          </cell>
          <cell r="K631">
            <v>0</v>
          </cell>
        </row>
        <row r="632">
          <cell r="A632" t="str">
            <v>5040302000</v>
          </cell>
          <cell r="B632">
            <v>2</v>
          </cell>
          <cell r="C632">
            <v>1</v>
          </cell>
          <cell r="D632" t="str">
            <v>Luz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522808.95</v>
          </cell>
          <cell r="J632">
            <v>72425.850000000006</v>
          </cell>
          <cell r="K632">
            <v>0</v>
          </cell>
        </row>
        <row r="633">
          <cell r="A633" t="str">
            <v>5040303000</v>
          </cell>
          <cell r="B633">
            <v>2</v>
          </cell>
          <cell r="C633">
            <v>1</v>
          </cell>
          <cell r="D633" t="str">
            <v>Renta de Equipos</v>
          </cell>
          <cell r="E633">
            <v>153000</v>
          </cell>
          <cell r="F633">
            <v>51000</v>
          </cell>
          <cell r="G633">
            <v>0</v>
          </cell>
          <cell r="H633">
            <v>204000</v>
          </cell>
          <cell r="I633">
            <v>128795</v>
          </cell>
          <cell r="J633">
            <v>0</v>
          </cell>
          <cell r="K633">
            <v>0</v>
          </cell>
        </row>
        <row r="634">
          <cell r="A634" t="str">
            <v>5040304000</v>
          </cell>
          <cell r="B634">
            <v>2</v>
          </cell>
          <cell r="C634">
            <v>1</v>
          </cell>
          <cell r="D634" t="str">
            <v>Seguridad e Higiene</v>
          </cell>
          <cell r="E634">
            <v>237160.93</v>
          </cell>
          <cell r="F634">
            <v>30847.119999999999</v>
          </cell>
          <cell r="G634">
            <v>0</v>
          </cell>
          <cell r="H634">
            <v>268008.05</v>
          </cell>
          <cell r="I634">
            <v>74400.03</v>
          </cell>
          <cell r="J634">
            <v>4229.91</v>
          </cell>
          <cell r="K634">
            <v>0</v>
          </cell>
        </row>
        <row r="635">
          <cell r="A635" t="str">
            <v>5040305000</v>
          </cell>
          <cell r="B635">
            <v>2</v>
          </cell>
          <cell r="C635">
            <v>1</v>
          </cell>
          <cell r="D635" t="str">
            <v>Tarimas de madera</v>
          </cell>
          <cell r="E635">
            <v>100000</v>
          </cell>
          <cell r="F635">
            <v>50000</v>
          </cell>
          <cell r="G635">
            <v>0</v>
          </cell>
          <cell r="H635">
            <v>150000</v>
          </cell>
          <cell r="I635">
            <v>25000</v>
          </cell>
          <cell r="J635">
            <v>0</v>
          </cell>
          <cell r="K635">
            <v>0</v>
          </cell>
        </row>
        <row r="636">
          <cell r="A636" t="str">
            <v>5040306001</v>
          </cell>
          <cell r="B636">
            <v>2</v>
          </cell>
          <cell r="C636">
            <v>1</v>
          </cell>
          <cell r="D636" t="str">
            <v>Preventivo</v>
          </cell>
          <cell r="E636">
            <v>166901.72</v>
          </cell>
          <cell r="F636">
            <v>108456.34</v>
          </cell>
          <cell r="G636">
            <v>0</v>
          </cell>
          <cell r="H636">
            <v>275358.06</v>
          </cell>
          <cell r="I636">
            <v>76330.649999999994</v>
          </cell>
          <cell r="J636">
            <v>20410.05</v>
          </cell>
          <cell r="K636">
            <v>0</v>
          </cell>
        </row>
        <row r="637">
          <cell r="A637" t="str">
            <v>5040306002</v>
          </cell>
          <cell r="B637">
            <v>2</v>
          </cell>
          <cell r="C637">
            <v>1</v>
          </cell>
          <cell r="D637" t="str">
            <v>Correctivo</v>
          </cell>
          <cell r="E637">
            <v>6950</v>
          </cell>
          <cell r="F637">
            <v>0</v>
          </cell>
          <cell r="G637">
            <v>0</v>
          </cell>
          <cell r="H637">
            <v>6950</v>
          </cell>
          <cell r="I637">
            <v>206996.58</v>
          </cell>
          <cell r="J637">
            <v>0</v>
          </cell>
          <cell r="K637">
            <v>0</v>
          </cell>
        </row>
        <row r="638">
          <cell r="A638" t="str">
            <v>5040306003</v>
          </cell>
          <cell r="B638">
            <v>2</v>
          </cell>
          <cell r="C638">
            <v>1</v>
          </cell>
          <cell r="D638" t="str">
            <v>Refacciones y Consumibles</v>
          </cell>
          <cell r="E638">
            <v>94274.13</v>
          </cell>
          <cell r="F638">
            <v>10832.67</v>
          </cell>
          <cell r="G638">
            <v>0</v>
          </cell>
          <cell r="H638">
            <v>105106.8</v>
          </cell>
          <cell r="I638">
            <v>112151.14</v>
          </cell>
          <cell r="J638">
            <v>11271.77</v>
          </cell>
          <cell r="K638">
            <v>0</v>
          </cell>
        </row>
        <row r="639">
          <cell r="A639" t="str">
            <v>5040306004</v>
          </cell>
          <cell r="B639">
            <v>2</v>
          </cell>
          <cell r="C639">
            <v>1</v>
          </cell>
          <cell r="D639" t="str">
            <v>Herramienta e Instrumentacion</v>
          </cell>
          <cell r="E639">
            <v>32429.77</v>
          </cell>
          <cell r="F639">
            <v>7760.48</v>
          </cell>
          <cell r="G639">
            <v>0</v>
          </cell>
          <cell r="H639">
            <v>40190.25</v>
          </cell>
          <cell r="I639">
            <v>72877.240000000005</v>
          </cell>
          <cell r="J639">
            <v>0</v>
          </cell>
          <cell r="K639">
            <v>0</v>
          </cell>
        </row>
        <row r="640">
          <cell r="A640" t="str">
            <v>5040307000</v>
          </cell>
          <cell r="B640">
            <v>2</v>
          </cell>
          <cell r="C640">
            <v>1</v>
          </cell>
          <cell r="D640" t="str">
            <v>Mantenimiento Nave (arrendamiento)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60095.5</v>
          </cell>
          <cell r="K640">
            <v>0</v>
          </cell>
        </row>
        <row r="641">
          <cell r="A641" t="str">
            <v>5040308000</v>
          </cell>
          <cell r="B641">
            <v>2</v>
          </cell>
          <cell r="C641">
            <v>1</v>
          </cell>
          <cell r="D641" t="str">
            <v>Gas licuado</v>
          </cell>
          <cell r="E641">
            <v>4383.57</v>
          </cell>
          <cell r="F641">
            <v>0</v>
          </cell>
          <cell r="G641">
            <v>0</v>
          </cell>
          <cell r="H641">
            <v>4383.57</v>
          </cell>
          <cell r="I641">
            <v>2052.4899999999998</v>
          </cell>
          <cell r="J641">
            <v>0</v>
          </cell>
          <cell r="K641">
            <v>0</v>
          </cell>
        </row>
        <row r="642">
          <cell r="A642" t="str">
            <v>5040309000</v>
          </cell>
          <cell r="B642">
            <v>2</v>
          </cell>
          <cell r="C642">
            <v>1</v>
          </cell>
          <cell r="D642" t="str">
            <v>Pruebas de Desarrollo</v>
          </cell>
          <cell r="E642">
            <v>108487.82</v>
          </cell>
          <cell r="F642">
            <v>43103.45</v>
          </cell>
          <cell r="G642">
            <v>0</v>
          </cell>
          <cell r="H642">
            <v>151591.26999999999</v>
          </cell>
          <cell r="I642">
            <v>23659.01</v>
          </cell>
          <cell r="J642">
            <v>0</v>
          </cell>
          <cell r="K642">
            <v>0</v>
          </cell>
        </row>
        <row r="643">
          <cell r="A643" t="str">
            <v>5040310000</v>
          </cell>
          <cell r="B643">
            <v>2</v>
          </cell>
          <cell r="C643">
            <v>1</v>
          </cell>
          <cell r="D643" t="str">
            <v>Consumibles para produccion</v>
          </cell>
          <cell r="E643">
            <v>254576.32</v>
          </cell>
          <cell r="F643">
            <v>75983</v>
          </cell>
          <cell r="G643">
            <v>0</v>
          </cell>
          <cell r="H643">
            <v>330559.32</v>
          </cell>
          <cell r="I643">
            <v>94205.08</v>
          </cell>
          <cell r="J643">
            <v>0</v>
          </cell>
          <cell r="K643">
            <v>0</v>
          </cell>
        </row>
        <row r="644">
          <cell r="A644" t="str">
            <v>5040312000</v>
          </cell>
          <cell r="B644">
            <v>2</v>
          </cell>
          <cell r="C644">
            <v>1</v>
          </cell>
          <cell r="D644" t="str">
            <v>Señaletica</v>
          </cell>
          <cell r="E644">
            <v>12462.59</v>
          </cell>
          <cell r="F644">
            <v>0</v>
          </cell>
          <cell r="G644">
            <v>0</v>
          </cell>
          <cell r="H644">
            <v>12462.59</v>
          </cell>
          <cell r="I644">
            <v>0</v>
          </cell>
          <cell r="J644">
            <v>0</v>
          </cell>
          <cell r="K644">
            <v>0</v>
          </cell>
        </row>
        <row r="645">
          <cell r="A645" t="str">
            <v>5040401000</v>
          </cell>
          <cell r="B645">
            <v>2</v>
          </cell>
          <cell r="C645">
            <v>1</v>
          </cell>
          <cell r="D645" t="str">
            <v>Sueldos y Salarios CS/Almacen</v>
          </cell>
          <cell r="E645">
            <v>269838.36</v>
          </cell>
          <cell r="F645">
            <v>72956.639999999999</v>
          </cell>
          <cell r="G645">
            <v>0</v>
          </cell>
          <cell r="H645">
            <v>342795</v>
          </cell>
          <cell r="I645">
            <v>5008.24</v>
          </cell>
          <cell r="J645">
            <v>0</v>
          </cell>
          <cell r="K645">
            <v>0</v>
          </cell>
        </row>
        <row r="646">
          <cell r="A646" t="str">
            <v>5040403000</v>
          </cell>
          <cell r="B646">
            <v>2</v>
          </cell>
          <cell r="C646">
            <v>1</v>
          </cell>
          <cell r="D646" t="str">
            <v>Tiempos extras CS</v>
          </cell>
          <cell r="E646">
            <v>6426.04</v>
          </cell>
          <cell r="F646">
            <v>2398.84</v>
          </cell>
          <cell r="G646">
            <v>0</v>
          </cell>
          <cell r="H646">
            <v>8824.8799999999992</v>
          </cell>
          <cell r="I646">
            <v>0</v>
          </cell>
          <cell r="J646">
            <v>0</v>
          </cell>
          <cell r="K646">
            <v>0</v>
          </cell>
        </row>
        <row r="647">
          <cell r="A647" t="str">
            <v>5040404000</v>
          </cell>
          <cell r="B647">
            <v>2</v>
          </cell>
          <cell r="C647">
            <v>1</v>
          </cell>
          <cell r="D647" t="str">
            <v>Premios de asistencia CS/Almacen</v>
          </cell>
          <cell r="E647">
            <v>32670</v>
          </cell>
          <cell r="F647">
            <v>8690.5</v>
          </cell>
          <cell r="G647">
            <v>0</v>
          </cell>
          <cell r="H647">
            <v>41360.5</v>
          </cell>
          <cell r="I647">
            <v>584.29999999999995</v>
          </cell>
          <cell r="J647">
            <v>0</v>
          </cell>
          <cell r="K647">
            <v>0</v>
          </cell>
        </row>
        <row r="648">
          <cell r="A648" t="str">
            <v>5040405000</v>
          </cell>
          <cell r="B648">
            <v>2</v>
          </cell>
          <cell r="C648">
            <v>1</v>
          </cell>
          <cell r="D648" t="str">
            <v>Premios de puntualidad CS/Almacen</v>
          </cell>
          <cell r="E648">
            <v>32670</v>
          </cell>
          <cell r="F648">
            <v>8690.5</v>
          </cell>
          <cell r="G648">
            <v>0</v>
          </cell>
          <cell r="H648">
            <v>41360.5</v>
          </cell>
          <cell r="I648">
            <v>584.29999999999995</v>
          </cell>
          <cell r="J648">
            <v>0</v>
          </cell>
          <cell r="K648">
            <v>0</v>
          </cell>
        </row>
        <row r="649">
          <cell r="A649" t="str">
            <v>5040406000</v>
          </cell>
          <cell r="B649">
            <v>2</v>
          </cell>
          <cell r="C649">
            <v>1</v>
          </cell>
          <cell r="D649" t="str">
            <v>Vacaciones CS/Almacen</v>
          </cell>
          <cell r="E649">
            <v>10190.58</v>
          </cell>
          <cell r="F649">
            <v>1431.17</v>
          </cell>
          <cell r="G649">
            <v>0</v>
          </cell>
          <cell r="H649">
            <v>11621.75</v>
          </cell>
          <cell r="I649">
            <v>0</v>
          </cell>
          <cell r="J649">
            <v>0</v>
          </cell>
          <cell r="K649">
            <v>0</v>
          </cell>
        </row>
        <row r="650">
          <cell r="A650" t="str">
            <v>5040412000</v>
          </cell>
          <cell r="B650">
            <v>2</v>
          </cell>
          <cell r="C650">
            <v>1</v>
          </cell>
          <cell r="D650" t="str">
            <v>Aguinaldo CS/Almacen</v>
          </cell>
          <cell r="E650">
            <v>21821.18</v>
          </cell>
          <cell r="F650">
            <v>3879.69</v>
          </cell>
          <cell r="G650">
            <v>0</v>
          </cell>
          <cell r="H650">
            <v>25700.87</v>
          </cell>
          <cell r="I650">
            <v>0</v>
          </cell>
          <cell r="J650">
            <v>0</v>
          </cell>
          <cell r="K650">
            <v>0</v>
          </cell>
        </row>
        <row r="651">
          <cell r="A651" t="str">
            <v>5040415000</v>
          </cell>
          <cell r="B651">
            <v>2</v>
          </cell>
          <cell r="C651">
            <v>1</v>
          </cell>
          <cell r="D651" t="str">
            <v>Despensa CS/Almacen</v>
          </cell>
          <cell r="E651">
            <v>32670</v>
          </cell>
          <cell r="F651">
            <v>8690.5</v>
          </cell>
          <cell r="G651">
            <v>0</v>
          </cell>
          <cell r="H651">
            <v>41360.5</v>
          </cell>
          <cell r="I651">
            <v>584.29999999999995</v>
          </cell>
          <cell r="J651">
            <v>0</v>
          </cell>
          <cell r="K651">
            <v>0</v>
          </cell>
        </row>
        <row r="652">
          <cell r="A652" t="str">
            <v>5040419000</v>
          </cell>
          <cell r="B652">
            <v>2</v>
          </cell>
          <cell r="C652">
            <v>1</v>
          </cell>
          <cell r="D652" t="str">
            <v>Fondo de ahorro CS/Almacen</v>
          </cell>
          <cell r="E652">
            <v>16335</v>
          </cell>
          <cell r="F652">
            <v>4345.25</v>
          </cell>
          <cell r="G652">
            <v>0</v>
          </cell>
          <cell r="H652">
            <v>20680.25</v>
          </cell>
          <cell r="I652">
            <v>0</v>
          </cell>
          <cell r="J652">
            <v>0</v>
          </cell>
          <cell r="K652">
            <v>0</v>
          </cell>
        </row>
        <row r="653">
          <cell r="A653" t="str">
            <v>5040424000</v>
          </cell>
          <cell r="B653">
            <v>2</v>
          </cell>
          <cell r="C653">
            <v>1</v>
          </cell>
          <cell r="D653" t="str">
            <v>Septimo día CS/Almacen</v>
          </cell>
          <cell r="E653">
            <v>46671.49</v>
          </cell>
          <cell r="F653">
            <v>12415.02</v>
          </cell>
          <cell r="G653">
            <v>0</v>
          </cell>
          <cell r="H653">
            <v>59086.51</v>
          </cell>
          <cell r="I653">
            <v>834.71</v>
          </cell>
          <cell r="J653">
            <v>0</v>
          </cell>
          <cell r="K653">
            <v>0</v>
          </cell>
        </row>
        <row r="654">
          <cell r="A654" t="str">
            <v>5040429000</v>
          </cell>
          <cell r="B654">
            <v>2</v>
          </cell>
          <cell r="C654">
            <v>1</v>
          </cell>
          <cell r="D654" t="str">
            <v>Tarjetas azules CS/Almacen</v>
          </cell>
          <cell r="E654">
            <v>146703.47</v>
          </cell>
          <cell r="F654">
            <v>46310.71</v>
          </cell>
          <cell r="G654">
            <v>0</v>
          </cell>
          <cell r="H654">
            <v>193014.18</v>
          </cell>
          <cell r="I654">
            <v>0</v>
          </cell>
          <cell r="J654">
            <v>0</v>
          </cell>
          <cell r="K654">
            <v>0</v>
          </cell>
        </row>
        <row r="655">
          <cell r="A655" t="str">
            <v>5040430000</v>
          </cell>
          <cell r="B655">
            <v>2</v>
          </cell>
          <cell r="C655">
            <v>1</v>
          </cell>
          <cell r="D655" t="str">
            <v>Otros conceptos CS/Almacen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2100</v>
          </cell>
          <cell r="J655">
            <v>0</v>
          </cell>
          <cell r="K655">
            <v>0</v>
          </cell>
        </row>
        <row r="656">
          <cell r="A656" t="str">
            <v>5040502000</v>
          </cell>
          <cell r="B656">
            <v>2</v>
          </cell>
          <cell r="C656">
            <v>1</v>
          </cell>
          <cell r="D656" t="str">
            <v>Cuotas al IMSS CS/Almacen</v>
          </cell>
          <cell r="E656">
            <v>40292.32</v>
          </cell>
          <cell r="F656">
            <v>10697.58</v>
          </cell>
          <cell r="G656">
            <v>0</v>
          </cell>
          <cell r="H656">
            <v>50989.9</v>
          </cell>
          <cell r="I656">
            <v>954.76</v>
          </cell>
          <cell r="J656">
            <v>0</v>
          </cell>
          <cell r="K656">
            <v>0</v>
          </cell>
        </row>
        <row r="657">
          <cell r="A657" t="str">
            <v>5040503000</v>
          </cell>
          <cell r="B657">
            <v>2</v>
          </cell>
          <cell r="C657">
            <v>1</v>
          </cell>
          <cell r="D657" t="str">
            <v>Aportaciones al infonavit CS/Almacen</v>
          </cell>
          <cell r="E657">
            <v>13823.58</v>
          </cell>
          <cell r="F657">
            <v>10090.41</v>
          </cell>
          <cell r="G657">
            <v>0</v>
          </cell>
          <cell r="H657">
            <v>23913.99</v>
          </cell>
          <cell r="I657">
            <v>884.08</v>
          </cell>
          <cell r="J657">
            <v>0</v>
          </cell>
          <cell r="K657">
            <v>0</v>
          </cell>
        </row>
        <row r="658">
          <cell r="A658" t="str">
            <v>5040504000</v>
          </cell>
          <cell r="B658">
            <v>2</v>
          </cell>
          <cell r="C658">
            <v>1</v>
          </cell>
          <cell r="D658" t="str">
            <v>Aportaciones al SAR CS/Almacen</v>
          </cell>
          <cell r="E658">
            <v>21770.1</v>
          </cell>
          <cell r="F658">
            <v>15676.98</v>
          </cell>
          <cell r="G658">
            <v>0</v>
          </cell>
          <cell r="H658">
            <v>37447.08</v>
          </cell>
          <cell r="I658">
            <v>1304.49</v>
          </cell>
          <cell r="J658">
            <v>0</v>
          </cell>
          <cell r="K658">
            <v>0</v>
          </cell>
        </row>
        <row r="659">
          <cell r="A659" t="str">
            <v>5040505000</v>
          </cell>
          <cell r="B659">
            <v>2</v>
          </cell>
          <cell r="C659">
            <v>1</v>
          </cell>
          <cell r="D659" t="str">
            <v>Impuesto estatal sobre nóminas CS/Almacen</v>
          </cell>
          <cell r="E659">
            <v>13260.23</v>
          </cell>
          <cell r="F659">
            <v>3591.57</v>
          </cell>
          <cell r="G659">
            <v>0</v>
          </cell>
          <cell r="H659">
            <v>16851.8</v>
          </cell>
          <cell r="I659">
            <v>236.63</v>
          </cell>
          <cell r="J659">
            <v>0</v>
          </cell>
          <cell r="K659">
            <v>0</v>
          </cell>
        </row>
        <row r="660">
          <cell r="A660" t="str">
            <v>5040601000</v>
          </cell>
          <cell r="B660">
            <v>2</v>
          </cell>
          <cell r="C660">
            <v>1</v>
          </cell>
          <cell r="D660" t="str">
            <v>Sueldos y Salarios Mtto</v>
          </cell>
          <cell r="E660">
            <v>141262.14000000001</v>
          </cell>
          <cell r="F660">
            <v>41147.279999999999</v>
          </cell>
          <cell r="G660">
            <v>0</v>
          </cell>
          <cell r="H660">
            <v>182409.42</v>
          </cell>
          <cell r="I660">
            <v>0</v>
          </cell>
          <cell r="J660">
            <v>0</v>
          </cell>
          <cell r="K660">
            <v>0</v>
          </cell>
        </row>
        <row r="661">
          <cell r="A661" t="str">
            <v>5040603000</v>
          </cell>
          <cell r="B661">
            <v>2</v>
          </cell>
          <cell r="C661">
            <v>1</v>
          </cell>
          <cell r="D661" t="str">
            <v>Tiempos extras Mtto</v>
          </cell>
          <cell r="E661">
            <v>12010.38</v>
          </cell>
          <cell r="F661">
            <v>8371.84</v>
          </cell>
          <cell r="G661">
            <v>0</v>
          </cell>
          <cell r="H661">
            <v>20382.22</v>
          </cell>
          <cell r="I661">
            <v>0</v>
          </cell>
          <cell r="J661">
            <v>0</v>
          </cell>
          <cell r="K661">
            <v>0</v>
          </cell>
        </row>
        <row r="662">
          <cell r="A662" t="str">
            <v>5040604000</v>
          </cell>
          <cell r="B662">
            <v>2</v>
          </cell>
          <cell r="C662">
            <v>1</v>
          </cell>
          <cell r="D662" t="str">
            <v>Premios de asistencia Mtto</v>
          </cell>
          <cell r="E662">
            <v>17341.37</v>
          </cell>
          <cell r="F662">
            <v>4800.4799999999996</v>
          </cell>
          <cell r="G662">
            <v>0</v>
          </cell>
          <cell r="H662">
            <v>22141.85</v>
          </cell>
          <cell r="I662">
            <v>0</v>
          </cell>
          <cell r="J662">
            <v>0</v>
          </cell>
          <cell r="K662">
            <v>0</v>
          </cell>
        </row>
        <row r="663">
          <cell r="A663" t="str">
            <v>5040605000</v>
          </cell>
          <cell r="B663">
            <v>2</v>
          </cell>
          <cell r="C663">
            <v>1</v>
          </cell>
          <cell r="D663" t="str">
            <v>Premios de puntualidad Mtto</v>
          </cell>
          <cell r="E663">
            <v>17341.37</v>
          </cell>
          <cell r="F663">
            <v>4800.4799999999996</v>
          </cell>
          <cell r="G663">
            <v>0</v>
          </cell>
          <cell r="H663">
            <v>22141.85</v>
          </cell>
          <cell r="I663">
            <v>0</v>
          </cell>
          <cell r="J663">
            <v>0</v>
          </cell>
          <cell r="K663">
            <v>0</v>
          </cell>
        </row>
        <row r="664">
          <cell r="A664" t="str">
            <v>5040606000</v>
          </cell>
          <cell r="B664">
            <v>2</v>
          </cell>
          <cell r="C664">
            <v>1</v>
          </cell>
          <cell r="D664" t="str">
            <v>Vacaciones Mtto</v>
          </cell>
          <cell r="E664">
            <v>7373.07</v>
          </cell>
          <cell r="F664">
            <v>0</v>
          </cell>
          <cell r="G664">
            <v>0</v>
          </cell>
          <cell r="H664">
            <v>7373.07</v>
          </cell>
          <cell r="I664">
            <v>0</v>
          </cell>
          <cell r="J664">
            <v>0</v>
          </cell>
          <cell r="K664">
            <v>0</v>
          </cell>
        </row>
        <row r="665">
          <cell r="A665" t="str">
            <v>5040607000</v>
          </cell>
          <cell r="B665">
            <v>2</v>
          </cell>
          <cell r="C665">
            <v>1</v>
          </cell>
          <cell r="D665" t="str">
            <v>Prima vacacional Mtto</v>
          </cell>
          <cell r="E665">
            <v>3078.41</v>
          </cell>
          <cell r="F665">
            <v>0</v>
          </cell>
          <cell r="G665">
            <v>0</v>
          </cell>
          <cell r="H665">
            <v>3078.41</v>
          </cell>
          <cell r="I665">
            <v>0</v>
          </cell>
          <cell r="J665">
            <v>0</v>
          </cell>
          <cell r="K665">
            <v>0</v>
          </cell>
        </row>
        <row r="666">
          <cell r="A666" t="str">
            <v>5040612000</v>
          </cell>
          <cell r="B666">
            <v>2</v>
          </cell>
          <cell r="C666">
            <v>1</v>
          </cell>
          <cell r="D666" t="str">
            <v>Aguinaldo Mtto</v>
          </cell>
          <cell r="E666">
            <v>11786.3</v>
          </cell>
          <cell r="F666">
            <v>2143.09</v>
          </cell>
          <cell r="G666">
            <v>0</v>
          </cell>
          <cell r="H666">
            <v>13929.39</v>
          </cell>
          <cell r="I666">
            <v>0</v>
          </cell>
          <cell r="J666">
            <v>0</v>
          </cell>
          <cell r="K666">
            <v>0</v>
          </cell>
        </row>
        <row r="667">
          <cell r="A667" t="str">
            <v>5040615000</v>
          </cell>
          <cell r="B667">
            <v>2</v>
          </cell>
          <cell r="C667">
            <v>1</v>
          </cell>
          <cell r="D667" t="str">
            <v>Despensa Mtto</v>
          </cell>
          <cell r="E667">
            <v>17341.37</v>
          </cell>
          <cell r="F667">
            <v>4800.4799999999996</v>
          </cell>
          <cell r="G667">
            <v>0</v>
          </cell>
          <cell r="H667">
            <v>22141.85</v>
          </cell>
          <cell r="I667">
            <v>0</v>
          </cell>
          <cell r="J667">
            <v>0</v>
          </cell>
          <cell r="K667">
            <v>0</v>
          </cell>
        </row>
        <row r="668">
          <cell r="A668" t="str">
            <v>5040619000</v>
          </cell>
          <cell r="B668">
            <v>2</v>
          </cell>
          <cell r="C668">
            <v>1</v>
          </cell>
          <cell r="D668" t="str">
            <v>Fondo de ahorro Mtto</v>
          </cell>
          <cell r="E668">
            <v>8670.81</v>
          </cell>
          <cell r="F668">
            <v>2400.2800000000002</v>
          </cell>
          <cell r="G668">
            <v>0</v>
          </cell>
          <cell r="H668">
            <v>11071.09</v>
          </cell>
          <cell r="I668">
            <v>0</v>
          </cell>
          <cell r="J668">
            <v>0</v>
          </cell>
          <cell r="K668">
            <v>0</v>
          </cell>
        </row>
        <row r="669">
          <cell r="A669" t="str">
            <v>5040624000</v>
          </cell>
          <cell r="B669">
            <v>2</v>
          </cell>
          <cell r="C669">
            <v>1</v>
          </cell>
          <cell r="D669" t="str">
            <v>Septimo día Mtto</v>
          </cell>
          <cell r="E669">
            <v>24779.78</v>
          </cell>
          <cell r="F669">
            <v>6857.88</v>
          </cell>
          <cell r="G669">
            <v>0</v>
          </cell>
          <cell r="H669">
            <v>31637.66</v>
          </cell>
          <cell r="I669">
            <v>0</v>
          </cell>
          <cell r="J669">
            <v>0</v>
          </cell>
          <cell r="K669">
            <v>0</v>
          </cell>
        </row>
        <row r="670">
          <cell r="A670" t="str">
            <v>5040629000</v>
          </cell>
          <cell r="B670">
            <v>2</v>
          </cell>
          <cell r="C670">
            <v>1</v>
          </cell>
          <cell r="D670" t="str">
            <v>Tarjeta azul Mtto</v>
          </cell>
          <cell r="E670">
            <v>8552</v>
          </cell>
          <cell r="F670">
            <v>0</v>
          </cell>
          <cell r="G670">
            <v>0</v>
          </cell>
          <cell r="H670">
            <v>8552</v>
          </cell>
          <cell r="I670">
            <v>4314</v>
          </cell>
          <cell r="J670">
            <v>0</v>
          </cell>
          <cell r="K670">
            <v>0</v>
          </cell>
        </row>
        <row r="671">
          <cell r="A671" t="str">
            <v>5040700002</v>
          </cell>
          <cell r="B671">
            <v>2</v>
          </cell>
          <cell r="C671">
            <v>1</v>
          </cell>
          <cell r="D671" t="str">
            <v>Cuotas al IMSS Mtto</v>
          </cell>
          <cell r="E671">
            <v>18696.57</v>
          </cell>
          <cell r="F671">
            <v>5147.12</v>
          </cell>
          <cell r="G671">
            <v>0</v>
          </cell>
          <cell r="H671">
            <v>23843.69</v>
          </cell>
          <cell r="I671">
            <v>0</v>
          </cell>
          <cell r="J671">
            <v>0</v>
          </cell>
          <cell r="K671">
            <v>0</v>
          </cell>
        </row>
        <row r="672">
          <cell r="A672" t="str">
            <v>5040700003</v>
          </cell>
          <cell r="B672">
            <v>2</v>
          </cell>
          <cell r="C672">
            <v>1</v>
          </cell>
          <cell r="D672" t="str">
            <v>Aportaciones al infonavit Mtto</v>
          </cell>
          <cell r="E672">
            <v>7123.67</v>
          </cell>
          <cell r="F672">
            <v>5676.45</v>
          </cell>
          <cell r="G672">
            <v>0</v>
          </cell>
          <cell r="H672">
            <v>12800.12</v>
          </cell>
          <cell r="I672">
            <v>0</v>
          </cell>
          <cell r="J672">
            <v>0</v>
          </cell>
          <cell r="K672">
            <v>0</v>
          </cell>
        </row>
        <row r="673">
          <cell r="A673" t="str">
            <v>5040700004</v>
          </cell>
          <cell r="B673">
            <v>2</v>
          </cell>
          <cell r="C673">
            <v>1</v>
          </cell>
          <cell r="D673" t="str">
            <v>Aportaciones al SAR Mtto</v>
          </cell>
          <cell r="E673">
            <v>11928.46</v>
          </cell>
          <cell r="F673">
            <v>9561.41</v>
          </cell>
          <cell r="G673">
            <v>0</v>
          </cell>
          <cell r="H673">
            <v>21489.87</v>
          </cell>
          <cell r="I673">
            <v>0</v>
          </cell>
          <cell r="J673">
            <v>0</v>
          </cell>
          <cell r="K673">
            <v>0</v>
          </cell>
        </row>
        <row r="674">
          <cell r="A674" t="str">
            <v>5040700005</v>
          </cell>
          <cell r="B674">
            <v>2</v>
          </cell>
          <cell r="C674">
            <v>1</v>
          </cell>
          <cell r="D674" t="str">
            <v>Impuesto estatal sobre nóminas Mtto</v>
          </cell>
          <cell r="E674">
            <v>7476.03</v>
          </cell>
          <cell r="F674">
            <v>2195.35</v>
          </cell>
          <cell r="G674">
            <v>0</v>
          </cell>
          <cell r="H674">
            <v>9671.3799999999992</v>
          </cell>
          <cell r="I674">
            <v>0</v>
          </cell>
          <cell r="J674">
            <v>0</v>
          </cell>
          <cell r="K674">
            <v>0</v>
          </cell>
        </row>
        <row r="675">
          <cell r="A675" t="str">
            <v>6010101000</v>
          </cell>
          <cell r="B675">
            <v>2</v>
          </cell>
          <cell r="C675">
            <v>1</v>
          </cell>
          <cell r="D675" t="str">
            <v>Sueldos y salarios SG</v>
          </cell>
          <cell r="E675">
            <v>202369.77</v>
          </cell>
          <cell r="F675">
            <v>55824.7</v>
          </cell>
          <cell r="G675">
            <v>0</v>
          </cell>
          <cell r="H675">
            <v>258194.47</v>
          </cell>
          <cell r="I675">
            <v>0</v>
          </cell>
          <cell r="J675">
            <v>0</v>
          </cell>
          <cell r="K675">
            <v>0</v>
          </cell>
        </row>
        <row r="676">
          <cell r="A676" t="str">
            <v>6010103000</v>
          </cell>
          <cell r="B676">
            <v>2</v>
          </cell>
          <cell r="C676">
            <v>1</v>
          </cell>
          <cell r="D676" t="str">
            <v>Tiempos extras SG</v>
          </cell>
          <cell r="E676">
            <v>36254.589999999997</v>
          </cell>
          <cell r="F676">
            <v>9704.0400000000009</v>
          </cell>
          <cell r="G676">
            <v>0</v>
          </cell>
          <cell r="H676">
            <v>45958.63</v>
          </cell>
          <cell r="I676">
            <v>0</v>
          </cell>
          <cell r="J676">
            <v>0</v>
          </cell>
          <cell r="K676">
            <v>0</v>
          </cell>
        </row>
        <row r="677">
          <cell r="A677" t="str">
            <v>6010104000</v>
          </cell>
          <cell r="B677">
            <v>2</v>
          </cell>
          <cell r="C677">
            <v>1</v>
          </cell>
          <cell r="D677" t="str">
            <v>Premios de asistencia SG</v>
          </cell>
          <cell r="E677">
            <v>25527.11</v>
          </cell>
          <cell r="F677">
            <v>6664.57</v>
          </cell>
          <cell r="G677">
            <v>0</v>
          </cell>
          <cell r="H677">
            <v>32191.68</v>
          </cell>
          <cell r="I677">
            <v>0</v>
          </cell>
          <cell r="J677">
            <v>0</v>
          </cell>
          <cell r="K677">
            <v>0</v>
          </cell>
        </row>
        <row r="678">
          <cell r="A678" t="str">
            <v>6010105000</v>
          </cell>
          <cell r="B678">
            <v>2</v>
          </cell>
          <cell r="C678">
            <v>1</v>
          </cell>
          <cell r="D678" t="str">
            <v>Premios de puntualidad SG</v>
          </cell>
          <cell r="E678">
            <v>25527.11</v>
          </cell>
          <cell r="F678">
            <v>6664.57</v>
          </cell>
          <cell r="G678">
            <v>0</v>
          </cell>
          <cell r="H678">
            <v>32191.68</v>
          </cell>
          <cell r="I678">
            <v>0</v>
          </cell>
          <cell r="J678">
            <v>0</v>
          </cell>
          <cell r="K678">
            <v>0</v>
          </cell>
        </row>
        <row r="679">
          <cell r="A679" t="str">
            <v>6010106000</v>
          </cell>
          <cell r="B679">
            <v>2</v>
          </cell>
          <cell r="C679">
            <v>1</v>
          </cell>
          <cell r="D679" t="str">
            <v>Vacaciones SG</v>
          </cell>
          <cell r="E679">
            <v>16982.650000000001</v>
          </cell>
          <cell r="F679">
            <v>1155.2</v>
          </cell>
          <cell r="G679">
            <v>0</v>
          </cell>
          <cell r="H679">
            <v>18137.849999999999</v>
          </cell>
          <cell r="I679">
            <v>0</v>
          </cell>
          <cell r="J679">
            <v>0</v>
          </cell>
          <cell r="K679">
            <v>0</v>
          </cell>
        </row>
        <row r="680">
          <cell r="A680" t="str">
            <v>6010107000</v>
          </cell>
          <cell r="B680">
            <v>2</v>
          </cell>
          <cell r="C680">
            <v>1</v>
          </cell>
          <cell r="D680" t="str">
            <v>Prima vacacional SG</v>
          </cell>
          <cell r="E680">
            <v>1454.42</v>
          </cell>
          <cell r="F680">
            <v>2454.8000000000002</v>
          </cell>
          <cell r="G680">
            <v>0</v>
          </cell>
          <cell r="H680">
            <v>3909.22</v>
          </cell>
          <cell r="I680">
            <v>0</v>
          </cell>
          <cell r="J680">
            <v>0</v>
          </cell>
          <cell r="K680">
            <v>0</v>
          </cell>
        </row>
        <row r="681">
          <cell r="A681" t="str">
            <v>6010108000</v>
          </cell>
          <cell r="B681">
            <v>2</v>
          </cell>
          <cell r="C681">
            <v>1</v>
          </cell>
          <cell r="D681" t="str">
            <v>Prima dominical SG</v>
          </cell>
          <cell r="E681">
            <v>2385.5300000000002</v>
          </cell>
          <cell r="F681">
            <v>657.92</v>
          </cell>
          <cell r="G681">
            <v>0</v>
          </cell>
          <cell r="H681">
            <v>3043.45</v>
          </cell>
          <cell r="I681">
            <v>0</v>
          </cell>
          <cell r="J681">
            <v>0</v>
          </cell>
          <cell r="K681">
            <v>0</v>
          </cell>
        </row>
        <row r="682">
          <cell r="A682" t="str">
            <v>6010109000</v>
          </cell>
          <cell r="B682">
            <v>2</v>
          </cell>
          <cell r="C682">
            <v>1</v>
          </cell>
          <cell r="D682" t="str">
            <v>Días festivos SG</v>
          </cell>
          <cell r="E682">
            <v>3947.4</v>
          </cell>
          <cell r="F682">
            <v>0</v>
          </cell>
          <cell r="G682">
            <v>0</v>
          </cell>
          <cell r="H682">
            <v>3947.4</v>
          </cell>
          <cell r="I682">
            <v>0</v>
          </cell>
          <cell r="J682">
            <v>0</v>
          </cell>
          <cell r="K682">
            <v>0</v>
          </cell>
        </row>
        <row r="683">
          <cell r="A683" t="str">
            <v>6010112000</v>
          </cell>
          <cell r="B683">
            <v>2</v>
          </cell>
          <cell r="C683">
            <v>1</v>
          </cell>
          <cell r="D683" t="str">
            <v>Aguinaldo SG</v>
          </cell>
          <cell r="E683">
            <v>18843.21</v>
          </cell>
          <cell r="F683">
            <v>2975.23</v>
          </cell>
          <cell r="G683">
            <v>0</v>
          </cell>
          <cell r="H683">
            <v>21818.44</v>
          </cell>
          <cell r="I683">
            <v>0</v>
          </cell>
          <cell r="J683">
            <v>0</v>
          </cell>
          <cell r="K683">
            <v>0</v>
          </cell>
        </row>
        <row r="684">
          <cell r="A684" t="str">
            <v>6010115000</v>
          </cell>
          <cell r="B684">
            <v>2</v>
          </cell>
          <cell r="C684">
            <v>1</v>
          </cell>
          <cell r="D684" t="str">
            <v>Despensa SG</v>
          </cell>
          <cell r="E684">
            <v>25527.1</v>
          </cell>
          <cell r="F684">
            <v>6664.57</v>
          </cell>
          <cell r="G684">
            <v>0</v>
          </cell>
          <cell r="H684">
            <v>32191.67</v>
          </cell>
          <cell r="I684">
            <v>0</v>
          </cell>
          <cell r="J684">
            <v>0</v>
          </cell>
          <cell r="K684">
            <v>0</v>
          </cell>
        </row>
        <row r="685">
          <cell r="A685" t="str">
            <v>6010119000</v>
          </cell>
          <cell r="B685">
            <v>2</v>
          </cell>
          <cell r="C685">
            <v>1</v>
          </cell>
          <cell r="D685" t="str">
            <v>Fondo de ahorro SG</v>
          </cell>
          <cell r="E685">
            <v>12763.99</v>
          </cell>
          <cell r="F685">
            <v>3332.21</v>
          </cell>
          <cell r="G685">
            <v>0</v>
          </cell>
          <cell r="H685">
            <v>16096.2</v>
          </cell>
          <cell r="I685">
            <v>0</v>
          </cell>
          <cell r="J685">
            <v>0</v>
          </cell>
          <cell r="K685">
            <v>0</v>
          </cell>
        </row>
        <row r="686">
          <cell r="A686" t="str">
            <v>6010122000</v>
          </cell>
          <cell r="B686">
            <v>2</v>
          </cell>
          <cell r="C686">
            <v>1</v>
          </cell>
          <cell r="D686" t="str">
            <v>Estímulo al personal SG</v>
          </cell>
          <cell r="E686">
            <v>0</v>
          </cell>
          <cell r="F686">
            <v>34680.1</v>
          </cell>
          <cell r="G686">
            <v>0</v>
          </cell>
          <cell r="H686">
            <v>34680.1</v>
          </cell>
          <cell r="I686">
            <v>0</v>
          </cell>
          <cell r="J686">
            <v>0</v>
          </cell>
          <cell r="K686">
            <v>0</v>
          </cell>
        </row>
        <row r="687">
          <cell r="A687" t="str">
            <v>6010124000</v>
          </cell>
          <cell r="B687">
            <v>2</v>
          </cell>
          <cell r="C687">
            <v>1</v>
          </cell>
          <cell r="D687" t="str">
            <v>Septimo dia SG</v>
          </cell>
          <cell r="E687">
            <v>36466.94</v>
          </cell>
          <cell r="F687">
            <v>9520.74</v>
          </cell>
          <cell r="G687">
            <v>0</v>
          </cell>
          <cell r="H687">
            <v>45987.68</v>
          </cell>
          <cell r="I687">
            <v>56057.86</v>
          </cell>
          <cell r="J687">
            <v>0</v>
          </cell>
          <cell r="K687">
            <v>0</v>
          </cell>
        </row>
        <row r="688">
          <cell r="A688" t="str">
            <v>6010129000</v>
          </cell>
          <cell r="B688">
            <v>2</v>
          </cell>
          <cell r="C688">
            <v>1</v>
          </cell>
          <cell r="D688" t="str">
            <v>Tarjeta azul SG</v>
          </cell>
          <cell r="E688">
            <v>3803</v>
          </cell>
          <cell r="F688">
            <v>3900</v>
          </cell>
          <cell r="G688">
            <v>0</v>
          </cell>
          <cell r="H688">
            <v>7703</v>
          </cell>
          <cell r="I688">
            <v>20256.830000000002</v>
          </cell>
          <cell r="J688">
            <v>0</v>
          </cell>
          <cell r="K688">
            <v>0</v>
          </cell>
        </row>
        <row r="689">
          <cell r="A689" t="str">
            <v>6011600000</v>
          </cell>
          <cell r="B689">
            <v>2</v>
          </cell>
          <cell r="C689">
            <v>1</v>
          </cell>
          <cell r="D689" t="str">
            <v>Transporte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411.21</v>
          </cell>
          <cell r="J689">
            <v>0</v>
          </cell>
          <cell r="K689">
            <v>0</v>
          </cell>
        </row>
        <row r="690">
          <cell r="A690" t="str">
            <v>6012600000</v>
          </cell>
          <cell r="B690">
            <v>2</v>
          </cell>
          <cell r="C690">
            <v>1</v>
          </cell>
          <cell r="D690" t="str">
            <v>Cuotas al IMSS SG</v>
          </cell>
          <cell r="E690">
            <v>35003.550000000003</v>
          </cell>
          <cell r="F690">
            <v>8310.4599999999991</v>
          </cell>
          <cell r="G690">
            <v>0</v>
          </cell>
          <cell r="H690">
            <v>43314.01</v>
          </cell>
          <cell r="I690">
            <v>0</v>
          </cell>
          <cell r="J690">
            <v>0</v>
          </cell>
          <cell r="K690">
            <v>0</v>
          </cell>
        </row>
        <row r="691">
          <cell r="A691" t="str">
            <v>6012700000</v>
          </cell>
          <cell r="B691">
            <v>2</v>
          </cell>
          <cell r="C691">
            <v>1</v>
          </cell>
          <cell r="D691" t="str">
            <v>Aportaciones al infonavit SG</v>
          </cell>
          <cell r="E691">
            <v>10878.83</v>
          </cell>
          <cell r="F691">
            <v>8463.6200000000008</v>
          </cell>
          <cell r="G691">
            <v>0</v>
          </cell>
          <cell r="H691">
            <v>19342.45</v>
          </cell>
          <cell r="I691">
            <v>0</v>
          </cell>
          <cell r="J691">
            <v>0</v>
          </cell>
          <cell r="K691">
            <v>0</v>
          </cell>
        </row>
        <row r="692">
          <cell r="A692" t="str">
            <v>6012800000</v>
          </cell>
          <cell r="B692">
            <v>2</v>
          </cell>
          <cell r="C692">
            <v>1</v>
          </cell>
          <cell r="D692" t="str">
            <v>Aportaciones al SAR SG</v>
          </cell>
          <cell r="E692">
            <v>16535.189999999999</v>
          </cell>
          <cell r="F692">
            <v>12527.78</v>
          </cell>
          <cell r="G692">
            <v>0</v>
          </cell>
          <cell r="H692">
            <v>29062.97</v>
          </cell>
          <cell r="I692">
            <v>0</v>
          </cell>
          <cell r="J692">
            <v>0</v>
          </cell>
          <cell r="K692">
            <v>0</v>
          </cell>
        </row>
        <row r="693">
          <cell r="A693" t="str">
            <v>6012900000</v>
          </cell>
          <cell r="B693">
            <v>2</v>
          </cell>
          <cell r="C693">
            <v>1</v>
          </cell>
          <cell r="D693" t="str">
            <v>Impuesto estatal sobre nóminas SG</v>
          </cell>
          <cell r="E693">
            <v>11696.51</v>
          </cell>
          <cell r="F693">
            <v>3083.53</v>
          </cell>
          <cell r="G693">
            <v>0</v>
          </cell>
          <cell r="H693">
            <v>14780.04</v>
          </cell>
          <cell r="I693">
            <v>0</v>
          </cell>
          <cell r="J693">
            <v>0</v>
          </cell>
          <cell r="K693">
            <v>0</v>
          </cell>
        </row>
        <row r="694">
          <cell r="A694" t="str">
            <v>6013200000</v>
          </cell>
          <cell r="B694">
            <v>2</v>
          </cell>
          <cell r="C694">
            <v>1</v>
          </cell>
          <cell r="D694" t="str">
            <v>Servicios administrativos</v>
          </cell>
          <cell r="E694">
            <v>0</v>
          </cell>
          <cell r="F694">
            <v>586757.82999999996</v>
          </cell>
          <cell r="G694">
            <v>586757.82999999996</v>
          </cell>
          <cell r="H694">
            <v>0</v>
          </cell>
          <cell r="I694">
            <v>0</v>
          </cell>
          <cell r="J694">
            <v>207122.17</v>
          </cell>
          <cell r="K694">
            <v>207122.17</v>
          </cell>
        </row>
        <row r="695">
          <cell r="A695" t="str">
            <v>6013400000</v>
          </cell>
          <cell r="B695">
            <v>2</v>
          </cell>
          <cell r="C695">
            <v>1</v>
          </cell>
          <cell r="D695" t="str">
            <v>Honorarios a personas fís residentes nal</v>
          </cell>
          <cell r="E695">
            <v>141048.95999999999</v>
          </cell>
          <cell r="F695">
            <v>32239.51</v>
          </cell>
          <cell r="G695">
            <v>0</v>
          </cell>
          <cell r="H695">
            <v>173288.47</v>
          </cell>
          <cell r="I695">
            <v>399195.8</v>
          </cell>
          <cell r="J695">
            <v>0</v>
          </cell>
          <cell r="K695">
            <v>0</v>
          </cell>
        </row>
        <row r="696">
          <cell r="A696" t="str">
            <v>6013800000</v>
          </cell>
          <cell r="B696">
            <v>2</v>
          </cell>
          <cell r="C696">
            <v>1</v>
          </cell>
          <cell r="D696" t="str">
            <v>Honorarios a personas morales residtes nal</v>
          </cell>
          <cell r="E696">
            <v>62398.559999999998</v>
          </cell>
          <cell r="F696">
            <v>104462.39999999999</v>
          </cell>
          <cell r="G696">
            <v>0</v>
          </cell>
          <cell r="H696">
            <v>166860.96</v>
          </cell>
          <cell r="I696">
            <v>40788.35</v>
          </cell>
          <cell r="J696">
            <v>409.35</v>
          </cell>
          <cell r="K696">
            <v>0</v>
          </cell>
        </row>
        <row r="697">
          <cell r="A697" t="str">
            <v>6014502000</v>
          </cell>
          <cell r="B697">
            <v>2</v>
          </cell>
          <cell r="C697">
            <v>1</v>
          </cell>
          <cell r="D697" t="str">
            <v>Arrendamiento de inmuebles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107722.22</v>
          </cell>
          <cell r="J697">
            <v>0</v>
          </cell>
          <cell r="K697">
            <v>0</v>
          </cell>
        </row>
        <row r="698">
          <cell r="A698" t="str">
            <v>6014800000</v>
          </cell>
          <cell r="B698">
            <v>2</v>
          </cell>
          <cell r="C698">
            <v>1</v>
          </cell>
          <cell r="D698" t="str">
            <v>Combustibles y lubricantes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23625.86</v>
          </cell>
          <cell r="J698">
            <v>0</v>
          </cell>
          <cell r="K698">
            <v>0</v>
          </cell>
        </row>
        <row r="699">
          <cell r="A699" t="str">
            <v>6014900000</v>
          </cell>
          <cell r="B699">
            <v>2</v>
          </cell>
          <cell r="C699">
            <v>1</v>
          </cell>
          <cell r="D699" t="str">
            <v>Viáticos y gastos de viaje</v>
          </cell>
          <cell r="E699">
            <v>0</v>
          </cell>
          <cell r="F699">
            <v>431.03</v>
          </cell>
          <cell r="G699">
            <v>0</v>
          </cell>
          <cell r="H699">
            <v>431.03</v>
          </cell>
          <cell r="I699">
            <v>104654.77</v>
          </cell>
          <cell r="J699">
            <v>0</v>
          </cell>
          <cell r="K699">
            <v>0</v>
          </cell>
        </row>
        <row r="700">
          <cell r="A700" t="str">
            <v>6015000000</v>
          </cell>
          <cell r="B700">
            <v>2</v>
          </cell>
          <cell r="C700">
            <v>1</v>
          </cell>
          <cell r="D700" t="str">
            <v>Teléfono, internet</v>
          </cell>
          <cell r="E700">
            <v>3538.82</v>
          </cell>
          <cell r="F700">
            <v>5428.15</v>
          </cell>
          <cell r="G700">
            <v>0</v>
          </cell>
          <cell r="H700">
            <v>8966.9699999999993</v>
          </cell>
          <cell r="I700">
            <v>202848.41</v>
          </cell>
          <cell r="J700">
            <v>36105.120000000003</v>
          </cell>
          <cell r="K700">
            <v>0</v>
          </cell>
        </row>
        <row r="701">
          <cell r="A701" t="str">
            <v>6015100000</v>
          </cell>
          <cell r="B701">
            <v>2</v>
          </cell>
          <cell r="C701">
            <v>1</v>
          </cell>
          <cell r="D701" t="str">
            <v>Agua</v>
          </cell>
          <cell r="E701">
            <v>0</v>
          </cell>
          <cell r="F701">
            <v>3312</v>
          </cell>
          <cell r="G701">
            <v>0</v>
          </cell>
          <cell r="H701">
            <v>3312</v>
          </cell>
          <cell r="I701">
            <v>11452</v>
          </cell>
          <cell r="J701">
            <v>874.94</v>
          </cell>
          <cell r="K701">
            <v>0</v>
          </cell>
        </row>
        <row r="702">
          <cell r="A702" t="str">
            <v>6015300000</v>
          </cell>
          <cell r="B702">
            <v>2</v>
          </cell>
          <cell r="C702">
            <v>1</v>
          </cell>
          <cell r="D702" t="str">
            <v>Vigilancia y seguridad</v>
          </cell>
          <cell r="E702">
            <v>57190</v>
          </cell>
          <cell r="F702">
            <v>960</v>
          </cell>
          <cell r="G702">
            <v>0</v>
          </cell>
          <cell r="H702">
            <v>58150</v>
          </cell>
          <cell r="I702">
            <v>28825.74</v>
          </cell>
          <cell r="J702">
            <v>1617</v>
          </cell>
          <cell r="K702">
            <v>0</v>
          </cell>
        </row>
        <row r="703">
          <cell r="A703" t="str">
            <v>6015400000</v>
          </cell>
          <cell r="B703">
            <v>2</v>
          </cell>
          <cell r="C703">
            <v>1</v>
          </cell>
          <cell r="D703" t="str">
            <v>Limpieza</v>
          </cell>
          <cell r="E703">
            <v>51976.72</v>
          </cell>
          <cell r="F703">
            <v>712.07</v>
          </cell>
          <cell r="G703">
            <v>0</v>
          </cell>
          <cell r="H703">
            <v>52688.79</v>
          </cell>
          <cell r="I703">
            <v>23250.67</v>
          </cell>
          <cell r="J703">
            <v>0</v>
          </cell>
          <cell r="K703">
            <v>0</v>
          </cell>
        </row>
        <row r="704">
          <cell r="A704" t="str">
            <v>6015500000</v>
          </cell>
          <cell r="B704">
            <v>2</v>
          </cell>
          <cell r="C704">
            <v>1</v>
          </cell>
          <cell r="D704" t="str">
            <v>Papelería y artículos de oficina</v>
          </cell>
          <cell r="E704">
            <v>83074.55</v>
          </cell>
          <cell r="F704">
            <v>22888.48</v>
          </cell>
          <cell r="G704">
            <v>0</v>
          </cell>
          <cell r="H704">
            <v>105963.03</v>
          </cell>
          <cell r="I704">
            <v>35457.1</v>
          </cell>
          <cell r="J704">
            <v>24132.54</v>
          </cell>
          <cell r="K704">
            <v>0</v>
          </cell>
        </row>
        <row r="705">
          <cell r="A705" t="str">
            <v>6015601000</v>
          </cell>
          <cell r="B705">
            <v>2</v>
          </cell>
          <cell r="C705">
            <v>1</v>
          </cell>
          <cell r="D705" t="str">
            <v>Edificio e Instalaciones</v>
          </cell>
          <cell r="E705">
            <v>973984.09</v>
          </cell>
          <cell r="F705">
            <v>102528.39</v>
          </cell>
          <cell r="G705">
            <v>0</v>
          </cell>
          <cell r="H705">
            <v>1076512.48</v>
          </cell>
          <cell r="I705">
            <v>87483.01</v>
          </cell>
          <cell r="J705">
            <v>2117.4299999999998</v>
          </cell>
          <cell r="K705">
            <v>0</v>
          </cell>
        </row>
        <row r="706">
          <cell r="A706" t="str">
            <v>6015602000</v>
          </cell>
          <cell r="B706">
            <v>2</v>
          </cell>
          <cell r="C706">
            <v>1</v>
          </cell>
          <cell r="D706" t="str">
            <v>Equipo de Transporte</v>
          </cell>
          <cell r="E706">
            <v>98054.93</v>
          </cell>
          <cell r="F706">
            <v>41676.800000000003</v>
          </cell>
          <cell r="G706">
            <v>0</v>
          </cell>
          <cell r="H706">
            <v>139731.73000000001</v>
          </cell>
          <cell r="I706">
            <v>42680</v>
          </cell>
          <cell r="J706">
            <v>275</v>
          </cell>
          <cell r="K706">
            <v>0</v>
          </cell>
        </row>
        <row r="707">
          <cell r="A707" t="str">
            <v>6015700000</v>
          </cell>
          <cell r="B707">
            <v>2</v>
          </cell>
          <cell r="C707">
            <v>1</v>
          </cell>
          <cell r="D707" t="str">
            <v>Seguros y fianzas</v>
          </cell>
          <cell r="E707">
            <v>28243.279999999999</v>
          </cell>
          <cell r="F707">
            <v>36835.730000000003</v>
          </cell>
          <cell r="G707">
            <v>0</v>
          </cell>
          <cell r="H707">
            <v>65079.01</v>
          </cell>
          <cell r="I707">
            <v>599032.1</v>
          </cell>
          <cell r="J707">
            <v>8876.9500000000007</v>
          </cell>
          <cell r="K707">
            <v>0</v>
          </cell>
        </row>
        <row r="708">
          <cell r="A708" t="str">
            <v>6015800000</v>
          </cell>
          <cell r="B708">
            <v>2</v>
          </cell>
          <cell r="C708">
            <v>1</v>
          </cell>
          <cell r="D708" t="str">
            <v>Otros impuestos y derechos</v>
          </cell>
          <cell r="E708">
            <v>2544.86</v>
          </cell>
          <cell r="F708">
            <v>0</v>
          </cell>
          <cell r="G708">
            <v>0</v>
          </cell>
          <cell r="H708">
            <v>2544.86</v>
          </cell>
          <cell r="I708">
            <v>11556.38</v>
          </cell>
          <cell r="J708">
            <v>0</v>
          </cell>
          <cell r="K708">
            <v>0</v>
          </cell>
        </row>
        <row r="709">
          <cell r="A709" t="str">
            <v>6015900000</v>
          </cell>
          <cell r="B709">
            <v>2</v>
          </cell>
          <cell r="C709">
            <v>1</v>
          </cell>
          <cell r="D709" t="str">
            <v>Recargos fiscales</v>
          </cell>
          <cell r="E709">
            <v>13970.66</v>
          </cell>
          <cell r="F709">
            <v>11465</v>
          </cell>
          <cell r="G709">
            <v>0</v>
          </cell>
          <cell r="H709">
            <v>25435.66</v>
          </cell>
          <cell r="I709">
            <v>46045.87</v>
          </cell>
          <cell r="J709">
            <v>5448</v>
          </cell>
          <cell r="K709">
            <v>0</v>
          </cell>
        </row>
        <row r="710">
          <cell r="A710" t="str">
            <v>6016000000</v>
          </cell>
          <cell r="B710">
            <v>2</v>
          </cell>
          <cell r="C710">
            <v>1</v>
          </cell>
          <cell r="D710" t="str">
            <v>Cuotas y suscripciones</v>
          </cell>
          <cell r="E710">
            <v>55001</v>
          </cell>
          <cell r="F710">
            <v>0</v>
          </cell>
          <cell r="G710">
            <v>0</v>
          </cell>
          <cell r="H710">
            <v>55001</v>
          </cell>
          <cell r="I710">
            <v>100500</v>
          </cell>
          <cell r="J710">
            <v>0</v>
          </cell>
          <cell r="K710">
            <v>0</v>
          </cell>
        </row>
        <row r="711">
          <cell r="A711" t="str">
            <v>6016100002</v>
          </cell>
          <cell r="B711">
            <v>2</v>
          </cell>
          <cell r="C711">
            <v>1</v>
          </cell>
          <cell r="D711" t="str">
            <v>Publicidad</v>
          </cell>
          <cell r="E711">
            <v>0</v>
          </cell>
          <cell r="F711">
            <v>167953.5</v>
          </cell>
          <cell r="G711">
            <v>0</v>
          </cell>
          <cell r="H711">
            <v>167953.5</v>
          </cell>
          <cell r="I711">
            <v>0</v>
          </cell>
          <cell r="J711">
            <v>0</v>
          </cell>
          <cell r="K711">
            <v>0</v>
          </cell>
        </row>
        <row r="712">
          <cell r="A712" t="str">
            <v>6016200000</v>
          </cell>
          <cell r="B712">
            <v>2</v>
          </cell>
          <cell r="C712">
            <v>1</v>
          </cell>
          <cell r="D712" t="str">
            <v>Capacitación al personal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8603.4500000000007</v>
          </cell>
          <cell r="J712">
            <v>0</v>
          </cell>
          <cell r="K712">
            <v>0</v>
          </cell>
        </row>
        <row r="713">
          <cell r="A713" t="str">
            <v>6016300000</v>
          </cell>
          <cell r="B713">
            <v>2</v>
          </cell>
          <cell r="C713">
            <v>1</v>
          </cell>
          <cell r="D713" t="str">
            <v>Donativos y ayudas</v>
          </cell>
          <cell r="E713">
            <v>30000</v>
          </cell>
          <cell r="F713">
            <v>0</v>
          </cell>
          <cell r="G713">
            <v>0</v>
          </cell>
          <cell r="H713">
            <v>30000</v>
          </cell>
          <cell r="I713">
            <v>0</v>
          </cell>
          <cell r="J713">
            <v>0</v>
          </cell>
          <cell r="K713">
            <v>0</v>
          </cell>
        </row>
        <row r="714">
          <cell r="A714" t="str">
            <v>6017200000</v>
          </cell>
          <cell r="B714">
            <v>2</v>
          </cell>
          <cell r="C714">
            <v>1</v>
          </cell>
          <cell r="D714" t="str">
            <v>Fletes y acarreos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33142.68</v>
          </cell>
          <cell r="J714">
            <v>811</v>
          </cell>
          <cell r="K714">
            <v>0</v>
          </cell>
        </row>
        <row r="715">
          <cell r="A715" t="str">
            <v>6017300000</v>
          </cell>
          <cell r="B715">
            <v>2</v>
          </cell>
          <cell r="C715">
            <v>1</v>
          </cell>
          <cell r="D715" t="str">
            <v>Gastos de importación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521917.53</v>
          </cell>
          <cell r="J715">
            <v>0</v>
          </cell>
          <cell r="K715">
            <v>0</v>
          </cell>
        </row>
        <row r="716">
          <cell r="A716" t="str">
            <v>6018300000</v>
          </cell>
          <cell r="B716">
            <v>2</v>
          </cell>
          <cell r="C716">
            <v>1</v>
          </cell>
          <cell r="D716" t="str">
            <v>Gastos no deduc (sin requisitos fiscales)</v>
          </cell>
          <cell r="E716">
            <v>895.91</v>
          </cell>
          <cell r="F716">
            <v>0</v>
          </cell>
          <cell r="G716">
            <v>0</v>
          </cell>
          <cell r="H716">
            <v>895.91</v>
          </cell>
          <cell r="I716">
            <v>6356.33</v>
          </cell>
          <cell r="J716">
            <v>0</v>
          </cell>
          <cell r="K716">
            <v>0</v>
          </cell>
        </row>
        <row r="717">
          <cell r="A717" t="str">
            <v>6018400000</v>
          </cell>
          <cell r="B717">
            <v>2</v>
          </cell>
          <cell r="C717">
            <v>1</v>
          </cell>
          <cell r="D717" t="str">
            <v>Otros gastos generales</v>
          </cell>
          <cell r="E717">
            <v>20207.36</v>
          </cell>
          <cell r="F717">
            <v>2489.38</v>
          </cell>
          <cell r="G717">
            <v>0</v>
          </cell>
          <cell r="H717">
            <v>22696.74</v>
          </cell>
          <cell r="I717">
            <v>169841.8</v>
          </cell>
          <cell r="J717">
            <v>21839.55</v>
          </cell>
          <cell r="K717">
            <v>0</v>
          </cell>
        </row>
        <row r="718">
          <cell r="A718" t="str">
            <v>6018600000</v>
          </cell>
          <cell r="B718">
            <v>2</v>
          </cell>
          <cell r="C718">
            <v>1</v>
          </cell>
          <cell r="D718" t="str">
            <v>Otros gastos por arrendamiento financiero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115027.29</v>
          </cell>
          <cell r="J718">
            <v>2536</v>
          </cell>
          <cell r="K718">
            <v>0</v>
          </cell>
        </row>
        <row r="719">
          <cell r="A719" t="str">
            <v>6018800000</v>
          </cell>
          <cell r="B719">
            <v>2</v>
          </cell>
          <cell r="C719">
            <v>1</v>
          </cell>
          <cell r="D719" t="str">
            <v>Programas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104857.4</v>
          </cell>
          <cell r="J719">
            <v>24687.56</v>
          </cell>
          <cell r="K719">
            <v>0</v>
          </cell>
        </row>
        <row r="720">
          <cell r="A720" t="str">
            <v>6018900000</v>
          </cell>
          <cell r="B720">
            <v>2</v>
          </cell>
          <cell r="C720">
            <v>1</v>
          </cell>
          <cell r="D720" t="str">
            <v>Mensajeria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39295.32</v>
          </cell>
          <cell r="J720">
            <v>7876.5</v>
          </cell>
          <cell r="K720">
            <v>0</v>
          </cell>
        </row>
        <row r="721">
          <cell r="A721" t="str">
            <v>6020101000</v>
          </cell>
          <cell r="B721">
            <v>2</v>
          </cell>
          <cell r="C721">
            <v>1</v>
          </cell>
          <cell r="D721" t="str">
            <v>Sueldos y salarios Vtas</v>
          </cell>
          <cell r="E721">
            <v>792369.88</v>
          </cell>
          <cell r="F721">
            <v>216886.73</v>
          </cell>
          <cell r="G721">
            <v>0</v>
          </cell>
          <cell r="H721">
            <v>1009256.61</v>
          </cell>
          <cell r="I721">
            <v>232636.91</v>
          </cell>
          <cell r="J721">
            <v>0</v>
          </cell>
          <cell r="K721">
            <v>0</v>
          </cell>
        </row>
        <row r="722">
          <cell r="A722" t="str">
            <v>6020102000</v>
          </cell>
          <cell r="B722">
            <v>2</v>
          </cell>
          <cell r="C722">
            <v>1</v>
          </cell>
          <cell r="D722" t="str">
            <v>Compensaciones Vtas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18500.080000000002</v>
          </cell>
          <cell r="J722">
            <v>0</v>
          </cell>
          <cell r="K722">
            <v>0</v>
          </cell>
        </row>
        <row r="723">
          <cell r="A723" t="str">
            <v>6020104000</v>
          </cell>
          <cell r="B723">
            <v>2</v>
          </cell>
          <cell r="C723">
            <v>1</v>
          </cell>
          <cell r="D723" t="str">
            <v>Premios de asistencia Vtas</v>
          </cell>
          <cell r="E723">
            <v>79853.2</v>
          </cell>
          <cell r="F723">
            <v>22237.599999999999</v>
          </cell>
          <cell r="G723">
            <v>0</v>
          </cell>
          <cell r="H723">
            <v>102090.8</v>
          </cell>
          <cell r="I723">
            <v>4753.0200000000004</v>
          </cell>
          <cell r="J723">
            <v>0</v>
          </cell>
          <cell r="K723">
            <v>0</v>
          </cell>
        </row>
        <row r="724">
          <cell r="A724" t="str">
            <v>6020105000</v>
          </cell>
          <cell r="B724">
            <v>2</v>
          </cell>
          <cell r="C724">
            <v>1</v>
          </cell>
          <cell r="D724" t="str">
            <v>Premios de puntualidad Vtas</v>
          </cell>
          <cell r="E724">
            <v>79853.2</v>
          </cell>
          <cell r="F724">
            <v>22237.599999999999</v>
          </cell>
          <cell r="G724">
            <v>0</v>
          </cell>
          <cell r="H724">
            <v>102090.8</v>
          </cell>
          <cell r="I724">
            <v>45488.22</v>
          </cell>
          <cell r="J724">
            <v>0</v>
          </cell>
          <cell r="K724">
            <v>0</v>
          </cell>
        </row>
        <row r="725">
          <cell r="A725" t="str">
            <v>6020106000</v>
          </cell>
          <cell r="B725">
            <v>2</v>
          </cell>
          <cell r="C725">
            <v>1</v>
          </cell>
          <cell r="D725" t="str">
            <v>Vacaciones Vtas</v>
          </cell>
          <cell r="E725">
            <v>12840.08</v>
          </cell>
          <cell r="F725">
            <v>5489.71</v>
          </cell>
          <cell r="G725">
            <v>0</v>
          </cell>
          <cell r="H725">
            <v>18329.79</v>
          </cell>
          <cell r="I725">
            <v>11778.16</v>
          </cell>
          <cell r="J725">
            <v>0</v>
          </cell>
          <cell r="K725">
            <v>0</v>
          </cell>
        </row>
        <row r="726">
          <cell r="A726" t="str">
            <v>6020107000</v>
          </cell>
          <cell r="B726">
            <v>2</v>
          </cell>
          <cell r="C726">
            <v>1</v>
          </cell>
          <cell r="D726" t="str">
            <v>Prima vacacional Vtas</v>
          </cell>
          <cell r="E726">
            <v>6365.38</v>
          </cell>
          <cell r="F726">
            <v>3958.79</v>
          </cell>
          <cell r="G726">
            <v>0</v>
          </cell>
          <cell r="H726">
            <v>10324.17</v>
          </cell>
          <cell r="I726">
            <v>866.4</v>
          </cell>
          <cell r="J726">
            <v>0</v>
          </cell>
          <cell r="K726">
            <v>0</v>
          </cell>
        </row>
        <row r="727">
          <cell r="A727" t="str">
            <v>6020110000</v>
          </cell>
          <cell r="B727">
            <v>2</v>
          </cell>
          <cell r="C727">
            <v>1</v>
          </cell>
          <cell r="D727" t="str">
            <v>Gratificaciones Vtas</v>
          </cell>
          <cell r="E727">
            <v>361</v>
          </cell>
          <cell r="F727">
            <v>0</v>
          </cell>
          <cell r="G727">
            <v>0</v>
          </cell>
          <cell r="H727">
            <v>361</v>
          </cell>
          <cell r="I727">
            <v>24501.93</v>
          </cell>
          <cell r="J727">
            <v>0</v>
          </cell>
          <cell r="K727">
            <v>0</v>
          </cell>
        </row>
        <row r="728">
          <cell r="A728" t="str">
            <v>6020112000</v>
          </cell>
          <cell r="B728">
            <v>2</v>
          </cell>
          <cell r="C728">
            <v>1</v>
          </cell>
          <cell r="D728" t="str">
            <v>Aguinaldo Vtas</v>
          </cell>
          <cell r="E728">
            <v>69412.83</v>
          </cell>
          <cell r="F728">
            <v>9682.44</v>
          </cell>
          <cell r="G728">
            <v>0</v>
          </cell>
          <cell r="H728">
            <v>79095.27</v>
          </cell>
          <cell r="I728">
            <v>0</v>
          </cell>
          <cell r="J728">
            <v>0</v>
          </cell>
          <cell r="K728">
            <v>0</v>
          </cell>
        </row>
        <row r="729">
          <cell r="A729" t="str">
            <v>6020115000</v>
          </cell>
          <cell r="B729">
            <v>2</v>
          </cell>
          <cell r="C729">
            <v>1</v>
          </cell>
          <cell r="D729" t="str">
            <v>Despensa Vtas</v>
          </cell>
          <cell r="E729">
            <v>75021.5</v>
          </cell>
          <cell r="F729">
            <v>20889</v>
          </cell>
          <cell r="G729">
            <v>0</v>
          </cell>
          <cell r="H729">
            <v>95910.5</v>
          </cell>
          <cell r="I729">
            <v>22733.48</v>
          </cell>
          <cell r="J729">
            <v>0</v>
          </cell>
          <cell r="K729">
            <v>0</v>
          </cell>
        </row>
        <row r="730">
          <cell r="A730" t="str">
            <v>6020116000</v>
          </cell>
          <cell r="B730">
            <v>2</v>
          </cell>
          <cell r="C730">
            <v>1</v>
          </cell>
          <cell r="D730" t="str">
            <v>Transporte Vtas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25629.19</v>
          </cell>
          <cell r="J730">
            <v>0</v>
          </cell>
          <cell r="K730">
            <v>0</v>
          </cell>
        </row>
        <row r="731">
          <cell r="A731" t="str">
            <v>6020119000</v>
          </cell>
          <cell r="B731">
            <v>2</v>
          </cell>
          <cell r="C731">
            <v>1</v>
          </cell>
          <cell r="D731" t="str">
            <v>Fondo de ahorro Vtas</v>
          </cell>
          <cell r="E731">
            <v>39724.65</v>
          </cell>
          <cell r="F731">
            <v>11118.85</v>
          </cell>
          <cell r="G731">
            <v>0</v>
          </cell>
          <cell r="H731">
            <v>50843.5</v>
          </cell>
          <cell r="I731">
            <v>10183.709999999999</v>
          </cell>
          <cell r="J731">
            <v>0</v>
          </cell>
          <cell r="K731">
            <v>0</v>
          </cell>
        </row>
        <row r="732">
          <cell r="A732" t="str">
            <v>6020124000</v>
          </cell>
          <cell r="B732">
            <v>2</v>
          </cell>
          <cell r="C732">
            <v>1</v>
          </cell>
          <cell r="D732" t="str">
            <v>Septimo día Vtas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6789.99</v>
          </cell>
          <cell r="J732">
            <v>0</v>
          </cell>
          <cell r="K732">
            <v>0</v>
          </cell>
        </row>
        <row r="733">
          <cell r="A733" t="str">
            <v>6020128000</v>
          </cell>
          <cell r="B733">
            <v>2</v>
          </cell>
          <cell r="C733">
            <v>1</v>
          </cell>
          <cell r="D733" t="str">
            <v>Vales de gasolina Ventas Vtas</v>
          </cell>
          <cell r="E733">
            <v>8685.7000000000007</v>
          </cell>
          <cell r="F733">
            <v>1737.14</v>
          </cell>
          <cell r="G733">
            <v>0</v>
          </cell>
          <cell r="H733">
            <v>10422.84</v>
          </cell>
          <cell r="I733">
            <v>0</v>
          </cell>
          <cell r="J733">
            <v>0</v>
          </cell>
          <cell r="K733">
            <v>0</v>
          </cell>
        </row>
        <row r="734">
          <cell r="A734" t="str">
            <v>6020129000</v>
          </cell>
          <cell r="B734">
            <v>2</v>
          </cell>
          <cell r="C734">
            <v>1</v>
          </cell>
          <cell r="D734" t="str">
            <v>Tarjeta azul ventas Vtas</v>
          </cell>
          <cell r="E734">
            <v>612027.65</v>
          </cell>
          <cell r="F734">
            <v>109888.22</v>
          </cell>
          <cell r="G734">
            <v>0</v>
          </cell>
          <cell r="H734">
            <v>721915.87</v>
          </cell>
          <cell r="I734">
            <v>280129.67</v>
          </cell>
          <cell r="J734">
            <v>0</v>
          </cell>
          <cell r="K734">
            <v>0</v>
          </cell>
        </row>
        <row r="735">
          <cell r="A735" t="str">
            <v>6020130000</v>
          </cell>
          <cell r="B735">
            <v>2</v>
          </cell>
          <cell r="C735">
            <v>1</v>
          </cell>
          <cell r="D735" t="str">
            <v>Otros conceptos ventas Vtas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20021.29</v>
          </cell>
          <cell r="J735">
            <v>0</v>
          </cell>
          <cell r="K735">
            <v>0</v>
          </cell>
        </row>
        <row r="736">
          <cell r="A736" t="str">
            <v>6020132000</v>
          </cell>
          <cell r="B736">
            <v>2</v>
          </cell>
          <cell r="C736">
            <v>1</v>
          </cell>
          <cell r="D736" t="str">
            <v>Nomina LFCM</v>
          </cell>
          <cell r="E736">
            <v>287532.12</v>
          </cell>
          <cell r="F736">
            <v>140000</v>
          </cell>
          <cell r="G736">
            <v>0</v>
          </cell>
          <cell r="H736">
            <v>427532.12</v>
          </cell>
          <cell r="I736">
            <v>0</v>
          </cell>
          <cell r="J736">
            <v>0</v>
          </cell>
          <cell r="K736">
            <v>0</v>
          </cell>
        </row>
        <row r="737">
          <cell r="A737" t="str">
            <v>6022600000</v>
          </cell>
          <cell r="B737">
            <v>2</v>
          </cell>
          <cell r="C737">
            <v>1</v>
          </cell>
          <cell r="D737" t="str">
            <v>Cuotas al IMSS Vtas</v>
          </cell>
          <cell r="E737">
            <v>95134.42</v>
          </cell>
          <cell r="F737">
            <v>18616.07</v>
          </cell>
          <cell r="G737">
            <v>0</v>
          </cell>
          <cell r="H737">
            <v>113750.49</v>
          </cell>
          <cell r="I737">
            <v>30547.08</v>
          </cell>
          <cell r="J737">
            <v>0</v>
          </cell>
          <cell r="K737">
            <v>0</v>
          </cell>
        </row>
        <row r="738">
          <cell r="A738" t="str">
            <v>6022700000</v>
          </cell>
          <cell r="B738">
            <v>2</v>
          </cell>
          <cell r="C738">
            <v>1</v>
          </cell>
          <cell r="D738" t="str">
            <v>Aportaciones al infonavit Vtas</v>
          </cell>
          <cell r="E738">
            <v>38785.49</v>
          </cell>
          <cell r="F738">
            <v>26945.18</v>
          </cell>
          <cell r="G738">
            <v>0</v>
          </cell>
          <cell r="H738">
            <v>65730.67</v>
          </cell>
          <cell r="I738">
            <v>16147.98</v>
          </cell>
          <cell r="J738">
            <v>0</v>
          </cell>
          <cell r="K738">
            <v>0</v>
          </cell>
        </row>
        <row r="739">
          <cell r="A739" t="str">
            <v>6022800000</v>
          </cell>
          <cell r="B739">
            <v>2</v>
          </cell>
          <cell r="C739">
            <v>1</v>
          </cell>
          <cell r="D739" t="str">
            <v>Aportaciones al SAR Vtas</v>
          </cell>
          <cell r="E739">
            <v>63477.77</v>
          </cell>
          <cell r="F739">
            <v>44128.02</v>
          </cell>
          <cell r="G739">
            <v>0</v>
          </cell>
          <cell r="H739">
            <v>107605.79</v>
          </cell>
          <cell r="I739">
            <v>27199.66</v>
          </cell>
          <cell r="J739">
            <v>0</v>
          </cell>
          <cell r="K739">
            <v>0</v>
          </cell>
        </row>
        <row r="740">
          <cell r="A740" t="str">
            <v>6022900000</v>
          </cell>
          <cell r="B740">
            <v>2</v>
          </cell>
          <cell r="C740">
            <v>1</v>
          </cell>
          <cell r="D740" t="str">
            <v>Impuesto estatal sobre nóminas Vtas</v>
          </cell>
          <cell r="E740">
            <v>32631.48</v>
          </cell>
          <cell r="F740">
            <v>9084.5</v>
          </cell>
          <cell r="G740">
            <v>0</v>
          </cell>
          <cell r="H740">
            <v>41715.980000000003</v>
          </cell>
          <cell r="I740">
            <v>11631.93</v>
          </cell>
          <cell r="J740">
            <v>0</v>
          </cell>
          <cell r="K740">
            <v>0</v>
          </cell>
        </row>
        <row r="741">
          <cell r="A741" t="str">
            <v>6023400000</v>
          </cell>
          <cell r="B741">
            <v>2</v>
          </cell>
          <cell r="C741">
            <v>1</v>
          </cell>
          <cell r="D741" t="str">
            <v>Honorarios a pers físicas residtes nal</v>
          </cell>
          <cell r="E741">
            <v>2950</v>
          </cell>
          <cell r="F741">
            <v>0</v>
          </cell>
          <cell r="G741">
            <v>0</v>
          </cell>
          <cell r="H741">
            <v>2950</v>
          </cell>
          <cell r="I741">
            <v>0</v>
          </cell>
          <cell r="J741">
            <v>0</v>
          </cell>
          <cell r="K741">
            <v>0</v>
          </cell>
        </row>
        <row r="742">
          <cell r="A742" t="str">
            <v>6023800000</v>
          </cell>
          <cell r="B742">
            <v>2</v>
          </cell>
          <cell r="C742">
            <v>1</v>
          </cell>
          <cell r="D742" t="str">
            <v>Honorarios a pers morales residtes nal</v>
          </cell>
          <cell r="E742">
            <v>417961.01</v>
          </cell>
          <cell r="F742">
            <v>3044.88</v>
          </cell>
          <cell r="G742">
            <v>0</v>
          </cell>
          <cell r="H742">
            <v>421005.89</v>
          </cell>
          <cell r="I742">
            <v>765923</v>
          </cell>
          <cell r="J742">
            <v>0</v>
          </cell>
          <cell r="K742">
            <v>0</v>
          </cell>
        </row>
        <row r="743">
          <cell r="A743" t="str">
            <v>6024500000</v>
          </cell>
          <cell r="B743">
            <v>2</v>
          </cell>
          <cell r="C743">
            <v>1</v>
          </cell>
          <cell r="D743" t="str">
            <v>Arrendamiento a personas físicas resid nal</v>
          </cell>
          <cell r="E743">
            <v>0</v>
          </cell>
          <cell r="F743">
            <v>23888.89</v>
          </cell>
          <cell r="G743">
            <v>23888.89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</row>
        <row r="744">
          <cell r="A744" t="str">
            <v>6024800000</v>
          </cell>
          <cell r="B744">
            <v>2</v>
          </cell>
          <cell r="C744">
            <v>1</v>
          </cell>
          <cell r="D744" t="str">
            <v>Combustibles y lubricantes</v>
          </cell>
          <cell r="E744">
            <v>186010.07</v>
          </cell>
          <cell r="F744">
            <v>43875.51</v>
          </cell>
          <cell r="G744">
            <v>20068.57</v>
          </cell>
          <cell r="H744">
            <v>209817.01</v>
          </cell>
          <cell r="I744">
            <v>0</v>
          </cell>
          <cell r="J744">
            <v>0</v>
          </cell>
          <cell r="K744">
            <v>0</v>
          </cell>
        </row>
        <row r="745">
          <cell r="A745" t="str">
            <v>6024900000</v>
          </cell>
          <cell r="B745">
            <v>2</v>
          </cell>
          <cell r="C745">
            <v>1</v>
          </cell>
          <cell r="D745" t="str">
            <v>Viáticos y gastos de viaje</v>
          </cell>
          <cell r="E745">
            <v>179168.85</v>
          </cell>
          <cell r="F745">
            <v>32507.09</v>
          </cell>
          <cell r="G745">
            <v>0</v>
          </cell>
          <cell r="H745">
            <v>211675.94</v>
          </cell>
          <cell r="I745">
            <v>6308.92</v>
          </cell>
          <cell r="J745">
            <v>45600.38</v>
          </cell>
          <cell r="K745">
            <v>0</v>
          </cell>
        </row>
        <row r="746">
          <cell r="A746" t="str">
            <v>6025700000</v>
          </cell>
          <cell r="B746">
            <v>2</v>
          </cell>
          <cell r="C746">
            <v>1</v>
          </cell>
          <cell r="D746" t="str">
            <v>Seguros y fianzas</v>
          </cell>
          <cell r="E746">
            <v>103786.71</v>
          </cell>
          <cell r="F746">
            <v>70</v>
          </cell>
          <cell r="G746">
            <v>0</v>
          </cell>
          <cell r="H746">
            <v>103856.71</v>
          </cell>
          <cell r="I746">
            <v>0</v>
          </cell>
          <cell r="J746">
            <v>0</v>
          </cell>
          <cell r="K746">
            <v>0</v>
          </cell>
        </row>
        <row r="747">
          <cell r="A747" t="str">
            <v>6025800000</v>
          </cell>
          <cell r="B747">
            <v>2</v>
          </cell>
          <cell r="C747">
            <v>1</v>
          </cell>
          <cell r="D747" t="str">
            <v>Otros impuestos y derechos</v>
          </cell>
          <cell r="E747">
            <v>0</v>
          </cell>
          <cell r="F747">
            <v>0</v>
          </cell>
          <cell r="G747">
            <v>0</v>
          </cell>
          <cell r="H747">
            <v>0</v>
          </cell>
          <cell r="I747">
            <v>9084</v>
          </cell>
          <cell r="J747">
            <v>0</v>
          </cell>
          <cell r="K747">
            <v>0</v>
          </cell>
        </row>
        <row r="748">
          <cell r="A748" t="str">
            <v>6026000000</v>
          </cell>
          <cell r="B748">
            <v>2</v>
          </cell>
          <cell r="C748">
            <v>1</v>
          </cell>
          <cell r="D748" t="str">
            <v>Cuotas y suscripciones</v>
          </cell>
          <cell r="E748">
            <v>7100</v>
          </cell>
          <cell r="F748">
            <v>0</v>
          </cell>
          <cell r="G748">
            <v>0</v>
          </cell>
          <cell r="H748">
            <v>7100</v>
          </cell>
          <cell r="I748">
            <v>0</v>
          </cell>
          <cell r="J748">
            <v>0</v>
          </cell>
          <cell r="K748">
            <v>0</v>
          </cell>
        </row>
        <row r="749">
          <cell r="A749" t="str">
            <v>6026100001</v>
          </cell>
          <cell r="B749">
            <v>2</v>
          </cell>
          <cell r="C749">
            <v>1</v>
          </cell>
          <cell r="D749" t="str">
            <v>Publicidad</v>
          </cell>
          <cell r="E749">
            <v>1058921.3400000001</v>
          </cell>
          <cell r="F749">
            <v>385056.66</v>
          </cell>
          <cell r="G749">
            <v>0</v>
          </cell>
          <cell r="H749">
            <v>1443978</v>
          </cell>
          <cell r="I749">
            <v>360535.87</v>
          </cell>
          <cell r="J749">
            <v>204433.92000000001</v>
          </cell>
          <cell r="K749">
            <v>0</v>
          </cell>
        </row>
        <row r="750">
          <cell r="A750" t="str">
            <v>6026200000</v>
          </cell>
          <cell r="B750">
            <v>2</v>
          </cell>
          <cell r="C750">
            <v>1</v>
          </cell>
          <cell r="D750" t="str">
            <v>Capacitación al personal</v>
          </cell>
          <cell r="E750">
            <v>10000</v>
          </cell>
          <cell r="F750">
            <v>0</v>
          </cell>
          <cell r="G750">
            <v>0</v>
          </cell>
          <cell r="H750">
            <v>10000</v>
          </cell>
          <cell r="I750">
            <v>0</v>
          </cell>
          <cell r="J750">
            <v>0</v>
          </cell>
          <cell r="K750">
            <v>0</v>
          </cell>
        </row>
        <row r="751">
          <cell r="A751" t="str">
            <v>6027200000</v>
          </cell>
          <cell r="B751">
            <v>2</v>
          </cell>
          <cell r="C751">
            <v>1</v>
          </cell>
          <cell r="D751" t="str">
            <v>Fletes y logistica</v>
          </cell>
          <cell r="E751">
            <v>330319.23</v>
          </cell>
          <cell r="F751">
            <v>126947.34</v>
          </cell>
          <cell r="G751">
            <v>476.68</v>
          </cell>
          <cell r="H751">
            <v>456789.89</v>
          </cell>
          <cell r="I751">
            <v>1958597.87</v>
          </cell>
          <cell r="J751">
            <v>439984.45</v>
          </cell>
          <cell r="K751">
            <v>0</v>
          </cell>
        </row>
        <row r="752">
          <cell r="A752" t="str">
            <v>6027400000</v>
          </cell>
          <cell r="B752">
            <v>2</v>
          </cell>
          <cell r="C752">
            <v>1</v>
          </cell>
          <cell r="D752" t="str">
            <v>Comisiones sobre ventas</v>
          </cell>
          <cell r="E752">
            <v>0</v>
          </cell>
          <cell r="F752">
            <v>5948</v>
          </cell>
          <cell r="G752">
            <v>0</v>
          </cell>
          <cell r="H752">
            <v>5948</v>
          </cell>
          <cell r="I752">
            <v>0</v>
          </cell>
          <cell r="J752">
            <v>0</v>
          </cell>
          <cell r="K752">
            <v>0</v>
          </cell>
        </row>
        <row r="753">
          <cell r="A753" t="str">
            <v>6027700000</v>
          </cell>
          <cell r="B753">
            <v>2</v>
          </cell>
          <cell r="C753">
            <v>1</v>
          </cell>
          <cell r="D753" t="str">
            <v>Uniformes</v>
          </cell>
          <cell r="E753">
            <v>3360</v>
          </cell>
          <cell r="F753">
            <v>4840</v>
          </cell>
          <cell r="G753">
            <v>0</v>
          </cell>
          <cell r="H753">
            <v>8200</v>
          </cell>
          <cell r="I753">
            <v>0</v>
          </cell>
          <cell r="J753">
            <v>0</v>
          </cell>
          <cell r="K753">
            <v>0</v>
          </cell>
        </row>
        <row r="754">
          <cell r="A754" t="str">
            <v>6028400000</v>
          </cell>
          <cell r="B754">
            <v>2</v>
          </cell>
          <cell r="C754">
            <v>1</v>
          </cell>
          <cell r="D754" t="str">
            <v>Otros gastos de venta</v>
          </cell>
          <cell r="E754">
            <v>3361.57</v>
          </cell>
          <cell r="F754">
            <v>47827.93</v>
          </cell>
          <cell r="G754">
            <v>0</v>
          </cell>
          <cell r="H754">
            <v>51189.5</v>
          </cell>
          <cell r="I754">
            <v>119239.66</v>
          </cell>
          <cell r="J754">
            <v>6949.1</v>
          </cell>
          <cell r="K754">
            <v>0</v>
          </cell>
        </row>
        <row r="755">
          <cell r="A755" t="str">
            <v>6030101000</v>
          </cell>
          <cell r="B755">
            <v>2</v>
          </cell>
          <cell r="C755">
            <v>1</v>
          </cell>
          <cell r="D755" t="str">
            <v>Sueldos y salarios Admon</v>
          </cell>
          <cell r="E755">
            <v>646229.18000000005</v>
          </cell>
          <cell r="F755">
            <v>193521.98</v>
          </cell>
          <cell r="G755">
            <v>0</v>
          </cell>
          <cell r="H755">
            <v>839751.16</v>
          </cell>
          <cell r="I755">
            <v>405075.69</v>
          </cell>
          <cell r="J755">
            <v>10273.68</v>
          </cell>
          <cell r="K755">
            <v>0</v>
          </cell>
        </row>
        <row r="756">
          <cell r="A756" t="str">
            <v>6030102000</v>
          </cell>
          <cell r="B756">
            <v>2</v>
          </cell>
          <cell r="C756">
            <v>1</v>
          </cell>
          <cell r="D756" t="str">
            <v>Compensaciones Admon</v>
          </cell>
          <cell r="E756">
            <v>1129.3599999999999</v>
          </cell>
          <cell r="F756">
            <v>0</v>
          </cell>
          <cell r="G756">
            <v>0</v>
          </cell>
          <cell r="H756">
            <v>1129.3599999999999</v>
          </cell>
          <cell r="I756">
            <v>757.56</v>
          </cell>
          <cell r="J756">
            <v>0</v>
          </cell>
          <cell r="K756">
            <v>0</v>
          </cell>
        </row>
        <row r="757">
          <cell r="A757" t="str">
            <v>6030103000</v>
          </cell>
          <cell r="B757">
            <v>2</v>
          </cell>
          <cell r="C757">
            <v>1</v>
          </cell>
          <cell r="D757" t="str">
            <v>Tiempos extras Admon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6498.07</v>
          </cell>
          <cell r="J757">
            <v>0</v>
          </cell>
          <cell r="K757">
            <v>0</v>
          </cell>
        </row>
        <row r="758">
          <cell r="A758" t="str">
            <v>6030104000</v>
          </cell>
          <cell r="B758">
            <v>2</v>
          </cell>
          <cell r="C758">
            <v>1</v>
          </cell>
          <cell r="D758" t="str">
            <v>Premios de asistencia Admon</v>
          </cell>
          <cell r="E758">
            <v>53851.68</v>
          </cell>
          <cell r="F758">
            <v>16118.86</v>
          </cell>
          <cell r="G758">
            <v>0</v>
          </cell>
          <cell r="H758">
            <v>69970.539999999994</v>
          </cell>
          <cell r="I758">
            <v>41317.15</v>
          </cell>
          <cell r="J758">
            <v>1198.5999999999999</v>
          </cell>
          <cell r="K758">
            <v>0</v>
          </cell>
        </row>
        <row r="759">
          <cell r="A759" t="str">
            <v>6030105000</v>
          </cell>
          <cell r="B759">
            <v>2</v>
          </cell>
          <cell r="C759">
            <v>1</v>
          </cell>
          <cell r="D759" t="str">
            <v>Premios de puntualidad Admon</v>
          </cell>
          <cell r="E759">
            <v>53851.68</v>
          </cell>
          <cell r="F759">
            <v>16118.86</v>
          </cell>
          <cell r="G759">
            <v>0</v>
          </cell>
          <cell r="H759">
            <v>69970.539999999994</v>
          </cell>
          <cell r="I759">
            <v>41317.050000000003</v>
          </cell>
          <cell r="J759">
            <v>1198.5999999999999</v>
          </cell>
          <cell r="K759">
            <v>0</v>
          </cell>
        </row>
        <row r="760">
          <cell r="A760" t="str">
            <v>6030106000</v>
          </cell>
          <cell r="B760">
            <v>2</v>
          </cell>
          <cell r="C760">
            <v>1</v>
          </cell>
          <cell r="D760" t="str">
            <v>Vacaciones Admon</v>
          </cell>
          <cell r="E760">
            <v>36861.78</v>
          </cell>
          <cell r="F760">
            <v>2691.38</v>
          </cell>
          <cell r="G760">
            <v>0</v>
          </cell>
          <cell r="H760">
            <v>39553.160000000003</v>
          </cell>
          <cell r="I760">
            <v>56756.6</v>
          </cell>
          <cell r="J760">
            <v>0</v>
          </cell>
          <cell r="K760">
            <v>0</v>
          </cell>
        </row>
        <row r="761">
          <cell r="A761" t="str">
            <v>6030107000</v>
          </cell>
          <cell r="B761">
            <v>2</v>
          </cell>
          <cell r="C761">
            <v>1</v>
          </cell>
          <cell r="D761" t="str">
            <v>Prima vacacional Admon</v>
          </cell>
          <cell r="E761">
            <v>3836.61</v>
          </cell>
          <cell r="F761">
            <v>0</v>
          </cell>
          <cell r="G761">
            <v>0</v>
          </cell>
          <cell r="H761">
            <v>3836.61</v>
          </cell>
          <cell r="I761">
            <v>4656.6000000000004</v>
          </cell>
          <cell r="J761">
            <v>0</v>
          </cell>
          <cell r="K761">
            <v>0</v>
          </cell>
        </row>
        <row r="762">
          <cell r="A762" t="str">
            <v>6030108000</v>
          </cell>
          <cell r="B762">
            <v>2</v>
          </cell>
          <cell r="C762">
            <v>1</v>
          </cell>
          <cell r="D762" t="str">
            <v>Prima dominical Admon</v>
          </cell>
          <cell r="E762">
            <v>0</v>
          </cell>
          <cell r="F762">
            <v>0</v>
          </cell>
          <cell r="G762">
            <v>0</v>
          </cell>
          <cell r="H762">
            <v>0</v>
          </cell>
          <cell r="I762">
            <v>458.69</v>
          </cell>
          <cell r="J762">
            <v>0</v>
          </cell>
          <cell r="K762">
            <v>0</v>
          </cell>
        </row>
        <row r="763">
          <cell r="A763" t="str">
            <v>6030109000</v>
          </cell>
          <cell r="B763">
            <v>2</v>
          </cell>
          <cell r="C763">
            <v>1</v>
          </cell>
          <cell r="D763" t="str">
            <v>Días festivos Admon</v>
          </cell>
          <cell r="E763">
            <v>666.11</v>
          </cell>
          <cell r="F763">
            <v>0</v>
          </cell>
          <cell r="G763">
            <v>0</v>
          </cell>
          <cell r="H763">
            <v>666.11</v>
          </cell>
          <cell r="I763">
            <v>1834.76</v>
          </cell>
          <cell r="J763">
            <v>0</v>
          </cell>
          <cell r="K763">
            <v>0</v>
          </cell>
        </row>
        <row r="764">
          <cell r="A764" t="str">
            <v>6030110000</v>
          </cell>
          <cell r="B764">
            <v>2</v>
          </cell>
          <cell r="C764">
            <v>1</v>
          </cell>
          <cell r="D764" t="str">
            <v>Gratificaciones Admon</v>
          </cell>
          <cell r="E764">
            <v>1500</v>
          </cell>
          <cell r="F764">
            <v>0</v>
          </cell>
          <cell r="G764">
            <v>0</v>
          </cell>
          <cell r="H764">
            <v>1500</v>
          </cell>
          <cell r="I764">
            <v>18588.11</v>
          </cell>
          <cell r="J764">
            <v>0</v>
          </cell>
          <cell r="K764">
            <v>0</v>
          </cell>
        </row>
        <row r="765">
          <cell r="A765" t="str">
            <v>6030112000</v>
          </cell>
          <cell r="B765">
            <v>2</v>
          </cell>
          <cell r="C765">
            <v>1</v>
          </cell>
          <cell r="D765" t="str">
            <v>Aguinaldo Admon</v>
          </cell>
          <cell r="E765">
            <v>57169.17</v>
          </cell>
          <cell r="F765">
            <v>8587.9699999999993</v>
          </cell>
          <cell r="G765">
            <v>0</v>
          </cell>
          <cell r="H765">
            <v>65757.14</v>
          </cell>
          <cell r="I765">
            <v>2750.65</v>
          </cell>
          <cell r="J765">
            <v>535.09</v>
          </cell>
          <cell r="K765">
            <v>0</v>
          </cell>
        </row>
        <row r="766">
          <cell r="A766" t="str">
            <v>6030114000</v>
          </cell>
          <cell r="B766">
            <v>2</v>
          </cell>
          <cell r="C766">
            <v>1</v>
          </cell>
          <cell r="D766" t="str">
            <v>Bono E Admon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3043.42</v>
          </cell>
          <cell r="J766">
            <v>0</v>
          </cell>
          <cell r="K766">
            <v>0</v>
          </cell>
        </row>
        <row r="767">
          <cell r="A767" t="str">
            <v>6030115000</v>
          </cell>
          <cell r="B767">
            <v>2</v>
          </cell>
          <cell r="C767">
            <v>1</v>
          </cell>
          <cell r="D767" t="str">
            <v>Despensa Admon</v>
          </cell>
          <cell r="E767">
            <v>64933.57</v>
          </cell>
          <cell r="F767">
            <v>19282.259999999998</v>
          </cell>
          <cell r="G767">
            <v>0</v>
          </cell>
          <cell r="H767">
            <v>84215.83</v>
          </cell>
          <cell r="I767">
            <v>124390.45</v>
          </cell>
          <cell r="J767">
            <v>1198.5999999999999</v>
          </cell>
          <cell r="K767">
            <v>0</v>
          </cell>
        </row>
        <row r="768">
          <cell r="A768" t="str">
            <v>6030116000</v>
          </cell>
          <cell r="B768">
            <v>2</v>
          </cell>
          <cell r="C768">
            <v>1</v>
          </cell>
          <cell r="D768" t="str">
            <v>Transporte Admon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2348.54</v>
          </cell>
          <cell r="J768">
            <v>0</v>
          </cell>
          <cell r="K768">
            <v>0</v>
          </cell>
        </row>
        <row r="769">
          <cell r="A769" t="str">
            <v>6030119000</v>
          </cell>
          <cell r="B769">
            <v>2</v>
          </cell>
          <cell r="C769">
            <v>1</v>
          </cell>
          <cell r="D769" t="str">
            <v>Fondo de ahorro Admon</v>
          </cell>
          <cell r="E769">
            <v>32646.48</v>
          </cell>
          <cell r="F769">
            <v>9753.1200000000008</v>
          </cell>
          <cell r="G769">
            <v>0</v>
          </cell>
          <cell r="H769">
            <v>42399.6</v>
          </cell>
          <cell r="I769">
            <v>17133.75</v>
          </cell>
          <cell r="J769">
            <v>599.28</v>
          </cell>
          <cell r="K769">
            <v>0</v>
          </cell>
        </row>
        <row r="770">
          <cell r="A770" t="str">
            <v>6030124000</v>
          </cell>
          <cell r="B770">
            <v>2</v>
          </cell>
          <cell r="C770">
            <v>1</v>
          </cell>
          <cell r="D770" t="str">
            <v>Septimo día Admon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17752.73</v>
          </cell>
          <cell r="J770">
            <v>1712.28</v>
          </cell>
          <cell r="K770">
            <v>0</v>
          </cell>
        </row>
        <row r="771">
          <cell r="A771" t="str">
            <v>6030128000</v>
          </cell>
          <cell r="B771">
            <v>2</v>
          </cell>
          <cell r="C771">
            <v>1</v>
          </cell>
          <cell r="D771" t="str">
            <v>Vales de gasolina Admon</v>
          </cell>
          <cell r="E771">
            <v>36201.78</v>
          </cell>
          <cell r="F771">
            <v>6171.43</v>
          </cell>
          <cell r="G771">
            <v>0</v>
          </cell>
          <cell r="H771">
            <v>42373.21</v>
          </cell>
          <cell r="I771">
            <v>0</v>
          </cell>
          <cell r="J771">
            <v>0</v>
          </cell>
          <cell r="K771">
            <v>0</v>
          </cell>
        </row>
        <row r="772">
          <cell r="A772" t="str">
            <v>6030129000</v>
          </cell>
          <cell r="B772">
            <v>2</v>
          </cell>
          <cell r="C772">
            <v>1</v>
          </cell>
          <cell r="D772" t="str">
            <v>Tarjeta azul Admon</v>
          </cell>
          <cell r="E772">
            <v>30284.42</v>
          </cell>
          <cell r="F772">
            <v>11362.21</v>
          </cell>
          <cell r="G772">
            <v>0</v>
          </cell>
          <cell r="H772">
            <v>41646.629999999997</v>
          </cell>
          <cell r="I772">
            <v>9300</v>
          </cell>
          <cell r="J772">
            <v>0</v>
          </cell>
          <cell r="K772">
            <v>0</v>
          </cell>
        </row>
        <row r="773">
          <cell r="A773" t="str">
            <v>6030130000</v>
          </cell>
          <cell r="B773">
            <v>2</v>
          </cell>
          <cell r="C773">
            <v>1</v>
          </cell>
          <cell r="D773" t="str">
            <v>Otras conceptos Admon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500</v>
          </cell>
          <cell r="J773">
            <v>1000</v>
          </cell>
          <cell r="K773">
            <v>0</v>
          </cell>
        </row>
        <row r="774">
          <cell r="A774" t="str">
            <v>6032500000</v>
          </cell>
          <cell r="B774">
            <v>2</v>
          </cell>
          <cell r="C774">
            <v>1</v>
          </cell>
          <cell r="D774" t="str">
            <v>Otras prestaciones al personal Admon</v>
          </cell>
          <cell r="E774">
            <v>0</v>
          </cell>
          <cell r="F774">
            <v>88131.4</v>
          </cell>
          <cell r="G774">
            <v>0</v>
          </cell>
          <cell r="H774">
            <v>88131.4</v>
          </cell>
          <cell r="I774">
            <v>0</v>
          </cell>
          <cell r="J774">
            <v>0</v>
          </cell>
          <cell r="K774">
            <v>0</v>
          </cell>
        </row>
        <row r="775">
          <cell r="A775" t="str">
            <v>6032600000</v>
          </cell>
          <cell r="B775">
            <v>2</v>
          </cell>
          <cell r="C775">
            <v>1</v>
          </cell>
          <cell r="D775" t="str">
            <v>Cuotas al IMSS Admon</v>
          </cell>
          <cell r="E775">
            <v>78438.559999999998</v>
          </cell>
          <cell r="F775">
            <v>17431.990000000002</v>
          </cell>
          <cell r="G775">
            <v>0</v>
          </cell>
          <cell r="H775">
            <v>95870.55</v>
          </cell>
          <cell r="I775">
            <v>49383.92</v>
          </cell>
          <cell r="J775">
            <v>1551.41</v>
          </cell>
          <cell r="K775">
            <v>0</v>
          </cell>
        </row>
        <row r="776">
          <cell r="A776" t="str">
            <v>6032700000</v>
          </cell>
          <cell r="B776">
            <v>2</v>
          </cell>
          <cell r="C776">
            <v>1</v>
          </cell>
          <cell r="D776" t="str">
            <v>Aportaciones al infonavit Admon</v>
          </cell>
          <cell r="E776">
            <v>31458.5</v>
          </cell>
          <cell r="F776">
            <v>23123.54</v>
          </cell>
          <cell r="G776">
            <v>0</v>
          </cell>
          <cell r="H776">
            <v>54582.04</v>
          </cell>
          <cell r="I776">
            <v>22991.11</v>
          </cell>
          <cell r="J776">
            <v>1377.17</v>
          </cell>
          <cell r="K776">
            <v>0</v>
          </cell>
        </row>
        <row r="777">
          <cell r="A777" t="str">
            <v>6032800000</v>
          </cell>
          <cell r="B777">
            <v>2</v>
          </cell>
          <cell r="C777">
            <v>1</v>
          </cell>
          <cell r="D777" t="str">
            <v>Aportaciones al SAR Admon</v>
          </cell>
          <cell r="E777">
            <v>52262.79</v>
          </cell>
          <cell r="F777">
            <v>38743.43</v>
          </cell>
          <cell r="G777">
            <v>0</v>
          </cell>
          <cell r="H777">
            <v>91006.22</v>
          </cell>
          <cell r="I777">
            <v>36289.82</v>
          </cell>
          <cell r="J777">
            <v>2133.79</v>
          </cell>
          <cell r="K777">
            <v>0</v>
          </cell>
        </row>
        <row r="778">
          <cell r="A778" t="str">
            <v>6032900000</v>
          </cell>
          <cell r="B778">
            <v>2</v>
          </cell>
          <cell r="C778">
            <v>1</v>
          </cell>
          <cell r="D778" t="str">
            <v>Impuesto estatal sobre nóminas Admon</v>
          </cell>
          <cell r="E778">
            <v>27000.18</v>
          </cell>
          <cell r="F778">
            <v>7724.6</v>
          </cell>
          <cell r="G778">
            <v>0</v>
          </cell>
          <cell r="H778">
            <v>34724.78</v>
          </cell>
          <cell r="I778">
            <v>18985.52</v>
          </cell>
          <cell r="J778">
            <v>485.44</v>
          </cell>
          <cell r="K778">
            <v>0</v>
          </cell>
        </row>
        <row r="779">
          <cell r="A779" t="str">
            <v>6033200000</v>
          </cell>
          <cell r="B779">
            <v>2</v>
          </cell>
          <cell r="C779">
            <v>1</v>
          </cell>
          <cell r="D779" t="str">
            <v>Servicios administrativos</v>
          </cell>
          <cell r="E779">
            <v>33532.68</v>
          </cell>
          <cell r="F779">
            <v>0</v>
          </cell>
          <cell r="G779">
            <v>0</v>
          </cell>
          <cell r="H779">
            <v>33532.68</v>
          </cell>
          <cell r="I779">
            <v>0</v>
          </cell>
          <cell r="J779">
            <v>0</v>
          </cell>
          <cell r="K779">
            <v>0</v>
          </cell>
        </row>
        <row r="780">
          <cell r="A780" t="str">
            <v>6033800000</v>
          </cell>
          <cell r="B780">
            <v>2</v>
          </cell>
          <cell r="C780">
            <v>1</v>
          </cell>
          <cell r="D780" t="str">
            <v>Honorarios a pers morales residtes nal</v>
          </cell>
          <cell r="E780">
            <v>45955.5</v>
          </cell>
          <cell r="F780">
            <v>0</v>
          </cell>
          <cell r="G780">
            <v>0</v>
          </cell>
          <cell r="H780">
            <v>45955.5</v>
          </cell>
          <cell r="I780">
            <v>0</v>
          </cell>
          <cell r="J780">
            <v>0</v>
          </cell>
          <cell r="K780">
            <v>0</v>
          </cell>
        </row>
        <row r="781">
          <cell r="A781" t="str">
            <v>6034601001</v>
          </cell>
          <cell r="B781">
            <v>2</v>
          </cell>
          <cell r="C781">
            <v>1</v>
          </cell>
          <cell r="D781" t="str">
            <v>VW Tiguan (Diego Mtz)</v>
          </cell>
          <cell r="E781">
            <v>0</v>
          </cell>
          <cell r="F781">
            <v>15642.11</v>
          </cell>
          <cell r="G781">
            <v>0</v>
          </cell>
          <cell r="H781">
            <v>15642.11</v>
          </cell>
          <cell r="I781">
            <v>0</v>
          </cell>
          <cell r="J781">
            <v>0</v>
          </cell>
          <cell r="K781">
            <v>0</v>
          </cell>
        </row>
        <row r="782">
          <cell r="A782" t="str">
            <v>6038200000</v>
          </cell>
          <cell r="B782">
            <v>2</v>
          </cell>
          <cell r="C782">
            <v>1</v>
          </cell>
          <cell r="D782" t="str">
            <v>Otros gastos de administración</v>
          </cell>
          <cell r="E782">
            <v>44808.7</v>
          </cell>
          <cell r="F782">
            <v>6832.21</v>
          </cell>
          <cell r="G782">
            <v>0</v>
          </cell>
          <cell r="H782">
            <v>51640.91</v>
          </cell>
          <cell r="I782">
            <v>0</v>
          </cell>
          <cell r="J782">
            <v>0</v>
          </cell>
          <cell r="K782">
            <v>0</v>
          </cell>
        </row>
        <row r="783">
          <cell r="A783" t="str">
            <v>6040101000</v>
          </cell>
          <cell r="B783">
            <v>2</v>
          </cell>
          <cell r="C783">
            <v>1</v>
          </cell>
          <cell r="D783" t="str">
            <v>Sueldos y salarios Calidad</v>
          </cell>
          <cell r="E783">
            <v>381454.44</v>
          </cell>
          <cell r="F783">
            <v>126266.36</v>
          </cell>
          <cell r="G783">
            <v>0</v>
          </cell>
          <cell r="H783">
            <v>507720.8</v>
          </cell>
          <cell r="I783">
            <v>147285.68</v>
          </cell>
          <cell r="J783">
            <v>9522</v>
          </cell>
          <cell r="K783">
            <v>0</v>
          </cell>
        </row>
        <row r="784">
          <cell r="A784" t="str">
            <v>6040103000</v>
          </cell>
          <cell r="B784">
            <v>2</v>
          </cell>
          <cell r="C784">
            <v>1</v>
          </cell>
          <cell r="D784" t="str">
            <v>Tiempos extras Calidad</v>
          </cell>
          <cell r="E784">
            <v>1181.25</v>
          </cell>
          <cell r="F784">
            <v>0</v>
          </cell>
          <cell r="G784">
            <v>0</v>
          </cell>
          <cell r="H784">
            <v>1181.25</v>
          </cell>
          <cell r="I784">
            <v>858.3</v>
          </cell>
          <cell r="J784">
            <v>0</v>
          </cell>
          <cell r="K784">
            <v>0</v>
          </cell>
        </row>
        <row r="785">
          <cell r="A785" t="str">
            <v>6040104000</v>
          </cell>
          <cell r="B785">
            <v>2</v>
          </cell>
          <cell r="C785">
            <v>1</v>
          </cell>
          <cell r="D785" t="str">
            <v>Premios de asistencia Calidad</v>
          </cell>
          <cell r="E785">
            <v>40612.86</v>
          </cell>
          <cell r="F785">
            <v>12782.68</v>
          </cell>
          <cell r="G785">
            <v>0</v>
          </cell>
          <cell r="H785">
            <v>53395.54</v>
          </cell>
          <cell r="I785">
            <v>17296.45</v>
          </cell>
          <cell r="J785">
            <v>1159.2</v>
          </cell>
          <cell r="K785">
            <v>0</v>
          </cell>
        </row>
        <row r="786">
          <cell r="A786" t="str">
            <v>6040105000</v>
          </cell>
          <cell r="B786">
            <v>2</v>
          </cell>
          <cell r="C786">
            <v>1</v>
          </cell>
          <cell r="D786" t="str">
            <v>Premios de puntualidad Calidad</v>
          </cell>
          <cell r="E786">
            <v>40612.86</v>
          </cell>
          <cell r="F786">
            <v>12782.68</v>
          </cell>
          <cell r="G786">
            <v>0</v>
          </cell>
          <cell r="H786">
            <v>53395.54</v>
          </cell>
          <cell r="I786">
            <v>17296.45</v>
          </cell>
          <cell r="J786">
            <v>1159.2</v>
          </cell>
          <cell r="K786">
            <v>0</v>
          </cell>
        </row>
        <row r="787">
          <cell r="A787" t="str">
            <v>6040106000</v>
          </cell>
          <cell r="B787">
            <v>2</v>
          </cell>
          <cell r="C787">
            <v>1</v>
          </cell>
          <cell r="D787" t="str">
            <v>Vacaciones Calidad</v>
          </cell>
          <cell r="E787">
            <v>24673.57</v>
          </cell>
          <cell r="F787">
            <v>1560.24</v>
          </cell>
          <cell r="G787">
            <v>0</v>
          </cell>
          <cell r="H787">
            <v>26233.81</v>
          </cell>
          <cell r="I787">
            <v>15405.96</v>
          </cell>
          <cell r="J787">
            <v>414</v>
          </cell>
          <cell r="K787">
            <v>0</v>
          </cell>
        </row>
        <row r="788">
          <cell r="A788" t="str">
            <v>6040107000</v>
          </cell>
          <cell r="B788">
            <v>2</v>
          </cell>
          <cell r="C788">
            <v>1</v>
          </cell>
          <cell r="D788" t="str">
            <v>Prima vacacional Calidad</v>
          </cell>
          <cell r="E788">
            <v>6567.53</v>
          </cell>
          <cell r="F788">
            <v>0</v>
          </cell>
          <cell r="G788">
            <v>0</v>
          </cell>
          <cell r="H788">
            <v>6567.53</v>
          </cell>
          <cell r="I788">
            <v>2277</v>
          </cell>
          <cell r="J788">
            <v>0</v>
          </cell>
          <cell r="K788">
            <v>0</v>
          </cell>
        </row>
        <row r="789">
          <cell r="A789" t="str">
            <v>6040109000</v>
          </cell>
          <cell r="B789">
            <v>2</v>
          </cell>
          <cell r="C789">
            <v>1</v>
          </cell>
          <cell r="D789" t="str">
            <v>Días festivos Calidad</v>
          </cell>
          <cell r="E789">
            <v>888.17</v>
          </cell>
          <cell r="F789">
            <v>0</v>
          </cell>
          <cell r="G789">
            <v>0</v>
          </cell>
          <cell r="H789">
            <v>888.17</v>
          </cell>
          <cell r="I789">
            <v>0</v>
          </cell>
          <cell r="J789">
            <v>0</v>
          </cell>
          <cell r="K789">
            <v>0</v>
          </cell>
        </row>
        <row r="790">
          <cell r="A790" t="str">
            <v>6040110000</v>
          </cell>
          <cell r="B790">
            <v>2</v>
          </cell>
          <cell r="C790">
            <v>1</v>
          </cell>
          <cell r="D790" t="str">
            <v>Gratificaciones Calidad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4412.01</v>
          </cell>
          <cell r="J790">
            <v>0</v>
          </cell>
          <cell r="K790">
            <v>0</v>
          </cell>
        </row>
        <row r="791">
          <cell r="A791" t="str">
            <v>6040112000</v>
          </cell>
          <cell r="B791">
            <v>2</v>
          </cell>
          <cell r="C791">
            <v>1</v>
          </cell>
          <cell r="D791" t="str">
            <v>Aguinaldo Calidad</v>
          </cell>
          <cell r="E791">
            <v>29993.86</v>
          </cell>
          <cell r="F791">
            <v>5636.89</v>
          </cell>
          <cell r="G791">
            <v>0</v>
          </cell>
          <cell r="H791">
            <v>35630.75</v>
          </cell>
          <cell r="I791">
            <v>2458.14</v>
          </cell>
          <cell r="J791">
            <v>517.5</v>
          </cell>
          <cell r="K791">
            <v>0</v>
          </cell>
        </row>
        <row r="792">
          <cell r="A792" t="str">
            <v>6040114000</v>
          </cell>
          <cell r="B792">
            <v>2</v>
          </cell>
          <cell r="C792">
            <v>1</v>
          </cell>
          <cell r="D792" t="str">
            <v>Bono E Calidad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796.95</v>
          </cell>
          <cell r="J792">
            <v>0</v>
          </cell>
          <cell r="K792">
            <v>0</v>
          </cell>
        </row>
        <row r="793">
          <cell r="A793" t="str">
            <v>6040115000</v>
          </cell>
          <cell r="B793">
            <v>2</v>
          </cell>
          <cell r="C793">
            <v>1</v>
          </cell>
          <cell r="D793" t="str">
            <v>Despensa Calidad</v>
          </cell>
          <cell r="E793">
            <v>40612.86</v>
          </cell>
          <cell r="F793">
            <v>12782.68</v>
          </cell>
          <cell r="G793">
            <v>0</v>
          </cell>
          <cell r="H793">
            <v>53395.54</v>
          </cell>
          <cell r="I793">
            <v>17296.45</v>
          </cell>
          <cell r="J793">
            <v>1159.2</v>
          </cell>
          <cell r="K793">
            <v>0</v>
          </cell>
        </row>
        <row r="794">
          <cell r="A794" t="str">
            <v>6040119000</v>
          </cell>
          <cell r="B794">
            <v>2</v>
          </cell>
          <cell r="C794">
            <v>1</v>
          </cell>
          <cell r="D794" t="str">
            <v>Fondo de ahorro Calidad</v>
          </cell>
          <cell r="E794">
            <v>20087.150000000001</v>
          </cell>
          <cell r="F794">
            <v>6391.31</v>
          </cell>
          <cell r="G794">
            <v>0</v>
          </cell>
          <cell r="H794">
            <v>26478.46</v>
          </cell>
          <cell r="I794">
            <v>6356.7</v>
          </cell>
          <cell r="J794">
            <v>579.6</v>
          </cell>
          <cell r="K794">
            <v>0</v>
          </cell>
        </row>
        <row r="795">
          <cell r="A795" t="str">
            <v>6040124000</v>
          </cell>
          <cell r="B795">
            <v>2</v>
          </cell>
          <cell r="C795">
            <v>1</v>
          </cell>
          <cell r="D795" t="str">
            <v>Septimo día Calidad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10273.370000000001</v>
          </cell>
          <cell r="J795">
            <v>1656</v>
          </cell>
          <cell r="K795">
            <v>0</v>
          </cell>
        </row>
        <row r="796">
          <cell r="A796" t="str">
            <v>6040128000</v>
          </cell>
          <cell r="B796">
            <v>2</v>
          </cell>
          <cell r="C796">
            <v>1</v>
          </cell>
          <cell r="D796" t="str">
            <v>Vales de gasolina Calidad</v>
          </cell>
          <cell r="E796">
            <v>15200</v>
          </cell>
          <cell r="F796">
            <v>3040</v>
          </cell>
          <cell r="G796">
            <v>0</v>
          </cell>
          <cell r="H796">
            <v>18240</v>
          </cell>
          <cell r="I796">
            <v>0</v>
          </cell>
          <cell r="J796">
            <v>0</v>
          </cell>
          <cell r="K796">
            <v>0</v>
          </cell>
        </row>
        <row r="797">
          <cell r="A797" t="str">
            <v>6040129000</v>
          </cell>
          <cell r="B797">
            <v>2</v>
          </cell>
          <cell r="C797">
            <v>1</v>
          </cell>
          <cell r="D797" t="str">
            <v>Tarjeta azul Calidad</v>
          </cell>
          <cell r="E797">
            <v>26088.14</v>
          </cell>
          <cell r="F797">
            <v>6468.4</v>
          </cell>
          <cell r="G797">
            <v>0</v>
          </cell>
          <cell r="H797">
            <v>32556.54</v>
          </cell>
          <cell r="I797">
            <v>2604.17</v>
          </cell>
          <cell r="J797">
            <v>2604.67</v>
          </cell>
          <cell r="K797">
            <v>0</v>
          </cell>
        </row>
        <row r="798">
          <cell r="A798" t="str">
            <v>6042600000</v>
          </cell>
          <cell r="B798">
            <v>2</v>
          </cell>
          <cell r="C798">
            <v>1</v>
          </cell>
          <cell r="D798" t="str">
            <v>Cuotas al IMSS Calidad</v>
          </cell>
          <cell r="E798">
            <v>49645.7</v>
          </cell>
          <cell r="F798">
            <v>16758.8</v>
          </cell>
          <cell r="G798">
            <v>0</v>
          </cell>
          <cell r="H798">
            <v>66404.5</v>
          </cell>
          <cell r="I798">
            <v>25265.279999999999</v>
          </cell>
          <cell r="J798">
            <v>1520.71</v>
          </cell>
          <cell r="K798">
            <v>0</v>
          </cell>
        </row>
        <row r="799">
          <cell r="A799" t="str">
            <v>6042700000</v>
          </cell>
          <cell r="B799">
            <v>2</v>
          </cell>
          <cell r="C799">
            <v>1</v>
          </cell>
          <cell r="D799" t="str">
            <v>Aportaciones al infonavit Calidad</v>
          </cell>
          <cell r="E799">
            <v>18974.14</v>
          </cell>
          <cell r="F799">
            <v>13299.02</v>
          </cell>
          <cell r="G799">
            <v>0</v>
          </cell>
          <cell r="H799">
            <v>32273.16</v>
          </cell>
          <cell r="I799">
            <v>11614.42</v>
          </cell>
          <cell r="J799">
            <v>1333.61</v>
          </cell>
          <cell r="K799">
            <v>0</v>
          </cell>
        </row>
        <row r="800">
          <cell r="A800" t="str">
            <v>6042800000</v>
          </cell>
          <cell r="B800">
            <v>2</v>
          </cell>
          <cell r="C800">
            <v>1</v>
          </cell>
          <cell r="D800" t="str">
            <v>Aportaciones al SAR Calidad</v>
          </cell>
          <cell r="E800">
            <v>30126.57</v>
          </cell>
          <cell r="F800">
            <v>21297.9</v>
          </cell>
          <cell r="G800">
            <v>0</v>
          </cell>
          <cell r="H800">
            <v>51424.47</v>
          </cell>
          <cell r="I800">
            <v>19303.47</v>
          </cell>
          <cell r="J800">
            <v>2066.3000000000002</v>
          </cell>
          <cell r="K800">
            <v>0</v>
          </cell>
        </row>
        <row r="801">
          <cell r="A801" t="str">
            <v>6042900000</v>
          </cell>
          <cell r="B801">
            <v>2</v>
          </cell>
          <cell r="C801">
            <v>1</v>
          </cell>
          <cell r="D801" t="str">
            <v>Impuesto estatal sobre nóminas Calidad</v>
          </cell>
          <cell r="E801">
            <v>16740.93</v>
          </cell>
          <cell r="F801">
            <v>5176.95</v>
          </cell>
          <cell r="G801">
            <v>0</v>
          </cell>
          <cell r="H801">
            <v>21917.88</v>
          </cell>
          <cell r="I801">
            <v>7038.36</v>
          </cell>
          <cell r="J801">
            <v>469.48</v>
          </cell>
          <cell r="K801">
            <v>0</v>
          </cell>
        </row>
        <row r="802">
          <cell r="A802" t="str">
            <v>6044900000</v>
          </cell>
          <cell r="B802">
            <v>2</v>
          </cell>
          <cell r="C802">
            <v>1</v>
          </cell>
          <cell r="D802" t="str">
            <v>Viáticos y gastos de viaje</v>
          </cell>
          <cell r="E802">
            <v>0</v>
          </cell>
          <cell r="F802">
            <v>5719</v>
          </cell>
          <cell r="G802">
            <v>0</v>
          </cell>
          <cell r="H802">
            <v>5719</v>
          </cell>
          <cell r="I802">
            <v>0</v>
          </cell>
          <cell r="J802">
            <v>0</v>
          </cell>
          <cell r="K802">
            <v>0</v>
          </cell>
        </row>
        <row r="803">
          <cell r="A803" t="str">
            <v>6050101000</v>
          </cell>
          <cell r="B803">
            <v>2</v>
          </cell>
          <cell r="C803">
            <v>1</v>
          </cell>
          <cell r="D803" t="str">
            <v>Sueldos y Salarios Desarrollo</v>
          </cell>
          <cell r="E803">
            <v>434914.74</v>
          </cell>
          <cell r="F803">
            <v>125666.8</v>
          </cell>
          <cell r="G803">
            <v>0</v>
          </cell>
          <cell r="H803">
            <v>560581.54</v>
          </cell>
          <cell r="I803">
            <v>182775.74</v>
          </cell>
          <cell r="J803">
            <v>0</v>
          </cell>
          <cell r="K803">
            <v>0</v>
          </cell>
        </row>
        <row r="804">
          <cell r="A804" t="str">
            <v>6050104000</v>
          </cell>
          <cell r="B804">
            <v>2</v>
          </cell>
          <cell r="C804">
            <v>1</v>
          </cell>
          <cell r="D804" t="str">
            <v>Premios de asistencia Desarrollo</v>
          </cell>
          <cell r="E804">
            <v>43983.31</v>
          </cell>
          <cell r="F804">
            <v>12566.66</v>
          </cell>
          <cell r="G804">
            <v>0</v>
          </cell>
          <cell r="H804">
            <v>56549.97</v>
          </cell>
          <cell r="I804">
            <v>19909.64</v>
          </cell>
          <cell r="J804">
            <v>0</v>
          </cell>
          <cell r="K804">
            <v>0</v>
          </cell>
        </row>
        <row r="805">
          <cell r="A805" t="str">
            <v>6050105000</v>
          </cell>
          <cell r="B805">
            <v>2</v>
          </cell>
          <cell r="C805">
            <v>1</v>
          </cell>
          <cell r="D805" t="str">
            <v>Premios de puntualidad Desarrollo</v>
          </cell>
          <cell r="E805">
            <v>43983.31</v>
          </cell>
          <cell r="F805">
            <v>12566.66</v>
          </cell>
          <cell r="G805">
            <v>0</v>
          </cell>
          <cell r="H805">
            <v>56549.97</v>
          </cell>
          <cell r="I805">
            <v>19909.64</v>
          </cell>
          <cell r="J805">
            <v>0</v>
          </cell>
          <cell r="K805">
            <v>0</v>
          </cell>
        </row>
        <row r="806">
          <cell r="A806" t="str">
            <v>6050106000</v>
          </cell>
          <cell r="B806">
            <v>2</v>
          </cell>
          <cell r="C806">
            <v>1</v>
          </cell>
          <cell r="D806" t="str">
            <v>Vacaciones Desarrollo</v>
          </cell>
          <cell r="E806">
            <v>4919.0600000000004</v>
          </cell>
          <cell r="F806">
            <v>0</v>
          </cell>
          <cell r="G806">
            <v>0</v>
          </cell>
          <cell r="H806">
            <v>4919.0600000000004</v>
          </cell>
          <cell r="I806">
            <v>12244.39</v>
          </cell>
          <cell r="J806">
            <v>0</v>
          </cell>
          <cell r="K806">
            <v>0</v>
          </cell>
        </row>
        <row r="807">
          <cell r="A807" t="str">
            <v>6050107000</v>
          </cell>
          <cell r="B807">
            <v>2</v>
          </cell>
          <cell r="C807">
            <v>1</v>
          </cell>
          <cell r="D807" t="str">
            <v>Prima vacacional Desarrollo</v>
          </cell>
          <cell r="E807">
            <v>0</v>
          </cell>
          <cell r="F807">
            <v>2558.4899999999998</v>
          </cell>
          <cell r="G807">
            <v>0</v>
          </cell>
          <cell r="H807">
            <v>2558.4899999999998</v>
          </cell>
          <cell r="I807">
            <v>433.2</v>
          </cell>
          <cell r="J807">
            <v>0</v>
          </cell>
          <cell r="K807">
            <v>0</v>
          </cell>
        </row>
        <row r="808">
          <cell r="A808" t="str">
            <v>6050112000</v>
          </cell>
          <cell r="B808">
            <v>2</v>
          </cell>
          <cell r="C808">
            <v>1</v>
          </cell>
          <cell r="D808" t="str">
            <v>Aguinaldo Desarrollo</v>
          </cell>
          <cell r="E808">
            <v>33239.589999999997</v>
          </cell>
          <cell r="F808">
            <v>5610.13</v>
          </cell>
          <cell r="G808">
            <v>0</v>
          </cell>
          <cell r="H808">
            <v>38849.72</v>
          </cell>
          <cell r="I808">
            <v>428.44</v>
          </cell>
          <cell r="J808">
            <v>0</v>
          </cell>
          <cell r="K808">
            <v>0</v>
          </cell>
        </row>
        <row r="809">
          <cell r="A809" t="str">
            <v>6050115000</v>
          </cell>
          <cell r="B809">
            <v>2</v>
          </cell>
          <cell r="C809">
            <v>1</v>
          </cell>
          <cell r="D809" t="str">
            <v>Despensa Desarrollo</v>
          </cell>
          <cell r="E809">
            <v>43983.31</v>
          </cell>
          <cell r="F809">
            <v>12566.66</v>
          </cell>
          <cell r="G809">
            <v>0</v>
          </cell>
          <cell r="H809">
            <v>56549.97</v>
          </cell>
          <cell r="I809">
            <v>19909.64</v>
          </cell>
          <cell r="J809">
            <v>0</v>
          </cell>
          <cell r="K809">
            <v>0</v>
          </cell>
        </row>
        <row r="810">
          <cell r="A810" t="str">
            <v>6050119000</v>
          </cell>
          <cell r="B810">
            <v>2</v>
          </cell>
          <cell r="C810">
            <v>1</v>
          </cell>
          <cell r="D810" t="str">
            <v>Fondo de ahorro Desarrollo</v>
          </cell>
          <cell r="E810">
            <v>21991.69</v>
          </cell>
          <cell r="F810">
            <v>6283.34</v>
          </cell>
          <cell r="G810">
            <v>0</v>
          </cell>
          <cell r="H810">
            <v>28275.03</v>
          </cell>
          <cell r="I810">
            <v>8122.2</v>
          </cell>
          <cell r="J810">
            <v>0</v>
          </cell>
          <cell r="K810">
            <v>0</v>
          </cell>
        </row>
        <row r="811">
          <cell r="A811" t="str">
            <v>6050124000</v>
          </cell>
          <cell r="B811">
            <v>2</v>
          </cell>
          <cell r="C811">
            <v>1</v>
          </cell>
          <cell r="D811" t="str">
            <v>Septimo día Desarrollo</v>
          </cell>
          <cell r="E811">
            <v>0</v>
          </cell>
          <cell r="F811">
            <v>0</v>
          </cell>
          <cell r="G811">
            <v>0</v>
          </cell>
          <cell r="H811">
            <v>0</v>
          </cell>
          <cell r="I811">
            <v>5236.12</v>
          </cell>
          <cell r="J811">
            <v>0</v>
          </cell>
          <cell r="K811">
            <v>0</v>
          </cell>
        </row>
        <row r="812">
          <cell r="A812" t="str">
            <v>6050128000</v>
          </cell>
          <cell r="B812">
            <v>2</v>
          </cell>
          <cell r="C812">
            <v>1</v>
          </cell>
          <cell r="D812" t="str">
            <v>Vales de gasolina Desarrollo</v>
          </cell>
          <cell r="E812">
            <v>10857.15</v>
          </cell>
          <cell r="F812">
            <v>2171.4299999999998</v>
          </cell>
          <cell r="G812">
            <v>0</v>
          </cell>
          <cell r="H812">
            <v>13028.58</v>
          </cell>
          <cell r="I812">
            <v>0</v>
          </cell>
          <cell r="J812">
            <v>0</v>
          </cell>
          <cell r="K812">
            <v>0</v>
          </cell>
        </row>
        <row r="813">
          <cell r="A813" t="str">
            <v>6050129000</v>
          </cell>
          <cell r="B813">
            <v>2</v>
          </cell>
          <cell r="C813">
            <v>1</v>
          </cell>
          <cell r="D813" t="str">
            <v>Tarjeta azul Desarrollo</v>
          </cell>
          <cell r="E813">
            <v>55833.34</v>
          </cell>
          <cell r="F813">
            <v>17166.669999999998</v>
          </cell>
          <cell r="G813">
            <v>0</v>
          </cell>
          <cell r="H813">
            <v>73000.009999999995</v>
          </cell>
          <cell r="I813">
            <v>4000</v>
          </cell>
          <cell r="J813">
            <v>0</v>
          </cell>
          <cell r="K813">
            <v>0</v>
          </cell>
        </row>
        <row r="814">
          <cell r="A814" t="str">
            <v>6050130000</v>
          </cell>
          <cell r="B814">
            <v>2</v>
          </cell>
          <cell r="C814">
            <v>1</v>
          </cell>
          <cell r="D814" t="str">
            <v>Otros conceptos Desarrollo</v>
          </cell>
          <cell r="E814">
            <v>0</v>
          </cell>
          <cell r="F814">
            <v>0</v>
          </cell>
          <cell r="G814">
            <v>0</v>
          </cell>
          <cell r="H814">
            <v>0</v>
          </cell>
          <cell r="I814">
            <v>153.72</v>
          </cell>
          <cell r="J814">
            <v>0</v>
          </cell>
          <cell r="K814">
            <v>0</v>
          </cell>
        </row>
        <row r="815">
          <cell r="A815" t="str">
            <v>6052600000</v>
          </cell>
          <cell r="B815">
            <v>2</v>
          </cell>
          <cell r="C815">
            <v>1</v>
          </cell>
          <cell r="D815" t="str">
            <v>Cuotas al IMSS Desarrollo</v>
          </cell>
          <cell r="E815">
            <v>50666.81</v>
          </cell>
          <cell r="F815">
            <v>10180.48</v>
          </cell>
          <cell r="G815">
            <v>0</v>
          </cell>
          <cell r="H815">
            <v>60847.29</v>
          </cell>
          <cell r="I815">
            <v>20805.68</v>
          </cell>
          <cell r="J815">
            <v>0</v>
          </cell>
          <cell r="K815">
            <v>0</v>
          </cell>
        </row>
        <row r="816">
          <cell r="A816" t="str">
            <v>6052700000</v>
          </cell>
          <cell r="B816">
            <v>2</v>
          </cell>
          <cell r="C816">
            <v>1</v>
          </cell>
          <cell r="D816" t="str">
            <v>Aportaciones al infonavit Desarrollo</v>
          </cell>
          <cell r="E816">
            <v>21148.95</v>
          </cell>
          <cell r="F816">
            <v>14965.74</v>
          </cell>
          <cell r="G816">
            <v>0</v>
          </cell>
          <cell r="H816">
            <v>36114.69</v>
          </cell>
          <cell r="I816">
            <v>10666.58</v>
          </cell>
          <cell r="J816">
            <v>0</v>
          </cell>
          <cell r="K816">
            <v>0</v>
          </cell>
        </row>
        <row r="817">
          <cell r="A817" t="str">
            <v>6052800000</v>
          </cell>
          <cell r="B817">
            <v>2</v>
          </cell>
          <cell r="C817">
            <v>1</v>
          </cell>
          <cell r="D817" t="str">
            <v>Aportaciones al SAR Desarrollo</v>
          </cell>
          <cell r="E817">
            <v>35117.129999999997</v>
          </cell>
          <cell r="F817">
            <v>25002.17</v>
          </cell>
          <cell r="G817">
            <v>0</v>
          </cell>
          <cell r="H817">
            <v>60119.3</v>
          </cell>
          <cell r="I817">
            <v>17727.61</v>
          </cell>
          <cell r="J817">
            <v>0</v>
          </cell>
          <cell r="K817">
            <v>0</v>
          </cell>
        </row>
        <row r="818">
          <cell r="A818" t="str">
            <v>6052900000</v>
          </cell>
          <cell r="B818">
            <v>2</v>
          </cell>
          <cell r="C818">
            <v>1</v>
          </cell>
          <cell r="D818" t="str">
            <v>Impuesto sobre nomina Desarrollo</v>
          </cell>
          <cell r="E818">
            <v>17813.18</v>
          </cell>
          <cell r="F818">
            <v>5166.24</v>
          </cell>
          <cell r="G818">
            <v>0</v>
          </cell>
          <cell r="H818">
            <v>22979.42</v>
          </cell>
          <cell r="I818">
            <v>7636.74</v>
          </cell>
          <cell r="J818">
            <v>0</v>
          </cell>
          <cell r="K818">
            <v>0</v>
          </cell>
        </row>
        <row r="819">
          <cell r="A819" t="str">
            <v>6060101000</v>
          </cell>
          <cell r="B819">
            <v>2</v>
          </cell>
          <cell r="C819">
            <v>1</v>
          </cell>
          <cell r="D819" t="str">
            <v>Sueldos y Salarios Direccion</v>
          </cell>
          <cell r="E819">
            <v>220442</v>
          </cell>
          <cell r="F819">
            <v>64862.400000000001</v>
          </cell>
          <cell r="G819">
            <v>0</v>
          </cell>
          <cell r="H819">
            <v>285304.40000000002</v>
          </cell>
          <cell r="I819">
            <v>93045.17</v>
          </cell>
          <cell r="J819">
            <v>0</v>
          </cell>
          <cell r="K819">
            <v>0</v>
          </cell>
        </row>
        <row r="820">
          <cell r="A820" t="str">
            <v>6060103000</v>
          </cell>
          <cell r="B820">
            <v>2</v>
          </cell>
          <cell r="C820">
            <v>1</v>
          </cell>
          <cell r="D820" t="str">
            <v>Tiempos extrasDireccion</v>
          </cell>
          <cell r="E820">
            <v>1360.8</v>
          </cell>
          <cell r="F820">
            <v>0</v>
          </cell>
          <cell r="G820">
            <v>0</v>
          </cell>
          <cell r="H820">
            <v>1360.8</v>
          </cell>
          <cell r="I820">
            <v>0</v>
          </cell>
          <cell r="J820">
            <v>0</v>
          </cell>
          <cell r="K820">
            <v>0</v>
          </cell>
        </row>
        <row r="821">
          <cell r="A821" t="str">
            <v>6060104000</v>
          </cell>
          <cell r="B821">
            <v>2</v>
          </cell>
          <cell r="C821">
            <v>1</v>
          </cell>
          <cell r="D821" t="str">
            <v>Premios de asistencia Direccion</v>
          </cell>
          <cell r="E821">
            <v>26371.86</v>
          </cell>
          <cell r="F821">
            <v>7499.28</v>
          </cell>
          <cell r="G821">
            <v>0</v>
          </cell>
          <cell r="H821">
            <v>33871.14</v>
          </cell>
          <cell r="I821">
            <v>9970.17</v>
          </cell>
          <cell r="J821">
            <v>0</v>
          </cell>
          <cell r="K821">
            <v>0</v>
          </cell>
        </row>
        <row r="822">
          <cell r="A822" t="str">
            <v>6060105000</v>
          </cell>
          <cell r="B822">
            <v>2</v>
          </cell>
          <cell r="C822">
            <v>1</v>
          </cell>
          <cell r="D822" t="str">
            <v>Premios de puntualidad Direccion</v>
          </cell>
          <cell r="E822">
            <v>26371.86</v>
          </cell>
          <cell r="F822">
            <v>7499.28</v>
          </cell>
          <cell r="G822">
            <v>0</v>
          </cell>
          <cell r="H822">
            <v>33871.14</v>
          </cell>
          <cell r="I822">
            <v>9970.17</v>
          </cell>
          <cell r="J822">
            <v>0</v>
          </cell>
          <cell r="K822">
            <v>0</v>
          </cell>
        </row>
        <row r="823">
          <cell r="A823" t="str">
            <v>6060106000</v>
          </cell>
          <cell r="B823">
            <v>2</v>
          </cell>
          <cell r="C823">
            <v>1</v>
          </cell>
          <cell r="D823" t="str">
            <v>Vacaciones Direccion</v>
          </cell>
          <cell r="E823">
            <v>19379.349999999999</v>
          </cell>
          <cell r="F823">
            <v>2177.2800000000002</v>
          </cell>
          <cell r="G823">
            <v>0</v>
          </cell>
          <cell r="H823">
            <v>21556.63</v>
          </cell>
          <cell r="I823">
            <v>20300.240000000002</v>
          </cell>
          <cell r="J823">
            <v>0</v>
          </cell>
          <cell r="K823">
            <v>0</v>
          </cell>
        </row>
        <row r="824">
          <cell r="A824" t="str">
            <v>6060107000</v>
          </cell>
          <cell r="B824">
            <v>2</v>
          </cell>
          <cell r="C824">
            <v>1</v>
          </cell>
          <cell r="D824" t="str">
            <v>Prima vacacional Direccion</v>
          </cell>
          <cell r="E824">
            <v>846.18</v>
          </cell>
          <cell r="F824">
            <v>0</v>
          </cell>
          <cell r="G824">
            <v>0</v>
          </cell>
          <cell r="H824">
            <v>846.18</v>
          </cell>
          <cell r="I824">
            <v>8426.2199999999993</v>
          </cell>
          <cell r="J824">
            <v>0</v>
          </cell>
          <cell r="K824">
            <v>0</v>
          </cell>
        </row>
        <row r="825">
          <cell r="A825" t="str">
            <v>6060112000</v>
          </cell>
          <cell r="B825">
            <v>2</v>
          </cell>
          <cell r="C825">
            <v>1</v>
          </cell>
          <cell r="D825" t="str">
            <v>Aguinaldo Direccion</v>
          </cell>
          <cell r="E825">
            <v>34214.46</v>
          </cell>
          <cell r="F825">
            <v>3347.9</v>
          </cell>
          <cell r="G825">
            <v>0</v>
          </cell>
          <cell r="H825">
            <v>37562.36</v>
          </cell>
          <cell r="I825">
            <v>3607.55</v>
          </cell>
          <cell r="J825">
            <v>0</v>
          </cell>
          <cell r="K825">
            <v>0</v>
          </cell>
        </row>
        <row r="826">
          <cell r="A826" t="str">
            <v>6060115000</v>
          </cell>
          <cell r="B826">
            <v>2</v>
          </cell>
          <cell r="C826">
            <v>1</v>
          </cell>
          <cell r="D826" t="str">
            <v>Despensa Direccion</v>
          </cell>
          <cell r="E826">
            <v>26371.86</v>
          </cell>
          <cell r="F826">
            <v>7499.28</v>
          </cell>
          <cell r="G826">
            <v>0</v>
          </cell>
          <cell r="H826">
            <v>33871.14</v>
          </cell>
          <cell r="I826">
            <v>7301.18</v>
          </cell>
          <cell r="J826">
            <v>0</v>
          </cell>
          <cell r="K826">
            <v>0</v>
          </cell>
        </row>
        <row r="827">
          <cell r="A827" t="str">
            <v>6060119000</v>
          </cell>
          <cell r="B827">
            <v>2</v>
          </cell>
          <cell r="C827">
            <v>1</v>
          </cell>
          <cell r="D827" t="str">
            <v>Fondo de ahorro Direccion</v>
          </cell>
          <cell r="E827">
            <v>13084.85</v>
          </cell>
          <cell r="F827">
            <v>3749.64</v>
          </cell>
          <cell r="G827">
            <v>0</v>
          </cell>
          <cell r="H827">
            <v>16834.490000000002</v>
          </cell>
          <cell r="I827">
            <v>2887.89</v>
          </cell>
          <cell r="J827">
            <v>0</v>
          </cell>
          <cell r="K827">
            <v>0</v>
          </cell>
        </row>
        <row r="828">
          <cell r="A828" t="str">
            <v>6060124000</v>
          </cell>
          <cell r="B828">
            <v>2</v>
          </cell>
          <cell r="C828">
            <v>1</v>
          </cell>
          <cell r="D828" t="str">
            <v>Septimo día Direccion</v>
          </cell>
          <cell r="E828">
            <v>28014.16</v>
          </cell>
          <cell r="F828">
            <v>7953.28</v>
          </cell>
          <cell r="G828">
            <v>0</v>
          </cell>
          <cell r="H828">
            <v>35967.440000000002</v>
          </cell>
          <cell r="I828">
            <v>2955.89</v>
          </cell>
          <cell r="J828">
            <v>0</v>
          </cell>
          <cell r="K828">
            <v>0</v>
          </cell>
        </row>
        <row r="829">
          <cell r="A829" t="str">
            <v>6060130000</v>
          </cell>
          <cell r="B829">
            <v>2</v>
          </cell>
          <cell r="C829">
            <v>1</v>
          </cell>
          <cell r="D829" t="str">
            <v>Otros conceptos Direccion</v>
          </cell>
          <cell r="E829">
            <v>1215932.07</v>
          </cell>
          <cell r="F829">
            <v>446757.83</v>
          </cell>
          <cell r="G829">
            <v>0</v>
          </cell>
          <cell r="H829">
            <v>1662689.9</v>
          </cell>
          <cell r="I829">
            <v>455131.48</v>
          </cell>
          <cell r="J829">
            <v>0</v>
          </cell>
          <cell r="K829">
            <v>0</v>
          </cell>
        </row>
        <row r="830">
          <cell r="A830" t="str">
            <v>6062500000</v>
          </cell>
          <cell r="B830">
            <v>2</v>
          </cell>
          <cell r="C830">
            <v>1</v>
          </cell>
          <cell r="D830" t="str">
            <v>Otros conceptos Direccion</v>
          </cell>
          <cell r="E830">
            <v>0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130000</v>
          </cell>
          <cell r="K830">
            <v>0</v>
          </cell>
        </row>
        <row r="831">
          <cell r="A831" t="str">
            <v>6062600000</v>
          </cell>
          <cell r="B831">
            <v>2</v>
          </cell>
          <cell r="C831">
            <v>1</v>
          </cell>
          <cell r="D831" t="str">
            <v>Cuotas IMSS Direccion</v>
          </cell>
          <cell r="E831">
            <v>23100.66</v>
          </cell>
          <cell r="F831">
            <v>7411.12</v>
          </cell>
          <cell r="G831">
            <v>0</v>
          </cell>
          <cell r="H831">
            <v>30511.78</v>
          </cell>
          <cell r="I831">
            <v>10470.23</v>
          </cell>
          <cell r="J831">
            <v>0</v>
          </cell>
          <cell r="K831">
            <v>0</v>
          </cell>
        </row>
        <row r="832">
          <cell r="A832" t="str">
            <v>6062700000</v>
          </cell>
          <cell r="B832">
            <v>2</v>
          </cell>
          <cell r="C832">
            <v>1</v>
          </cell>
          <cell r="D832" t="str">
            <v>Aportaciones al infonavit Direccion</v>
          </cell>
          <cell r="E832">
            <v>10907.82</v>
          </cell>
          <cell r="F832">
            <v>8752.66</v>
          </cell>
          <cell r="G832">
            <v>0</v>
          </cell>
          <cell r="H832">
            <v>19660.48</v>
          </cell>
          <cell r="I832">
            <v>6949.92</v>
          </cell>
          <cell r="J832">
            <v>0</v>
          </cell>
          <cell r="K832">
            <v>0</v>
          </cell>
        </row>
        <row r="833">
          <cell r="A833" t="str">
            <v>6062800000</v>
          </cell>
          <cell r="B833">
            <v>2</v>
          </cell>
          <cell r="C833">
            <v>1</v>
          </cell>
          <cell r="D833" t="str">
            <v>Aportaciones al SAR Direccion</v>
          </cell>
          <cell r="E833">
            <v>16638.91</v>
          </cell>
          <cell r="F833">
            <v>13700.23</v>
          </cell>
          <cell r="G833">
            <v>0</v>
          </cell>
          <cell r="H833">
            <v>30339.14</v>
          </cell>
          <cell r="I833">
            <v>10474.16</v>
          </cell>
          <cell r="J833">
            <v>0</v>
          </cell>
          <cell r="K833">
            <v>0</v>
          </cell>
        </row>
        <row r="834">
          <cell r="A834" t="str">
            <v>6062900000</v>
          </cell>
          <cell r="B834">
            <v>2</v>
          </cell>
          <cell r="C834">
            <v>1</v>
          </cell>
          <cell r="D834" t="str">
            <v>Impuesto sobre nomina Direccion</v>
          </cell>
          <cell r="E834">
            <v>2738.61</v>
          </cell>
          <cell r="F834">
            <v>3037.1</v>
          </cell>
          <cell r="G834">
            <v>0</v>
          </cell>
          <cell r="H834">
            <v>5775.71</v>
          </cell>
          <cell r="I834">
            <v>9346.7999999999993</v>
          </cell>
          <cell r="J834">
            <v>0</v>
          </cell>
          <cell r="K834">
            <v>0</v>
          </cell>
        </row>
        <row r="835">
          <cell r="A835" t="str">
            <v>6080100000</v>
          </cell>
          <cell r="B835">
            <v>1</v>
          </cell>
          <cell r="C835">
            <v>1</v>
          </cell>
          <cell r="D835" t="str">
            <v>Gastos financieros de ejercicios anteriores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6577194.6699999999</v>
          </cell>
          <cell r="J835">
            <v>2826.5</v>
          </cell>
          <cell r="K835">
            <v>0</v>
          </cell>
        </row>
        <row r="836">
          <cell r="A836" t="str">
            <v>6080200000</v>
          </cell>
          <cell r="B836">
            <v>1</v>
          </cell>
          <cell r="C836">
            <v>1</v>
          </cell>
          <cell r="D836" t="str">
            <v>Gastos operativos de ejercicios anteriores</v>
          </cell>
          <cell r="E836">
            <v>1447332.09</v>
          </cell>
          <cell r="F836">
            <v>0</v>
          </cell>
          <cell r="G836">
            <v>0</v>
          </cell>
          <cell r="H836">
            <v>1447332.09</v>
          </cell>
          <cell r="I836">
            <v>1101246.05</v>
          </cell>
          <cell r="J836">
            <v>0</v>
          </cell>
          <cell r="K836">
            <v>0</v>
          </cell>
        </row>
        <row r="837">
          <cell r="A837" t="str">
            <v>6130200000</v>
          </cell>
          <cell r="B837">
            <v>2</v>
          </cell>
          <cell r="C837">
            <v>1</v>
          </cell>
          <cell r="D837" t="str">
            <v>Depreciación de maquinaria y equipo</v>
          </cell>
          <cell r="E837">
            <v>7599.24</v>
          </cell>
          <cell r="F837">
            <v>4574.33</v>
          </cell>
          <cell r="G837">
            <v>0</v>
          </cell>
          <cell r="H837">
            <v>12173.57</v>
          </cell>
          <cell r="I837">
            <v>276276.65000000002</v>
          </cell>
          <cell r="J837">
            <v>55610.02</v>
          </cell>
          <cell r="K837">
            <v>0</v>
          </cell>
        </row>
        <row r="838">
          <cell r="A838" t="str">
            <v>6130300000</v>
          </cell>
          <cell r="B838">
            <v>2</v>
          </cell>
          <cell r="C838">
            <v>1</v>
          </cell>
          <cell r="D838" t="str">
            <v>Depr de autom, autob, camiones, tractoc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9744.4500000000007</v>
          </cell>
          <cell r="J838">
            <v>1948.89</v>
          </cell>
          <cell r="K838">
            <v>0</v>
          </cell>
        </row>
        <row r="839">
          <cell r="A839" t="str">
            <v>6130400000</v>
          </cell>
          <cell r="B839">
            <v>2</v>
          </cell>
          <cell r="C839">
            <v>1</v>
          </cell>
          <cell r="D839" t="str">
            <v>Depreciación de mobiliario y eq de ofic</v>
          </cell>
          <cell r="E839">
            <v>0</v>
          </cell>
          <cell r="F839">
            <v>162.08000000000001</v>
          </cell>
          <cell r="G839">
            <v>0</v>
          </cell>
          <cell r="H839">
            <v>162.08000000000001</v>
          </cell>
          <cell r="I839">
            <v>621729.6</v>
          </cell>
          <cell r="J839">
            <v>124412.59</v>
          </cell>
          <cell r="K839">
            <v>0</v>
          </cell>
        </row>
        <row r="840">
          <cell r="A840" t="str">
            <v>6130500000</v>
          </cell>
          <cell r="B840">
            <v>2</v>
          </cell>
          <cell r="C840">
            <v>1</v>
          </cell>
          <cell r="D840" t="str">
            <v>Depreciación de equipo de cómputo</v>
          </cell>
          <cell r="E840">
            <v>13472.5</v>
          </cell>
          <cell r="F840">
            <v>7048.55</v>
          </cell>
          <cell r="G840">
            <v>0</v>
          </cell>
          <cell r="H840">
            <v>20521.05</v>
          </cell>
          <cell r="I840">
            <v>2450.9499999999998</v>
          </cell>
          <cell r="J840">
            <v>490.19</v>
          </cell>
          <cell r="K840">
            <v>0</v>
          </cell>
        </row>
        <row r="841">
          <cell r="A841" t="str">
            <v>6131700000</v>
          </cell>
          <cell r="B841">
            <v>2</v>
          </cell>
          <cell r="C841">
            <v>1</v>
          </cell>
          <cell r="D841" t="str">
            <v>Depreciación de adaptaciones y mejoras</v>
          </cell>
          <cell r="E841">
            <v>21611.52</v>
          </cell>
          <cell r="F841">
            <v>12535.01</v>
          </cell>
          <cell r="G841">
            <v>0</v>
          </cell>
          <cell r="H841">
            <v>34146.53</v>
          </cell>
          <cell r="I841">
            <v>21506.37</v>
          </cell>
          <cell r="J841">
            <v>6177.12</v>
          </cell>
          <cell r="K841">
            <v>0</v>
          </cell>
        </row>
        <row r="842">
          <cell r="A842" t="str">
            <v>6131800000</v>
          </cell>
          <cell r="B842">
            <v>2</v>
          </cell>
          <cell r="C842">
            <v>1</v>
          </cell>
          <cell r="D842" t="str">
            <v>Depreciación de otra maquinaria y eq</v>
          </cell>
          <cell r="E842">
            <v>0</v>
          </cell>
          <cell r="F842">
            <v>394.13</v>
          </cell>
          <cell r="G842">
            <v>0</v>
          </cell>
          <cell r="H842">
            <v>394.13</v>
          </cell>
          <cell r="I842">
            <v>0</v>
          </cell>
          <cell r="J842">
            <v>0</v>
          </cell>
          <cell r="K842">
            <v>0</v>
          </cell>
        </row>
        <row r="843">
          <cell r="A843" t="str">
            <v>6141001000</v>
          </cell>
          <cell r="B843">
            <v>1</v>
          </cell>
          <cell r="C843">
            <v>1</v>
          </cell>
          <cell r="D843" t="str">
            <v>Arrendamientos</v>
          </cell>
          <cell r="E843">
            <v>324029.76</v>
          </cell>
          <cell r="F843">
            <v>457208.16</v>
          </cell>
          <cell r="G843">
            <v>0</v>
          </cell>
          <cell r="H843">
            <v>781237.92</v>
          </cell>
          <cell r="I843">
            <v>2472768.2000000002</v>
          </cell>
          <cell r="J843">
            <v>299327.2</v>
          </cell>
          <cell r="K843">
            <v>0</v>
          </cell>
        </row>
        <row r="844">
          <cell r="A844" t="str">
            <v>7010100000</v>
          </cell>
          <cell r="B844">
            <v>2</v>
          </cell>
          <cell r="C844">
            <v>1</v>
          </cell>
          <cell r="D844" t="str">
            <v>Pérdida cambiaria</v>
          </cell>
          <cell r="E844">
            <v>10051.02</v>
          </cell>
          <cell r="F844">
            <v>1726.64</v>
          </cell>
          <cell r="G844">
            <v>0</v>
          </cell>
          <cell r="H844">
            <v>11777.66</v>
          </cell>
          <cell r="I844">
            <v>193800.46</v>
          </cell>
          <cell r="J844">
            <v>0</v>
          </cell>
          <cell r="K844">
            <v>0</v>
          </cell>
        </row>
        <row r="845">
          <cell r="A845" t="str">
            <v>7010400000</v>
          </cell>
          <cell r="B845">
            <v>2</v>
          </cell>
          <cell r="C845">
            <v>1</v>
          </cell>
          <cell r="D845" t="str">
            <v>Intereses a cargo bancario nacional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154683.84</v>
          </cell>
          <cell r="J845">
            <v>46633.53</v>
          </cell>
          <cell r="K845">
            <v>0</v>
          </cell>
        </row>
        <row r="846">
          <cell r="A846" t="str">
            <v>7010600000</v>
          </cell>
          <cell r="B846">
            <v>2</v>
          </cell>
          <cell r="C846">
            <v>1</v>
          </cell>
          <cell r="D846" t="str">
            <v>Intereses a cargo de personas físicas nacional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9892.75</v>
          </cell>
          <cell r="J846">
            <v>0</v>
          </cell>
          <cell r="K846">
            <v>0</v>
          </cell>
        </row>
        <row r="847">
          <cell r="A847" t="str">
            <v>7010800000</v>
          </cell>
          <cell r="B847">
            <v>2</v>
          </cell>
          <cell r="C847">
            <v>1</v>
          </cell>
          <cell r="D847" t="str">
            <v>Intereses a cargo de personas morales nacional</v>
          </cell>
          <cell r="E847">
            <v>2944454.53</v>
          </cell>
          <cell r="F847">
            <v>745220.84</v>
          </cell>
          <cell r="G847">
            <v>78445.86</v>
          </cell>
          <cell r="H847">
            <v>3611229.51</v>
          </cell>
          <cell r="I847">
            <v>2295754.2999999998</v>
          </cell>
          <cell r="J847">
            <v>250261.63</v>
          </cell>
          <cell r="K847">
            <v>17284.21</v>
          </cell>
        </row>
        <row r="848">
          <cell r="A848" t="str">
            <v>7011000000</v>
          </cell>
          <cell r="B848">
            <v>2</v>
          </cell>
          <cell r="C848">
            <v>1</v>
          </cell>
          <cell r="D848" t="str">
            <v>Comisiones bancarias</v>
          </cell>
          <cell r="E848">
            <v>21958.36</v>
          </cell>
          <cell r="F848">
            <v>3609.41</v>
          </cell>
          <cell r="G848">
            <v>0</v>
          </cell>
          <cell r="H848">
            <v>25567.77</v>
          </cell>
          <cell r="I848">
            <v>35664.43</v>
          </cell>
          <cell r="J848">
            <v>7080.76</v>
          </cell>
          <cell r="K848">
            <v>0</v>
          </cell>
        </row>
        <row r="849">
          <cell r="A849" t="str">
            <v>7011100000</v>
          </cell>
          <cell r="B849">
            <v>2</v>
          </cell>
          <cell r="C849">
            <v>1</v>
          </cell>
          <cell r="D849" t="str">
            <v>Comisiones por financiamiento</v>
          </cell>
          <cell r="E849">
            <v>95610.87</v>
          </cell>
          <cell r="F849">
            <v>0</v>
          </cell>
          <cell r="G849">
            <v>0</v>
          </cell>
          <cell r="H849">
            <v>95610.87</v>
          </cell>
          <cell r="I849">
            <v>50000</v>
          </cell>
          <cell r="J849">
            <v>0</v>
          </cell>
          <cell r="K849">
            <v>0</v>
          </cell>
        </row>
        <row r="850">
          <cell r="A850" t="str">
            <v>7011300000</v>
          </cell>
          <cell r="B850">
            <v>2</v>
          </cell>
          <cell r="C850">
            <v>1</v>
          </cell>
          <cell r="D850" t="str">
            <v>Otros gastos financieros</v>
          </cell>
          <cell r="E850">
            <v>452144.65</v>
          </cell>
          <cell r="F850">
            <v>0</v>
          </cell>
          <cell r="G850">
            <v>0</v>
          </cell>
          <cell r="H850">
            <v>452144.65</v>
          </cell>
          <cell r="I850">
            <v>16935.02</v>
          </cell>
          <cell r="J850">
            <v>0</v>
          </cell>
          <cell r="K850">
            <v>0</v>
          </cell>
        </row>
        <row r="851">
          <cell r="A851" t="str">
            <v>7020101000</v>
          </cell>
          <cell r="B851">
            <v>2</v>
          </cell>
          <cell r="C851">
            <v>1</v>
          </cell>
          <cell r="D851" t="str">
            <v>Uilidad cambiaria efectiva</v>
          </cell>
          <cell r="E851">
            <v>-128655.35</v>
          </cell>
          <cell r="F851">
            <v>0</v>
          </cell>
          <cell r="G851">
            <v>117319.75</v>
          </cell>
          <cell r="H851">
            <v>-245975.1</v>
          </cell>
          <cell r="I851">
            <v>-276986.39</v>
          </cell>
          <cell r="J851">
            <v>0</v>
          </cell>
          <cell r="K851">
            <v>50094.86</v>
          </cell>
        </row>
        <row r="852">
          <cell r="A852" t="str">
            <v>7020102000</v>
          </cell>
          <cell r="B852">
            <v>2</v>
          </cell>
          <cell r="C852">
            <v>1</v>
          </cell>
          <cell r="D852" t="str">
            <v>Utilidad cambiaria cierre mensual</v>
          </cell>
          <cell r="E852">
            <v>-4124.1499999999996</v>
          </cell>
          <cell r="F852">
            <v>0</v>
          </cell>
          <cell r="G852">
            <v>7740.5</v>
          </cell>
          <cell r="H852">
            <v>-11864.65</v>
          </cell>
          <cell r="I852">
            <v>-60820.31</v>
          </cell>
          <cell r="J852">
            <v>0</v>
          </cell>
          <cell r="K852">
            <v>448.97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9B41B-B27E-471F-B9D5-B491BC1A1B51}">
  <sheetPr codeName="Hoja1"/>
  <dimension ref="A1:J1781"/>
  <sheetViews>
    <sheetView tabSelected="1" topLeftCell="A1425" workbookViewId="0">
      <selection activeCell="E1451" sqref="E1451"/>
    </sheetView>
  </sheetViews>
  <sheetFormatPr baseColWidth="10" defaultRowHeight="14.4" x14ac:dyDescent="0.3"/>
  <cols>
    <col min="1" max="1" width="13" bestFit="1" customWidth="1"/>
    <col min="2" max="2" width="57.44140625" bestFit="1" customWidth="1"/>
    <col min="3" max="3" width="27.6640625" bestFit="1" customWidth="1"/>
    <col min="4" max="4" width="27.6640625" style="5" bestFit="1" customWidth="1"/>
    <col min="5" max="5" width="23.88671875" bestFit="1" customWidth="1"/>
    <col min="6" max="6" width="22.44140625" bestFit="1" customWidth="1"/>
    <col min="7" max="7" width="27.6640625" bestFit="1" customWidth="1"/>
  </cols>
  <sheetData>
    <row r="1" spans="1:6" x14ac:dyDescent="0.3">
      <c r="A1" s="1" t="s">
        <v>3091</v>
      </c>
      <c r="B1" s="1" t="s">
        <v>3092</v>
      </c>
      <c r="C1" t="s">
        <v>3028</v>
      </c>
      <c r="D1" s="5" t="s">
        <v>3091</v>
      </c>
      <c r="E1" t="s">
        <v>4912</v>
      </c>
      <c r="F1" t="s">
        <v>4913</v>
      </c>
    </row>
    <row r="2" spans="1:6" x14ac:dyDescent="0.3">
      <c r="A2" s="2" t="s">
        <v>0</v>
      </c>
      <c r="B2" s="2" t="s">
        <v>1</v>
      </c>
      <c r="C2" t="s">
        <v>3090</v>
      </c>
      <c r="D2" s="5" t="s">
        <v>3097</v>
      </c>
      <c r="E2" s="6">
        <f>IFERROR(VLOOKUP($D2,[1]Balanza!$A$3:$K$852,6,0)-VLOOKUP($D2,[1]Balanza!$A$3:$K$852,7,0),0)</f>
        <v>0</v>
      </c>
      <c r="F2" s="6">
        <f>IFERROR(VLOOKUP($D2,[1]Balanza!$A$3:$K$852,10,0)-VLOOKUP($D2,[1]Balanza!$A$3:$K$852,11,0),0)</f>
        <v>0</v>
      </c>
    </row>
    <row r="3" spans="1:6" x14ac:dyDescent="0.3">
      <c r="A3" s="2" t="s">
        <v>2</v>
      </c>
      <c r="B3" s="2" t="s">
        <v>3</v>
      </c>
      <c r="C3" t="s">
        <v>3090</v>
      </c>
      <c r="D3" s="5" t="s">
        <v>3098</v>
      </c>
      <c r="E3" s="6">
        <f>IFERROR(VLOOKUP($D3,[1]Balanza!$A$3:$K$852,6,0)-VLOOKUP(D3,[1]Balanza!$A$3:$K$852,7,0),0)</f>
        <v>0</v>
      </c>
      <c r="F3" s="6">
        <f>IFERROR(VLOOKUP($D3,[1]Balanza!$A$3:$K$852,10,0)-VLOOKUP($D3,[1]Balanza!$A$3:$K$852,11,0),0)</f>
        <v>0</v>
      </c>
    </row>
    <row r="4" spans="1:6" x14ac:dyDescent="0.3">
      <c r="A4" s="1" t="s">
        <v>4</v>
      </c>
      <c r="B4" s="1" t="s">
        <v>5</v>
      </c>
      <c r="C4" t="s">
        <v>3090</v>
      </c>
      <c r="D4" s="5" t="s">
        <v>3099</v>
      </c>
      <c r="E4" s="6">
        <f>IFERROR(VLOOKUP($D4,[1]Balanza!$A$3:$K$852,6,0)-VLOOKUP(D4,[1]Balanza!$A$3:$K$852,7,0),0)</f>
        <v>0</v>
      </c>
      <c r="F4" s="6">
        <f>IFERROR(VLOOKUP($D4,[1]Balanza!$A$3:$K$852,10,0)-VLOOKUP($D4,[1]Balanza!$A$3:$K$852,11,0),0)</f>
        <v>0</v>
      </c>
    </row>
    <row r="5" spans="1:6" x14ac:dyDescent="0.3">
      <c r="A5" s="2" t="s">
        <v>6</v>
      </c>
      <c r="B5" s="2" t="s">
        <v>7</v>
      </c>
      <c r="C5" t="s">
        <v>3090</v>
      </c>
      <c r="D5" s="5" t="s">
        <v>3100</v>
      </c>
      <c r="E5" s="6">
        <f>IFERROR(VLOOKUP($D5,[1]Balanza!$A$3:$K$852,6,0)-VLOOKUP(D5,[1]Balanza!$A$3:$K$852,7,0),0)</f>
        <v>0</v>
      </c>
      <c r="F5" s="6">
        <f>IFERROR(VLOOKUP($D5,[1]Balanza!$A$3:$K$852,10,0)-VLOOKUP($D5,[1]Balanza!$A$3:$K$852,11,0),0)</f>
        <v>0</v>
      </c>
    </row>
    <row r="6" spans="1:6" x14ac:dyDescent="0.3">
      <c r="A6" s="2" t="s">
        <v>8</v>
      </c>
      <c r="B6" s="2" t="s">
        <v>9</v>
      </c>
      <c r="C6" t="s">
        <v>3090</v>
      </c>
      <c r="D6" s="5" t="s">
        <v>3101</v>
      </c>
      <c r="E6" s="6">
        <f>IFERROR(VLOOKUP($D6,[1]Balanza!$A$3:$K$852,6,0)-VLOOKUP(D6,[1]Balanza!$A$3:$K$852,7,0),0)</f>
        <v>80.33</v>
      </c>
      <c r="F6" s="6">
        <f>IFERROR(VLOOKUP($D6,[1]Balanza!$A$3:$K$852,10,0)-VLOOKUP($D6,[1]Balanza!$A$3:$K$852,11,0),0)</f>
        <v>6453.23</v>
      </c>
    </row>
    <row r="7" spans="1:6" x14ac:dyDescent="0.3">
      <c r="A7" s="2" t="s">
        <v>10</v>
      </c>
      <c r="B7" s="2" t="s">
        <v>11</v>
      </c>
      <c r="C7" t="s">
        <v>3090</v>
      </c>
      <c r="D7" s="5" t="s">
        <v>3102</v>
      </c>
      <c r="E7" s="6">
        <f>IFERROR(VLOOKUP($D7,[1]Balanza!$A$3:$K$852,6,0)-VLOOKUP(D7,[1]Balanza!$A$3:$K$852,7,0),0)</f>
        <v>0</v>
      </c>
      <c r="F7" s="6">
        <f>IFERROR(VLOOKUP($D7,[1]Balanza!$A$3:$K$852,10,0)-VLOOKUP($D7,[1]Balanza!$A$3:$K$852,11,0),0)</f>
        <v>0</v>
      </c>
    </row>
    <row r="8" spans="1:6" x14ac:dyDescent="0.3">
      <c r="A8" s="2" t="s">
        <v>12</v>
      </c>
      <c r="B8" s="2" t="s">
        <v>13</v>
      </c>
      <c r="C8" t="s">
        <v>3090</v>
      </c>
      <c r="D8" s="5" t="s">
        <v>3103</v>
      </c>
      <c r="E8" s="6">
        <f>IFERROR(VLOOKUP($D8,[1]Balanza!$A$3:$K$852,6,0)-VLOOKUP(D8,[1]Balanza!$A$3:$K$852,7,0),0)</f>
        <v>0</v>
      </c>
      <c r="F8" s="6">
        <f>IFERROR(VLOOKUP($D8,[1]Balanza!$A$3:$K$852,10,0)-VLOOKUP($D8,[1]Balanza!$A$3:$K$852,11,0),0)</f>
        <v>-3823.88</v>
      </c>
    </row>
    <row r="9" spans="1:6" x14ac:dyDescent="0.3">
      <c r="A9" s="2" t="s">
        <v>14</v>
      </c>
      <c r="B9" s="2" t="s">
        <v>15</v>
      </c>
      <c r="C9" t="s">
        <v>3090</v>
      </c>
      <c r="D9" s="5" t="s">
        <v>3104</v>
      </c>
      <c r="E9" s="6">
        <f>IFERROR(VLOOKUP($D9,[1]Balanza!$A$3:$K$852,6,0)-VLOOKUP(D9,[1]Balanza!$A$3:$K$852,7,0),0)</f>
        <v>0</v>
      </c>
      <c r="F9" s="6">
        <f>IFERROR(VLOOKUP($D9,[1]Balanza!$A$3:$K$852,10,0)-VLOOKUP($D9,[1]Balanza!$A$3:$K$852,11,0),0)</f>
        <v>0</v>
      </c>
    </row>
    <row r="10" spans="1:6" x14ac:dyDescent="0.3">
      <c r="A10" s="1" t="s">
        <v>16</v>
      </c>
      <c r="B10" s="1" t="s">
        <v>17</v>
      </c>
      <c r="C10" t="s">
        <v>3090</v>
      </c>
      <c r="D10" s="5" t="s">
        <v>3105</v>
      </c>
      <c r="E10" s="6">
        <f>IFERROR(VLOOKUP($D10,[1]Balanza!$A$3:$K$852,6,0)-VLOOKUP(D10,[1]Balanza!$A$3:$K$852,7,0),0)</f>
        <v>0</v>
      </c>
      <c r="F10" s="6">
        <f>IFERROR(VLOOKUP($D10,[1]Balanza!$A$3:$K$852,10,0)-VLOOKUP($D10,[1]Balanza!$A$3:$K$852,11,0),0)</f>
        <v>0</v>
      </c>
    </row>
    <row r="11" spans="1:6" x14ac:dyDescent="0.3">
      <c r="A11" s="2" t="s">
        <v>18</v>
      </c>
      <c r="B11" s="2" t="s">
        <v>19</v>
      </c>
      <c r="C11" t="s">
        <v>3090</v>
      </c>
      <c r="D11" s="5" t="s">
        <v>3106</v>
      </c>
      <c r="E11" s="6">
        <f>IFERROR(VLOOKUP($D11,[1]Balanza!$A$3:$K$852,6,0)-VLOOKUP(D11,[1]Balanza!$A$3:$K$852,7,0),0)</f>
        <v>0</v>
      </c>
      <c r="F11" s="6">
        <f>IFERROR(VLOOKUP($D11,[1]Balanza!$A$3:$K$852,10,0)-VLOOKUP($D11,[1]Balanza!$A$3:$K$852,11,0),0)</f>
        <v>0</v>
      </c>
    </row>
    <row r="12" spans="1:6" x14ac:dyDescent="0.3">
      <c r="A12" s="2" t="s">
        <v>20</v>
      </c>
      <c r="B12" s="2" t="s">
        <v>21</v>
      </c>
      <c r="C12" t="s">
        <v>3090</v>
      </c>
      <c r="D12" s="5" t="s">
        <v>3107</v>
      </c>
      <c r="E12" s="6">
        <f>IFERROR(VLOOKUP($D12,[1]Balanza!$A$3:$K$852,6,0)-VLOOKUP(D12,[1]Balanza!$A$3:$K$852,7,0),0)</f>
        <v>0</v>
      </c>
      <c r="F12" s="6">
        <f>IFERROR(VLOOKUP($D12,[1]Balanza!$A$3:$K$852,10,0)-VLOOKUP($D12,[1]Balanza!$A$3:$K$852,11,0),0)</f>
        <v>0</v>
      </c>
    </row>
    <row r="13" spans="1:6" x14ac:dyDescent="0.3">
      <c r="A13" s="2" t="s">
        <v>22</v>
      </c>
      <c r="B13" s="2" t="s">
        <v>23</v>
      </c>
      <c r="C13" t="s">
        <v>3090</v>
      </c>
      <c r="D13" s="5" t="s">
        <v>3108</v>
      </c>
      <c r="E13" s="6">
        <f>IFERROR(VLOOKUP($D13,[1]Balanza!$A$3:$K$852,6,0)-VLOOKUP(D13,[1]Balanza!$A$3:$K$852,7,0),0)</f>
        <v>0</v>
      </c>
      <c r="F13" s="6">
        <f>IFERROR(VLOOKUP($D13,[1]Balanza!$A$3:$K$852,10,0)-VLOOKUP($D13,[1]Balanza!$A$3:$K$852,11,0),0)</f>
        <v>0</v>
      </c>
    </row>
    <row r="14" spans="1:6" x14ac:dyDescent="0.3">
      <c r="A14" s="2" t="s">
        <v>24</v>
      </c>
      <c r="B14" s="2" t="s">
        <v>25</v>
      </c>
      <c r="C14" t="s">
        <v>3090</v>
      </c>
      <c r="D14" s="5" t="s">
        <v>3109</v>
      </c>
      <c r="E14" s="6">
        <f>IFERROR(VLOOKUP($D14,[1]Balanza!$A$3:$K$852,6,0)-VLOOKUP(D14,[1]Balanza!$A$3:$K$852,7,0),0)</f>
        <v>0</v>
      </c>
      <c r="F14" s="6">
        <f>IFERROR(VLOOKUP($D14,[1]Balanza!$A$3:$K$852,10,0)-VLOOKUP($D14,[1]Balanza!$A$3:$K$852,11,0),0)</f>
        <v>0</v>
      </c>
    </row>
    <row r="15" spans="1:6" x14ac:dyDescent="0.3">
      <c r="A15" s="2" t="s">
        <v>26</v>
      </c>
      <c r="B15" s="2" t="s">
        <v>27</v>
      </c>
      <c r="C15" t="s">
        <v>3090</v>
      </c>
      <c r="D15" s="5" t="s">
        <v>3110</v>
      </c>
      <c r="E15" s="6">
        <f>IFERROR(VLOOKUP($D15,[1]Balanza!$A$3:$K$852,6,0)-VLOOKUP(D15,[1]Balanza!$A$3:$K$852,7,0),0)</f>
        <v>0</v>
      </c>
      <c r="F15" s="6">
        <f>IFERROR(VLOOKUP($D15,[1]Balanza!$A$3:$K$852,10,0)-VLOOKUP($D15,[1]Balanza!$A$3:$K$852,11,0),0)</f>
        <v>0</v>
      </c>
    </row>
    <row r="16" spans="1:6" x14ac:dyDescent="0.3">
      <c r="A16" s="2" t="s">
        <v>28</v>
      </c>
      <c r="B16" s="2" t="s">
        <v>29</v>
      </c>
      <c r="C16" t="s">
        <v>3090</v>
      </c>
      <c r="D16" s="5" t="s">
        <v>3111</v>
      </c>
      <c r="E16" s="6">
        <f>IFERROR(VLOOKUP($D16,[1]Balanza!$A$3:$K$852,6,0)-VLOOKUP(D16,[1]Balanza!$A$3:$K$852,7,0),0)</f>
        <v>0</v>
      </c>
      <c r="F16" s="6">
        <f>IFERROR(VLOOKUP($D16,[1]Balanza!$A$3:$K$852,10,0)-VLOOKUP($D16,[1]Balanza!$A$3:$K$852,11,0),0)</f>
        <v>0</v>
      </c>
    </row>
    <row r="17" spans="1:6" x14ac:dyDescent="0.3">
      <c r="A17" s="2" t="s">
        <v>30</v>
      </c>
      <c r="B17" s="2" t="s">
        <v>31</v>
      </c>
      <c r="C17" t="s">
        <v>3090</v>
      </c>
      <c r="D17" s="5" t="s">
        <v>3112</v>
      </c>
      <c r="E17" s="6">
        <f>IFERROR(VLOOKUP($D17,[1]Balanza!$A$3:$K$852,6,0)-VLOOKUP(D17,[1]Balanza!$A$3:$K$852,7,0),0)</f>
        <v>0</v>
      </c>
      <c r="F17" s="6">
        <f>IFERROR(VLOOKUP($D17,[1]Balanza!$A$3:$K$852,10,0)-VLOOKUP($D17,[1]Balanza!$A$3:$K$852,11,0),0)</f>
        <v>0</v>
      </c>
    </row>
    <row r="18" spans="1:6" x14ac:dyDescent="0.3">
      <c r="A18" s="2" t="s">
        <v>32</v>
      </c>
      <c r="B18" s="2" t="s">
        <v>33</v>
      </c>
      <c r="C18" t="s">
        <v>3090</v>
      </c>
      <c r="D18" s="5" t="s">
        <v>3113</v>
      </c>
      <c r="E18" s="6">
        <f>IFERROR(VLOOKUP($D18,[1]Balanza!$A$3:$K$852,6,0)-VLOOKUP(D18,[1]Balanza!$A$3:$K$852,7,0),0)</f>
        <v>0</v>
      </c>
      <c r="F18" s="6">
        <f>IFERROR(VLOOKUP($D18,[1]Balanza!$A$3:$K$852,10,0)-VLOOKUP($D18,[1]Balanza!$A$3:$K$852,11,0),0)</f>
        <v>0</v>
      </c>
    </row>
    <row r="19" spans="1:6" x14ac:dyDescent="0.3">
      <c r="A19" s="2" t="s">
        <v>34</v>
      </c>
      <c r="B19" s="2" t="s">
        <v>35</v>
      </c>
      <c r="C19" t="s">
        <v>3090</v>
      </c>
      <c r="D19" s="5" t="s">
        <v>3114</v>
      </c>
      <c r="E19" s="6">
        <f>IFERROR(VLOOKUP($D19,[1]Balanza!$A$3:$K$852,6,0)-VLOOKUP(D19,[1]Balanza!$A$3:$K$852,7,0),0)</f>
        <v>0</v>
      </c>
      <c r="F19" s="6">
        <f>IFERROR(VLOOKUP($D19,[1]Balanza!$A$3:$K$852,10,0)-VLOOKUP($D19,[1]Balanza!$A$3:$K$852,11,0),0)</f>
        <v>0</v>
      </c>
    </row>
    <row r="20" spans="1:6" x14ac:dyDescent="0.3">
      <c r="A20" s="2" t="s">
        <v>36</v>
      </c>
      <c r="B20" s="2" t="s">
        <v>37</v>
      </c>
      <c r="C20" t="s">
        <v>3090</v>
      </c>
      <c r="D20" s="5" t="s">
        <v>3115</v>
      </c>
      <c r="E20" s="6">
        <f>IFERROR(VLOOKUP($D20,[1]Balanza!$A$3:$K$852,6,0)-VLOOKUP(D20,[1]Balanza!$A$3:$K$852,7,0),0)</f>
        <v>0</v>
      </c>
      <c r="F20" s="6">
        <f>IFERROR(VLOOKUP($D20,[1]Balanza!$A$3:$K$852,10,0)-VLOOKUP($D20,[1]Balanza!$A$3:$K$852,11,0),0)</f>
        <v>0</v>
      </c>
    </row>
    <row r="21" spans="1:6" x14ac:dyDescent="0.3">
      <c r="A21" s="2" t="s">
        <v>38</v>
      </c>
      <c r="B21" s="2" t="s">
        <v>39</v>
      </c>
      <c r="C21" t="s">
        <v>3090</v>
      </c>
      <c r="D21" s="5" t="s">
        <v>3116</v>
      </c>
      <c r="E21" s="6">
        <f>IFERROR(VLOOKUP($D21,[1]Balanza!$A$3:$K$852,6,0)-VLOOKUP(D21,[1]Balanza!$A$3:$K$852,7,0),0)</f>
        <v>0</v>
      </c>
      <c r="F21" s="6">
        <f>IFERROR(VLOOKUP($D21,[1]Balanza!$A$3:$K$852,10,0)-VLOOKUP($D21,[1]Balanza!$A$3:$K$852,11,0),0)</f>
        <v>0</v>
      </c>
    </row>
    <row r="22" spans="1:6" x14ac:dyDescent="0.3">
      <c r="A22" s="2" t="s">
        <v>40</v>
      </c>
      <c r="B22" s="2" t="s">
        <v>41</v>
      </c>
      <c r="C22" t="s">
        <v>3090</v>
      </c>
      <c r="D22" s="5" t="s">
        <v>3117</v>
      </c>
      <c r="E22" s="6">
        <f>IFERROR(VLOOKUP($D22,[1]Balanza!$A$3:$K$852,6,0)-VLOOKUP(D22,[1]Balanza!$A$3:$K$852,7,0),0)</f>
        <v>0</v>
      </c>
      <c r="F22" s="6">
        <f>IFERROR(VLOOKUP($D22,[1]Balanza!$A$3:$K$852,10,0)-VLOOKUP($D22,[1]Balanza!$A$3:$K$852,11,0),0)</f>
        <v>0</v>
      </c>
    </row>
    <row r="23" spans="1:6" x14ac:dyDescent="0.3">
      <c r="A23" s="2" t="s">
        <v>42</v>
      </c>
      <c r="B23" s="2" t="s">
        <v>43</v>
      </c>
      <c r="C23" t="s">
        <v>3090</v>
      </c>
      <c r="D23" s="5" t="s">
        <v>3118</v>
      </c>
      <c r="E23" s="6">
        <f>IFERROR(VLOOKUP($D23,[1]Balanza!$A$3:$K$852,6,0)-VLOOKUP(D23,[1]Balanza!$A$3:$K$852,7,0),0)</f>
        <v>0</v>
      </c>
      <c r="F23" s="6">
        <f>IFERROR(VLOOKUP($D23,[1]Balanza!$A$3:$K$852,10,0)-VLOOKUP($D23,[1]Balanza!$A$3:$K$852,11,0),0)</f>
        <v>0</v>
      </c>
    </row>
    <row r="24" spans="1:6" x14ac:dyDescent="0.3">
      <c r="A24" s="2" t="s">
        <v>44</v>
      </c>
      <c r="B24" s="2" t="s">
        <v>45</v>
      </c>
      <c r="C24" t="s">
        <v>3090</v>
      </c>
      <c r="D24" s="5" t="s">
        <v>3119</v>
      </c>
      <c r="E24" s="6">
        <f>IFERROR(VLOOKUP($D24,[1]Balanza!$A$3:$K$852,6,0)-VLOOKUP(D24,[1]Balanza!$A$3:$K$852,7,0),0)</f>
        <v>0</v>
      </c>
      <c r="F24" s="6">
        <f>IFERROR(VLOOKUP($D24,[1]Balanza!$A$3:$K$852,10,0)-VLOOKUP($D24,[1]Balanza!$A$3:$K$852,11,0),0)</f>
        <v>0</v>
      </c>
    </row>
    <row r="25" spans="1:6" x14ac:dyDescent="0.3">
      <c r="A25" s="2" t="s">
        <v>46</v>
      </c>
      <c r="B25" s="2" t="s">
        <v>47</v>
      </c>
      <c r="C25" t="s">
        <v>3090</v>
      </c>
      <c r="D25" s="5" t="s">
        <v>3120</v>
      </c>
      <c r="E25" s="6">
        <f>IFERROR(VLOOKUP($D25,[1]Balanza!$A$3:$K$852,6,0)-VLOOKUP(D25,[1]Balanza!$A$3:$K$852,7,0),0)</f>
        <v>0</v>
      </c>
      <c r="F25" s="6">
        <f>IFERROR(VLOOKUP($D25,[1]Balanza!$A$3:$K$852,10,0)-VLOOKUP($D25,[1]Balanza!$A$3:$K$852,11,0),0)</f>
        <v>0</v>
      </c>
    </row>
    <row r="26" spans="1:6" x14ac:dyDescent="0.3">
      <c r="A26" s="2" t="s">
        <v>48</v>
      </c>
      <c r="B26" s="2" t="s">
        <v>49</v>
      </c>
      <c r="C26" t="s">
        <v>3090</v>
      </c>
      <c r="D26" s="5" t="s">
        <v>3121</v>
      </c>
      <c r="E26" s="6">
        <f>IFERROR(VLOOKUP($D26,[1]Balanza!$A$3:$K$852,6,0)-VLOOKUP(D26,[1]Balanza!$A$3:$K$852,7,0),0)</f>
        <v>0</v>
      </c>
      <c r="F26" s="6">
        <f>IFERROR(VLOOKUP($D26,[1]Balanza!$A$3:$K$852,10,0)-VLOOKUP($D26,[1]Balanza!$A$3:$K$852,11,0),0)</f>
        <v>0</v>
      </c>
    </row>
    <row r="27" spans="1:6" x14ac:dyDescent="0.3">
      <c r="A27" s="2" t="s">
        <v>50</v>
      </c>
      <c r="B27" s="2" t="s">
        <v>51</v>
      </c>
      <c r="C27" t="s">
        <v>3090</v>
      </c>
      <c r="D27" s="5" t="s">
        <v>3122</v>
      </c>
      <c r="E27" s="6">
        <f>IFERROR(VLOOKUP($D27,[1]Balanza!$A$3:$K$852,6,0)-VLOOKUP(D27,[1]Balanza!$A$3:$K$852,7,0),0)</f>
        <v>0</v>
      </c>
      <c r="F27" s="6">
        <f>IFERROR(VLOOKUP($D27,[1]Balanza!$A$3:$K$852,10,0)-VLOOKUP($D27,[1]Balanza!$A$3:$K$852,11,0),0)</f>
        <v>0</v>
      </c>
    </row>
    <row r="28" spans="1:6" x14ac:dyDescent="0.3">
      <c r="A28" s="2" t="s">
        <v>52</v>
      </c>
      <c r="B28" s="2" t="s">
        <v>53</v>
      </c>
      <c r="C28" t="s">
        <v>3090</v>
      </c>
      <c r="D28" s="5" t="s">
        <v>3123</v>
      </c>
      <c r="E28" s="6">
        <f>IFERROR(VLOOKUP($D28,[1]Balanza!$A$3:$K$852,6,0)-VLOOKUP(D28,[1]Balanza!$A$3:$K$852,7,0),0)</f>
        <v>0</v>
      </c>
      <c r="F28" s="6">
        <f>IFERROR(VLOOKUP($D28,[1]Balanza!$A$3:$K$852,10,0)-VLOOKUP($D28,[1]Balanza!$A$3:$K$852,11,0),0)</f>
        <v>0</v>
      </c>
    </row>
    <row r="29" spans="1:6" x14ac:dyDescent="0.3">
      <c r="A29" s="2" t="s">
        <v>54</v>
      </c>
      <c r="B29" s="2" t="s">
        <v>55</v>
      </c>
      <c r="C29" t="s">
        <v>3090</v>
      </c>
      <c r="D29" s="5" t="s">
        <v>3124</v>
      </c>
      <c r="E29" s="6">
        <f>IFERROR(VLOOKUP($D29,[1]Balanza!$A$3:$K$852,6,0)-VLOOKUP(D29,[1]Balanza!$A$3:$K$852,7,0),0)</f>
        <v>0</v>
      </c>
      <c r="F29" s="6">
        <f>IFERROR(VLOOKUP($D29,[1]Balanza!$A$3:$K$852,10,0)-VLOOKUP($D29,[1]Balanza!$A$3:$K$852,11,0),0)</f>
        <v>0</v>
      </c>
    </row>
    <row r="30" spans="1:6" x14ac:dyDescent="0.3">
      <c r="A30" s="2" t="s">
        <v>56</v>
      </c>
      <c r="B30" s="2" t="s">
        <v>57</v>
      </c>
      <c r="C30" t="s">
        <v>3090</v>
      </c>
      <c r="D30" s="5" t="s">
        <v>3125</v>
      </c>
      <c r="E30" s="6">
        <f>IFERROR(VLOOKUP($D30,[1]Balanza!$A$3:$K$852,6,0)-VLOOKUP(D30,[1]Balanza!$A$3:$K$852,7,0),0)</f>
        <v>0</v>
      </c>
      <c r="F30" s="6">
        <f>IFERROR(VLOOKUP($D30,[1]Balanza!$A$3:$K$852,10,0)-VLOOKUP($D30,[1]Balanza!$A$3:$K$852,11,0),0)</f>
        <v>0</v>
      </c>
    </row>
    <row r="31" spans="1:6" x14ac:dyDescent="0.3">
      <c r="A31" s="2" t="s">
        <v>58</v>
      </c>
      <c r="B31" s="2" t="s">
        <v>59</v>
      </c>
      <c r="C31" t="s">
        <v>3090</v>
      </c>
      <c r="D31" s="5" t="s">
        <v>3126</v>
      </c>
      <c r="E31" s="6">
        <f>IFERROR(VLOOKUP($D31,[1]Balanza!$A$3:$K$852,6,0)-VLOOKUP(D31,[1]Balanza!$A$3:$K$852,7,0),0)</f>
        <v>0</v>
      </c>
      <c r="F31" s="6">
        <f>IFERROR(VLOOKUP($D31,[1]Balanza!$A$3:$K$852,10,0)-VLOOKUP($D31,[1]Balanza!$A$3:$K$852,11,0),0)</f>
        <v>0</v>
      </c>
    </row>
    <row r="32" spans="1:6" x14ac:dyDescent="0.3">
      <c r="A32" s="2" t="s">
        <v>60</v>
      </c>
      <c r="B32" s="2" t="s">
        <v>61</v>
      </c>
      <c r="C32" t="s">
        <v>3090</v>
      </c>
      <c r="D32" s="5" t="s">
        <v>3127</v>
      </c>
      <c r="E32" s="6">
        <f>IFERROR(VLOOKUP($D32,[1]Balanza!$A$3:$K$852,6,0)-VLOOKUP(D32,[1]Balanza!$A$3:$K$852,7,0),0)</f>
        <v>0</v>
      </c>
      <c r="F32" s="6">
        <f>IFERROR(VLOOKUP($D32,[1]Balanza!$A$3:$K$852,10,0)-VLOOKUP($D32,[1]Balanza!$A$3:$K$852,11,0),0)</f>
        <v>0</v>
      </c>
    </row>
    <row r="33" spans="1:6" x14ac:dyDescent="0.3">
      <c r="A33" s="2" t="s">
        <v>62</v>
      </c>
      <c r="B33" s="2" t="s">
        <v>63</v>
      </c>
      <c r="C33" t="s">
        <v>3090</v>
      </c>
      <c r="D33" s="5" t="s">
        <v>3128</v>
      </c>
      <c r="E33" s="6">
        <f>IFERROR(VLOOKUP($D33,[1]Balanza!$A$3:$K$852,6,0)-VLOOKUP(D33,[1]Balanza!$A$3:$K$852,7,0),0)</f>
        <v>0</v>
      </c>
      <c r="F33" s="6">
        <f>IFERROR(VLOOKUP($D33,[1]Balanza!$A$3:$K$852,10,0)-VLOOKUP($D33,[1]Balanza!$A$3:$K$852,11,0),0)</f>
        <v>0</v>
      </c>
    </row>
    <row r="34" spans="1:6" x14ac:dyDescent="0.3">
      <c r="A34" s="1" t="s">
        <v>64</v>
      </c>
      <c r="B34" s="1" t="s">
        <v>65</v>
      </c>
      <c r="C34" t="s">
        <v>3090</v>
      </c>
      <c r="D34" s="5" t="s">
        <v>3129</v>
      </c>
      <c r="E34" s="6">
        <f>IFERROR(VLOOKUP($D34,[1]Balanza!$A$3:$K$852,6,0)-VLOOKUP(D34,[1]Balanza!$A$3:$K$852,7,0),0)</f>
        <v>0</v>
      </c>
      <c r="F34" s="6">
        <f>IFERROR(VLOOKUP($D34,[1]Balanza!$A$3:$K$852,10,0)-VLOOKUP($D34,[1]Balanza!$A$3:$K$852,11,0),0)</f>
        <v>0</v>
      </c>
    </row>
    <row r="35" spans="1:6" x14ac:dyDescent="0.3">
      <c r="A35" s="2" t="s">
        <v>66</v>
      </c>
      <c r="B35" s="2" t="s">
        <v>67</v>
      </c>
      <c r="C35" t="s">
        <v>3090</v>
      </c>
      <c r="D35" s="5" t="s">
        <v>3130</v>
      </c>
      <c r="E35" s="6">
        <f>IFERROR(VLOOKUP($D35,[1]Balanza!$A$3:$K$852,6,0)-VLOOKUP(D35,[1]Balanza!$A$3:$K$852,7,0),0)</f>
        <v>0</v>
      </c>
      <c r="F35" s="6">
        <f>IFERROR(VLOOKUP($D35,[1]Balanza!$A$3:$K$852,10,0)-VLOOKUP($D35,[1]Balanza!$A$3:$K$852,11,0),0)</f>
        <v>0</v>
      </c>
    </row>
    <row r="36" spans="1:6" x14ac:dyDescent="0.3">
      <c r="A36" s="2" t="s">
        <v>68</v>
      </c>
      <c r="B36" s="2" t="s">
        <v>69</v>
      </c>
      <c r="C36" t="s">
        <v>3090</v>
      </c>
      <c r="D36" s="5" t="s">
        <v>3131</v>
      </c>
      <c r="E36" s="6">
        <f>IFERROR(VLOOKUP($D36,[1]Balanza!$A$3:$K$852,6,0)-VLOOKUP(D36,[1]Balanza!$A$3:$K$852,7,0),0)</f>
        <v>0</v>
      </c>
      <c r="F36" s="6">
        <f>IFERROR(VLOOKUP($D36,[1]Balanza!$A$3:$K$852,10,0)-VLOOKUP($D36,[1]Balanza!$A$3:$K$852,11,0),0)</f>
        <v>0</v>
      </c>
    </row>
    <row r="37" spans="1:6" x14ac:dyDescent="0.3">
      <c r="A37" s="2" t="s">
        <v>70</v>
      </c>
      <c r="B37" s="2" t="s">
        <v>71</v>
      </c>
      <c r="C37" t="s">
        <v>3090</v>
      </c>
      <c r="D37" s="5" t="s">
        <v>3132</v>
      </c>
      <c r="E37" s="6">
        <f>IFERROR(VLOOKUP($D37,[1]Balanza!$A$3:$K$852,6,0)-VLOOKUP(D37,[1]Balanza!$A$3:$K$852,7,0),0)</f>
        <v>0</v>
      </c>
      <c r="F37" s="6">
        <f>IFERROR(VLOOKUP($D37,[1]Balanza!$A$3:$K$852,10,0)-VLOOKUP($D37,[1]Balanza!$A$3:$K$852,11,0),0)</f>
        <v>0</v>
      </c>
    </row>
    <row r="38" spans="1:6" x14ac:dyDescent="0.3">
      <c r="A38" s="2" t="s">
        <v>72</v>
      </c>
      <c r="B38" s="2" t="s">
        <v>73</v>
      </c>
      <c r="C38" t="s">
        <v>3090</v>
      </c>
      <c r="D38" s="5" t="s">
        <v>3133</v>
      </c>
      <c r="E38" s="6">
        <f>IFERROR(VLOOKUP($D38,[1]Balanza!$A$3:$K$852,6,0)-VLOOKUP(D38,[1]Balanza!$A$3:$K$852,7,0),0)</f>
        <v>0</v>
      </c>
      <c r="F38" s="6">
        <f>IFERROR(VLOOKUP($D38,[1]Balanza!$A$3:$K$852,10,0)-VLOOKUP($D38,[1]Balanza!$A$3:$K$852,11,0),0)</f>
        <v>0</v>
      </c>
    </row>
    <row r="39" spans="1:6" x14ac:dyDescent="0.3">
      <c r="A39" s="1" t="s">
        <v>74</v>
      </c>
      <c r="B39" s="1" t="s">
        <v>75</v>
      </c>
      <c r="C39" t="s">
        <v>3090</v>
      </c>
      <c r="D39" s="5" t="s">
        <v>3134</v>
      </c>
      <c r="E39" s="6">
        <f>IFERROR(VLOOKUP($D39,[1]Balanza!$A$3:$K$852,6,0)-VLOOKUP(D39,[1]Balanza!$A$3:$K$852,7,0),0)</f>
        <v>0</v>
      </c>
      <c r="F39" s="6">
        <f>IFERROR(VLOOKUP($D39,[1]Balanza!$A$3:$K$852,10,0)-VLOOKUP($D39,[1]Balanza!$A$3:$K$852,11,0),0)</f>
        <v>0</v>
      </c>
    </row>
    <row r="40" spans="1:6" x14ac:dyDescent="0.3">
      <c r="A40" s="2" t="s">
        <v>76</v>
      </c>
      <c r="B40" s="2" t="s">
        <v>75</v>
      </c>
      <c r="C40" t="s">
        <v>3090</v>
      </c>
      <c r="D40" s="5" t="s">
        <v>3135</v>
      </c>
      <c r="E40" s="6">
        <f>IFERROR(VLOOKUP($D40,[1]Balanza!$A$3:$K$852,6,0)-VLOOKUP(D40,[1]Balanza!$A$3:$K$852,7,0),0)</f>
        <v>0</v>
      </c>
      <c r="F40" s="6">
        <f>IFERROR(VLOOKUP($D40,[1]Balanza!$A$3:$K$852,10,0)-VLOOKUP($D40,[1]Balanza!$A$3:$K$852,11,0),0)</f>
        <v>0</v>
      </c>
    </row>
    <row r="41" spans="1:6" x14ac:dyDescent="0.3">
      <c r="A41" s="1" t="s">
        <v>77</v>
      </c>
      <c r="B41" s="1" t="s">
        <v>78</v>
      </c>
      <c r="C41" t="s">
        <v>3090</v>
      </c>
      <c r="D41" s="5" t="s">
        <v>3136</v>
      </c>
      <c r="E41" s="6">
        <f>IFERROR(VLOOKUP($D41,[1]Balanza!$A$3:$K$852,6,0)-VLOOKUP(D41,[1]Balanza!$A$3:$K$852,7,0),0)</f>
        <v>0</v>
      </c>
      <c r="F41" s="6">
        <f>IFERROR(VLOOKUP($D41,[1]Balanza!$A$3:$K$852,10,0)-VLOOKUP($D41,[1]Balanza!$A$3:$K$852,11,0),0)</f>
        <v>0</v>
      </c>
    </row>
    <row r="42" spans="1:6" x14ac:dyDescent="0.3">
      <c r="A42" s="2" t="s">
        <v>79</v>
      </c>
      <c r="B42" s="2" t="s">
        <v>80</v>
      </c>
      <c r="C42" t="s">
        <v>3090</v>
      </c>
      <c r="D42" s="5" t="s">
        <v>3137</v>
      </c>
      <c r="E42" s="6">
        <f>IFERROR(VLOOKUP($D42,[1]Balanza!$A$3:$K$852,6,0)-VLOOKUP(D42,[1]Balanza!$A$3:$K$852,7,0),0)</f>
        <v>0</v>
      </c>
      <c r="F42" s="6">
        <f>IFERROR(VLOOKUP($D42,[1]Balanza!$A$3:$K$852,10,0)-VLOOKUP($D42,[1]Balanza!$A$3:$K$852,11,0),0)</f>
        <v>0</v>
      </c>
    </row>
    <row r="43" spans="1:6" x14ac:dyDescent="0.3">
      <c r="A43" s="2" t="s">
        <v>81</v>
      </c>
      <c r="B43" s="2" t="s">
        <v>82</v>
      </c>
      <c r="C43" t="s">
        <v>3090</v>
      </c>
      <c r="D43" s="5" t="s">
        <v>3138</v>
      </c>
      <c r="E43" s="6">
        <f>IFERROR(VLOOKUP($D43,[1]Balanza!$A$3:$K$852,6,0)-VLOOKUP(D43,[1]Balanza!$A$3:$K$852,7,0),0)</f>
        <v>0</v>
      </c>
      <c r="F43" s="6">
        <f>IFERROR(VLOOKUP($D43,[1]Balanza!$A$3:$K$852,10,0)-VLOOKUP($D43,[1]Balanza!$A$3:$K$852,11,0),0)</f>
        <v>0</v>
      </c>
    </row>
    <row r="44" spans="1:6" x14ac:dyDescent="0.3">
      <c r="A44" s="2" t="s">
        <v>83</v>
      </c>
      <c r="B44" s="2" t="s">
        <v>84</v>
      </c>
      <c r="C44" t="s">
        <v>3090</v>
      </c>
      <c r="D44" s="5" t="s">
        <v>3139</v>
      </c>
      <c r="E44" s="6">
        <f>IFERROR(VLOOKUP($D44,[1]Balanza!$A$3:$K$852,6,0)-VLOOKUP(D44,[1]Balanza!$A$3:$K$852,7,0),0)</f>
        <v>0</v>
      </c>
      <c r="F44" s="6">
        <f>IFERROR(VLOOKUP($D44,[1]Balanza!$A$3:$K$852,10,0)-VLOOKUP($D44,[1]Balanza!$A$3:$K$852,11,0),0)</f>
        <v>-163214.18999999994</v>
      </c>
    </row>
    <row r="45" spans="1:6" x14ac:dyDescent="0.3">
      <c r="A45" s="2" t="s">
        <v>85</v>
      </c>
      <c r="B45" s="2" t="s">
        <v>86</v>
      </c>
      <c r="C45" t="s">
        <v>3090</v>
      </c>
      <c r="D45" s="5" t="s">
        <v>3140</v>
      </c>
      <c r="E45" s="6">
        <f>IFERROR(VLOOKUP($D45,[1]Balanza!$A$3:$K$852,6,0)-VLOOKUP(D45,[1]Balanza!$A$3:$K$852,7,0),0)</f>
        <v>0</v>
      </c>
      <c r="F45" s="6">
        <f>IFERROR(VLOOKUP($D45,[1]Balanza!$A$3:$K$852,10,0)-VLOOKUP($D45,[1]Balanza!$A$3:$K$852,11,0),0)</f>
        <v>480184.32000000001</v>
      </c>
    </row>
    <row r="46" spans="1:6" x14ac:dyDescent="0.3">
      <c r="A46" s="2" t="s">
        <v>87</v>
      </c>
      <c r="B46" s="2" t="s">
        <v>88</v>
      </c>
      <c r="C46" t="s">
        <v>3090</v>
      </c>
      <c r="D46" s="5" t="s">
        <v>3141</v>
      </c>
      <c r="E46" s="6">
        <f>IFERROR(VLOOKUP($D46,[1]Balanza!$A$3:$K$852,6,0)-VLOOKUP(D46,[1]Balanza!$A$3:$K$852,7,0),0)</f>
        <v>0</v>
      </c>
      <c r="F46" s="6">
        <f>IFERROR(VLOOKUP($D46,[1]Balanza!$A$3:$K$852,10,0)-VLOOKUP($D46,[1]Balanza!$A$3:$K$852,11,0),0)</f>
        <v>-1135095.3299999998</v>
      </c>
    </row>
    <row r="47" spans="1:6" x14ac:dyDescent="0.3">
      <c r="A47" s="2" t="s">
        <v>89</v>
      </c>
      <c r="B47" s="2" t="s">
        <v>90</v>
      </c>
      <c r="C47" t="s">
        <v>3090</v>
      </c>
      <c r="D47" s="5" t="s">
        <v>3142</v>
      </c>
      <c r="E47" s="6">
        <f>IFERROR(VLOOKUP($D47,[1]Balanza!$A$3:$K$852,6,0)-VLOOKUP(D47,[1]Balanza!$A$3:$K$852,7,0),0)</f>
        <v>0</v>
      </c>
      <c r="F47" s="6">
        <f>IFERROR(VLOOKUP($D47,[1]Balanza!$A$3:$K$852,10,0)-VLOOKUP($D47,[1]Balanza!$A$3:$K$852,11,0),0)</f>
        <v>125891.82999999999</v>
      </c>
    </row>
    <row r="48" spans="1:6" x14ac:dyDescent="0.3">
      <c r="A48" s="2" t="s">
        <v>91</v>
      </c>
      <c r="B48" s="2" t="s">
        <v>92</v>
      </c>
      <c r="C48" t="s">
        <v>3090</v>
      </c>
      <c r="D48" s="5" t="s">
        <v>3143</v>
      </c>
      <c r="E48" s="6">
        <f>IFERROR(VLOOKUP($D48,[1]Balanza!$A$3:$K$852,6,0)-VLOOKUP(D48,[1]Balanza!$A$3:$K$852,7,0),0)</f>
        <v>2861174.8000000003</v>
      </c>
      <c r="F48" s="6">
        <f>IFERROR(VLOOKUP($D48,[1]Balanza!$A$3:$K$852,10,0)-VLOOKUP($D48,[1]Balanza!$A$3:$K$852,11,0),0)</f>
        <v>-674919.62</v>
      </c>
    </row>
    <row r="49" spans="1:6" x14ac:dyDescent="0.3">
      <c r="A49" s="2" t="s">
        <v>93</v>
      </c>
      <c r="B49" s="2" t="s">
        <v>94</v>
      </c>
      <c r="C49" t="s">
        <v>3090</v>
      </c>
      <c r="D49" s="5" t="s">
        <v>3144</v>
      </c>
      <c r="E49" s="6">
        <f>IFERROR(VLOOKUP($D49,[1]Balanza!$A$3:$K$852,6,0)-VLOOKUP(D49,[1]Balanza!$A$3:$K$852,7,0),0)</f>
        <v>0</v>
      </c>
      <c r="F49" s="6">
        <f>IFERROR(VLOOKUP($D49,[1]Balanza!$A$3:$K$852,10,0)-VLOOKUP($D49,[1]Balanza!$A$3:$K$852,11,0),0)</f>
        <v>25866.780000000028</v>
      </c>
    </row>
    <row r="50" spans="1:6" x14ac:dyDescent="0.3">
      <c r="A50" s="2" t="s">
        <v>95</v>
      </c>
      <c r="B50" s="2" t="s">
        <v>96</v>
      </c>
      <c r="C50" t="s">
        <v>3090</v>
      </c>
      <c r="D50" s="5" t="s">
        <v>3145</v>
      </c>
      <c r="E50" s="6">
        <f>IFERROR(VLOOKUP($D50,[1]Balanza!$A$3:$K$852,6,0)-VLOOKUP(D50,[1]Balanza!$A$3:$K$852,7,0),0)</f>
        <v>0</v>
      </c>
      <c r="F50" s="6">
        <f>IFERROR(VLOOKUP($D50,[1]Balanza!$A$3:$K$852,10,0)-VLOOKUP($D50,[1]Balanza!$A$3:$K$852,11,0),0)</f>
        <v>0</v>
      </c>
    </row>
    <row r="51" spans="1:6" x14ac:dyDescent="0.3">
      <c r="A51" s="2" t="s">
        <v>97</v>
      </c>
      <c r="B51" s="2" t="s">
        <v>98</v>
      </c>
      <c r="C51" t="s">
        <v>3090</v>
      </c>
      <c r="D51" s="5" t="s">
        <v>3146</v>
      </c>
      <c r="E51" s="6">
        <f>IFERROR(VLOOKUP($D51,[1]Balanza!$A$3:$K$852,6,0)-VLOOKUP(D51,[1]Balanza!$A$3:$K$852,7,0),0)</f>
        <v>0</v>
      </c>
      <c r="F51" s="6">
        <f>IFERROR(VLOOKUP($D51,[1]Balanza!$A$3:$K$852,10,0)-VLOOKUP($D51,[1]Balanza!$A$3:$K$852,11,0),0)</f>
        <v>0</v>
      </c>
    </row>
    <row r="52" spans="1:6" x14ac:dyDescent="0.3">
      <c r="A52" s="2" t="s">
        <v>99</v>
      </c>
      <c r="B52" s="2" t="s">
        <v>100</v>
      </c>
      <c r="C52" t="s">
        <v>3090</v>
      </c>
      <c r="D52" s="5" t="s">
        <v>3147</v>
      </c>
      <c r="E52" s="6">
        <f>IFERROR(VLOOKUP($D52,[1]Balanza!$A$3:$K$852,6,0)-VLOOKUP(D52,[1]Balanza!$A$3:$K$852,7,0),0)</f>
        <v>0</v>
      </c>
      <c r="F52" s="6">
        <f>IFERROR(VLOOKUP($D52,[1]Balanza!$A$3:$K$852,10,0)-VLOOKUP($D52,[1]Balanza!$A$3:$K$852,11,0),0)</f>
        <v>-35498.320000000007</v>
      </c>
    </row>
    <row r="53" spans="1:6" x14ac:dyDescent="0.3">
      <c r="A53" s="2" t="s">
        <v>101</v>
      </c>
      <c r="B53" s="2" t="s">
        <v>102</v>
      </c>
      <c r="C53" t="s">
        <v>3090</v>
      </c>
      <c r="D53" s="5" t="s">
        <v>3148</v>
      </c>
      <c r="E53" s="6">
        <f>IFERROR(VLOOKUP($D53,[1]Balanza!$A$3:$K$852,6,0)-VLOOKUP(D53,[1]Balanza!$A$3:$K$852,7,0),0)</f>
        <v>0</v>
      </c>
      <c r="F53" s="6">
        <f>IFERROR(VLOOKUP($D53,[1]Balanza!$A$3:$K$852,10,0)-VLOOKUP($D53,[1]Balanza!$A$3:$K$852,11,0),0)</f>
        <v>1485958.6</v>
      </c>
    </row>
    <row r="54" spans="1:6" x14ac:dyDescent="0.3">
      <c r="A54" s="2" t="s">
        <v>103</v>
      </c>
      <c r="B54" s="2" t="s">
        <v>104</v>
      </c>
      <c r="C54" t="s">
        <v>3090</v>
      </c>
      <c r="D54" s="5" t="s">
        <v>3149</v>
      </c>
      <c r="E54" s="6">
        <f>IFERROR(VLOOKUP($D54,[1]Balanza!$A$3:$K$852,6,0)-VLOOKUP(D54,[1]Balanza!$A$3:$K$852,7,0),0)</f>
        <v>0</v>
      </c>
      <c r="F54" s="6">
        <f>IFERROR(VLOOKUP($D54,[1]Balanza!$A$3:$K$852,10,0)-VLOOKUP($D54,[1]Balanza!$A$3:$K$852,11,0),0)</f>
        <v>0</v>
      </c>
    </row>
    <row r="55" spans="1:6" x14ac:dyDescent="0.3">
      <c r="A55" s="2" t="s">
        <v>105</v>
      </c>
      <c r="B55" s="2" t="s">
        <v>106</v>
      </c>
      <c r="C55" t="s">
        <v>3090</v>
      </c>
      <c r="D55" s="5" t="s">
        <v>3150</v>
      </c>
      <c r="E55" s="6">
        <f>IFERROR(VLOOKUP($D55,[1]Balanza!$A$3:$K$852,6,0)-VLOOKUP(D55,[1]Balanza!$A$3:$K$852,7,0),0)</f>
        <v>0</v>
      </c>
      <c r="F55" s="6">
        <f>IFERROR(VLOOKUP($D55,[1]Balanza!$A$3:$K$852,10,0)-VLOOKUP($D55,[1]Balanza!$A$3:$K$852,11,0),0)</f>
        <v>0</v>
      </c>
    </row>
    <row r="56" spans="1:6" x14ac:dyDescent="0.3">
      <c r="A56" s="2" t="s">
        <v>107</v>
      </c>
      <c r="B56" s="2" t="s">
        <v>108</v>
      </c>
      <c r="C56" t="s">
        <v>3090</v>
      </c>
      <c r="D56" s="5" t="s">
        <v>3151</v>
      </c>
      <c r="E56" s="6">
        <f>IFERROR(VLOOKUP($D56,[1]Balanza!$A$3:$K$852,6,0)-VLOOKUP(D56,[1]Balanza!$A$3:$K$852,7,0),0)</f>
        <v>791731.58000000007</v>
      </c>
      <c r="F56" s="6">
        <f>IFERROR(VLOOKUP($D56,[1]Balanza!$A$3:$K$852,10,0)-VLOOKUP($D56,[1]Balanza!$A$3:$K$852,11,0),0)</f>
        <v>0</v>
      </c>
    </row>
    <row r="57" spans="1:6" x14ac:dyDescent="0.3">
      <c r="A57" s="2" t="s">
        <v>109</v>
      </c>
      <c r="B57" s="2" t="s">
        <v>110</v>
      </c>
      <c r="C57" t="s">
        <v>3090</v>
      </c>
      <c r="D57" s="5" t="s">
        <v>3152</v>
      </c>
      <c r="E57" s="6">
        <f>IFERROR(VLOOKUP($D57,[1]Balanza!$A$3:$K$852,6,0)-VLOOKUP(D57,[1]Balanza!$A$3:$K$852,7,0),0)</f>
        <v>158314.70000000007</v>
      </c>
      <c r="F57" s="6">
        <f>IFERROR(VLOOKUP($D57,[1]Balanza!$A$3:$K$852,10,0)-VLOOKUP($D57,[1]Balanza!$A$3:$K$852,11,0),0)</f>
        <v>0</v>
      </c>
    </row>
    <row r="58" spans="1:6" x14ac:dyDescent="0.3">
      <c r="A58" s="2" t="s">
        <v>111</v>
      </c>
      <c r="B58" s="2" t="s">
        <v>112</v>
      </c>
      <c r="C58" t="s">
        <v>3090</v>
      </c>
      <c r="D58" s="5" t="s">
        <v>3153</v>
      </c>
      <c r="E58" s="6">
        <f>IFERROR(VLOOKUP($D58,[1]Balanza!$A$3:$K$852,6,0)-VLOOKUP(D58,[1]Balanza!$A$3:$K$852,7,0),0)</f>
        <v>-105056.92000000001</v>
      </c>
      <c r="F58" s="6">
        <f>IFERROR(VLOOKUP($D58,[1]Balanza!$A$3:$K$852,10,0)-VLOOKUP($D58,[1]Balanza!$A$3:$K$852,11,0),0)</f>
        <v>0</v>
      </c>
    </row>
    <row r="59" spans="1:6" x14ac:dyDescent="0.3">
      <c r="A59" s="2" t="s">
        <v>113</v>
      </c>
      <c r="B59" s="2" t="s">
        <v>114</v>
      </c>
      <c r="C59" t="s">
        <v>3090</v>
      </c>
      <c r="D59" s="5" t="s">
        <v>3154</v>
      </c>
      <c r="E59" s="6">
        <f>IFERROR(VLOOKUP($D59,[1]Balanza!$A$3:$K$852,6,0)-VLOOKUP(D59,[1]Balanza!$A$3:$K$852,7,0),0)</f>
        <v>-94459.53</v>
      </c>
      <c r="F59" s="6">
        <f>IFERROR(VLOOKUP($D59,[1]Balanza!$A$3:$K$852,10,0)-VLOOKUP($D59,[1]Balanza!$A$3:$K$852,11,0),0)</f>
        <v>0</v>
      </c>
    </row>
    <row r="60" spans="1:6" x14ac:dyDescent="0.3">
      <c r="A60" s="2" t="s">
        <v>115</v>
      </c>
      <c r="B60" s="2" t="s">
        <v>116</v>
      </c>
      <c r="C60" t="s">
        <v>3090</v>
      </c>
      <c r="D60" s="5" t="s">
        <v>3155</v>
      </c>
      <c r="E60" s="6">
        <f>IFERROR(VLOOKUP($D60,[1]Balanza!$A$3:$K$852,6,0)-VLOOKUP(D60,[1]Balanza!$A$3:$K$852,7,0),0)</f>
        <v>0</v>
      </c>
      <c r="F60" s="6">
        <f>IFERROR(VLOOKUP($D60,[1]Balanza!$A$3:$K$852,10,0)-VLOOKUP($D60,[1]Balanza!$A$3:$K$852,11,0),0)</f>
        <v>0</v>
      </c>
    </row>
    <row r="61" spans="1:6" x14ac:dyDescent="0.3">
      <c r="A61" s="2" t="s">
        <v>117</v>
      </c>
      <c r="B61" s="2" t="s">
        <v>118</v>
      </c>
      <c r="C61" t="s">
        <v>3090</v>
      </c>
      <c r="D61" s="5" t="s">
        <v>3156</v>
      </c>
      <c r="E61" s="6">
        <f>IFERROR(VLOOKUP($D61,[1]Balanza!$A$3:$K$852,6,0)-VLOOKUP(D61,[1]Balanza!$A$3:$K$852,7,0),0)</f>
        <v>0</v>
      </c>
      <c r="F61" s="6">
        <f>IFERROR(VLOOKUP($D61,[1]Balanza!$A$3:$K$852,10,0)-VLOOKUP($D61,[1]Balanza!$A$3:$K$852,11,0),0)</f>
        <v>0</v>
      </c>
    </row>
    <row r="62" spans="1:6" x14ac:dyDescent="0.3">
      <c r="A62" s="2" t="s">
        <v>119</v>
      </c>
      <c r="B62" s="2" t="s">
        <v>120</v>
      </c>
      <c r="C62" t="s">
        <v>3090</v>
      </c>
      <c r="D62" s="5" t="s">
        <v>3157</v>
      </c>
      <c r="E62" s="6">
        <f>IFERROR(VLOOKUP($D62,[1]Balanza!$A$3:$K$852,6,0)-VLOOKUP(D62,[1]Balanza!$A$3:$K$852,7,0),0)</f>
        <v>92988.5</v>
      </c>
      <c r="F62" s="6">
        <f>IFERROR(VLOOKUP($D62,[1]Balanza!$A$3:$K$852,10,0)-VLOOKUP($D62,[1]Balanza!$A$3:$K$852,11,0),0)</f>
        <v>0</v>
      </c>
    </row>
    <row r="63" spans="1:6" x14ac:dyDescent="0.3">
      <c r="A63" s="2" t="s">
        <v>121</v>
      </c>
      <c r="B63" s="2" t="s">
        <v>122</v>
      </c>
      <c r="C63" t="s">
        <v>3090</v>
      </c>
      <c r="D63" s="5" t="s">
        <v>3158</v>
      </c>
      <c r="E63" s="6">
        <f>IFERROR(VLOOKUP($D63,[1]Balanza!$A$3:$K$852,6,0)-VLOOKUP(D63,[1]Balanza!$A$3:$K$852,7,0),0)</f>
        <v>106609.41000000003</v>
      </c>
      <c r="F63" s="6">
        <f>IFERROR(VLOOKUP($D63,[1]Balanza!$A$3:$K$852,10,0)-VLOOKUP($D63,[1]Balanza!$A$3:$K$852,11,0),0)</f>
        <v>0</v>
      </c>
    </row>
    <row r="64" spans="1:6" x14ac:dyDescent="0.3">
      <c r="A64" s="2" t="s">
        <v>123</v>
      </c>
      <c r="B64" s="2" t="s">
        <v>124</v>
      </c>
      <c r="C64" t="s">
        <v>3090</v>
      </c>
      <c r="D64" s="5" t="s">
        <v>3159</v>
      </c>
      <c r="E64" s="6">
        <f>IFERROR(VLOOKUP($D64,[1]Balanza!$A$3:$K$852,6,0)-VLOOKUP(D64,[1]Balanza!$A$3:$K$852,7,0),0)</f>
        <v>0</v>
      </c>
      <c r="F64" s="6">
        <f>IFERROR(VLOOKUP($D64,[1]Balanza!$A$3:$K$852,10,0)-VLOOKUP($D64,[1]Balanza!$A$3:$K$852,11,0),0)</f>
        <v>0</v>
      </c>
    </row>
    <row r="65" spans="1:6" x14ac:dyDescent="0.3">
      <c r="A65" s="2" t="s">
        <v>125</v>
      </c>
      <c r="B65" s="2" t="s">
        <v>126</v>
      </c>
      <c r="C65" t="s">
        <v>3090</v>
      </c>
      <c r="D65" s="5" t="s">
        <v>3160</v>
      </c>
      <c r="E65" s="6">
        <f>IFERROR(VLOOKUP($D65,[1]Balanza!$A$3:$K$852,6,0)-VLOOKUP(D65,[1]Balanza!$A$3:$K$852,7,0),0)</f>
        <v>0</v>
      </c>
      <c r="F65" s="6">
        <f>IFERROR(VLOOKUP($D65,[1]Balanza!$A$3:$K$852,10,0)-VLOOKUP($D65,[1]Balanza!$A$3:$K$852,11,0),0)</f>
        <v>0</v>
      </c>
    </row>
    <row r="66" spans="1:6" x14ac:dyDescent="0.3">
      <c r="A66" s="2" t="s">
        <v>127</v>
      </c>
      <c r="B66" s="2" t="s">
        <v>128</v>
      </c>
      <c r="C66" t="s">
        <v>3090</v>
      </c>
      <c r="D66" s="5" t="s">
        <v>3161</v>
      </c>
      <c r="E66" s="6">
        <f>IFERROR(VLOOKUP($D66,[1]Balanza!$A$3:$K$852,6,0)-VLOOKUP(D66,[1]Balanza!$A$3:$K$852,7,0),0)</f>
        <v>0</v>
      </c>
      <c r="F66" s="6">
        <f>IFERROR(VLOOKUP($D66,[1]Balanza!$A$3:$K$852,10,0)-VLOOKUP($D66,[1]Balanza!$A$3:$K$852,11,0),0)</f>
        <v>0</v>
      </c>
    </row>
    <row r="67" spans="1:6" x14ac:dyDescent="0.3">
      <c r="A67" s="2" t="s">
        <v>129</v>
      </c>
      <c r="B67" s="2" t="s">
        <v>130</v>
      </c>
      <c r="C67" t="s">
        <v>3090</v>
      </c>
      <c r="D67" s="5" t="s">
        <v>3162</v>
      </c>
      <c r="E67" s="6">
        <f>IFERROR(VLOOKUP($D67,[1]Balanza!$A$3:$K$852,6,0)-VLOOKUP(D67,[1]Balanza!$A$3:$K$852,7,0),0)</f>
        <v>266026.39</v>
      </c>
      <c r="F67" s="6">
        <f>IFERROR(VLOOKUP($D67,[1]Balanza!$A$3:$K$852,10,0)-VLOOKUP($D67,[1]Balanza!$A$3:$K$852,11,0),0)</f>
        <v>-162168.29000000004</v>
      </c>
    </row>
    <row r="68" spans="1:6" x14ac:dyDescent="0.3">
      <c r="A68" s="2" t="s">
        <v>131</v>
      </c>
      <c r="B68" s="2" t="s">
        <v>132</v>
      </c>
      <c r="C68" t="s">
        <v>3090</v>
      </c>
      <c r="D68" s="5" t="s">
        <v>3163</v>
      </c>
      <c r="E68" s="6">
        <f>IFERROR(VLOOKUP($D68,[1]Balanza!$A$3:$K$852,6,0)-VLOOKUP(D68,[1]Balanza!$A$3:$K$852,7,0),0)</f>
        <v>304925.58999999997</v>
      </c>
      <c r="F68" s="6">
        <f>IFERROR(VLOOKUP($D68,[1]Balanza!$A$3:$K$852,10,0)-VLOOKUP($D68,[1]Balanza!$A$3:$K$852,11,0),0)</f>
        <v>0</v>
      </c>
    </row>
    <row r="69" spans="1:6" x14ac:dyDescent="0.3">
      <c r="A69" s="2" t="s">
        <v>133</v>
      </c>
      <c r="B69" s="2" t="s">
        <v>134</v>
      </c>
      <c r="C69" t="s">
        <v>3090</v>
      </c>
      <c r="D69" s="5" t="s">
        <v>3164</v>
      </c>
      <c r="E69" s="6">
        <f>IFERROR(VLOOKUP($D69,[1]Balanza!$A$3:$K$852,6,0)-VLOOKUP(D69,[1]Balanza!$A$3:$K$852,7,0),0)</f>
        <v>0</v>
      </c>
      <c r="F69" s="6">
        <f>IFERROR(VLOOKUP($D69,[1]Balanza!$A$3:$K$852,10,0)-VLOOKUP($D69,[1]Balanza!$A$3:$K$852,11,0),0)</f>
        <v>-192503.66999999998</v>
      </c>
    </row>
    <row r="70" spans="1:6" x14ac:dyDescent="0.3">
      <c r="A70" s="2" t="s">
        <v>135</v>
      </c>
      <c r="B70" s="2" t="s">
        <v>136</v>
      </c>
      <c r="C70" t="s">
        <v>3090</v>
      </c>
      <c r="D70" s="5" t="s">
        <v>3165</v>
      </c>
      <c r="E70" s="6">
        <f>IFERROR(VLOOKUP($D70,[1]Balanza!$A$3:$K$852,6,0)-VLOOKUP(D70,[1]Balanza!$A$3:$K$852,7,0),0)</f>
        <v>32886.199999999953</v>
      </c>
      <c r="F70" s="6">
        <f>IFERROR(VLOOKUP($D70,[1]Balanza!$A$3:$K$852,10,0)-VLOOKUP($D70,[1]Balanza!$A$3:$K$852,11,0),0)</f>
        <v>0</v>
      </c>
    </row>
    <row r="71" spans="1:6" x14ac:dyDescent="0.3">
      <c r="A71" s="2" t="s">
        <v>137</v>
      </c>
      <c r="B71" s="2" t="s">
        <v>138</v>
      </c>
      <c r="C71" t="s">
        <v>3090</v>
      </c>
      <c r="D71" s="5" t="s">
        <v>3166</v>
      </c>
      <c r="E71" s="6">
        <f>IFERROR(VLOOKUP($D71,[1]Balanza!$A$3:$K$852,6,0)-VLOOKUP(D71,[1]Balanza!$A$3:$K$852,7,0),0)</f>
        <v>60496.619999999995</v>
      </c>
      <c r="F71" s="6">
        <f>IFERROR(VLOOKUP($D71,[1]Balanza!$A$3:$K$852,10,0)-VLOOKUP($D71,[1]Balanza!$A$3:$K$852,11,0),0)</f>
        <v>0</v>
      </c>
    </row>
    <row r="72" spans="1:6" x14ac:dyDescent="0.3">
      <c r="A72" s="2" t="s">
        <v>139</v>
      </c>
      <c r="B72" s="2" t="s">
        <v>140</v>
      </c>
      <c r="C72" t="s">
        <v>3090</v>
      </c>
      <c r="D72" s="5" t="s">
        <v>3167</v>
      </c>
      <c r="E72" s="6">
        <f>IFERROR(VLOOKUP($D72,[1]Balanza!$A$3:$K$852,6,0)-VLOOKUP(D72,[1]Balanza!$A$3:$K$852,7,0),0)</f>
        <v>-90371.98000000001</v>
      </c>
      <c r="F72" s="6">
        <f>IFERROR(VLOOKUP($D72,[1]Balanza!$A$3:$K$852,10,0)-VLOOKUP($D72,[1]Balanza!$A$3:$K$852,11,0),0)</f>
        <v>0</v>
      </c>
    </row>
    <row r="73" spans="1:6" x14ac:dyDescent="0.3">
      <c r="A73" s="2" t="s">
        <v>141</v>
      </c>
      <c r="B73" s="2" t="s">
        <v>142</v>
      </c>
      <c r="C73" t="s">
        <v>3090</v>
      </c>
      <c r="D73" s="5" t="s">
        <v>3168</v>
      </c>
      <c r="E73" s="6">
        <f>IFERROR(VLOOKUP($D73,[1]Balanza!$A$3:$K$852,6,0)-VLOOKUP(D73,[1]Balanza!$A$3:$K$852,7,0),0)</f>
        <v>107217.88</v>
      </c>
      <c r="F73" s="6">
        <f>IFERROR(VLOOKUP($D73,[1]Balanza!$A$3:$K$852,10,0)-VLOOKUP($D73,[1]Balanza!$A$3:$K$852,11,0),0)</f>
        <v>-9819.7299999999959</v>
      </c>
    </row>
    <row r="74" spans="1:6" x14ac:dyDescent="0.3">
      <c r="A74" s="2" t="s">
        <v>143</v>
      </c>
      <c r="B74" s="2" t="s">
        <v>144</v>
      </c>
      <c r="C74" t="s">
        <v>3090</v>
      </c>
      <c r="D74" s="5" t="s">
        <v>3169</v>
      </c>
      <c r="E74" s="6">
        <f>IFERROR(VLOOKUP($D74,[1]Balanza!$A$3:$K$852,6,0)-VLOOKUP(D74,[1]Balanza!$A$3:$K$852,7,0),0)</f>
        <v>79842.8</v>
      </c>
      <c r="F74" s="6">
        <f>IFERROR(VLOOKUP($D74,[1]Balanza!$A$3:$K$852,10,0)-VLOOKUP($D74,[1]Balanza!$A$3:$K$852,11,0),0)</f>
        <v>0</v>
      </c>
    </row>
    <row r="75" spans="1:6" x14ac:dyDescent="0.3">
      <c r="A75" s="2" t="s">
        <v>145</v>
      </c>
      <c r="B75" s="2" t="s">
        <v>146</v>
      </c>
      <c r="C75" t="s">
        <v>3090</v>
      </c>
      <c r="D75" s="5" t="s">
        <v>3170</v>
      </c>
      <c r="E75" s="6">
        <f>IFERROR(VLOOKUP($D75,[1]Balanza!$A$3:$K$852,6,0)-VLOOKUP(D75,[1]Balanza!$A$3:$K$852,7,0),0)</f>
        <v>-1607.0900000000001</v>
      </c>
      <c r="F75" s="6">
        <f>IFERROR(VLOOKUP($D75,[1]Balanza!$A$3:$K$852,10,0)-VLOOKUP($D75,[1]Balanza!$A$3:$K$852,11,0),0)</f>
        <v>0</v>
      </c>
    </row>
    <row r="76" spans="1:6" x14ac:dyDescent="0.3">
      <c r="A76" s="2" t="s">
        <v>147</v>
      </c>
      <c r="B76" s="2" t="s">
        <v>148</v>
      </c>
      <c r="C76" t="s">
        <v>3090</v>
      </c>
      <c r="D76" s="5" t="s">
        <v>3171</v>
      </c>
      <c r="E76" s="6">
        <f>IFERROR(VLOOKUP($D76,[1]Balanza!$A$3:$K$852,6,0)-VLOOKUP(D76,[1]Balanza!$A$3:$K$852,7,0),0)</f>
        <v>0</v>
      </c>
      <c r="F76" s="6">
        <f>IFERROR(VLOOKUP($D76,[1]Balanza!$A$3:$K$852,10,0)-VLOOKUP($D76,[1]Balanza!$A$3:$K$852,11,0),0)</f>
        <v>-167007.76</v>
      </c>
    </row>
    <row r="77" spans="1:6" x14ac:dyDescent="0.3">
      <c r="A77" s="2" t="s">
        <v>149</v>
      </c>
      <c r="B77" s="2" t="s">
        <v>150</v>
      </c>
      <c r="C77" t="s">
        <v>3090</v>
      </c>
      <c r="D77" s="5" t="s">
        <v>3172</v>
      </c>
      <c r="E77" s="6">
        <f>IFERROR(VLOOKUP($D77,[1]Balanza!$A$3:$K$852,6,0)-VLOOKUP(D77,[1]Balanza!$A$3:$K$852,7,0),0)</f>
        <v>9803.99</v>
      </c>
      <c r="F77" s="6">
        <f>IFERROR(VLOOKUP($D77,[1]Balanza!$A$3:$K$852,10,0)-VLOOKUP($D77,[1]Balanza!$A$3:$K$852,11,0),0)</f>
        <v>0</v>
      </c>
    </row>
    <row r="78" spans="1:6" x14ac:dyDescent="0.3">
      <c r="A78" s="2" t="s">
        <v>151</v>
      </c>
      <c r="B78" s="2" t="s">
        <v>152</v>
      </c>
      <c r="C78" t="s">
        <v>3090</v>
      </c>
      <c r="D78" s="5" t="s">
        <v>3173</v>
      </c>
      <c r="E78" s="6">
        <f>IFERROR(VLOOKUP($D78,[1]Balanza!$A$3:$K$852,6,0)-VLOOKUP(D78,[1]Balanza!$A$3:$K$852,7,0),0)</f>
        <v>-68420.92</v>
      </c>
      <c r="F78" s="6">
        <f>IFERROR(VLOOKUP($D78,[1]Balanza!$A$3:$K$852,10,0)-VLOOKUP($D78,[1]Balanza!$A$3:$K$852,11,0),0)</f>
        <v>0</v>
      </c>
    </row>
    <row r="79" spans="1:6" x14ac:dyDescent="0.3">
      <c r="A79" s="2" t="s">
        <v>153</v>
      </c>
      <c r="B79" s="2" t="s">
        <v>154</v>
      </c>
      <c r="C79" t="s">
        <v>3090</v>
      </c>
      <c r="D79" s="5" t="s">
        <v>3174</v>
      </c>
      <c r="E79" s="6">
        <f>IFERROR(VLOOKUP($D79,[1]Balanza!$A$3:$K$852,6,0)-VLOOKUP(D79,[1]Balanza!$A$3:$K$852,7,0),0)</f>
        <v>0</v>
      </c>
      <c r="F79" s="6">
        <f>IFERROR(VLOOKUP($D79,[1]Balanza!$A$3:$K$852,10,0)-VLOOKUP($D79,[1]Balanza!$A$3:$K$852,11,0),0)</f>
        <v>0</v>
      </c>
    </row>
    <row r="80" spans="1:6" x14ac:dyDescent="0.3">
      <c r="A80" s="2" t="s">
        <v>155</v>
      </c>
      <c r="B80" s="2" t="s">
        <v>156</v>
      </c>
      <c r="C80" t="s">
        <v>3090</v>
      </c>
      <c r="D80" s="5" t="s">
        <v>3175</v>
      </c>
      <c r="E80" s="6">
        <f>IFERROR(VLOOKUP($D80,[1]Balanza!$A$3:$K$852,6,0)-VLOOKUP(D80,[1]Balanza!$A$3:$K$852,7,0),0)</f>
        <v>94085.4</v>
      </c>
      <c r="F80" s="6">
        <f>IFERROR(VLOOKUP($D80,[1]Balanza!$A$3:$K$852,10,0)-VLOOKUP($D80,[1]Balanza!$A$3:$K$852,11,0),0)</f>
        <v>0</v>
      </c>
    </row>
    <row r="81" spans="1:6" x14ac:dyDescent="0.3">
      <c r="A81" s="2" t="s">
        <v>157</v>
      </c>
      <c r="B81" s="2" t="s">
        <v>158</v>
      </c>
      <c r="C81" t="s">
        <v>3090</v>
      </c>
      <c r="D81" s="5" t="s">
        <v>3176</v>
      </c>
      <c r="E81" s="6">
        <f>IFERROR(VLOOKUP($D81,[1]Balanza!$A$3:$K$852,6,0)-VLOOKUP(D81,[1]Balanza!$A$3:$K$852,7,0),0)</f>
        <v>41472.01</v>
      </c>
      <c r="F81" s="6">
        <f>IFERROR(VLOOKUP($D81,[1]Balanza!$A$3:$K$852,10,0)-VLOOKUP($D81,[1]Balanza!$A$3:$K$852,11,0),0)</f>
        <v>-34830.07</v>
      </c>
    </row>
    <row r="82" spans="1:6" x14ac:dyDescent="0.3">
      <c r="A82" s="2" t="s">
        <v>159</v>
      </c>
      <c r="B82" s="2" t="s">
        <v>160</v>
      </c>
      <c r="C82" t="s">
        <v>3090</v>
      </c>
      <c r="D82" s="5" t="s">
        <v>3177</v>
      </c>
      <c r="E82" s="6">
        <f>IFERROR(VLOOKUP($D82,[1]Balanza!$A$3:$K$852,6,0)-VLOOKUP(D82,[1]Balanza!$A$3:$K$852,7,0),0)</f>
        <v>0</v>
      </c>
      <c r="F82" s="6">
        <f>IFERROR(VLOOKUP($D82,[1]Balanza!$A$3:$K$852,10,0)-VLOOKUP($D82,[1]Balanza!$A$3:$K$852,11,0),0)</f>
        <v>0</v>
      </c>
    </row>
    <row r="83" spans="1:6" x14ac:dyDescent="0.3">
      <c r="A83" s="2" t="s">
        <v>161</v>
      </c>
      <c r="B83" s="2" t="s">
        <v>162</v>
      </c>
      <c r="C83" t="s">
        <v>3090</v>
      </c>
      <c r="D83" s="5" t="s">
        <v>3178</v>
      </c>
      <c r="E83" s="6">
        <f>IFERROR(VLOOKUP($D83,[1]Balanza!$A$3:$K$852,6,0)-VLOOKUP(D83,[1]Balanza!$A$3:$K$852,7,0),0)</f>
        <v>0</v>
      </c>
      <c r="F83" s="6">
        <f>IFERROR(VLOOKUP($D83,[1]Balanza!$A$3:$K$852,10,0)-VLOOKUP($D83,[1]Balanza!$A$3:$K$852,11,0),0)</f>
        <v>0</v>
      </c>
    </row>
    <row r="84" spans="1:6" x14ac:dyDescent="0.3">
      <c r="A84" s="2" t="s">
        <v>163</v>
      </c>
      <c r="B84" s="2" t="s">
        <v>164</v>
      </c>
      <c r="C84" t="s">
        <v>3090</v>
      </c>
      <c r="D84" s="5" t="s">
        <v>3179</v>
      </c>
      <c r="E84" s="6">
        <f>IFERROR(VLOOKUP($D84,[1]Balanza!$A$3:$K$852,6,0)-VLOOKUP(D84,[1]Balanza!$A$3:$K$852,7,0),0)</f>
        <v>0</v>
      </c>
      <c r="F84" s="6">
        <f>IFERROR(VLOOKUP($D84,[1]Balanza!$A$3:$K$852,10,0)-VLOOKUP($D84,[1]Balanza!$A$3:$K$852,11,0),0)</f>
        <v>230790.5399999998</v>
      </c>
    </row>
    <row r="85" spans="1:6" x14ac:dyDescent="0.3">
      <c r="A85" s="2" t="s">
        <v>165</v>
      </c>
      <c r="B85" s="2" t="s">
        <v>166</v>
      </c>
      <c r="C85" t="s">
        <v>3090</v>
      </c>
      <c r="D85" s="5" t="s">
        <v>3180</v>
      </c>
      <c r="E85" s="6">
        <f>IFERROR(VLOOKUP($D85,[1]Balanza!$A$3:$K$852,6,0)-VLOOKUP(D85,[1]Balanza!$A$3:$K$852,7,0),0)</f>
        <v>0</v>
      </c>
      <c r="F85" s="6">
        <f>IFERROR(VLOOKUP($D85,[1]Balanza!$A$3:$K$852,10,0)-VLOOKUP($D85,[1]Balanza!$A$3:$K$852,11,0),0)</f>
        <v>0</v>
      </c>
    </row>
    <row r="86" spans="1:6" x14ac:dyDescent="0.3">
      <c r="A86" s="2" t="s">
        <v>167</v>
      </c>
      <c r="B86" s="2" t="s">
        <v>168</v>
      </c>
      <c r="C86" t="s">
        <v>3090</v>
      </c>
      <c r="D86" s="5" t="s">
        <v>3181</v>
      </c>
      <c r="E86" s="6">
        <f>IFERROR(VLOOKUP($D86,[1]Balanza!$A$3:$K$852,6,0)-VLOOKUP(D86,[1]Balanza!$A$3:$K$852,7,0),0)</f>
        <v>804558.72</v>
      </c>
      <c r="F86" s="6">
        <f>IFERROR(VLOOKUP($D86,[1]Balanza!$A$3:$K$852,10,0)-VLOOKUP($D86,[1]Balanza!$A$3:$K$852,11,0),0)</f>
        <v>0</v>
      </c>
    </row>
    <row r="87" spans="1:6" x14ac:dyDescent="0.3">
      <c r="A87" s="2" t="s">
        <v>169</v>
      </c>
      <c r="B87" s="2" t="s">
        <v>170</v>
      </c>
      <c r="C87" t="s">
        <v>3090</v>
      </c>
      <c r="D87" s="5" t="s">
        <v>3182</v>
      </c>
      <c r="E87" s="6">
        <f>IFERROR(VLOOKUP($D87,[1]Balanza!$A$3:$K$852,6,0)-VLOOKUP(D87,[1]Balanza!$A$3:$K$852,7,0),0)</f>
        <v>0</v>
      </c>
      <c r="F87" s="6">
        <f>IFERROR(VLOOKUP($D87,[1]Balanza!$A$3:$K$852,10,0)-VLOOKUP($D87,[1]Balanza!$A$3:$K$852,11,0),0)</f>
        <v>0</v>
      </c>
    </row>
    <row r="88" spans="1:6" x14ac:dyDescent="0.3">
      <c r="A88" s="2" t="s">
        <v>171</v>
      </c>
      <c r="B88" s="2" t="s">
        <v>172</v>
      </c>
      <c r="C88" t="s">
        <v>3090</v>
      </c>
      <c r="D88" s="5" t="s">
        <v>3183</v>
      </c>
      <c r="E88" s="6">
        <f>IFERROR(VLOOKUP($D88,[1]Balanza!$A$3:$K$852,6,0)-VLOOKUP(D88,[1]Balanza!$A$3:$K$852,7,0),0)</f>
        <v>0</v>
      </c>
      <c r="F88" s="6">
        <f>IFERROR(VLOOKUP($D88,[1]Balanza!$A$3:$K$852,10,0)-VLOOKUP($D88,[1]Balanza!$A$3:$K$852,11,0),0)</f>
        <v>0</v>
      </c>
    </row>
    <row r="89" spans="1:6" x14ac:dyDescent="0.3">
      <c r="A89" s="2" t="s">
        <v>173</v>
      </c>
      <c r="B89" s="2" t="s">
        <v>174</v>
      </c>
      <c r="C89" t="s">
        <v>3090</v>
      </c>
      <c r="D89" s="5" t="s">
        <v>3184</v>
      </c>
      <c r="E89" s="6">
        <f>IFERROR(VLOOKUP($D89,[1]Balanza!$A$3:$K$852,6,0)-VLOOKUP(D89,[1]Balanza!$A$3:$K$852,7,0),0)</f>
        <v>0</v>
      </c>
      <c r="F89" s="6">
        <f>IFERROR(VLOOKUP($D89,[1]Balanza!$A$3:$K$852,10,0)-VLOOKUP($D89,[1]Balanza!$A$3:$K$852,11,0),0)</f>
        <v>50815.8</v>
      </c>
    </row>
    <row r="90" spans="1:6" x14ac:dyDescent="0.3">
      <c r="A90" s="2" t="s">
        <v>175</v>
      </c>
      <c r="B90" s="2" t="s">
        <v>176</v>
      </c>
      <c r="C90" t="s">
        <v>3090</v>
      </c>
      <c r="D90" s="5" t="s">
        <v>3185</v>
      </c>
      <c r="E90" s="6">
        <f>IFERROR(VLOOKUP($D90,[1]Balanza!$A$3:$K$852,6,0)-VLOOKUP(D90,[1]Balanza!$A$3:$K$852,7,0),0)</f>
        <v>0</v>
      </c>
      <c r="F90" s="6">
        <f>IFERROR(VLOOKUP($D90,[1]Balanza!$A$3:$K$852,10,0)-VLOOKUP($D90,[1]Balanza!$A$3:$K$852,11,0),0)</f>
        <v>0</v>
      </c>
    </row>
    <row r="91" spans="1:6" x14ac:dyDescent="0.3">
      <c r="A91" s="2" t="s">
        <v>177</v>
      </c>
      <c r="B91" s="2" t="s">
        <v>178</v>
      </c>
      <c r="C91" t="s">
        <v>3090</v>
      </c>
      <c r="D91" s="5" t="s">
        <v>3186</v>
      </c>
      <c r="E91" s="6">
        <f>IFERROR(VLOOKUP($D91,[1]Balanza!$A$3:$K$852,6,0)-VLOOKUP(D91,[1]Balanza!$A$3:$K$852,7,0),0)</f>
        <v>0</v>
      </c>
      <c r="F91" s="6">
        <f>IFERROR(VLOOKUP($D91,[1]Balanza!$A$3:$K$852,10,0)-VLOOKUP($D91,[1]Balanza!$A$3:$K$852,11,0),0)</f>
        <v>0</v>
      </c>
    </row>
    <row r="92" spans="1:6" x14ac:dyDescent="0.3">
      <c r="A92" s="2" t="s">
        <v>179</v>
      </c>
      <c r="B92" s="2" t="s">
        <v>180</v>
      </c>
      <c r="C92" t="s">
        <v>3090</v>
      </c>
      <c r="D92" s="5" t="s">
        <v>3187</v>
      </c>
      <c r="E92" s="6">
        <f>IFERROR(VLOOKUP($D92,[1]Balanza!$A$3:$K$852,6,0)-VLOOKUP(D92,[1]Balanza!$A$3:$K$852,7,0),0)</f>
        <v>-21516.120000000003</v>
      </c>
      <c r="F92" s="6">
        <f>IFERROR(VLOOKUP($D92,[1]Balanza!$A$3:$K$852,10,0)-VLOOKUP($D92,[1]Balanza!$A$3:$K$852,11,0),0)</f>
        <v>-7198.5999999999995</v>
      </c>
    </row>
    <row r="93" spans="1:6" x14ac:dyDescent="0.3">
      <c r="A93" s="2" t="s">
        <v>181</v>
      </c>
      <c r="B93" s="2" t="s">
        <v>182</v>
      </c>
      <c r="C93" t="s">
        <v>3090</v>
      </c>
      <c r="D93" s="5" t="s">
        <v>3188</v>
      </c>
      <c r="E93" s="6">
        <f>IFERROR(VLOOKUP($D93,[1]Balanza!$A$3:$K$852,6,0)-VLOOKUP(D93,[1]Balanza!$A$3:$K$852,7,0),0)</f>
        <v>0</v>
      </c>
      <c r="F93" s="6">
        <f>IFERROR(VLOOKUP($D93,[1]Balanza!$A$3:$K$852,10,0)-VLOOKUP($D93,[1]Balanza!$A$3:$K$852,11,0),0)</f>
        <v>0</v>
      </c>
    </row>
    <row r="94" spans="1:6" x14ac:dyDescent="0.3">
      <c r="A94" s="2" t="s">
        <v>183</v>
      </c>
      <c r="B94" s="2" t="s">
        <v>184</v>
      </c>
      <c r="C94" t="s">
        <v>3090</v>
      </c>
      <c r="D94" s="5" t="s">
        <v>3189</v>
      </c>
      <c r="E94" s="6">
        <f>IFERROR(VLOOKUP($D94,[1]Balanza!$A$3:$K$852,6,0)-VLOOKUP(D94,[1]Balanza!$A$3:$K$852,7,0),0)</f>
        <v>0</v>
      </c>
      <c r="F94" s="6">
        <f>IFERROR(VLOOKUP($D94,[1]Balanza!$A$3:$K$852,10,0)-VLOOKUP($D94,[1]Balanza!$A$3:$K$852,11,0),0)</f>
        <v>0</v>
      </c>
    </row>
    <row r="95" spans="1:6" x14ac:dyDescent="0.3">
      <c r="A95" s="2" t="s">
        <v>185</v>
      </c>
      <c r="B95" s="2" t="s">
        <v>186</v>
      </c>
      <c r="C95" t="s">
        <v>3090</v>
      </c>
      <c r="D95" s="5" t="s">
        <v>3190</v>
      </c>
      <c r="E95" s="6">
        <f>IFERROR(VLOOKUP($D95,[1]Balanza!$A$3:$K$852,6,0)-VLOOKUP(D95,[1]Balanza!$A$3:$K$852,7,0),0)</f>
        <v>0</v>
      </c>
      <c r="F95" s="6">
        <f>IFERROR(VLOOKUP($D95,[1]Balanza!$A$3:$K$852,10,0)-VLOOKUP($D95,[1]Balanza!$A$3:$K$852,11,0),0)</f>
        <v>0</v>
      </c>
    </row>
    <row r="96" spans="1:6" x14ac:dyDescent="0.3">
      <c r="A96" s="2" t="s">
        <v>187</v>
      </c>
      <c r="B96" s="2" t="s">
        <v>188</v>
      </c>
      <c r="C96" t="s">
        <v>3090</v>
      </c>
      <c r="D96" s="5" t="s">
        <v>3191</v>
      </c>
      <c r="E96" s="6">
        <f>IFERROR(VLOOKUP($D96,[1]Balanza!$A$3:$K$852,6,0)-VLOOKUP(D96,[1]Balanza!$A$3:$K$852,7,0),0)</f>
        <v>0</v>
      </c>
      <c r="F96" s="6">
        <f>IFERROR(VLOOKUP($D96,[1]Balanza!$A$3:$K$852,10,0)-VLOOKUP($D96,[1]Balanza!$A$3:$K$852,11,0),0)</f>
        <v>0</v>
      </c>
    </row>
    <row r="97" spans="1:6" x14ac:dyDescent="0.3">
      <c r="A97" s="1" t="s">
        <v>189</v>
      </c>
      <c r="B97" s="1" t="s">
        <v>190</v>
      </c>
      <c r="C97" t="s">
        <v>3090</v>
      </c>
      <c r="D97" s="5" t="s">
        <v>3192</v>
      </c>
      <c r="E97" s="6">
        <f>IFERROR(VLOOKUP($D97,[1]Balanza!$A$3:$K$852,6,0)-VLOOKUP(D97,[1]Balanza!$A$3:$K$852,7,0),0)</f>
        <v>0</v>
      </c>
      <c r="F97" s="6">
        <f>IFERROR(VLOOKUP($D97,[1]Balanza!$A$3:$K$852,10,0)-VLOOKUP($D97,[1]Balanza!$A$3:$K$852,11,0),0)</f>
        <v>0</v>
      </c>
    </row>
    <row r="98" spans="1:6" x14ac:dyDescent="0.3">
      <c r="A98" s="2" t="s">
        <v>191</v>
      </c>
      <c r="B98" s="2" t="s">
        <v>192</v>
      </c>
      <c r="C98" t="s">
        <v>3090</v>
      </c>
      <c r="D98" s="5" t="s">
        <v>3193</v>
      </c>
      <c r="E98" s="6">
        <f>IFERROR(VLOOKUP($D98,[1]Balanza!$A$3:$K$852,6,0)-VLOOKUP(D98,[1]Balanza!$A$3:$K$852,7,0),0)</f>
        <v>0</v>
      </c>
      <c r="F98" s="6">
        <f>IFERROR(VLOOKUP($D98,[1]Balanza!$A$3:$K$852,10,0)-VLOOKUP($D98,[1]Balanza!$A$3:$K$852,11,0),0)</f>
        <v>0</v>
      </c>
    </row>
    <row r="99" spans="1:6" x14ac:dyDescent="0.3">
      <c r="A99" s="2" t="s">
        <v>193</v>
      </c>
      <c r="B99" s="2" t="s">
        <v>194</v>
      </c>
      <c r="C99" t="s">
        <v>3090</v>
      </c>
      <c r="D99" s="5" t="s">
        <v>3194</v>
      </c>
      <c r="E99" s="6">
        <f>IFERROR(VLOOKUP($D99,[1]Balanza!$A$3:$K$852,6,0)-VLOOKUP(D99,[1]Balanza!$A$3:$K$852,7,0),0)</f>
        <v>0</v>
      </c>
      <c r="F99" s="6">
        <f>IFERROR(VLOOKUP($D99,[1]Balanza!$A$3:$K$852,10,0)-VLOOKUP($D99,[1]Balanza!$A$3:$K$852,11,0),0)</f>
        <v>0</v>
      </c>
    </row>
    <row r="100" spans="1:6" x14ac:dyDescent="0.3">
      <c r="A100" s="2" t="s">
        <v>195</v>
      </c>
      <c r="B100" s="2" t="s">
        <v>196</v>
      </c>
      <c r="C100" t="s">
        <v>3090</v>
      </c>
      <c r="D100" s="5" t="s">
        <v>3195</v>
      </c>
      <c r="E100" s="6">
        <f>IFERROR(VLOOKUP($D100,[1]Balanza!$A$3:$K$852,6,0)-VLOOKUP(D100,[1]Balanza!$A$3:$K$852,7,0),0)</f>
        <v>0</v>
      </c>
      <c r="F100" s="6">
        <f>IFERROR(VLOOKUP($D100,[1]Balanza!$A$3:$K$852,10,0)-VLOOKUP($D100,[1]Balanza!$A$3:$K$852,11,0),0)</f>
        <v>0</v>
      </c>
    </row>
    <row r="101" spans="1:6" x14ac:dyDescent="0.3">
      <c r="A101" s="2" t="s">
        <v>197</v>
      </c>
      <c r="B101" s="2" t="s">
        <v>198</v>
      </c>
      <c r="C101" t="s">
        <v>3090</v>
      </c>
      <c r="D101" s="5" t="s">
        <v>3196</v>
      </c>
      <c r="E101" s="6">
        <f>IFERROR(VLOOKUP($D101,[1]Balanza!$A$3:$K$852,6,0)-VLOOKUP(D101,[1]Balanza!$A$3:$K$852,7,0),0)</f>
        <v>0</v>
      </c>
      <c r="F101" s="6">
        <f>IFERROR(VLOOKUP($D101,[1]Balanza!$A$3:$K$852,10,0)-VLOOKUP($D101,[1]Balanza!$A$3:$K$852,11,0),0)</f>
        <v>0</v>
      </c>
    </row>
    <row r="102" spans="1:6" x14ac:dyDescent="0.3">
      <c r="A102" s="2" t="s">
        <v>199</v>
      </c>
      <c r="B102" s="2" t="s">
        <v>200</v>
      </c>
      <c r="C102" t="s">
        <v>3090</v>
      </c>
      <c r="D102" s="5" t="s">
        <v>3197</v>
      </c>
      <c r="E102" s="6">
        <f>IFERROR(VLOOKUP($D102,[1]Balanza!$A$3:$K$852,6,0)-VLOOKUP(D102,[1]Balanza!$A$3:$K$852,7,0),0)</f>
        <v>0</v>
      </c>
      <c r="F102" s="6">
        <f>IFERROR(VLOOKUP($D102,[1]Balanza!$A$3:$K$852,10,0)-VLOOKUP($D102,[1]Balanza!$A$3:$K$852,11,0),0)</f>
        <v>0</v>
      </c>
    </row>
    <row r="103" spans="1:6" x14ac:dyDescent="0.3">
      <c r="A103" s="2" t="s">
        <v>201</v>
      </c>
      <c r="B103" s="2" t="s">
        <v>202</v>
      </c>
      <c r="C103" t="s">
        <v>3090</v>
      </c>
      <c r="D103" s="5" t="s">
        <v>3198</v>
      </c>
      <c r="E103" s="6">
        <f>IFERROR(VLOOKUP($D103,[1]Balanza!$A$3:$K$852,6,0)-VLOOKUP(D103,[1]Balanza!$A$3:$K$852,7,0),0)</f>
        <v>0</v>
      </c>
      <c r="F103" s="6">
        <f>IFERROR(VLOOKUP($D103,[1]Balanza!$A$3:$K$852,10,0)-VLOOKUP($D103,[1]Balanza!$A$3:$K$852,11,0),0)</f>
        <v>0</v>
      </c>
    </row>
    <row r="104" spans="1:6" x14ac:dyDescent="0.3">
      <c r="A104" s="2" t="s">
        <v>203</v>
      </c>
      <c r="B104" s="2" t="s">
        <v>204</v>
      </c>
      <c r="C104" t="s">
        <v>3090</v>
      </c>
      <c r="D104" s="5" t="s">
        <v>3199</v>
      </c>
      <c r="E104" s="6">
        <f>IFERROR(VLOOKUP($D104,[1]Balanza!$A$3:$K$852,6,0)-VLOOKUP(D104,[1]Balanza!$A$3:$K$852,7,0),0)</f>
        <v>0</v>
      </c>
      <c r="F104" s="6">
        <f>IFERROR(VLOOKUP($D104,[1]Balanza!$A$3:$K$852,10,0)-VLOOKUP($D104,[1]Balanza!$A$3:$K$852,11,0),0)</f>
        <v>0</v>
      </c>
    </row>
    <row r="105" spans="1:6" x14ac:dyDescent="0.3">
      <c r="A105" s="2" t="s">
        <v>205</v>
      </c>
      <c r="B105" s="2" t="s">
        <v>206</v>
      </c>
      <c r="C105" t="s">
        <v>3090</v>
      </c>
      <c r="D105" s="5" t="s">
        <v>3200</v>
      </c>
      <c r="E105" s="6">
        <f>IFERROR(VLOOKUP($D105,[1]Balanza!$A$3:$K$852,6,0)-VLOOKUP(D105,[1]Balanza!$A$3:$K$852,7,0),0)</f>
        <v>0</v>
      </c>
      <c r="F105" s="6">
        <f>IFERROR(VLOOKUP($D105,[1]Balanza!$A$3:$K$852,10,0)-VLOOKUP($D105,[1]Balanza!$A$3:$K$852,11,0),0)</f>
        <v>0</v>
      </c>
    </row>
    <row r="106" spans="1:6" x14ac:dyDescent="0.3">
      <c r="A106" s="2" t="s">
        <v>207</v>
      </c>
      <c r="B106" s="2" t="s">
        <v>208</v>
      </c>
      <c r="C106" t="s">
        <v>3090</v>
      </c>
      <c r="D106" s="5" t="s">
        <v>3201</v>
      </c>
      <c r="E106" s="6">
        <f>IFERROR(VLOOKUP($D106,[1]Balanza!$A$3:$K$852,6,0)-VLOOKUP(D106,[1]Balanza!$A$3:$K$852,7,0),0)</f>
        <v>0</v>
      </c>
      <c r="F106" s="6">
        <f>IFERROR(VLOOKUP($D106,[1]Balanza!$A$3:$K$852,10,0)-VLOOKUP($D106,[1]Balanza!$A$3:$K$852,11,0),0)</f>
        <v>0</v>
      </c>
    </row>
    <row r="107" spans="1:6" x14ac:dyDescent="0.3">
      <c r="A107" s="2" t="s">
        <v>209</v>
      </c>
      <c r="B107" s="2" t="s">
        <v>210</v>
      </c>
      <c r="C107" t="s">
        <v>3090</v>
      </c>
      <c r="D107" s="5" t="s">
        <v>3202</v>
      </c>
      <c r="E107" s="6">
        <f>IFERROR(VLOOKUP($D107,[1]Balanza!$A$3:$K$852,6,0)-VLOOKUP(D107,[1]Balanza!$A$3:$K$852,7,0),0)</f>
        <v>0</v>
      </c>
      <c r="F107" s="6">
        <f>IFERROR(VLOOKUP($D107,[1]Balanza!$A$3:$K$852,10,0)-VLOOKUP($D107,[1]Balanza!$A$3:$K$852,11,0),0)</f>
        <v>0</v>
      </c>
    </row>
    <row r="108" spans="1:6" x14ac:dyDescent="0.3">
      <c r="A108" s="1" t="s">
        <v>211</v>
      </c>
      <c r="B108" s="1" t="s">
        <v>212</v>
      </c>
      <c r="C108" t="s">
        <v>3090</v>
      </c>
      <c r="D108" s="5" t="s">
        <v>3203</v>
      </c>
      <c r="E108" s="6">
        <f>IFERROR(VLOOKUP($D108,[1]Balanza!$A$3:$K$852,6,0)-VLOOKUP(D108,[1]Balanza!$A$3:$K$852,7,0),0)</f>
        <v>0</v>
      </c>
      <c r="F108" s="6">
        <f>IFERROR(VLOOKUP($D108,[1]Balanza!$A$3:$K$852,10,0)-VLOOKUP($D108,[1]Balanza!$A$3:$K$852,11,0),0)</f>
        <v>0</v>
      </c>
    </row>
    <row r="109" spans="1:6" x14ac:dyDescent="0.3">
      <c r="A109" s="2" t="s">
        <v>213</v>
      </c>
      <c r="B109" s="2" t="s">
        <v>214</v>
      </c>
      <c r="C109" t="s">
        <v>3090</v>
      </c>
      <c r="D109" s="5" t="s">
        <v>3204</v>
      </c>
      <c r="E109" s="6">
        <f>IFERROR(VLOOKUP($D109,[1]Balanza!$A$3:$K$852,6,0)-VLOOKUP(D109,[1]Balanza!$A$3:$K$852,7,0),0)</f>
        <v>0</v>
      </c>
      <c r="F109" s="6">
        <f>IFERROR(VLOOKUP($D109,[1]Balanza!$A$3:$K$852,10,0)-VLOOKUP($D109,[1]Balanza!$A$3:$K$852,11,0),0)</f>
        <v>0</v>
      </c>
    </row>
    <row r="110" spans="1:6" x14ac:dyDescent="0.3">
      <c r="A110" s="2" t="s">
        <v>215</v>
      </c>
      <c r="B110" s="2" t="s">
        <v>216</v>
      </c>
      <c r="C110" t="s">
        <v>3090</v>
      </c>
      <c r="D110" s="5" t="s">
        <v>3205</v>
      </c>
      <c r="E110" s="6">
        <f>IFERROR(VLOOKUP($D110,[1]Balanza!$A$3:$K$852,6,0)-VLOOKUP(D110,[1]Balanza!$A$3:$K$852,7,0),0)</f>
        <v>0</v>
      </c>
      <c r="F110" s="6">
        <f>IFERROR(VLOOKUP($D110,[1]Balanza!$A$3:$K$852,10,0)-VLOOKUP($D110,[1]Balanza!$A$3:$K$852,11,0),0)</f>
        <v>0</v>
      </c>
    </row>
    <row r="111" spans="1:6" x14ac:dyDescent="0.3">
      <c r="A111" s="2" t="s">
        <v>217</v>
      </c>
      <c r="B111" s="2" t="s">
        <v>218</v>
      </c>
      <c r="C111" t="s">
        <v>3090</v>
      </c>
      <c r="D111" s="5" t="s">
        <v>3206</v>
      </c>
      <c r="E111" s="6">
        <f>IFERROR(VLOOKUP($D111,[1]Balanza!$A$3:$K$852,6,0)-VLOOKUP(D111,[1]Balanza!$A$3:$K$852,7,0),0)</f>
        <v>0</v>
      </c>
      <c r="F111" s="6">
        <f>IFERROR(VLOOKUP($D111,[1]Balanza!$A$3:$K$852,10,0)-VLOOKUP($D111,[1]Balanza!$A$3:$K$852,11,0),0)</f>
        <v>0</v>
      </c>
    </row>
    <row r="112" spans="1:6" x14ac:dyDescent="0.3">
      <c r="A112" s="2" t="s">
        <v>219</v>
      </c>
      <c r="B112" s="2" t="s">
        <v>220</v>
      </c>
      <c r="C112" t="s">
        <v>3090</v>
      </c>
      <c r="D112" s="5" t="s">
        <v>3207</v>
      </c>
      <c r="E112" s="6">
        <f>IFERROR(VLOOKUP($D112,[1]Balanza!$A$3:$K$852,6,0)-VLOOKUP(D112,[1]Balanza!$A$3:$K$852,7,0),0)</f>
        <v>0</v>
      </c>
      <c r="F112" s="6">
        <f>IFERROR(VLOOKUP($D112,[1]Balanza!$A$3:$K$852,10,0)-VLOOKUP($D112,[1]Balanza!$A$3:$K$852,11,0),0)</f>
        <v>0</v>
      </c>
    </row>
    <row r="113" spans="1:6" x14ac:dyDescent="0.3">
      <c r="A113" s="2" t="s">
        <v>221</v>
      </c>
      <c r="B113" s="2" t="s">
        <v>222</v>
      </c>
      <c r="C113" t="s">
        <v>3090</v>
      </c>
      <c r="D113" s="5" t="s">
        <v>3208</v>
      </c>
      <c r="E113" s="6">
        <f>IFERROR(VLOOKUP($D113,[1]Balanza!$A$3:$K$852,6,0)-VLOOKUP(D113,[1]Balanza!$A$3:$K$852,7,0),0)</f>
        <v>0</v>
      </c>
      <c r="F113" s="6">
        <f>IFERROR(VLOOKUP($D113,[1]Balanza!$A$3:$K$852,10,0)-VLOOKUP($D113,[1]Balanza!$A$3:$K$852,11,0),0)</f>
        <v>892.47</v>
      </c>
    </row>
    <row r="114" spans="1:6" x14ac:dyDescent="0.3">
      <c r="A114" s="2" t="s">
        <v>223</v>
      </c>
      <c r="B114" s="2" t="s">
        <v>224</v>
      </c>
      <c r="C114" t="s">
        <v>3090</v>
      </c>
      <c r="D114" s="5" t="s">
        <v>3209</v>
      </c>
      <c r="E114" s="6">
        <f>IFERROR(VLOOKUP($D114,[1]Balanza!$A$3:$K$852,6,0)-VLOOKUP(D114,[1]Balanza!$A$3:$K$852,7,0),0)</f>
        <v>0</v>
      </c>
      <c r="F114" s="6">
        <f>IFERROR(VLOOKUP($D114,[1]Balanza!$A$3:$K$852,10,0)-VLOOKUP($D114,[1]Balanza!$A$3:$K$852,11,0),0)</f>
        <v>0</v>
      </c>
    </row>
    <row r="115" spans="1:6" x14ac:dyDescent="0.3">
      <c r="A115" s="2" t="s">
        <v>225</v>
      </c>
      <c r="B115" s="2" t="s">
        <v>226</v>
      </c>
      <c r="C115" t="s">
        <v>3090</v>
      </c>
      <c r="D115" s="5" t="s">
        <v>3210</v>
      </c>
      <c r="E115" s="6">
        <f>IFERROR(VLOOKUP($D115,[1]Balanza!$A$3:$K$852,6,0)-VLOOKUP(D115,[1]Balanza!$A$3:$K$852,7,0),0)</f>
        <v>0</v>
      </c>
      <c r="F115" s="6">
        <f>IFERROR(VLOOKUP($D115,[1]Balanza!$A$3:$K$852,10,0)-VLOOKUP($D115,[1]Balanza!$A$3:$K$852,11,0),0)</f>
        <v>0</v>
      </c>
    </row>
    <row r="116" spans="1:6" x14ac:dyDescent="0.3">
      <c r="A116" s="2" t="s">
        <v>227</v>
      </c>
      <c r="B116" s="2" t="s">
        <v>228</v>
      </c>
      <c r="C116" t="s">
        <v>3090</v>
      </c>
      <c r="D116" s="5" t="s">
        <v>3211</v>
      </c>
      <c r="E116" s="6">
        <f>IFERROR(VLOOKUP($D116,[1]Balanza!$A$3:$K$852,6,0)-VLOOKUP(D116,[1]Balanza!$A$3:$K$852,7,0),0)</f>
        <v>0</v>
      </c>
      <c r="F116" s="6">
        <f>IFERROR(VLOOKUP($D116,[1]Balanza!$A$3:$K$852,10,0)-VLOOKUP($D116,[1]Balanza!$A$3:$K$852,11,0),0)</f>
        <v>0</v>
      </c>
    </row>
    <row r="117" spans="1:6" x14ac:dyDescent="0.3">
      <c r="A117" s="2" t="s">
        <v>229</v>
      </c>
      <c r="B117" s="2" t="s">
        <v>230</v>
      </c>
      <c r="C117" t="s">
        <v>3090</v>
      </c>
      <c r="D117" s="5" t="s">
        <v>3212</v>
      </c>
      <c r="E117" s="6">
        <f>IFERROR(VLOOKUP($D117,[1]Balanza!$A$3:$K$852,6,0)-VLOOKUP(D117,[1]Balanza!$A$3:$K$852,7,0),0)</f>
        <v>0</v>
      </c>
      <c r="F117" s="6">
        <f>IFERROR(VLOOKUP($D117,[1]Balanza!$A$3:$K$852,10,0)-VLOOKUP($D117,[1]Balanza!$A$3:$K$852,11,0),0)</f>
        <v>0</v>
      </c>
    </row>
    <row r="118" spans="1:6" x14ac:dyDescent="0.3">
      <c r="A118" s="2" t="s">
        <v>231</v>
      </c>
      <c r="B118" s="2" t="s">
        <v>232</v>
      </c>
      <c r="C118" t="s">
        <v>3090</v>
      </c>
      <c r="D118" s="5" t="s">
        <v>3213</v>
      </c>
      <c r="E118" s="6">
        <f>IFERROR(VLOOKUP($D118,[1]Balanza!$A$3:$K$852,6,0)-VLOOKUP(D118,[1]Balanza!$A$3:$K$852,7,0),0)</f>
        <v>0</v>
      </c>
      <c r="F118" s="6">
        <f>IFERROR(VLOOKUP($D118,[1]Balanza!$A$3:$K$852,10,0)-VLOOKUP($D118,[1]Balanza!$A$3:$K$852,11,0),0)</f>
        <v>0</v>
      </c>
    </row>
    <row r="119" spans="1:6" x14ac:dyDescent="0.3">
      <c r="A119" s="2" t="s">
        <v>233</v>
      </c>
      <c r="B119" s="2" t="s">
        <v>234</v>
      </c>
      <c r="C119" t="s">
        <v>3090</v>
      </c>
      <c r="D119" s="5" t="s">
        <v>3214</v>
      </c>
      <c r="E119" s="6">
        <f>IFERROR(VLOOKUP($D119,[1]Balanza!$A$3:$K$852,6,0)-VLOOKUP(D119,[1]Balanza!$A$3:$K$852,7,0),0)</f>
        <v>0</v>
      </c>
      <c r="F119" s="6">
        <f>IFERROR(VLOOKUP($D119,[1]Balanza!$A$3:$K$852,10,0)-VLOOKUP($D119,[1]Balanza!$A$3:$K$852,11,0),0)</f>
        <v>0</v>
      </c>
    </row>
    <row r="120" spans="1:6" x14ac:dyDescent="0.3">
      <c r="A120" s="2" t="s">
        <v>235</v>
      </c>
      <c r="B120" s="2" t="s">
        <v>148</v>
      </c>
      <c r="C120" t="s">
        <v>3090</v>
      </c>
      <c r="D120" s="5" t="s">
        <v>3215</v>
      </c>
      <c r="E120" s="6">
        <f>IFERROR(VLOOKUP($D120,[1]Balanza!$A$3:$K$852,6,0)-VLOOKUP(D120,[1]Balanza!$A$3:$K$852,7,0),0)</f>
        <v>-509093.44999999925</v>
      </c>
      <c r="F120" s="6">
        <f>IFERROR(VLOOKUP($D120,[1]Balanza!$A$3:$K$852,10,0)-VLOOKUP($D120,[1]Balanza!$A$3:$K$852,11,0),0)</f>
        <v>0</v>
      </c>
    </row>
    <row r="121" spans="1:6" x14ac:dyDescent="0.3">
      <c r="A121" s="2" t="s">
        <v>236</v>
      </c>
      <c r="B121" s="2" t="s">
        <v>237</v>
      </c>
      <c r="C121" t="s">
        <v>3090</v>
      </c>
      <c r="D121" s="5" t="s">
        <v>3216</v>
      </c>
      <c r="E121" s="6">
        <f>IFERROR(VLOOKUP($D121,[1]Balanza!$A$3:$K$852,6,0)-VLOOKUP(D121,[1]Balanza!$A$3:$K$852,7,0),0)</f>
        <v>0</v>
      </c>
      <c r="F121" s="6">
        <f>IFERROR(VLOOKUP($D121,[1]Balanza!$A$3:$K$852,10,0)-VLOOKUP($D121,[1]Balanza!$A$3:$K$852,11,0),0)</f>
        <v>0</v>
      </c>
    </row>
    <row r="122" spans="1:6" x14ac:dyDescent="0.3">
      <c r="A122" s="2" t="s">
        <v>238</v>
      </c>
      <c r="B122" s="2" t="s">
        <v>239</v>
      </c>
      <c r="C122" t="s">
        <v>3090</v>
      </c>
      <c r="D122" s="5" t="s">
        <v>3217</v>
      </c>
      <c r="E122" s="6">
        <f>IFERROR(VLOOKUP($D122,[1]Balanza!$A$3:$K$852,6,0)-VLOOKUP(D122,[1]Balanza!$A$3:$K$852,7,0),0)</f>
        <v>0</v>
      </c>
      <c r="F122" s="6">
        <f>IFERROR(VLOOKUP($D122,[1]Balanza!$A$3:$K$852,10,0)-VLOOKUP($D122,[1]Balanza!$A$3:$K$852,11,0),0)</f>
        <v>0</v>
      </c>
    </row>
    <row r="123" spans="1:6" x14ac:dyDescent="0.3">
      <c r="A123" s="2" t="s">
        <v>240</v>
      </c>
      <c r="B123" s="2" t="s">
        <v>241</v>
      </c>
      <c r="C123" t="s">
        <v>3090</v>
      </c>
      <c r="D123" s="5" t="s">
        <v>3218</v>
      </c>
      <c r="E123" s="6">
        <f>IFERROR(VLOOKUP($D123,[1]Balanza!$A$3:$K$852,6,0)-VLOOKUP(D123,[1]Balanza!$A$3:$K$852,7,0),0)</f>
        <v>0</v>
      </c>
      <c r="F123" s="6">
        <f>IFERROR(VLOOKUP($D123,[1]Balanza!$A$3:$K$852,10,0)-VLOOKUP($D123,[1]Balanza!$A$3:$K$852,11,0),0)</f>
        <v>0</v>
      </c>
    </row>
    <row r="124" spans="1:6" x14ac:dyDescent="0.3">
      <c r="A124" s="1" t="s">
        <v>242</v>
      </c>
      <c r="B124" s="1" t="s">
        <v>243</v>
      </c>
      <c r="C124" t="s">
        <v>3090</v>
      </c>
      <c r="D124" s="5" t="s">
        <v>3219</v>
      </c>
      <c r="E124" s="6">
        <f>IFERROR(VLOOKUP($D124,[1]Balanza!$A$3:$K$852,6,0)-VLOOKUP(D124,[1]Balanza!$A$3:$K$852,7,0),0)</f>
        <v>0</v>
      </c>
      <c r="F124" s="6">
        <f>IFERROR(VLOOKUP($D124,[1]Balanza!$A$3:$K$852,10,0)-VLOOKUP($D124,[1]Balanza!$A$3:$K$852,11,0),0)</f>
        <v>0</v>
      </c>
    </row>
    <row r="125" spans="1:6" x14ac:dyDescent="0.3">
      <c r="A125" s="2" t="s">
        <v>244</v>
      </c>
      <c r="B125" s="2" t="s">
        <v>245</v>
      </c>
      <c r="C125" t="s">
        <v>3090</v>
      </c>
      <c r="D125" s="5" t="s">
        <v>3220</v>
      </c>
      <c r="E125" s="6">
        <f>IFERROR(VLOOKUP($D125,[1]Balanza!$A$3:$K$852,6,0)-VLOOKUP(D125,[1]Balanza!$A$3:$K$852,7,0),0)</f>
        <v>0</v>
      </c>
      <c r="F125" s="6">
        <f>IFERROR(VLOOKUP($D125,[1]Balanza!$A$3:$K$852,10,0)-VLOOKUP($D125,[1]Balanza!$A$3:$K$852,11,0),0)</f>
        <v>0</v>
      </c>
    </row>
    <row r="126" spans="1:6" x14ac:dyDescent="0.3">
      <c r="A126" s="2" t="s">
        <v>246</v>
      </c>
      <c r="B126" s="2" t="s">
        <v>247</v>
      </c>
      <c r="C126" t="s">
        <v>3090</v>
      </c>
      <c r="D126" s="5" t="s">
        <v>3221</v>
      </c>
      <c r="E126" s="6">
        <f>IFERROR(VLOOKUP($D126,[1]Balanza!$A$3:$K$852,6,0)-VLOOKUP(D126,[1]Balanza!$A$3:$K$852,7,0),0)</f>
        <v>0</v>
      </c>
      <c r="F126" s="6">
        <f>IFERROR(VLOOKUP($D126,[1]Balanza!$A$3:$K$852,10,0)-VLOOKUP($D126,[1]Balanza!$A$3:$K$852,11,0),0)</f>
        <v>0</v>
      </c>
    </row>
    <row r="127" spans="1:6" x14ac:dyDescent="0.3">
      <c r="A127" s="2" t="s">
        <v>248</v>
      </c>
      <c r="B127" s="2" t="s">
        <v>249</v>
      </c>
      <c r="C127" t="s">
        <v>3090</v>
      </c>
      <c r="D127" s="5" t="s">
        <v>3222</v>
      </c>
      <c r="E127" s="6">
        <f>IFERROR(VLOOKUP($D127,[1]Balanza!$A$3:$K$852,6,0)-VLOOKUP(D127,[1]Balanza!$A$3:$K$852,7,0),0)</f>
        <v>0</v>
      </c>
      <c r="F127" s="6">
        <f>IFERROR(VLOOKUP($D127,[1]Balanza!$A$3:$K$852,10,0)-VLOOKUP($D127,[1]Balanza!$A$3:$K$852,11,0),0)</f>
        <v>0</v>
      </c>
    </row>
    <row r="128" spans="1:6" x14ac:dyDescent="0.3">
      <c r="A128" s="2" t="s">
        <v>250</v>
      </c>
      <c r="B128" s="2" t="s">
        <v>251</v>
      </c>
      <c r="C128" t="s">
        <v>3090</v>
      </c>
      <c r="D128" s="5" t="s">
        <v>3223</v>
      </c>
      <c r="E128" s="6">
        <f>IFERROR(VLOOKUP($D128,[1]Balanza!$A$3:$K$852,6,0)-VLOOKUP(D128,[1]Balanza!$A$3:$K$852,7,0),0)</f>
        <v>0</v>
      </c>
      <c r="F128" s="6">
        <f>IFERROR(VLOOKUP($D128,[1]Balanza!$A$3:$K$852,10,0)-VLOOKUP($D128,[1]Balanza!$A$3:$K$852,11,0),0)</f>
        <v>0</v>
      </c>
    </row>
    <row r="129" spans="1:6" x14ac:dyDescent="0.3">
      <c r="A129" s="1" t="s">
        <v>252</v>
      </c>
      <c r="B129" s="1" t="s">
        <v>253</v>
      </c>
      <c r="C129" t="s">
        <v>3090</v>
      </c>
      <c r="D129" s="5" t="s">
        <v>3224</v>
      </c>
      <c r="E129" s="6">
        <f>IFERROR(VLOOKUP($D129,[1]Balanza!$A$3:$K$852,6,0)-VLOOKUP(D129,[1]Balanza!$A$3:$K$852,7,0),0)</f>
        <v>0</v>
      </c>
      <c r="F129" s="6">
        <f>IFERROR(VLOOKUP($D129,[1]Balanza!$A$3:$K$852,10,0)-VLOOKUP($D129,[1]Balanza!$A$3:$K$852,11,0),0)</f>
        <v>0</v>
      </c>
    </row>
    <row r="130" spans="1:6" x14ac:dyDescent="0.3">
      <c r="A130" s="2" t="s">
        <v>254</v>
      </c>
      <c r="B130" s="2" t="s">
        <v>255</v>
      </c>
      <c r="C130" t="s">
        <v>3090</v>
      </c>
      <c r="D130" s="5" t="s">
        <v>3225</v>
      </c>
      <c r="E130" s="6">
        <f>IFERROR(VLOOKUP($D130,[1]Balanza!$A$3:$K$852,6,0)-VLOOKUP(D130,[1]Balanza!$A$3:$K$852,7,0),0)</f>
        <v>0</v>
      </c>
      <c r="F130" s="6">
        <f>IFERROR(VLOOKUP($D130,[1]Balanza!$A$3:$K$852,10,0)-VLOOKUP($D130,[1]Balanza!$A$3:$K$852,11,0),0)</f>
        <v>0</v>
      </c>
    </row>
    <row r="131" spans="1:6" x14ac:dyDescent="0.3">
      <c r="A131" s="2" t="s">
        <v>256</v>
      </c>
      <c r="B131" s="2" t="s">
        <v>257</v>
      </c>
      <c r="C131" t="s">
        <v>3090</v>
      </c>
      <c r="D131" s="5" t="s">
        <v>3226</v>
      </c>
      <c r="E131" s="6">
        <f>IFERROR(VLOOKUP($D131,[1]Balanza!$A$3:$K$852,6,0)-VLOOKUP(D131,[1]Balanza!$A$3:$K$852,7,0),0)</f>
        <v>0</v>
      </c>
      <c r="F131" s="6">
        <f>IFERROR(VLOOKUP($D131,[1]Balanza!$A$3:$K$852,10,0)-VLOOKUP($D131,[1]Balanza!$A$3:$K$852,11,0),0)</f>
        <v>0</v>
      </c>
    </row>
    <row r="132" spans="1:6" x14ac:dyDescent="0.3">
      <c r="A132" s="2" t="s">
        <v>258</v>
      </c>
      <c r="B132" s="2" t="s">
        <v>259</v>
      </c>
      <c r="C132" t="s">
        <v>3090</v>
      </c>
      <c r="D132" s="5" t="s">
        <v>3227</v>
      </c>
      <c r="E132" s="6">
        <f>IFERROR(VLOOKUP($D132,[1]Balanza!$A$3:$K$852,6,0)-VLOOKUP(D132,[1]Balanza!$A$3:$K$852,7,0),0)</f>
        <v>0</v>
      </c>
      <c r="F132" s="6">
        <f>IFERROR(VLOOKUP($D132,[1]Balanza!$A$3:$K$852,10,0)-VLOOKUP($D132,[1]Balanza!$A$3:$K$852,11,0),0)</f>
        <v>0</v>
      </c>
    </row>
    <row r="133" spans="1:6" x14ac:dyDescent="0.3">
      <c r="A133" s="2" t="s">
        <v>260</v>
      </c>
      <c r="B133" s="2" t="s">
        <v>261</v>
      </c>
      <c r="C133" t="s">
        <v>3090</v>
      </c>
      <c r="D133" s="5" t="s">
        <v>3228</v>
      </c>
      <c r="E133" s="6">
        <f>IFERROR(VLOOKUP($D133,[1]Balanza!$A$3:$K$852,6,0)-VLOOKUP(D133,[1]Balanza!$A$3:$K$852,7,0),0)</f>
        <v>0</v>
      </c>
      <c r="F133" s="6">
        <f>IFERROR(VLOOKUP($D133,[1]Balanza!$A$3:$K$852,10,0)-VLOOKUP($D133,[1]Balanza!$A$3:$K$852,11,0),0)</f>
        <v>0</v>
      </c>
    </row>
    <row r="134" spans="1:6" x14ac:dyDescent="0.3">
      <c r="A134" s="2" t="s">
        <v>262</v>
      </c>
      <c r="B134" s="2" t="s">
        <v>263</v>
      </c>
      <c r="C134" t="s">
        <v>3090</v>
      </c>
      <c r="D134" s="5" t="s">
        <v>3229</v>
      </c>
      <c r="E134" s="6">
        <f>IFERROR(VLOOKUP($D134,[1]Balanza!$A$3:$K$852,6,0)-VLOOKUP(D134,[1]Balanza!$A$3:$K$852,7,0),0)</f>
        <v>0</v>
      </c>
      <c r="F134" s="6">
        <f>IFERROR(VLOOKUP($D134,[1]Balanza!$A$3:$K$852,10,0)-VLOOKUP($D134,[1]Balanza!$A$3:$K$852,11,0),0)</f>
        <v>0</v>
      </c>
    </row>
    <row r="135" spans="1:6" x14ac:dyDescent="0.3">
      <c r="A135" s="2" t="s">
        <v>264</v>
      </c>
      <c r="B135" s="2" t="s">
        <v>265</v>
      </c>
      <c r="C135" t="s">
        <v>3090</v>
      </c>
      <c r="D135" s="5" t="s">
        <v>3230</v>
      </c>
      <c r="E135" s="6">
        <f>IFERROR(VLOOKUP($D135,[1]Balanza!$A$3:$K$852,6,0)-VLOOKUP(D135,[1]Balanza!$A$3:$K$852,7,0),0)</f>
        <v>0</v>
      </c>
      <c r="F135" s="6">
        <f>IFERROR(VLOOKUP($D135,[1]Balanza!$A$3:$K$852,10,0)-VLOOKUP($D135,[1]Balanza!$A$3:$K$852,11,0),0)</f>
        <v>0</v>
      </c>
    </row>
    <row r="136" spans="1:6" x14ac:dyDescent="0.3">
      <c r="A136" s="2" t="s">
        <v>266</v>
      </c>
      <c r="B136" s="2" t="s">
        <v>267</v>
      </c>
      <c r="C136" t="s">
        <v>3090</v>
      </c>
      <c r="D136" s="5" t="s">
        <v>3231</v>
      </c>
      <c r="E136" s="6">
        <f>IFERROR(VLOOKUP($D136,[1]Balanza!$A$3:$K$852,6,0)-VLOOKUP(D136,[1]Balanza!$A$3:$K$852,7,0),0)</f>
        <v>0</v>
      </c>
      <c r="F136" s="6">
        <f>IFERROR(VLOOKUP($D136,[1]Balanza!$A$3:$K$852,10,0)-VLOOKUP($D136,[1]Balanza!$A$3:$K$852,11,0),0)</f>
        <v>0</v>
      </c>
    </row>
    <row r="137" spans="1:6" x14ac:dyDescent="0.3">
      <c r="A137" s="2" t="s">
        <v>268</v>
      </c>
      <c r="B137" s="2" t="s">
        <v>269</v>
      </c>
      <c r="C137" t="s">
        <v>3090</v>
      </c>
      <c r="D137" s="5" t="s">
        <v>3232</v>
      </c>
      <c r="E137" s="6">
        <f>IFERROR(VLOOKUP($D137,[1]Balanza!$A$3:$K$852,6,0)-VLOOKUP(D137,[1]Balanza!$A$3:$K$852,7,0),0)</f>
        <v>0</v>
      </c>
      <c r="F137" s="6">
        <f>IFERROR(VLOOKUP($D137,[1]Balanza!$A$3:$K$852,10,0)-VLOOKUP($D137,[1]Balanza!$A$3:$K$852,11,0),0)</f>
        <v>0</v>
      </c>
    </row>
    <row r="138" spans="1:6" x14ac:dyDescent="0.3">
      <c r="A138" s="2" t="s">
        <v>270</v>
      </c>
      <c r="B138" s="2" t="s">
        <v>271</v>
      </c>
      <c r="C138" t="s">
        <v>3090</v>
      </c>
      <c r="D138" s="5" t="s">
        <v>3233</v>
      </c>
      <c r="E138" s="6">
        <f>IFERROR(VLOOKUP($D138,[1]Balanza!$A$3:$K$852,6,0)-VLOOKUP(D138,[1]Balanza!$A$3:$K$852,7,0),0)</f>
        <v>0</v>
      </c>
      <c r="F138" s="6">
        <f>IFERROR(VLOOKUP($D138,[1]Balanza!$A$3:$K$852,10,0)-VLOOKUP($D138,[1]Balanza!$A$3:$K$852,11,0),0)</f>
        <v>0</v>
      </c>
    </row>
    <row r="139" spans="1:6" x14ac:dyDescent="0.3">
      <c r="A139" s="2" t="s">
        <v>272</v>
      </c>
      <c r="B139" s="2" t="s">
        <v>273</v>
      </c>
      <c r="C139" t="s">
        <v>3090</v>
      </c>
      <c r="D139" s="5" t="s">
        <v>3234</v>
      </c>
      <c r="E139" s="6">
        <f>IFERROR(VLOOKUP($D139,[1]Balanza!$A$3:$K$852,6,0)-VLOOKUP(D139,[1]Balanza!$A$3:$K$852,7,0),0)</f>
        <v>0</v>
      </c>
      <c r="F139" s="6">
        <f>IFERROR(VLOOKUP($D139,[1]Balanza!$A$3:$K$852,10,0)-VLOOKUP($D139,[1]Balanza!$A$3:$K$852,11,0),0)</f>
        <v>0</v>
      </c>
    </row>
    <row r="140" spans="1:6" x14ac:dyDescent="0.3">
      <c r="A140" s="2" t="s">
        <v>274</v>
      </c>
      <c r="B140" s="2" t="s">
        <v>275</v>
      </c>
      <c r="C140" t="s">
        <v>3090</v>
      </c>
      <c r="D140" s="5" t="s">
        <v>3235</v>
      </c>
      <c r="E140" s="6">
        <f>IFERROR(VLOOKUP($D140,[1]Balanza!$A$3:$K$852,6,0)-VLOOKUP(D140,[1]Balanza!$A$3:$K$852,7,0),0)</f>
        <v>0</v>
      </c>
      <c r="F140" s="6">
        <f>IFERROR(VLOOKUP($D140,[1]Balanza!$A$3:$K$852,10,0)-VLOOKUP($D140,[1]Balanza!$A$3:$K$852,11,0),0)</f>
        <v>0</v>
      </c>
    </row>
    <row r="141" spans="1:6" x14ac:dyDescent="0.3">
      <c r="A141" s="2" t="s">
        <v>276</v>
      </c>
      <c r="B141" s="2" t="s">
        <v>277</v>
      </c>
      <c r="C141" t="s">
        <v>3090</v>
      </c>
      <c r="D141" s="5" t="s">
        <v>3236</v>
      </c>
      <c r="E141" s="6">
        <f>IFERROR(VLOOKUP($D141,[1]Balanza!$A$3:$K$852,6,0)-VLOOKUP(D141,[1]Balanza!$A$3:$K$852,7,0),0)</f>
        <v>0</v>
      </c>
      <c r="F141" s="6">
        <f>IFERROR(VLOOKUP($D141,[1]Balanza!$A$3:$K$852,10,0)-VLOOKUP($D141,[1]Balanza!$A$3:$K$852,11,0),0)</f>
        <v>0</v>
      </c>
    </row>
    <row r="142" spans="1:6" x14ac:dyDescent="0.3">
      <c r="A142" s="2" t="s">
        <v>278</v>
      </c>
      <c r="B142" s="2" t="s">
        <v>279</v>
      </c>
      <c r="C142" t="s">
        <v>3090</v>
      </c>
      <c r="D142" s="5" t="s">
        <v>3237</v>
      </c>
      <c r="E142" s="6">
        <f>IFERROR(VLOOKUP($D142,[1]Balanza!$A$3:$K$852,6,0)-VLOOKUP(D142,[1]Balanza!$A$3:$K$852,7,0),0)</f>
        <v>0</v>
      </c>
      <c r="F142" s="6">
        <f>IFERROR(VLOOKUP($D142,[1]Balanza!$A$3:$K$852,10,0)-VLOOKUP($D142,[1]Balanza!$A$3:$K$852,11,0),0)</f>
        <v>0</v>
      </c>
    </row>
    <row r="143" spans="1:6" x14ac:dyDescent="0.3">
      <c r="A143" s="2" t="s">
        <v>280</v>
      </c>
      <c r="B143" s="2" t="s">
        <v>281</v>
      </c>
      <c r="C143" t="s">
        <v>3090</v>
      </c>
      <c r="D143" s="5" t="s">
        <v>3238</v>
      </c>
      <c r="E143" s="6">
        <f>IFERROR(VLOOKUP($D143,[1]Balanza!$A$3:$K$852,6,0)-VLOOKUP(D143,[1]Balanza!$A$3:$K$852,7,0),0)</f>
        <v>0</v>
      </c>
      <c r="F143" s="6">
        <f>IFERROR(VLOOKUP($D143,[1]Balanza!$A$3:$K$852,10,0)-VLOOKUP($D143,[1]Balanza!$A$3:$K$852,11,0),0)</f>
        <v>0</v>
      </c>
    </row>
    <row r="144" spans="1:6" x14ac:dyDescent="0.3">
      <c r="A144" s="2" t="s">
        <v>282</v>
      </c>
      <c r="B144" s="2" t="s">
        <v>283</v>
      </c>
      <c r="C144" t="s">
        <v>3090</v>
      </c>
      <c r="D144" s="5" t="s">
        <v>3239</v>
      </c>
      <c r="E144" s="6">
        <f>IFERROR(VLOOKUP($D144,[1]Balanza!$A$3:$K$852,6,0)-VLOOKUP(D144,[1]Balanza!$A$3:$K$852,7,0),0)</f>
        <v>0</v>
      </c>
      <c r="F144" s="6">
        <f>IFERROR(VLOOKUP($D144,[1]Balanza!$A$3:$K$852,10,0)-VLOOKUP($D144,[1]Balanza!$A$3:$K$852,11,0),0)</f>
        <v>0</v>
      </c>
    </row>
    <row r="145" spans="1:6" x14ac:dyDescent="0.3">
      <c r="A145" s="2" t="s">
        <v>284</v>
      </c>
      <c r="B145" s="2" t="s">
        <v>285</v>
      </c>
      <c r="C145" t="s">
        <v>3090</v>
      </c>
      <c r="D145" s="5" t="s">
        <v>3240</v>
      </c>
      <c r="E145" s="6">
        <f>IFERROR(VLOOKUP($D145,[1]Balanza!$A$3:$K$852,6,0)-VLOOKUP(D145,[1]Balanza!$A$3:$K$852,7,0),0)</f>
        <v>0</v>
      </c>
      <c r="F145" s="6">
        <f>IFERROR(VLOOKUP($D145,[1]Balanza!$A$3:$K$852,10,0)-VLOOKUP($D145,[1]Balanza!$A$3:$K$852,11,0),0)</f>
        <v>0</v>
      </c>
    </row>
    <row r="146" spans="1:6" x14ac:dyDescent="0.3">
      <c r="A146" s="2" t="s">
        <v>286</v>
      </c>
      <c r="B146" s="2" t="s">
        <v>287</v>
      </c>
      <c r="C146" t="s">
        <v>3090</v>
      </c>
      <c r="D146" s="5" t="s">
        <v>3241</v>
      </c>
      <c r="E146" s="6">
        <f>IFERROR(VLOOKUP($D146,[1]Balanza!$A$3:$K$852,6,0)-VLOOKUP(D146,[1]Balanza!$A$3:$K$852,7,0),0)</f>
        <v>0</v>
      </c>
      <c r="F146" s="6">
        <f>IFERROR(VLOOKUP($D146,[1]Balanza!$A$3:$K$852,10,0)-VLOOKUP($D146,[1]Balanza!$A$3:$K$852,11,0),0)</f>
        <v>0</v>
      </c>
    </row>
    <row r="147" spans="1:6" x14ac:dyDescent="0.3">
      <c r="A147" s="2" t="s">
        <v>288</v>
      </c>
      <c r="B147" s="2" t="s">
        <v>289</v>
      </c>
      <c r="C147" t="s">
        <v>3090</v>
      </c>
      <c r="D147" s="5" t="s">
        <v>3242</v>
      </c>
      <c r="E147" s="6">
        <f>IFERROR(VLOOKUP($D147,[1]Balanza!$A$3:$K$852,6,0)-VLOOKUP(D147,[1]Balanza!$A$3:$K$852,7,0),0)</f>
        <v>0</v>
      </c>
      <c r="F147" s="6">
        <f>IFERROR(VLOOKUP($D147,[1]Balanza!$A$3:$K$852,10,0)-VLOOKUP($D147,[1]Balanza!$A$3:$K$852,11,0),0)</f>
        <v>0</v>
      </c>
    </row>
    <row r="148" spans="1:6" x14ac:dyDescent="0.3">
      <c r="A148" s="2" t="s">
        <v>290</v>
      </c>
      <c r="B148" s="2" t="s">
        <v>291</v>
      </c>
      <c r="C148" t="s">
        <v>3090</v>
      </c>
      <c r="D148" s="5" t="s">
        <v>3243</v>
      </c>
      <c r="E148" s="6">
        <f>IFERROR(VLOOKUP($D148,[1]Balanza!$A$3:$K$852,6,0)-VLOOKUP(D148,[1]Balanza!$A$3:$K$852,7,0),0)</f>
        <v>0</v>
      </c>
      <c r="F148" s="6">
        <f>IFERROR(VLOOKUP($D148,[1]Balanza!$A$3:$K$852,10,0)-VLOOKUP($D148,[1]Balanza!$A$3:$K$852,11,0),0)</f>
        <v>0</v>
      </c>
    </row>
    <row r="149" spans="1:6" x14ac:dyDescent="0.3">
      <c r="A149" s="2" t="s">
        <v>292</v>
      </c>
      <c r="B149" s="2" t="s">
        <v>293</v>
      </c>
      <c r="C149" t="s">
        <v>3090</v>
      </c>
      <c r="D149" s="5" t="s">
        <v>3244</v>
      </c>
      <c r="E149" s="6">
        <f>IFERROR(VLOOKUP($D149,[1]Balanza!$A$3:$K$852,6,0)-VLOOKUP(D149,[1]Balanza!$A$3:$K$852,7,0),0)</f>
        <v>0</v>
      </c>
      <c r="F149" s="6">
        <f>IFERROR(VLOOKUP($D149,[1]Balanza!$A$3:$K$852,10,0)-VLOOKUP($D149,[1]Balanza!$A$3:$K$852,11,0),0)</f>
        <v>0</v>
      </c>
    </row>
    <row r="150" spans="1:6" x14ac:dyDescent="0.3">
      <c r="A150" s="2" t="s">
        <v>294</v>
      </c>
      <c r="B150" s="2" t="s">
        <v>295</v>
      </c>
      <c r="C150" t="s">
        <v>3090</v>
      </c>
      <c r="D150" s="5" t="s">
        <v>3245</v>
      </c>
      <c r="E150" s="6">
        <f>IFERROR(VLOOKUP($D150,[1]Balanza!$A$3:$K$852,6,0)-VLOOKUP(D150,[1]Balanza!$A$3:$K$852,7,0),0)</f>
        <v>0</v>
      </c>
      <c r="F150" s="6">
        <f>IFERROR(VLOOKUP($D150,[1]Balanza!$A$3:$K$852,10,0)-VLOOKUP($D150,[1]Balanza!$A$3:$K$852,11,0),0)</f>
        <v>0</v>
      </c>
    </row>
    <row r="151" spans="1:6" x14ac:dyDescent="0.3">
      <c r="A151" s="2" t="s">
        <v>296</v>
      </c>
      <c r="B151" s="2" t="s">
        <v>297</v>
      </c>
      <c r="C151" t="s">
        <v>3090</v>
      </c>
      <c r="D151" s="5" t="s">
        <v>3246</v>
      </c>
      <c r="E151" s="6">
        <f>IFERROR(VLOOKUP($D151,[1]Balanza!$A$3:$K$852,6,0)-VLOOKUP(D151,[1]Balanza!$A$3:$K$852,7,0),0)</f>
        <v>0</v>
      </c>
      <c r="F151" s="6">
        <f>IFERROR(VLOOKUP($D151,[1]Balanza!$A$3:$K$852,10,0)-VLOOKUP($D151,[1]Balanza!$A$3:$K$852,11,0),0)</f>
        <v>0</v>
      </c>
    </row>
    <row r="152" spans="1:6" x14ac:dyDescent="0.3">
      <c r="A152" s="2" t="s">
        <v>298</v>
      </c>
      <c r="B152" s="2" t="s">
        <v>299</v>
      </c>
      <c r="C152" t="s">
        <v>3090</v>
      </c>
      <c r="D152" s="5" t="s">
        <v>3247</v>
      </c>
      <c r="E152" s="6">
        <f>IFERROR(VLOOKUP($D152,[1]Balanza!$A$3:$K$852,6,0)-VLOOKUP(D152,[1]Balanza!$A$3:$K$852,7,0),0)</f>
        <v>0</v>
      </c>
      <c r="F152" s="6">
        <f>IFERROR(VLOOKUP($D152,[1]Balanza!$A$3:$K$852,10,0)-VLOOKUP($D152,[1]Balanza!$A$3:$K$852,11,0),0)</f>
        <v>0</v>
      </c>
    </row>
    <row r="153" spans="1:6" x14ac:dyDescent="0.3">
      <c r="A153" s="2" t="s">
        <v>300</v>
      </c>
      <c r="B153" s="2" t="s">
        <v>301</v>
      </c>
      <c r="C153" t="s">
        <v>3090</v>
      </c>
      <c r="D153" s="5" t="s">
        <v>3248</v>
      </c>
      <c r="E153" s="6">
        <f>IFERROR(VLOOKUP($D153,[1]Balanza!$A$3:$K$852,6,0)-VLOOKUP(D153,[1]Balanza!$A$3:$K$852,7,0),0)</f>
        <v>0</v>
      </c>
      <c r="F153" s="6">
        <f>IFERROR(VLOOKUP($D153,[1]Balanza!$A$3:$K$852,10,0)-VLOOKUP($D153,[1]Balanza!$A$3:$K$852,11,0),0)</f>
        <v>0</v>
      </c>
    </row>
    <row r="154" spans="1:6" x14ac:dyDescent="0.3">
      <c r="A154" s="2" t="s">
        <v>302</v>
      </c>
      <c r="B154" s="2" t="s">
        <v>303</v>
      </c>
      <c r="C154" t="s">
        <v>3090</v>
      </c>
      <c r="D154" s="5" t="s">
        <v>3249</v>
      </c>
      <c r="E154" s="6">
        <f>IFERROR(VLOOKUP($D154,[1]Balanza!$A$3:$K$852,6,0)-VLOOKUP(D154,[1]Balanza!$A$3:$K$852,7,0),0)</f>
        <v>0</v>
      </c>
      <c r="F154" s="6">
        <f>IFERROR(VLOOKUP($D154,[1]Balanza!$A$3:$K$852,10,0)-VLOOKUP($D154,[1]Balanza!$A$3:$K$852,11,0),0)</f>
        <v>0</v>
      </c>
    </row>
    <row r="155" spans="1:6" x14ac:dyDescent="0.3">
      <c r="A155" s="2" t="s">
        <v>304</v>
      </c>
      <c r="B155" s="2" t="s">
        <v>305</v>
      </c>
      <c r="C155" t="s">
        <v>3090</v>
      </c>
      <c r="D155" s="5" t="s">
        <v>3250</v>
      </c>
      <c r="E155" s="6">
        <f>IFERROR(VLOOKUP($D155,[1]Balanza!$A$3:$K$852,6,0)-VLOOKUP(D155,[1]Balanza!$A$3:$K$852,7,0),0)</f>
        <v>0</v>
      </c>
      <c r="F155" s="6">
        <f>IFERROR(VLOOKUP($D155,[1]Balanza!$A$3:$K$852,10,0)-VLOOKUP($D155,[1]Balanza!$A$3:$K$852,11,0),0)</f>
        <v>0</v>
      </c>
    </row>
    <row r="156" spans="1:6" x14ac:dyDescent="0.3">
      <c r="A156" s="1" t="s">
        <v>306</v>
      </c>
      <c r="B156" s="1" t="s">
        <v>307</v>
      </c>
      <c r="C156" t="s">
        <v>3090</v>
      </c>
      <c r="D156" s="5" t="s">
        <v>3251</v>
      </c>
      <c r="E156" s="6">
        <f>IFERROR(VLOOKUP($D156,[1]Balanza!$A$3:$K$852,6,0)-VLOOKUP(D156,[1]Balanza!$A$3:$K$852,7,0),0)</f>
        <v>0</v>
      </c>
      <c r="F156" s="6">
        <f>IFERROR(VLOOKUP($D156,[1]Balanza!$A$3:$K$852,10,0)-VLOOKUP($D156,[1]Balanza!$A$3:$K$852,11,0),0)</f>
        <v>0</v>
      </c>
    </row>
    <row r="157" spans="1:6" x14ac:dyDescent="0.3">
      <c r="A157" s="2" t="s">
        <v>308</v>
      </c>
      <c r="B157" s="2" t="s">
        <v>307</v>
      </c>
      <c r="C157" t="s">
        <v>3090</v>
      </c>
      <c r="D157" s="5" t="s">
        <v>3252</v>
      </c>
      <c r="E157" s="6">
        <f>IFERROR(VLOOKUP($D157,[1]Balanza!$A$3:$K$852,6,0)-VLOOKUP(D157,[1]Balanza!$A$3:$K$852,7,0),0)</f>
        <v>0</v>
      </c>
      <c r="F157" s="6">
        <f>IFERROR(VLOOKUP($D157,[1]Balanza!$A$3:$K$852,10,0)-VLOOKUP($D157,[1]Balanza!$A$3:$K$852,11,0),0)</f>
        <v>0</v>
      </c>
    </row>
    <row r="158" spans="1:6" x14ac:dyDescent="0.3">
      <c r="A158" s="1" t="s">
        <v>309</v>
      </c>
      <c r="B158" s="1" t="s">
        <v>310</v>
      </c>
      <c r="C158" t="s">
        <v>3090</v>
      </c>
      <c r="D158" s="5" t="s">
        <v>3253</v>
      </c>
      <c r="E158" s="6">
        <f>IFERROR(VLOOKUP($D158,[1]Balanza!$A$3:$K$852,6,0)-VLOOKUP(D158,[1]Balanza!$A$3:$K$852,7,0),0)</f>
        <v>0</v>
      </c>
      <c r="F158" s="6">
        <f>IFERROR(VLOOKUP($D158,[1]Balanza!$A$3:$K$852,10,0)-VLOOKUP($D158,[1]Balanza!$A$3:$K$852,11,0),0)</f>
        <v>0</v>
      </c>
    </row>
    <row r="159" spans="1:6" x14ac:dyDescent="0.3">
      <c r="A159" s="2" t="s">
        <v>311</v>
      </c>
      <c r="B159" s="2" t="s">
        <v>310</v>
      </c>
      <c r="C159" t="s">
        <v>3090</v>
      </c>
      <c r="D159" s="5" t="s">
        <v>3254</v>
      </c>
      <c r="E159" s="6">
        <f>IFERROR(VLOOKUP($D159,[1]Balanza!$A$3:$K$852,6,0)-VLOOKUP(D159,[1]Balanza!$A$3:$K$852,7,0),0)</f>
        <v>0</v>
      </c>
      <c r="F159" s="6">
        <f>IFERROR(VLOOKUP($D159,[1]Balanza!$A$3:$K$852,10,0)-VLOOKUP($D159,[1]Balanza!$A$3:$K$852,11,0),0)</f>
        <v>0</v>
      </c>
    </row>
    <row r="160" spans="1:6" x14ac:dyDescent="0.3">
      <c r="A160" s="1" t="s">
        <v>312</v>
      </c>
      <c r="B160" s="1" t="s">
        <v>313</v>
      </c>
      <c r="C160" t="s">
        <v>3090</v>
      </c>
      <c r="D160" s="5" t="s">
        <v>3255</v>
      </c>
      <c r="E160" s="6">
        <f>IFERROR(VLOOKUP($D160,[1]Balanza!$A$3:$K$852,6,0)-VLOOKUP(D160,[1]Balanza!$A$3:$K$852,7,0),0)</f>
        <v>0</v>
      </c>
      <c r="F160" s="6">
        <f>IFERROR(VLOOKUP($D160,[1]Balanza!$A$3:$K$852,10,0)-VLOOKUP($D160,[1]Balanza!$A$3:$K$852,11,0),0)</f>
        <v>0</v>
      </c>
    </row>
    <row r="161" spans="1:6" x14ac:dyDescent="0.3">
      <c r="A161" s="2" t="s">
        <v>314</v>
      </c>
      <c r="B161" s="2" t="s">
        <v>313</v>
      </c>
      <c r="C161" t="s">
        <v>3090</v>
      </c>
      <c r="D161" s="5" t="s">
        <v>3256</v>
      </c>
      <c r="E161" s="6">
        <f>IFERROR(VLOOKUP($D161,[1]Balanza!$A$3:$K$852,6,0)-VLOOKUP(D161,[1]Balanza!$A$3:$K$852,7,0),0)</f>
        <v>0</v>
      </c>
      <c r="F161" s="6">
        <f>IFERROR(VLOOKUP($D161,[1]Balanza!$A$3:$K$852,10,0)-VLOOKUP($D161,[1]Balanza!$A$3:$K$852,11,0),0)</f>
        <v>0</v>
      </c>
    </row>
    <row r="162" spans="1:6" x14ac:dyDescent="0.3">
      <c r="A162" s="1" t="s">
        <v>315</v>
      </c>
      <c r="B162" s="1" t="s">
        <v>316</v>
      </c>
      <c r="C162" t="s">
        <v>3090</v>
      </c>
      <c r="D162" s="5" t="s">
        <v>3257</v>
      </c>
      <c r="E162" s="6">
        <f>IFERROR(VLOOKUP($D162,[1]Balanza!$A$3:$K$852,6,0)-VLOOKUP(D162,[1]Balanza!$A$3:$K$852,7,0),0)</f>
        <v>0</v>
      </c>
      <c r="F162" s="6">
        <f>IFERROR(VLOOKUP($D162,[1]Balanza!$A$3:$K$852,10,0)-VLOOKUP($D162,[1]Balanza!$A$3:$K$852,11,0),0)</f>
        <v>0</v>
      </c>
    </row>
    <row r="163" spans="1:6" x14ac:dyDescent="0.3">
      <c r="A163" s="2" t="s">
        <v>317</v>
      </c>
      <c r="B163" s="2" t="s">
        <v>318</v>
      </c>
      <c r="C163" t="s">
        <v>3090</v>
      </c>
      <c r="D163" s="5" t="s">
        <v>3258</v>
      </c>
      <c r="E163" s="6">
        <f>IFERROR(VLOOKUP($D163,[1]Balanza!$A$3:$K$852,6,0)-VLOOKUP(D163,[1]Balanza!$A$3:$K$852,7,0),0)</f>
        <v>546387.38</v>
      </c>
      <c r="F163" s="6">
        <f>IFERROR(VLOOKUP($D163,[1]Balanza!$A$3:$K$852,10,0)-VLOOKUP($D163,[1]Balanza!$A$3:$K$852,11,0),0)</f>
        <v>0</v>
      </c>
    </row>
    <row r="164" spans="1:6" x14ac:dyDescent="0.3">
      <c r="A164" s="2" t="s">
        <v>319</v>
      </c>
      <c r="B164" s="2" t="s">
        <v>320</v>
      </c>
      <c r="C164" t="s">
        <v>3090</v>
      </c>
      <c r="D164" s="5" t="s">
        <v>3259</v>
      </c>
      <c r="E164" s="6">
        <f>IFERROR(VLOOKUP($D164,[1]Balanza!$A$3:$K$852,6,0)-VLOOKUP(D164,[1]Balanza!$A$3:$K$852,7,0),0)</f>
        <v>0</v>
      </c>
      <c r="F164" s="6">
        <f>IFERROR(VLOOKUP($D164,[1]Balanza!$A$3:$K$852,10,0)-VLOOKUP($D164,[1]Balanza!$A$3:$K$852,11,0),0)</f>
        <v>0</v>
      </c>
    </row>
    <row r="165" spans="1:6" x14ac:dyDescent="0.3">
      <c r="A165" s="2" t="s">
        <v>321</v>
      </c>
      <c r="B165" s="2" t="s">
        <v>322</v>
      </c>
      <c r="C165" t="s">
        <v>3090</v>
      </c>
      <c r="D165" s="5" t="s">
        <v>3260</v>
      </c>
      <c r="E165" s="6">
        <f>IFERROR(VLOOKUP($D165,[1]Balanza!$A$3:$K$852,6,0)-VLOOKUP(D165,[1]Balanza!$A$3:$K$852,7,0),0)</f>
        <v>0</v>
      </c>
      <c r="F165" s="6">
        <f>IFERROR(VLOOKUP($D165,[1]Balanza!$A$3:$K$852,10,0)-VLOOKUP($D165,[1]Balanza!$A$3:$K$852,11,0),0)</f>
        <v>0</v>
      </c>
    </row>
    <row r="166" spans="1:6" x14ac:dyDescent="0.3">
      <c r="A166" s="2" t="s">
        <v>323</v>
      </c>
      <c r="B166" s="2" t="s">
        <v>324</v>
      </c>
      <c r="C166" t="s">
        <v>3090</v>
      </c>
      <c r="D166" s="5" t="s">
        <v>3261</v>
      </c>
      <c r="E166" s="6">
        <f>IFERROR(VLOOKUP($D166,[1]Balanza!$A$3:$K$852,6,0)-VLOOKUP(D166,[1]Balanza!$A$3:$K$852,7,0),0)</f>
        <v>0</v>
      </c>
      <c r="F166" s="6">
        <f>IFERROR(VLOOKUP($D166,[1]Balanza!$A$3:$K$852,10,0)-VLOOKUP($D166,[1]Balanza!$A$3:$K$852,11,0),0)</f>
        <v>0</v>
      </c>
    </row>
    <row r="167" spans="1:6" x14ac:dyDescent="0.3">
      <c r="A167" s="2" t="s">
        <v>325</v>
      </c>
      <c r="B167" s="2" t="s">
        <v>326</v>
      </c>
      <c r="C167" t="s">
        <v>3090</v>
      </c>
      <c r="D167" s="5" t="s">
        <v>3262</v>
      </c>
      <c r="E167" s="6">
        <f>IFERROR(VLOOKUP($D167,[1]Balanza!$A$3:$K$852,6,0)-VLOOKUP(D167,[1]Balanza!$A$3:$K$852,7,0),0)</f>
        <v>0</v>
      </c>
      <c r="F167" s="6">
        <f>IFERROR(VLOOKUP($D167,[1]Balanza!$A$3:$K$852,10,0)-VLOOKUP($D167,[1]Balanza!$A$3:$K$852,11,0),0)</f>
        <v>0</v>
      </c>
    </row>
    <row r="168" spans="1:6" x14ac:dyDescent="0.3">
      <c r="A168" s="2" t="s">
        <v>327</v>
      </c>
      <c r="B168" s="2" t="s">
        <v>328</v>
      </c>
      <c r="C168" t="s">
        <v>3090</v>
      </c>
      <c r="D168" s="5" t="s">
        <v>3263</v>
      </c>
      <c r="E168" s="6">
        <f>IFERROR(VLOOKUP($D168,[1]Balanza!$A$3:$K$852,6,0)-VLOOKUP(D168,[1]Balanza!$A$3:$K$852,7,0),0)</f>
        <v>0</v>
      </c>
      <c r="F168" s="6">
        <f>IFERROR(VLOOKUP($D168,[1]Balanza!$A$3:$K$852,10,0)-VLOOKUP($D168,[1]Balanza!$A$3:$K$852,11,0),0)</f>
        <v>0</v>
      </c>
    </row>
    <row r="169" spans="1:6" x14ac:dyDescent="0.3">
      <c r="A169" s="2" t="s">
        <v>329</v>
      </c>
      <c r="B169" s="2" t="s">
        <v>330</v>
      </c>
      <c r="C169" t="s">
        <v>3090</v>
      </c>
      <c r="D169" s="5" t="s">
        <v>3264</v>
      </c>
      <c r="E169" s="6">
        <f>IFERROR(VLOOKUP($D169,[1]Balanza!$A$3:$K$852,6,0)-VLOOKUP(D169,[1]Balanza!$A$3:$K$852,7,0),0)</f>
        <v>0</v>
      </c>
      <c r="F169" s="6">
        <f>IFERROR(VLOOKUP($D169,[1]Balanza!$A$3:$K$852,10,0)-VLOOKUP($D169,[1]Balanza!$A$3:$K$852,11,0),0)</f>
        <v>0</v>
      </c>
    </row>
    <row r="170" spans="1:6" x14ac:dyDescent="0.3">
      <c r="A170" s="2" t="s">
        <v>331</v>
      </c>
      <c r="B170" s="2" t="s">
        <v>332</v>
      </c>
      <c r="C170" t="s">
        <v>3090</v>
      </c>
      <c r="D170" s="5" t="s">
        <v>3265</v>
      </c>
      <c r="E170" s="6">
        <f>IFERROR(VLOOKUP($D170,[1]Balanza!$A$3:$K$852,6,0)-VLOOKUP(D170,[1]Balanza!$A$3:$K$852,7,0),0)</f>
        <v>0</v>
      </c>
      <c r="F170" s="6">
        <f>IFERROR(VLOOKUP($D170,[1]Balanza!$A$3:$K$852,10,0)-VLOOKUP($D170,[1]Balanza!$A$3:$K$852,11,0),0)</f>
        <v>0</v>
      </c>
    </row>
    <row r="171" spans="1:6" x14ac:dyDescent="0.3">
      <c r="A171" s="1" t="s">
        <v>333</v>
      </c>
      <c r="B171" s="1" t="s">
        <v>334</v>
      </c>
      <c r="C171" t="s">
        <v>3090</v>
      </c>
      <c r="D171" s="5" t="s">
        <v>3266</v>
      </c>
      <c r="E171" s="6">
        <f>IFERROR(VLOOKUP($D171,[1]Balanza!$A$3:$K$852,6,0)-VLOOKUP(D171,[1]Balanza!$A$3:$K$852,7,0),0)</f>
        <v>0</v>
      </c>
      <c r="F171" s="6">
        <f>IFERROR(VLOOKUP($D171,[1]Balanza!$A$3:$K$852,10,0)-VLOOKUP($D171,[1]Balanza!$A$3:$K$852,11,0),0)</f>
        <v>0</v>
      </c>
    </row>
    <row r="172" spans="1:6" x14ac:dyDescent="0.3">
      <c r="A172" s="2" t="s">
        <v>335</v>
      </c>
      <c r="B172" s="2" t="s">
        <v>336</v>
      </c>
      <c r="C172" t="s">
        <v>3090</v>
      </c>
      <c r="D172" s="5" t="s">
        <v>3267</v>
      </c>
      <c r="E172" s="6">
        <f>IFERROR(VLOOKUP($D172,[1]Balanza!$A$3:$K$852,6,0)-VLOOKUP(D172,[1]Balanza!$A$3:$K$852,7,0),0)</f>
        <v>284962</v>
      </c>
      <c r="F172" s="6">
        <f>IFERROR(VLOOKUP($D172,[1]Balanza!$A$3:$K$852,10,0)-VLOOKUP($D172,[1]Balanza!$A$3:$K$852,11,0),0)</f>
        <v>0</v>
      </c>
    </row>
    <row r="173" spans="1:6" x14ac:dyDescent="0.3">
      <c r="A173" s="1" t="s">
        <v>337</v>
      </c>
      <c r="B173" s="1" t="s">
        <v>338</v>
      </c>
      <c r="C173" t="s">
        <v>3090</v>
      </c>
      <c r="D173" s="5" t="s">
        <v>3268</v>
      </c>
      <c r="E173" s="6">
        <f>IFERROR(VLOOKUP($D173,[1]Balanza!$A$3:$K$852,6,0)-VLOOKUP(D173,[1]Balanza!$A$3:$K$852,7,0),0)</f>
        <v>0</v>
      </c>
      <c r="F173" s="6">
        <f>IFERROR(VLOOKUP($D173,[1]Balanza!$A$3:$K$852,10,0)-VLOOKUP($D173,[1]Balanza!$A$3:$K$852,11,0),0)</f>
        <v>0</v>
      </c>
    </row>
    <row r="174" spans="1:6" x14ac:dyDescent="0.3">
      <c r="A174" s="2" t="s">
        <v>339</v>
      </c>
      <c r="B174" s="2" t="s">
        <v>338</v>
      </c>
      <c r="C174" t="s">
        <v>3090</v>
      </c>
      <c r="D174" s="5" t="s">
        <v>3269</v>
      </c>
      <c r="E174" s="6">
        <f>IFERROR(VLOOKUP($D174,[1]Balanza!$A$3:$K$852,6,0)-VLOOKUP(D174,[1]Balanza!$A$3:$K$852,7,0),0)</f>
        <v>-123366.36</v>
      </c>
      <c r="F174" s="6">
        <f>IFERROR(VLOOKUP($D174,[1]Balanza!$A$3:$K$852,10,0)-VLOOKUP($D174,[1]Balanza!$A$3:$K$852,11,0),0)</f>
        <v>1617285.11</v>
      </c>
    </row>
    <row r="175" spans="1:6" x14ac:dyDescent="0.3">
      <c r="A175" s="2" t="s">
        <v>340</v>
      </c>
      <c r="B175" s="2" t="s">
        <v>341</v>
      </c>
      <c r="C175" t="s">
        <v>3090</v>
      </c>
      <c r="D175" s="5" t="s">
        <v>3270</v>
      </c>
      <c r="E175" s="6">
        <f>IFERROR(VLOOKUP($D175,[1]Balanza!$A$3:$K$852,6,0)-VLOOKUP(D175,[1]Balanza!$A$3:$K$852,7,0),0)</f>
        <v>0</v>
      </c>
      <c r="F175" s="6">
        <f>IFERROR(VLOOKUP($D175,[1]Balanza!$A$3:$K$852,10,0)-VLOOKUP($D175,[1]Balanza!$A$3:$K$852,11,0),0)</f>
        <v>0</v>
      </c>
    </row>
    <row r="176" spans="1:6" x14ac:dyDescent="0.3">
      <c r="A176" s="2" t="s">
        <v>342</v>
      </c>
      <c r="B176" s="2" t="s">
        <v>343</v>
      </c>
      <c r="C176" t="s">
        <v>3090</v>
      </c>
      <c r="D176" s="5" t="s">
        <v>3271</v>
      </c>
      <c r="E176" s="6">
        <f>IFERROR(VLOOKUP($D176,[1]Balanza!$A$3:$K$852,6,0)-VLOOKUP(D176,[1]Balanza!$A$3:$K$852,7,0),0)</f>
        <v>1199715.7399999993</v>
      </c>
      <c r="F176" s="6">
        <f>IFERROR(VLOOKUP($D176,[1]Balanza!$A$3:$K$852,10,0)-VLOOKUP($D176,[1]Balanza!$A$3:$K$852,11,0),0)</f>
        <v>-2012714.91</v>
      </c>
    </row>
    <row r="177" spans="1:6" x14ac:dyDescent="0.3">
      <c r="A177" s="2" t="s">
        <v>344</v>
      </c>
      <c r="B177" s="2" t="s">
        <v>345</v>
      </c>
      <c r="C177" t="s">
        <v>3090</v>
      </c>
      <c r="D177" s="5" t="s">
        <v>3272</v>
      </c>
      <c r="E177" s="6">
        <f>IFERROR(VLOOKUP($D177,[1]Balanza!$A$3:$K$852,6,0)-VLOOKUP(D177,[1]Balanza!$A$3:$K$852,7,0),0)</f>
        <v>2830760.82</v>
      </c>
      <c r="F177" s="6">
        <f>IFERROR(VLOOKUP($D177,[1]Balanza!$A$3:$K$852,10,0)-VLOOKUP($D177,[1]Balanza!$A$3:$K$852,11,0),0)</f>
        <v>0</v>
      </c>
    </row>
    <row r="178" spans="1:6" x14ac:dyDescent="0.3">
      <c r="A178" s="2" t="s">
        <v>346</v>
      </c>
      <c r="B178" s="2" t="s">
        <v>347</v>
      </c>
      <c r="C178" t="s">
        <v>3090</v>
      </c>
      <c r="D178" s="5" t="s">
        <v>3273</v>
      </c>
      <c r="E178" s="6">
        <f>IFERROR(VLOOKUP($D178,[1]Balanza!$A$3:$K$852,6,0)-VLOOKUP(D178,[1]Balanza!$A$3:$K$852,7,0),0)</f>
        <v>0</v>
      </c>
      <c r="F178" s="6">
        <f>IFERROR(VLOOKUP($D178,[1]Balanza!$A$3:$K$852,10,0)-VLOOKUP($D178,[1]Balanza!$A$3:$K$852,11,0),0)</f>
        <v>31432.400000000001</v>
      </c>
    </row>
    <row r="179" spans="1:6" x14ac:dyDescent="0.3">
      <c r="A179" s="2" t="s">
        <v>348</v>
      </c>
      <c r="B179" s="2" t="s">
        <v>349</v>
      </c>
      <c r="C179" t="s">
        <v>3090</v>
      </c>
      <c r="D179" s="5" t="s">
        <v>3274</v>
      </c>
      <c r="E179" s="6">
        <f>IFERROR(VLOOKUP($D179,[1]Balanza!$A$3:$K$852,6,0)-VLOOKUP(D179,[1]Balanza!$A$3:$K$852,7,0),0)</f>
        <v>0</v>
      </c>
      <c r="F179" s="6">
        <f>IFERROR(VLOOKUP($D179,[1]Balanza!$A$3:$K$852,10,0)-VLOOKUP($D179,[1]Balanza!$A$3:$K$852,11,0),0)</f>
        <v>0</v>
      </c>
    </row>
    <row r="180" spans="1:6" x14ac:dyDescent="0.3">
      <c r="A180" s="2" t="s">
        <v>350</v>
      </c>
      <c r="B180" s="2" t="s">
        <v>351</v>
      </c>
      <c r="C180" t="s">
        <v>3090</v>
      </c>
      <c r="D180" s="5" t="s">
        <v>3275</v>
      </c>
      <c r="E180" s="6">
        <f>IFERROR(VLOOKUP($D180,[1]Balanza!$A$3:$K$852,6,0)-VLOOKUP(D180,[1]Balanza!$A$3:$K$852,7,0),0)</f>
        <v>0</v>
      </c>
      <c r="F180" s="6">
        <f>IFERROR(VLOOKUP($D180,[1]Balanza!$A$3:$K$852,10,0)-VLOOKUP($D180,[1]Balanza!$A$3:$K$852,11,0),0)</f>
        <v>0</v>
      </c>
    </row>
    <row r="181" spans="1:6" x14ac:dyDescent="0.3">
      <c r="A181" s="2" t="s">
        <v>352</v>
      </c>
      <c r="B181" s="2" t="s">
        <v>353</v>
      </c>
      <c r="C181" t="s">
        <v>3090</v>
      </c>
      <c r="D181" s="5" t="s">
        <v>3276</v>
      </c>
      <c r="E181" s="6">
        <f>IFERROR(VLOOKUP($D181,[1]Balanza!$A$3:$K$852,6,0)-VLOOKUP(D181,[1]Balanza!$A$3:$K$852,7,0),0)</f>
        <v>0</v>
      </c>
      <c r="F181" s="6">
        <f>IFERROR(VLOOKUP($D181,[1]Balanza!$A$3:$K$852,10,0)-VLOOKUP($D181,[1]Balanza!$A$3:$K$852,11,0),0)</f>
        <v>0</v>
      </c>
    </row>
    <row r="182" spans="1:6" x14ac:dyDescent="0.3">
      <c r="A182" s="2" t="s">
        <v>354</v>
      </c>
      <c r="B182" s="2" t="s">
        <v>355</v>
      </c>
      <c r="C182" t="s">
        <v>3090</v>
      </c>
      <c r="D182" s="5" t="s">
        <v>3277</v>
      </c>
      <c r="E182" s="6">
        <f>IFERROR(VLOOKUP($D182,[1]Balanza!$A$3:$K$852,6,0)-VLOOKUP(D182,[1]Balanza!$A$3:$K$852,7,0),0)</f>
        <v>0</v>
      </c>
      <c r="F182" s="6">
        <f>IFERROR(VLOOKUP($D182,[1]Balanza!$A$3:$K$852,10,0)-VLOOKUP($D182,[1]Balanza!$A$3:$K$852,11,0),0)</f>
        <v>0</v>
      </c>
    </row>
    <row r="183" spans="1:6" x14ac:dyDescent="0.3">
      <c r="A183" s="2" t="s">
        <v>356</v>
      </c>
      <c r="B183" s="2" t="s">
        <v>357</v>
      </c>
      <c r="C183" t="s">
        <v>3090</v>
      </c>
      <c r="D183" s="5" t="s">
        <v>3278</v>
      </c>
      <c r="E183" s="6">
        <f>IFERROR(VLOOKUP($D183,[1]Balanza!$A$3:$K$852,6,0)-VLOOKUP(D183,[1]Balanza!$A$3:$K$852,7,0),0)</f>
        <v>0</v>
      </c>
      <c r="F183" s="6">
        <f>IFERROR(VLOOKUP($D183,[1]Balanza!$A$3:$K$852,10,0)-VLOOKUP($D183,[1]Balanza!$A$3:$K$852,11,0),0)</f>
        <v>0</v>
      </c>
    </row>
    <row r="184" spans="1:6" x14ac:dyDescent="0.3">
      <c r="A184" s="2" t="s">
        <v>358</v>
      </c>
      <c r="B184" s="2" t="s">
        <v>359</v>
      </c>
      <c r="C184" t="s">
        <v>3090</v>
      </c>
      <c r="D184" s="5" t="s">
        <v>3279</v>
      </c>
      <c r="E184" s="6">
        <f>IFERROR(VLOOKUP($D184,[1]Balanza!$A$3:$K$852,6,0)-VLOOKUP(D184,[1]Balanza!$A$3:$K$852,7,0),0)</f>
        <v>0</v>
      </c>
      <c r="F184" s="6">
        <f>IFERROR(VLOOKUP($D184,[1]Balanza!$A$3:$K$852,10,0)-VLOOKUP($D184,[1]Balanza!$A$3:$K$852,11,0),0)</f>
        <v>0</v>
      </c>
    </row>
    <row r="185" spans="1:6" x14ac:dyDescent="0.3">
      <c r="A185" s="1" t="s">
        <v>360</v>
      </c>
      <c r="B185" s="1" t="s">
        <v>361</v>
      </c>
      <c r="C185" t="s">
        <v>3090</v>
      </c>
      <c r="D185" s="5" t="s">
        <v>3280</v>
      </c>
      <c r="E185" s="6">
        <f>IFERROR(VLOOKUP($D185,[1]Balanza!$A$3:$K$852,6,0)-VLOOKUP(D185,[1]Balanza!$A$3:$K$852,7,0),0)</f>
        <v>0</v>
      </c>
      <c r="F185" s="6">
        <f>IFERROR(VLOOKUP($D185,[1]Balanza!$A$3:$K$852,10,0)-VLOOKUP($D185,[1]Balanza!$A$3:$K$852,11,0),0)</f>
        <v>0</v>
      </c>
    </row>
    <row r="186" spans="1:6" x14ac:dyDescent="0.3">
      <c r="A186" s="2" t="s">
        <v>362</v>
      </c>
      <c r="B186" s="2" t="s">
        <v>361</v>
      </c>
      <c r="C186" t="s">
        <v>3090</v>
      </c>
      <c r="D186" s="5" t="s">
        <v>3281</v>
      </c>
      <c r="E186" s="6">
        <f>IFERROR(VLOOKUP($D186,[1]Balanza!$A$3:$K$852,6,0)-VLOOKUP(D186,[1]Balanza!$A$3:$K$852,7,0),0)</f>
        <v>0</v>
      </c>
      <c r="F186" s="6">
        <f>IFERROR(VLOOKUP($D186,[1]Balanza!$A$3:$K$852,10,0)-VLOOKUP($D186,[1]Balanza!$A$3:$K$852,11,0),0)</f>
        <v>0</v>
      </c>
    </row>
    <row r="187" spans="1:6" x14ac:dyDescent="0.3">
      <c r="A187" s="1" t="s">
        <v>363</v>
      </c>
      <c r="B187" s="1" t="s">
        <v>364</v>
      </c>
      <c r="C187" t="s">
        <v>3090</v>
      </c>
      <c r="D187" s="5" t="s">
        <v>3282</v>
      </c>
      <c r="E187" s="6">
        <f>IFERROR(VLOOKUP($D187,[1]Balanza!$A$3:$K$852,6,0)-VLOOKUP(D187,[1]Balanza!$A$3:$K$852,7,0),0)</f>
        <v>0</v>
      </c>
      <c r="F187" s="6">
        <f>IFERROR(VLOOKUP($D187,[1]Balanza!$A$3:$K$852,10,0)-VLOOKUP($D187,[1]Balanza!$A$3:$K$852,11,0),0)</f>
        <v>0</v>
      </c>
    </row>
    <row r="188" spans="1:6" x14ac:dyDescent="0.3">
      <c r="A188" s="2" t="s">
        <v>365</v>
      </c>
      <c r="B188" s="2" t="s">
        <v>364</v>
      </c>
      <c r="C188" t="s">
        <v>3090</v>
      </c>
      <c r="D188" s="5" t="s">
        <v>3283</v>
      </c>
      <c r="E188" s="6">
        <f>IFERROR(VLOOKUP($D188,[1]Balanza!$A$3:$K$852,6,0)-VLOOKUP(D188,[1]Balanza!$A$3:$K$852,7,0),0)</f>
        <v>0</v>
      </c>
      <c r="F188" s="6">
        <f>IFERROR(VLOOKUP($D188,[1]Balanza!$A$3:$K$852,10,0)-VLOOKUP($D188,[1]Balanza!$A$3:$K$852,11,0),0)</f>
        <v>0</v>
      </c>
    </row>
    <row r="189" spans="1:6" x14ac:dyDescent="0.3">
      <c r="A189" s="1" t="s">
        <v>366</v>
      </c>
      <c r="B189" s="1" t="s">
        <v>367</v>
      </c>
      <c r="C189" t="s">
        <v>3090</v>
      </c>
      <c r="D189" s="5" t="s">
        <v>3284</v>
      </c>
      <c r="E189" s="6">
        <f>IFERROR(VLOOKUP($D189,[1]Balanza!$A$3:$K$852,6,0)-VLOOKUP(D189,[1]Balanza!$A$3:$K$852,7,0),0)</f>
        <v>0</v>
      </c>
      <c r="F189" s="6">
        <f>IFERROR(VLOOKUP($D189,[1]Balanza!$A$3:$K$852,10,0)-VLOOKUP($D189,[1]Balanza!$A$3:$K$852,11,0),0)</f>
        <v>0</v>
      </c>
    </row>
    <row r="190" spans="1:6" x14ac:dyDescent="0.3">
      <c r="A190" s="2" t="s">
        <v>368</v>
      </c>
      <c r="B190" s="2" t="s">
        <v>369</v>
      </c>
      <c r="C190" t="s">
        <v>3090</v>
      </c>
      <c r="D190" s="5" t="s">
        <v>3285</v>
      </c>
      <c r="E190" s="6">
        <f>IFERROR(VLOOKUP($D190,[1]Balanza!$A$3:$K$852,6,0)-VLOOKUP(D190,[1]Balanza!$A$3:$K$852,7,0),0)</f>
        <v>9414.1599999999162</v>
      </c>
      <c r="F190" s="6">
        <f>IFERROR(VLOOKUP($D190,[1]Balanza!$A$3:$K$852,10,0)-VLOOKUP($D190,[1]Balanza!$A$3:$K$852,11,0),0)</f>
        <v>399495.42</v>
      </c>
    </row>
    <row r="191" spans="1:6" x14ac:dyDescent="0.3">
      <c r="A191" s="2" t="s">
        <v>370</v>
      </c>
      <c r="B191" s="2" t="s">
        <v>371</v>
      </c>
      <c r="C191" t="s">
        <v>3090</v>
      </c>
      <c r="D191" s="5" t="s">
        <v>3286</v>
      </c>
      <c r="E191" s="6">
        <f>IFERROR(VLOOKUP($D191,[1]Balanza!$A$3:$K$852,6,0)-VLOOKUP(D191,[1]Balanza!$A$3:$K$852,7,0),0)</f>
        <v>0</v>
      </c>
      <c r="F191" s="6">
        <f>IFERROR(VLOOKUP($D191,[1]Balanza!$A$3:$K$852,10,0)-VLOOKUP($D191,[1]Balanza!$A$3:$K$852,11,0),0)</f>
        <v>0</v>
      </c>
    </row>
    <row r="192" spans="1:6" x14ac:dyDescent="0.3">
      <c r="A192" s="2" t="s">
        <v>372</v>
      </c>
      <c r="B192" s="2" t="s">
        <v>373</v>
      </c>
      <c r="C192" t="s">
        <v>3090</v>
      </c>
      <c r="D192" s="5" t="s">
        <v>3287</v>
      </c>
      <c r="E192" s="6">
        <f>IFERROR(VLOOKUP($D192,[1]Balanza!$A$3:$K$852,6,0)-VLOOKUP(D192,[1]Balanza!$A$3:$K$852,7,0),0)</f>
        <v>0</v>
      </c>
      <c r="F192" s="6">
        <f>IFERROR(VLOOKUP($D192,[1]Balanza!$A$3:$K$852,10,0)-VLOOKUP($D192,[1]Balanza!$A$3:$K$852,11,0),0)</f>
        <v>0</v>
      </c>
    </row>
    <row r="193" spans="1:6" x14ac:dyDescent="0.3">
      <c r="A193" s="2" t="s">
        <v>374</v>
      </c>
      <c r="B193" s="2" t="s">
        <v>375</v>
      </c>
      <c r="C193" t="s">
        <v>3090</v>
      </c>
      <c r="D193" s="5" t="s">
        <v>3288</v>
      </c>
      <c r="E193" s="6">
        <f>IFERROR(VLOOKUP($D193,[1]Balanza!$A$3:$K$852,6,0)-VLOOKUP(D193,[1]Balanza!$A$3:$K$852,7,0),0)</f>
        <v>0</v>
      </c>
      <c r="F193" s="6">
        <f>IFERROR(VLOOKUP($D193,[1]Balanza!$A$3:$K$852,10,0)-VLOOKUP($D193,[1]Balanza!$A$3:$K$852,11,0),0)</f>
        <v>0</v>
      </c>
    </row>
    <row r="194" spans="1:6" x14ac:dyDescent="0.3">
      <c r="A194" s="1" t="s">
        <v>376</v>
      </c>
      <c r="B194" s="1" t="s">
        <v>377</v>
      </c>
      <c r="C194" t="s">
        <v>3090</v>
      </c>
      <c r="D194" s="5" t="s">
        <v>3289</v>
      </c>
      <c r="E194" s="6">
        <f>IFERROR(VLOOKUP($D194,[1]Balanza!$A$3:$K$852,6,0)-VLOOKUP(D194,[1]Balanza!$A$3:$K$852,7,0),0)</f>
        <v>0</v>
      </c>
      <c r="F194" s="6">
        <f>IFERROR(VLOOKUP($D194,[1]Balanza!$A$3:$K$852,10,0)-VLOOKUP($D194,[1]Balanza!$A$3:$K$852,11,0),0)</f>
        <v>0</v>
      </c>
    </row>
    <row r="195" spans="1:6" x14ac:dyDescent="0.3">
      <c r="A195" s="2" t="s">
        <v>378</v>
      </c>
      <c r="B195" s="2" t="s">
        <v>379</v>
      </c>
      <c r="C195" t="s">
        <v>3090</v>
      </c>
      <c r="D195" s="5" t="s">
        <v>3290</v>
      </c>
      <c r="E195" s="6">
        <f>IFERROR(VLOOKUP($D195,[1]Balanza!$A$3:$K$852,6,0)-VLOOKUP(D195,[1]Balanza!$A$3:$K$852,7,0),0)</f>
        <v>431859.57000000007</v>
      </c>
      <c r="F195" s="6">
        <f>IFERROR(VLOOKUP($D195,[1]Balanza!$A$3:$K$852,10,0)-VLOOKUP($D195,[1]Balanza!$A$3:$K$852,11,0),0)</f>
        <v>87509.399999999965</v>
      </c>
    </row>
    <row r="196" spans="1:6" x14ac:dyDescent="0.3">
      <c r="A196" s="2" t="s">
        <v>380</v>
      </c>
      <c r="B196" s="2" t="s">
        <v>381</v>
      </c>
      <c r="C196" t="s">
        <v>3090</v>
      </c>
      <c r="D196" s="5" t="s">
        <v>3291</v>
      </c>
      <c r="E196" s="6">
        <f>IFERROR(VLOOKUP($D196,[1]Balanza!$A$3:$K$852,6,0)-VLOOKUP(D196,[1]Balanza!$A$3:$K$852,7,0),0)</f>
        <v>0</v>
      </c>
      <c r="F196" s="6">
        <f>IFERROR(VLOOKUP($D196,[1]Balanza!$A$3:$K$852,10,0)-VLOOKUP($D196,[1]Balanza!$A$3:$K$852,11,0),0)</f>
        <v>0</v>
      </c>
    </row>
    <row r="197" spans="1:6" x14ac:dyDescent="0.3">
      <c r="A197" s="2" t="s">
        <v>382</v>
      </c>
      <c r="B197" s="2" t="s">
        <v>383</v>
      </c>
      <c r="C197" t="s">
        <v>3090</v>
      </c>
      <c r="D197" s="5" t="s">
        <v>3292</v>
      </c>
      <c r="E197" s="6">
        <f>IFERROR(VLOOKUP($D197,[1]Balanza!$A$3:$K$852,6,0)-VLOOKUP(D197,[1]Balanza!$A$3:$K$852,7,0),0)</f>
        <v>0</v>
      </c>
      <c r="F197" s="6">
        <f>IFERROR(VLOOKUP($D197,[1]Balanza!$A$3:$K$852,10,0)-VLOOKUP($D197,[1]Balanza!$A$3:$K$852,11,0),0)</f>
        <v>0</v>
      </c>
    </row>
    <row r="198" spans="1:6" x14ac:dyDescent="0.3">
      <c r="A198" s="2" t="s">
        <v>384</v>
      </c>
      <c r="B198" s="2" t="s">
        <v>385</v>
      </c>
      <c r="C198" t="s">
        <v>3090</v>
      </c>
      <c r="D198" s="5" t="s">
        <v>3293</v>
      </c>
      <c r="E198" s="6">
        <f>IFERROR(VLOOKUP($D198,[1]Balanza!$A$3:$K$852,6,0)-VLOOKUP(D198,[1]Balanza!$A$3:$K$852,7,0),0)</f>
        <v>0</v>
      </c>
      <c r="F198" s="6">
        <f>IFERROR(VLOOKUP($D198,[1]Balanza!$A$3:$K$852,10,0)-VLOOKUP($D198,[1]Balanza!$A$3:$K$852,11,0),0)</f>
        <v>0</v>
      </c>
    </row>
    <row r="199" spans="1:6" x14ac:dyDescent="0.3">
      <c r="A199" s="1" t="s">
        <v>386</v>
      </c>
      <c r="B199" s="1" t="s">
        <v>387</v>
      </c>
      <c r="C199" t="s">
        <v>3090</v>
      </c>
      <c r="D199" s="5" t="s">
        <v>3294</v>
      </c>
      <c r="E199" s="6">
        <f>IFERROR(VLOOKUP($D199,[1]Balanza!$A$3:$K$852,6,0)-VLOOKUP(D199,[1]Balanza!$A$3:$K$852,7,0),0)</f>
        <v>0</v>
      </c>
      <c r="F199" s="6">
        <f>IFERROR(VLOOKUP($D199,[1]Balanza!$A$3:$K$852,10,0)-VLOOKUP($D199,[1]Balanza!$A$3:$K$852,11,0),0)</f>
        <v>0</v>
      </c>
    </row>
    <row r="200" spans="1:6" x14ac:dyDescent="0.3">
      <c r="A200" s="2" t="s">
        <v>388</v>
      </c>
      <c r="B200" s="2" t="s">
        <v>389</v>
      </c>
      <c r="C200" t="s">
        <v>3090</v>
      </c>
      <c r="D200" s="5" t="s">
        <v>3295</v>
      </c>
      <c r="E200" s="6">
        <f>IFERROR(VLOOKUP($D200,[1]Balanza!$A$3:$K$852,6,0)-VLOOKUP(D200,[1]Balanza!$A$3:$K$852,7,0),0)</f>
        <v>0</v>
      </c>
      <c r="F200" s="6">
        <f>IFERROR(VLOOKUP($D200,[1]Balanza!$A$3:$K$852,10,0)-VLOOKUP($D200,[1]Balanza!$A$3:$K$852,11,0),0)</f>
        <v>0</v>
      </c>
    </row>
    <row r="201" spans="1:6" x14ac:dyDescent="0.3">
      <c r="A201" s="2" t="s">
        <v>390</v>
      </c>
      <c r="B201" s="2" t="s">
        <v>391</v>
      </c>
      <c r="C201" t="s">
        <v>3090</v>
      </c>
      <c r="D201" s="5" t="s">
        <v>3296</v>
      </c>
      <c r="E201" s="6">
        <f>IFERROR(VLOOKUP($D201,[1]Balanza!$A$3:$K$852,6,0)-VLOOKUP(D201,[1]Balanza!$A$3:$K$852,7,0),0)</f>
        <v>0</v>
      </c>
      <c r="F201" s="6">
        <f>IFERROR(VLOOKUP($D201,[1]Balanza!$A$3:$K$852,10,0)-VLOOKUP($D201,[1]Balanza!$A$3:$K$852,11,0),0)</f>
        <v>0</v>
      </c>
    </row>
    <row r="202" spans="1:6" x14ac:dyDescent="0.3">
      <c r="A202" s="2" t="s">
        <v>392</v>
      </c>
      <c r="B202" s="2" t="s">
        <v>393</v>
      </c>
      <c r="C202" t="s">
        <v>3090</v>
      </c>
      <c r="D202" s="5" t="s">
        <v>3297</v>
      </c>
      <c r="E202" s="6">
        <f>IFERROR(VLOOKUP($D202,[1]Balanza!$A$3:$K$852,6,0)-VLOOKUP(D202,[1]Balanza!$A$3:$K$852,7,0),0)</f>
        <v>0</v>
      </c>
      <c r="F202" s="6">
        <f>IFERROR(VLOOKUP($D202,[1]Balanza!$A$3:$K$852,10,0)-VLOOKUP($D202,[1]Balanza!$A$3:$K$852,11,0),0)</f>
        <v>0</v>
      </c>
    </row>
    <row r="203" spans="1:6" x14ac:dyDescent="0.3">
      <c r="A203" s="2" t="s">
        <v>394</v>
      </c>
      <c r="B203" s="2" t="s">
        <v>395</v>
      </c>
      <c r="C203" t="s">
        <v>3090</v>
      </c>
      <c r="D203" s="5" t="s">
        <v>3298</v>
      </c>
      <c r="E203" s="6">
        <f>IFERROR(VLOOKUP($D203,[1]Balanza!$A$3:$K$852,6,0)-VLOOKUP(D203,[1]Balanza!$A$3:$K$852,7,0),0)</f>
        <v>0</v>
      </c>
      <c r="F203" s="6">
        <f>IFERROR(VLOOKUP($D203,[1]Balanza!$A$3:$K$852,10,0)-VLOOKUP($D203,[1]Balanza!$A$3:$K$852,11,0),0)</f>
        <v>0</v>
      </c>
    </row>
    <row r="204" spans="1:6" x14ac:dyDescent="0.3">
      <c r="A204" s="2" t="s">
        <v>396</v>
      </c>
      <c r="B204" s="2" t="s">
        <v>397</v>
      </c>
      <c r="C204" t="s">
        <v>3090</v>
      </c>
      <c r="D204" s="5" t="s">
        <v>3299</v>
      </c>
      <c r="E204" s="6">
        <f>IFERROR(VLOOKUP($D204,[1]Balanza!$A$3:$K$852,6,0)-VLOOKUP(D204,[1]Balanza!$A$3:$K$852,7,0),0)</f>
        <v>0</v>
      </c>
      <c r="F204" s="6">
        <f>IFERROR(VLOOKUP($D204,[1]Balanza!$A$3:$K$852,10,0)-VLOOKUP($D204,[1]Balanza!$A$3:$K$852,11,0),0)</f>
        <v>0</v>
      </c>
    </row>
    <row r="205" spans="1:6" x14ac:dyDescent="0.3">
      <c r="A205" s="2" t="s">
        <v>398</v>
      </c>
      <c r="B205" s="2" t="s">
        <v>399</v>
      </c>
      <c r="C205" t="s">
        <v>3090</v>
      </c>
      <c r="D205" s="5" t="s">
        <v>3300</v>
      </c>
      <c r="E205" s="6">
        <f>IFERROR(VLOOKUP($D205,[1]Balanza!$A$3:$K$852,6,0)-VLOOKUP(D205,[1]Balanza!$A$3:$K$852,7,0),0)</f>
        <v>0</v>
      </c>
      <c r="F205" s="6">
        <f>IFERROR(VLOOKUP($D205,[1]Balanza!$A$3:$K$852,10,0)-VLOOKUP($D205,[1]Balanza!$A$3:$K$852,11,0),0)</f>
        <v>0</v>
      </c>
    </row>
    <row r="206" spans="1:6" x14ac:dyDescent="0.3">
      <c r="A206" s="2" t="s">
        <v>400</v>
      </c>
      <c r="B206" s="2" t="s">
        <v>401</v>
      </c>
      <c r="C206" t="s">
        <v>3090</v>
      </c>
      <c r="D206" s="5" t="s">
        <v>3301</v>
      </c>
      <c r="E206" s="6">
        <f>IFERROR(VLOOKUP($D206,[1]Balanza!$A$3:$K$852,6,0)-VLOOKUP(D206,[1]Balanza!$A$3:$K$852,7,0),0)</f>
        <v>96733.52</v>
      </c>
      <c r="F206" s="6">
        <f>IFERROR(VLOOKUP($D206,[1]Balanza!$A$3:$K$852,10,0)-VLOOKUP($D206,[1]Balanza!$A$3:$K$852,11,0),0)</f>
        <v>0</v>
      </c>
    </row>
    <row r="207" spans="1:6" x14ac:dyDescent="0.3">
      <c r="A207" s="2" t="s">
        <v>402</v>
      </c>
      <c r="B207" s="2" t="s">
        <v>403</v>
      </c>
      <c r="C207" t="s">
        <v>3090</v>
      </c>
      <c r="D207" s="5" t="s">
        <v>3302</v>
      </c>
      <c r="E207" s="6">
        <f>IFERROR(VLOOKUP($D207,[1]Balanza!$A$3:$K$852,6,0)-VLOOKUP(D207,[1]Balanza!$A$3:$K$852,7,0),0)</f>
        <v>0</v>
      </c>
      <c r="F207" s="6">
        <f>IFERROR(VLOOKUP($D207,[1]Balanza!$A$3:$K$852,10,0)-VLOOKUP($D207,[1]Balanza!$A$3:$K$852,11,0),0)</f>
        <v>0</v>
      </c>
    </row>
    <row r="208" spans="1:6" x14ac:dyDescent="0.3">
      <c r="A208" s="2" t="s">
        <v>404</v>
      </c>
      <c r="B208" s="2" t="s">
        <v>405</v>
      </c>
      <c r="C208" t="s">
        <v>3090</v>
      </c>
      <c r="D208" s="5" t="s">
        <v>3303</v>
      </c>
      <c r="E208" s="6">
        <f>IFERROR(VLOOKUP($D208,[1]Balanza!$A$3:$K$852,6,0)-VLOOKUP(D208,[1]Balanza!$A$3:$K$852,7,0),0)</f>
        <v>0</v>
      </c>
      <c r="F208" s="6">
        <f>IFERROR(VLOOKUP($D208,[1]Balanza!$A$3:$K$852,10,0)-VLOOKUP($D208,[1]Balanza!$A$3:$K$852,11,0),0)</f>
        <v>0</v>
      </c>
    </row>
    <row r="209" spans="1:6" x14ac:dyDescent="0.3">
      <c r="A209" s="2" t="s">
        <v>406</v>
      </c>
      <c r="B209" s="2" t="s">
        <v>407</v>
      </c>
      <c r="C209" t="s">
        <v>3090</v>
      </c>
      <c r="D209" s="5" t="s">
        <v>3304</v>
      </c>
      <c r="E209" s="6">
        <f>IFERROR(VLOOKUP($D209,[1]Balanza!$A$3:$K$852,6,0)-VLOOKUP(D209,[1]Balanza!$A$3:$K$852,7,0),0)</f>
        <v>0</v>
      </c>
      <c r="F209" s="6">
        <f>IFERROR(VLOOKUP($D209,[1]Balanza!$A$3:$K$852,10,0)-VLOOKUP($D209,[1]Balanza!$A$3:$K$852,11,0),0)</f>
        <v>0</v>
      </c>
    </row>
    <row r="210" spans="1:6" x14ac:dyDescent="0.3">
      <c r="A210" s="2" t="s">
        <v>408</v>
      </c>
      <c r="B210" s="2" t="s">
        <v>409</v>
      </c>
      <c r="C210" t="s">
        <v>3090</v>
      </c>
      <c r="D210" s="5" t="s">
        <v>3305</v>
      </c>
      <c r="E210" s="6">
        <f>IFERROR(VLOOKUP($D210,[1]Balanza!$A$3:$K$852,6,0)-VLOOKUP(D210,[1]Balanza!$A$3:$K$852,7,0),0)</f>
        <v>0</v>
      </c>
      <c r="F210" s="6">
        <f>IFERROR(VLOOKUP($D210,[1]Balanza!$A$3:$K$852,10,0)-VLOOKUP($D210,[1]Balanza!$A$3:$K$852,11,0),0)</f>
        <v>0</v>
      </c>
    </row>
    <row r="211" spans="1:6" x14ac:dyDescent="0.3">
      <c r="A211" s="2" t="s">
        <v>410</v>
      </c>
      <c r="B211" s="2" t="s">
        <v>411</v>
      </c>
      <c r="C211" t="s">
        <v>3090</v>
      </c>
      <c r="D211" s="5" t="s">
        <v>3306</v>
      </c>
      <c r="E211" s="6">
        <f>IFERROR(VLOOKUP($D211,[1]Balanza!$A$3:$K$852,6,0)-VLOOKUP(D211,[1]Balanza!$A$3:$K$852,7,0),0)</f>
        <v>0</v>
      </c>
      <c r="F211" s="6">
        <f>IFERROR(VLOOKUP($D211,[1]Balanza!$A$3:$K$852,10,0)-VLOOKUP($D211,[1]Balanza!$A$3:$K$852,11,0),0)</f>
        <v>0</v>
      </c>
    </row>
    <row r="212" spans="1:6" x14ac:dyDescent="0.3">
      <c r="A212" s="2" t="s">
        <v>412</v>
      </c>
      <c r="B212" s="2" t="s">
        <v>413</v>
      </c>
      <c r="C212" t="s">
        <v>3090</v>
      </c>
      <c r="D212" s="5" t="s">
        <v>3307</v>
      </c>
      <c r="E212" s="6">
        <f>IFERROR(VLOOKUP($D212,[1]Balanza!$A$3:$K$852,6,0)-VLOOKUP(D212,[1]Balanza!$A$3:$K$852,7,0),0)</f>
        <v>0</v>
      </c>
      <c r="F212" s="6">
        <f>IFERROR(VLOOKUP($D212,[1]Balanza!$A$3:$K$852,10,0)-VLOOKUP($D212,[1]Balanza!$A$3:$K$852,11,0),0)</f>
        <v>0</v>
      </c>
    </row>
    <row r="213" spans="1:6" x14ac:dyDescent="0.3">
      <c r="A213" s="2" t="s">
        <v>414</v>
      </c>
      <c r="B213" s="2" t="s">
        <v>415</v>
      </c>
      <c r="C213" t="s">
        <v>3090</v>
      </c>
      <c r="D213" s="5" t="s">
        <v>3308</v>
      </c>
      <c r="E213" s="6">
        <f>IFERROR(VLOOKUP($D213,[1]Balanza!$A$3:$K$852,6,0)-VLOOKUP(D213,[1]Balanza!$A$3:$K$852,7,0),0)</f>
        <v>0</v>
      </c>
      <c r="F213" s="6">
        <f>IFERROR(VLOOKUP($D213,[1]Balanza!$A$3:$K$852,10,0)-VLOOKUP($D213,[1]Balanza!$A$3:$K$852,11,0),0)</f>
        <v>232</v>
      </c>
    </row>
    <row r="214" spans="1:6" x14ac:dyDescent="0.3">
      <c r="A214" s="2" t="s">
        <v>416</v>
      </c>
      <c r="B214" s="2" t="s">
        <v>417</v>
      </c>
      <c r="C214" t="s">
        <v>3090</v>
      </c>
      <c r="D214" s="5" t="s">
        <v>3309</v>
      </c>
      <c r="E214" s="6">
        <f>IFERROR(VLOOKUP($D214,[1]Balanza!$A$3:$K$852,6,0)-VLOOKUP(D214,[1]Balanza!$A$3:$K$852,7,0),0)</f>
        <v>0</v>
      </c>
      <c r="F214" s="6">
        <f>IFERROR(VLOOKUP($D214,[1]Balanza!$A$3:$K$852,10,0)-VLOOKUP($D214,[1]Balanza!$A$3:$K$852,11,0),0)</f>
        <v>463.99</v>
      </c>
    </row>
    <row r="215" spans="1:6" x14ac:dyDescent="0.3">
      <c r="A215" s="2" t="s">
        <v>418</v>
      </c>
      <c r="B215" s="2" t="s">
        <v>419</v>
      </c>
      <c r="C215" t="s">
        <v>3090</v>
      </c>
      <c r="D215" s="5" t="s">
        <v>3310</v>
      </c>
      <c r="E215" s="6">
        <f>IFERROR(VLOOKUP($D215,[1]Balanza!$A$3:$K$852,6,0)-VLOOKUP(D215,[1]Balanza!$A$3:$K$852,7,0),0)</f>
        <v>0</v>
      </c>
      <c r="F215" s="6">
        <f>IFERROR(VLOOKUP($D215,[1]Balanza!$A$3:$K$852,10,0)-VLOOKUP($D215,[1]Balanza!$A$3:$K$852,11,0),0)</f>
        <v>0</v>
      </c>
    </row>
    <row r="216" spans="1:6" x14ac:dyDescent="0.3">
      <c r="A216" s="2" t="s">
        <v>420</v>
      </c>
      <c r="B216" s="2" t="s">
        <v>421</v>
      </c>
      <c r="C216" t="s">
        <v>3090</v>
      </c>
      <c r="D216" s="5" t="s">
        <v>3311</v>
      </c>
      <c r="E216" s="6">
        <f>IFERROR(VLOOKUP($D216,[1]Balanza!$A$3:$K$852,6,0)-VLOOKUP(D216,[1]Balanza!$A$3:$K$852,7,0),0)</f>
        <v>0</v>
      </c>
      <c r="F216" s="6">
        <f>IFERROR(VLOOKUP($D216,[1]Balanza!$A$3:$K$852,10,0)-VLOOKUP($D216,[1]Balanza!$A$3:$K$852,11,0),0)</f>
        <v>0</v>
      </c>
    </row>
    <row r="217" spans="1:6" x14ac:dyDescent="0.3">
      <c r="A217" s="2" t="s">
        <v>422</v>
      </c>
      <c r="B217" s="2" t="s">
        <v>423</v>
      </c>
      <c r="C217" t="s">
        <v>3090</v>
      </c>
      <c r="D217" s="5" t="s">
        <v>3312</v>
      </c>
      <c r="E217" s="6">
        <f>IFERROR(VLOOKUP($D217,[1]Balanza!$A$3:$K$852,6,0)-VLOOKUP(D217,[1]Balanza!$A$3:$K$852,7,0),0)</f>
        <v>0</v>
      </c>
      <c r="F217" s="6">
        <f>IFERROR(VLOOKUP($D217,[1]Balanza!$A$3:$K$852,10,0)-VLOOKUP($D217,[1]Balanza!$A$3:$K$852,11,0),0)</f>
        <v>0</v>
      </c>
    </row>
    <row r="218" spans="1:6" x14ac:dyDescent="0.3">
      <c r="A218" s="2" t="s">
        <v>424</v>
      </c>
      <c r="B218" s="2" t="s">
        <v>425</v>
      </c>
      <c r="C218" t="s">
        <v>3090</v>
      </c>
      <c r="D218" s="5" t="s">
        <v>3313</v>
      </c>
      <c r="E218" s="6">
        <f>IFERROR(VLOOKUP($D218,[1]Balanza!$A$3:$K$852,6,0)-VLOOKUP(D218,[1]Balanza!$A$3:$K$852,7,0),0)</f>
        <v>0</v>
      </c>
      <c r="F218" s="6">
        <f>IFERROR(VLOOKUP($D218,[1]Balanza!$A$3:$K$852,10,0)-VLOOKUP($D218,[1]Balanza!$A$3:$K$852,11,0),0)</f>
        <v>0</v>
      </c>
    </row>
    <row r="219" spans="1:6" x14ac:dyDescent="0.3">
      <c r="A219" s="2" t="s">
        <v>426</v>
      </c>
      <c r="B219" s="2" t="s">
        <v>427</v>
      </c>
      <c r="C219" t="s">
        <v>3090</v>
      </c>
      <c r="D219" s="5" t="s">
        <v>3314</v>
      </c>
      <c r="E219" s="6">
        <f>IFERROR(VLOOKUP($D219,[1]Balanza!$A$3:$K$852,6,0)-VLOOKUP(D219,[1]Balanza!$A$3:$K$852,7,0),0)</f>
        <v>0</v>
      </c>
      <c r="F219" s="6">
        <f>IFERROR(VLOOKUP($D219,[1]Balanza!$A$3:$K$852,10,0)-VLOOKUP($D219,[1]Balanza!$A$3:$K$852,11,0),0)</f>
        <v>0</v>
      </c>
    </row>
    <row r="220" spans="1:6" x14ac:dyDescent="0.3">
      <c r="A220" s="2" t="s">
        <v>428</v>
      </c>
      <c r="B220" s="2" t="s">
        <v>429</v>
      </c>
      <c r="C220" t="s">
        <v>3090</v>
      </c>
      <c r="D220" s="5" t="s">
        <v>3315</v>
      </c>
      <c r="E220" s="6">
        <f>IFERROR(VLOOKUP($D220,[1]Balanza!$A$3:$K$852,6,0)-VLOOKUP(D220,[1]Balanza!$A$3:$K$852,7,0),0)</f>
        <v>0</v>
      </c>
      <c r="F220" s="6">
        <f>IFERROR(VLOOKUP($D220,[1]Balanza!$A$3:$K$852,10,0)-VLOOKUP($D220,[1]Balanza!$A$3:$K$852,11,0),0)</f>
        <v>0</v>
      </c>
    </row>
    <row r="221" spans="1:6" x14ac:dyDescent="0.3">
      <c r="A221" s="2" t="s">
        <v>430</v>
      </c>
      <c r="B221" s="2" t="s">
        <v>431</v>
      </c>
      <c r="C221" t="s">
        <v>3090</v>
      </c>
      <c r="D221" s="5" t="s">
        <v>3316</v>
      </c>
      <c r="E221" s="6">
        <f>IFERROR(VLOOKUP($D221,[1]Balanza!$A$3:$K$852,6,0)-VLOOKUP(D221,[1]Balanza!$A$3:$K$852,7,0),0)</f>
        <v>0</v>
      </c>
      <c r="F221" s="6">
        <f>IFERROR(VLOOKUP($D221,[1]Balanza!$A$3:$K$852,10,0)-VLOOKUP($D221,[1]Balanza!$A$3:$K$852,11,0),0)</f>
        <v>0</v>
      </c>
    </row>
    <row r="222" spans="1:6" x14ac:dyDescent="0.3">
      <c r="A222" s="2" t="s">
        <v>432</v>
      </c>
      <c r="B222" s="2" t="s">
        <v>433</v>
      </c>
      <c r="C222" t="s">
        <v>3090</v>
      </c>
      <c r="D222" s="5" t="s">
        <v>3317</v>
      </c>
      <c r="E222" s="6">
        <f>IFERROR(VLOOKUP($D222,[1]Balanza!$A$3:$K$852,6,0)-VLOOKUP(D222,[1]Balanza!$A$3:$K$852,7,0),0)</f>
        <v>0</v>
      </c>
      <c r="F222" s="6">
        <f>IFERROR(VLOOKUP($D222,[1]Balanza!$A$3:$K$852,10,0)-VLOOKUP($D222,[1]Balanza!$A$3:$K$852,11,0),0)</f>
        <v>0</v>
      </c>
    </row>
    <row r="223" spans="1:6" x14ac:dyDescent="0.3">
      <c r="A223" s="2" t="s">
        <v>434</v>
      </c>
      <c r="B223" s="2" t="s">
        <v>435</v>
      </c>
      <c r="C223" t="s">
        <v>3090</v>
      </c>
      <c r="D223" s="5" t="s">
        <v>3318</v>
      </c>
      <c r="E223" s="6">
        <f>IFERROR(VLOOKUP($D223,[1]Balanza!$A$3:$K$852,6,0)-VLOOKUP(D223,[1]Balanza!$A$3:$K$852,7,0),0)</f>
        <v>0</v>
      </c>
      <c r="F223" s="6">
        <f>IFERROR(VLOOKUP($D223,[1]Balanza!$A$3:$K$852,10,0)-VLOOKUP($D223,[1]Balanza!$A$3:$K$852,11,0),0)</f>
        <v>0</v>
      </c>
    </row>
    <row r="224" spans="1:6" x14ac:dyDescent="0.3">
      <c r="A224" s="2" t="s">
        <v>436</v>
      </c>
      <c r="B224" s="2" t="s">
        <v>437</v>
      </c>
      <c r="C224" t="s">
        <v>3090</v>
      </c>
      <c r="D224" s="5" t="s">
        <v>3319</v>
      </c>
      <c r="E224" s="6">
        <f>IFERROR(VLOOKUP($D224,[1]Balanza!$A$3:$K$852,6,0)-VLOOKUP(D224,[1]Balanza!$A$3:$K$852,7,0),0)</f>
        <v>0</v>
      </c>
      <c r="F224" s="6">
        <f>IFERROR(VLOOKUP($D224,[1]Balanza!$A$3:$K$852,10,0)-VLOOKUP($D224,[1]Balanza!$A$3:$K$852,11,0),0)</f>
        <v>0</v>
      </c>
    </row>
    <row r="225" spans="1:6" x14ac:dyDescent="0.3">
      <c r="A225" s="2" t="s">
        <v>438</v>
      </c>
      <c r="B225" s="2" t="s">
        <v>439</v>
      </c>
      <c r="C225" t="s">
        <v>3090</v>
      </c>
      <c r="D225" s="5" t="s">
        <v>3320</v>
      </c>
      <c r="E225" s="6">
        <f>IFERROR(VLOOKUP($D225,[1]Balanza!$A$3:$K$852,6,0)-VLOOKUP(D225,[1]Balanza!$A$3:$K$852,7,0),0)</f>
        <v>0</v>
      </c>
      <c r="F225" s="6">
        <f>IFERROR(VLOOKUP($D225,[1]Balanza!$A$3:$K$852,10,0)-VLOOKUP($D225,[1]Balanza!$A$3:$K$852,11,0),0)</f>
        <v>0</v>
      </c>
    </row>
    <row r="226" spans="1:6" x14ac:dyDescent="0.3">
      <c r="A226" s="2" t="s">
        <v>440</v>
      </c>
      <c r="B226" s="2" t="s">
        <v>441</v>
      </c>
      <c r="C226" t="s">
        <v>3090</v>
      </c>
      <c r="D226" s="5" t="s">
        <v>3321</v>
      </c>
      <c r="E226" s="6">
        <f>IFERROR(VLOOKUP($D226,[1]Balanza!$A$3:$K$852,6,0)-VLOOKUP(D226,[1]Balanza!$A$3:$K$852,7,0),0)</f>
        <v>0</v>
      </c>
      <c r="F226" s="6">
        <f>IFERROR(VLOOKUP($D226,[1]Balanza!$A$3:$K$852,10,0)-VLOOKUP($D226,[1]Balanza!$A$3:$K$852,11,0),0)</f>
        <v>0</v>
      </c>
    </row>
    <row r="227" spans="1:6" x14ac:dyDescent="0.3">
      <c r="A227" s="2" t="s">
        <v>442</v>
      </c>
      <c r="B227" s="2" t="s">
        <v>443</v>
      </c>
      <c r="C227" t="s">
        <v>3090</v>
      </c>
      <c r="D227" s="5" t="s">
        <v>3322</v>
      </c>
      <c r="E227" s="6">
        <f>IFERROR(VLOOKUP($D227,[1]Balanza!$A$3:$K$852,6,0)-VLOOKUP(D227,[1]Balanza!$A$3:$K$852,7,0),0)</f>
        <v>0</v>
      </c>
      <c r="F227" s="6">
        <f>IFERROR(VLOOKUP($D227,[1]Balanza!$A$3:$K$852,10,0)-VLOOKUP($D227,[1]Balanza!$A$3:$K$852,11,0),0)</f>
        <v>0</v>
      </c>
    </row>
    <row r="228" spans="1:6" x14ac:dyDescent="0.3">
      <c r="A228" s="2" t="s">
        <v>444</v>
      </c>
      <c r="B228" s="2" t="s">
        <v>445</v>
      </c>
      <c r="C228" t="s">
        <v>3090</v>
      </c>
      <c r="D228" s="5" t="s">
        <v>3323</v>
      </c>
      <c r="E228" s="6">
        <f>IFERROR(VLOOKUP($D228,[1]Balanza!$A$3:$K$852,6,0)-VLOOKUP(D228,[1]Balanza!$A$3:$K$852,7,0),0)</f>
        <v>0</v>
      </c>
      <c r="F228" s="6">
        <f>IFERROR(VLOOKUP($D228,[1]Balanza!$A$3:$K$852,10,0)-VLOOKUP($D228,[1]Balanza!$A$3:$K$852,11,0),0)</f>
        <v>0</v>
      </c>
    </row>
    <row r="229" spans="1:6" x14ac:dyDescent="0.3">
      <c r="A229" s="2" t="s">
        <v>446</v>
      </c>
      <c r="B229" s="2" t="s">
        <v>447</v>
      </c>
      <c r="C229" t="s">
        <v>3090</v>
      </c>
      <c r="D229" s="5" t="s">
        <v>3324</v>
      </c>
      <c r="E229" s="6">
        <f>IFERROR(VLOOKUP($D229,[1]Balanza!$A$3:$K$852,6,0)-VLOOKUP(D229,[1]Balanza!$A$3:$K$852,7,0),0)</f>
        <v>0</v>
      </c>
      <c r="F229" s="6">
        <f>IFERROR(VLOOKUP($D229,[1]Balanza!$A$3:$K$852,10,0)-VLOOKUP($D229,[1]Balanza!$A$3:$K$852,11,0),0)</f>
        <v>0</v>
      </c>
    </row>
    <row r="230" spans="1:6" x14ac:dyDescent="0.3">
      <c r="A230" s="2" t="s">
        <v>448</v>
      </c>
      <c r="B230" s="2" t="s">
        <v>449</v>
      </c>
      <c r="C230" t="s">
        <v>3090</v>
      </c>
      <c r="D230" s="5" t="s">
        <v>3325</v>
      </c>
      <c r="E230" s="6">
        <f>IFERROR(VLOOKUP($D230,[1]Balanza!$A$3:$K$852,6,0)-VLOOKUP(D230,[1]Balanza!$A$3:$K$852,7,0),0)</f>
        <v>0</v>
      </c>
      <c r="F230" s="6">
        <f>IFERROR(VLOOKUP($D230,[1]Balanza!$A$3:$K$852,10,0)-VLOOKUP($D230,[1]Balanza!$A$3:$K$852,11,0),0)</f>
        <v>0</v>
      </c>
    </row>
    <row r="231" spans="1:6" x14ac:dyDescent="0.3">
      <c r="A231" s="2" t="s">
        <v>450</v>
      </c>
      <c r="B231" s="2" t="s">
        <v>451</v>
      </c>
      <c r="C231" t="s">
        <v>3090</v>
      </c>
      <c r="D231" s="5" t="s">
        <v>3326</v>
      </c>
      <c r="E231" s="6">
        <f>IFERROR(VLOOKUP($D231,[1]Balanza!$A$3:$K$852,6,0)-VLOOKUP(D231,[1]Balanza!$A$3:$K$852,7,0),0)</f>
        <v>0</v>
      </c>
      <c r="F231" s="6">
        <f>IFERROR(VLOOKUP($D231,[1]Balanza!$A$3:$K$852,10,0)-VLOOKUP($D231,[1]Balanza!$A$3:$K$852,11,0),0)</f>
        <v>0</v>
      </c>
    </row>
    <row r="232" spans="1:6" x14ac:dyDescent="0.3">
      <c r="A232" s="2" t="s">
        <v>452</v>
      </c>
      <c r="B232" s="2" t="s">
        <v>453</v>
      </c>
      <c r="C232" t="s">
        <v>3090</v>
      </c>
      <c r="D232" s="5" t="s">
        <v>3327</v>
      </c>
      <c r="E232" s="6">
        <f>IFERROR(VLOOKUP($D232,[1]Balanza!$A$3:$K$852,6,0)-VLOOKUP(D232,[1]Balanza!$A$3:$K$852,7,0),0)</f>
        <v>0</v>
      </c>
      <c r="F232" s="6">
        <f>IFERROR(VLOOKUP($D232,[1]Balanza!$A$3:$K$852,10,0)-VLOOKUP($D232,[1]Balanza!$A$3:$K$852,11,0),0)</f>
        <v>0</v>
      </c>
    </row>
    <row r="233" spans="1:6" x14ac:dyDescent="0.3">
      <c r="A233" s="2" t="s">
        <v>454</v>
      </c>
      <c r="B233" s="2" t="s">
        <v>455</v>
      </c>
      <c r="C233" t="s">
        <v>3090</v>
      </c>
      <c r="D233" s="5" t="s">
        <v>3328</v>
      </c>
      <c r="E233" s="6">
        <f>IFERROR(VLOOKUP($D233,[1]Balanza!$A$3:$K$852,6,0)-VLOOKUP(D233,[1]Balanza!$A$3:$K$852,7,0),0)</f>
        <v>64651.37</v>
      </c>
      <c r="F233" s="6">
        <f>IFERROR(VLOOKUP($D233,[1]Balanza!$A$3:$K$852,10,0)-VLOOKUP($D233,[1]Balanza!$A$3:$K$852,11,0),0)</f>
        <v>-512358.32000000007</v>
      </c>
    </row>
    <row r="234" spans="1:6" x14ac:dyDescent="0.3">
      <c r="A234" s="2" t="s">
        <v>456</v>
      </c>
      <c r="B234" s="2" t="s">
        <v>457</v>
      </c>
      <c r="C234" t="s">
        <v>3090</v>
      </c>
      <c r="D234" s="5" t="s">
        <v>3329</v>
      </c>
      <c r="E234" s="6">
        <f>IFERROR(VLOOKUP($D234,[1]Balanza!$A$3:$K$852,6,0)-VLOOKUP(D234,[1]Balanza!$A$3:$K$852,7,0),0)</f>
        <v>0</v>
      </c>
      <c r="F234" s="6">
        <f>IFERROR(VLOOKUP($D234,[1]Balanza!$A$3:$K$852,10,0)-VLOOKUP($D234,[1]Balanza!$A$3:$K$852,11,0),0)</f>
        <v>0</v>
      </c>
    </row>
    <row r="235" spans="1:6" x14ac:dyDescent="0.3">
      <c r="A235" s="2" t="s">
        <v>458</v>
      </c>
      <c r="B235" s="2" t="s">
        <v>429</v>
      </c>
      <c r="C235" t="s">
        <v>3090</v>
      </c>
      <c r="D235" s="5" t="s">
        <v>3330</v>
      </c>
      <c r="E235" s="6">
        <f>IFERROR(VLOOKUP($D235,[1]Balanza!$A$3:$K$852,6,0)-VLOOKUP(D235,[1]Balanza!$A$3:$K$852,7,0),0)</f>
        <v>0</v>
      </c>
      <c r="F235" s="6">
        <f>IFERROR(VLOOKUP($D235,[1]Balanza!$A$3:$K$852,10,0)-VLOOKUP($D235,[1]Balanza!$A$3:$K$852,11,0),0)</f>
        <v>0</v>
      </c>
    </row>
    <row r="236" spans="1:6" x14ac:dyDescent="0.3">
      <c r="A236" s="2" t="s">
        <v>459</v>
      </c>
      <c r="B236" s="2" t="s">
        <v>51</v>
      </c>
      <c r="C236" t="s">
        <v>3090</v>
      </c>
      <c r="D236" s="5" t="s">
        <v>3331</v>
      </c>
      <c r="E236" s="6">
        <f>IFERROR(VLOOKUP($D236,[1]Balanza!$A$3:$K$852,6,0)-VLOOKUP(D236,[1]Balanza!$A$3:$K$852,7,0),0)</f>
        <v>0</v>
      </c>
      <c r="F236" s="6">
        <f>IFERROR(VLOOKUP($D236,[1]Balanza!$A$3:$K$852,10,0)-VLOOKUP($D236,[1]Balanza!$A$3:$K$852,11,0),0)</f>
        <v>0</v>
      </c>
    </row>
    <row r="237" spans="1:6" x14ac:dyDescent="0.3">
      <c r="A237" s="2" t="s">
        <v>460</v>
      </c>
      <c r="B237" s="2" t="s">
        <v>49</v>
      </c>
      <c r="C237" t="s">
        <v>3090</v>
      </c>
      <c r="D237" s="5" t="s">
        <v>3332</v>
      </c>
      <c r="E237" s="6">
        <f>IFERROR(VLOOKUP($D237,[1]Balanza!$A$3:$K$852,6,0)-VLOOKUP(D237,[1]Balanza!$A$3:$K$852,7,0),0)</f>
        <v>0</v>
      </c>
      <c r="F237" s="6">
        <f>IFERROR(VLOOKUP($D237,[1]Balanza!$A$3:$K$852,10,0)-VLOOKUP($D237,[1]Balanza!$A$3:$K$852,11,0),0)</f>
        <v>0</v>
      </c>
    </row>
    <row r="238" spans="1:6" x14ac:dyDescent="0.3">
      <c r="A238" s="2" t="s">
        <v>461</v>
      </c>
      <c r="B238" s="2" t="s">
        <v>53</v>
      </c>
      <c r="C238" t="s">
        <v>3090</v>
      </c>
      <c r="D238" s="5" t="s">
        <v>3333</v>
      </c>
      <c r="E238" s="6">
        <f>IFERROR(VLOOKUP($D238,[1]Balanza!$A$3:$K$852,6,0)-VLOOKUP(D238,[1]Balanza!$A$3:$K$852,7,0),0)</f>
        <v>0</v>
      </c>
      <c r="F238" s="6">
        <f>IFERROR(VLOOKUP($D238,[1]Balanza!$A$3:$K$852,10,0)-VLOOKUP($D238,[1]Balanza!$A$3:$K$852,11,0),0)</f>
        <v>0</v>
      </c>
    </row>
    <row r="239" spans="1:6" x14ac:dyDescent="0.3">
      <c r="A239" s="2" t="s">
        <v>462</v>
      </c>
      <c r="B239" s="2" t="s">
        <v>463</v>
      </c>
      <c r="C239" t="s">
        <v>3090</v>
      </c>
      <c r="D239" s="5" t="s">
        <v>3334</v>
      </c>
      <c r="E239" s="6">
        <f>IFERROR(VLOOKUP($D239,[1]Balanza!$A$3:$K$852,6,0)-VLOOKUP(D239,[1]Balanza!$A$3:$K$852,7,0),0)</f>
        <v>0</v>
      </c>
      <c r="F239" s="6">
        <f>IFERROR(VLOOKUP($D239,[1]Balanza!$A$3:$K$852,10,0)-VLOOKUP($D239,[1]Balanza!$A$3:$K$852,11,0),0)</f>
        <v>0</v>
      </c>
    </row>
    <row r="240" spans="1:6" x14ac:dyDescent="0.3">
      <c r="A240" s="2" t="s">
        <v>464</v>
      </c>
      <c r="B240" s="2" t="s">
        <v>429</v>
      </c>
      <c r="C240" t="s">
        <v>3090</v>
      </c>
      <c r="D240" s="5" t="s">
        <v>3335</v>
      </c>
      <c r="E240" s="6">
        <f>IFERROR(VLOOKUP($D240,[1]Balanza!$A$3:$K$852,6,0)-VLOOKUP(D240,[1]Balanza!$A$3:$K$852,7,0),0)</f>
        <v>0</v>
      </c>
      <c r="F240" s="6">
        <f>IFERROR(VLOOKUP($D240,[1]Balanza!$A$3:$K$852,10,0)-VLOOKUP($D240,[1]Balanza!$A$3:$K$852,11,0),0)</f>
        <v>0</v>
      </c>
    </row>
    <row r="241" spans="1:6" x14ac:dyDescent="0.3">
      <c r="A241" s="2" t="s">
        <v>465</v>
      </c>
      <c r="B241" s="2" t="s">
        <v>59</v>
      </c>
      <c r="C241" t="s">
        <v>3090</v>
      </c>
      <c r="D241" s="5" t="s">
        <v>3336</v>
      </c>
      <c r="E241" s="6">
        <f>IFERROR(VLOOKUP($D241,[1]Balanza!$A$3:$K$852,6,0)-VLOOKUP(D241,[1]Balanza!$A$3:$K$852,7,0),0)</f>
        <v>0</v>
      </c>
      <c r="F241" s="6">
        <f>IFERROR(VLOOKUP($D241,[1]Balanza!$A$3:$K$852,10,0)-VLOOKUP($D241,[1]Balanza!$A$3:$K$852,11,0),0)</f>
        <v>0</v>
      </c>
    </row>
    <row r="242" spans="1:6" x14ac:dyDescent="0.3">
      <c r="A242" s="2" t="s">
        <v>466</v>
      </c>
      <c r="B242" s="2" t="s">
        <v>57</v>
      </c>
      <c r="C242" t="s">
        <v>3090</v>
      </c>
      <c r="D242" s="5" t="s">
        <v>3337</v>
      </c>
      <c r="E242" s="6">
        <f>IFERROR(VLOOKUP($D242,[1]Balanza!$A$3:$K$852,6,0)-VLOOKUP(D242,[1]Balanza!$A$3:$K$852,7,0),0)</f>
        <v>0</v>
      </c>
      <c r="F242" s="6">
        <f>IFERROR(VLOOKUP($D242,[1]Balanza!$A$3:$K$852,10,0)-VLOOKUP($D242,[1]Balanza!$A$3:$K$852,11,0),0)</f>
        <v>0</v>
      </c>
    </row>
    <row r="243" spans="1:6" x14ac:dyDescent="0.3">
      <c r="A243" s="2" t="s">
        <v>467</v>
      </c>
      <c r="B243" s="2" t="s">
        <v>61</v>
      </c>
      <c r="C243" t="s">
        <v>3090</v>
      </c>
      <c r="D243" s="5" t="s">
        <v>3338</v>
      </c>
      <c r="E243" s="6">
        <f>IFERROR(VLOOKUP($D243,[1]Balanza!$A$3:$K$852,6,0)-VLOOKUP(D243,[1]Balanza!$A$3:$K$852,7,0),0)</f>
        <v>0</v>
      </c>
      <c r="F243" s="6">
        <f>IFERROR(VLOOKUP($D243,[1]Balanza!$A$3:$K$852,10,0)-VLOOKUP($D243,[1]Balanza!$A$3:$K$852,11,0),0)</f>
        <v>0</v>
      </c>
    </row>
    <row r="244" spans="1:6" x14ac:dyDescent="0.3">
      <c r="A244" s="2" t="s">
        <v>468</v>
      </c>
      <c r="B244" s="2" t="s">
        <v>469</v>
      </c>
      <c r="C244" t="s">
        <v>3090</v>
      </c>
      <c r="D244" s="5" t="s">
        <v>3339</v>
      </c>
      <c r="E244" s="6">
        <f>IFERROR(VLOOKUP($D244,[1]Balanza!$A$3:$K$852,6,0)-VLOOKUP(D244,[1]Balanza!$A$3:$K$852,7,0),0)</f>
        <v>0</v>
      </c>
      <c r="F244" s="6">
        <f>IFERROR(VLOOKUP($D244,[1]Balanza!$A$3:$K$852,10,0)-VLOOKUP($D244,[1]Balanza!$A$3:$K$852,11,0),0)</f>
        <v>0</v>
      </c>
    </row>
    <row r="245" spans="1:6" x14ac:dyDescent="0.3">
      <c r="A245" s="2" t="s">
        <v>470</v>
      </c>
      <c r="B245" s="2" t="s">
        <v>471</v>
      </c>
      <c r="C245" t="s">
        <v>3090</v>
      </c>
      <c r="D245" s="5" t="s">
        <v>3340</v>
      </c>
      <c r="E245" s="6">
        <f>IFERROR(VLOOKUP($D245,[1]Balanza!$A$3:$K$852,6,0)-VLOOKUP(D245,[1]Balanza!$A$3:$K$852,7,0),0)</f>
        <v>0</v>
      </c>
      <c r="F245" s="6">
        <f>IFERROR(VLOOKUP($D245,[1]Balanza!$A$3:$K$852,10,0)-VLOOKUP($D245,[1]Balanza!$A$3:$K$852,11,0),0)</f>
        <v>0</v>
      </c>
    </row>
    <row r="246" spans="1:6" x14ac:dyDescent="0.3">
      <c r="A246" s="2" t="s">
        <v>472</v>
      </c>
      <c r="B246" s="2" t="s">
        <v>473</v>
      </c>
      <c r="C246" t="s">
        <v>3090</v>
      </c>
      <c r="D246" s="5" t="s">
        <v>3341</v>
      </c>
      <c r="E246" s="6">
        <f>IFERROR(VLOOKUP($D246,[1]Balanza!$A$3:$K$852,6,0)-VLOOKUP(D246,[1]Balanza!$A$3:$K$852,7,0),0)</f>
        <v>0</v>
      </c>
      <c r="F246" s="6">
        <f>IFERROR(VLOOKUP($D246,[1]Balanza!$A$3:$K$852,10,0)-VLOOKUP($D246,[1]Balanza!$A$3:$K$852,11,0),0)</f>
        <v>0</v>
      </c>
    </row>
    <row r="247" spans="1:6" x14ac:dyDescent="0.3">
      <c r="A247" s="2" t="s">
        <v>474</v>
      </c>
      <c r="B247" s="2" t="s">
        <v>475</v>
      </c>
      <c r="C247" t="s">
        <v>3090</v>
      </c>
      <c r="D247" s="5" t="s">
        <v>3342</v>
      </c>
      <c r="E247" s="6">
        <f>IFERROR(VLOOKUP($D247,[1]Balanza!$A$3:$K$852,6,0)-VLOOKUP(D247,[1]Balanza!$A$3:$K$852,7,0),0)</f>
        <v>0</v>
      </c>
      <c r="F247" s="6">
        <f>IFERROR(VLOOKUP($D247,[1]Balanza!$A$3:$K$852,10,0)-VLOOKUP($D247,[1]Balanza!$A$3:$K$852,11,0),0)</f>
        <v>0</v>
      </c>
    </row>
    <row r="248" spans="1:6" x14ac:dyDescent="0.3">
      <c r="A248" s="2" t="s">
        <v>476</v>
      </c>
      <c r="B248" s="2" t="s">
        <v>473</v>
      </c>
      <c r="C248" t="s">
        <v>3090</v>
      </c>
      <c r="D248" s="5" t="s">
        <v>3343</v>
      </c>
      <c r="E248" s="6">
        <f>IFERROR(VLOOKUP($D248,[1]Balanza!$A$3:$K$852,6,0)-VLOOKUP(D248,[1]Balanza!$A$3:$K$852,7,0),0)</f>
        <v>0</v>
      </c>
      <c r="F248" s="6">
        <f>IFERROR(VLOOKUP($D248,[1]Balanza!$A$3:$K$852,10,0)-VLOOKUP($D248,[1]Balanza!$A$3:$K$852,11,0),0)</f>
        <v>0</v>
      </c>
    </row>
    <row r="249" spans="1:6" x14ac:dyDescent="0.3">
      <c r="A249" s="2" t="s">
        <v>477</v>
      </c>
      <c r="B249" s="2" t="s">
        <v>478</v>
      </c>
      <c r="C249" t="s">
        <v>3090</v>
      </c>
      <c r="D249" s="5" t="s">
        <v>3344</v>
      </c>
      <c r="E249" s="6">
        <f>IFERROR(VLOOKUP($D249,[1]Balanza!$A$3:$K$852,6,0)-VLOOKUP(D249,[1]Balanza!$A$3:$K$852,7,0),0)</f>
        <v>0</v>
      </c>
      <c r="F249" s="6">
        <f>IFERROR(VLOOKUP($D249,[1]Balanza!$A$3:$K$852,10,0)-VLOOKUP($D249,[1]Balanza!$A$3:$K$852,11,0),0)</f>
        <v>0</v>
      </c>
    </row>
    <row r="250" spans="1:6" x14ac:dyDescent="0.3">
      <c r="A250" s="2" t="s">
        <v>479</v>
      </c>
      <c r="B250" s="2" t="s">
        <v>480</v>
      </c>
      <c r="C250" t="s">
        <v>3090</v>
      </c>
      <c r="D250" s="5" t="s">
        <v>3345</v>
      </c>
      <c r="E250" s="6">
        <f>IFERROR(VLOOKUP($D250,[1]Balanza!$A$3:$K$852,6,0)-VLOOKUP(D250,[1]Balanza!$A$3:$K$852,7,0),0)</f>
        <v>0</v>
      </c>
      <c r="F250" s="6">
        <f>IFERROR(VLOOKUP($D250,[1]Balanza!$A$3:$K$852,10,0)-VLOOKUP($D250,[1]Balanza!$A$3:$K$852,11,0),0)</f>
        <v>0</v>
      </c>
    </row>
    <row r="251" spans="1:6" x14ac:dyDescent="0.3">
      <c r="A251" s="1" t="s">
        <v>481</v>
      </c>
      <c r="B251" s="1" t="s">
        <v>482</v>
      </c>
      <c r="C251" t="s">
        <v>3090</v>
      </c>
      <c r="D251" s="5" t="s">
        <v>3346</v>
      </c>
      <c r="E251" s="6">
        <f>IFERROR(VLOOKUP($D251,[1]Balanza!$A$3:$K$852,6,0)-VLOOKUP(D251,[1]Balanza!$A$3:$K$852,7,0),0)</f>
        <v>0</v>
      </c>
      <c r="F251" s="6">
        <f>IFERROR(VLOOKUP($D251,[1]Balanza!$A$3:$K$852,10,0)-VLOOKUP($D251,[1]Balanza!$A$3:$K$852,11,0),0)</f>
        <v>0</v>
      </c>
    </row>
    <row r="252" spans="1:6" x14ac:dyDescent="0.3">
      <c r="A252" s="2" t="s">
        <v>483</v>
      </c>
      <c r="B252" s="2" t="s">
        <v>482</v>
      </c>
      <c r="C252" t="s">
        <v>3090</v>
      </c>
      <c r="D252" s="5" t="s">
        <v>3347</v>
      </c>
      <c r="E252" s="6">
        <f>IFERROR(VLOOKUP($D252,[1]Balanza!$A$3:$K$852,6,0)-VLOOKUP(D252,[1]Balanza!$A$3:$K$852,7,0),0)</f>
        <v>0</v>
      </c>
      <c r="F252" s="6">
        <f>IFERROR(VLOOKUP($D252,[1]Balanza!$A$3:$K$852,10,0)-VLOOKUP($D252,[1]Balanza!$A$3:$K$852,11,0),0)</f>
        <v>0</v>
      </c>
    </row>
    <row r="253" spans="1:6" x14ac:dyDescent="0.3">
      <c r="A253" s="2" t="s">
        <v>484</v>
      </c>
      <c r="B253" s="2" t="s">
        <v>485</v>
      </c>
      <c r="C253" t="s">
        <v>3090</v>
      </c>
      <c r="D253" s="5" t="s">
        <v>3348</v>
      </c>
      <c r="E253" s="6">
        <f>IFERROR(VLOOKUP($D253,[1]Balanza!$A$3:$K$852,6,0)-VLOOKUP(D253,[1]Balanza!$A$3:$K$852,7,0),0)</f>
        <v>0</v>
      </c>
      <c r="F253" s="6">
        <f>IFERROR(VLOOKUP($D253,[1]Balanza!$A$3:$K$852,10,0)-VLOOKUP($D253,[1]Balanza!$A$3:$K$852,11,0),0)</f>
        <v>0</v>
      </c>
    </row>
    <row r="254" spans="1:6" x14ac:dyDescent="0.3">
      <c r="A254" s="2" t="s">
        <v>486</v>
      </c>
      <c r="B254" s="2" t="s">
        <v>487</v>
      </c>
      <c r="C254" t="s">
        <v>3090</v>
      </c>
      <c r="D254" s="5" t="s">
        <v>3349</v>
      </c>
      <c r="E254" s="6">
        <f>IFERROR(VLOOKUP($D254,[1]Balanza!$A$3:$K$852,6,0)-VLOOKUP(D254,[1]Balanza!$A$3:$K$852,7,0),0)</f>
        <v>0</v>
      </c>
      <c r="F254" s="6">
        <f>IFERROR(VLOOKUP($D254,[1]Balanza!$A$3:$K$852,10,0)-VLOOKUP($D254,[1]Balanza!$A$3:$K$852,11,0),0)</f>
        <v>0</v>
      </c>
    </row>
    <row r="255" spans="1:6" x14ac:dyDescent="0.3">
      <c r="A255" s="2" t="s">
        <v>488</v>
      </c>
      <c r="B255" s="2" t="s">
        <v>489</v>
      </c>
      <c r="C255" t="s">
        <v>3090</v>
      </c>
      <c r="D255" s="5" t="s">
        <v>3350</v>
      </c>
      <c r="E255" s="6">
        <f>IFERROR(VLOOKUP($D255,[1]Balanza!$A$3:$K$852,6,0)-VLOOKUP(D255,[1]Balanza!$A$3:$K$852,7,0),0)</f>
        <v>0</v>
      </c>
      <c r="F255" s="6">
        <f>IFERROR(VLOOKUP($D255,[1]Balanza!$A$3:$K$852,10,0)-VLOOKUP($D255,[1]Balanza!$A$3:$K$852,11,0),0)</f>
        <v>0</v>
      </c>
    </row>
    <row r="256" spans="1:6" x14ac:dyDescent="0.3">
      <c r="A256" s="2" t="s">
        <v>490</v>
      </c>
      <c r="B256" s="2" t="s">
        <v>491</v>
      </c>
      <c r="C256" t="s">
        <v>3090</v>
      </c>
      <c r="D256" s="5" t="s">
        <v>3351</v>
      </c>
      <c r="E256" s="6">
        <f>IFERROR(VLOOKUP($D256,[1]Balanza!$A$3:$K$852,6,0)-VLOOKUP(D256,[1]Balanza!$A$3:$K$852,7,0),0)</f>
        <v>0</v>
      </c>
      <c r="F256" s="6">
        <f>IFERROR(VLOOKUP($D256,[1]Balanza!$A$3:$K$852,10,0)-VLOOKUP($D256,[1]Balanza!$A$3:$K$852,11,0),0)</f>
        <v>0</v>
      </c>
    </row>
    <row r="257" spans="1:6" x14ac:dyDescent="0.3">
      <c r="A257" s="2" t="s">
        <v>492</v>
      </c>
      <c r="B257" s="2" t="s">
        <v>493</v>
      </c>
      <c r="C257" t="s">
        <v>3090</v>
      </c>
      <c r="D257" s="5" t="s">
        <v>3352</v>
      </c>
      <c r="E257" s="6">
        <f>IFERROR(VLOOKUP($D257,[1]Balanza!$A$3:$K$852,6,0)-VLOOKUP(D257,[1]Balanza!$A$3:$K$852,7,0),0)</f>
        <v>0</v>
      </c>
      <c r="F257" s="6">
        <f>IFERROR(VLOOKUP($D257,[1]Balanza!$A$3:$K$852,10,0)-VLOOKUP($D257,[1]Balanza!$A$3:$K$852,11,0),0)</f>
        <v>0</v>
      </c>
    </row>
    <row r="258" spans="1:6" x14ac:dyDescent="0.3">
      <c r="A258" s="2" t="s">
        <v>494</v>
      </c>
      <c r="B258" s="2" t="s">
        <v>495</v>
      </c>
      <c r="C258" t="s">
        <v>3090</v>
      </c>
      <c r="D258" s="5" t="s">
        <v>3353</v>
      </c>
      <c r="E258" s="6">
        <f>IFERROR(VLOOKUP($D258,[1]Balanza!$A$3:$K$852,6,0)-VLOOKUP(D258,[1]Balanza!$A$3:$K$852,7,0),0)</f>
        <v>0</v>
      </c>
      <c r="F258" s="6">
        <f>IFERROR(VLOOKUP($D258,[1]Balanza!$A$3:$K$852,10,0)-VLOOKUP($D258,[1]Balanza!$A$3:$K$852,11,0),0)</f>
        <v>0</v>
      </c>
    </row>
    <row r="259" spans="1:6" x14ac:dyDescent="0.3">
      <c r="A259" s="2" t="s">
        <v>496</v>
      </c>
      <c r="B259" s="2" t="s">
        <v>497</v>
      </c>
      <c r="C259" t="s">
        <v>3090</v>
      </c>
      <c r="D259" s="5" t="s">
        <v>3354</v>
      </c>
      <c r="E259" s="6">
        <f>IFERROR(VLOOKUP($D259,[1]Balanza!$A$3:$K$852,6,0)-VLOOKUP(D259,[1]Balanza!$A$3:$K$852,7,0),0)</f>
        <v>0</v>
      </c>
      <c r="F259" s="6">
        <f>IFERROR(VLOOKUP($D259,[1]Balanza!$A$3:$K$852,10,0)-VLOOKUP($D259,[1]Balanza!$A$3:$K$852,11,0),0)</f>
        <v>0</v>
      </c>
    </row>
    <row r="260" spans="1:6" x14ac:dyDescent="0.3">
      <c r="A260" s="1" t="s">
        <v>498</v>
      </c>
      <c r="B260" s="1" t="s">
        <v>499</v>
      </c>
      <c r="C260" t="s">
        <v>3090</v>
      </c>
      <c r="D260" s="5" t="s">
        <v>3355</v>
      </c>
      <c r="E260" s="6">
        <f>IFERROR(VLOOKUP($D260,[1]Balanza!$A$3:$K$852,6,0)-VLOOKUP(D260,[1]Balanza!$A$3:$K$852,7,0),0)</f>
        <v>0</v>
      </c>
      <c r="F260" s="6">
        <f>IFERROR(VLOOKUP($D260,[1]Balanza!$A$3:$K$852,10,0)-VLOOKUP($D260,[1]Balanza!$A$3:$K$852,11,0),0)</f>
        <v>0</v>
      </c>
    </row>
    <row r="261" spans="1:6" x14ac:dyDescent="0.3">
      <c r="A261" s="2" t="s">
        <v>500</v>
      </c>
      <c r="B261" s="2" t="s">
        <v>499</v>
      </c>
      <c r="C261" t="s">
        <v>3090</v>
      </c>
      <c r="D261" s="5" t="s">
        <v>3356</v>
      </c>
      <c r="E261" s="6">
        <f>IFERROR(VLOOKUP($D261,[1]Balanza!$A$3:$K$852,6,0)-VLOOKUP(D261,[1]Balanza!$A$3:$K$852,7,0),0)</f>
        <v>0</v>
      </c>
      <c r="F261" s="6">
        <f>IFERROR(VLOOKUP($D261,[1]Balanza!$A$3:$K$852,10,0)-VLOOKUP($D261,[1]Balanza!$A$3:$K$852,11,0),0)</f>
        <v>0</v>
      </c>
    </row>
    <row r="262" spans="1:6" x14ac:dyDescent="0.3">
      <c r="A262" s="1" t="s">
        <v>501</v>
      </c>
      <c r="B262" s="1" t="s">
        <v>502</v>
      </c>
      <c r="C262" t="s">
        <v>3090</v>
      </c>
      <c r="D262" s="5" t="s">
        <v>3357</v>
      </c>
      <c r="E262" s="6">
        <f>IFERROR(VLOOKUP($D262,[1]Balanza!$A$3:$K$852,6,0)-VLOOKUP(D262,[1]Balanza!$A$3:$K$852,7,0),0)</f>
        <v>0</v>
      </c>
      <c r="F262" s="6">
        <f>IFERROR(VLOOKUP($D262,[1]Balanza!$A$3:$K$852,10,0)-VLOOKUP($D262,[1]Balanza!$A$3:$K$852,11,0),0)</f>
        <v>0</v>
      </c>
    </row>
    <row r="263" spans="1:6" x14ac:dyDescent="0.3">
      <c r="A263" s="2" t="s">
        <v>503</v>
      </c>
      <c r="B263" s="2" t="s">
        <v>502</v>
      </c>
      <c r="C263" t="s">
        <v>3090</v>
      </c>
      <c r="D263" s="5" t="s">
        <v>3358</v>
      </c>
      <c r="E263" s="6">
        <f>IFERROR(VLOOKUP($D263,[1]Balanza!$A$3:$K$852,6,0)-VLOOKUP(D263,[1]Balanza!$A$3:$K$852,7,0),0)</f>
        <v>0</v>
      </c>
      <c r="F263" s="6">
        <f>IFERROR(VLOOKUP($D263,[1]Balanza!$A$3:$K$852,10,0)-VLOOKUP($D263,[1]Balanza!$A$3:$K$852,11,0),0)</f>
        <v>0</v>
      </c>
    </row>
    <row r="264" spans="1:6" x14ac:dyDescent="0.3">
      <c r="A264" s="1" t="s">
        <v>504</v>
      </c>
      <c r="B264" s="1" t="s">
        <v>505</v>
      </c>
      <c r="C264" t="s">
        <v>3090</v>
      </c>
      <c r="D264" s="5" t="s">
        <v>3359</v>
      </c>
      <c r="E264" s="6">
        <f>IFERROR(VLOOKUP($D264,[1]Balanza!$A$3:$K$852,6,0)-VLOOKUP(D264,[1]Balanza!$A$3:$K$852,7,0),0)</f>
        <v>0</v>
      </c>
      <c r="F264" s="6">
        <f>IFERROR(VLOOKUP($D264,[1]Balanza!$A$3:$K$852,10,0)-VLOOKUP($D264,[1]Balanza!$A$3:$K$852,11,0),0)</f>
        <v>0</v>
      </c>
    </row>
    <row r="265" spans="1:6" x14ac:dyDescent="0.3">
      <c r="A265" s="2" t="s">
        <v>506</v>
      </c>
      <c r="B265" s="2" t="s">
        <v>505</v>
      </c>
      <c r="C265" t="s">
        <v>3090</v>
      </c>
      <c r="D265" s="5" t="s">
        <v>3360</v>
      </c>
      <c r="E265" s="6">
        <f>IFERROR(VLOOKUP($D265,[1]Balanza!$A$3:$K$852,6,0)-VLOOKUP(D265,[1]Balanza!$A$3:$K$852,7,0),0)</f>
        <v>0</v>
      </c>
      <c r="F265" s="6">
        <f>IFERROR(VLOOKUP($D265,[1]Balanza!$A$3:$K$852,10,0)-VLOOKUP($D265,[1]Balanza!$A$3:$K$852,11,0),0)</f>
        <v>0</v>
      </c>
    </row>
    <row r="266" spans="1:6" x14ac:dyDescent="0.3">
      <c r="A266" s="1" t="s">
        <v>507</v>
      </c>
      <c r="B266" s="1" t="s">
        <v>508</v>
      </c>
      <c r="C266" t="s">
        <v>3090</v>
      </c>
      <c r="D266" s="5" t="s">
        <v>3361</v>
      </c>
      <c r="E266" s="6">
        <f>IFERROR(VLOOKUP($D266,[1]Balanza!$A$3:$K$852,6,0)-VLOOKUP(D266,[1]Balanza!$A$3:$K$852,7,0),0)</f>
        <v>0</v>
      </c>
      <c r="F266" s="6">
        <f>IFERROR(VLOOKUP($D266,[1]Balanza!$A$3:$K$852,10,0)-VLOOKUP($D266,[1]Balanza!$A$3:$K$852,11,0),0)</f>
        <v>0</v>
      </c>
    </row>
    <row r="267" spans="1:6" x14ac:dyDescent="0.3">
      <c r="A267" s="2" t="s">
        <v>509</v>
      </c>
      <c r="B267" s="2" t="s">
        <v>508</v>
      </c>
      <c r="C267" t="s">
        <v>3090</v>
      </c>
      <c r="D267" s="5" t="s">
        <v>3362</v>
      </c>
      <c r="E267" s="6">
        <f>IFERROR(VLOOKUP($D267,[1]Balanza!$A$3:$K$852,6,0)-VLOOKUP(D267,[1]Balanza!$A$3:$K$852,7,0),0)</f>
        <v>0</v>
      </c>
      <c r="F267" s="6">
        <f>IFERROR(VLOOKUP($D267,[1]Balanza!$A$3:$K$852,10,0)-VLOOKUP($D267,[1]Balanza!$A$3:$K$852,11,0),0)</f>
        <v>0</v>
      </c>
    </row>
    <row r="268" spans="1:6" x14ac:dyDescent="0.3">
      <c r="A268" s="1" t="s">
        <v>510</v>
      </c>
      <c r="B268" s="1" t="s">
        <v>511</v>
      </c>
      <c r="C268" t="s">
        <v>3090</v>
      </c>
      <c r="D268" s="5" t="s">
        <v>3363</v>
      </c>
      <c r="E268" s="6">
        <f>IFERROR(VLOOKUP($D268,[1]Balanza!$A$3:$K$852,6,0)-VLOOKUP(D268,[1]Balanza!$A$3:$K$852,7,0),0)</f>
        <v>0</v>
      </c>
      <c r="F268" s="6">
        <f>IFERROR(VLOOKUP($D268,[1]Balanza!$A$3:$K$852,10,0)-VLOOKUP($D268,[1]Balanza!$A$3:$K$852,11,0),0)</f>
        <v>0</v>
      </c>
    </row>
    <row r="269" spans="1:6" x14ac:dyDescent="0.3">
      <c r="A269" s="2" t="s">
        <v>512</v>
      </c>
      <c r="B269" s="2" t="s">
        <v>511</v>
      </c>
      <c r="C269" t="s">
        <v>3090</v>
      </c>
      <c r="D269" s="5" t="s">
        <v>3364</v>
      </c>
      <c r="E269" s="6">
        <f>IFERROR(VLOOKUP($D269,[1]Balanza!$A$3:$K$852,6,0)-VLOOKUP(D269,[1]Balanza!$A$3:$K$852,7,0),0)</f>
        <v>0</v>
      </c>
      <c r="F269" s="6">
        <f>IFERROR(VLOOKUP($D269,[1]Balanza!$A$3:$K$852,10,0)-VLOOKUP($D269,[1]Balanza!$A$3:$K$852,11,0),0)</f>
        <v>0</v>
      </c>
    </row>
    <row r="270" spans="1:6" x14ac:dyDescent="0.3">
      <c r="A270" s="1" t="s">
        <v>513</v>
      </c>
      <c r="B270" s="1" t="s">
        <v>514</v>
      </c>
      <c r="C270" t="s">
        <v>3090</v>
      </c>
      <c r="D270" s="5" t="s">
        <v>3365</v>
      </c>
      <c r="E270" s="6">
        <f>IFERROR(VLOOKUP($D270,[1]Balanza!$A$3:$K$852,6,0)-VLOOKUP(D270,[1]Balanza!$A$3:$K$852,7,0),0)</f>
        <v>0</v>
      </c>
      <c r="F270" s="6">
        <f>IFERROR(VLOOKUP($D270,[1]Balanza!$A$3:$K$852,10,0)-VLOOKUP($D270,[1]Balanza!$A$3:$K$852,11,0),0)</f>
        <v>0</v>
      </c>
    </row>
    <row r="271" spans="1:6" x14ac:dyDescent="0.3">
      <c r="A271" s="2" t="s">
        <v>515</v>
      </c>
      <c r="B271" s="2" t="s">
        <v>514</v>
      </c>
      <c r="C271" t="s">
        <v>3090</v>
      </c>
      <c r="D271" s="5" t="s">
        <v>3366</v>
      </c>
      <c r="E271" s="6">
        <f>IFERROR(VLOOKUP($D271,[1]Balanza!$A$3:$K$852,6,0)-VLOOKUP(D271,[1]Balanza!$A$3:$K$852,7,0),0)</f>
        <v>0</v>
      </c>
      <c r="F271" s="6">
        <f>IFERROR(VLOOKUP($D271,[1]Balanza!$A$3:$K$852,10,0)-VLOOKUP($D271,[1]Balanza!$A$3:$K$852,11,0),0)</f>
        <v>0</v>
      </c>
    </row>
    <row r="272" spans="1:6" x14ac:dyDescent="0.3">
      <c r="A272" s="1" t="s">
        <v>516</v>
      </c>
      <c r="B272" s="1" t="s">
        <v>517</v>
      </c>
      <c r="C272" t="s">
        <v>3090</v>
      </c>
      <c r="D272" s="5" t="s">
        <v>3367</v>
      </c>
      <c r="E272" s="6">
        <f>IFERROR(VLOOKUP($D272,[1]Balanza!$A$3:$K$852,6,0)-VLOOKUP(D272,[1]Balanza!$A$3:$K$852,7,0),0)</f>
        <v>0</v>
      </c>
      <c r="F272" s="6">
        <f>IFERROR(VLOOKUP($D272,[1]Balanza!$A$3:$K$852,10,0)-VLOOKUP($D272,[1]Balanza!$A$3:$K$852,11,0),0)</f>
        <v>0</v>
      </c>
    </row>
    <row r="273" spans="1:6" x14ac:dyDescent="0.3">
      <c r="A273" s="2" t="s">
        <v>518</v>
      </c>
      <c r="B273" s="2" t="s">
        <v>517</v>
      </c>
      <c r="C273" t="s">
        <v>3090</v>
      </c>
      <c r="D273" s="5" t="s">
        <v>3368</v>
      </c>
      <c r="E273" s="6">
        <f>IFERROR(VLOOKUP($D273,[1]Balanza!$A$3:$K$852,6,0)-VLOOKUP(D273,[1]Balanza!$A$3:$K$852,7,0),0)</f>
        <v>0</v>
      </c>
      <c r="F273" s="6">
        <f>IFERROR(VLOOKUP($D273,[1]Balanza!$A$3:$K$852,10,0)-VLOOKUP($D273,[1]Balanza!$A$3:$K$852,11,0),0)</f>
        <v>0</v>
      </c>
    </row>
    <row r="274" spans="1:6" x14ac:dyDescent="0.3">
      <c r="A274" s="1" t="s">
        <v>519</v>
      </c>
      <c r="B274" s="1" t="s">
        <v>520</v>
      </c>
      <c r="C274" t="s">
        <v>3090</v>
      </c>
      <c r="D274" s="5" t="s">
        <v>3369</v>
      </c>
      <c r="E274" s="6">
        <f>IFERROR(VLOOKUP($D274,[1]Balanza!$A$3:$K$852,6,0)-VLOOKUP(D274,[1]Balanza!$A$3:$K$852,7,0),0)</f>
        <v>0</v>
      </c>
      <c r="F274" s="6">
        <f>IFERROR(VLOOKUP($D274,[1]Balanza!$A$3:$K$852,10,0)-VLOOKUP($D274,[1]Balanza!$A$3:$K$852,11,0),0)</f>
        <v>0</v>
      </c>
    </row>
    <row r="275" spans="1:6" x14ac:dyDescent="0.3">
      <c r="A275" s="2" t="s">
        <v>521</v>
      </c>
      <c r="B275" s="2" t="s">
        <v>520</v>
      </c>
      <c r="C275" t="s">
        <v>3090</v>
      </c>
      <c r="D275" s="5" t="s">
        <v>3370</v>
      </c>
      <c r="E275" s="6">
        <f>IFERROR(VLOOKUP($D275,[1]Balanza!$A$3:$K$852,6,0)-VLOOKUP(D275,[1]Balanza!$A$3:$K$852,7,0),0)</f>
        <v>0</v>
      </c>
      <c r="F275" s="6">
        <f>IFERROR(VLOOKUP($D275,[1]Balanza!$A$3:$K$852,10,0)-VLOOKUP($D275,[1]Balanza!$A$3:$K$852,11,0),0)</f>
        <v>0</v>
      </c>
    </row>
    <row r="276" spans="1:6" x14ac:dyDescent="0.3">
      <c r="A276" s="1" t="s">
        <v>522</v>
      </c>
      <c r="B276" s="1" t="s">
        <v>523</v>
      </c>
      <c r="C276" t="s">
        <v>3090</v>
      </c>
      <c r="D276" s="5" t="s">
        <v>3371</v>
      </c>
      <c r="E276" s="6">
        <f>IFERROR(VLOOKUP($D276,[1]Balanza!$A$3:$K$852,6,0)-VLOOKUP(D276,[1]Balanza!$A$3:$K$852,7,0),0)</f>
        <v>0</v>
      </c>
      <c r="F276" s="6">
        <f>IFERROR(VLOOKUP($D276,[1]Balanza!$A$3:$K$852,10,0)-VLOOKUP($D276,[1]Balanza!$A$3:$K$852,11,0),0)</f>
        <v>0</v>
      </c>
    </row>
    <row r="277" spans="1:6" x14ac:dyDescent="0.3">
      <c r="A277" s="2" t="s">
        <v>524</v>
      </c>
      <c r="B277" s="2" t="s">
        <v>523</v>
      </c>
      <c r="C277" t="s">
        <v>3090</v>
      </c>
      <c r="D277" s="5" t="s">
        <v>3372</v>
      </c>
      <c r="E277" s="6">
        <f>IFERROR(VLOOKUP($D277,[1]Balanza!$A$3:$K$852,6,0)-VLOOKUP(D277,[1]Balanza!$A$3:$K$852,7,0),0)</f>
        <v>0</v>
      </c>
      <c r="F277" s="6">
        <f>IFERROR(VLOOKUP($D277,[1]Balanza!$A$3:$K$852,10,0)-VLOOKUP($D277,[1]Balanza!$A$3:$K$852,11,0),0)</f>
        <v>0</v>
      </c>
    </row>
    <row r="278" spans="1:6" x14ac:dyDescent="0.3">
      <c r="A278" s="1" t="s">
        <v>525</v>
      </c>
      <c r="B278" s="1" t="s">
        <v>526</v>
      </c>
      <c r="C278" t="s">
        <v>3090</v>
      </c>
      <c r="D278" s="5" t="s">
        <v>3373</v>
      </c>
      <c r="E278" s="6">
        <f>IFERROR(VLOOKUP($D278,[1]Balanza!$A$3:$K$852,6,0)-VLOOKUP(D278,[1]Balanza!$A$3:$K$852,7,0),0)</f>
        <v>0</v>
      </c>
      <c r="F278" s="6">
        <f>IFERROR(VLOOKUP($D278,[1]Balanza!$A$3:$K$852,10,0)-VLOOKUP($D278,[1]Balanza!$A$3:$K$852,11,0),0)</f>
        <v>0</v>
      </c>
    </row>
    <row r="279" spans="1:6" x14ac:dyDescent="0.3">
      <c r="A279" s="2" t="s">
        <v>527</v>
      </c>
      <c r="B279" s="2" t="s">
        <v>526</v>
      </c>
      <c r="C279" t="s">
        <v>3090</v>
      </c>
      <c r="D279" s="5" t="s">
        <v>3374</v>
      </c>
      <c r="E279" s="6">
        <f>IFERROR(VLOOKUP($D279,[1]Balanza!$A$3:$K$852,6,0)-VLOOKUP(D279,[1]Balanza!$A$3:$K$852,7,0),0)</f>
        <v>0</v>
      </c>
      <c r="F279" s="6">
        <f>IFERROR(VLOOKUP($D279,[1]Balanza!$A$3:$K$852,10,0)-VLOOKUP($D279,[1]Balanza!$A$3:$K$852,11,0),0)</f>
        <v>0</v>
      </c>
    </row>
    <row r="280" spans="1:6" x14ac:dyDescent="0.3">
      <c r="A280" s="2" t="s">
        <v>528</v>
      </c>
      <c r="B280" s="2" t="s">
        <v>485</v>
      </c>
      <c r="C280" t="s">
        <v>3090</v>
      </c>
      <c r="D280" s="5" t="s">
        <v>3375</v>
      </c>
      <c r="E280" s="6">
        <f>IFERROR(VLOOKUP($D280,[1]Balanza!$A$3:$K$852,6,0)-VLOOKUP(D280,[1]Balanza!$A$3:$K$852,7,0),0)</f>
        <v>0</v>
      </c>
      <c r="F280" s="6">
        <f>IFERROR(VLOOKUP($D280,[1]Balanza!$A$3:$K$852,10,0)-VLOOKUP($D280,[1]Balanza!$A$3:$K$852,11,0),0)</f>
        <v>0</v>
      </c>
    </row>
    <row r="281" spans="1:6" x14ac:dyDescent="0.3">
      <c r="A281" s="2" t="s">
        <v>529</v>
      </c>
      <c r="B281" s="2" t="s">
        <v>530</v>
      </c>
      <c r="C281" t="s">
        <v>3090</v>
      </c>
      <c r="D281" s="5" t="s">
        <v>3376</v>
      </c>
      <c r="E281" s="6">
        <f>IFERROR(VLOOKUP($D281,[1]Balanza!$A$3:$K$852,6,0)-VLOOKUP(D281,[1]Balanza!$A$3:$K$852,7,0),0)</f>
        <v>0</v>
      </c>
      <c r="F281" s="6">
        <f>IFERROR(VLOOKUP($D281,[1]Balanza!$A$3:$K$852,10,0)-VLOOKUP($D281,[1]Balanza!$A$3:$K$852,11,0),0)</f>
        <v>0</v>
      </c>
    </row>
    <row r="282" spans="1:6" x14ac:dyDescent="0.3">
      <c r="A282" s="2" t="s">
        <v>531</v>
      </c>
      <c r="B282" s="2" t="s">
        <v>532</v>
      </c>
      <c r="C282" t="s">
        <v>3090</v>
      </c>
      <c r="D282" s="5" t="s">
        <v>3377</v>
      </c>
      <c r="E282" s="6">
        <f>IFERROR(VLOOKUP($D282,[1]Balanza!$A$3:$K$852,6,0)-VLOOKUP(D282,[1]Balanza!$A$3:$K$852,7,0),0)</f>
        <v>0</v>
      </c>
      <c r="F282" s="6">
        <f>IFERROR(VLOOKUP($D282,[1]Balanza!$A$3:$K$852,10,0)-VLOOKUP($D282,[1]Balanza!$A$3:$K$852,11,0),0)</f>
        <v>0</v>
      </c>
    </row>
    <row r="283" spans="1:6" x14ac:dyDescent="0.3">
      <c r="A283" s="2" t="s">
        <v>533</v>
      </c>
      <c r="B283" s="2" t="s">
        <v>534</v>
      </c>
      <c r="C283" t="s">
        <v>3090</v>
      </c>
      <c r="D283" s="5" t="s">
        <v>3378</v>
      </c>
      <c r="E283" s="6">
        <f>IFERROR(VLOOKUP($D283,[1]Balanza!$A$3:$K$852,6,0)-VLOOKUP(D283,[1]Balanza!$A$3:$K$852,7,0),0)</f>
        <v>0</v>
      </c>
      <c r="F283" s="6">
        <f>IFERROR(VLOOKUP($D283,[1]Balanza!$A$3:$K$852,10,0)-VLOOKUP($D283,[1]Balanza!$A$3:$K$852,11,0),0)</f>
        <v>0</v>
      </c>
    </row>
    <row r="284" spans="1:6" x14ac:dyDescent="0.3">
      <c r="A284" s="2" t="s">
        <v>535</v>
      </c>
      <c r="B284" s="2" t="s">
        <v>536</v>
      </c>
      <c r="C284" t="s">
        <v>3090</v>
      </c>
      <c r="D284" s="5" t="s">
        <v>3379</v>
      </c>
      <c r="E284" s="6">
        <f>IFERROR(VLOOKUP($D284,[1]Balanza!$A$3:$K$852,6,0)-VLOOKUP(D284,[1]Balanza!$A$3:$K$852,7,0),0)</f>
        <v>0</v>
      </c>
      <c r="F284" s="6">
        <f>IFERROR(VLOOKUP($D284,[1]Balanza!$A$3:$K$852,10,0)-VLOOKUP($D284,[1]Balanza!$A$3:$K$852,11,0),0)</f>
        <v>0</v>
      </c>
    </row>
    <row r="285" spans="1:6" x14ac:dyDescent="0.3">
      <c r="A285" s="2" t="s">
        <v>537</v>
      </c>
      <c r="B285" s="2" t="s">
        <v>538</v>
      </c>
      <c r="C285" t="s">
        <v>3090</v>
      </c>
      <c r="D285" s="5" t="s">
        <v>3380</v>
      </c>
      <c r="E285" s="6">
        <f>IFERROR(VLOOKUP($D285,[1]Balanza!$A$3:$K$852,6,0)-VLOOKUP(D285,[1]Balanza!$A$3:$K$852,7,0),0)</f>
        <v>0</v>
      </c>
      <c r="F285" s="6">
        <f>IFERROR(VLOOKUP($D285,[1]Balanza!$A$3:$K$852,10,0)-VLOOKUP($D285,[1]Balanza!$A$3:$K$852,11,0),0)</f>
        <v>0</v>
      </c>
    </row>
    <row r="286" spans="1:6" x14ac:dyDescent="0.3">
      <c r="A286" s="2" t="s">
        <v>539</v>
      </c>
      <c r="B286" s="2" t="s">
        <v>540</v>
      </c>
      <c r="C286" t="s">
        <v>3090</v>
      </c>
      <c r="D286" s="5" t="s">
        <v>3381</v>
      </c>
      <c r="E286" s="6">
        <f>IFERROR(VLOOKUP($D286,[1]Balanza!$A$3:$K$852,6,0)-VLOOKUP(D286,[1]Balanza!$A$3:$K$852,7,0),0)</f>
        <v>0</v>
      </c>
      <c r="F286" s="6">
        <f>IFERROR(VLOOKUP($D286,[1]Balanza!$A$3:$K$852,10,0)-VLOOKUP($D286,[1]Balanza!$A$3:$K$852,11,0),0)</f>
        <v>0</v>
      </c>
    </row>
    <row r="287" spans="1:6" x14ac:dyDescent="0.3">
      <c r="A287" s="2" t="s">
        <v>541</v>
      </c>
      <c r="B287" s="2" t="s">
        <v>542</v>
      </c>
      <c r="C287" t="s">
        <v>3090</v>
      </c>
      <c r="D287" s="5" t="s">
        <v>3382</v>
      </c>
      <c r="E287" s="6">
        <f>IFERROR(VLOOKUP($D287,[1]Balanza!$A$3:$K$852,6,0)-VLOOKUP(D287,[1]Balanza!$A$3:$K$852,7,0),0)</f>
        <v>0</v>
      </c>
      <c r="F287" s="6">
        <f>IFERROR(VLOOKUP($D287,[1]Balanza!$A$3:$K$852,10,0)-VLOOKUP($D287,[1]Balanza!$A$3:$K$852,11,0),0)</f>
        <v>0</v>
      </c>
    </row>
    <row r="288" spans="1:6" x14ac:dyDescent="0.3">
      <c r="A288" s="2" t="s">
        <v>543</v>
      </c>
      <c r="B288" s="2" t="s">
        <v>544</v>
      </c>
      <c r="C288" t="s">
        <v>3090</v>
      </c>
      <c r="D288" s="5" t="s">
        <v>3383</v>
      </c>
      <c r="E288" s="6">
        <f>IFERROR(VLOOKUP($D288,[1]Balanza!$A$3:$K$852,6,0)-VLOOKUP(D288,[1]Balanza!$A$3:$K$852,7,0),0)</f>
        <v>0</v>
      </c>
      <c r="F288" s="6">
        <f>IFERROR(VLOOKUP($D288,[1]Balanza!$A$3:$K$852,10,0)-VLOOKUP($D288,[1]Balanza!$A$3:$K$852,11,0),0)</f>
        <v>0</v>
      </c>
    </row>
    <row r="289" spans="1:6" x14ac:dyDescent="0.3">
      <c r="A289" s="2" t="s">
        <v>545</v>
      </c>
      <c r="B289" s="2" t="s">
        <v>546</v>
      </c>
      <c r="C289" t="s">
        <v>3090</v>
      </c>
      <c r="D289" s="5" t="s">
        <v>3384</v>
      </c>
      <c r="E289" s="6">
        <f>IFERROR(VLOOKUP($D289,[1]Balanza!$A$3:$K$852,6,0)-VLOOKUP(D289,[1]Balanza!$A$3:$K$852,7,0),0)</f>
        <v>0</v>
      </c>
      <c r="F289" s="6">
        <f>IFERROR(VLOOKUP($D289,[1]Balanza!$A$3:$K$852,10,0)-VLOOKUP($D289,[1]Balanza!$A$3:$K$852,11,0),0)</f>
        <v>0</v>
      </c>
    </row>
    <row r="290" spans="1:6" x14ac:dyDescent="0.3">
      <c r="A290" s="2" t="s">
        <v>547</v>
      </c>
      <c r="B290" s="2" t="s">
        <v>548</v>
      </c>
      <c r="C290" t="s">
        <v>3090</v>
      </c>
      <c r="D290" s="5" t="s">
        <v>3385</v>
      </c>
      <c r="E290" s="6">
        <f>IFERROR(VLOOKUP($D290,[1]Balanza!$A$3:$K$852,6,0)-VLOOKUP(D290,[1]Balanza!$A$3:$K$852,7,0),0)</f>
        <v>0</v>
      </c>
      <c r="F290" s="6">
        <f>IFERROR(VLOOKUP($D290,[1]Balanza!$A$3:$K$852,10,0)-VLOOKUP($D290,[1]Balanza!$A$3:$K$852,11,0),0)</f>
        <v>0</v>
      </c>
    </row>
    <row r="291" spans="1:6" x14ac:dyDescent="0.3">
      <c r="A291" s="2" t="s">
        <v>549</v>
      </c>
      <c r="B291" s="2" t="s">
        <v>550</v>
      </c>
      <c r="C291" t="s">
        <v>3090</v>
      </c>
      <c r="D291" s="5" t="s">
        <v>3386</v>
      </c>
      <c r="E291" s="6">
        <f>IFERROR(VLOOKUP($D291,[1]Balanza!$A$3:$K$852,6,0)-VLOOKUP(D291,[1]Balanza!$A$3:$K$852,7,0),0)</f>
        <v>0</v>
      </c>
      <c r="F291" s="6">
        <f>IFERROR(VLOOKUP($D291,[1]Balanza!$A$3:$K$852,10,0)-VLOOKUP($D291,[1]Balanza!$A$3:$K$852,11,0),0)</f>
        <v>0</v>
      </c>
    </row>
    <row r="292" spans="1:6" x14ac:dyDescent="0.3">
      <c r="A292" s="2" t="s">
        <v>551</v>
      </c>
      <c r="B292" s="2" t="s">
        <v>552</v>
      </c>
      <c r="C292" t="s">
        <v>3090</v>
      </c>
      <c r="D292" s="5" t="s">
        <v>3387</v>
      </c>
      <c r="E292" s="6">
        <f>IFERROR(VLOOKUP($D292,[1]Balanza!$A$3:$K$852,6,0)-VLOOKUP(D292,[1]Balanza!$A$3:$K$852,7,0),0)</f>
        <v>0</v>
      </c>
      <c r="F292" s="6">
        <f>IFERROR(VLOOKUP($D292,[1]Balanza!$A$3:$K$852,10,0)-VLOOKUP($D292,[1]Balanza!$A$3:$K$852,11,0),0)</f>
        <v>0</v>
      </c>
    </row>
    <row r="293" spans="1:6" x14ac:dyDescent="0.3">
      <c r="A293" s="2" t="s">
        <v>553</v>
      </c>
      <c r="B293" s="2" t="s">
        <v>554</v>
      </c>
      <c r="C293" t="s">
        <v>3090</v>
      </c>
      <c r="D293" s="5" t="s">
        <v>3388</v>
      </c>
      <c r="E293" s="6">
        <f>IFERROR(VLOOKUP($D293,[1]Balanza!$A$3:$K$852,6,0)-VLOOKUP(D293,[1]Balanza!$A$3:$K$852,7,0),0)</f>
        <v>0</v>
      </c>
      <c r="F293" s="6">
        <f>IFERROR(VLOOKUP($D293,[1]Balanza!$A$3:$K$852,10,0)-VLOOKUP($D293,[1]Balanza!$A$3:$K$852,11,0),0)</f>
        <v>0</v>
      </c>
    </row>
    <row r="294" spans="1:6" x14ac:dyDescent="0.3">
      <c r="A294" s="2" t="s">
        <v>555</v>
      </c>
      <c r="B294" s="2" t="s">
        <v>556</v>
      </c>
      <c r="C294" t="s">
        <v>3090</v>
      </c>
      <c r="D294" s="5" t="s">
        <v>3389</v>
      </c>
      <c r="E294" s="6">
        <f>IFERROR(VLOOKUP($D294,[1]Balanza!$A$3:$K$852,6,0)-VLOOKUP(D294,[1]Balanza!$A$3:$K$852,7,0),0)</f>
        <v>0</v>
      </c>
      <c r="F294" s="6">
        <f>IFERROR(VLOOKUP($D294,[1]Balanza!$A$3:$K$852,10,0)-VLOOKUP($D294,[1]Balanza!$A$3:$K$852,11,0),0)</f>
        <v>0</v>
      </c>
    </row>
    <row r="295" spans="1:6" x14ac:dyDescent="0.3">
      <c r="A295" s="2" t="s">
        <v>557</v>
      </c>
      <c r="B295" s="2" t="s">
        <v>558</v>
      </c>
      <c r="C295" t="s">
        <v>3090</v>
      </c>
      <c r="D295" s="5" t="s">
        <v>3390</v>
      </c>
      <c r="E295" s="6">
        <f>IFERROR(VLOOKUP($D295,[1]Balanza!$A$3:$K$852,6,0)-VLOOKUP(D295,[1]Balanza!$A$3:$K$852,7,0),0)</f>
        <v>0</v>
      </c>
      <c r="F295" s="6">
        <f>IFERROR(VLOOKUP($D295,[1]Balanza!$A$3:$K$852,10,0)-VLOOKUP($D295,[1]Balanza!$A$3:$K$852,11,0),0)</f>
        <v>0</v>
      </c>
    </row>
    <row r="296" spans="1:6" x14ac:dyDescent="0.3">
      <c r="A296" s="2" t="s">
        <v>559</v>
      </c>
      <c r="B296" s="2" t="s">
        <v>560</v>
      </c>
      <c r="C296" t="s">
        <v>3090</v>
      </c>
      <c r="D296" s="5" t="s">
        <v>3391</v>
      </c>
      <c r="E296" s="6">
        <f>IFERROR(VLOOKUP($D296,[1]Balanza!$A$3:$K$852,6,0)-VLOOKUP(D296,[1]Balanza!$A$3:$K$852,7,0),0)</f>
        <v>0</v>
      </c>
      <c r="F296" s="6">
        <f>IFERROR(VLOOKUP($D296,[1]Balanza!$A$3:$K$852,10,0)-VLOOKUP($D296,[1]Balanza!$A$3:$K$852,11,0),0)</f>
        <v>0</v>
      </c>
    </row>
    <row r="297" spans="1:6" x14ac:dyDescent="0.3">
      <c r="A297" s="2" t="s">
        <v>561</v>
      </c>
      <c r="B297" s="2" t="s">
        <v>562</v>
      </c>
      <c r="C297" t="s">
        <v>3090</v>
      </c>
      <c r="D297" s="5" t="s">
        <v>3392</v>
      </c>
      <c r="E297" s="6">
        <f>IFERROR(VLOOKUP($D297,[1]Balanza!$A$3:$K$852,6,0)-VLOOKUP(D297,[1]Balanza!$A$3:$K$852,7,0),0)</f>
        <v>0</v>
      </c>
      <c r="F297" s="6">
        <f>IFERROR(VLOOKUP($D297,[1]Balanza!$A$3:$K$852,10,0)-VLOOKUP($D297,[1]Balanza!$A$3:$K$852,11,0),0)</f>
        <v>0</v>
      </c>
    </row>
    <row r="298" spans="1:6" x14ac:dyDescent="0.3">
      <c r="A298" s="2" t="s">
        <v>563</v>
      </c>
      <c r="B298" s="2" t="s">
        <v>564</v>
      </c>
      <c r="C298" t="s">
        <v>3090</v>
      </c>
      <c r="D298" s="5" t="s">
        <v>3393</v>
      </c>
      <c r="E298" s="6">
        <f>IFERROR(VLOOKUP($D298,[1]Balanza!$A$3:$K$852,6,0)-VLOOKUP(D298,[1]Balanza!$A$3:$K$852,7,0),0)</f>
        <v>0</v>
      </c>
      <c r="F298" s="6">
        <f>IFERROR(VLOOKUP($D298,[1]Balanza!$A$3:$K$852,10,0)-VLOOKUP($D298,[1]Balanza!$A$3:$K$852,11,0),0)</f>
        <v>0</v>
      </c>
    </row>
    <row r="299" spans="1:6" x14ac:dyDescent="0.3">
      <c r="A299" s="2" t="s">
        <v>565</v>
      </c>
      <c r="B299" s="2" t="s">
        <v>566</v>
      </c>
      <c r="C299" t="s">
        <v>3090</v>
      </c>
      <c r="D299" s="5" t="s">
        <v>3394</v>
      </c>
      <c r="E299" s="6">
        <f>IFERROR(VLOOKUP($D299,[1]Balanza!$A$3:$K$852,6,0)-VLOOKUP(D299,[1]Balanza!$A$3:$K$852,7,0),0)</f>
        <v>0</v>
      </c>
      <c r="F299" s="6">
        <f>IFERROR(VLOOKUP($D299,[1]Balanza!$A$3:$K$852,10,0)-VLOOKUP($D299,[1]Balanza!$A$3:$K$852,11,0),0)</f>
        <v>0</v>
      </c>
    </row>
    <row r="300" spans="1:6" x14ac:dyDescent="0.3">
      <c r="A300" s="2" t="s">
        <v>567</v>
      </c>
      <c r="B300" s="2" t="s">
        <v>568</v>
      </c>
      <c r="C300" t="s">
        <v>3090</v>
      </c>
      <c r="D300" s="5" t="s">
        <v>3395</v>
      </c>
      <c r="E300" s="6">
        <f>IFERROR(VLOOKUP($D300,[1]Balanza!$A$3:$K$852,6,0)-VLOOKUP(D300,[1]Balanza!$A$3:$K$852,7,0),0)</f>
        <v>0</v>
      </c>
      <c r="F300" s="6">
        <f>IFERROR(VLOOKUP($D300,[1]Balanza!$A$3:$K$852,10,0)-VLOOKUP($D300,[1]Balanza!$A$3:$K$852,11,0),0)</f>
        <v>0</v>
      </c>
    </row>
    <row r="301" spans="1:6" x14ac:dyDescent="0.3">
      <c r="A301" s="2" t="s">
        <v>569</v>
      </c>
      <c r="B301" s="2" t="s">
        <v>570</v>
      </c>
      <c r="C301" t="s">
        <v>3090</v>
      </c>
      <c r="D301" s="5" t="s">
        <v>3396</v>
      </c>
      <c r="E301" s="6">
        <f>IFERROR(VLOOKUP($D301,[1]Balanza!$A$3:$K$852,6,0)-VLOOKUP(D301,[1]Balanza!$A$3:$K$852,7,0),0)</f>
        <v>0</v>
      </c>
      <c r="F301" s="6">
        <f>IFERROR(VLOOKUP($D301,[1]Balanza!$A$3:$K$852,10,0)-VLOOKUP($D301,[1]Balanza!$A$3:$K$852,11,0),0)</f>
        <v>0</v>
      </c>
    </row>
    <row r="302" spans="1:6" x14ac:dyDescent="0.3">
      <c r="A302" s="2" t="s">
        <v>571</v>
      </c>
      <c r="B302" s="2" t="s">
        <v>572</v>
      </c>
      <c r="C302" t="s">
        <v>3090</v>
      </c>
      <c r="D302" s="5" t="s">
        <v>3397</v>
      </c>
      <c r="E302" s="6">
        <f>IFERROR(VLOOKUP($D302,[1]Balanza!$A$3:$K$852,6,0)-VLOOKUP(D302,[1]Balanza!$A$3:$K$852,7,0),0)</f>
        <v>0</v>
      </c>
      <c r="F302" s="6">
        <f>IFERROR(VLOOKUP($D302,[1]Balanza!$A$3:$K$852,10,0)-VLOOKUP($D302,[1]Balanza!$A$3:$K$852,11,0),0)</f>
        <v>0</v>
      </c>
    </row>
    <row r="303" spans="1:6" x14ac:dyDescent="0.3">
      <c r="A303" s="2" t="s">
        <v>573</v>
      </c>
      <c r="B303" s="2" t="s">
        <v>574</v>
      </c>
      <c r="C303" t="s">
        <v>3090</v>
      </c>
      <c r="D303" s="5" t="s">
        <v>3398</v>
      </c>
      <c r="E303" s="6">
        <f>IFERROR(VLOOKUP($D303,[1]Balanza!$A$3:$K$852,6,0)-VLOOKUP(D303,[1]Balanza!$A$3:$K$852,7,0),0)</f>
        <v>0</v>
      </c>
      <c r="F303" s="6">
        <f>IFERROR(VLOOKUP($D303,[1]Balanza!$A$3:$K$852,10,0)-VLOOKUP($D303,[1]Balanza!$A$3:$K$852,11,0),0)</f>
        <v>0</v>
      </c>
    </row>
    <row r="304" spans="1:6" x14ac:dyDescent="0.3">
      <c r="A304" s="2" t="s">
        <v>575</v>
      </c>
      <c r="B304" s="2" t="s">
        <v>576</v>
      </c>
      <c r="C304" t="s">
        <v>3090</v>
      </c>
      <c r="D304" s="5" t="s">
        <v>3399</v>
      </c>
      <c r="E304" s="6">
        <f>IFERROR(VLOOKUP($D304,[1]Balanza!$A$3:$K$852,6,0)-VLOOKUP(D304,[1]Balanza!$A$3:$K$852,7,0),0)</f>
        <v>0</v>
      </c>
      <c r="F304" s="6">
        <f>IFERROR(VLOOKUP($D304,[1]Balanza!$A$3:$K$852,10,0)-VLOOKUP($D304,[1]Balanza!$A$3:$K$852,11,0),0)</f>
        <v>0</v>
      </c>
    </row>
    <row r="305" spans="1:6" x14ac:dyDescent="0.3">
      <c r="A305" s="1" t="s">
        <v>577</v>
      </c>
      <c r="B305" s="1" t="s">
        <v>578</v>
      </c>
      <c r="C305" t="s">
        <v>3090</v>
      </c>
      <c r="D305" s="5" t="s">
        <v>3400</v>
      </c>
      <c r="E305" s="6">
        <f>IFERROR(VLOOKUP($D305,[1]Balanza!$A$3:$K$852,6,0)-VLOOKUP(D305,[1]Balanza!$A$3:$K$852,7,0),0)</f>
        <v>0</v>
      </c>
      <c r="F305" s="6">
        <f>IFERROR(VLOOKUP($D305,[1]Balanza!$A$3:$K$852,10,0)-VLOOKUP($D305,[1]Balanza!$A$3:$K$852,11,0),0)</f>
        <v>0</v>
      </c>
    </row>
    <row r="306" spans="1:6" x14ac:dyDescent="0.3">
      <c r="A306" s="2" t="s">
        <v>579</v>
      </c>
      <c r="B306" s="2" t="s">
        <v>578</v>
      </c>
      <c r="C306" t="s">
        <v>3090</v>
      </c>
      <c r="D306" s="5" t="s">
        <v>3401</v>
      </c>
      <c r="E306" s="6">
        <f>IFERROR(VLOOKUP($D306,[1]Balanza!$A$3:$K$852,6,0)-VLOOKUP(D306,[1]Balanza!$A$3:$K$852,7,0),0)</f>
        <v>0</v>
      </c>
      <c r="F306" s="6">
        <f>IFERROR(VLOOKUP($D306,[1]Balanza!$A$3:$K$852,10,0)-VLOOKUP($D306,[1]Balanza!$A$3:$K$852,11,0),0)</f>
        <v>0</v>
      </c>
    </row>
    <row r="307" spans="1:6" x14ac:dyDescent="0.3">
      <c r="A307" s="1" t="s">
        <v>580</v>
      </c>
      <c r="B307" s="1" t="s">
        <v>581</v>
      </c>
      <c r="C307" t="s">
        <v>3090</v>
      </c>
      <c r="D307" s="5" t="s">
        <v>3402</v>
      </c>
      <c r="E307" s="6">
        <f>IFERROR(VLOOKUP($D307,[1]Balanza!$A$3:$K$852,6,0)-VLOOKUP(D307,[1]Balanza!$A$3:$K$852,7,0),0)</f>
        <v>0</v>
      </c>
      <c r="F307" s="6">
        <f>IFERROR(VLOOKUP($D307,[1]Balanza!$A$3:$K$852,10,0)-VLOOKUP($D307,[1]Balanza!$A$3:$K$852,11,0),0)</f>
        <v>0</v>
      </c>
    </row>
    <row r="308" spans="1:6" x14ac:dyDescent="0.3">
      <c r="A308" s="2" t="s">
        <v>582</v>
      </c>
      <c r="B308" s="2" t="s">
        <v>581</v>
      </c>
      <c r="C308" t="s">
        <v>3090</v>
      </c>
      <c r="D308" s="5" t="s">
        <v>3403</v>
      </c>
      <c r="E308" s="6">
        <f>IFERROR(VLOOKUP($D308,[1]Balanza!$A$3:$K$852,6,0)-VLOOKUP(D308,[1]Balanza!$A$3:$K$852,7,0),0)</f>
        <v>0</v>
      </c>
      <c r="F308" s="6">
        <f>IFERROR(VLOOKUP($D308,[1]Balanza!$A$3:$K$852,10,0)-VLOOKUP($D308,[1]Balanza!$A$3:$K$852,11,0),0)</f>
        <v>0</v>
      </c>
    </row>
    <row r="309" spans="1:6" x14ac:dyDescent="0.3">
      <c r="A309" s="1" t="s">
        <v>583</v>
      </c>
      <c r="B309" s="1" t="s">
        <v>584</v>
      </c>
      <c r="C309" t="s">
        <v>3090</v>
      </c>
      <c r="D309" s="5" t="s">
        <v>3404</v>
      </c>
      <c r="E309" s="6">
        <f>IFERROR(VLOOKUP($D309,[1]Balanza!$A$3:$K$852,6,0)-VLOOKUP(D309,[1]Balanza!$A$3:$K$852,7,0),0)</f>
        <v>0</v>
      </c>
      <c r="F309" s="6">
        <f>IFERROR(VLOOKUP($D309,[1]Balanza!$A$3:$K$852,10,0)-VLOOKUP($D309,[1]Balanza!$A$3:$K$852,11,0),0)</f>
        <v>0</v>
      </c>
    </row>
    <row r="310" spans="1:6" x14ac:dyDescent="0.3">
      <c r="A310" s="2" t="s">
        <v>585</v>
      </c>
      <c r="B310" s="2" t="s">
        <v>584</v>
      </c>
      <c r="C310" t="s">
        <v>3090</v>
      </c>
      <c r="D310" s="5" t="s">
        <v>3405</v>
      </c>
      <c r="E310" s="6">
        <f>IFERROR(VLOOKUP($D310,[1]Balanza!$A$3:$K$852,6,0)-VLOOKUP(D310,[1]Balanza!$A$3:$K$852,7,0),0)</f>
        <v>0</v>
      </c>
      <c r="F310" s="6">
        <f>IFERROR(VLOOKUP($D310,[1]Balanza!$A$3:$K$852,10,0)-VLOOKUP($D310,[1]Balanza!$A$3:$K$852,11,0),0)</f>
        <v>0</v>
      </c>
    </row>
    <row r="311" spans="1:6" x14ac:dyDescent="0.3">
      <c r="A311" s="1" t="s">
        <v>586</v>
      </c>
      <c r="B311" s="1" t="s">
        <v>587</v>
      </c>
      <c r="C311" t="s">
        <v>3090</v>
      </c>
      <c r="D311" s="5" t="s">
        <v>3406</v>
      </c>
      <c r="E311" s="6">
        <f>IFERROR(VLOOKUP($D311,[1]Balanza!$A$3:$K$852,6,0)-VLOOKUP(D311,[1]Balanza!$A$3:$K$852,7,0),0)</f>
        <v>0</v>
      </c>
      <c r="F311" s="6">
        <f>IFERROR(VLOOKUP($D311,[1]Balanza!$A$3:$K$852,10,0)-VLOOKUP($D311,[1]Balanza!$A$3:$K$852,11,0),0)</f>
        <v>0</v>
      </c>
    </row>
    <row r="312" spans="1:6" x14ac:dyDescent="0.3">
      <c r="A312" s="2" t="s">
        <v>588</v>
      </c>
      <c r="B312" s="2" t="s">
        <v>587</v>
      </c>
      <c r="C312" t="s">
        <v>3090</v>
      </c>
      <c r="D312" s="5" t="s">
        <v>3407</v>
      </c>
      <c r="E312" s="6">
        <f>IFERROR(VLOOKUP($D312,[1]Balanza!$A$3:$K$852,6,0)-VLOOKUP(D312,[1]Balanza!$A$3:$K$852,7,0),0)</f>
        <v>0</v>
      </c>
      <c r="F312" s="6">
        <f>IFERROR(VLOOKUP($D312,[1]Balanza!$A$3:$K$852,10,0)-VLOOKUP($D312,[1]Balanza!$A$3:$K$852,11,0),0)</f>
        <v>0</v>
      </c>
    </row>
    <row r="313" spans="1:6" x14ac:dyDescent="0.3">
      <c r="A313" s="1" t="s">
        <v>589</v>
      </c>
      <c r="B313" s="1" t="s">
        <v>590</v>
      </c>
      <c r="C313" t="s">
        <v>3090</v>
      </c>
      <c r="D313" s="5" t="s">
        <v>3408</v>
      </c>
      <c r="E313" s="6">
        <f>IFERROR(VLOOKUP($D313,[1]Balanza!$A$3:$K$852,6,0)-VLOOKUP(D313,[1]Balanza!$A$3:$K$852,7,0),0)</f>
        <v>0</v>
      </c>
      <c r="F313" s="6">
        <f>IFERROR(VLOOKUP($D313,[1]Balanza!$A$3:$K$852,10,0)-VLOOKUP($D313,[1]Balanza!$A$3:$K$852,11,0),0)</f>
        <v>0</v>
      </c>
    </row>
    <row r="314" spans="1:6" x14ac:dyDescent="0.3">
      <c r="A314" s="2" t="s">
        <v>591</v>
      </c>
      <c r="B314" s="2" t="s">
        <v>590</v>
      </c>
      <c r="C314" t="s">
        <v>3090</v>
      </c>
      <c r="D314" s="5" t="s">
        <v>3409</v>
      </c>
      <c r="E314" s="6">
        <f>IFERROR(VLOOKUP($D314,[1]Balanza!$A$3:$K$852,6,0)-VLOOKUP(D314,[1]Balanza!$A$3:$K$852,7,0),0)</f>
        <v>0</v>
      </c>
      <c r="F314" s="6">
        <f>IFERROR(VLOOKUP($D314,[1]Balanza!$A$3:$K$852,10,0)-VLOOKUP($D314,[1]Balanza!$A$3:$K$852,11,0),0)</f>
        <v>0</v>
      </c>
    </row>
    <row r="315" spans="1:6" x14ac:dyDescent="0.3">
      <c r="A315" s="1" t="s">
        <v>592</v>
      </c>
      <c r="B315" s="1" t="s">
        <v>593</v>
      </c>
      <c r="C315" t="s">
        <v>3090</v>
      </c>
      <c r="D315" s="5" t="s">
        <v>3410</v>
      </c>
      <c r="E315" s="6">
        <f>IFERROR(VLOOKUP($D315,[1]Balanza!$A$3:$K$852,6,0)-VLOOKUP(D315,[1]Balanza!$A$3:$K$852,7,0),0)</f>
        <v>0</v>
      </c>
      <c r="F315" s="6">
        <f>IFERROR(VLOOKUP($D315,[1]Balanza!$A$3:$K$852,10,0)-VLOOKUP($D315,[1]Balanza!$A$3:$K$852,11,0),0)</f>
        <v>0</v>
      </c>
    </row>
    <row r="316" spans="1:6" x14ac:dyDescent="0.3">
      <c r="A316" s="2" t="s">
        <v>594</v>
      </c>
      <c r="B316" s="2" t="s">
        <v>593</v>
      </c>
      <c r="C316" t="s">
        <v>3090</v>
      </c>
      <c r="D316" s="5" t="s">
        <v>3411</v>
      </c>
      <c r="E316" s="6">
        <f>IFERROR(VLOOKUP($D316,[1]Balanza!$A$3:$K$852,6,0)-VLOOKUP(D316,[1]Balanza!$A$3:$K$852,7,0),0)</f>
        <v>0</v>
      </c>
      <c r="F316" s="6">
        <f>IFERROR(VLOOKUP($D316,[1]Balanza!$A$3:$K$852,10,0)-VLOOKUP($D316,[1]Balanza!$A$3:$K$852,11,0),0)</f>
        <v>0</v>
      </c>
    </row>
    <row r="317" spans="1:6" x14ac:dyDescent="0.3">
      <c r="A317" s="1" t="s">
        <v>595</v>
      </c>
      <c r="B317" s="1" t="s">
        <v>596</v>
      </c>
      <c r="C317" t="s">
        <v>3090</v>
      </c>
      <c r="D317" s="5" t="s">
        <v>3412</v>
      </c>
      <c r="E317" s="6">
        <f>IFERROR(VLOOKUP($D317,[1]Balanza!$A$3:$K$852,6,0)-VLOOKUP(D317,[1]Balanza!$A$3:$K$852,7,0),0)</f>
        <v>0</v>
      </c>
      <c r="F317" s="6">
        <f>IFERROR(VLOOKUP($D317,[1]Balanza!$A$3:$K$852,10,0)-VLOOKUP($D317,[1]Balanza!$A$3:$K$852,11,0),0)</f>
        <v>0</v>
      </c>
    </row>
    <row r="318" spans="1:6" x14ac:dyDescent="0.3">
      <c r="A318" s="2" t="s">
        <v>597</v>
      </c>
      <c r="B318" s="2" t="s">
        <v>596</v>
      </c>
      <c r="C318" t="s">
        <v>3090</v>
      </c>
      <c r="D318" s="5" t="s">
        <v>3413</v>
      </c>
      <c r="E318" s="6">
        <f>IFERROR(VLOOKUP($D318,[1]Balanza!$A$3:$K$852,6,0)-VLOOKUP(D318,[1]Balanza!$A$3:$K$852,7,0),0)</f>
        <v>0</v>
      </c>
      <c r="F318" s="6">
        <f>IFERROR(VLOOKUP($D318,[1]Balanza!$A$3:$K$852,10,0)-VLOOKUP($D318,[1]Balanza!$A$3:$K$852,11,0),0)</f>
        <v>0</v>
      </c>
    </row>
    <row r="319" spans="1:6" x14ac:dyDescent="0.3">
      <c r="A319" s="1" t="s">
        <v>598</v>
      </c>
      <c r="B319" s="1" t="s">
        <v>599</v>
      </c>
      <c r="C319" t="s">
        <v>3090</v>
      </c>
      <c r="D319" s="5" t="s">
        <v>3414</v>
      </c>
      <c r="E319" s="6">
        <f>IFERROR(VLOOKUP($D319,[1]Balanza!$A$3:$K$852,6,0)-VLOOKUP(D319,[1]Balanza!$A$3:$K$852,7,0),0)</f>
        <v>0</v>
      </c>
      <c r="F319" s="6">
        <f>IFERROR(VLOOKUP($D319,[1]Balanza!$A$3:$K$852,10,0)-VLOOKUP($D319,[1]Balanza!$A$3:$K$852,11,0),0)</f>
        <v>0</v>
      </c>
    </row>
    <row r="320" spans="1:6" x14ac:dyDescent="0.3">
      <c r="A320" s="2" t="s">
        <v>600</v>
      </c>
      <c r="B320" s="2" t="s">
        <v>599</v>
      </c>
      <c r="C320" t="s">
        <v>3090</v>
      </c>
      <c r="D320" s="5" t="s">
        <v>3415</v>
      </c>
      <c r="E320" s="6">
        <f>IFERROR(VLOOKUP($D320,[1]Balanza!$A$3:$K$852,6,0)-VLOOKUP(D320,[1]Balanza!$A$3:$K$852,7,0),0)</f>
        <v>0</v>
      </c>
      <c r="F320" s="6">
        <f>IFERROR(VLOOKUP($D320,[1]Balanza!$A$3:$K$852,10,0)-VLOOKUP($D320,[1]Balanza!$A$3:$K$852,11,0),0)</f>
        <v>0</v>
      </c>
    </row>
    <row r="321" spans="1:6" x14ac:dyDescent="0.3">
      <c r="A321" s="1" t="s">
        <v>601</v>
      </c>
      <c r="B321" s="1" t="s">
        <v>602</v>
      </c>
      <c r="C321" t="s">
        <v>3090</v>
      </c>
      <c r="D321" s="5" t="s">
        <v>3416</v>
      </c>
      <c r="E321" s="6">
        <f>IFERROR(VLOOKUP($D321,[1]Balanza!$A$3:$K$852,6,0)-VLOOKUP(D321,[1]Balanza!$A$3:$K$852,7,0),0)</f>
        <v>0</v>
      </c>
      <c r="F321" s="6">
        <f>IFERROR(VLOOKUP($D321,[1]Balanza!$A$3:$K$852,10,0)-VLOOKUP($D321,[1]Balanza!$A$3:$K$852,11,0),0)</f>
        <v>0</v>
      </c>
    </row>
    <row r="322" spans="1:6" x14ac:dyDescent="0.3">
      <c r="A322" s="2" t="s">
        <v>603</v>
      </c>
      <c r="B322" s="2" t="s">
        <v>602</v>
      </c>
      <c r="C322" t="s">
        <v>3090</v>
      </c>
      <c r="D322" s="5" t="s">
        <v>3417</v>
      </c>
      <c r="E322" s="6">
        <f>IFERROR(VLOOKUP($D322,[1]Balanza!$A$3:$K$852,6,0)-VLOOKUP(D322,[1]Balanza!$A$3:$K$852,7,0),0)</f>
        <v>0</v>
      </c>
      <c r="F322" s="6">
        <f>IFERROR(VLOOKUP($D322,[1]Balanza!$A$3:$K$852,10,0)-VLOOKUP($D322,[1]Balanza!$A$3:$K$852,11,0),0)</f>
        <v>0</v>
      </c>
    </row>
    <row r="323" spans="1:6" x14ac:dyDescent="0.3">
      <c r="A323" s="1" t="s">
        <v>604</v>
      </c>
      <c r="B323" s="1" t="s">
        <v>605</v>
      </c>
      <c r="C323" t="s">
        <v>3090</v>
      </c>
      <c r="D323" s="5" t="s">
        <v>3418</v>
      </c>
      <c r="E323" s="6">
        <f>IFERROR(VLOOKUP($D323,[1]Balanza!$A$3:$K$852,6,0)-VLOOKUP(D323,[1]Balanza!$A$3:$K$852,7,0),0)</f>
        <v>0</v>
      </c>
      <c r="F323" s="6">
        <f>IFERROR(VLOOKUP($D323,[1]Balanza!$A$3:$K$852,10,0)-VLOOKUP($D323,[1]Balanza!$A$3:$K$852,11,0),0)</f>
        <v>0</v>
      </c>
    </row>
    <row r="324" spans="1:6" x14ac:dyDescent="0.3">
      <c r="A324" s="2" t="s">
        <v>606</v>
      </c>
      <c r="B324" s="2" t="s">
        <v>605</v>
      </c>
      <c r="C324" t="s">
        <v>3090</v>
      </c>
      <c r="D324" s="5" t="s">
        <v>3419</v>
      </c>
      <c r="E324" s="6">
        <f>IFERROR(VLOOKUP($D324,[1]Balanza!$A$3:$K$852,6,0)-VLOOKUP(D324,[1]Balanza!$A$3:$K$852,7,0),0)</f>
        <v>0</v>
      </c>
      <c r="F324" s="6">
        <f>IFERROR(VLOOKUP($D324,[1]Balanza!$A$3:$K$852,10,0)-VLOOKUP($D324,[1]Balanza!$A$3:$K$852,11,0),0)</f>
        <v>0</v>
      </c>
    </row>
    <row r="325" spans="1:6" x14ac:dyDescent="0.3">
      <c r="A325" s="2" t="s">
        <v>607</v>
      </c>
      <c r="B325" s="2" t="s">
        <v>608</v>
      </c>
      <c r="C325" t="s">
        <v>3090</v>
      </c>
      <c r="D325" s="5" t="s">
        <v>3420</v>
      </c>
      <c r="E325" s="6">
        <f>IFERROR(VLOOKUP($D325,[1]Balanza!$A$3:$K$852,6,0)-VLOOKUP(D325,[1]Balanza!$A$3:$K$852,7,0),0)</f>
        <v>242999.12</v>
      </c>
      <c r="F325" s="6">
        <f>IFERROR(VLOOKUP($D325,[1]Balanza!$A$3:$K$852,10,0)-VLOOKUP($D325,[1]Balanza!$A$3:$K$852,11,0),0)</f>
        <v>0</v>
      </c>
    </row>
    <row r="326" spans="1:6" x14ac:dyDescent="0.3">
      <c r="A326" s="1" t="s">
        <v>609</v>
      </c>
      <c r="B326" s="1" t="s">
        <v>610</v>
      </c>
      <c r="C326" t="s">
        <v>3090</v>
      </c>
      <c r="D326" s="5" t="s">
        <v>3421</v>
      </c>
      <c r="E326" s="6">
        <f>IFERROR(VLOOKUP($D326,[1]Balanza!$A$3:$K$852,6,0)-VLOOKUP(D326,[1]Balanza!$A$3:$K$852,7,0),0)</f>
        <v>0</v>
      </c>
      <c r="F326" s="6">
        <f>IFERROR(VLOOKUP($D326,[1]Balanza!$A$3:$K$852,10,0)-VLOOKUP($D326,[1]Balanza!$A$3:$K$852,11,0),0)</f>
        <v>0</v>
      </c>
    </row>
    <row r="327" spans="1:6" x14ac:dyDescent="0.3">
      <c r="A327" s="2" t="s">
        <v>611</v>
      </c>
      <c r="B327" s="2" t="s">
        <v>612</v>
      </c>
      <c r="C327" t="s">
        <v>3090</v>
      </c>
      <c r="D327" s="5" t="s">
        <v>3422</v>
      </c>
      <c r="E327" s="6">
        <f>IFERROR(VLOOKUP($D327,[1]Balanza!$A$3:$K$852,6,0)-VLOOKUP(D327,[1]Balanza!$A$3:$K$852,7,0),0)</f>
        <v>0</v>
      </c>
      <c r="F327" s="6">
        <f>IFERROR(VLOOKUP($D327,[1]Balanza!$A$3:$K$852,10,0)-VLOOKUP($D327,[1]Balanza!$A$3:$K$852,11,0),0)</f>
        <v>0</v>
      </c>
    </row>
    <row r="328" spans="1:6" x14ac:dyDescent="0.3">
      <c r="A328" s="2" t="s">
        <v>613</v>
      </c>
      <c r="B328" s="2" t="s">
        <v>614</v>
      </c>
      <c r="C328" t="s">
        <v>3090</v>
      </c>
      <c r="D328" s="5" t="s">
        <v>3423</v>
      </c>
      <c r="E328" s="6">
        <f>IFERROR(VLOOKUP($D328,[1]Balanza!$A$3:$K$852,6,0)-VLOOKUP(D328,[1]Balanza!$A$3:$K$852,7,0),0)</f>
        <v>0</v>
      </c>
      <c r="F328" s="6">
        <f>IFERROR(VLOOKUP($D328,[1]Balanza!$A$3:$K$852,10,0)-VLOOKUP($D328,[1]Balanza!$A$3:$K$852,11,0),0)</f>
        <v>0</v>
      </c>
    </row>
    <row r="329" spans="1:6" x14ac:dyDescent="0.3">
      <c r="A329" s="2" t="s">
        <v>615</v>
      </c>
      <c r="B329" s="2" t="s">
        <v>616</v>
      </c>
      <c r="C329" t="s">
        <v>3090</v>
      </c>
      <c r="D329" s="5" t="s">
        <v>3424</v>
      </c>
      <c r="E329" s="6">
        <f>IFERROR(VLOOKUP($D329,[1]Balanza!$A$3:$K$852,6,0)-VLOOKUP(D329,[1]Balanza!$A$3:$K$852,7,0),0)</f>
        <v>0</v>
      </c>
      <c r="F329" s="6">
        <f>IFERROR(VLOOKUP($D329,[1]Balanza!$A$3:$K$852,10,0)-VLOOKUP($D329,[1]Balanza!$A$3:$K$852,11,0),0)</f>
        <v>-1948.89</v>
      </c>
    </row>
    <row r="330" spans="1:6" x14ac:dyDescent="0.3">
      <c r="A330" s="2" t="s">
        <v>617</v>
      </c>
      <c r="B330" s="2" t="s">
        <v>618</v>
      </c>
      <c r="C330" t="s">
        <v>3090</v>
      </c>
      <c r="D330" s="5" t="s">
        <v>3425</v>
      </c>
      <c r="E330" s="6">
        <f>IFERROR(VLOOKUP($D330,[1]Balanza!$A$3:$K$852,6,0)-VLOOKUP(D330,[1]Balanza!$A$3:$K$852,7,0),0)</f>
        <v>0</v>
      </c>
      <c r="F330" s="6">
        <f>IFERROR(VLOOKUP($D330,[1]Balanza!$A$3:$K$852,10,0)-VLOOKUP($D330,[1]Balanza!$A$3:$K$852,11,0),0)</f>
        <v>0</v>
      </c>
    </row>
    <row r="331" spans="1:6" x14ac:dyDescent="0.3">
      <c r="A331" s="2" t="s">
        <v>619</v>
      </c>
      <c r="B331" s="2" t="s">
        <v>620</v>
      </c>
      <c r="C331" t="s">
        <v>3090</v>
      </c>
      <c r="D331" s="5" t="s">
        <v>3426</v>
      </c>
      <c r="E331" s="6">
        <f>IFERROR(VLOOKUP($D331,[1]Balanza!$A$3:$K$852,6,0)-VLOOKUP(D331,[1]Balanza!$A$3:$K$852,7,0),0)</f>
        <v>0</v>
      </c>
      <c r="F331" s="6">
        <f>IFERROR(VLOOKUP($D331,[1]Balanza!$A$3:$K$852,10,0)-VLOOKUP($D331,[1]Balanza!$A$3:$K$852,11,0),0)</f>
        <v>0</v>
      </c>
    </row>
    <row r="332" spans="1:6" x14ac:dyDescent="0.3">
      <c r="A332" s="2" t="s">
        <v>621</v>
      </c>
      <c r="B332" s="2" t="s">
        <v>622</v>
      </c>
      <c r="C332" t="s">
        <v>3090</v>
      </c>
      <c r="D332" s="5" t="s">
        <v>3427</v>
      </c>
      <c r="E332" s="6">
        <f>IFERROR(VLOOKUP($D332,[1]Balanza!$A$3:$K$852,6,0)-VLOOKUP(D332,[1]Balanza!$A$3:$K$852,7,0),0)</f>
        <v>0</v>
      </c>
      <c r="F332" s="6">
        <f>IFERROR(VLOOKUP($D332,[1]Balanza!$A$3:$K$852,10,0)-VLOOKUP($D332,[1]Balanza!$A$3:$K$852,11,0),0)</f>
        <v>0</v>
      </c>
    </row>
    <row r="333" spans="1:6" x14ac:dyDescent="0.3">
      <c r="A333" s="2" t="s">
        <v>623</v>
      </c>
      <c r="B333" s="2" t="s">
        <v>624</v>
      </c>
      <c r="C333" t="s">
        <v>3090</v>
      </c>
      <c r="D333" s="5" t="s">
        <v>3428</v>
      </c>
      <c r="E333" s="6">
        <f>IFERROR(VLOOKUP($D333,[1]Balanza!$A$3:$K$852,6,0)-VLOOKUP(D333,[1]Balanza!$A$3:$K$852,7,0),0)</f>
        <v>0</v>
      </c>
      <c r="F333" s="6">
        <f>IFERROR(VLOOKUP($D333,[1]Balanza!$A$3:$K$852,10,0)-VLOOKUP($D333,[1]Balanza!$A$3:$K$852,11,0),0)</f>
        <v>0</v>
      </c>
    </row>
    <row r="334" spans="1:6" x14ac:dyDescent="0.3">
      <c r="A334" s="2" t="s">
        <v>625</v>
      </c>
      <c r="B334" s="2" t="s">
        <v>626</v>
      </c>
      <c r="C334" t="s">
        <v>3090</v>
      </c>
      <c r="D334" s="5" t="s">
        <v>3429</v>
      </c>
      <c r="E334" s="6">
        <f>IFERROR(VLOOKUP($D334,[1]Balanza!$A$3:$K$852,6,0)-VLOOKUP(D334,[1]Balanza!$A$3:$K$852,7,0),0)</f>
        <v>0</v>
      </c>
      <c r="F334" s="6">
        <f>IFERROR(VLOOKUP($D334,[1]Balanza!$A$3:$K$852,10,0)-VLOOKUP($D334,[1]Balanza!$A$3:$K$852,11,0),0)</f>
        <v>0</v>
      </c>
    </row>
    <row r="335" spans="1:6" x14ac:dyDescent="0.3">
      <c r="A335" s="2" t="s">
        <v>627</v>
      </c>
      <c r="B335" s="2" t="s">
        <v>628</v>
      </c>
      <c r="C335" t="s">
        <v>3090</v>
      </c>
      <c r="D335" s="5" t="s">
        <v>3430</v>
      </c>
      <c r="E335" s="6">
        <f>IFERROR(VLOOKUP($D335,[1]Balanza!$A$3:$K$852,6,0)-VLOOKUP(D335,[1]Balanza!$A$3:$K$852,7,0),0)</f>
        <v>0</v>
      </c>
      <c r="F335" s="6">
        <f>IFERROR(VLOOKUP($D335,[1]Balanza!$A$3:$K$852,10,0)-VLOOKUP($D335,[1]Balanza!$A$3:$K$852,11,0),0)</f>
        <v>0</v>
      </c>
    </row>
    <row r="336" spans="1:6" x14ac:dyDescent="0.3">
      <c r="A336" s="2" t="s">
        <v>629</v>
      </c>
      <c r="B336" s="2" t="s">
        <v>630</v>
      </c>
      <c r="C336" t="s">
        <v>3090</v>
      </c>
      <c r="D336" s="5" t="s">
        <v>3431</v>
      </c>
      <c r="E336" s="6">
        <f>IFERROR(VLOOKUP($D336,[1]Balanza!$A$3:$K$852,6,0)-VLOOKUP(D336,[1]Balanza!$A$3:$K$852,7,0),0)</f>
        <v>0</v>
      </c>
      <c r="F336" s="6">
        <f>IFERROR(VLOOKUP($D336,[1]Balanza!$A$3:$K$852,10,0)-VLOOKUP($D336,[1]Balanza!$A$3:$K$852,11,0),0)</f>
        <v>0</v>
      </c>
    </row>
    <row r="337" spans="1:6" x14ac:dyDescent="0.3">
      <c r="A337" s="2" t="s">
        <v>631</v>
      </c>
      <c r="B337" s="2" t="s">
        <v>632</v>
      </c>
      <c r="C337" t="s">
        <v>3090</v>
      </c>
      <c r="D337" s="5" t="s">
        <v>3432</v>
      </c>
      <c r="E337" s="6">
        <f>IFERROR(VLOOKUP($D337,[1]Balanza!$A$3:$K$852,6,0)-VLOOKUP(D337,[1]Balanza!$A$3:$K$852,7,0),0)</f>
        <v>0</v>
      </c>
      <c r="F337" s="6">
        <f>IFERROR(VLOOKUP($D337,[1]Balanza!$A$3:$K$852,10,0)-VLOOKUP($D337,[1]Balanza!$A$3:$K$852,11,0),0)</f>
        <v>0</v>
      </c>
    </row>
    <row r="338" spans="1:6" x14ac:dyDescent="0.3">
      <c r="A338" s="2" t="s">
        <v>633</v>
      </c>
      <c r="B338" s="2" t="s">
        <v>634</v>
      </c>
      <c r="C338" t="s">
        <v>3090</v>
      </c>
      <c r="D338" s="5" t="s">
        <v>3433</v>
      </c>
      <c r="E338" s="6">
        <f>IFERROR(VLOOKUP($D338,[1]Balanza!$A$3:$K$852,6,0)-VLOOKUP(D338,[1]Balanza!$A$3:$K$852,7,0),0)</f>
        <v>0</v>
      </c>
      <c r="F338" s="6">
        <f>IFERROR(VLOOKUP($D338,[1]Balanza!$A$3:$K$852,10,0)-VLOOKUP($D338,[1]Balanza!$A$3:$K$852,11,0),0)</f>
        <v>0</v>
      </c>
    </row>
    <row r="339" spans="1:6" x14ac:dyDescent="0.3">
      <c r="A339" s="2" t="s">
        <v>635</v>
      </c>
      <c r="B339" s="2" t="s">
        <v>636</v>
      </c>
      <c r="C339" t="s">
        <v>3090</v>
      </c>
      <c r="D339" s="5" t="s">
        <v>3434</v>
      </c>
      <c r="E339" s="6">
        <f>IFERROR(VLOOKUP($D339,[1]Balanza!$A$3:$K$852,6,0)-VLOOKUP(D339,[1]Balanza!$A$3:$K$852,7,0),0)</f>
        <v>0</v>
      </c>
      <c r="F339" s="6">
        <f>IFERROR(VLOOKUP($D339,[1]Balanza!$A$3:$K$852,10,0)-VLOOKUP($D339,[1]Balanza!$A$3:$K$852,11,0),0)</f>
        <v>0</v>
      </c>
    </row>
    <row r="340" spans="1:6" x14ac:dyDescent="0.3">
      <c r="A340" s="2" t="s">
        <v>637</v>
      </c>
      <c r="B340" s="2" t="s">
        <v>638</v>
      </c>
      <c r="C340" t="s">
        <v>3090</v>
      </c>
      <c r="D340" s="5" t="s">
        <v>3435</v>
      </c>
      <c r="E340" s="6">
        <f>IFERROR(VLOOKUP($D340,[1]Balanza!$A$3:$K$852,6,0)-VLOOKUP(D340,[1]Balanza!$A$3:$K$852,7,0),0)</f>
        <v>0</v>
      </c>
      <c r="F340" s="6">
        <f>IFERROR(VLOOKUP($D340,[1]Balanza!$A$3:$K$852,10,0)-VLOOKUP($D340,[1]Balanza!$A$3:$K$852,11,0),0)</f>
        <v>0</v>
      </c>
    </row>
    <row r="341" spans="1:6" x14ac:dyDescent="0.3">
      <c r="A341" s="2" t="s">
        <v>639</v>
      </c>
      <c r="B341" s="2" t="s">
        <v>640</v>
      </c>
      <c r="C341" t="s">
        <v>3090</v>
      </c>
      <c r="D341" s="5" t="s">
        <v>3436</v>
      </c>
      <c r="E341" s="6">
        <f>IFERROR(VLOOKUP($D341,[1]Balanza!$A$3:$K$852,6,0)-VLOOKUP(D341,[1]Balanza!$A$3:$K$852,7,0),0)</f>
        <v>0</v>
      </c>
      <c r="F341" s="6">
        <f>IFERROR(VLOOKUP($D341,[1]Balanza!$A$3:$K$852,10,0)-VLOOKUP($D341,[1]Balanza!$A$3:$K$852,11,0),0)</f>
        <v>0</v>
      </c>
    </row>
    <row r="342" spans="1:6" x14ac:dyDescent="0.3">
      <c r="A342" s="2" t="s">
        <v>641</v>
      </c>
      <c r="B342" s="2" t="s">
        <v>642</v>
      </c>
      <c r="C342" t="s">
        <v>3090</v>
      </c>
      <c r="D342" s="5" t="s">
        <v>3437</v>
      </c>
      <c r="E342" s="6">
        <f>IFERROR(VLOOKUP($D342,[1]Balanza!$A$3:$K$852,6,0)-VLOOKUP(D342,[1]Balanza!$A$3:$K$852,7,0),0)</f>
        <v>0</v>
      </c>
      <c r="F342" s="6">
        <f>IFERROR(VLOOKUP($D342,[1]Balanza!$A$3:$K$852,10,0)-VLOOKUP($D342,[1]Balanza!$A$3:$K$852,11,0),0)</f>
        <v>0</v>
      </c>
    </row>
    <row r="343" spans="1:6" x14ac:dyDescent="0.3">
      <c r="A343" s="2" t="s">
        <v>643</v>
      </c>
      <c r="B343" s="2" t="s">
        <v>644</v>
      </c>
      <c r="C343" t="s">
        <v>3090</v>
      </c>
      <c r="D343" s="5" t="s">
        <v>3438</v>
      </c>
      <c r="E343" s="6">
        <f>IFERROR(VLOOKUP($D343,[1]Balanza!$A$3:$K$852,6,0)-VLOOKUP(D343,[1]Balanza!$A$3:$K$852,7,0),0)</f>
        <v>-12535.01</v>
      </c>
      <c r="F343" s="6">
        <f>IFERROR(VLOOKUP($D343,[1]Balanza!$A$3:$K$852,10,0)-VLOOKUP($D343,[1]Balanza!$A$3:$K$852,11,0),0)</f>
        <v>-6177.12</v>
      </c>
    </row>
    <row r="344" spans="1:6" x14ac:dyDescent="0.3">
      <c r="A344" s="2" t="s">
        <v>645</v>
      </c>
      <c r="B344" s="2" t="s">
        <v>646</v>
      </c>
      <c r="C344" t="s">
        <v>3090</v>
      </c>
      <c r="D344" s="5" t="s">
        <v>3439</v>
      </c>
      <c r="E344" s="6">
        <f>IFERROR(VLOOKUP($D344,[1]Balanza!$A$3:$K$852,6,0)-VLOOKUP(D344,[1]Balanza!$A$3:$K$852,7,0),0)</f>
        <v>0</v>
      </c>
      <c r="F344" s="6">
        <f>IFERROR(VLOOKUP($D344,[1]Balanza!$A$3:$K$852,10,0)-VLOOKUP($D344,[1]Balanza!$A$3:$K$852,11,0),0)</f>
        <v>0</v>
      </c>
    </row>
    <row r="345" spans="1:6" x14ac:dyDescent="0.3">
      <c r="A345" s="1" t="s">
        <v>647</v>
      </c>
      <c r="B345" s="1" t="s">
        <v>648</v>
      </c>
      <c r="C345" t="s">
        <v>3090</v>
      </c>
      <c r="D345" s="5" t="s">
        <v>3440</v>
      </c>
      <c r="E345" s="6">
        <f>IFERROR(VLOOKUP($D345,[1]Balanza!$A$3:$K$852,6,0)-VLOOKUP(D345,[1]Balanza!$A$3:$K$852,7,0),0)</f>
        <v>0</v>
      </c>
      <c r="F345" s="6">
        <f>IFERROR(VLOOKUP($D345,[1]Balanza!$A$3:$K$852,10,0)-VLOOKUP($D345,[1]Balanza!$A$3:$K$852,11,0),0)</f>
        <v>0</v>
      </c>
    </row>
    <row r="346" spans="1:6" x14ac:dyDescent="0.3">
      <c r="A346" s="2" t="s">
        <v>649</v>
      </c>
      <c r="B346" s="2" t="s">
        <v>650</v>
      </c>
      <c r="C346" t="s">
        <v>3090</v>
      </c>
      <c r="D346" s="5" t="s">
        <v>3441</v>
      </c>
      <c r="E346" s="6">
        <f>IFERROR(VLOOKUP($D346,[1]Balanza!$A$3:$K$852,6,0)-VLOOKUP(D346,[1]Balanza!$A$3:$K$852,7,0),0)</f>
        <v>0</v>
      </c>
      <c r="F346" s="6">
        <f>IFERROR(VLOOKUP($D346,[1]Balanza!$A$3:$K$852,10,0)-VLOOKUP($D346,[1]Balanza!$A$3:$K$852,11,0),0)</f>
        <v>0</v>
      </c>
    </row>
    <row r="347" spans="1:6" x14ac:dyDescent="0.3">
      <c r="A347" s="2" t="s">
        <v>651</v>
      </c>
      <c r="B347" s="2" t="s">
        <v>652</v>
      </c>
      <c r="C347" t="s">
        <v>3090</v>
      </c>
      <c r="D347" s="5" t="s">
        <v>3442</v>
      </c>
      <c r="E347" s="6">
        <f>IFERROR(VLOOKUP($D347,[1]Balanza!$A$3:$K$852,6,0)-VLOOKUP(D347,[1]Balanza!$A$3:$K$852,7,0),0)</f>
        <v>0</v>
      </c>
      <c r="F347" s="6">
        <f>IFERROR(VLOOKUP($D347,[1]Balanza!$A$3:$K$852,10,0)-VLOOKUP($D347,[1]Balanza!$A$3:$K$852,11,0),0)</f>
        <v>0</v>
      </c>
    </row>
    <row r="348" spans="1:6" x14ac:dyDescent="0.3">
      <c r="A348" s="2" t="s">
        <v>653</v>
      </c>
      <c r="B348" s="2" t="s">
        <v>654</v>
      </c>
      <c r="C348" t="s">
        <v>3090</v>
      </c>
      <c r="D348" s="5" t="s">
        <v>3443</v>
      </c>
      <c r="E348" s="6">
        <f>IFERROR(VLOOKUP($D348,[1]Balanza!$A$3:$K$852,6,0)-VLOOKUP(D348,[1]Balanza!$A$3:$K$852,7,0),0)</f>
        <v>0</v>
      </c>
      <c r="F348" s="6">
        <f>IFERROR(VLOOKUP($D348,[1]Balanza!$A$3:$K$852,10,0)-VLOOKUP($D348,[1]Balanza!$A$3:$K$852,11,0),0)</f>
        <v>0</v>
      </c>
    </row>
    <row r="349" spans="1:6" x14ac:dyDescent="0.3">
      <c r="A349" s="2" t="s">
        <v>655</v>
      </c>
      <c r="B349" s="2" t="s">
        <v>656</v>
      </c>
      <c r="C349" t="s">
        <v>3090</v>
      </c>
      <c r="D349" s="5" t="s">
        <v>3444</v>
      </c>
      <c r="E349" s="6">
        <f>IFERROR(VLOOKUP($D349,[1]Balanza!$A$3:$K$852,6,0)-VLOOKUP(D349,[1]Balanza!$A$3:$K$852,7,0),0)</f>
        <v>0</v>
      </c>
      <c r="F349" s="6">
        <f>IFERROR(VLOOKUP($D349,[1]Balanza!$A$3:$K$852,10,0)-VLOOKUP($D349,[1]Balanza!$A$3:$K$852,11,0),0)</f>
        <v>0</v>
      </c>
    </row>
    <row r="350" spans="1:6" x14ac:dyDescent="0.3">
      <c r="A350" s="2" t="s">
        <v>657</v>
      </c>
      <c r="B350" s="2" t="s">
        <v>658</v>
      </c>
      <c r="C350" t="s">
        <v>3090</v>
      </c>
      <c r="D350" s="5" t="s">
        <v>3445</v>
      </c>
      <c r="E350" s="6">
        <f>IFERROR(VLOOKUP($D350,[1]Balanza!$A$3:$K$852,6,0)-VLOOKUP(D350,[1]Balanza!$A$3:$K$852,7,0),0)</f>
        <v>0</v>
      </c>
      <c r="F350" s="6">
        <f>IFERROR(VLOOKUP($D350,[1]Balanza!$A$3:$K$852,10,0)-VLOOKUP($D350,[1]Balanza!$A$3:$K$852,11,0),0)</f>
        <v>0</v>
      </c>
    </row>
    <row r="351" spans="1:6" x14ac:dyDescent="0.3">
      <c r="A351" s="2" t="s">
        <v>659</v>
      </c>
      <c r="B351" s="2" t="s">
        <v>660</v>
      </c>
      <c r="C351" t="s">
        <v>3090</v>
      </c>
      <c r="D351" s="5" t="s">
        <v>3446</v>
      </c>
      <c r="E351" s="6">
        <f>IFERROR(VLOOKUP($D351,[1]Balanza!$A$3:$K$852,6,0)-VLOOKUP(D351,[1]Balanza!$A$3:$K$852,7,0),0)</f>
        <v>0</v>
      </c>
      <c r="F351" s="6">
        <f>IFERROR(VLOOKUP($D351,[1]Balanza!$A$3:$K$852,10,0)-VLOOKUP($D351,[1]Balanza!$A$3:$K$852,11,0),0)</f>
        <v>0</v>
      </c>
    </row>
    <row r="352" spans="1:6" x14ac:dyDescent="0.3">
      <c r="A352" s="2" t="s">
        <v>661</v>
      </c>
      <c r="B352" s="2" t="s">
        <v>662</v>
      </c>
      <c r="C352" t="s">
        <v>3090</v>
      </c>
      <c r="D352" s="5" t="s">
        <v>3447</v>
      </c>
      <c r="E352" s="6">
        <f>IFERROR(VLOOKUP($D352,[1]Balanza!$A$3:$K$852,6,0)-VLOOKUP(D352,[1]Balanza!$A$3:$K$852,7,0),0)</f>
        <v>0</v>
      </c>
      <c r="F352" s="6">
        <f>IFERROR(VLOOKUP($D352,[1]Balanza!$A$3:$K$852,10,0)-VLOOKUP($D352,[1]Balanza!$A$3:$K$852,11,0),0)</f>
        <v>0</v>
      </c>
    </row>
    <row r="353" spans="1:6" x14ac:dyDescent="0.3">
      <c r="A353" s="2" t="s">
        <v>663</v>
      </c>
      <c r="B353" s="2" t="s">
        <v>664</v>
      </c>
      <c r="C353" t="s">
        <v>3090</v>
      </c>
      <c r="D353" s="5" t="s">
        <v>3448</v>
      </c>
      <c r="E353" s="6">
        <f>IFERROR(VLOOKUP($D353,[1]Balanza!$A$3:$K$852,6,0)-VLOOKUP(D353,[1]Balanza!$A$3:$K$852,7,0),0)</f>
        <v>0</v>
      </c>
      <c r="F353" s="6">
        <f>IFERROR(VLOOKUP($D353,[1]Balanza!$A$3:$K$852,10,0)-VLOOKUP($D353,[1]Balanza!$A$3:$K$852,11,0),0)</f>
        <v>0</v>
      </c>
    </row>
    <row r="354" spans="1:6" x14ac:dyDescent="0.3">
      <c r="A354" s="2" t="s">
        <v>665</v>
      </c>
      <c r="B354" s="2" t="s">
        <v>666</v>
      </c>
      <c r="C354" t="s">
        <v>3090</v>
      </c>
      <c r="D354" s="5" t="s">
        <v>3449</v>
      </c>
      <c r="E354" s="6">
        <f>IFERROR(VLOOKUP($D354,[1]Balanza!$A$3:$K$852,6,0)-VLOOKUP(D354,[1]Balanza!$A$3:$K$852,7,0),0)</f>
        <v>0</v>
      </c>
      <c r="F354" s="6">
        <f>IFERROR(VLOOKUP($D354,[1]Balanza!$A$3:$K$852,10,0)-VLOOKUP($D354,[1]Balanza!$A$3:$K$852,11,0),0)</f>
        <v>0</v>
      </c>
    </row>
    <row r="355" spans="1:6" x14ac:dyDescent="0.3">
      <c r="A355" s="2" t="s">
        <v>667</v>
      </c>
      <c r="B355" s="2" t="s">
        <v>668</v>
      </c>
      <c r="C355" t="s">
        <v>3090</v>
      </c>
      <c r="D355" s="5" t="s">
        <v>3450</v>
      </c>
      <c r="E355" s="6">
        <f>IFERROR(VLOOKUP($D355,[1]Balanza!$A$3:$K$852,6,0)-VLOOKUP(D355,[1]Balanza!$A$3:$K$852,7,0),0)</f>
        <v>0</v>
      </c>
      <c r="F355" s="6">
        <f>IFERROR(VLOOKUP($D355,[1]Balanza!$A$3:$K$852,10,0)-VLOOKUP($D355,[1]Balanza!$A$3:$K$852,11,0),0)</f>
        <v>0</v>
      </c>
    </row>
    <row r="356" spans="1:6" x14ac:dyDescent="0.3">
      <c r="A356" s="2" t="s">
        <v>669</v>
      </c>
      <c r="B356" s="2" t="s">
        <v>670</v>
      </c>
      <c r="C356" t="s">
        <v>3090</v>
      </c>
      <c r="D356" s="5" t="s">
        <v>3451</v>
      </c>
      <c r="E356" s="6">
        <f>IFERROR(VLOOKUP($D356,[1]Balanza!$A$3:$K$852,6,0)-VLOOKUP(D356,[1]Balanza!$A$3:$K$852,7,0),0)</f>
        <v>0</v>
      </c>
      <c r="F356" s="6">
        <f>IFERROR(VLOOKUP($D356,[1]Balanza!$A$3:$K$852,10,0)-VLOOKUP($D356,[1]Balanza!$A$3:$K$852,11,0),0)</f>
        <v>0</v>
      </c>
    </row>
    <row r="357" spans="1:6" x14ac:dyDescent="0.3">
      <c r="A357" s="2" t="s">
        <v>671</v>
      </c>
      <c r="B357" s="2" t="s">
        <v>672</v>
      </c>
      <c r="C357" t="s">
        <v>3090</v>
      </c>
      <c r="D357" s="5" t="s">
        <v>3452</v>
      </c>
      <c r="E357" s="6">
        <f>IFERROR(VLOOKUP($D357,[1]Balanza!$A$3:$K$852,6,0)-VLOOKUP(D357,[1]Balanza!$A$3:$K$852,7,0),0)</f>
        <v>0</v>
      </c>
      <c r="F357" s="6">
        <f>IFERROR(VLOOKUP($D357,[1]Balanza!$A$3:$K$852,10,0)-VLOOKUP($D357,[1]Balanza!$A$3:$K$852,11,0),0)</f>
        <v>0</v>
      </c>
    </row>
    <row r="358" spans="1:6" x14ac:dyDescent="0.3">
      <c r="A358" s="2" t="s">
        <v>673</v>
      </c>
      <c r="B358" s="2" t="s">
        <v>674</v>
      </c>
      <c r="C358" t="s">
        <v>3090</v>
      </c>
      <c r="D358" s="5" t="s">
        <v>3453</v>
      </c>
      <c r="E358" s="6">
        <f>IFERROR(VLOOKUP($D358,[1]Balanza!$A$3:$K$852,6,0)-VLOOKUP(D358,[1]Balanza!$A$3:$K$852,7,0),0)</f>
        <v>0</v>
      </c>
      <c r="F358" s="6">
        <f>IFERROR(VLOOKUP($D358,[1]Balanza!$A$3:$K$852,10,0)-VLOOKUP($D358,[1]Balanza!$A$3:$K$852,11,0),0)</f>
        <v>0</v>
      </c>
    </row>
    <row r="359" spans="1:6" x14ac:dyDescent="0.3">
      <c r="A359" s="2" t="s">
        <v>675</v>
      </c>
      <c r="B359" s="2" t="s">
        <v>676</v>
      </c>
      <c r="C359" t="s">
        <v>3090</v>
      </c>
      <c r="D359" s="5" t="s">
        <v>3454</v>
      </c>
      <c r="E359" s="6">
        <f>IFERROR(VLOOKUP($D359,[1]Balanza!$A$3:$K$852,6,0)-VLOOKUP(D359,[1]Balanza!$A$3:$K$852,7,0),0)</f>
        <v>0</v>
      </c>
      <c r="F359" s="6">
        <f>IFERROR(VLOOKUP($D359,[1]Balanza!$A$3:$K$852,10,0)-VLOOKUP($D359,[1]Balanza!$A$3:$K$852,11,0),0)</f>
        <v>0</v>
      </c>
    </row>
    <row r="360" spans="1:6" x14ac:dyDescent="0.3">
      <c r="A360" s="2" t="s">
        <v>677</v>
      </c>
      <c r="B360" s="2" t="s">
        <v>678</v>
      </c>
      <c r="C360" t="s">
        <v>3090</v>
      </c>
      <c r="D360" s="5" t="s">
        <v>3455</v>
      </c>
      <c r="E360" s="6">
        <f>IFERROR(VLOOKUP($D360,[1]Balanza!$A$3:$K$852,6,0)-VLOOKUP(D360,[1]Balanza!$A$3:$K$852,7,0),0)</f>
        <v>0</v>
      </c>
      <c r="F360" s="6">
        <f>IFERROR(VLOOKUP($D360,[1]Balanza!$A$3:$K$852,10,0)-VLOOKUP($D360,[1]Balanza!$A$3:$K$852,11,0),0)</f>
        <v>0</v>
      </c>
    </row>
    <row r="361" spans="1:6" x14ac:dyDescent="0.3">
      <c r="A361" s="2" t="s">
        <v>679</v>
      </c>
      <c r="B361" s="2" t="s">
        <v>680</v>
      </c>
      <c r="C361" t="s">
        <v>3090</v>
      </c>
      <c r="D361" s="5" t="s">
        <v>3456</v>
      </c>
      <c r="E361" s="6">
        <f>IFERROR(VLOOKUP($D361,[1]Balanza!$A$3:$K$852,6,0)-VLOOKUP(D361,[1]Balanza!$A$3:$K$852,7,0),0)</f>
        <v>0</v>
      </c>
      <c r="F361" s="6">
        <f>IFERROR(VLOOKUP($D361,[1]Balanza!$A$3:$K$852,10,0)-VLOOKUP($D361,[1]Balanza!$A$3:$K$852,11,0),0)</f>
        <v>0</v>
      </c>
    </row>
    <row r="362" spans="1:6" x14ac:dyDescent="0.3">
      <c r="A362" s="2" t="s">
        <v>681</v>
      </c>
      <c r="B362" s="2" t="s">
        <v>682</v>
      </c>
      <c r="C362" t="s">
        <v>3090</v>
      </c>
      <c r="D362" s="5" t="s">
        <v>3457</v>
      </c>
      <c r="E362" s="6">
        <f>IFERROR(VLOOKUP($D362,[1]Balanza!$A$3:$K$852,6,0)-VLOOKUP(D362,[1]Balanza!$A$3:$K$852,7,0),0)</f>
        <v>0</v>
      </c>
      <c r="F362" s="6">
        <f>IFERROR(VLOOKUP($D362,[1]Balanza!$A$3:$K$852,10,0)-VLOOKUP($D362,[1]Balanza!$A$3:$K$852,11,0),0)</f>
        <v>0</v>
      </c>
    </row>
    <row r="363" spans="1:6" x14ac:dyDescent="0.3">
      <c r="A363" s="2" t="s">
        <v>683</v>
      </c>
      <c r="B363" s="2" t="s">
        <v>684</v>
      </c>
      <c r="C363" t="s">
        <v>3090</v>
      </c>
      <c r="D363" s="5" t="s">
        <v>3458</v>
      </c>
      <c r="E363" s="6">
        <f>IFERROR(VLOOKUP($D363,[1]Balanza!$A$3:$K$852,6,0)-VLOOKUP(D363,[1]Balanza!$A$3:$K$852,7,0),0)</f>
        <v>0</v>
      </c>
      <c r="F363" s="6">
        <f>IFERROR(VLOOKUP($D363,[1]Balanza!$A$3:$K$852,10,0)-VLOOKUP($D363,[1]Balanza!$A$3:$K$852,11,0),0)</f>
        <v>0</v>
      </c>
    </row>
    <row r="364" spans="1:6" x14ac:dyDescent="0.3">
      <c r="A364" s="1" t="s">
        <v>685</v>
      </c>
      <c r="B364" s="1" t="s">
        <v>686</v>
      </c>
      <c r="C364" t="s">
        <v>3090</v>
      </c>
      <c r="D364" s="5" t="s">
        <v>3459</v>
      </c>
      <c r="E364" s="6">
        <f>IFERROR(VLOOKUP($D364,[1]Balanza!$A$3:$K$852,6,0)-VLOOKUP(D364,[1]Balanza!$A$3:$K$852,7,0),0)</f>
        <v>0</v>
      </c>
      <c r="F364" s="6">
        <f>IFERROR(VLOOKUP($D364,[1]Balanza!$A$3:$K$852,10,0)-VLOOKUP($D364,[1]Balanza!$A$3:$K$852,11,0),0)</f>
        <v>0</v>
      </c>
    </row>
    <row r="365" spans="1:6" x14ac:dyDescent="0.3">
      <c r="A365" s="2" t="s">
        <v>687</v>
      </c>
      <c r="B365" s="2" t="s">
        <v>686</v>
      </c>
      <c r="C365" t="s">
        <v>3090</v>
      </c>
      <c r="D365" s="5" t="s">
        <v>3460</v>
      </c>
      <c r="E365" s="6">
        <f>IFERROR(VLOOKUP($D365,[1]Balanza!$A$3:$K$852,6,0)-VLOOKUP(D365,[1]Balanza!$A$3:$K$852,7,0),0)</f>
        <v>0</v>
      </c>
      <c r="F365" s="6">
        <f>IFERROR(VLOOKUP($D365,[1]Balanza!$A$3:$K$852,10,0)-VLOOKUP($D365,[1]Balanza!$A$3:$K$852,11,0),0)</f>
        <v>0</v>
      </c>
    </row>
    <row r="366" spans="1:6" x14ac:dyDescent="0.3">
      <c r="A366" s="1" t="s">
        <v>688</v>
      </c>
      <c r="B366" s="1" t="s">
        <v>689</v>
      </c>
      <c r="C366" t="s">
        <v>3090</v>
      </c>
      <c r="D366" s="5" t="s">
        <v>3461</v>
      </c>
      <c r="E366" s="6">
        <f>IFERROR(VLOOKUP($D366,[1]Balanza!$A$3:$K$852,6,0)-VLOOKUP(D366,[1]Balanza!$A$3:$K$852,7,0),0)</f>
        <v>0</v>
      </c>
      <c r="F366" s="6">
        <f>IFERROR(VLOOKUP($D366,[1]Balanza!$A$3:$K$852,10,0)-VLOOKUP($D366,[1]Balanza!$A$3:$K$852,11,0),0)</f>
        <v>0</v>
      </c>
    </row>
    <row r="367" spans="1:6" x14ac:dyDescent="0.3">
      <c r="A367" s="2" t="s">
        <v>690</v>
      </c>
      <c r="B367" s="2" t="s">
        <v>689</v>
      </c>
      <c r="C367" t="s">
        <v>3090</v>
      </c>
      <c r="D367" s="5" t="s">
        <v>3462</v>
      </c>
      <c r="E367" s="6">
        <f>IFERROR(VLOOKUP($D367,[1]Balanza!$A$3:$K$852,6,0)-VLOOKUP(D367,[1]Balanza!$A$3:$K$852,7,0),0)</f>
        <v>0</v>
      </c>
      <c r="F367" s="6">
        <f>IFERROR(VLOOKUP($D367,[1]Balanza!$A$3:$K$852,10,0)-VLOOKUP($D367,[1]Balanza!$A$3:$K$852,11,0),0)</f>
        <v>0</v>
      </c>
    </row>
    <row r="368" spans="1:6" x14ac:dyDescent="0.3">
      <c r="A368" s="1" t="s">
        <v>691</v>
      </c>
      <c r="B368" s="1" t="s">
        <v>692</v>
      </c>
      <c r="C368" t="s">
        <v>3090</v>
      </c>
      <c r="D368" s="5" t="s">
        <v>3463</v>
      </c>
      <c r="E368" s="6">
        <f>IFERROR(VLOOKUP($D368,[1]Balanza!$A$3:$K$852,6,0)-VLOOKUP(D368,[1]Balanza!$A$3:$K$852,7,0),0)</f>
        <v>0</v>
      </c>
      <c r="F368" s="6">
        <f>IFERROR(VLOOKUP($D368,[1]Balanza!$A$3:$K$852,10,0)-VLOOKUP($D368,[1]Balanza!$A$3:$K$852,11,0),0)</f>
        <v>0</v>
      </c>
    </row>
    <row r="369" spans="1:6" x14ac:dyDescent="0.3">
      <c r="A369" s="2" t="s">
        <v>693</v>
      </c>
      <c r="B369" s="2" t="s">
        <v>692</v>
      </c>
      <c r="C369" t="s">
        <v>3090</v>
      </c>
      <c r="D369" s="5" t="s">
        <v>3464</v>
      </c>
      <c r="E369" s="6">
        <f>IFERROR(VLOOKUP($D369,[1]Balanza!$A$3:$K$852,6,0)-VLOOKUP(D369,[1]Balanza!$A$3:$K$852,7,0),0)</f>
        <v>0</v>
      </c>
      <c r="F369" s="6">
        <f>IFERROR(VLOOKUP($D369,[1]Balanza!$A$3:$K$852,10,0)-VLOOKUP($D369,[1]Balanza!$A$3:$K$852,11,0),0)</f>
        <v>0</v>
      </c>
    </row>
    <row r="370" spans="1:6" x14ac:dyDescent="0.3">
      <c r="A370" s="1" t="s">
        <v>694</v>
      </c>
      <c r="B370" s="1" t="s">
        <v>695</v>
      </c>
      <c r="C370" t="s">
        <v>3090</v>
      </c>
      <c r="D370" s="5" t="s">
        <v>3465</v>
      </c>
      <c r="E370" s="6">
        <f>IFERROR(VLOOKUP($D370,[1]Balanza!$A$3:$K$852,6,0)-VLOOKUP(D370,[1]Balanza!$A$3:$K$852,7,0),0)</f>
        <v>0</v>
      </c>
      <c r="F370" s="6">
        <f>IFERROR(VLOOKUP($D370,[1]Balanza!$A$3:$K$852,10,0)-VLOOKUP($D370,[1]Balanza!$A$3:$K$852,11,0),0)</f>
        <v>0</v>
      </c>
    </row>
    <row r="371" spans="1:6" x14ac:dyDescent="0.3">
      <c r="A371" s="2" t="s">
        <v>696</v>
      </c>
      <c r="B371" s="2" t="s">
        <v>695</v>
      </c>
      <c r="C371" t="s">
        <v>3090</v>
      </c>
      <c r="D371" s="5" t="s">
        <v>3466</v>
      </c>
      <c r="E371" s="6">
        <f>IFERROR(VLOOKUP($D371,[1]Balanza!$A$3:$K$852,6,0)-VLOOKUP(D371,[1]Balanza!$A$3:$K$852,7,0),0)</f>
        <v>0</v>
      </c>
      <c r="F371" s="6">
        <f>IFERROR(VLOOKUP($D371,[1]Balanza!$A$3:$K$852,10,0)-VLOOKUP($D371,[1]Balanza!$A$3:$K$852,11,0),0)</f>
        <v>0</v>
      </c>
    </row>
    <row r="372" spans="1:6" x14ac:dyDescent="0.3">
      <c r="A372" s="2" t="s">
        <v>697</v>
      </c>
      <c r="B372" s="2" t="s">
        <v>698</v>
      </c>
      <c r="C372" t="s">
        <v>3090</v>
      </c>
      <c r="D372" s="5" t="s">
        <v>3467</v>
      </c>
      <c r="E372" s="6">
        <f>IFERROR(VLOOKUP($D372,[1]Balanza!$A$3:$K$852,6,0)-VLOOKUP(D372,[1]Balanza!$A$3:$K$852,7,0),0)</f>
        <v>0</v>
      </c>
      <c r="F372" s="6">
        <f>IFERROR(VLOOKUP($D372,[1]Balanza!$A$3:$K$852,10,0)-VLOOKUP($D372,[1]Balanza!$A$3:$K$852,11,0),0)</f>
        <v>0</v>
      </c>
    </row>
    <row r="373" spans="1:6" x14ac:dyDescent="0.3">
      <c r="A373" s="2" t="s">
        <v>699</v>
      </c>
      <c r="B373" s="2" t="s">
        <v>700</v>
      </c>
      <c r="C373" t="s">
        <v>3090</v>
      </c>
      <c r="D373" s="5" t="s">
        <v>3468</v>
      </c>
      <c r="E373" s="6">
        <f>IFERROR(VLOOKUP($D373,[1]Balanza!$A$3:$K$852,6,0)-VLOOKUP(D373,[1]Balanza!$A$3:$K$852,7,0),0)</f>
        <v>0</v>
      </c>
      <c r="F373" s="6">
        <f>IFERROR(VLOOKUP($D373,[1]Balanza!$A$3:$K$852,10,0)-VLOOKUP($D373,[1]Balanza!$A$3:$K$852,11,0),0)</f>
        <v>0</v>
      </c>
    </row>
    <row r="374" spans="1:6" x14ac:dyDescent="0.3">
      <c r="A374" s="1" t="s">
        <v>701</v>
      </c>
      <c r="B374" s="1" t="s">
        <v>702</v>
      </c>
      <c r="C374" t="s">
        <v>3090</v>
      </c>
      <c r="D374" s="5" t="s">
        <v>3469</v>
      </c>
      <c r="E374" s="6">
        <f>IFERROR(VLOOKUP($D374,[1]Balanza!$A$3:$K$852,6,0)-VLOOKUP(D374,[1]Balanza!$A$3:$K$852,7,0),0)</f>
        <v>0</v>
      </c>
      <c r="F374" s="6">
        <f>IFERROR(VLOOKUP($D374,[1]Balanza!$A$3:$K$852,10,0)-VLOOKUP($D374,[1]Balanza!$A$3:$K$852,11,0),0)</f>
        <v>0</v>
      </c>
    </row>
    <row r="375" spans="1:6" x14ac:dyDescent="0.3">
      <c r="A375" s="2" t="s">
        <v>703</v>
      </c>
      <c r="B375" s="2" t="s">
        <v>702</v>
      </c>
      <c r="C375" t="s">
        <v>3090</v>
      </c>
      <c r="D375" s="5" t="s">
        <v>3470</v>
      </c>
      <c r="E375" s="6">
        <f>IFERROR(VLOOKUP($D375,[1]Balanza!$A$3:$K$852,6,0)-VLOOKUP(D375,[1]Balanza!$A$3:$K$852,7,0),0)</f>
        <v>0</v>
      </c>
      <c r="F375" s="6">
        <f>IFERROR(VLOOKUP($D375,[1]Balanza!$A$3:$K$852,10,0)-VLOOKUP($D375,[1]Balanza!$A$3:$K$852,11,0),0)</f>
        <v>0</v>
      </c>
    </row>
    <row r="376" spans="1:6" x14ac:dyDescent="0.3">
      <c r="A376" s="1" t="s">
        <v>704</v>
      </c>
      <c r="B376" s="1" t="s">
        <v>705</v>
      </c>
      <c r="C376" t="s">
        <v>3090</v>
      </c>
      <c r="D376" s="5" t="s">
        <v>3471</v>
      </c>
      <c r="E376" s="6">
        <f>IFERROR(VLOOKUP($D376,[1]Balanza!$A$3:$K$852,6,0)-VLOOKUP(D376,[1]Balanza!$A$3:$K$852,7,0),0)</f>
        <v>0</v>
      </c>
      <c r="F376" s="6">
        <f>IFERROR(VLOOKUP($D376,[1]Balanza!$A$3:$K$852,10,0)-VLOOKUP($D376,[1]Balanza!$A$3:$K$852,11,0),0)</f>
        <v>0</v>
      </c>
    </row>
    <row r="377" spans="1:6" x14ac:dyDescent="0.3">
      <c r="A377" s="2" t="s">
        <v>706</v>
      </c>
      <c r="B377" s="2" t="s">
        <v>705</v>
      </c>
      <c r="C377" t="s">
        <v>3090</v>
      </c>
      <c r="D377" s="5" t="s">
        <v>3472</v>
      </c>
      <c r="E377" s="6">
        <f>IFERROR(VLOOKUP($D377,[1]Balanza!$A$3:$K$852,6,0)-VLOOKUP(D377,[1]Balanza!$A$3:$K$852,7,0),0)</f>
        <v>0</v>
      </c>
      <c r="F377" s="6">
        <f>IFERROR(VLOOKUP($D377,[1]Balanza!$A$3:$K$852,10,0)-VLOOKUP($D377,[1]Balanza!$A$3:$K$852,11,0),0)</f>
        <v>0</v>
      </c>
    </row>
    <row r="378" spans="1:6" x14ac:dyDescent="0.3">
      <c r="A378" s="1" t="s">
        <v>707</v>
      </c>
      <c r="B378" s="1" t="s">
        <v>708</v>
      </c>
      <c r="C378" t="s">
        <v>3090</v>
      </c>
      <c r="D378" s="5" t="s">
        <v>3473</v>
      </c>
      <c r="E378" s="6">
        <f>IFERROR(VLOOKUP($D378,[1]Balanza!$A$3:$K$852,6,0)-VLOOKUP(D378,[1]Balanza!$A$3:$K$852,7,0),0)</f>
        <v>0</v>
      </c>
      <c r="F378" s="6">
        <f>IFERROR(VLOOKUP($D378,[1]Balanza!$A$3:$K$852,10,0)-VLOOKUP($D378,[1]Balanza!$A$3:$K$852,11,0),0)</f>
        <v>0</v>
      </c>
    </row>
    <row r="379" spans="1:6" x14ac:dyDescent="0.3">
      <c r="A379" s="2" t="s">
        <v>709</v>
      </c>
      <c r="B379" s="2" t="s">
        <v>708</v>
      </c>
      <c r="C379" t="s">
        <v>3090</v>
      </c>
      <c r="D379" s="5" t="s">
        <v>3474</v>
      </c>
      <c r="E379" s="6">
        <f>IFERROR(VLOOKUP($D379,[1]Balanza!$A$3:$K$852,6,0)-VLOOKUP(D379,[1]Balanza!$A$3:$K$852,7,0),0)</f>
        <v>0</v>
      </c>
      <c r="F379" s="6">
        <f>IFERROR(VLOOKUP($D379,[1]Balanza!$A$3:$K$852,10,0)-VLOOKUP($D379,[1]Balanza!$A$3:$K$852,11,0),0)</f>
        <v>0</v>
      </c>
    </row>
    <row r="380" spans="1:6" x14ac:dyDescent="0.3">
      <c r="A380" s="1" t="s">
        <v>710</v>
      </c>
      <c r="B380" s="1" t="s">
        <v>711</v>
      </c>
      <c r="C380" t="s">
        <v>3090</v>
      </c>
      <c r="D380" s="5" t="s">
        <v>3475</v>
      </c>
      <c r="E380" s="6">
        <f>IFERROR(VLOOKUP($D380,[1]Balanza!$A$3:$K$852,6,0)-VLOOKUP(D380,[1]Balanza!$A$3:$K$852,7,0),0)</f>
        <v>0</v>
      </c>
      <c r="F380" s="6">
        <f>IFERROR(VLOOKUP($D380,[1]Balanza!$A$3:$K$852,10,0)-VLOOKUP($D380,[1]Balanza!$A$3:$K$852,11,0),0)</f>
        <v>0</v>
      </c>
    </row>
    <row r="381" spans="1:6" x14ac:dyDescent="0.3">
      <c r="A381" s="2" t="s">
        <v>712</v>
      </c>
      <c r="B381" s="2" t="s">
        <v>711</v>
      </c>
      <c r="C381" t="s">
        <v>3090</v>
      </c>
      <c r="D381" s="5" t="s">
        <v>3476</v>
      </c>
      <c r="E381" s="6">
        <f>IFERROR(VLOOKUP($D381,[1]Balanza!$A$3:$K$852,6,0)-VLOOKUP(D381,[1]Balanza!$A$3:$K$852,7,0),0)</f>
        <v>0</v>
      </c>
      <c r="F381" s="6">
        <f>IFERROR(VLOOKUP($D381,[1]Balanza!$A$3:$K$852,10,0)-VLOOKUP($D381,[1]Balanza!$A$3:$K$852,11,0),0)</f>
        <v>0</v>
      </c>
    </row>
    <row r="382" spans="1:6" x14ac:dyDescent="0.3">
      <c r="A382" s="1" t="s">
        <v>713</v>
      </c>
      <c r="B382" s="1" t="s">
        <v>714</v>
      </c>
      <c r="C382" t="s">
        <v>3090</v>
      </c>
      <c r="D382" s="5" t="s">
        <v>3477</v>
      </c>
      <c r="E382" s="6">
        <f>IFERROR(VLOOKUP($D382,[1]Balanza!$A$3:$K$852,6,0)-VLOOKUP(D382,[1]Balanza!$A$3:$K$852,7,0),0)</f>
        <v>0</v>
      </c>
      <c r="F382" s="6">
        <f>IFERROR(VLOOKUP($D382,[1]Balanza!$A$3:$K$852,10,0)-VLOOKUP($D382,[1]Balanza!$A$3:$K$852,11,0),0)</f>
        <v>0</v>
      </c>
    </row>
    <row r="383" spans="1:6" x14ac:dyDescent="0.3">
      <c r="A383" s="2" t="s">
        <v>715</v>
      </c>
      <c r="B383" s="2" t="s">
        <v>714</v>
      </c>
      <c r="C383" t="s">
        <v>3090</v>
      </c>
      <c r="D383" s="5" t="s">
        <v>3478</v>
      </c>
      <c r="E383" s="6">
        <f>IFERROR(VLOOKUP($D383,[1]Balanza!$A$3:$K$852,6,0)-VLOOKUP(D383,[1]Balanza!$A$3:$K$852,7,0),0)</f>
        <v>0</v>
      </c>
      <c r="F383" s="6">
        <f>IFERROR(VLOOKUP($D383,[1]Balanza!$A$3:$K$852,10,0)-VLOOKUP($D383,[1]Balanza!$A$3:$K$852,11,0),0)</f>
        <v>0</v>
      </c>
    </row>
    <row r="384" spans="1:6" x14ac:dyDescent="0.3">
      <c r="A384" s="1" t="s">
        <v>716</v>
      </c>
      <c r="B384" s="1" t="s">
        <v>717</v>
      </c>
      <c r="C384" t="s">
        <v>3090</v>
      </c>
      <c r="D384" s="5" t="s">
        <v>3479</v>
      </c>
      <c r="E384" s="6">
        <f>IFERROR(VLOOKUP($D384,[1]Balanza!$A$3:$K$852,6,0)-VLOOKUP(D384,[1]Balanza!$A$3:$K$852,7,0),0)</f>
        <v>0</v>
      </c>
      <c r="F384" s="6">
        <f>IFERROR(VLOOKUP($D384,[1]Balanza!$A$3:$K$852,10,0)-VLOOKUP($D384,[1]Balanza!$A$3:$K$852,11,0),0)</f>
        <v>0</v>
      </c>
    </row>
    <row r="385" spans="1:6" x14ac:dyDescent="0.3">
      <c r="A385" s="2" t="s">
        <v>718</v>
      </c>
      <c r="B385" s="2" t="s">
        <v>717</v>
      </c>
      <c r="C385" t="s">
        <v>3090</v>
      </c>
      <c r="D385" s="5" t="s">
        <v>3480</v>
      </c>
      <c r="E385" s="6">
        <f>IFERROR(VLOOKUP($D385,[1]Balanza!$A$3:$K$852,6,0)-VLOOKUP(D385,[1]Balanza!$A$3:$K$852,7,0),0)</f>
        <v>0</v>
      </c>
      <c r="F385" s="6">
        <f>IFERROR(VLOOKUP($D385,[1]Balanza!$A$3:$K$852,10,0)-VLOOKUP($D385,[1]Balanza!$A$3:$K$852,11,0),0)</f>
        <v>0</v>
      </c>
    </row>
    <row r="386" spans="1:6" x14ac:dyDescent="0.3">
      <c r="A386" s="1" t="s">
        <v>719</v>
      </c>
      <c r="B386" s="1" t="s">
        <v>720</v>
      </c>
      <c r="C386" t="s">
        <v>3090</v>
      </c>
      <c r="D386" s="5" t="s">
        <v>3481</v>
      </c>
      <c r="E386" s="6">
        <f>IFERROR(VLOOKUP($D386,[1]Balanza!$A$3:$K$852,6,0)-VLOOKUP(D386,[1]Balanza!$A$3:$K$852,7,0),0)</f>
        <v>0</v>
      </c>
      <c r="F386" s="6">
        <f>IFERROR(VLOOKUP($D386,[1]Balanza!$A$3:$K$852,10,0)-VLOOKUP($D386,[1]Balanza!$A$3:$K$852,11,0),0)</f>
        <v>0</v>
      </c>
    </row>
    <row r="387" spans="1:6" x14ac:dyDescent="0.3">
      <c r="A387" s="2" t="s">
        <v>721</v>
      </c>
      <c r="B387" s="2" t="s">
        <v>722</v>
      </c>
      <c r="C387" t="s">
        <v>3090</v>
      </c>
      <c r="D387" s="5" t="s">
        <v>3482</v>
      </c>
      <c r="E387" s="6">
        <f>IFERROR(VLOOKUP($D387,[1]Balanza!$A$3:$K$852,6,0)-VLOOKUP(D387,[1]Balanza!$A$3:$K$852,7,0),0)</f>
        <v>0</v>
      </c>
      <c r="F387" s="6">
        <f>IFERROR(VLOOKUP($D387,[1]Balanza!$A$3:$K$852,10,0)-VLOOKUP($D387,[1]Balanza!$A$3:$K$852,11,0),0)</f>
        <v>0</v>
      </c>
    </row>
    <row r="388" spans="1:6" x14ac:dyDescent="0.3">
      <c r="A388" s="2" t="s">
        <v>723</v>
      </c>
      <c r="B388" s="2" t="s">
        <v>724</v>
      </c>
      <c r="C388" t="s">
        <v>3090</v>
      </c>
      <c r="D388" s="5" t="s">
        <v>3483</v>
      </c>
      <c r="E388" s="6">
        <f>IFERROR(VLOOKUP($D388,[1]Balanza!$A$3:$K$852,6,0)-VLOOKUP(D388,[1]Balanza!$A$3:$K$852,7,0),0)</f>
        <v>0</v>
      </c>
      <c r="F388" s="6">
        <f>IFERROR(VLOOKUP($D388,[1]Balanza!$A$3:$K$852,10,0)-VLOOKUP($D388,[1]Balanza!$A$3:$K$852,11,0),0)</f>
        <v>0</v>
      </c>
    </row>
    <row r="389" spans="1:6" x14ac:dyDescent="0.3">
      <c r="A389" s="2" t="s">
        <v>725</v>
      </c>
      <c r="B389" s="2" t="s">
        <v>726</v>
      </c>
      <c r="C389" t="s">
        <v>3090</v>
      </c>
      <c r="D389" s="5" t="s">
        <v>3484</v>
      </c>
      <c r="E389" s="6">
        <f>IFERROR(VLOOKUP($D389,[1]Balanza!$A$3:$K$852,6,0)-VLOOKUP(D389,[1]Balanza!$A$3:$K$852,7,0),0)</f>
        <v>0</v>
      </c>
      <c r="F389" s="6">
        <f>IFERROR(VLOOKUP($D389,[1]Balanza!$A$3:$K$852,10,0)-VLOOKUP($D389,[1]Balanza!$A$3:$K$852,11,0),0)</f>
        <v>0</v>
      </c>
    </row>
    <row r="390" spans="1:6" x14ac:dyDescent="0.3">
      <c r="A390" s="2" t="s">
        <v>727</v>
      </c>
      <c r="B390" s="2" t="s">
        <v>728</v>
      </c>
      <c r="C390" t="s">
        <v>3090</v>
      </c>
      <c r="D390" s="5" t="s">
        <v>3485</v>
      </c>
      <c r="E390" s="6">
        <f>IFERROR(VLOOKUP($D390,[1]Balanza!$A$3:$K$852,6,0)-VLOOKUP(D390,[1]Balanza!$A$3:$K$852,7,0),0)</f>
        <v>0</v>
      </c>
      <c r="F390" s="6">
        <f>IFERROR(VLOOKUP($D390,[1]Balanza!$A$3:$K$852,10,0)-VLOOKUP($D390,[1]Balanza!$A$3:$K$852,11,0),0)</f>
        <v>0</v>
      </c>
    </row>
    <row r="391" spans="1:6" x14ac:dyDescent="0.3">
      <c r="A391" s="2" t="s">
        <v>729</v>
      </c>
      <c r="B391" s="2" t="s">
        <v>730</v>
      </c>
      <c r="C391" t="s">
        <v>3090</v>
      </c>
      <c r="D391" s="5" t="s">
        <v>3486</v>
      </c>
      <c r="E391" s="6">
        <f>IFERROR(VLOOKUP($D391,[1]Balanza!$A$3:$K$852,6,0)-VLOOKUP(D391,[1]Balanza!$A$3:$K$852,7,0),0)</f>
        <v>0</v>
      </c>
      <c r="F391" s="6">
        <f>IFERROR(VLOOKUP($D391,[1]Balanza!$A$3:$K$852,10,0)-VLOOKUP($D391,[1]Balanza!$A$3:$K$852,11,0),0)</f>
        <v>0</v>
      </c>
    </row>
    <row r="392" spans="1:6" x14ac:dyDescent="0.3">
      <c r="A392" s="2" t="s">
        <v>731</v>
      </c>
      <c r="B392" s="2" t="s">
        <v>732</v>
      </c>
      <c r="C392" t="s">
        <v>3090</v>
      </c>
      <c r="D392" s="5" t="s">
        <v>3487</v>
      </c>
      <c r="E392" s="6">
        <f>IFERROR(VLOOKUP($D392,[1]Balanza!$A$3:$K$852,6,0)-VLOOKUP(D392,[1]Balanza!$A$3:$K$852,7,0),0)</f>
        <v>0</v>
      </c>
      <c r="F392" s="6">
        <f>IFERROR(VLOOKUP($D392,[1]Balanza!$A$3:$K$852,10,0)-VLOOKUP($D392,[1]Balanza!$A$3:$K$852,11,0),0)</f>
        <v>0</v>
      </c>
    </row>
    <row r="393" spans="1:6" x14ac:dyDescent="0.3">
      <c r="A393" s="2" t="s">
        <v>733</v>
      </c>
      <c r="B393" s="2" t="s">
        <v>734</v>
      </c>
      <c r="C393" t="s">
        <v>3090</v>
      </c>
      <c r="D393" s="5" t="s">
        <v>3488</v>
      </c>
      <c r="E393" s="6">
        <f>IFERROR(VLOOKUP($D393,[1]Balanza!$A$3:$K$852,6,0)-VLOOKUP(D393,[1]Balanza!$A$3:$K$852,7,0),0)</f>
        <v>0</v>
      </c>
      <c r="F393" s="6">
        <f>IFERROR(VLOOKUP($D393,[1]Balanza!$A$3:$K$852,10,0)-VLOOKUP($D393,[1]Balanza!$A$3:$K$852,11,0),0)</f>
        <v>0</v>
      </c>
    </row>
    <row r="394" spans="1:6" x14ac:dyDescent="0.3">
      <c r="A394" s="2" t="s">
        <v>735</v>
      </c>
      <c r="B394" s="2" t="s">
        <v>736</v>
      </c>
      <c r="C394" t="s">
        <v>3090</v>
      </c>
      <c r="D394" s="5" t="s">
        <v>3489</v>
      </c>
      <c r="E394" s="6">
        <f>IFERROR(VLOOKUP($D394,[1]Balanza!$A$3:$K$852,6,0)-VLOOKUP(D394,[1]Balanza!$A$3:$K$852,7,0),0)</f>
        <v>0</v>
      </c>
      <c r="F394" s="6">
        <f>IFERROR(VLOOKUP($D394,[1]Balanza!$A$3:$K$852,10,0)-VLOOKUP($D394,[1]Balanza!$A$3:$K$852,11,0),0)</f>
        <v>0</v>
      </c>
    </row>
    <row r="395" spans="1:6" x14ac:dyDescent="0.3">
      <c r="A395" s="2" t="s">
        <v>737</v>
      </c>
      <c r="B395" s="2" t="s">
        <v>738</v>
      </c>
      <c r="C395" t="s">
        <v>3090</v>
      </c>
      <c r="D395" s="5" t="s">
        <v>3490</v>
      </c>
      <c r="E395" s="6">
        <f>IFERROR(VLOOKUP($D395,[1]Balanza!$A$3:$K$852,6,0)-VLOOKUP(D395,[1]Balanza!$A$3:$K$852,7,0),0)</f>
        <v>0</v>
      </c>
      <c r="F395" s="6">
        <f>IFERROR(VLOOKUP($D395,[1]Balanza!$A$3:$K$852,10,0)-VLOOKUP($D395,[1]Balanza!$A$3:$K$852,11,0),0)</f>
        <v>0</v>
      </c>
    </row>
    <row r="396" spans="1:6" x14ac:dyDescent="0.3">
      <c r="A396" s="2" t="s">
        <v>739</v>
      </c>
      <c r="B396" s="2" t="s">
        <v>740</v>
      </c>
      <c r="C396" t="s">
        <v>3090</v>
      </c>
      <c r="D396" s="5" t="s">
        <v>3491</v>
      </c>
      <c r="E396" s="6">
        <f>IFERROR(VLOOKUP($D396,[1]Balanza!$A$3:$K$852,6,0)-VLOOKUP(D396,[1]Balanza!$A$3:$K$852,7,0),0)</f>
        <v>0</v>
      </c>
      <c r="F396" s="6">
        <f>IFERROR(VLOOKUP($D396,[1]Balanza!$A$3:$K$852,10,0)-VLOOKUP($D396,[1]Balanza!$A$3:$K$852,11,0),0)</f>
        <v>0</v>
      </c>
    </row>
    <row r="397" spans="1:6" x14ac:dyDescent="0.3">
      <c r="A397" s="2" t="s">
        <v>741</v>
      </c>
      <c r="B397" s="2" t="s">
        <v>485</v>
      </c>
      <c r="C397" t="s">
        <v>3090</v>
      </c>
      <c r="D397" s="5" t="s">
        <v>3492</v>
      </c>
      <c r="E397" s="6">
        <f>IFERROR(VLOOKUP($D397,[1]Balanza!$A$3:$K$852,6,0)-VLOOKUP(D397,[1]Balanza!$A$3:$K$852,7,0),0)</f>
        <v>0</v>
      </c>
      <c r="F397" s="6">
        <f>IFERROR(VLOOKUP($D397,[1]Balanza!$A$3:$K$852,10,0)-VLOOKUP($D397,[1]Balanza!$A$3:$K$852,11,0),0)</f>
        <v>-28388.73</v>
      </c>
    </row>
    <row r="398" spans="1:6" x14ac:dyDescent="0.3">
      <c r="A398" s="2" t="s">
        <v>742</v>
      </c>
      <c r="B398" s="2" t="s">
        <v>536</v>
      </c>
      <c r="C398" t="s">
        <v>3090</v>
      </c>
      <c r="D398" s="5" t="s">
        <v>3493</v>
      </c>
      <c r="E398" s="6">
        <f>IFERROR(VLOOKUP($D398,[1]Balanza!$A$3:$K$852,6,0)-VLOOKUP(D398,[1]Balanza!$A$3:$K$852,7,0),0)</f>
        <v>0</v>
      </c>
      <c r="F398" s="6">
        <f>IFERROR(VLOOKUP($D398,[1]Balanza!$A$3:$K$852,10,0)-VLOOKUP($D398,[1]Balanza!$A$3:$K$852,11,0),0)</f>
        <v>-185159.16</v>
      </c>
    </row>
    <row r="399" spans="1:6" x14ac:dyDescent="0.3">
      <c r="A399" s="2" t="s">
        <v>743</v>
      </c>
      <c r="B399" s="2" t="s">
        <v>570</v>
      </c>
      <c r="C399" t="s">
        <v>3090</v>
      </c>
      <c r="D399" s="5" t="s">
        <v>3494</v>
      </c>
      <c r="E399" s="6">
        <f>IFERROR(VLOOKUP($D399,[1]Balanza!$A$3:$K$852,6,0)-VLOOKUP(D399,[1]Balanza!$A$3:$K$852,7,0),0)</f>
        <v>0</v>
      </c>
      <c r="F399" s="6">
        <f>IFERROR(VLOOKUP($D399,[1]Balanza!$A$3:$K$852,10,0)-VLOOKUP($D399,[1]Balanza!$A$3:$K$852,11,0),0)</f>
        <v>0</v>
      </c>
    </row>
    <row r="400" spans="1:6" x14ac:dyDescent="0.3">
      <c r="A400" s="2" t="s">
        <v>744</v>
      </c>
      <c r="B400" s="2" t="s">
        <v>574</v>
      </c>
      <c r="C400" t="s">
        <v>3090</v>
      </c>
      <c r="D400" s="5" t="s">
        <v>3495</v>
      </c>
      <c r="E400" s="6">
        <f>IFERROR(VLOOKUP($D400,[1]Balanza!$A$3:$K$852,6,0)-VLOOKUP(D400,[1]Balanza!$A$3:$K$852,7,0),0)</f>
        <v>0</v>
      </c>
      <c r="F400" s="6">
        <f>IFERROR(VLOOKUP($D400,[1]Balanza!$A$3:$K$852,10,0)-VLOOKUP($D400,[1]Balanza!$A$3:$K$852,11,0),0)</f>
        <v>-6421.5</v>
      </c>
    </row>
    <row r="401" spans="1:6" x14ac:dyDescent="0.3">
      <c r="A401" s="1" t="s">
        <v>745</v>
      </c>
      <c r="B401" s="1" t="s">
        <v>746</v>
      </c>
      <c r="C401" t="s">
        <v>3090</v>
      </c>
      <c r="D401" s="5" t="s">
        <v>3496</v>
      </c>
      <c r="E401" s="6">
        <f>IFERROR(VLOOKUP($D401,[1]Balanza!$A$3:$K$852,6,0)-VLOOKUP(D401,[1]Balanza!$A$3:$K$852,7,0),0)</f>
        <v>0</v>
      </c>
      <c r="F401" s="6">
        <f>IFERROR(VLOOKUP($D401,[1]Balanza!$A$3:$K$852,10,0)-VLOOKUP($D401,[1]Balanza!$A$3:$K$852,11,0),0)</f>
        <v>0</v>
      </c>
    </row>
    <row r="402" spans="1:6" x14ac:dyDescent="0.3">
      <c r="A402" s="2" t="s">
        <v>747</v>
      </c>
      <c r="B402" s="2" t="s">
        <v>748</v>
      </c>
      <c r="C402" t="s">
        <v>3090</v>
      </c>
      <c r="D402" s="5" t="s">
        <v>3497</v>
      </c>
      <c r="E402" s="6">
        <f>IFERROR(VLOOKUP($D402,[1]Balanza!$A$3:$K$852,6,0)-VLOOKUP(D402,[1]Balanza!$A$3:$K$852,7,0),0)</f>
        <v>0</v>
      </c>
      <c r="F402" s="6">
        <f>IFERROR(VLOOKUP($D402,[1]Balanza!$A$3:$K$852,10,0)-VLOOKUP($D402,[1]Balanza!$A$3:$K$852,11,0),0)</f>
        <v>0</v>
      </c>
    </row>
    <row r="403" spans="1:6" x14ac:dyDescent="0.3">
      <c r="A403" s="2" t="s">
        <v>749</v>
      </c>
      <c r="B403" s="2" t="s">
        <v>750</v>
      </c>
      <c r="C403" t="s">
        <v>3090</v>
      </c>
      <c r="D403" s="5" t="s">
        <v>3498</v>
      </c>
      <c r="E403" s="6">
        <f>IFERROR(VLOOKUP($D403,[1]Balanza!$A$3:$K$852,6,0)-VLOOKUP(D403,[1]Balanza!$A$3:$K$852,7,0),0)</f>
        <v>0</v>
      </c>
      <c r="F403" s="6">
        <f>IFERROR(VLOOKUP($D403,[1]Balanza!$A$3:$K$852,10,0)-VLOOKUP($D403,[1]Balanza!$A$3:$K$852,11,0),0)</f>
        <v>0</v>
      </c>
    </row>
    <row r="404" spans="1:6" x14ac:dyDescent="0.3">
      <c r="A404" s="2" t="s">
        <v>751</v>
      </c>
      <c r="B404" s="2" t="s">
        <v>752</v>
      </c>
      <c r="C404" t="s">
        <v>3090</v>
      </c>
      <c r="D404" s="5" t="s">
        <v>3499</v>
      </c>
      <c r="E404" s="6">
        <f>IFERROR(VLOOKUP($D404,[1]Balanza!$A$3:$K$852,6,0)-VLOOKUP(D404,[1]Balanza!$A$3:$K$852,7,0),0)</f>
        <v>0</v>
      </c>
      <c r="F404" s="6">
        <f>IFERROR(VLOOKUP($D404,[1]Balanza!$A$3:$K$852,10,0)-VLOOKUP($D404,[1]Balanza!$A$3:$K$852,11,0),0)</f>
        <v>0</v>
      </c>
    </row>
    <row r="405" spans="1:6" x14ac:dyDescent="0.3">
      <c r="A405" s="1" t="s">
        <v>753</v>
      </c>
      <c r="B405" s="1" t="s">
        <v>754</v>
      </c>
      <c r="C405" t="s">
        <v>3090</v>
      </c>
      <c r="D405" s="5" t="s">
        <v>3500</v>
      </c>
      <c r="E405" s="6">
        <f>IFERROR(VLOOKUP($D405,[1]Balanza!$A$3:$K$852,6,0)-VLOOKUP(D405,[1]Balanza!$A$3:$K$852,7,0),0)</f>
        <v>0</v>
      </c>
      <c r="F405" s="6">
        <f>IFERROR(VLOOKUP($D405,[1]Balanza!$A$3:$K$852,10,0)-VLOOKUP($D405,[1]Balanza!$A$3:$K$852,11,0),0)</f>
        <v>0</v>
      </c>
    </row>
    <row r="406" spans="1:6" x14ac:dyDescent="0.3">
      <c r="A406" s="2" t="s">
        <v>755</v>
      </c>
      <c r="B406" s="2" t="s">
        <v>756</v>
      </c>
      <c r="C406" t="s">
        <v>3090</v>
      </c>
      <c r="D406" s="5" t="s">
        <v>3501</v>
      </c>
      <c r="E406" s="6">
        <f>IFERROR(VLOOKUP($D406,[1]Balanza!$A$3:$K$852,6,0)-VLOOKUP(D406,[1]Balanza!$A$3:$K$852,7,0),0)</f>
        <v>0</v>
      </c>
      <c r="F406" s="6">
        <f>IFERROR(VLOOKUP($D406,[1]Balanza!$A$3:$K$852,10,0)-VLOOKUP($D406,[1]Balanza!$A$3:$K$852,11,0),0)</f>
        <v>0</v>
      </c>
    </row>
    <row r="407" spans="1:6" x14ac:dyDescent="0.3">
      <c r="A407" s="1" t="s">
        <v>757</v>
      </c>
      <c r="B407" s="1" t="s">
        <v>758</v>
      </c>
      <c r="C407" t="s">
        <v>3090</v>
      </c>
      <c r="D407" s="5" t="s">
        <v>3502</v>
      </c>
      <c r="E407" s="6">
        <f>IFERROR(VLOOKUP($D407,[1]Balanza!$A$3:$K$852,6,0)-VLOOKUP(D407,[1]Balanza!$A$3:$K$852,7,0),0)</f>
        <v>0</v>
      </c>
      <c r="F407" s="6">
        <f>IFERROR(VLOOKUP($D407,[1]Balanza!$A$3:$K$852,10,0)-VLOOKUP($D407,[1]Balanza!$A$3:$K$852,11,0),0)</f>
        <v>0</v>
      </c>
    </row>
    <row r="408" spans="1:6" x14ac:dyDescent="0.3">
      <c r="A408" s="2" t="s">
        <v>759</v>
      </c>
      <c r="B408" s="2" t="s">
        <v>760</v>
      </c>
      <c r="C408" t="s">
        <v>3090</v>
      </c>
      <c r="D408" s="5" t="s">
        <v>3503</v>
      </c>
      <c r="E408" s="6">
        <f>IFERROR(VLOOKUP($D408,[1]Balanza!$A$3:$K$852,6,0)-VLOOKUP(D408,[1]Balanza!$A$3:$K$852,7,0),0)</f>
        <v>0</v>
      </c>
      <c r="F408" s="6">
        <f>IFERROR(VLOOKUP($D408,[1]Balanza!$A$3:$K$852,10,0)-VLOOKUP($D408,[1]Balanza!$A$3:$K$852,11,0),0)</f>
        <v>0</v>
      </c>
    </row>
    <row r="409" spans="1:6" x14ac:dyDescent="0.3">
      <c r="A409" s="2" t="s">
        <v>761</v>
      </c>
      <c r="B409" s="2" t="s">
        <v>762</v>
      </c>
      <c r="C409" t="s">
        <v>3090</v>
      </c>
      <c r="D409" s="5" t="s">
        <v>3504</v>
      </c>
      <c r="E409" s="6">
        <f>IFERROR(VLOOKUP($D409,[1]Balanza!$A$3:$K$852,6,0)-VLOOKUP(D409,[1]Balanza!$A$3:$K$852,7,0),0)</f>
        <v>0</v>
      </c>
      <c r="F409" s="6">
        <f>IFERROR(VLOOKUP($D409,[1]Balanza!$A$3:$K$852,10,0)-VLOOKUP($D409,[1]Balanza!$A$3:$K$852,11,0),0)</f>
        <v>0</v>
      </c>
    </row>
    <row r="410" spans="1:6" x14ac:dyDescent="0.3">
      <c r="A410" s="2" t="s">
        <v>763</v>
      </c>
      <c r="B410" s="2" t="s">
        <v>764</v>
      </c>
      <c r="C410" t="s">
        <v>3090</v>
      </c>
      <c r="D410" s="5" t="s">
        <v>3505</v>
      </c>
      <c r="E410" s="6">
        <f>IFERROR(VLOOKUP($D410,[1]Balanza!$A$3:$K$852,6,0)-VLOOKUP(D410,[1]Balanza!$A$3:$K$852,7,0),0)</f>
        <v>0</v>
      </c>
      <c r="F410" s="6">
        <f>IFERROR(VLOOKUP($D410,[1]Balanza!$A$3:$K$852,10,0)-VLOOKUP($D410,[1]Balanza!$A$3:$K$852,11,0),0)</f>
        <v>0</v>
      </c>
    </row>
    <row r="411" spans="1:6" x14ac:dyDescent="0.3">
      <c r="A411" s="2" t="s">
        <v>765</v>
      </c>
      <c r="B411" s="2" t="s">
        <v>766</v>
      </c>
      <c r="C411" t="s">
        <v>3090</v>
      </c>
      <c r="D411" s="5" t="s">
        <v>3506</v>
      </c>
      <c r="E411" s="6">
        <f>IFERROR(VLOOKUP($D411,[1]Balanza!$A$3:$K$852,6,0)-VLOOKUP(D411,[1]Balanza!$A$3:$K$852,7,0),0)</f>
        <v>0</v>
      </c>
      <c r="F411" s="6">
        <f>IFERROR(VLOOKUP($D411,[1]Balanza!$A$3:$K$852,10,0)-VLOOKUP($D411,[1]Balanza!$A$3:$K$852,11,0),0)</f>
        <v>0</v>
      </c>
    </row>
    <row r="412" spans="1:6" x14ac:dyDescent="0.3">
      <c r="A412" s="2" t="s">
        <v>767</v>
      </c>
      <c r="B412" s="2" t="s">
        <v>768</v>
      </c>
      <c r="C412" t="s">
        <v>3090</v>
      </c>
      <c r="D412" s="5" t="s">
        <v>3507</v>
      </c>
      <c r="E412" s="6">
        <f>IFERROR(VLOOKUP($D412,[1]Balanza!$A$3:$K$852,6,0)-VLOOKUP(D412,[1]Balanza!$A$3:$K$852,7,0),0)</f>
        <v>0</v>
      </c>
      <c r="F412" s="6">
        <f>IFERROR(VLOOKUP($D412,[1]Balanza!$A$3:$K$852,10,0)-VLOOKUP($D412,[1]Balanza!$A$3:$K$852,11,0),0)</f>
        <v>0</v>
      </c>
    </row>
    <row r="413" spans="1:6" x14ac:dyDescent="0.3">
      <c r="A413" s="2" t="s">
        <v>769</v>
      </c>
      <c r="B413" s="2" t="s">
        <v>770</v>
      </c>
      <c r="C413" t="s">
        <v>3090</v>
      </c>
      <c r="D413" s="5" t="s">
        <v>3508</v>
      </c>
      <c r="E413" s="6">
        <f>IFERROR(VLOOKUP($D413,[1]Balanza!$A$3:$K$852,6,0)-VLOOKUP(D413,[1]Balanza!$A$3:$K$852,7,0),0)</f>
        <v>0</v>
      </c>
      <c r="F413" s="6">
        <f>IFERROR(VLOOKUP($D413,[1]Balanza!$A$3:$K$852,10,0)-VLOOKUP($D413,[1]Balanza!$A$3:$K$852,11,0),0)</f>
        <v>0</v>
      </c>
    </row>
    <row r="414" spans="1:6" x14ac:dyDescent="0.3">
      <c r="A414" s="2" t="s">
        <v>771</v>
      </c>
      <c r="B414" s="2" t="s">
        <v>772</v>
      </c>
      <c r="C414" t="s">
        <v>3090</v>
      </c>
      <c r="D414" s="5" t="s">
        <v>3509</v>
      </c>
      <c r="E414" s="6">
        <f>IFERROR(VLOOKUP($D414,[1]Balanza!$A$3:$K$852,6,0)-VLOOKUP(D414,[1]Balanza!$A$3:$K$852,7,0),0)</f>
        <v>0</v>
      </c>
      <c r="F414" s="6">
        <f>IFERROR(VLOOKUP($D414,[1]Balanza!$A$3:$K$852,10,0)-VLOOKUP($D414,[1]Balanza!$A$3:$K$852,11,0),0)</f>
        <v>0</v>
      </c>
    </row>
    <row r="415" spans="1:6" x14ac:dyDescent="0.3">
      <c r="A415" s="2" t="s">
        <v>773</v>
      </c>
      <c r="B415" s="2" t="s">
        <v>774</v>
      </c>
      <c r="C415" t="s">
        <v>3090</v>
      </c>
      <c r="D415" s="5" t="s">
        <v>3510</v>
      </c>
      <c r="E415" s="6">
        <f>IFERROR(VLOOKUP($D415,[1]Balanza!$A$3:$K$852,6,0)-VLOOKUP(D415,[1]Balanza!$A$3:$K$852,7,0),0)</f>
        <v>0</v>
      </c>
      <c r="F415" s="6">
        <f>IFERROR(VLOOKUP($D415,[1]Balanza!$A$3:$K$852,10,0)-VLOOKUP($D415,[1]Balanza!$A$3:$K$852,11,0),0)</f>
        <v>0</v>
      </c>
    </row>
    <row r="416" spans="1:6" x14ac:dyDescent="0.3">
      <c r="A416" s="2" t="s">
        <v>775</v>
      </c>
      <c r="B416" s="2" t="s">
        <v>776</v>
      </c>
      <c r="C416" t="s">
        <v>3090</v>
      </c>
      <c r="D416" s="5" t="s">
        <v>3511</v>
      </c>
      <c r="E416" s="6">
        <f>IFERROR(VLOOKUP($D416,[1]Balanza!$A$3:$K$852,6,0)-VLOOKUP(D416,[1]Balanza!$A$3:$K$852,7,0),0)</f>
        <v>0</v>
      </c>
      <c r="F416" s="6">
        <f>IFERROR(VLOOKUP($D416,[1]Balanza!$A$3:$K$852,10,0)-VLOOKUP($D416,[1]Balanza!$A$3:$K$852,11,0),0)</f>
        <v>0</v>
      </c>
    </row>
    <row r="417" spans="1:6" x14ac:dyDescent="0.3">
      <c r="A417" s="2" t="s">
        <v>777</v>
      </c>
      <c r="B417" s="2" t="s">
        <v>778</v>
      </c>
      <c r="C417" t="s">
        <v>3090</v>
      </c>
      <c r="D417" s="5" t="s">
        <v>3512</v>
      </c>
      <c r="E417" s="6">
        <f>IFERROR(VLOOKUP($D417,[1]Balanza!$A$3:$K$852,6,0)-VLOOKUP(D417,[1]Balanza!$A$3:$K$852,7,0),0)</f>
        <v>0</v>
      </c>
      <c r="F417" s="6">
        <f>IFERROR(VLOOKUP($D417,[1]Balanza!$A$3:$K$852,10,0)-VLOOKUP($D417,[1]Balanza!$A$3:$K$852,11,0),0)</f>
        <v>0</v>
      </c>
    </row>
    <row r="418" spans="1:6" x14ac:dyDescent="0.3">
      <c r="A418" s="1" t="s">
        <v>779</v>
      </c>
      <c r="B418" s="1" t="s">
        <v>780</v>
      </c>
      <c r="C418" t="s">
        <v>3090</v>
      </c>
      <c r="D418" s="5" t="s">
        <v>3513</v>
      </c>
      <c r="E418" s="6">
        <f>IFERROR(VLOOKUP($D418,[1]Balanza!$A$3:$K$852,6,0)-VLOOKUP(D418,[1]Balanza!$A$3:$K$852,7,0),0)</f>
        <v>0</v>
      </c>
      <c r="F418" s="6">
        <f>IFERROR(VLOOKUP($D418,[1]Balanza!$A$3:$K$852,10,0)-VLOOKUP($D418,[1]Balanza!$A$3:$K$852,11,0),0)</f>
        <v>0</v>
      </c>
    </row>
    <row r="419" spans="1:6" x14ac:dyDescent="0.3">
      <c r="A419" s="2" t="s">
        <v>781</v>
      </c>
      <c r="B419" s="2" t="s">
        <v>780</v>
      </c>
      <c r="C419" t="s">
        <v>3090</v>
      </c>
      <c r="D419" s="5" t="s">
        <v>3514</v>
      </c>
      <c r="E419" s="6">
        <f>IFERROR(VLOOKUP($D419,[1]Balanza!$A$3:$K$852,6,0)-VLOOKUP(D419,[1]Balanza!$A$3:$K$852,7,0),0)</f>
        <v>0</v>
      </c>
      <c r="F419" s="6">
        <f>IFERROR(VLOOKUP($D419,[1]Balanza!$A$3:$K$852,10,0)-VLOOKUP($D419,[1]Balanza!$A$3:$K$852,11,0),0)</f>
        <v>0</v>
      </c>
    </row>
    <row r="420" spans="1:6" x14ac:dyDescent="0.3">
      <c r="A420" s="1" t="s">
        <v>782</v>
      </c>
      <c r="B420" s="1" t="s">
        <v>783</v>
      </c>
      <c r="C420" t="s">
        <v>3090</v>
      </c>
      <c r="D420" s="5" t="s">
        <v>3515</v>
      </c>
      <c r="E420" s="6">
        <f>IFERROR(VLOOKUP($D420,[1]Balanza!$A$3:$K$852,6,0)-VLOOKUP(D420,[1]Balanza!$A$3:$K$852,7,0),0)</f>
        <v>0</v>
      </c>
      <c r="F420" s="6">
        <f>IFERROR(VLOOKUP($D420,[1]Balanza!$A$3:$K$852,10,0)-VLOOKUP($D420,[1]Balanza!$A$3:$K$852,11,0),0)</f>
        <v>0</v>
      </c>
    </row>
    <row r="421" spans="1:6" x14ac:dyDescent="0.3">
      <c r="A421" s="2" t="s">
        <v>784</v>
      </c>
      <c r="B421" s="2" t="s">
        <v>785</v>
      </c>
      <c r="C421" t="s">
        <v>3090</v>
      </c>
      <c r="D421" s="5" t="s">
        <v>3516</v>
      </c>
      <c r="E421" s="6">
        <f>IFERROR(VLOOKUP($D421,[1]Balanza!$A$3:$K$852,6,0)-VLOOKUP(D421,[1]Balanza!$A$3:$K$852,7,0),0)</f>
        <v>0</v>
      </c>
      <c r="F421" s="6">
        <f>IFERROR(VLOOKUP($D421,[1]Balanza!$A$3:$K$852,10,0)-VLOOKUP($D421,[1]Balanza!$A$3:$K$852,11,0),0)</f>
        <v>0</v>
      </c>
    </row>
    <row r="422" spans="1:6" x14ac:dyDescent="0.3">
      <c r="A422" s="2" t="s">
        <v>786</v>
      </c>
      <c r="B422" s="2" t="s">
        <v>787</v>
      </c>
      <c r="C422" t="s">
        <v>3090</v>
      </c>
      <c r="D422" s="5" t="s">
        <v>3517</v>
      </c>
      <c r="E422" s="6">
        <f>IFERROR(VLOOKUP($D422,[1]Balanza!$A$3:$K$852,6,0)-VLOOKUP(D422,[1]Balanza!$A$3:$K$852,7,0),0)</f>
        <v>0</v>
      </c>
      <c r="F422" s="6">
        <f>IFERROR(VLOOKUP($D422,[1]Balanza!$A$3:$K$852,10,0)-VLOOKUP($D422,[1]Balanza!$A$3:$K$852,11,0),0)</f>
        <v>0</v>
      </c>
    </row>
    <row r="423" spans="1:6" x14ac:dyDescent="0.3">
      <c r="A423" s="2" t="s">
        <v>788</v>
      </c>
      <c r="B423" s="2" t="s">
        <v>789</v>
      </c>
      <c r="C423" t="s">
        <v>3090</v>
      </c>
      <c r="D423" s="5" t="s">
        <v>3518</v>
      </c>
      <c r="E423" s="6">
        <f>IFERROR(VLOOKUP($D423,[1]Balanza!$A$3:$K$852,6,0)-VLOOKUP(D423,[1]Balanza!$A$3:$K$852,7,0),0)</f>
        <v>0</v>
      </c>
      <c r="F423" s="6">
        <f>IFERROR(VLOOKUP($D423,[1]Balanza!$A$3:$K$852,10,0)-VLOOKUP($D423,[1]Balanza!$A$3:$K$852,11,0),0)</f>
        <v>0</v>
      </c>
    </row>
    <row r="424" spans="1:6" x14ac:dyDescent="0.3">
      <c r="A424" s="1" t="s">
        <v>790</v>
      </c>
      <c r="B424" s="1" t="s">
        <v>791</v>
      </c>
      <c r="C424" t="s">
        <v>3090</v>
      </c>
      <c r="D424" s="5" t="s">
        <v>3519</v>
      </c>
      <c r="E424" s="6">
        <f>IFERROR(VLOOKUP($D424,[1]Balanza!$A$3:$K$852,6,0)-VLOOKUP(D424,[1]Balanza!$A$3:$K$852,7,0),0)</f>
        <v>0</v>
      </c>
      <c r="F424" s="6">
        <f>IFERROR(VLOOKUP($D424,[1]Balanza!$A$3:$K$852,10,0)-VLOOKUP($D424,[1]Balanza!$A$3:$K$852,11,0),0)</f>
        <v>0</v>
      </c>
    </row>
    <row r="425" spans="1:6" x14ac:dyDescent="0.3">
      <c r="A425" s="2" t="s">
        <v>792</v>
      </c>
      <c r="B425" s="2" t="s">
        <v>791</v>
      </c>
      <c r="C425" t="s">
        <v>3090</v>
      </c>
      <c r="D425" s="5" t="s">
        <v>3520</v>
      </c>
      <c r="E425" s="6">
        <f>IFERROR(VLOOKUP($D425,[1]Balanza!$A$3:$K$852,6,0)-VLOOKUP(D425,[1]Balanza!$A$3:$K$852,7,0),0)</f>
        <v>0</v>
      </c>
      <c r="F425" s="6">
        <f>IFERROR(VLOOKUP($D425,[1]Balanza!$A$3:$K$852,10,0)-VLOOKUP($D425,[1]Balanza!$A$3:$K$852,11,0),0)</f>
        <v>0</v>
      </c>
    </row>
    <row r="426" spans="1:6" x14ac:dyDescent="0.3">
      <c r="A426" s="1" t="s">
        <v>793</v>
      </c>
      <c r="B426" s="1" t="s">
        <v>75</v>
      </c>
      <c r="C426" t="s">
        <v>3090</v>
      </c>
      <c r="D426" s="5" t="s">
        <v>3521</v>
      </c>
      <c r="E426" s="6">
        <f>IFERROR(VLOOKUP($D426,[1]Balanza!$A$3:$K$852,6,0)-VLOOKUP(D426,[1]Balanza!$A$3:$K$852,7,0),0)</f>
        <v>0</v>
      </c>
      <c r="F426" s="6">
        <f>IFERROR(VLOOKUP($D426,[1]Balanza!$A$3:$K$852,10,0)-VLOOKUP($D426,[1]Balanza!$A$3:$K$852,11,0),0)</f>
        <v>0</v>
      </c>
    </row>
    <row r="427" spans="1:6" x14ac:dyDescent="0.3">
      <c r="A427" s="2" t="s">
        <v>794</v>
      </c>
      <c r="B427" s="2" t="s">
        <v>75</v>
      </c>
      <c r="C427" t="s">
        <v>3090</v>
      </c>
      <c r="D427" s="5" t="s">
        <v>3522</v>
      </c>
      <c r="E427" s="6">
        <f>IFERROR(VLOOKUP($D427,[1]Balanza!$A$3:$K$852,6,0)-VLOOKUP(D427,[1]Balanza!$A$3:$K$852,7,0),0)</f>
        <v>0</v>
      </c>
      <c r="F427" s="6">
        <f>IFERROR(VLOOKUP($D427,[1]Balanza!$A$3:$K$852,10,0)-VLOOKUP($D427,[1]Balanza!$A$3:$K$852,11,0),0)</f>
        <v>0</v>
      </c>
    </row>
    <row r="428" spans="1:6" x14ac:dyDescent="0.3">
      <c r="A428" s="1" t="s">
        <v>795</v>
      </c>
      <c r="B428" s="1" t="s">
        <v>796</v>
      </c>
      <c r="C428" t="s">
        <v>3090</v>
      </c>
      <c r="D428" s="5" t="s">
        <v>3523</v>
      </c>
      <c r="E428" s="6">
        <f>IFERROR(VLOOKUP($D428,[1]Balanza!$A$3:$K$852,6,0)-VLOOKUP(D428,[1]Balanza!$A$3:$K$852,7,0),0)</f>
        <v>0</v>
      </c>
      <c r="F428" s="6">
        <f>IFERROR(VLOOKUP($D428,[1]Balanza!$A$3:$K$852,10,0)-VLOOKUP($D428,[1]Balanza!$A$3:$K$852,11,0),0)</f>
        <v>0</v>
      </c>
    </row>
    <row r="429" spans="1:6" x14ac:dyDescent="0.3">
      <c r="A429" s="2" t="s">
        <v>797</v>
      </c>
      <c r="B429" s="2" t="s">
        <v>796</v>
      </c>
      <c r="C429" t="s">
        <v>3090</v>
      </c>
      <c r="D429" s="5" t="s">
        <v>3524</v>
      </c>
      <c r="E429" s="6">
        <f>IFERROR(VLOOKUP($D429,[1]Balanza!$A$3:$K$852,6,0)-VLOOKUP(D429,[1]Balanza!$A$3:$K$852,7,0),0)</f>
        <v>0</v>
      </c>
      <c r="F429" s="6">
        <f>IFERROR(VLOOKUP($D429,[1]Balanza!$A$3:$K$852,10,0)-VLOOKUP($D429,[1]Balanza!$A$3:$K$852,11,0),0)</f>
        <v>0</v>
      </c>
    </row>
    <row r="430" spans="1:6" x14ac:dyDescent="0.3">
      <c r="A430" s="2" t="s">
        <v>798</v>
      </c>
      <c r="B430" s="2" t="s">
        <v>799</v>
      </c>
      <c r="C430" t="s">
        <v>3090</v>
      </c>
      <c r="D430" s="5" t="s">
        <v>3525</v>
      </c>
      <c r="E430" s="6">
        <f>IFERROR(VLOOKUP($D430,[1]Balanza!$A$3:$K$852,6,0)-VLOOKUP(D430,[1]Balanza!$A$3:$K$852,7,0),0)</f>
        <v>0</v>
      </c>
      <c r="F430" s="6">
        <f>IFERROR(VLOOKUP($D430,[1]Balanza!$A$3:$K$852,10,0)-VLOOKUP($D430,[1]Balanza!$A$3:$K$852,11,0),0)</f>
        <v>0</v>
      </c>
    </row>
    <row r="431" spans="1:6" x14ac:dyDescent="0.3">
      <c r="A431" s="2" t="s">
        <v>800</v>
      </c>
      <c r="B431" s="2" t="s">
        <v>801</v>
      </c>
      <c r="C431" t="s">
        <v>3090</v>
      </c>
      <c r="D431" s="5" t="s">
        <v>3526</v>
      </c>
      <c r="E431" s="6">
        <f>IFERROR(VLOOKUP($D431,[1]Balanza!$A$3:$K$852,6,0)-VLOOKUP(D431,[1]Balanza!$A$3:$K$852,7,0),0)</f>
        <v>0</v>
      </c>
      <c r="F431" s="6">
        <f>IFERROR(VLOOKUP($D431,[1]Balanza!$A$3:$K$852,10,0)-VLOOKUP($D431,[1]Balanza!$A$3:$K$852,11,0),0)</f>
        <v>0</v>
      </c>
    </row>
    <row r="432" spans="1:6" x14ac:dyDescent="0.3">
      <c r="A432" s="1" t="s">
        <v>802</v>
      </c>
      <c r="B432" s="1" t="s">
        <v>803</v>
      </c>
      <c r="C432" t="s">
        <v>3090</v>
      </c>
      <c r="D432" s="5" t="s">
        <v>3527</v>
      </c>
      <c r="E432" s="6">
        <f>IFERROR(VLOOKUP($D432,[1]Balanza!$A$3:$K$852,6,0)-VLOOKUP(D432,[1]Balanza!$A$3:$K$852,7,0),0)</f>
        <v>0</v>
      </c>
      <c r="F432" s="6">
        <f>IFERROR(VLOOKUP($D432,[1]Balanza!$A$3:$K$852,10,0)-VLOOKUP($D432,[1]Balanza!$A$3:$K$852,11,0),0)</f>
        <v>0</v>
      </c>
    </row>
    <row r="433" spans="1:6" x14ac:dyDescent="0.3">
      <c r="A433" s="2" t="s">
        <v>804</v>
      </c>
      <c r="B433" s="2" t="s">
        <v>805</v>
      </c>
      <c r="C433" t="s">
        <v>3090</v>
      </c>
      <c r="D433" s="5" t="s">
        <v>3528</v>
      </c>
      <c r="E433" s="6">
        <f>IFERROR(VLOOKUP($D433,[1]Balanza!$A$3:$K$852,6,0)-VLOOKUP(D433,[1]Balanza!$A$3:$K$852,7,0),0)</f>
        <v>0</v>
      </c>
      <c r="F433" s="6">
        <f>IFERROR(VLOOKUP($D433,[1]Balanza!$A$3:$K$852,10,0)-VLOOKUP($D433,[1]Balanza!$A$3:$K$852,11,0),0)</f>
        <v>0</v>
      </c>
    </row>
    <row r="434" spans="1:6" x14ac:dyDescent="0.3">
      <c r="A434" s="2" t="s">
        <v>806</v>
      </c>
      <c r="B434" s="2" t="s">
        <v>807</v>
      </c>
      <c r="C434" t="s">
        <v>3090</v>
      </c>
      <c r="D434" s="5" t="s">
        <v>3529</v>
      </c>
      <c r="E434" s="6">
        <f>IFERROR(VLOOKUP($D434,[1]Balanza!$A$3:$K$852,6,0)-VLOOKUP(D434,[1]Balanza!$A$3:$K$852,7,0),0)</f>
        <v>0</v>
      </c>
      <c r="F434" s="6">
        <f>IFERROR(VLOOKUP($D434,[1]Balanza!$A$3:$K$852,10,0)-VLOOKUP($D434,[1]Balanza!$A$3:$K$852,11,0),0)</f>
        <v>0</v>
      </c>
    </row>
    <row r="435" spans="1:6" x14ac:dyDescent="0.3">
      <c r="A435" s="2" t="s">
        <v>808</v>
      </c>
      <c r="B435" s="2" t="s">
        <v>809</v>
      </c>
      <c r="C435" t="s">
        <v>3090</v>
      </c>
      <c r="D435" s="5" t="s">
        <v>3530</v>
      </c>
      <c r="E435" s="6">
        <f>IFERROR(VLOOKUP($D435,[1]Balanza!$A$3:$K$852,6,0)-VLOOKUP(D435,[1]Balanza!$A$3:$K$852,7,0),0)</f>
        <v>0</v>
      </c>
      <c r="F435" s="6">
        <f>IFERROR(VLOOKUP($D435,[1]Balanza!$A$3:$K$852,10,0)-VLOOKUP($D435,[1]Balanza!$A$3:$K$852,11,0),0)</f>
        <v>0</v>
      </c>
    </row>
    <row r="436" spans="1:6" x14ac:dyDescent="0.3">
      <c r="A436" s="2" t="s">
        <v>810</v>
      </c>
      <c r="B436" s="2" t="s">
        <v>811</v>
      </c>
      <c r="C436" t="s">
        <v>3090</v>
      </c>
      <c r="D436" s="5" t="s">
        <v>3531</v>
      </c>
      <c r="E436" s="6">
        <f>IFERROR(VLOOKUP($D436,[1]Balanza!$A$3:$K$852,6,0)-VLOOKUP(D436,[1]Balanza!$A$3:$K$852,7,0),0)</f>
        <v>-9799.6799999999348</v>
      </c>
      <c r="F436" s="6">
        <f>IFERROR(VLOOKUP($D436,[1]Balanza!$A$3:$K$852,10,0)-VLOOKUP($D436,[1]Balanza!$A$3:$K$852,11,0),0)</f>
        <v>0</v>
      </c>
    </row>
    <row r="437" spans="1:6" x14ac:dyDescent="0.3">
      <c r="A437" s="2" t="s">
        <v>812</v>
      </c>
      <c r="B437" s="2" t="s">
        <v>813</v>
      </c>
      <c r="C437" t="s">
        <v>3090</v>
      </c>
      <c r="D437" s="5" t="s">
        <v>3532</v>
      </c>
      <c r="E437" s="6">
        <f>IFERROR(VLOOKUP($D437,[1]Balanza!$A$3:$K$852,6,0)-VLOOKUP(D437,[1]Balanza!$A$3:$K$852,7,0),0)</f>
        <v>-465030.13</v>
      </c>
      <c r="F437" s="6">
        <f>IFERROR(VLOOKUP($D437,[1]Balanza!$A$3:$K$852,10,0)-VLOOKUP($D437,[1]Balanza!$A$3:$K$852,11,0),0)</f>
        <v>0</v>
      </c>
    </row>
    <row r="438" spans="1:6" x14ac:dyDescent="0.3">
      <c r="A438" s="2" t="s">
        <v>814</v>
      </c>
      <c r="B438" s="2" t="s">
        <v>815</v>
      </c>
      <c r="C438" t="s">
        <v>3090</v>
      </c>
      <c r="D438" s="5" t="s">
        <v>3533</v>
      </c>
      <c r="E438" s="6">
        <f>IFERROR(VLOOKUP($D438,[1]Balanza!$A$3:$K$852,6,0)-VLOOKUP(D438,[1]Balanza!$A$3:$K$852,7,0),0)</f>
        <v>-13427.35</v>
      </c>
      <c r="F438" s="6">
        <f>IFERROR(VLOOKUP($D438,[1]Balanza!$A$3:$K$852,10,0)-VLOOKUP($D438,[1]Balanza!$A$3:$K$852,11,0),0)</f>
        <v>0</v>
      </c>
    </row>
    <row r="439" spans="1:6" x14ac:dyDescent="0.3">
      <c r="A439" s="2" t="s">
        <v>816</v>
      </c>
      <c r="B439" s="2" t="s">
        <v>817</v>
      </c>
      <c r="C439" t="s">
        <v>3090</v>
      </c>
      <c r="D439" s="5" t="s">
        <v>3534</v>
      </c>
      <c r="E439" s="6">
        <f>IFERROR(VLOOKUP($D439,[1]Balanza!$A$3:$K$852,6,0)-VLOOKUP(D439,[1]Balanza!$A$3:$K$852,7,0),0)</f>
        <v>-62453.13</v>
      </c>
      <c r="F439" s="6">
        <f>IFERROR(VLOOKUP($D439,[1]Balanza!$A$3:$K$852,10,0)-VLOOKUP($D439,[1]Balanza!$A$3:$K$852,11,0),0)</f>
        <v>0</v>
      </c>
    </row>
    <row r="440" spans="1:6" x14ac:dyDescent="0.3">
      <c r="A440" s="2" t="s">
        <v>818</v>
      </c>
      <c r="B440" s="2" t="s">
        <v>819</v>
      </c>
      <c r="C440" t="s">
        <v>3090</v>
      </c>
      <c r="D440" s="5" t="s">
        <v>3535</v>
      </c>
      <c r="E440" s="6">
        <f>IFERROR(VLOOKUP($D440,[1]Balanza!$A$3:$K$852,6,0)-VLOOKUP(D440,[1]Balanza!$A$3:$K$852,7,0),0)</f>
        <v>-134138</v>
      </c>
      <c r="F440" s="6">
        <f>IFERROR(VLOOKUP($D440,[1]Balanza!$A$3:$K$852,10,0)-VLOOKUP($D440,[1]Balanza!$A$3:$K$852,11,0),0)</f>
        <v>0</v>
      </c>
    </row>
    <row r="441" spans="1:6" x14ac:dyDescent="0.3">
      <c r="A441" s="2" t="s">
        <v>820</v>
      </c>
      <c r="B441" s="2" t="s">
        <v>821</v>
      </c>
      <c r="C441" t="s">
        <v>3090</v>
      </c>
      <c r="D441" s="5" t="s">
        <v>3536</v>
      </c>
      <c r="E441" s="6">
        <f>IFERROR(VLOOKUP($D441,[1]Balanza!$A$3:$K$852,6,0)-VLOOKUP(D441,[1]Balanza!$A$3:$K$852,7,0),0)</f>
        <v>-46934.380000000005</v>
      </c>
      <c r="F441" s="6">
        <f>IFERROR(VLOOKUP($D441,[1]Balanza!$A$3:$K$852,10,0)-VLOOKUP($D441,[1]Balanza!$A$3:$K$852,11,0),0)</f>
        <v>0</v>
      </c>
    </row>
    <row r="442" spans="1:6" x14ac:dyDescent="0.3">
      <c r="A442" s="2" t="s">
        <v>822</v>
      </c>
      <c r="B442" s="2" t="s">
        <v>823</v>
      </c>
      <c r="C442" t="s">
        <v>3090</v>
      </c>
      <c r="D442" s="5" t="s">
        <v>3537</v>
      </c>
      <c r="E442" s="6">
        <f>IFERROR(VLOOKUP($D442,[1]Balanza!$A$3:$K$852,6,0)-VLOOKUP(D442,[1]Balanza!$A$3:$K$852,7,0),0)</f>
        <v>45940.44</v>
      </c>
      <c r="F442" s="6">
        <f>IFERROR(VLOOKUP($D442,[1]Balanza!$A$3:$K$852,10,0)-VLOOKUP($D442,[1]Balanza!$A$3:$K$852,11,0),0)</f>
        <v>-15708.8</v>
      </c>
    </row>
    <row r="443" spans="1:6" x14ac:dyDescent="0.3">
      <c r="A443" s="2" t="s">
        <v>824</v>
      </c>
      <c r="B443" s="2" t="s">
        <v>405</v>
      </c>
      <c r="C443" t="s">
        <v>3090</v>
      </c>
      <c r="D443" s="5" t="s">
        <v>3538</v>
      </c>
      <c r="E443" s="6">
        <f>IFERROR(VLOOKUP($D443,[1]Balanza!$A$3:$K$852,6,0)-VLOOKUP(D443,[1]Balanza!$A$3:$K$852,7,0),0)</f>
        <v>0</v>
      </c>
      <c r="F443" s="6">
        <f>IFERROR(VLOOKUP($D443,[1]Balanza!$A$3:$K$852,10,0)-VLOOKUP($D443,[1]Balanza!$A$3:$K$852,11,0),0)</f>
        <v>0</v>
      </c>
    </row>
    <row r="444" spans="1:6" x14ac:dyDescent="0.3">
      <c r="A444" s="2" t="s">
        <v>825</v>
      </c>
      <c r="B444" s="2" t="s">
        <v>403</v>
      </c>
      <c r="C444" t="s">
        <v>3090</v>
      </c>
      <c r="D444" s="5" t="s">
        <v>3539</v>
      </c>
      <c r="E444" s="6">
        <f>IFERROR(VLOOKUP($D444,[1]Balanza!$A$3:$K$852,6,0)-VLOOKUP(D444,[1]Balanza!$A$3:$K$852,7,0),0)</f>
        <v>0</v>
      </c>
      <c r="F444" s="6">
        <f>IFERROR(VLOOKUP($D444,[1]Balanza!$A$3:$K$852,10,0)-VLOOKUP($D444,[1]Balanza!$A$3:$K$852,11,0),0)</f>
        <v>0</v>
      </c>
    </row>
    <row r="445" spans="1:6" x14ac:dyDescent="0.3">
      <c r="A445" s="2" t="s">
        <v>826</v>
      </c>
      <c r="B445" s="2" t="s">
        <v>827</v>
      </c>
      <c r="C445" t="s">
        <v>3090</v>
      </c>
      <c r="D445" s="5" t="s">
        <v>3540</v>
      </c>
      <c r="E445" s="6">
        <f>IFERROR(VLOOKUP($D445,[1]Balanza!$A$3:$K$852,6,0)-VLOOKUP(D445,[1]Balanza!$A$3:$K$852,7,0),0)</f>
        <v>-109595.95000000001</v>
      </c>
      <c r="F445" s="6">
        <f>IFERROR(VLOOKUP($D445,[1]Balanza!$A$3:$K$852,10,0)-VLOOKUP($D445,[1]Balanza!$A$3:$K$852,11,0),0)</f>
        <v>0</v>
      </c>
    </row>
    <row r="446" spans="1:6" x14ac:dyDescent="0.3">
      <c r="A446" s="2" t="s">
        <v>828</v>
      </c>
      <c r="B446" s="2" t="s">
        <v>829</v>
      </c>
      <c r="C446" t="s">
        <v>3090</v>
      </c>
      <c r="D446" s="5" t="s">
        <v>3541</v>
      </c>
      <c r="E446" s="6">
        <f>IFERROR(VLOOKUP($D446,[1]Balanza!$A$3:$K$852,6,0)-VLOOKUP(D446,[1]Balanza!$A$3:$K$852,7,0),0)</f>
        <v>-124365.27000000002</v>
      </c>
      <c r="F446" s="6">
        <f>IFERROR(VLOOKUP($D446,[1]Balanza!$A$3:$K$852,10,0)-VLOOKUP($D446,[1]Balanza!$A$3:$K$852,11,0),0)</f>
        <v>0</v>
      </c>
    </row>
    <row r="447" spans="1:6" x14ac:dyDescent="0.3">
      <c r="A447" s="2" t="s">
        <v>830</v>
      </c>
      <c r="B447" s="2" t="s">
        <v>831</v>
      </c>
      <c r="C447" t="s">
        <v>3090</v>
      </c>
      <c r="D447" s="5" t="s">
        <v>3542</v>
      </c>
      <c r="E447" s="6">
        <f>IFERROR(VLOOKUP($D447,[1]Balanza!$A$3:$K$852,6,0)-VLOOKUP(D447,[1]Balanza!$A$3:$K$852,7,0),0)</f>
        <v>0</v>
      </c>
      <c r="F447" s="6">
        <f>IFERROR(VLOOKUP($D447,[1]Balanza!$A$3:$K$852,10,0)-VLOOKUP($D447,[1]Balanza!$A$3:$K$852,11,0),0)</f>
        <v>0</v>
      </c>
    </row>
    <row r="448" spans="1:6" x14ac:dyDescent="0.3">
      <c r="A448" s="2" t="s">
        <v>832</v>
      </c>
      <c r="B448" s="2" t="s">
        <v>833</v>
      </c>
      <c r="C448" t="s">
        <v>3090</v>
      </c>
      <c r="D448" s="5" t="s">
        <v>3543</v>
      </c>
      <c r="E448" s="6">
        <f>IFERROR(VLOOKUP($D448,[1]Balanza!$A$3:$K$852,6,0)-VLOOKUP(D448,[1]Balanza!$A$3:$K$852,7,0),0)</f>
        <v>-106950</v>
      </c>
      <c r="F448" s="6">
        <f>IFERROR(VLOOKUP($D448,[1]Balanza!$A$3:$K$852,10,0)-VLOOKUP($D448,[1]Balanza!$A$3:$K$852,11,0),0)</f>
        <v>0</v>
      </c>
    </row>
    <row r="449" spans="1:6" x14ac:dyDescent="0.3">
      <c r="A449" s="2" t="s">
        <v>834</v>
      </c>
      <c r="B449" s="2" t="s">
        <v>835</v>
      </c>
      <c r="C449" t="s">
        <v>3090</v>
      </c>
      <c r="D449" s="5" t="s">
        <v>3544</v>
      </c>
      <c r="E449" s="6">
        <f>IFERROR(VLOOKUP($D449,[1]Balanza!$A$3:$K$852,6,0)-VLOOKUP(D449,[1]Balanza!$A$3:$K$852,7,0),0)</f>
        <v>-36540</v>
      </c>
      <c r="F449" s="6">
        <f>IFERROR(VLOOKUP($D449,[1]Balanza!$A$3:$K$852,10,0)-VLOOKUP($D449,[1]Balanza!$A$3:$K$852,11,0),0)</f>
        <v>145302.88</v>
      </c>
    </row>
    <row r="450" spans="1:6" x14ac:dyDescent="0.3">
      <c r="A450" s="2" t="s">
        <v>836</v>
      </c>
      <c r="B450" s="2" t="s">
        <v>837</v>
      </c>
      <c r="C450" t="s">
        <v>3090</v>
      </c>
      <c r="D450" s="5" t="s">
        <v>3545</v>
      </c>
      <c r="E450" s="6">
        <f>IFERROR(VLOOKUP($D450,[1]Balanza!$A$3:$K$852,6,0)-VLOOKUP(D450,[1]Balanza!$A$3:$K$852,7,0),0)</f>
        <v>0</v>
      </c>
      <c r="F450" s="6">
        <f>IFERROR(VLOOKUP($D450,[1]Balanza!$A$3:$K$852,10,0)-VLOOKUP($D450,[1]Balanza!$A$3:$K$852,11,0),0)</f>
        <v>0</v>
      </c>
    </row>
    <row r="451" spans="1:6" x14ac:dyDescent="0.3">
      <c r="A451" s="2" t="s">
        <v>838</v>
      </c>
      <c r="B451" s="2" t="s">
        <v>443</v>
      </c>
      <c r="C451" t="s">
        <v>3090</v>
      </c>
      <c r="D451" s="5" t="s">
        <v>3546</v>
      </c>
      <c r="E451" s="6">
        <f>IFERROR(VLOOKUP($D451,[1]Balanza!$A$3:$K$852,6,0)-VLOOKUP(D451,[1]Balanza!$A$3:$K$852,7,0),0)</f>
        <v>-8672.4</v>
      </c>
      <c r="F451" s="6">
        <f>IFERROR(VLOOKUP($D451,[1]Balanza!$A$3:$K$852,10,0)-VLOOKUP($D451,[1]Balanza!$A$3:$K$852,11,0),0)</f>
        <v>0</v>
      </c>
    </row>
    <row r="452" spans="1:6" x14ac:dyDescent="0.3">
      <c r="A452" s="2" t="s">
        <v>839</v>
      </c>
      <c r="B452" s="2" t="s">
        <v>840</v>
      </c>
      <c r="C452" t="s">
        <v>3090</v>
      </c>
      <c r="D452" s="5" t="s">
        <v>3547</v>
      </c>
      <c r="E452" s="6">
        <f>IFERROR(VLOOKUP($D452,[1]Balanza!$A$3:$K$852,6,0)-VLOOKUP(D452,[1]Balanza!$A$3:$K$852,7,0),0)</f>
        <v>-186479.28</v>
      </c>
      <c r="F452" s="6">
        <f>IFERROR(VLOOKUP($D452,[1]Balanza!$A$3:$K$852,10,0)-VLOOKUP($D452,[1]Balanza!$A$3:$K$852,11,0),0)</f>
        <v>0</v>
      </c>
    </row>
    <row r="453" spans="1:6" x14ac:dyDescent="0.3">
      <c r="A453" s="2" t="s">
        <v>841</v>
      </c>
      <c r="B453" s="2" t="s">
        <v>842</v>
      </c>
      <c r="C453" t="s">
        <v>3090</v>
      </c>
      <c r="D453" s="5" t="s">
        <v>3548</v>
      </c>
      <c r="E453" s="6">
        <f>IFERROR(VLOOKUP($D453,[1]Balanza!$A$3:$K$852,6,0)-VLOOKUP(D453,[1]Balanza!$A$3:$K$852,7,0),0)</f>
        <v>0</v>
      </c>
      <c r="F453" s="6">
        <f>IFERROR(VLOOKUP($D453,[1]Balanza!$A$3:$K$852,10,0)-VLOOKUP($D453,[1]Balanza!$A$3:$K$852,11,0),0)</f>
        <v>0</v>
      </c>
    </row>
    <row r="454" spans="1:6" x14ac:dyDescent="0.3">
      <c r="A454" s="2" t="s">
        <v>843</v>
      </c>
      <c r="B454" s="2" t="s">
        <v>844</v>
      </c>
      <c r="C454" t="s">
        <v>3090</v>
      </c>
      <c r="D454" s="5" t="s">
        <v>3549</v>
      </c>
      <c r="E454" s="6">
        <f>IFERROR(VLOOKUP($D454,[1]Balanza!$A$3:$K$852,6,0)-VLOOKUP(D454,[1]Balanza!$A$3:$K$852,7,0),0)</f>
        <v>-561.44000000000005</v>
      </c>
      <c r="F454" s="6">
        <f>IFERROR(VLOOKUP($D454,[1]Balanza!$A$3:$K$852,10,0)-VLOOKUP($D454,[1]Balanza!$A$3:$K$852,11,0),0)</f>
        <v>0</v>
      </c>
    </row>
    <row r="455" spans="1:6" x14ac:dyDescent="0.3">
      <c r="A455" s="2" t="s">
        <v>845</v>
      </c>
      <c r="B455" s="2" t="s">
        <v>846</v>
      </c>
      <c r="C455" t="s">
        <v>3090</v>
      </c>
      <c r="D455" s="5" t="s">
        <v>3550</v>
      </c>
      <c r="E455" s="6">
        <f>IFERROR(VLOOKUP($D455,[1]Balanza!$A$3:$K$852,6,0)-VLOOKUP(D455,[1]Balanza!$A$3:$K$852,7,0),0)</f>
        <v>0</v>
      </c>
      <c r="F455" s="6">
        <f>IFERROR(VLOOKUP($D455,[1]Balanza!$A$3:$K$852,10,0)-VLOOKUP($D455,[1]Balanza!$A$3:$K$852,11,0),0)</f>
        <v>0</v>
      </c>
    </row>
    <row r="456" spans="1:6" x14ac:dyDescent="0.3">
      <c r="A456" s="2" t="s">
        <v>847</v>
      </c>
      <c r="B456" s="2" t="s">
        <v>848</v>
      </c>
      <c r="C456" t="s">
        <v>3090</v>
      </c>
      <c r="D456" s="5" t="s">
        <v>3551</v>
      </c>
      <c r="E456" s="6">
        <f>IFERROR(VLOOKUP($D456,[1]Balanza!$A$3:$K$852,6,0)-VLOOKUP(D456,[1]Balanza!$A$3:$K$852,7,0),0)</f>
        <v>0</v>
      </c>
      <c r="F456" s="6">
        <f>IFERROR(VLOOKUP($D456,[1]Balanza!$A$3:$K$852,10,0)-VLOOKUP($D456,[1]Balanza!$A$3:$K$852,11,0),0)</f>
        <v>0</v>
      </c>
    </row>
    <row r="457" spans="1:6" x14ac:dyDescent="0.3">
      <c r="A457" s="2" t="s">
        <v>849</v>
      </c>
      <c r="B457" s="2" t="s">
        <v>850</v>
      </c>
      <c r="C457" t="s">
        <v>3090</v>
      </c>
      <c r="D457" s="5" t="s">
        <v>3552</v>
      </c>
      <c r="E457" s="6">
        <f>IFERROR(VLOOKUP($D457,[1]Balanza!$A$3:$K$852,6,0)-VLOOKUP(D457,[1]Balanza!$A$3:$K$852,7,0),0)</f>
        <v>0</v>
      </c>
      <c r="F457" s="6">
        <f>IFERROR(VLOOKUP($D457,[1]Balanza!$A$3:$K$852,10,0)-VLOOKUP($D457,[1]Balanza!$A$3:$K$852,11,0),0)</f>
        <v>0</v>
      </c>
    </row>
    <row r="458" spans="1:6" x14ac:dyDescent="0.3">
      <c r="A458" s="2" t="s">
        <v>851</v>
      </c>
      <c r="B458" s="2" t="s">
        <v>852</v>
      </c>
      <c r="C458" t="s">
        <v>3090</v>
      </c>
      <c r="D458" s="5" t="s">
        <v>3553</v>
      </c>
      <c r="E458" s="6">
        <f>IFERROR(VLOOKUP($D458,[1]Balanza!$A$3:$K$852,6,0)-VLOOKUP(D458,[1]Balanza!$A$3:$K$852,7,0),0)</f>
        <v>0</v>
      </c>
      <c r="F458" s="6">
        <f>IFERROR(VLOOKUP($D458,[1]Balanza!$A$3:$K$852,10,0)-VLOOKUP($D458,[1]Balanza!$A$3:$K$852,11,0),0)</f>
        <v>0</v>
      </c>
    </row>
    <row r="459" spans="1:6" x14ac:dyDescent="0.3">
      <c r="A459" s="2" t="s">
        <v>853</v>
      </c>
      <c r="B459" s="2" t="s">
        <v>854</v>
      </c>
      <c r="C459" t="s">
        <v>3090</v>
      </c>
      <c r="D459" s="5" t="s">
        <v>3554</v>
      </c>
      <c r="E459" s="6">
        <f>IFERROR(VLOOKUP($D459,[1]Balanza!$A$3:$K$852,6,0)-VLOOKUP(D459,[1]Balanza!$A$3:$K$852,7,0),0)</f>
        <v>0</v>
      </c>
      <c r="F459" s="6">
        <f>IFERROR(VLOOKUP($D459,[1]Balanza!$A$3:$K$852,10,0)-VLOOKUP($D459,[1]Balanza!$A$3:$K$852,11,0),0)</f>
        <v>0</v>
      </c>
    </row>
    <row r="460" spans="1:6" x14ac:dyDescent="0.3">
      <c r="A460" s="2" t="s">
        <v>855</v>
      </c>
      <c r="B460" s="2" t="s">
        <v>856</v>
      </c>
      <c r="C460" t="s">
        <v>3090</v>
      </c>
      <c r="D460" s="5" t="s">
        <v>3555</v>
      </c>
      <c r="E460" s="6">
        <f>IFERROR(VLOOKUP($D460,[1]Balanza!$A$3:$K$852,6,0)-VLOOKUP(D460,[1]Balanza!$A$3:$K$852,7,0),0)</f>
        <v>0</v>
      </c>
      <c r="F460" s="6">
        <f>IFERROR(VLOOKUP($D460,[1]Balanza!$A$3:$K$852,10,0)-VLOOKUP($D460,[1]Balanza!$A$3:$K$852,11,0),0)</f>
        <v>0</v>
      </c>
    </row>
    <row r="461" spans="1:6" x14ac:dyDescent="0.3">
      <c r="A461" s="2" t="s">
        <v>857</v>
      </c>
      <c r="B461" s="2" t="s">
        <v>858</v>
      </c>
      <c r="C461" t="s">
        <v>3090</v>
      </c>
      <c r="D461" s="5" t="s">
        <v>3556</v>
      </c>
      <c r="E461" s="6">
        <f>IFERROR(VLOOKUP($D461,[1]Balanza!$A$3:$K$852,6,0)-VLOOKUP(D461,[1]Balanza!$A$3:$K$852,7,0),0)</f>
        <v>0</v>
      </c>
      <c r="F461" s="6">
        <f>IFERROR(VLOOKUP($D461,[1]Balanza!$A$3:$K$852,10,0)-VLOOKUP($D461,[1]Balanza!$A$3:$K$852,11,0),0)</f>
        <v>0</v>
      </c>
    </row>
    <row r="462" spans="1:6" x14ac:dyDescent="0.3">
      <c r="A462" s="2" t="s">
        <v>859</v>
      </c>
      <c r="B462" s="2" t="s">
        <v>393</v>
      </c>
      <c r="C462" t="s">
        <v>3090</v>
      </c>
      <c r="D462" s="5" t="s">
        <v>3557</v>
      </c>
      <c r="E462" s="6">
        <f>IFERROR(VLOOKUP($D462,[1]Balanza!$A$3:$K$852,6,0)-VLOOKUP(D462,[1]Balanza!$A$3:$K$852,7,0),0)</f>
        <v>0</v>
      </c>
      <c r="F462" s="6">
        <f>IFERROR(VLOOKUP($D462,[1]Balanza!$A$3:$K$852,10,0)-VLOOKUP($D462,[1]Balanza!$A$3:$K$852,11,0),0)</f>
        <v>0</v>
      </c>
    </row>
    <row r="463" spans="1:6" x14ac:dyDescent="0.3">
      <c r="A463" s="2" t="s">
        <v>860</v>
      </c>
      <c r="B463" s="2" t="s">
        <v>861</v>
      </c>
      <c r="C463" t="s">
        <v>3090</v>
      </c>
      <c r="D463" s="5" t="s">
        <v>3558</v>
      </c>
      <c r="E463" s="6">
        <f>IFERROR(VLOOKUP($D463,[1]Balanza!$A$3:$K$852,6,0)-VLOOKUP(D463,[1]Balanza!$A$3:$K$852,7,0),0)</f>
        <v>12170.830000000016</v>
      </c>
      <c r="F463" s="6">
        <f>IFERROR(VLOOKUP($D463,[1]Balanza!$A$3:$K$852,10,0)-VLOOKUP($D463,[1]Balanza!$A$3:$K$852,11,0),0)</f>
        <v>0</v>
      </c>
    </row>
    <row r="464" spans="1:6" x14ac:dyDescent="0.3">
      <c r="A464" s="2" t="s">
        <v>862</v>
      </c>
      <c r="B464" s="2" t="s">
        <v>863</v>
      </c>
      <c r="C464" t="s">
        <v>3090</v>
      </c>
      <c r="D464" s="5" t="s">
        <v>3559</v>
      </c>
      <c r="E464" s="6">
        <f>IFERROR(VLOOKUP($D464,[1]Balanza!$A$3:$K$852,6,0)-VLOOKUP(D464,[1]Balanza!$A$3:$K$852,7,0),0)</f>
        <v>0</v>
      </c>
      <c r="F464" s="6">
        <f>IFERROR(VLOOKUP($D464,[1]Balanza!$A$3:$K$852,10,0)-VLOOKUP($D464,[1]Balanza!$A$3:$K$852,11,0),0)</f>
        <v>0</v>
      </c>
    </row>
    <row r="465" spans="1:6" x14ac:dyDescent="0.3">
      <c r="A465" s="2" t="s">
        <v>864</v>
      </c>
      <c r="B465" s="2" t="s">
        <v>865</v>
      </c>
      <c r="C465" t="s">
        <v>3090</v>
      </c>
      <c r="D465" s="5" t="s">
        <v>3560</v>
      </c>
      <c r="E465" s="6">
        <f>IFERROR(VLOOKUP($D465,[1]Balanza!$A$3:$K$852,6,0)-VLOOKUP(D465,[1]Balanza!$A$3:$K$852,7,0),0)</f>
        <v>0</v>
      </c>
      <c r="F465" s="6">
        <f>IFERROR(VLOOKUP($D465,[1]Balanza!$A$3:$K$852,10,0)-VLOOKUP($D465,[1]Balanza!$A$3:$K$852,11,0),0)</f>
        <v>0</v>
      </c>
    </row>
    <row r="466" spans="1:6" x14ac:dyDescent="0.3">
      <c r="A466" s="2" t="s">
        <v>866</v>
      </c>
      <c r="B466" s="2" t="s">
        <v>867</v>
      </c>
      <c r="C466" t="s">
        <v>3090</v>
      </c>
      <c r="D466" s="5" t="s">
        <v>3561</v>
      </c>
      <c r="E466" s="6">
        <f>IFERROR(VLOOKUP($D466,[1]Balanza!$A$3:$K$852,6,0)-VLOOKUP(D466,[1]Balanza!$A$3:$K$852,7,0),0)</f>
        <v>0</v>
      </c>
      <c r="F466" s="6">
        <f>IFERROR(VLOOKUP($D466,[1]Balanza!$A$3:$K$852,10,0)-VLOOKUP($D466,[1]Balanza!$A$3:$K$852,11,0),0)</f>
        <v>0</v>
      </c>
    </row>
    <row r="467" spans="1:6" x14ac:dyDescent="0.3">
      <c r="A467" s="2" t="s">
        <v>868</v>
      </c>
      <c r="B467" s="2" t="s">
        <v>869</v>
      </c>
      <c r="C467" t="s">
        <v>3090</v>
      </c>
      <c r="D467" s="5" t="s">
        <v>3562</v>
      </c>
      <c r="E467" s="6">
        <f>IFERROR(VLOOKUP($D467,[1]Balanza!$A$3:$K$852,6,0)-VLOOKUP(D467,[1]Balanza!$A$3:$K$852,7,0),0)</f>
        <v>-16590.669999999998</v>
      </c>
      <c r="F467" s="6">
        <f>IFERROR(VLOOKUP($D467,[1]Balanza!$A$3:$K$852,10,0)-VLOOKUP($D467,[1]Balanza!$A$3:$K$852,11,0),0)</f>
        <v>0</v>
      </c>
    </row>
    <row r="468" spans="1:6" x14ac:dyDescent="0.3">
      <c r="A468" s="2" t="s">
        <v>870</v>
      </c>
      <c r="B468" s="2" t="s">
        <v>871</v>
      </c>
      <c r="C468" t="s">
        <v>3090</v>
      </c>
      <c r="D468" s="5" t="s">
        <v>3563</v>
      </c>
      <c r="E468" s="6">
        <f>IFERROR(VLOOKUP($D468,[1]Balanza!$A$3:$K$852,6,0)-VLOOKUP(D468,[1]Balanza!$A$3:$K$852,7,0),0)</f>
        <v>0</v>
      </c>
      <c r="F468" s="6">
        <f>IFERROR(VLOOKUP($D468,[1]Balanza!$A$3:$K$852,10,0)-VLOOKUP($D468,[1]Balanza!$A$3:$K$852,11,0),0)</f>
        <v>0</v>
      </c>
    </row>
    <row r="469" spans="1:6" x14ac:dyDescent="0.3">
      <c r="A469" s="2" t="s">
        <v>872</v>
      </c>
      <c r="B469" s="2" t="s">
        <v>873</v>
      </c>
      <c r="C469" t="s">
        <v>3090</v>
      </c>
      <c r="D469" s="5" t="s">
        <v>3564</v>
      </c>
      <c r="E469" s="6">
        <f>IFERROR(VLOOKUP($D469,[1]Balanza!$A$3:$K$852,6,0)-VLOOKUP(D469,[1]Balanza!$A$3:$K$852,7,0),0)</f>
        <v>0</v>
      </c>
      <c r="F469" s="6">
        <f>IFERROR(VLOOKUP($D469,[1]Balanza!$A$3:$K$852,10,0)-VLOOKUP($D469,[1]Balanza!$A$3:$K$852,11,0),0)</f>
        <v>0</v>
      </c>
    </row>
    <row r="470" spans="1:6" x14ac:dyDescent="0.3">
      <c r="A470" s="2" t="s">
        <v>874</v>
      </c>
      <c r="B470" s="2" t="s">
        <v>875</v>
      </c>
      <c r="C470" t="s">
        <v>3090</v>
      </c>
      <c r="D470" s="5" t="s">
        <v>3565</v>
      </c>
      <c r="E470" s="6">
        <f>IFERROR(VLOOKUP($D470,[1]Balanza!$A$3:$K$852,6,0)-VLOOKUP(D470,[1]Balanza!$A$3:$K$852,7,0),0)</f>
        <v>0</v>
      </c>
      <c r="F470" s="6">
        <f>IFERROR(VLOOKUP($D470,[1]Balanza!$A$3:$K$852,10,0)-VLOOKUP($D470,[1]Balanza!$A$3:$K$852,11,0),0)</f>
        <v>0</v>
      </c>
    </row>
    <row r="471" spans="1:6" x14ac:dyDescent="0.3">
      <c r="A471" s="2" t="s">
        <v>876</v>
      </c>
      <c r="B471" s="2" t="s">
        <v>877</v>
      </c>
      <c r="C471" t="s">
        <v>3090</v>
      </c>
      <c r="D471" s="5" t="s">
        <v>3566</v>
      </c>
      <c r="E471" s="6">
        <f>IFERROR(VLOOKUP($D471,[1]Balanza!$A$3:$K$852,6,0)-VLOOKUP(D471,[1]Balanza!$A$3:$K$852,7,0),0)</f>
        <v>0</v>
      </c>
      <c r="F471" s="6">
        <f>IFERROR(VLOOKUP($D471,[1]Balanza!$A$3:$K$852,10,0)-VLOOKUP($D471,[1]Balanza!$A$3:$K$852,11,0),0)</f>
        <v>0</v>
      </c>
    </row>
    <row r="472" spans="1:6" x14ac:dyDescent="0.3">
      <c r="A472" s="2" t="s">
        <v>878</v>
      </c>
      <c r="B472" s="2" t="s">
        <v>879</v>
      </c>
      <c r="C472" t="s">
        <v>3090</v>
      </c>
      <c r="D472" s="5" t="s">
        <v>3567</v>
      </c>
      <c r="E472" s="6">
        <f>IFERROR(VLOOKUP($D472,[1]Balanza!$A$3:$K$852,6,0)-VLOOKUP(D472,[1]Balanza!$A$3:$K$852,7,0),0)</f>
        <v>0</v>
      </c>
      <c r="F472" s="6">
        <f>IFERROR(VLOOKUP($D472,[1]Balanza!$A$3:$K$852,10,0)-VLOOKUP($D472,[1]Balanza!$A$3:$K$852,11,0),0)</f>
        <v>-1876050.71</v>
      </c>
    </row>
    <row r="473" spans="1:6" x14ac:dyDescent="0.3">
      <c r="A473" s="2" t="s">
        <v>880</v>
      </c>
      <c r="B473" s="2" t="s">
        <v>881</v>
      </c>
      <c r="C473" t="s">
        <v>3090</v>
      </c>
      <c r="D473" s="5" t="s">
        <v>3568</v>
      </c>
      <c r="E473" s="6">
        <f>IFERROR(VLOOKUP($D473,[1]Balanza!$A$3:$K$852,6,0)-VLOOKUP(D473,[1]Balanza!$A$3:$K$852,7,0),0)</f>
        <v>0</v>
      </c>
      <c r="F473" s="6">
        <f>IFERROR(VLOOKUP($D473,[1]Balanza!$A$3:$K$852,10,0)-VLOOKUP($D473,[1]Balanza!$A$3:$K$852,11,0),0)</f>
        <v>0</v>
      </c>
    </row>
    <row r="474" spans="1:6" x14ac:dyDescent="0.3">
      <c r="A474" s="2" t="s">
        <v>882</v>
      </c>
      <c r="B474" s="2" t="s">
        <v>883</v>
      </c>
      <c r="C474" t="s">
        <v>3090</v>
      </c>
      <c r="D474" s="5" t="s">
        <v>3569</v>
      </c>
      <c r="E474" s="6">
        <f>IFERROR(VLOOKUP($D474,[1]Balanza!$A$3:$K$852,6,0)-VLOOKUP(D474,[1]Balanza!$A$3:$K$852,7,0),0)</f>
        <v>0</v>
      </c>
      <c r="F474" s="6">
        <f>IFERROR(VLOOKUP($D474,[1]Balanza!$A$3:$K$852,10,0)-VLOOKUP($D474,[1]Balanza!$A$3:$K$852,11,0),0)</f>
        <v>0</v>
      </c>
    </row>
    <row r="475" spans="1:6" x14ac:dyDescent="0.3">
      <c r="A475" s="2" t="s">
        <v>884</v>
      </c>
      <c r="B475" s="2" t="s">
        <v>885</v>
      </c>
      <c r="C475" t="s">
        <v>3090</v>
      </c>
      <c r="D475" s="5" t="s">
        <v>3570</v>
      </c>
      <c r="E475" s="6">
        <f>IFERROR(VLOOKUP($D475,[1]Balanza!$A$3:$K$852,6,0)-VLOOKUP(D475,[1]Balanza!$A$3:$K$852,7,0),0)</f>
        <v>0</v>
      </c>
      <c r="F475" s="6">
        <f>IFERROR(VLOOKUP($D475,[1]Balanza!$A$3:$K$852,10,0)-VLOOKUP($D475,[1]Balanza!$A$3:$K$852,11,0),0)</f>
        <v>0</v>
      </c>
    </row>
    <row r="476" spans="1:6" x14ac:dyDescent="0.3">
      <c r="A476" s="2" t="s">
        <v>886</v>
      </c>
      <c r="B476" s="2" t="s">
        <v>887</v>
      </c>
      <c r="C476" t="s">
        <v>3090</v>
      </c>
      <c r="D476" s="5" t="s">
        <v>3571</v>
      </c>
      <c r="E476" s="6">
        <f>IFERROR(VLOOKUP($D476,[1]Balanza!$A$3:$K$852,6,0)-VLOOKUP(D476,[1]Balanza!$A$3:$K$852,7,0),0)</f>
        <v>0</v>
      </c>
      <c r="F476" s="6">
        <f>IFERROR(VLOOKUP($D476,[1]Balanza!$A$3:$K$852,10,0)-VLOOKUP($D476,[1]Balanza!$A$3:$K$852,11,0),0)</f>
        <v>0</v>
      </c>
    </row>
    <row r="477" spans="1:6" x14ac:dyDescent="0.3">
      <c r="A477" s="2" t="s">
        <v>888</v>
      </c>
      <c r="B477" s="2" t="s">
        <v>889</v>
      </c>
      <c r="C477" t="s">
        <v>3090</v>
      </c>
      <c r="D477" s="5" t="s">
        <v>3572</v>
      </c>
      <c r="E477" s="6">
        <f>IFERROR(VLOOKUP($D477,[1]Balanza!$A$3:$K$852,6,0)-VLOOKUP(D477,[1]Balanza!$A$3:$K$852,7,0),0)</f>
        <v>0</v>
      </c>
      <c r="F477" s="6">
        <f>IFERROR(VLOOKUP($D477,[1]Balanza!$A$3:$K$852,10,0)-VLOOKUP($D477,[1]Balanza!$A$3:$K$852,11,0),0)</f>
        <v>0</v>
      </c>
    </row>
    <row r="478" spans="1:6" x14ac:dyDescent="0.3">
      <c r="A478" s="2" t="s">
        <v>890</v>
      </c>
      <c r="B478" s="2" t="s">
        <v>891</v>
      </c>
      <c r="C478" t="s">
        <v>3090</v>
      </c>
      <c r="D478" s="5" t="s">
        <v>3573</v>
      </c>
      <c r="E478" s="6">
        <f>IFERROR(VLOOKUP($D478,[1]Balanza!$A$3:$K$852,6,0)-VLOOKUP(D478,[1]Balanza!$A$3:$K$852,7,0),0)</f>
        <v>0</v>
      </c>
      <c r="F478" s="6">
        <f>IFERROR(VLOOKUP($D478,[1]Balanza!$A$3:$K$852,10,0)-VLOOKUP($D478,[1]Balanza!$A$3:$K$852,11,0),0)</f>
        <v>0</v>
      </c>
    </row>
    <row r="479" spans="1:6" x14ac:dyDescent="0.3">
      <c r="A479" s="2" t="s">
        <v>892</v>
      </c>
      <c r="B479" s="2" t="s">
        <v>893</v>
      </c>
      <c r="C479" t="s">
        <v>3090</v>
      </c>
      <c r="D479" s="5" t="s">
        <v>3574</v>
      </c>
      <c r="E479" s="6">
        <f>IFERROR(VLOOKUP($D479,[1]Balanza!$A$3:$K$852,6,0)-VLOOKUP(D479,[1]Balanza!$A$3:$K$852,7,0),0)</f>
        <v>0</v>
      </c>
      <c r="F479" s="6">
        <f>IFERROR(VLOOKUP($D479,[1]Balanza!$A$3:$K$852,10,0)-VLOOKUP($D479,[1]Balanza!$A$3:$K$852,11,0),0)</f>
        <v>0</v>
      </c>
    </row>
    <row r="480" spans="1:6" x14ac:dyDescent="0.3">
      <c r="A480" s="2" t="s">
        <v>894</v>
      </c>
      <c r="B480" s="2" t="s">
        <v>895</v>
      </c>
      <c r="C480" t="s">
        <v>3090</v>
      </c>
      <c r="D480" s="5" t="s">
        <v>3575</v>
      </c>
      <c r="E480" s="6">
        <f>IFERROR(VLOOKUP($D480,[1]Balanza!$A$3:$K$852,6,0)-VLOOKUP(D480,[1]Balanza!$A$3:$K$852,7,0),0)</f>
        <v>0</v>
      </c>
      <c r="F480" s="6">
        <f>IFERROR(VLOOKUP($D480,[1]Balanza!$A$3:$K$852,10,0)-VLOOKUP($D480,[1]Balanza!$A$3:$K$852,11,0),0)</f>
        <v>0</v>
      </c>
    </row>
    <row r="481" spans="1:6" x14ac:dyDescent="0.3">
      <c r="A481" s="2" t="s">
        <v>896</v>
      </c>
      <c r="B481" s="2" t="s">
        <v>897</v>
      </c>
      <c r="C481" t="s">
        <v>3090</v>
      </c>
      <c r="D481" s="5" t="s">
        <v>3576</v>
      </c>
      <c r="E481" s="6">
        <f>IFERROR(VLOOKUP($D481,[1]Balanza!$A$3:$K$852,6,0)-VLOOKUP(D481,[1]Balanza!$A$3:$K$852,7,0),0)</f>
        <v>0</v>
      </c>
      <c r="F481" s="6">
        <f>IFERROR(VLOOKUP($D481,[1]Balanza!$A$3:$K$852,10,0)-VLOOKUP($D481,[1]Balanza!$A$3:$K$852,11,0),0)</f>
        <v>0</v>
      </c>
    </row>
    <row r="482" spans="1:6" x14ac:dyDescent="0.3">
      <c r="A482" s="2" t="s">
        <v>898</v>
      </c>
      <c r="B482" s="2" t="s">
        <v>899</v>
      </c>
      <c r="C482" t="s">
        <v>3090</v>
      </c>
      <c r="D482" s="5" t="s">
        <v>3577</v>
      </c>
      <c r="E482" s="6">
        <f>IFERROR(VLOOKUP($D482,[1]Balanza!$A$3:$K$852,6,0)-VLOOKUP(D482,[1]Balanza!$A$3:$K$852,7,0),0)</f>
        <v>-3591.36</v>
      </c>
      <c r="F482" s="6">
        <f>IFERROR(VLOOKUP($D482,[1]Balanza!$A$3:$K$852,10,0)-VLOOKUP($D482,[1]Balanza!$A$3:$K$852,11,0),0)</f>
        <v>0</v>
      </c>
    </row>
    <row r="483" spans="1:6" x14ac:dyDescent="0.3">
      <c r="A483" s="2" t="s">
        <v>900</v>
      </c>
      <c r="B483" s="2" t="s">
        <v>901</v>
      </c>
      <c r="C483" t="s">
        <v>3090</v>
      </c>
      <c r="D483" s="5" t="s">
        <v>3578</v>
      </c>
      <c r="E483" s="6">
        <f>IFERROR(VLOOKUP($D483,[1]Balanza!$A$3:$K$852,6,0)-VLOOKUP(D483,[1]Balanza!$A$3:$K$852,7,0),0)</f>
        <v>0</v>
      </c>
      <c r="F483" s="6">
        <f>IFERROR(VLOOKUP($D483,[1]Balanza!$A$3:$K$852,10,0)-VLOOKUP($D483,[1]Balanza!$A$3:$K$852,11,0),0)</f>
        <v>20406.72</v>
      </c>
    </row>
    <row r="484" spans="1:6" x14ac:dyDescent="0.3">
      <c r="A484" s="2" t="s">
        <v>902</v>
      </c>
      <c r="B484" s="2" t="s">
        <v>903</v>
      </c>
      <c r="C484" t="s">
        <v>3090</v>
      </c>
      <c r="D484" s="5" t="s">
        <v>3579</v>
      </c>
      <c r="E484" s="6">
        <f>IFERROR(VLOOKUP($D484,[1]Balanza!$A$3:$K$852,6,0)-VLOOKUP(D484,[1]Balanza!$A$3:$K$852,7,0),0)</f>
        <v>0</v>
      </c>
      <c r="F484" s="6">
        <f>IFERROR(VLOOKUP($D484,[1]Balanza!$A$3:$K$852,10,0)-VLOOKUP($D484,[1]Balanza!$A$3:$K$852,11,0),0)</f>
        <v>0</v>
      </c>
    </row>
    <row r="485" spans="1:6" x14ac:dyDescent="0.3">
      <c r="A485" s="2" t="s">
        <v>904</v>
      </c>
      <c r="B485" s="2" t="s">
        <v>905</v>
      </c>
      <c r="C485" t="s">
        <v>3090</v>
      </c>
      <c r="D485" s="5" t="s">
        <v>3580</v>
      </c>
      <c r="E485" s="6">
        <f>IFERROR(VLOOKUP($D485,[1]Balanza!$A$3:$K$852,6,0)-VLOOKUP(D485,[1]Balanza!$A$3:$K$852,7,0),0)</f>
        <v>0</v>
      </c>
      <c r="F485" s="6">
        <f>IFERROR(VLOOKUP($D485,[1]Balanza!$A$3:$K$852,10,0)-VLOOKUP($D485,[1]Balanza!$A$3:$K$852,11,0),0)</f>
        <v>0</v>
      </c>
    </row>
    <row r="486" spans="1:6" x14ac:dyDescent="0.3">
      <c r="A486" s="2" t="s">
        <v>906</v>
      </c>
      <c r="B486" s="2" t="s">
        <v>907</v>
      </c>
      <c r="C486" t="s">
        <v>3090</v>
      </c>
      <c r="D486" s="5" t="s">
        <v>3581</v>
      </c>
      <c r="E486" s="6">
        <f>IFERROR(VLOOKUP($D486,[1]Balanza!$A$3:$K$852,6,0)-VLOOKUP(D486,[1]Balanza!$A$3:$K$852,7,0),0)</f>
        <v>0</v>
      </c>
      <c r="F486" s="6">
        <f>IFERROR(VLOOKUP($D486,[1]Balanza!$A$3:$K$852,10,0)-VLOOKUP($D486,[1]Balanza!$A$3:$K$852,11,0),0)</f>
        <v>0</v>
      </c>
    </row>
    <row r="487" spans="1:6" x14ac:dyDescent="0.3">
      <c r="A487" s="2" t="s">
        <v>908</v>
      </c>
      <c r="B487" s="2" t="s">
        <v>909</v>
      </c>
      <c r="C487" t="s">
        <v>3090</v>
      </c>
      <c r="D487" s="5" t="s">
        <v>3582</v>
      </c>
      <c r="E487" s="6">
        <f>IFERROR(VLOOKUP($D487,[1]Balanza!$A$3:$K$852,6,0)-VLOOKUP(D487,[1]Balanza!$A$3:$K$852,7,0),0)</f>
        <v>0</v>
      </c>
      <c r="F487" s="6">
        <f>IFERROR(VLOOKUP($D487,[1]Balanza!$A$3:$K$852,10,0)-VLOOKUP($D487,[1]Balanza!$A$3:$K$852,11,0),0)</f>
        <v>0</v>
      </c>
    </row>
    <row r="488" spans="1:6" x14ac:dyDescent="0.3">
      <c r="A488" s="2" t="s">
        <v>910</v>
      </c>
      <c r="B488" s="2" t="s">
        <v>399</v>
      </c>
      <c r="C488" t="s">
        <v>3090</v>
      </c>
      <c r="D488" s="5" t="s">
        <v>3583</v>
      </c>
      <c r="E488" s="6">
        <f>IFERROR(VLOOKUP($D488,[1]Balanza!$A$3:$K$852,6,0)-VLOOKUP(D488,[1]Balanza!$A$3:$K$852,7,0),0)</f>
        <v>0</v>
      </c>
      <c r="F488" s="6">
        <f>IFERROR(VLOOKUP($D488,[1]Balanza!$A$3:$K$852,10,0)-VLOOKUP($D488,[1]Balanza!$A$3:$K$852,11,0),0)</f>
        <v>0</v>
      </c>
    </row>
    <row r="489" spans="1:6" x14ac:dyDescent="0.3">
      <c r="A489" s="2" t="s">
        <v>911</v>
      </c>
      <c r="B489" s="2" t="s">
        <v>912</v>
      </c>
      <c r="C489" t="s">
        <v>3090</v>
      </c>
      <c r="D489" s="5" t="s">
        <v>3584</v>
      </c>
      <c r="E489" s="6">
        <f>IFERROR(VLOOKUP($D489,[1]Balanza!$A$3:$K$852,6,0)-VLOOKUP(D489,[1]Balanza!$A$3:$K$852,7,0),0)</f>
        <v>0</v>
      </c>
      <c r="F489" s="6">
        <f>IFERROR(VLOOKUP($D489,[1]Balanza!$A$3:$K$852,10,0)-VLOOKUP($D489,[1]Balanza!$A$3:$K$852,11,0),0)</f>
        <v>0</v>
      </c>
    </row>
    <row r="490" spans="1:6" x14ac:dyDescent="0.3">
      <c r="A490" s="2" t="s">
        <v>913</v>
      </c>
      <c r="B490" s="2" t="s">
        <v>914</v>
      </c>
      <c r="C490" t="s">
        <v>3090</v>
      </c>
      <c r="D490" s="5" t="s">
        <v>3585</v>
      </c>
      <c r="E490" s="6">
        <f>IFERROR(VLOOKUP($D490,[1]Balanza!$A$3:$K$852,6,0)-VLOOKUP(D490,[1]Balanza!$A$3:$K$852,7,0),0)</f>
        <v>0</v>
      </c>
      <c r="F490" s="6">
        <f>IFERROR(VLOOKUP($D490,[1]Balanza!$A$3:$K$852,10,0)-VLOOKUP($D490,[1]Balanza!$A$3:$K$852,11,0),0)</f>
        <v>0</v>
      </c>
    </row>
    <row r="491" spans="1:6" x14ac:dyDescent="0.3">
      <c r="A491" s="2" t="s">
        <v>915</v>
      </c>
      <c r="B491" s="2" t="s">
        <v>916</v>
      </c>
      <c r="C491" t="s">
        <v>3090</v>
      </c>
      <c r="D491" s="5" t="s">
        <v>3586</v>
      </c>
      <c r="E491" s="6">
        <f>IFERROR(VLOOKUP($D491,[1]Balanza!$A$3:$K$852,6,0)-VLOOKUP(D491,[1]Balanza!$A$3:$K$852,7,0),0)</f>
        <v>0</v>
      </c>
      <c r="F491" s="6">
        <f>IFERROR(VLOOKUP($D491,[1]Balanza!$A$3:$K$852,10,0)-VLOOKUP($D491,[1]Balanza!$A$3:$K$852,11,0),0)</f>
        <v>0</v>
      </c>
    </row>
    <row r="492" spans="1:6" x14ac:dyDescent="0.3">
      <c r="A492" s="2" t="s">
        <v>917</v>
      </c>
      <c r="B492" s="2" t="s">
        <v>918</v>
      </c>
      <c r="C492" t="s">
        <v>3090</v>
      </c>
      <c r="D492" s="5" t="s">
        <v>3587</v>
      </c>
      <c r="E492" s="6">
        <f>IFERROR(VLOOKUP($D492,[1]Balanza!$A$3:$K$852,6,0)-VLOOKUP(D492,[1]Balanza!$A$3:$K$852,7,0),0)</f>
        <v>0</v>
      </c>
      <c r="F492" s="6">
        <f>IFERROR(VLOOKUP($D492,[1]Balanza!$A$3:$K$852,10,0)-VLOOKUP($D492,[1]Balanza!$A$3:$K$852,11,0),0)</f>
        <v>0</v>
      </c>
    </row>
    <row r="493" spans="1:6" x14ac:dyDescent="0.3">
      <c r="A493" s="2" t="s">
        <v>919</v>
      </c>
      <c r="B493" s="2" t="s">
        <v>920</v>
      </c>
      <c r="C493" t="s">
        <v>3090</v>
      </c>
      <c r="D493" s="5" t="s">
        <v>3588</v>
      </c>
      <c r="E493" s="6">
        <f>IFERROR(VLOOKUP($D493,[1]Balanza!$A$3:$K$852,6,0)-VLOOKUP(D493,[1]Balanza!$A$3:$K$852,7,0),0)</f>
        <v>0</v>
      </c>
      <c r="F493" s="6">
        <f>IFERROR(VLOOKUP($D493,[1]Balanza!$A$3:$K$852,10,0)-VLOOKUP($D493,[1]Balanza!$A$3:$K$852,11,0),0)</f>
        <v>0</v>
      </c>
    </row>
    <row r="494" spans="1:6" x14ac:dyDescent="0.3">
      <c r="A494" s="2" t="s">
        <v>921</v>
      </c>
      <c r="B494" s="2" t="s">
        <v>922</v>
      </c>
      <c r="C494" t="s">
        <v>3090</v>
      </c>
      <c r="D494" s="5" t="s">
        <v>3589</v>
      </c>
      <c r="E494" s="6">
        <f>IFERROR(VLOOKUP($D494,[1]Balanza!$A$3:$K$852,6,0)-VLOOKUP(D494,[1]Balanza!$A$3:$K$852,7,0),0)</f>
        <v>0</v>
      </c>
      <c r="F494" s="6">
        <f>IFERROR(VLOOKUP($D494,[1]Balanza!$A$3:$K$852,10,0)-VLOOKUP($D494,[1]Balanza!$A$3:$K$852,11,0),0)</f>
        <v>0</v>
      </c>
    </row>
    <row r="495" spans="1:6" x14ac:dyDescent="0.3">
      <c r="A495" s="2" t="s">
        <v>923</v>
      </c>
      <c r="B495" s="2" t="s">
        <v>924</v>
      </c>
      <c r="C495" t="s">
        <v>3090</v>
      </c>
      <c r="D495" s="5" t="s">
        <v>3590</v>
      </c>
      <c r="E495" s="6">
        <f>IFERROR(VLOOKUP($D495,[1]Balanza!$A$3:$K$852,6,0)-VLOOKUP(D495,[1]Balanza!$A$3:$K$852,7,0),0)</f>
        <v>0</v>
      </c>
      <c r="F495" s="6">
        <f>IFERROR(VLOOKUP($D495,[1]Balanza!$A$3:$K$852,10,0)-VLOOKUP($D495,[1]Balanza!$A$3:$K$852,11,0),0)</f>
        <v>0</v>
      </c>
    </row>
    <row r="496" spans="1:6" x14ac:dyDescent="0.3">
      <c r="A496" s="2" t="s">
        <v>925</v>
      </c>
      <c r="B496" s="2" t="s">
        <v>926</v>
      </c>
      <c r="C496" t="s">
        <v>3090</v>
      </c>
      <c r="D496" s="5" t="s">
        <v>3591</v>
      </c>
      <c r="E496" s="6">
        <f>IFERROR(VLOOKUP($D496,[1]Balanza!$A$3:$K$852,6,0)-VLOOKUP(D496,[1]Balanza!$A$3:$K$852,7,0),0)</f>
        <v>0</v>
      </c>
      <c r="F496" s="6">
        <f>IFERROR(VLOOKUP($D496,[1]Balanza!$A$3:$K$852,10,0)-VLOOKUP($D496,[1]Balanza!$A$3:$K$852,11,0),0)</f>
        <v>0</v>
      </c>
    </row>
    <row r="497" spans="1:6" x14ac:dyDescent="0.3">
      <c r="A497" s="2" t="s">
        <v>927</v>
      </c>
      <c r="B497" s="2" t="s">
        <v>928</v>
      </c>
      <c r="C497" t="s">
        <v>3090</v>
      </c>
      <c r="D497" s="5" t="s">
        <v>3592</v>
      </c>
      <c r="E497" s="6">
        <f>IFERROR(VLOOKUP($D497,[1]Balanza!$A$3:$K$852,6,0)-VLOOKUP(D497,[1]Balanza!$A$3:$K$852,7,0),0)</f>
        <v>0</v>
      </c>
      <c r="F497" s="6">
        <f>IFERROR(VLOOKUP($D497,[1]Balanza!$A$3:$K$852,10,0)-VLOOKUP($D497,[1]Balanza!$A$3:$K$852,11,0),0)</f>
        <v>0</v>
      </c>
    </row>
    <row r="498" spans="1:6" x14ac:dyDescent="0.3">
      <c r="A498" s="2" t="s">
        <v>929</v>
      </c>
      <c r="B498" s="2" t="s">
        <v>930</v>
      </c>
      <c r="C498" t="s">
        <v>3090</v>
      </c>
      <c r="D498" s="5" t="s">
        <v>3593</v>
      </c>
      <c r="E498" s="6">
        <f>IFERROR(VLOOKUP($D498,[1]Balanza!$A$3:$K$852,6,0)-VLOOKUP(D498,[1]Balanza!$A$3:$K$852,7,0),0)</f>
        <v>0</v>
      </c>
      <c r="F498" s="6">
        <f>IFERROR(VLOOKUP($D498,[1]Balanza!$A$3:$K$852,10,0)-VLOOKUP($D498,[1]Balanza!$A$3:$K$852,11,0),0)</f>
        <v>0</v>
      </c>
    </row>
    <row r="499" spans="1:6" x14ac:dyDescent="0.3">
      <c r="A499" s="2" t="s">
        <v>931</v>
      </c>
      <c r="B499" s="2" t="s">
        <v>932</v>
      </c>
      <c r="C499" t="s">
        <v>3090</v>
      </c>
      <c r="D499" s="5" t="s">
        <v>3594</v>
      </c>
      <c r="E499" s="6">
        <f>IFERROR(VLOOKUP($D499,[1]Balanza!$A$3:$K$852,6,0)-VLOOKUP(D499,[1]Balanza!$A$3:$K$852,7,0),0)</f>
        <v>0</v>
      </c>
      <c r="F499" s="6">
        <f>IFERROR(VLOOKUP($D499,[1]Balanza!$A$3:$K$852,10,0)-VLOOKUP($D499,[1]Balanza!$A$3:$K$852,11,0),0)</f>
        <v>0</v>
      </c>
    </row>
    <row r="500" spans="1:6" x14ac:dyDescent="0.3">
      <c r="A500" s="2" t="s">
        <v>933</v>
      </c>
      <c r="B500" s="2" t="s">
        <v>934</v>
      </c>
      <c r="C500" t="s">
        <v>3090</v>
      </c>
      <c r="D500" s="5" t="s">
        <v>3595</v>
      </c>
      <c r="E500" s="6">
        <f>IFERROR(VLOOKUP($D500,[1]Balanza!$A$3:$K$852,6,0)-VLOOKUP(D500,[1]Balanza!$A$3:$K$852,7,0),0)</f>
        <v>0</v>
      </c>
      <c r="F500" s="6">
        <f>IFERROR(VLOOKUP($D500,[1]Balanza!$A$3:$K$852,10,0)-VLOOKUP($D500,[1]Balanza!$A$3:$K$852,11,0),0)</f>
        <v>0</v>
      </c>
    </row>
    <row r="501" spans="1:6" x14ac:dyDescent="0.3">
      <c r="A501" s="2" t="s">
        <v>935</v>
      </c>
      <c r="B501" s="2" t="s">
        <v>431</v>
      </c>
      <c r="C501" t="s">
        <v>3090</v>
      </c>
      <c r="D501" s="5" t="s">
        <v>3596</v>
      </c>
      <c r="E501" s="6">
        <f>IFERROR(VLOOKUP($D501,[1]Balanza!$A$3:$K$852,6,0)-VLOOKUP(D501,[1]Balanza!$A$3:$K$852,7,0),0)</f>
        <v>0</v>
      </c>
      <c r="F501" s="6">
        <f>IFERROR(VLOOKUP($D501,[1]Balanza!$A$3:$K$852,10,0)-VLOOKUP($D501,[1]Balanza!$A$3:$K$852,11,0),0)</f>
        <v>0</v>
      </c>
    </row>
    <row r="502" spans="1:6" x14ac:dyDescent="0.3">
      <c r="A502" s="2" t="s">
        <v>936</v>
      </c>
      <c r="B502" s="2" t="s">
        <v>937</v>
      </c>
      <c r="C502" t="s">
        <v>3090</v>
      </c>
      <c r="D502" s="5" t="s">
        <v>3597</v>
      </c>
      <c r="E502" s="6">
        <f>IFERROR(VLOOKUP($D502,[1]Balanza!$A$3:$K$852,6,0)-VLOOKUP(D502,[1]Balanza!$A$3:$K$852,7,0),0)</f>
        <v>0</v>
      </c>
      <c r="F502" s="6">
        <f>IFERROR(VLOOKUP($D502,[1]Balanza!$A$3:$K$852,10,0)-VLOOKUP($D502,[1]Balanza!$A$3:$K$852,11,0),0)</f>
        <v>0</v>
      </c>
    </row>
    <row r="503" spans="1:6" x14ac:dyDescent="0.3">
      <c r="A503" s="2" t="s">
        <v>938</v>
      </c>
      <c r="B503" s="2" t="s">
        <v>939</v>
      </c>
      <c r="C503" t="s">
        <v>3090</v>
      </c>
      <c r="D503" s="5" t="s">
        <v>3598</v>
      </c>
      <c r="E503" s="6">
        <f>IFERROR(VLOOKUP($D503,[1]Balanza!$A$3:$K$852,6,0)-VLOOKUP(D503,[1]Balanza!$A$3:$K$852,7,0),0)</f>
        <v>0</v>
      </c>
      <c r="F503" s="6">
        <f>IFERROR(VLOOKUP($D503,[1]Balanza!$A$3:$K$852,10,0)-VLOOKUP($D503,[1]Balanza!$A$3:$K$852,11,0),0)</f>
        <v>0</v>
      </c>
    </row>
    <row r="504" spans="1:6" x14ac:dyDescent="0.3">
      <c r="A504" s="2" t="s">
        <v>940</v>
      </c>
      <c r="B504" s="2" t="s">
        <v>941</v>
      </c>
      <c r="C504" t="s">
        <v>3090</v>
      </c>
      <c r="D504" s="5" t="s">
        <v>3599</v>
      </c>
      <c r="E504" s="6">
        <f>IFERROR(VLOOKUP($D504,[1]Balanza!$A$3:$K$852,6,0)-VLOOKUP(D504,[1]Balanza!$A$3:$K$852,7,0),0)</f>
        <v>0</v>
      </c>
      <c r="F504" s="6">
        <f>IFERROR(VLOOKUP($D504,[1]Balanza!$A$3:$K$852,10,0)-VLOOKUP($D504,[1]Balanza!$A$3:$K$852,11,0),0)</f>
        <v>0</v>
      </c>
    </row>
    <row r="505" spans="1:6" x14ac:dyDescent="0.3">
      <c r="A505" s="2" t="s">
        <v>942</v>
      </c>
      <c r="B505" s="2" t="s">
        <v>943</v>
      </c>
      <c r="C505" t="s">
        <v>3090</v>
      </c>
      <c r="D505" s="5" t="s">
        <v>3600</v>
      </c>
      <c r="E505" s="6">
        <f>IFERROR(VLOOKUP($D505,[1]Balanza!$A$3:$K$852,6,0)-VLOOKUP(D505,[1]Balanza!$A$3:$K$852,7,0),0)</f>
        <v>0</v>
      </c>
      <c r="F505" s="6">
        <f>IFERROR(VLOOKUP($D505,[1]Balanza!$A$3:$K$852,10,0)-VLOOKUP($D505,[1]Balanza!$A$3:$K$852,11,0),0)</f>
        <v>0</v>
      </c>
    </row>
    <row r="506" spans="1:6" x14ac:dyDescent="0.3">
      <c r="A506" s="2" t="s">
        <v>944</v>
      </c>
      <c r="B506" s="2" t="s">
        <v>945</v>
      </c>
      <c r="C506" t="s">
        <v>3090</v>
      </c>
      <c r="D506" s="5" t="s">
        <v>3601</v>
      </c>
      <c r="E506" s="6">
        <f>IFERROR(VLOOKUP($D506,[1]Balanza!$A$3:$K$852,6,0)-VLOOKUP(D506,[1]Balanza!$A$3:$K$852,7,0),0)</f>
        <v>0</v>
      </c>
      <c r="F506" s="6">
        <f>IFERROR(VLOOKUP($D506,[1]Balanza!$A$3:$K$852,10,0)-VLOOKUP($D506,[1]Balanza!$A$3:$K$852,11,0),0)</f>
        <v>0</v>
      </c>
    </row>
    <row r="507" spans="1:6" x14ac:dyDescent="0.3">
      <c r="A507" s="2" t="s">
        <v>946</v>
      </c>
      <c r="B507" s="2" t="s">
        <v>947</v>
      </c>
      <c r="C507" t="s">
        <v>3090</v>
      </c>
      <c r="D507" s="5" t="s">
        <v>3602</v>
      </c>
      <c r="E507" s="6">
        <f>IFERROR(VLOOKUP($D507,[1]Balanza!$A$3:$K$852,6,0)-VLOOKUP(D507,[1]Balanza!$A$3:$K$852,7,0),0)</f>
        <v>0</v>
      </c>
      <c r="F507" s="6">
        <f>IFERROR(VLOOKUP($D507,[1]Balanza!$A$3:$K$852,10,0)-VLOOKUP($D507,[1]Balanza!$A$3:$K$852,11,0),0)</f>
        <v>0</v>
      </c>
    </row>
    <row r="508" spans="1:6" x14ac:dyDescent="0.3">
      <c r="A508" s="2" t="s">
        <v>948</v>
      </c>
      <c r="B508" s="2" t="s">
        <v>949</v>
      </c>
      <c r="C508" t="s">
        <v>3090</v>
      </c>
      <c r="D508" s="5" t="s">
        <v>3603</v>
      </c>
      <c r="E508" s="6">
        <f>IFERROR(VLOOKUP($D508,[1]Balanza!$A$3:$K$852,6,0)-VLOOKUP(D508,[1]Balanza!$A$3:$K$852,7,0),0)</f>
        <v>0</v>
      </c>
      <c r="F508" s="6">
        <f>IFERROR(VLOOKUP($D508,[1]Balanza!$A$3:$K$852,10,0)-VLOOKUP($D508,[1]Balanza!$A$3:$K$852,11,0),0)</f>
        <v>0</v>
      </c>
    </row>
    <row r="509" spans="1:6" x14ac:dyDescent="0.3">
      <c r="A509" s="2" t="s">
        <v>950</v>
      </c>
      <c r="B509" s="2" t="s">
        <v>411</v>
      </c>
      <c r="C509" t="s">
        <v>3090</v>
      </c>
      <c r="D509" s="5" t="s">
        <v>3604</v>
      </c>
      <c r="E509" s="6">
        <f>IFERROR(VLOOKUP($D509,[1]Balanza!$A$3:$K$852,6,0)-VLOOKUP(D509,[1]Balanza!$A$3:$K$852,7,0),0)</f>
        <v>0</v>
      </c>
      <c r="F509" s="6">
        <f>IFERROR(VLOOKUP($D509,[1]Balanza!$A$3:$K$852,10,0)-VLOOKUP($D509,[1]Balanza!$A$3:$K$852,11,0),0)</f>
        <v>0</v>
      </c>
    </row>
    <row r="510" spans="1:6" x14ac:dyDescent="0.3">
      <c r="A510" s="2" t="s">
        <v>951</v>
      </c>
      <c r="B510" s="2" t="s">
        <v>952</v>
      </c>
      <c r="C510" t="s">
        <v>3090</v>
      </c>
      <c r="D510" s="5" t="s">
        <v>3605</v>
      </c>
      <c r="E510" s="6">
        <f>IFERROR(VLOOKUP($D510,[1]Balanza!$A$3:$K$852,6,0)-VLOOKUP(D510,[1]Balanza!$A$3:$K$852,7,0),0)</f>
        <v>0</v>
      </c>
      <c r="F510" s="6">
        <f>IFERROR(VLOOKUP($D510,[1]Balanza!$A$3:$K$852,10,0)-VLOOKUP($D510,[1]Balanza!$A$3:$K$852,11,0),0)</f>
        <v>0</v>
      </c>
    </row>
    <row r="511" spans="1:6" x14ac:dyDescent="0.3">
      <c r="A511" s="2" t="s">
        <v>953</v>
      </c>
      <c r="B511" s="2" t="s">
        <v>954</v>
      </c>
      <c r="C511" t="s">
        <v>3090</v>
      </c>
      <c r="D511" s="5" t="s">
        <v>3606</v>
      </c>
      <c r="E511" s="6">
        <f>IFERROR(VLOOKUP($D511,[1]Balanza!$A$3:$K$852,6,0)-VLOOKUP(D511,[1]Balanza!$A$3:$K$852,7,0),0)</f>
        <v>0</v>
      </c>
      <c r="F511" s="6">
        <f>IFERROR(VLOOKUP($D511,[1]Balanza!$A$3:$K$852,10,0)-VLOOKUP($D511,[1]Balanza!$A$3:$K$852,11,0),0)</f>
        <v>0</v>
      </c>
    </row>
    <row r="512" spans="1:6" x14ac:dyDescent="0.3">
      <c r="A512" s="2" t="s">
        <v>955</v>
      </c>
      <c r="B512" s="2" t="s">
        <v>956</v>
      </c>
      <c r="C512" t="s">
        <v>3090</v>
      </c>
      <c r="D512" s="5" t="s">
        <v>3607</v>
      </c>
      <c r="E512" s="6">
        <f>IFERROR(VLOOKUP($D512,[1]Balanza!$A$3:$K$852,6,0)-VLOOKUP(D512,[1]Balanza!$A$3:$K$852,7,0),0)</f>
        <v>0</v>
      </c>
      <c r="F512" s="6">
        <f>IFERROR(VLOOKUP($D512,[1]Balanza!$A$3:$K$852,10,0)-VLOOKUP($D512,[1]Balanza!$A$3:$K$852,11,0),0)</f>
        <v>0</v>
      </c>
    </row>
    <row r="513" spans="1:6" x14ac:dyDescent="0.3">
      <c r="A513" s="2" t="s">
        <v>957</v>
      </c>
      <c r="B513" s="2" t="s">
        <v>958</v>
      </c>
      <c r="C513" t="s">
        <v>3090</v>
      </c>
      <c r="D513" s="5" t="s">
        <v>3608</v>
      </c>
      <c r="E513" s="6">
        <f>IFERROR(VLOOKUP($D513,[1]Balanza!$A$3:$K$852,6,0)-VLOOKUP(D513,[1]Balanza!$A$3:$K$852,7,0),0)</f>
        <v>0</v>
      </c>
      <c r="F513" s="6">
        <f>IFERROR(VLOOKUP($D513,[1]Balanza!$A$3:$K$852,10,0)-VLOOKUP($D513,[1]Balanza!$A$3:$K$852,11,0),0)</f>
        <v>0</v>
      </c>
    </row>
    <row r="514" spans="1:6" x14ac:dyDescent="0.3">
      <c r="A514" s="2" t="s">
        <v>959</v>
      </c>
      <c r="B514" s="2" t="s">
        <v>960</v>
      </c>
      <c r="C514" t="s">
        <v>3090</v>
      </c>
      <c r="D514" s="5" t="s">
        <v>3609</v>
      </c>
      <c r="E514" s="6">
        <f>IFERROR(VLOOKUP($D514,[1]Balanza!$A$3:$K$852,6,0)-VLOOKUP(D514,[1]Balanza!$A$3:$K$852,7,0),0)</f>
        <v>0</v>
      </c>
      <c r="F514" s="6">
        <f>IFERROR(VLOOKUP($D514,[1]Balanza!$A$3:$K$852,10,0)-VLOOKUP($D514,[1]Balanza!$A$3:$K$852,11,0),0)</f>
        <v>0</v>
      </c>
    </row>
    <row r="515" spans="1:6" x14ac:dyDescent="0.3">
      <c r="A515" s="2" t="s">
        <v>961</v>
      </c>
      <c r="B515" s="2" t="s">
        <v>962</v>
      </c>
      <c r="C515" t="s">
        <v>3090</v>
      </c>
      <c r="D515" s="5" t="s">
        <v>3610</v>
      </c>
      <c r="E515" s="6">
        <f>IFERROR(VLOOKUP($D515,[1]Balanza!$A$3:$K$852,6,0)-VLOOKUP(D515,[1]Balanza!$A$3:$K$852,7,0),0)</f>
        <v>0</v>
      </c>
      <c r="F515" s="6">
        <f>IFERROR(VLOOKUP($D515,[1]Balanza!$A$3:$K$852,10,0)-VLOOKUP($D515,[1]Balanza!$A$3:$K$852,11,0),0)</f>
        <v>0</v>
      </c>
    </row>
    <row r="516" spans="1:6" x14ac:dyDescent="0.3">
      <c r="A516" s="2" t="s">
        <v>963</v>
      </c>
      <c r="B516" s="2" t="s">
        <v>964</v>
      </c>
      <c r="C516" t="s">
        <v>3090</v>
      </c>
      <c r="D516" s="5" t="s">
        <v>3611</v>
      </c>
      <c r="E516" s="6">
        <f>IFERROR(VLOOKUP($D516,[1]Balanza!$A$3:$K$852,6,0)-VLOOKUP(D516,[1]Balanza!$A$3:$K$852,7,0),0)</f>
        <v>0</v>
      </c>
      <c r="F516" s="6">
        <f>IFERROR(VLOOKUP($D516,[1]Balanza!$A$3:$K$852,10,0)-VLOOKUP($D516,[1]Balanza!$A$3:$K$852,11,0),0)</f>
        <v>0</v>
      </c>
    </row>
    <row r="517" spans="1:6" x14ac:dyDescent="0.3">
      <c r="A517" s="2" t="s">
        <v>965</v>
      </c>
      <c r="B517" s="2" t="s">
        <v>966</v>
      </c>
      <c r="C517" t="s">
        <v>3090</v>
      </c>
      <c r="D517" s="5" t="s">
        <v>3612</v>
      </c>
      <c r="E517" s="6">
        <f>IFERROR(VLOOKUP($D517,[1]Balanza!$A$3:$K$852,6,0)-VLOOKUP(D517,[1]Balanza!$A$3:$K$852,7,0),0)</f>
        <v>0</v>
      </c>
      <c r="F517" s="6">
        <f>IFERROR(VLOOKUP($D517,[1]Balanza!$A$3:$K$852,10,0)-VLOOKUP($D517,[1]Balanza!$A$3:$K$852,11,0),0)</f>
        <v>0</v>
      </c>
    </row>
    <row r="518" spans="1:6" x14ac:dyDescent="0.3">
      <c r="A518" s="2" t="s">
        <v>967</v>
      </c>
      <c r="B518" s="2" t="s">
        <v>968</v>
      </c>
      <c r="C518" t="s">
        <v>3090</v>
      </c>
      <c r="D518" s="5" t="s">
        <v>3613</v>
      </c>
      <c r="E518" s="6">
        <f>IFERROR(VLOOKUP($D518,[1]Balanza!$A$3:$K$852,6,0)-VLOOKUP(D518,[1]Balanza!$A$3:$K$852,7,0),0)</f>
        <v>0</v>
      </c>
      <c r="F518" s="6">
        <f>IFERROR(VLOOKUP($D518,[1]Balanza!$A$3:$K$852,10,0)-VLOOKUP($D518,[1]Balanza!$A$3:$K$852,11,0),0)</f>
        <v>0</v>
      </c>
    </row>
    <row r="519" spans="1:6" x14ac:dyDescent="0.3">
      <c r="A519" s="2" t="s">
        <v>969</v>
      </c>
      <c r="B519" s="2" t="s">
        <v>970</v>
      </c>
      <c r="C519" t="s">
        <v>3090</v>
      </c>
      <c r="D519" s="5" t="s">
        <v>3614</v>
      </c>
      <c r="E519" s="6">
        <f>IFERROR(VLOOKUP($D519,[1]Balanza!$A$3:$K$852,6,0)-VLOOKUP(D519,[1]Balanza!$A$3:$K$852,7,0),0)</f>
        <v>0</v>
      </c>
      <c r="F519" s="6">
        <f>IFERROR(VLOOKUP($D519,[1]Balanza!$A$3:$K$852,10,0)-VLOOKUP($D519,[1]Balanza!$A$3:$K$852,11,0),0)</f>
        <v>0</v>
      </c>
    </row>
    <row r="520" spans="1:6" x14ac:dyDescent="0.3">
      <c r="A520" s="2" t="s">
        <v>971</v>
      </c>
      <c r="B520" s="2" t="s">
        <v>972</v>
      </c>
      <c r="C520" t="s">
        <v>3090</v>
      </c>
      <c r="D520" s="5" t="s">
        <v>3615</v>
      </c>
      <c r="E520" s="6">
        <f>IFERROR(VLOOKUP($D520,[1]Balanza!$A$3:$K$852,6,0)-VLOOKUP(D520,[1]Balanza!$A$3:$K$852,7,0),0)</f>
        <v>0</v>
      </c>
      <c r="F520" s="6">
        <f>IFERROR(VLOOKUP($D520,[1]Balanza!$A$3:$K$852,10,0)-VLOOKUP($D520,[1]Balanza!$A$3:$K$852,11,0),0)</f>
        <v>0</v>
      </c>
    </row>
    <row r="521" spans="1:6" x14ac:dyDescent="0.3">
      <c r="A521" s="2" t="s">
        <v>973</v>
      </c>
      <c r="B521" s="2" t="s">
        <v>974</v>
      </c>
      <c r="C521" t="s">
        <v>3090</v>
      </c>
      <c r="D521" s="5" t="s">
        <v>3616</v>
      </c>
      <c r="E521" s="6">
        <f>IFERROR(VLOOKUP($D521,[1]Balanza!$A$3:$K$852,6,0)-VLOOKUP(D521,[1]Balanza!$A$3:$K$852,7,0),0)</f>
        <v>0</v>
      </c>
      <c r="F521" s="6">
        <f>IFERROR(VLOOKUP($D521,[1]Balanza!$A$3:$K$852,10,0)-VLOOKUP($D521,[1]Balanza!$A$3:$K$852,11,0),0)</f>
        <v>0</v>
      </c>
    </row>
    <row r="522" spans="1:6" x14ac:dyDescent="0.3">
      <c r="A522" s="2" t="s">
        <v>975</v>
      </c>
      <c r="B522" s="2" t="s">
        <v>916</v>
      </c>
      <c r="C522" t="s">
        <v>3090</v>
      </c>
      <c r="D522" s="5" t="s">
        <v>3617</v>
      </c>
      <c r="E522" s="6">
        <f>IFERROR(VLOOKUP($D522,[1]Balanza!$A$3:$K$852,6,0)-VLOOKUP(D522,[1]Balanza!$A$3:$K$852,7,0),0)</f>
        <v>0</v>
      </c>
      <c r="F522" s="6">
        <f>IFERROR(VLOOKUP($D522,[1]Balanza!$A$3:$K$852,10,0)-VLOOKUP($D522,[1]Balanza!$A$3:$K$852,11,0),0)</f>
        <v>0</v>
      </c>
    </row>
    <row r="523" spans="1:6" x14ac:dyDescent="0.3">
      <c r="A523" s="2" t="s">
        <v>976</v>
      </c>
      <c r="B523" s="2" t="s">
        <v>918</v>
      </c>
      <c r="C523" t="s">
        <v>3090</v>
      </c>
      <c r="D523" s="5" t="s">
        <v>3618</v>
      </c>
      <c r="E523" s="6">
        <f>IFERROR(VLOOKUP($D523,[1]Balanza!$A$3:$K$852,6,0)-VLOOKUP(D523,[1]Balanza!$A$3:$K$852,7,0),0)</f>
        <v>0</v>
      </c>
      <c r="F523" s="6">
        <f>IFERROR(VLOOKUP($D523,[1]Balanza!$A$3:$K$852,10,0)-VLOOKUP($D523,[1]Balanza!$A$3:$K$852,11,0),0)</f>
        <v>0</v>
      </c>
    </row>
    <row r="524" spans="1:6" x14ac:dyDescent="0.3">
      <c r="A524" s="2" t="s">
        <v>977</v>
      </c>
      <c r="B524" s="2" t="s">
        <v>920</v>
      </c>
      <c r="C524" t="s">
        <v>3090</v>
      </c>
      <c r="D524" s="5" t="s">
        <v>3619</v>
      </c>
      <c r="E524" s="6">
        <f>IFERROR(VLOOKUP($D524,[1]Balanza!$A$3:$K$852,6,0)-VLOOKUP(D524,[1]Balanza!$A$3:$K$852,7,0),0)</f>
        <v>0</v>
      </c>
      <c r="F524" s="6">
        <f>IFERROR(VLOOKUP($D524,[1]Balanza!$A$3:$K$852,10,0)-VLOOKUP($D524,[1]Balanza!$A$3:$K$852,11,0),0)</f>
        <v>0</v>
      </c>
    </row>
    <row r="525" spans="1:6" x14ac:dyDescent="0.3">
      <c r="A525" s="2" t="s">
        <v>978</v>
      </c>
      <c r="B525" s="2" t="s">
        <v>922</v>
      </c>
      <c r="C525" t="s">
        <v>3090</v>
      </c>
      <c r="D525" s="5" t="s">
        <v>3620</v>
      </c>
      <c r="E525" s="6">
        <f>IFERROR(VLOOKUP($D525,[1]Balanza!$A$3:$K$852,6,0)-VLOOKUP(D525,[1]Balanza!$A$3:$K$852,7,0),0)</f>
        <v>0</v>
      </c>
      <c r="F525" s="6">
        <f>IFERROR(VLOOKUP($D525,[1]Balanza!$A$3:$K$852,10,0)-VLOOKUP($D525,[1]Balanza!$A$3:$K$852,11,0),0)</f>
        <v>0</v>
      </c>
    </row>
    <row r="526" spans="1:6" x14ac:dyDescent="0.3">
      <c r="A526" s="2" t="s">
        <v>979</v>
      </c>
      <c r="B526" s="2" t="s">
        <v>924</v>
      </c>
      <c r="C526" t="s">
        <v>3090</v>
      </c>
      <c r="D526" s="5" t="s">
        <v>3621</v>
      </c>
      <c r="E526" s="6">
        <f>IFERROR(VLOOKUP($D526,[1]Balanza!$A$3:$K$852,6,0)-VLOOKUP(D526,[1]Balanza!$A$3:$K$852,7,0),0)</f>
        <v>0</v>
      </c>
      <c r="F526" s="6">
        <f>IFERROR(VLOOKUP($D526,[1]Balanza!$A$3:$K$852,10,0)-VLOOKUP($D526,[1]Balanza!$A$3:$K$852,11,0),0)</f>
        <v>0</v>
      </c>
    </row>
    <row r="527" spans="1:6" x14ac:dyDescent="0.3">
      <c r="A527" s="2" t="s">
        <v>980</v>
      </c>
      <c r="B527" s="2" t="s">
        <v>926</v>
      </c>
      <c r="C527" t="s">
        <v>3090</v>
      </c>
      <c r="D527" s="5" t="s">
        <v>3622</v>
      </c>
      <c r="E527" s="6">
        <f>IFERROR(VLOOKUP($D527,[1]Balanza!$A$3:$K$852,6,0)-VLOOKUP(D527,[1]Balanza!$A$3:$K$852,7,0),0)</f>
        <v>0</v>
      </c>
      <c r="F527" s="6">
        <f>IFERROR(VLOOKUP($D527,[1]Balanza!$A$3:$K$852,10,0)-VLOOKUP($D527,[1]Balanza!$A$3:$K$852,11,0),0)</f>
        <v>0</v>
      </c>
    </row>
    <row r="528" spans="1:6" x14ac:dyDescent="0.3">
      <c r="A528" s="2" t="s">
        <v>981</v>
      </c>
      <c r="B528" s="2" t="s">
        <v>928</v>
      </c>
      <c r="C528" t="s">
        <v>3090</v>
      </c>
      <c r="D528" s="5" t="s">
        <v>3623</v>
      </c>
      <c r="E528" s="6">
        <f>IFERROR(VLOOKUP($D528,[1]Balanza!$A$3:$K$852,6,0)-VLOOKUP(D528,[1]Balanza!$A$3:$K$852,7,0),0)</f>
        <v>0</v>
      </c>
      <c r="F528" s="6">
        <f>IFERROR(VLOOKUP($D528,[1]Balanza!$A$3:$K$852,10,0)-VLOOKUP($D528,[1]Balanza!$A$3:$K$852,11,0),0)</f>
        <v>26000</v>
      </c>
    </row>
    <row r="529" spans="1:6" x14ac:dyDescent="0.3">
      <c r="A529" s="2" t="s">
        <v>982</v>
      </c>
      <c r="B529" s="2" t="s">
        <v>930</v>
      </c>
      <c r="C529" t="s">
        <v>3090</v>
      </c>
      <c r="D529" s="5" t="s">
        <v>3624</v>
      </c>
      <c r="E529" s="6">
        <f>IFERROR(VLOOKUP($D529,[1]Balanza!$A$3:$K$852,6,0)-VLOOKUP(D529,[1]Balanza!$A$3:$K$852,7,0),0)</f>
        <v>-1780</v>
      </c>
      <c r="F529" s="6">
        <f>IFERROR(VLOOKUP($D529,[1]Balanza!$A$3:$K$852,10,0)-VLOOKUP($D529,[1]Balanza!$A$3:$K$852,11,0),0)</f>
        <v>0</v>
      </c>
    </row>
    <row r="530" spans="1:6" x14ac:dyDescent="0.3">
      <c r="A530" s="2" t="s">
        <v>983</v>
      </c>
      <c r="B530" s="2" t="s">
        <v>932</v>
      </c>
      <c r="C530" t="s">
        <v>3090</v>
      </c>
      <c r="D530" s="5" t="s">
        <v>3625</v>
      </c>
      <c r="E530" s="6">
        <f>IFERROR(VLOOKUP($D530,[1]Balanza!$A$3:$K$852,6,0)-VLOOKUP(D530,[1]Balanza!$A$3:$K$852,7,0),0)</f>
        <v>1780</v>
      </c>
      <c r="F530" s="6">
        <f>IFERROR(VLOOKUP($D530,[1]Balanza!$A$3:$K$852,10,0)-VLOOKUP($D530,[1]Balanza!$A$3:$K$852,11,0),0)</f>
        <v>0</v>
      </c>
    </row>
    <row r="531" spans="1:6" x14ac:dyDescent="0.3">
      <c r="A531" s="2" t="s">
        <v>984</v>
      </c>
      <c r="B531" s="2" t="s">
        <v>934</v>
      </c>
      <c r="C531" t="s">
        <v>3090</v>
      </c>
      <c r="D531" s="5" t="s">
        <v>3626</v>
      </c>
      <c r="E531" s="6">
        <f>IFERROR(VLOOKUP($D531,[1]Balanza!$A$3:$K$852,6,0)-VLOOKUP(D531,[1]Balanza!$A$3:$K$852,7,0),0)</f>
        <v>0</v>
      </c>
      <c r="F531" s="6">
        <f>IFERROR(VLOOKUP($D531,[1]Balanza!$A$3:$K$852,10,0)-VLOOKUP($D531,[1]Balanza!$A$3:$K$852,11,0),0)</f>
        <v>0</v>
      </c>
    </row>
    <row r="532" spans="1:6" x14ac:dyDescent="0.3">
      <c r="A532" s="2" t="s">
        <v>985</v>
      </c>
      <c r="B532" s="2" t="s">
        <v>431</v>
      </c>
      <c r="C532" t="s">
        <v>3090</v>
      </c>
      <c r="D532" s="5" t="s">
        <v>3627</v>
      </c>
      <c r="E532" s="6">
        <f>IFERROR(VLOOKUP($D532,[1]Balanza!$A$3:$K$852,6,0)-VLOOKUP(D532,[1]Balanza!$A$3:$K$852,7,0),0)</f>
        <v>0</v>
      </c>
      <c r="F532" s="6">
        <f>IFERROR(VLOOKUP($D532,[1]Balanza!$A$3:$K$852,10,0)-VLOOKUP($D532,[1]Balanza!$A$3:$K$852,11,0),0)</f>
        <v>0</v>
      </c>
    </row>
    <row r="533" spans="1:6" x14ac:dyDescent="0.3">
      <c r="A533" s="2" t="s">
        <v>986</v>
      </c>
      <c r="B533" s="2" t="s">
        <v>937</v>
      </c>
      <c r="C533" t="s">
        <v>3090</v>
      </c>
      <c r="D533" s="5" t="s">
        <v>3628</v>
      </c>
      <c r="E533" s="6">
        <f>IFERROR(VLOOKUP($D533,[1]Balanza!$A$3:$K$852,6,0)-VLOOKUP(D533,[1]Balanza!$A$3:$K$852,7,0),0)</f>
        <v>0</v>
      </c>
      <c r="F533" s="6">
        <f>IFERROR(VLOOKUP($D533,[1]Balanza!$A$3:$K$852,10,0)-VLOOKUP($D533,[1]Balanza!$A$3:$K$852,11,0),0)</f>
        <v>0</v>
      </c>
    </row>
    <row r="534" spans="1:6" x14ac:dyDescent="0.3">
      <c r="A534" s="2" t="s">
        <v>987</v>
      </c>
      <c r="B534" s="2" t="s">
        <v>939</v>
      </c>
      <c r="C534" t="s">
        <v>3090</v>
      </c>
      <c r="D534" s="5" t="s">
        <v>3629</v>
      </c>
      <c r="E534" s="6">
        <f>IFERROR(VLOOKUP($D534,[1]Balanza!$A$3:$K$852,6,0)-VLOOKUP(D534,[1]Balanza!$A$3:$K$852,7,0),0)</f>
        <v>0</v>
      </c>
      <c r="F534" s="6">
        <f>IFERROR(VLOOKUP($D534,[1]Balanza!$A$3:$K$852,10,0)-VLOOKUP($D534,[1]Balanza!$A$3:$K$852,11,0),0)</f>
        <v>0</v>
      </c>
    </row>
    <row r="535" spans="1:6" x14ac:dyDescent="0.3">
      <c r="A535" s="2" t="s">
        <v>988</v>
      </c>
      <c r="B535" s="2" t="s">
        <v>941</v>
      </c>
      <c r="C535" t="s">
        <v>3090</v>
      </c>
      <c r="D535" s="5" t="s">
        <v>3630</v>
      </c>
      <c r="E535" s="6">
        <f>IFERROR(VLOOKUP($D535,[1]Balanza!$A$3:$K$852,6,0)-VLOOKUP(D535,[1]Balanza!$A$3:$K$852,7,0),0)</f>
        <v>0</v>
      </c>
      <c r="F535" s="6">
        <f>IFERROR(VLOOKUP($D535,[1]Balanza!$A$3:$K$852,10,0)-VLOOKUP($D535,[1]Balanza!$A$3:$K$852,11,0),0)</f>
        <v>0</v>
      </c>
    </row>
    <row r="536" spans="1:6" x14ac:dyDescent="0.3">
      <c r="A536" s="2" t="s">
        <v>989</v>
      </c>
      <c r="B536" s="2" t="s">
        <v>943</v>
      </c>
      <c r="C536" t="s">
        <v>3090</v>
      </c>
      <c r="D536" s="5" t="s">
        <v>3631</v>
      </c>
      <c r="E536" s="6">
        <f>IFERROR(VLOOKUP($D536,[1]Balanza!$A$3:$K$852,6,0)-VLOOKUP(D536,[1]Balanza!$A$3:$K$852,7,0),0)</f>
        <v>0</v>
      </c>
      <c r="F536" s="6">
        <f>IFERROR(VLOOKUP($D536,[1]Balanza!$A$3:$K$852,10,0)-VLOOKUP($D536,[1]Balanza!$A$3:$K$852,11,0),0)</f>
        <v>0</v>
      </c>
    </row>
    <row r="537" spans="1:6" x14ac:dyDescent="0.3">
      <c r="A537" s="2" t="s">
        <v>990</v>
      </c>
      <c r="B537" s="2" t="s">
        <v>945</v>
      </c>
      <c r="C537" t="s">
        <v>3090</v>
      </c>
      <c r="D537" s="5" t="s">
        <v>3632</v>
      </c>
      <c r="E537" s="6">
        <f>IFERROR(VLOOKUP($D537,[1]Balanza!$A$3:$K$852,6,0)-VLOOKUP(D537,[1]Balanza!$A$3:$K$852,7,0),0)</f>
        <v>0</v>
      </c>
      <c r="F537" s="6">
        <f>IFERROR(VLOOKUP($D537,[1]Balanza!$A$3:$K$852,10,0)-VLOOKUP($D537,[1]Balanza!$A$3:$K$852,11,0),0)</f>
        <v>0</v>
      </c>
    </row>
    <row r="538" spans="1:6" x14ac:dyDescent="0.3">
      <c r="A538" s="2" t="s">
        <v>991</v>
      </c>
      <c r="B538" s="2" t="s">
        <v>947</v>
      </c>
      <c r="C538" t="s">
        <v>3090</v>
      </c>
      <c r="D538" s="5" t="s">
        <v>3633</v>
      </c>
      <c r="E538" s="6">
        <f>IFERROR(VLOOKUP($D538,[1]Balanza!$A$3:$K$852,6,0)-VLOOKUP(D538,[1]Balanza!$A$3:$K$852,7,0),0)</f>
        <v>0</v>
      </c>
      <c r="F538" s="6">
        <f>IFERROR(VLOOKUP($D538,[1]Balanza!$A$3:$K$852,10,0)-VLOOKUP($D538,[1]Balanza!$A$3:$K$852,11,0),0)</f>
        <v>0</v>
      </c>
    </row>
    <row r="539" spans="1:6" x14ac:dyDescent="0.3">
      <c r="A539" s="2" t="s">
        <v>992</v>
      </c>
      <c r="B539" s="2" t="s">
        <v>949</v>
      </c>
      <c r="C539" t="s">
        <v>3090</v>
      </c>
      <c r="D539" s="5" t="s">
        <v>3634</v>
      </c>
      <c r="E539" s="6">
        <f>IFERROR(VLOOKUP($D539,[1]Balanza!$A$3:$K$852,6,0)-VLOOKUP(D539,[1]Balanza!$A$3:$K$852,7,0),0)</f>
        <v>0</v>
      </c>
      <c r="F539" s="6">
        <f>IFERROR(VLOOKUP($D539,[1]Balanza!$A$3:$K$852,10,0)-VLOOKUP($D539,[1]Balanza!$A$3:$K$852,11,0),0)</f>
        <v>0</v>
      </c>
    </row>
    <row r="540" spans="1:6" x14ac:dyDescent="0.3">
      <c r="A540" s="2" t="s">
        <v>993</v>
      </c>
      <c r="B540" s="2" t="s">
        <v>411</v>
      </c>
      <c r="C540" t="s">
        <v>3090</v>
      </c>
      <c r="D540" s="5" t="s">
        <v>3635</v>
      </c>
      <c r="E540" s="6">
        <f>IFERROR(VLOOKUP($D540,[1]Balanza!$A$3:$K$852,6,0)-VLOOKUP(D540,[1]Balanza!$A$3:$K$852,7,0),0)</f>
        <v>0</v>
      </c>
      <c r="F540" s="6">
        <f>IFERROR(VLOOKUP($D540,[1]Balanza!$A$3:$K$852,10,0)-VLOOKUP($D540,[1]Balanza!$A$3:$K$852,11,0),0)</f>
        <v>0</v>
      </c>
    </row>
    <row r="541" spans="1:6" x14ac:dyDescent="0.3">
      <c r="A541" s="2" t="s">
        <v>994</v>
      </c>
      <c r="B541" s="2" t="s">
        <v>952</v>
      </c>
      <c r="C541" t="s">
        <v>3090</v>
      </c>
      <c r="D541" s="5" t="s">
        <v>3636</v>
      </c>
      <c r="E541" s="6">
        <f>IFERROR(VLOOKUP($D541,[1]Balanza!$A$3:$K$852,6,0)-VLOOKUP(D541,[1]Balanza!$A$3:$K$852,7,0),0)</f>
        <v>0</v>
      </c>
      <c r="F541" s="6">
        <f>IFERROR(VLOOKUP($D541,[1]Balanza!$A$3:$K$852,10,0)-VLOOKUP($D541,[1]Balanza!$A$3:$K$852,11,0),0)</f>
        <v>0</v>
      </c>
    </row>
    <row r="542" spans="1:6" x14ac:dyDescent="0.3">
      <c r="A542" s="2" t="s">
        <v>995</v>
      </c>
      <c r="B542" s="2" t="s">
        <v>996</v>
      </c>
      <c r="C542" t="s">
        <v>3090</v>
      </c>
      <c r="D542" s="5" t="s">
        <v>3637</v>
      </c>
      <c r="E542" s="6">
        <f>IFERROR(VLOOKUP($D542,[1]Balanza!$A$3:$K$852,6,0)-VLOOKUP(D542,[1]Balanza!$A$3:$K$852,7,0),0)</f>
        <v>0</v>
      </c>
      <c r="F542" s="6">
        <f>IFERROR(VLOOKUP($D542,[1]Balanza!$A$3:$K$852,10,0)-VLOOKUP($D542,[1]Balanza!$A$3:$K$852,11,0),0)</f>
        <v>0</v>
      </c>
    </row>
    <row r="543" spans="1:6" x14ac:dyDescent="0.3">
      <c r="A543" s="2" t="s">
        <v>997</v>
      </c>
      <c r="B543" s="2" t="s">
        <v>958</v>
      </c>
      <c r="C543" t="s">
        <v>3090</v>
      </c>
      <c r="D543" s="5" t="s">
        <v>3638</v>
      </c>
      <c r="E543" s="6">
        <f>IFERROR(VLOOKUP($D543,[1]Balanza!$A$3:$K$852,6,0)-VLOOKUP(D543,[1]Balanza!$A$3:$K$852,7,0),0)</f>
        <v>0</v>
      </c>
      <c r="F543" s="6">
        <f>IFERROR(VLOOKUP($D543,[1]Balanza!$A$3:$K$852,10,0)-VLOOKUP($D543,[1]Balanza!$A$3:$K$852,11,0),0)</f>
        <v>0</v>
      </c>
    </row>
    <row r="544" spans="1:6" x14ac:dyDescent="0.3">
      <c r="A544" s="2" t="s">
        <v>998</v>
      </c>
      <c r="B544" s="2" t="s">
        <v>960</v>
      </c>
      <c r="C544" t="s">
        <v>3090</v>
      </c>
      <c r="D544" s="5" t="s">
        <v>3639</v>
      </c>
      <c r="E544" s="6">
        <f>IFERROR(VLOOKUP($D544,[1]Balanza!$A$3:$K$852,6,0)-VLOOKUP(D544,[1]Balanza!$A$3:$K$852,7,0),0)</f>
        <v>0</v>
      </c>
      <c r="F544" s="6">
        <f>IFERROR(VLOOKUP($D544,[1]Balanza!$A$3:$K$852,10,0)-VLOOKUP($D544,[1]Balanza!$A$3:$K$852,11,0),0)</f>
        <v>0</v>
      </c>
    </row>
    <row r="545" spans="1:6" x14ac:dyDescent="0.3">
      <c r="A545" s="2" t="s">
        <v>999</v>
      </c>
      <c r="B545" s="2" t="s">
        <v>962</v>
      </c>
      <c r="C545" t="s">
        <v>3090</v>
      </c>
      <c r="D545" s="5" t="s">
        <v>3640</v>
      </c>
      <c r="E545" s="6">
        <f>IFERROR(VLOOKUP($D545,[1]Balanza!$A$3:$K$852,6,0)-VLOOKUP(D545,[1]Balanza!$A$3:$K$852,7,0),0)</f>
        <v>0</v>
      </c>
      <c r="F545" s="6">
        <f>IFERROR(VLOOKUP($D545,[1]Balanza!$A$3:$K$852,10,0)-VLOOKUP($D545,[1]Balanza!$A$3:$K$852,11,0),0)</f>
        <v>0</v>
      </c>
    </row>
    <row r="546" spans="1:6" x14ac:dyDescent="0.3">
      <c r="A546" s="2" t="s">
        <v>1000</v>
      </c>
      <c r="B546" s="2" t="s">
        <v>964</v>
      </c>
      <c r="C546" t="s">
        <v>3090</v>
      </c>
      <c r="D546" s="5" t="s">
        <v>3641</v>
      </c>
      <c r="E546" s="6">
        <f>IFERROR(VLOOKUP($D546,[1]Balanza!$A$3:$K$852,6,0)-VLOOKUP(D546,[1]Balanza!$A$3:$K$852,7,0),0)</f>
        <v>0</v>
      </c>
      <c r="F546" s="6">
        <f>IFERROR(VLOOKUP($D546,[1]Balanza!$A$3:$K$852,10,0)-VLOOKUP($D546,[1]Balanza!$A$3:$K$852,11,0),0)</f>
        <v>0</v>
      </c>
    </row>
    <row r="547" spans="1:6" x14ac:dyDescent="0.3">
      <c r="A547" s="2" t="s">
        <v>1001</v>
      </c>
      <c r="B547" s="2" t="s">
        <v>966</v>
      </c>
      <c r="C547" t="s">
        <v>3090</v>
      </c>
      <c r="D547" s="5" t="s">
        <v>3642</v>
      </c>
      <c r="E547" s="6">
        <f>IFERROR(VLOOKUP($D547,[1]Balanza!$A$3:$K$852,6,0)-VLOOKUP(D547,[1]Balanza!$A$3:$K$852,7,0),0)</f>
        <v>0</v>
      </c>
      <c r="F547" s="6">
        <f>IFERROR(VLOOKUP($D547,[1]Balanza!$A$3:$K$852,10,0)-VLOOKUP($D547,[1]Balanza!$A$3:$K$852,11,0),0)</f>
        <v>0</v>
      </c>
    </row>
    <row r="548" spans="1:6" x14ac:dyDescent="0.3">
      <c r="A548" s="2" t="s">
        <v>1002</v>
      </c>
      <c r="B548" s="2" t="s">
        <v>968</v>
      </c>
      <c r="C548" t="s">
        <v>3090</v>
      </c>
      <c r="D548" s="5" t="s">
        <v>3643</v>
      </c>
      <c r="E548" s="6">
        <f>IFERROR(VLOOKUP($D548,[1]Balanza!$A$3:$K$852,6,0)-VLOOKUP(D548,[1]Balanza!$A$3:$K$852,7,0),0)</f>
        <v>0</v>
      </c>
      <c r="F548" s="6">
        <f>IFERROR(VLOOKUP($D548,[1]Balanza!$A$3:$K$852,10,0)-VLOOKUP($D548,[1]Balanza!$A$3:$K$852,11,0),0)</f>
        <v>0</v>
      </c>
    </row>
    <row r="549" spans="1:6" x14ac:dyDescent="0.3">
      <c r="A549" s="2" t="s">
        <v>1003</v>
      </c>
      <c r="B549" s="2" t="s">
        <v>970</v>
      </c>
      <c r="C549" t="s">
        <v>3090</v>
      </c>
      <c r="D549" s="5" t="s">
        <v>3644</v>
      </c>
      <c r="E549" s="6">
        <f>IFERROR(VLOOKUP($D549,[1]Balanza!$A$3:$K$852,6,0)-VLOOKUP(D549,[1]Balanza!$A$3:$K$852,7,0),0)</f>
        <v>0</v>
      </c>
      <c r="F549" s="6">
        <f>IFERROR(VLOOKUP($D549,[1]Balanza!$A$3:$K$852,10,0)-VLOOKUP($D549,[1]Balanza!$A$3:$K$852,11,0),0)</f>
        <v>0</v>
      </c>
    </row>
    <row r="550" spans="1:6" x14ac:dyDescent="0.3">
      <c r="A550" s="2" t="s">
        <v>1004</v>
      </c>
      <c r="B550" s="2" t="s">
        <v>972</v>
      </c>
      <c r="C550" t="s">
        <v>3090</v>
      </c>
      <c r="D550" s="5" t="s">
        <v>3645</v>
      </c>
      <c r="E550" s="6">
        <f>IFERROR(VLOOKUP($D550,[1]Balanza!$A$3:$K$852,6,0)-VLOOKUP(D550,[1]Balanza!$A$3:$K$852,7,0),0)</f>
        <v>0</v>
      </c>
      <c r="F550" s="6">
        <f>IFERROR(VLOOKUP($D550,[1]Balanza!$A$3:$K$852,10,0)-VLOOKUP($D550,[1]Balanza!$A$3:$K$852,11,0),0)</f>
        <v>0</v>
      </c>
    </row>
    <row r="551" spans="1:6" x14ac:dyDescent="0.3">
      <c r="A551" s="2" t="s">
        <v>1005</v>
      </c>
      <c r="B551" s="2" t="s">
        <v>1006</v>
      </c>
      <c r="C551" t="s">
        <v>3090</v>
      </c>
      <c r="D551" s="5" t="s">
        <v>3646</v>
      </c>
      <c r="E551" s="6">
        <f>IFERROR(VLOOKUP($D551,[1]Balanza!$A$3:$K$852,6,0)-VLOOKUP(D551,[1]Balanza!$A$3:$K$852,7,0),0)</f>
        <v>0</v>
      </c>
      <c r="F551" s="6">
        <f>IFERROR(VLOOKUP($D551,[1]Balanza!$A$3:$K$852,10,0)-VLOOKUP($D551,[1]Balanza!$A$3:$K$852,11,0),0)</f>
        <v>0</v>
      </c>
    </row>
    <row r="552" spans="1:6" x14ac:dyDescent="0.3">
      <c r="A552" s="2" t="s">
        <v>1007</v>
      </c>
      <c r="B552" s="2" t="s">
        <v>1008</v>
      </c>
      <c r="C552" t="s">
        <v>3090</v>
      </c>
      <c r="D552" s="5" t="s">
        <v>3647</v>
      </c>
      <c r="E552" s="6">
        <f>IFERROR(VLOOKUP($D552,[1]Balanza!$A$3:$K$852,6,0)-VLOOKUP(D552,[1]Balanza!$A$3:$K$852,7,0),0)</f>
        <v>0</v>
      </c>
      <c r="F552" s="6">
        <f>IFERROR(VLOOKUP($D552,[1]Balanza!$A$3:$K$852,10,0)-VLOOKUP($D552,[1]Balanza!$A$3:$K$852,11,0),0)</f>
        <v>0</v>
      </c>
    </row>
    <row r="553" spans="1:6" x14ac:dyDescent="0.3">
      <c r="A553" s="2" t="s">
        <v>1009</v>
      </c>
      <c r="B553" s="2" t="s">
        <v>1010</v>
      </c>
      <c r="C553" t="s">
        <v>3090</v>
      </c>
      <c r="D553" s="5" t="s">
        <v>3648</v>
      </c>
      <c r="E553" s="6">
        <f>IFERROR(VLOOKUP($D553,[1]Balanza!$A$3:$K$852,6,0)-VLOOKUP(D553,[1]Balanza!$A$3:$K$852,7,0),0)</f>
        <v>0</v>
      </c>
      <c r="F553" s="6">
        <f>IFERROR(VLOOKUP($D553,[1]Balanza!$A$3:$K$852,10,0)-VLOOKUP($D553,[1]Balanza!$A$3:$K$852,11,0),0)</f>
        <v>0</v>
      </c>
    </row>
    <row r="554" spans="1:6" x14ac:dyDescent="0.3">
      <c r="A554" s="1" t="s">
        <v>1011</v>
      </c>
      <c r="B554" s="1" t="s">
        <v>1012</v>
      </c>
      <c r="C554" t="s">
        <v>3090</v>
      </c>
      <c r="D554" s="5" t="s">
        <v>3649</v>
      </c>
      <c r="E554" s="6">
        <f>IFERROR(VLOOKUP($D554,[1]Balanza!$A$3:$K$852,6,0)-VLOOKUP(D554,[1]Balanza!$A$3:$K$852,7,0),0)</f>
        <v>0</v>
      </c>
      <c r="F554" s="6">
        <f>IFERROR(VLOOKUP($D554,[1]Balanza!$A$3:$K$852,10,0)-VLOOKUP($D554,[1]Balanza!$A$3:$K$852,11,0),0)</f>
        <v>0</v>
      </c>
    </row>
    <row r="555" spans="1:6" x14ac:dyDescent="0.3">
      <c r="A555" s="2" t="s">
        <v>1013</v>
      </c>
      <c r="B555" s="2" t="s">
        <v>1014</v>
      </c>
      <c r="C555" t="s">
        <v>3090</v>
      </c>
      <c r="D555" s="5" t="s">
        <v>3650</v>
      </c>
      <c r="E555" s="6">
        <f>IFERROR(VLOOKUP($D555,[1]Balanza!$A$3:$K$852,6,0)-VLOOKUP(D555,[1]Balanza!$A$3:$K$852,7,0),0)</f>
        <v>0</v>
      </c>
      <c r="F555" s="6">
        <f>IFERROR(VLOOKUP($D555,[1]Balanza!$A$3:$K$852,10,0)-VLOOKUP($D555,[1]Balanza!$A$3:$K$852,11,0),0)</f>
        <v>0</v>
      </c>
    </row>
    <row r="556" spans="1:6" x14ac:dyDescent="0.3">
      <c r="A556" s="2" t="s">
        <v>1015</v>
      </c>
      <c r="B556" s="2" t="s">
        <v>1016</v>
      </c>
      <c r="C556" t="s">
        <v>3090</v>
      </c>
      <c r="D556" s="5" t="s">
        <v>3651</v>
      </c>
      <c r="E556" s="6">
        <f>IFERROR(VLOOKUP($D556,[1]Balanza!$A$3:$K$852,6,0)-VLOOKUP(D556,[1]Balanza!$A$3:$K$852,7,0),0)</f>
        <v>0</v>
      </c>
      <c r="F556" s="6">
        <f>IFERROR(VLOOKUP($D556,[1]Balanza!$A$3:$K$852,10,0)-VLOOKUP($D556,[1]Balanza!$A$3:$K$852,11,0),0)</f>
        <v>0</v>
      </c>
    </row>
    <row r="557" spans="1:6" x14ac:dyDescent="0.3">
      <c r="A557" s="2" t="s">
        <v>1017</v>
      </c>
      <c r="B557" s="2" t="s">
        <v>1018</v>
      </c>
      <c r="C557" t="s">
        <v>3090</v>
      </c>
      <c r="D557" s="5" t="s">
        <v>3652</v>
      </c>
      <c r="E557" s="6">
        <f>IFERROR(VLOOKUP($D557,[1]Balanza!$A$3:$K$852,6,0)-VLOOKUP(D557,[1]Balanza!$A$3:$K$852,7,0),0)</f>
        <v>0</v>
      </c>
      <c r="F557" s="6">
        <f>IFERROR(VLOOKUP($D557,[1]Balanza!$A$3:$K$852,10,0)-VLOOKUP($D557,[1]Balanza!$A$3:$K$852,11,0),0)</f>
        <v>-87532.95</v>
      </c>
    </row>
    <row r="558" spans="1:6" x14ac:dyDescent="0.3">
      <c r="A558" s="2" t="s">
        <v>1019</v>
      </c>
      <c r="B558" s="2" t="s">
        <v>1020</v>
      </c>
      <c r="C558" t="s">
        <v>3090</v>
      </c>
      <c r="D558" s="5" t="s">
        <v>3653</v>
      </c>
      <c r="E558" s="6">
        <f>IFERROR(VLOOKUP($D558,[1]Balanza!$A$3:$K$852,6,0)-VLOOKUP(D558,[1]Balanza!$A$3:$K$852,7,0),0)</f>
        <v>0</v>
      </c>
      <c r="F558" s="6">
        <f>IFERROR(VLOOKUP($D558,[1]Balanza!$A$3:$K$852,10,0)-VLOOKUP($D558,[1]Balanza!$A$3:$K$852,11,0),0)</f>
        <v>-65250.549999999988</v>
      </c>
    </row>
    <row r="559" spans="1:6" x14ac:dyDescent="0.3">
      <c r="A559" s="2" t="s">
        <v>1021</v>
      </c>
      <c r="B559" s="2" t="s">
        <v>1022</v>
      </c>
      <c r="C559" t="s">
        <v>3090</v>
      </c>
      <c r="D559" s="5" t="s">
        <v>3654</v>
      </c>
      <c r="E559" s="6">
        <f>IFERROR(VLOOKUP($D559,[1]Balanza!$A$3:$K$852,6,0)-VLOOKUP(D559,[1]Balanza!$A$3:$K$852,7,0),0)</f>
        <v>0</v>
      </c>
      <c r="F559" s="6">
        <f>IFERROR(VLOOKUP($D559,[1]Balanza!$A$3:$K$852,10,0)-VLOOKUP($D559,[1]Balanza!$A$3:$K$852,11,0),0)</f>
        <v>0</v>
      </c>
    </row>
    <row r="560" spans="1:6" x14ac:dyDescent="0.3">
      <c r="A560" s="2" t="s">
        <v>1023</v>
      </c>
      <c r="B560" s="2" t="s">
        <v>1024</v>
      </c>
      <c r="C560" t="s">
        <v>3090</v>
      </c>
      <c r="D560" s="5" t="s">
        <v>3655</v>
      </c>
      <c r="E560" s="6">
        <f>IFERROR(VLOOKUP($D560,[1]Balanza!$A$3:$K$852,6,0)-VLOOKUP(D560,[1]Balanza!$A$3:$K$852,7,0),0)</f>
        <v>0</v>
      </c>
      <c r="F560" s="6">
        <f>IFERROR(VLOOKUP($D560,[1]Balanza!$A$3:$K$852,10,0)-VLOOKUP($D560,[1]Balanza!$A$3:$K$852,11,0),0)</f>
        <v>0</v>
      </c>
    </row>
    <row r="561" spans="1:6" x14ac:dyDescent="0.3">
      <c r="A561" s="2" t="s">
        <v>1025</v>
      </c>
      <c r="B561" s="2" t="s">
        <v>1026</v>
      </c>
      <c r="C561" t="s">
        <v>3090</v>
      </c>
      <c r="D561" s="5" t="s">
        <v>3656</v>
      </c>
      <c r="E561" s="6">
        <f>IFERROR(VLOOKUP($D561,[1]Balanza!$A$3:$K$852,6,0)-VLOOKUP(D561,[1]Balanza!$A$3:$K$852,7,0),0)</f>
        <v>0</v>
      </c>
      <c r="F561" s="6">
        <f>IFERROR(VLOOKUP($D561,[1]Balanza!$A$3:$K$852,10,0)-VLOOKUP($D561,[1]Balanza!$A$3:$K$852,11,0),0)</f>
        <v>10701.27</v>
      </c>
    </row>
    <row r="562" spans="1:6" x14ac:dyDescent="0.3">
      <c r="A562" s="2" t="s">
        <v>1027</v>
      </c>
      <c r="B562" s="2" t="s">
        <v>148</v>
      </c>
      <c r="C562" t="s">
        <v>3090</v>
      </c>
      <c r="D562" s="5" t="s">
        <v>3657</v>
      </c>
      <c r="E562" s="6">
        <f>IFERROR(VLOOKUP($D562,[1]Balanza!$A$3:$K$852,6,0)-VLOOKUP(D562,[1]Balanza!$A$3:$K$852,7,0),0)</f>
        <v>0</v>
      </c>
      <c r="F562" s="6">
        <f>IFERROR(VLOOKUP($D562,[1]Balanza!$A$3:$K$852,10,0)-VLOOKUP($D562,[1]Balanza!$A$3:$K$852,11,0),0)</f>
        <v>0</v>
      </c>
    </row>
    <row r="563" spans="1:6" x14ac:dyDescent="0.3">
      <c r="A563" s="2" t="s">
        <v>1028</v>
      </c>
      <c r="B563" s="2" t="s">
        <v>1029</v>
      </c>
      <c r="C563" t="s">
        <v>3090</v>
      </c>
      <c r="D563" s="5" t="s">
        <v>3658</v>
      </c>
      <c r="E563" s="6">
        <f>IFERROR(VLOOKUP($D563,[1]Balanza!$A$3:$K$852,6,0)-VLOOKUP(D563,[1]Balanza!$A$3:$K$852,7,0),0)</f>
        <v>0</v>
      </c>
      <c r="F563" s="6">
        <f>IFERROR(VLOOKUP($D563,[1]Balanza!$A$3:$K$852,10,0)-VLOOKUP($D563,[1]Balanza!$A$3:$K$852,11,0),0)</f>
        <v>0</v>
      </c>
    </row>
    <row r="564" spans="1:6" x14ac:dyDescent="0.3">
      <c r="A564" s="2" t="s">
        <v>1030</v>
      </c>
      <c r="B564" s="2" t="s">
        <v>1031</v>
      </c>
      <c r="C564" t="s">
        <v>3090</v>
      </c>
      <c r="D564" s="5" t="s">
        <v>3659</v>
      </c>
      <c r="E564" s="6">
        <f>IFERROR(VLOOKUP($D564,[1]Balanza!$A$3:$K$852,6,0)-VLOOKUP(D564,[1]Balanza!$A$3:$K$852,7,0),0)</f>
        <v>0</v>
      </c>
      <c r="F564" s="6">
        <f>IFERROR(VLOOKUP($D564,[1]Balanza!$A$3:$K$852,10,0)-VLOOKUP($D564,[1]Balanza!$A$3:$K$852,11,0),0)</f>
        <v>0</v>
      </c>
    </row>
    <row r="565" spans="1:6" x14ac:dyDescent="0.3">
      <c r="A565" s="2" t="s">
        <v>1032</v>
      </c>
      <c r="B565" s="2" t="s">
        <v>1033</v>
      </c>
      <c r="C565" t="s">
        <v>3090</v>
      </c>
      <c r="D565" s="5" t="s">
        <v>3660</v>
      </c>
      <c r="E565" s="6">
        <f>IFERROR(VLOOKUP($D565,[1]Balanza!$A$3:$K$852,6,0)-VLOOKUP(D565,[1]Balanza!$A$3:$K$852,7,0),0)</f>
        <v>0</v>
      </c>
      <c r="F565" s="6">
        <f>IFERROR(VLOOKUP($D565,[1]Balanza!$A$3:$K$852,10,0)-VLOOKUP($D565,[1]Balanza!$A$3:$K$852,11,0),0)</f>
        <v>0</v>
      </c>
    </row>
    <row r="566" spans="1:6" x14ac:dyDescent="0.3">
      <c r="A566" s="2" t="s">
        <v>1034</v>
      </c>
      <c r="B566" s="2" t="s">
        <v>1035</v>
      </c>
      <c r="C566" t="s">
        <v>3090</v>
      </c>
      <c r="D566" s="5" t="s">
        <v>3661</v>
      </c>
      <c r="E566" s="6">
        <f>IFERROR(VLOOKUP($D566,[1]Balanza!$A$3:$K$852,6,0)-VLOOKUP(D566,[1]Balanza!$A$3:$K$852,7,0),0)</f>
        <v>0</v>
      </c>
      <c r="F566" s="6">
        <f>IFERROR(VLOOKUP($D566,[1]Balanza!$A$3:$K$852,10,0)-VLOOKUP($D566,[1]Balanza!$A$3:$K$852,11,0),0)</f>
        <v>0</v>
      </c>
    </row>
    <row r="567" spans="1:6" x14ac:dyDescent="0.3">
      <c r="A567" s="2" t="s">
        <v>1036</v>
      </c>
      <c r="B567" s="2" t="s">
        <v>1037</v>
      </c>
      <c r="C567" t="s">
        <v>3090</v>
      </c>
      <c r="D567" s="5" t="s">
        <v>3662</v>
      </c>
      <c r="E567" s="6">
        <f>IFERROR(VLOOKUP($D567,[1]Balanza!$A$3:$K$852,6,0)-VLOOKUP(D567,[1]Balanza!$A$3:$K$852,7,0),0)</f>
        <v>0</v>
      </c>
      <c r="F567" s="6">
        <f>IFERROR(VLOOKUP($D567,[1]Balanza!$A$3:$K$852,10,0)-VLOOKUP($D567,[1]Balanza!$A$3:$K$852,11,0),0)</f>
        <v>0</v>
      </c>
    </row>
    <row r="568" spans="1:6" x14ac:dyDescent="0.3">
      <c r="A568" s="2" t="s">
        <v>1038</v>
      </c>
      <c r="B568" s="2" t="s">
        <v>1039</v>
      </c>
      <c r="C568" t="s">
        <v>3090</v>
      </c>
      <c r="D568" s="5" t="s">
        <v>3663</v>
      </c>
      <c r="E568" s="6">
        <f>IFERROR(VLOOKUP($D568,[1]Balanza!$A$3:$K$852,6,0)-VLOOKUP(D568,[1]Balanza!$A$3:$K$852,7,0),0)</f>
        <v>0</v>
      </c>
      <c r="F568" s="6">
        <f>IFERROR(VLOOKUP($D568,[1]Balanza!$A$3:$K$852,10,0)-VLOOKUP($D568,[1]Balanza!$A$3:$K$852,11,0),0)</f>
        <v>0</v>
      </c>
    </row>
    <row r="569" spans="1:6" x14ac:dyDescent="0.3">
      <c r="A569" s="2" t="s">
        <v>1040</v>
      </c>
      <c r="B569" s="2" t="s">
        <v>1041</v>
      </c>
      <c r="C569" t="s">
        <v>3090</v>
      </c>
      <c r="D569" s="5" t="s">
        <v>3664</v>
      </c>
      <c r="E569" s="6">
        <f>IFERROR(VLOOKUP($D569,[1]Balanza!$A$3:$K$852,6,0)-VLOOKUP(D569,[1]Balanza!$A$3:$K$852,7,0),0)</f>
        <v>0</v>
      </c>
      <c r="F569" s="6">
        <f>IFERROR(VLOOKUP($D569,[1]Balanza!$A$3:$K$852,10,0)-VLOOKUP($D569,[1]Balanza!$A$3:$K$852,11,0),0)</f>
        <v>0</v>
      </c>
    </row>
    <row r="570" spans="1:6" x14ac:dyDescent="0.3">
      <c r="A570" s="2" t="s">
        <v>1042</v>
      </c>
      <c r="B570" s="2" t="s">
        <v>1043</v>
      </c>
      <c r="C570" t="s">
        <v>3090</v>
      </c>
      <c r="D570" s="5" t="s">
        <v>3665</v>
      </c>
      <c r="E570" s="6">
        <f>IFERROR(VLOOKUP($D570,[1]Balanza!$A$3:$K$852,6,0)-VLOOKUP(D570,[1]Balanza!$A$3:$K$852,7,0),0)</f>
        <v>0</v>
      </c>
      <c r="F570" s="6">
        <f>IFERROR(VLOOKUP($D570,[1]Balanza!$A$3:$K$852,10,0)-VLOOKUP($D570,[1]Balanza!$A$3:$K$852,11,0),0)</f>
        <v>0</v>
      </c>
    </row>
    <row r="571" spans="1:6" x14ac:dyDescent="0.3">
      <c r="A571" s="2" t="s">
        <v>1044</v>
      </c>
      <c r="B571" s="2" t="s">
        <v>1045</v>
      </c>
      <c r="C571" t="s">
        <v>3090</v>
      </c>
      <c r="D571" s="5" t="s">
        <v>3666</v>
      </c>
      <c r="E571" s="6">
        <f>IFERROR(VLOOKUP($D571,[1]Balanza!$A$3:$K$852,6,0)-VLOOKUP(D571,[1]Balanza!$A$3:$K$852,7,0),0)</f>
        <v>0</v>
      </c>
      <c r="F571" s="6">
        <f>IFERROR(VLOOKUP($D571,[1]Balanza!$A$3:$K$852,10,0)-VLOOKUP($D571,[1]Balanza!$A$3:$K$852,11,0),0)</f>
        <v>0</v>
      </c>
    </row>
    <row r="572" spans="1:6" x14ac:dyDescent="0.3">
      <c r="A572" s="2" t="s">
        <v>1046</v>
      </c>
      <c r="B572" s="2" t="s">
        <v>1047</v>
      </c>
      <c r="C572" t="s">
        <v>3090</v>
      </c>
      <c r="D572" s="5" t="s">
        <v>3667</v>
      </c>
      <c r="E572" s="6">
        <f>IFERROR(VLOOKUP($D572,[1]Balanza!$A$3:$K$852,6,0)-VLOOKUP(D572,[1]Balanza!$A$3:$K$852,7,0),0)</f>
        <v>0</v>
      </c>
      <c r="F572" s="6">
        <f>IFERROR(VLOOKUP($D572,[1]Balanza!$A$3:$K$852,10,0)-VLOOKUP($D572,[1]Balanza!$A$3:$K$852,11,0),0)</f>
        <v>0</v>
      </c>
    </row>
    <row r="573" spans="1:6" x14ac:dyDescent="0.3">
      <c r="A573" s="2" t="s">
        <v>1048</v>
      </c>
      <c r="B573" s="2" t="s">
        <v>1049</v>
      </c>
      <c r="C573" t="s">
        <v>3090</v>
      </c>
      <c r="D573" s="5" t="s">
        <v>3668</v>
      </c>
      <c r="E573" s="6">
        <f>IFERROR(VLOOKUP($D573,[1]Balanza!$A$3:$K$852,6,0)-VLOOKUP(D573,[1]Balanza!$A$3:$K$852,7,0),0)</f>
        <v>0</v>
      </c>
      <c r="F573" s="6">
        <f>IFERROR(VLOOKUP($D573,[1]Balanza!$A$3:$K$852,10,0)-VLOOKUP($D573,[1]Balanza!$A$3:$K$852,11,0),0)</f>
        <v>0</v>
      </c>
    </row>
    <row r="574" spans="1:6" x14ac:dyDescent="0.3">
      <c r="A574" s="1" t="s">
        <v>1050</v>
      </c>
      <c r="B574" s="1" t="s">
        <v>1051</v>
      </c>
      <c r="C574" t="s">
        <v>3090</v>
      </c>
      <c r="D574" s="5" t="s">
        <v>3669</v>
      </c>
      <c r="E574" s="6">
        <f>IFERROR(VLOOKUP($D574,[1]Balanza!$A$3:$K$852,6,0)-VLOOKUP(D574,[1]Balanza!$A$3:$K$852,7,0),0)</f>
        <v>0</v>
      </c>
      <c r="F574" s="6">
        <f>IFERROR(VLOOKUP($D574,[1]Balanza!$A$3:$K$852,10,0)-VLOOKUP($D574,[1]Balanza!$A$3:$K$852,11,0),0)</f>
        <v>0</v>
      </c>
    </row>
    <row r="575" spans="1:6" x14ac:dyDescent="0.3">
      <c r="A575" s="2" t="s">
        <v>1052</v>
      </c>
      <c r="B575" s="2" t="s">
        <v>1053</v>
      </c>
      <c r="C575" t="s">
        <v>3090</v>
      </c>
      <c r="D575" s="5" t="s">
        <v>3670</v>
      </c>
      <c r="E575" s="6">
        <f>IFERROR(VLOOKUP($D575,[1]Balanza!$A$3:$K$852,6,0)-VLOOKUP(D575,[1]Balanza!$A$3:$K$852,7,0),0)</f>
        <v>0</v>
      </c>
      <c r="F575" s="6">
        <f>IFERROR(VLOOKUP($D575,[1]Balanza!$A$3:$K$852,10,0)-VLOOKUP($D575,[1]Balanza!$A$3:$K$852,11,0),0)</f>
        <v>0</v>
      </c>
    </row>
    <row r="576" spans="1:6" x14ac:dyDescent="0.3">
      <c r="A576" s="2" t="s">
        <v>1054</v>
      </c>
      <c r="B576" s="2" t="s">
        <v>1055</v>
      </c>
      <c r="C576" t="s">
        <v>3090</v>
      </c>
      <c r="D576" s="5" t="s">
        <v>3671</v>
      </c>
      <c r="E576" s="6">
        <f>IFERROR(VLOOKUP($D576,[1]Balanza!$A$3:$K$852,6,0)-VLOOKUP(D576,[1]Balanza!$A$3:$K$852,7,0),0)</f>
        <v>0</v>
      </c>
      <c r="F576" s="6">
        <f>IFERROR(VLOOKUP($D576,[1]Balanza!$A$3:$K$852,10,0)-VLOOKUP($D576,[1]Balanza!$A$3:$K$852,11,0),0)</f>
        <v>0</v>
      </c>
    </row>
    <row r="577" spans="1:6" x14ac:dyDescent="0.3">
      <c r="A577" s="2" t="s">
        <v>1056</v>
      </c>
      <c r="B577" s="2" t="s">
        <v>1057</v>
      </c>
      <c r="C577" t="s">
        <v>3090</v>
      </c>
      <c r="D577" s="5" t="s">
        <v>3672</v>
      </c>
      <c r="E577" s="6">
        <f>IFERROR(VLOOKUP($D577,[1]Balanza!$A$3:$K$852,6,0)-VLOOKUP(D577,[1]Balanza!$A$3:$K$852,7,0),0)</f>
        <v>0</v>
      </c>
      <c r="F577" s="6">
        <f>IFERROR(VLOOKUP($D577,[1]Balanza!$A$3:$K$852,10,0)-VLOOKUP($D577,[1]Balanza!$A$3:$K$852,11,0),0)</f>
        <v>0</v>
      </c>
    </row>
    <row r="578" spans="1:6" x14ac:dyDescent="0.3">
      <c r="A578" s="2" t="s">
        <v>1058</v>
      </c>
      <c r="B578" s="2" t="s">
        <v>1059</v>
      </c>
      <c r="C578" t="s">
        <v>3090</v>
      </c>
      <c r="D578" s="5" t="s">
        <v>3673</v>
      </c>
      <c r="E578" s="6">
        <f>IFERROR(VLOOKUP($D578,[1]Balanza!$A$3:$K$852,6,0)-VLOOKUP(D578,[1]Balanza!$A$3:$K$852,7,0),0)</f>
        <v>0</v>
      </c>
      <c r="F578" s="6">
        <f>IFERROR(VLOOKUP($D578,[1]Balanza!$A$3:$K$852,10,0)-VLOOKUP($D578,[1]Balanza!$A$3:$K$852,11,0),0)</f>
        <v>0</v>
      </c>
    </row>
    <row r="579" spans="1:6" x14ac:dyDescent="0.3">
      <c r="A579" s="2" t="s">
        <v>1060</v>
      </c>
      <c r="B579" s="2" t="s">
        <v>1061</v>
      </c>
      <c r="C579" t="s">
        <v>3090</v>
      </c>
      <c r="D579" s="5" t="s">
        <v>3674</v>
      </c>
      <c r="E579" s="6">
        <f>IFERROR(VLOOKUP($D579,[1]Balanza!$A$3:$K$852,6,0)-VLOOKUP(D579,[1]Balanza!$A$3:$K$852,7,0),0)</f>
        <v>0</v>
      </c>
      <c r="F579" s="6">
        <f>IFERROR(VLOOKUP($D579,[1]Balanza!$A$3:$K$852,10,0)-VLOOKUP($D579,[1]Balanza!$A$3:$K$852,11,0),0)</f>
        <v>0</v>
      </c>
    </row>
    <row r="580" spans="1:6" x14ac:dyDescent="0.3">
      <c r="A580" s="2" t="s">
        <v>1062</v>
      </c>
      <c r="B580" s="2" t="s">
        <v>1063</v>
      </c>
      <c r="C580" t="s">
        <v>3090</v>
      </c>
      <c r="D580" s="5" t="s">
        <v>3675</v>
      </c>
      <c r="E580" s="6">
        <f>IFERROR(VLOOKUP($D580,[1]Balanza!$A$3:$K$852,6,0)-VLOOKUP(D580,[1]Balanza!$A$3:$K$852,7,0),0)</f>
        <v>0</v>
      </c>
      <c r="F580" s="6">
        <f>IFERROR(VLOOKUP($D580,[1]Balanza!$A$3:$K$852,10,0)-VLOOKUP($D580,[1]Balanza!$A$3:$K$852,11,0),0)</f>
        <v>0</v>
      </c>
    </row>
    <row r="581" spans="1:6" x14ac:dyDescent="0.3">
      <c r="A581" s="2" t="s">
        <v>1064</v>
      </c>
      <c r="B581" s="2" t="s">
        <v>1065</v>
      </c>
      <c r="C581" t="s">
        <v>3090</v>
      </c>
      <c r="D581" s="5" t="s">
        <v>3676</v>
      </c>
      <c r="E581" s="6">
        <f>IFERROR(VLOOKUP($D581,[1]Balanza!$A$3:$K$852,6,0)-VLOOKUP(D581,[1]Balanza!$A$3:$K$852,7,0),0)</f>
        <v>0</v>
      </c>
      <c r="F581" s="6">
        <f>IFERROR(VLOOKUP($D581,[1]Balanza!$A$3:$K$852,10,0)-VLOOKUP($D581,[1]Balanza!$A$3:$K$852,11,0),0)</f>
        <v>0</v>
      </c>
    </row>
    <row r="582" spans="1:6" x14ac:dyDescent="0.3">
      <c r="A582" s="2" t="s">
        <v>1066</v>
      </c>
      <c r="B582" s="2" t="s">
        <v>1067</v>
      </c>
      <c r="C582" t="s">
        <v>3090</v>
      </c>
      <c r="D582" s="5" t="s">
        <v>3677</v>
      </c>
      <c r="E582" s="6">
        <f>IFERROR(VLOOKUP($D582,[1]Balanza!$A$3:$K$852,6,0)-VLOOKUP(D582,[1]Balanza!$A$3:$K$852,7,0),0)</f>
        <v>0</v>
      </c>
      <c r="F582" s="6">
        <f>IFERROR(VLOOKUP($D582,[1]Balanza!$A$3:$K$852,10,0)-VLOOKUP($D582,[1]Balanza!$A$3:$K$852,11,0),0)</f>
        <v>0</v>
      </c>
    </row>
    <row r="583" spans="1:6" x14ac:dyDescent="0.3">
      <c r="A583" s="2" t="s">
        <v>1068</v>
      </c>
      <c r="B583" s="2" t="s">
        <v>1069</v>
      </c>
      <c r="C583" t="s">
        <v>3090</v>
      </c>
      <c r="D583" s="5" t="s">
        <v>3678</v>
      </c>
      <c r="E583" s="6">
        <f>IFERROR(VLOOKUP($D583,[1]Balanza!$A$3:$K$852,6,0)-VLOOKUP(D583,[1]Balanza!$A$3:$K$852,7,0),0)</f>
        <v>0</v>
      </c>
      <c r="F583" s="6">
        <f>IFERROR(VLOOKUP($D583,[1]Balanza!$A$3:$K$852,10,0)-VLOOKUP($D583,[1]Balanza!$A$3:$K$852,11,0),0)</f>
        <v>0</v>
      </c>
    </row>
    <row r="584" spans="1:6" x14ac:dyDescent="0.3">
      <c r="A584" s="2" t="s">
        <v>1070</v>
      </c>
      <c r="B584" s="2" t="s">
        <v>1071</v>
      </c>
      <c r="C584" t="s">
        <v>3090</v>
      </c>
      <c r="D584" s="5" t="s">
        <v>3679</v>
      </c>
      <c r="E584" s="6">
        <f>IFERROR(VLOOKUP($D584,[1]Balanza!$A$3:$K$852,6,0)-VLOOKUP(D584,[1]Balanza!$A$3:$K$852,7,0),0)</f>
        <v>0</v>
      </c>
      <c r="F584" s="6">
        <f>IFERROR(VLOOKUP($D584,[1]Balanza!$A$3:$K$852,10,0)-VLOOKUP($D584,[1]Balanza!$A$3:$K$852,11,0),0)</f>
        <v>0</v>
      </c>
    </row>
    <row r="585" spans="1:6" x14ac:dyDescent="0.3">
      <c r="A585" s="2" t="s">
        <v>1072</v>
      </c>
      <c r="B585" s="2" t="s">
        <v>1073</v>
      </c>
      <c r="C585" t="s">
        <v>3090</v>
      </c>
      <c r="D585" s="5" t="s">
        <v>3680</v>
      </c>
      <c r="E585" s="6">
        <f>IFERROR(VLOOKUP($D585,[1]Balanza!$A$3:$K$852,6,0)-VLOOKUP(D585,[1]Balanza!$A$3:$K$852,7,0),0)</f>
        <v>0</v>
      </c>
      <c r="F585" s="6">
        <f>IFERROR(VLOOKUP($D585,[1]Balanza!$A$3:$K$852,10,0)-VLOOKUP($D585,[1]Balanza!$A$3:$K$852,11,0),0)</f>
        <v>0</v>
      </c>
    </row>
    <row r="586" spans="1:6" x14ac:dyDescent="0.3">
      <c r="A586" s="2" t="s">
        <v>1074</v>
      </c>
      <c r="B586" s="2" t="s">
        <v>1075</v>
      </c>
      <c r="C586" t="s">
        <v>3090</v>
      </c>
      <c r="D586" s="5" t="s">
        <v>3681</v>
      </c>
      <c r="E586" s="6">
        <f>IFERROR(VLOOKUP($D586,[1]Balanza!$A$3:$K$852,6,0)-VLOOKUP(D586,[1]Balanza!$A$3:$K$852,7,0),0)</f>
        <v>0</v>
      </c>
      <c r="F586" s="6">
        <f>IFERROR(VLOOKUP($D586,[1]Balanza!$A$3:$K$852,10,0)-VLOOKUP($D586,[1]Balanza!$A$3:$K$852,11,0),0)</f>
        <v>0</v>
      </c>
    </row>
    <row r="587" spans="1:6" x14ac:dyDescent="0.3">
      <c r="A587" s="2" t="s">
        <v>1076</v>
      </c>
      <c r="B587" s="2" t="s">
        <v>1077</v>
      </c>
      <c r="C587" t="s">
        <v>3090</v>
      </c>
      <c r="D587" s="5" t="s">
        <v>3682</v>
      </c>
      <c r="E587" s="6">
        <f>IFERROR(VLOOKUP($D587,[1]Balanza!$A$3:$K$852,6,0)-VLOOKUP(D587,[1]Balanza!$A$3:$K$852,7,0),0)</f>
        <v>0</v>
      </c>
      <c r="F587" s="6">
        <f>IFERROR(VLOOKUP($D587,[1]Balanza!$A$3:$K$852,10,0)-VLOOKUP($D587,[1]Balanza!$A$3:$K$852,11,0),0)</f>
        <v>0</v>
      </c>
    </row>
    <row r="588" spans="1:6" x14ac:dyDescent="0.3">
      <c r="A588" s="2" t="s">
        <v>1078</v>
      </c>
      <c r="B588" s="2" t="s">
        <v>1079</v>
      </c>
      <c r="C588" t="s">
        <v>3090</v>
      </c>
      <c r="D588" s="5" t="s">
        <v>3683</v>
      </c>
      <c r="E588" s="6">
        <f>IFERROR(VLOOKUP($D588,[1]Balanza!$A$3:$K$852,6,0)-VLOOKUP(D588,[1]Balanza!$A$3:$K$852,7,0),0)</f>
        <v>0</v>
      </c>
      <c r="F588" s="6">
        <f>IFERROR(VLOOKUP($D588,[1]Balanza!$A$3:$K$852,10,0)-VLOOKUP($D588,[1]Balanza!$A$3:$K$852,11,0),0)</f>
        <v>0</v>
      </c>
    </row>
    <row r="589" spans="1:6" x14ac:dyDescent="0.3">
      <c r="A589" s="2" t="s">
        <v>1080</v>
      </c>
      <c r="B589" s="2" t="s">
        <v>1081</v>
      </c>
      <c r="C589" t="s">
        <v>3090</v>
      </c>
      <c r="D589" s="5" t="s">
        <v>3684</v>
      </c>
      <c r="E589" s="6">
        <f>IFERROR(VLOOKUP($D589,[1]Balanza!$A$3:$K$852,6,0)-VLOOKUP(D589,[1]Balanza!$A$3:$K$852,7,0),0)</f>
        <v>0</v>
      </c>
      <c r="F589" s="6">
        <f>IFERROR(VLOOKUP($D589,[1]Balanza!$A$3:$K$852,10,0)-VLOOKUP($D589,[1]Balanza!$A$3:$K$852,11,0),0)</f>
        <v>0</v>
      </c>
    </row>
    <row r="590" spans="1:6" x14ac:dyDescent="0.3">
      <c r="A590" s="2" t="s">
        <v>1082</v>
      </c>
      <c r="B590" s="2" t="s">
        <v>1083</v>
      </c>
      <c r="C590" t="s">
        <v>3090</v>
      </c>
      <c r="D590" s="5" t="s">
        <v>3685</v>
      </c>
      <c r="E590" s="6">
        <f>IFERROR(VLOOKUP($D590,[1]Balanza!$A$3:$K$852,6,0)-VLOOKUP(D590,[1]Balanza!$A$3:$K$852,7,0),0)</f>
        <v>0</v>
      </c>
      <c r="F590" s="6">
        <f>IFERROR(VLOOKUP($D590,[1]Balanza!$A$3:$K$852,10,0)-VLOOKUP($D590,[1]Balanza!$A$3:$K$852,11,0),0)</f>
        <v>0</v>
      </c>
    </row>
    <row r="591" spans="1:6" x14ac:dyDescent="0.3">
      <c r="A591" s="2" t="s">
        <v>1084</v>
      </c>
      <c r="B591" s="2" t="s">
        <v>299</v>
      </c>
      <c r="C591" t="s">
        <v>3090</v>
      </c>
      <c r="D591" s="5" t="s">
        <v>3686</v>
      </c>
      <c r="E591" s="6">
        <f>IFERROR(VLOOKUP($D591,[1]Balanza!$A$3:$K$852,6,0)-VLOOKUP(D591,[1]Balanza!$A$3:$K$852,7,0),0)</f>
        <v>0</v>
      </c>
      <c r="F591" s="6">
        <f>IFERROR(VLOOKUP($D591,[1]Balanza!$A$3:$K$852,10,0)-VLOOKUP($D591,[1]Balanza!$A$3:$K$852,11,0),0)</f>
        <v>0</v>
      </c>
    </row>
    <row r="592" spans="1:6" x14ac:dyDescent="0.3">
      <c r="A592" s="2" t="s">
        <v>1085</v>
      </c>
      <c r="B592" s="2" t="s">
        <v>1086</v>
      </c>
      <c r="C592" t="s">
        <v>3090</v>
      </c>
      <c r="D592" s="5" t="s">
        <v>3687</v>
      </c>
      <c r="E592" s="6">
        <f>IFERROR(VLOOKUP($D592,[1]Balanza!$A$3:$K$852,6,0)-VLOOKUP(D592,[1]Balanza!$A$3:$K$852,7,0),0)</f>
        <v>0</v>
      </c>
      <c r="F592" s="6">
        <f>IFERROR(VLOOKUP($D592,[1]Balanza!$A$3:$K$852,10,0)-VLOOKUP($D592,[1]Balanza!$A$3:$K$852,11,0),0)</f>
        <v>0</v>
      </c>
    </row>
    <row r="593" spans="1:6" x14ac:dyDescent="0.3">
      <c r="A593" s="1" t="s">
        <v>1087</v>
      </c>
      <c r="B593" s="1" t="s">
        <v>1088</v>
      </c>
      <c r="C593" t="s">
        <v>3090</v>
      </c>
      <c r="D593" s="5" t="s">
        <v>3688</v>
      </c>
      <c r="E593" s="6">
        <f>IFERROR(VLOOKUP($D593,[1]Balanza!$A$3:$K$852,6,0)-VLOOKUP(D593,[1]Balanza!$A$3:$K$852,7,0),0)</f>
        <v>0</v>
      </c>
      <c r="F593" s="6">
        <f>IFERROR(VLOOKUP($D593,[1]Balanza!$A$3:$K$852,10,0)-VLOOKUP($D593,[1]Balanza!$A$3:$K$852,11,0),0)</f>
        <v>0</v>
      </c>
    </row>
    <row r="594" spans="1:6" x14ac:dyDescent="0.3">
      <c r="A594" s="2" t="s">
        <v>1089</v>
      </c>
      <c r="B594" s="2" t="s">
        <v>1088</v>
      </c>
      <c r="C594" t="s">
        <v>3090</v>
      </c>
      <c r="D594" s="5" t="s">
        <v>3689</v>
      </c>
      <c r="E594" s="6">
        <f>IFERROR(VLOOKUP($D594,[1]Balanza!$A$3:$K$852,6,0)-VLOOKUP(D594,[1]Balanza!$A$3:$K$852,7,0),0)</f>
        <v>0</v>
      </c>
      <c r="F594" s="6">
        <f>IFERROR(VLOOKUP($D594,[1]Balanza!$A$3:$K$852,10,0)-VLOOKUP($D594,[1]Balanza!$A$3:$K$852,11,0),0)</f>
        <v>0</v>
      </c>
    </row>
    <row r="595" spans="1:6" x14ac:dyDescent="0.3">
      <c r="A595" s="2" t="s">
        <v>1090</v>
      </c>
      <c r="B595" s="2" t="s">
        <v>1091</v>
      </c>
      <c r="C595" t="s">
        <v>3090</v>
      </c>
      <c r="D595" s="5" t="s">
        <v>3690</v>
      </c>
      <c r="E595" s="6">
        <f>IFERROR(VLOOKUP($D595,[1]Balanza!$A$3:$K$852,6,0)-VLOOKUP(D595,[1]Balanza!$A$3:$K$852,7,0),0)</f>
        <v>0</v>
      </c>
      <c r="F595" s="6">
        <f>IFERROR(VLOOKUP($D595,[1]Balanza!$A$3:$K$852,10,0)-VLOOKUP($D595,[1]Balanza!$A$3:$K$852,11,0),0)</f>
        <v>0</v>
      </c>
    </row>
    <row r="596" spans="1:6" x14ac:dyDescent="0.3">
      <c r="A596" s="2" t="s">
        <v>1092</v>
      </c>
      <c r="B596" s="2" t="s">
        <v>1093</v>
      </c>
      <c r="C596" t="s">
        <v>3090</v>
      </c>
      <c r="D596" s="5" t="s">
        <v>3691</v>
      </c>
      <c r="E596" s="6">
        <f>IFERROR(VLOOKUP($D596,[1]Balanza!$A$3:$K$852,6,0)-VLOOKUP(D596,[1]Balanza!$A$3:$K$852,7,0),0)</f>
        <v>-88518.029999999795</v>
      </c>
      <c r="F596" s="6">
        <f>IFERROR(VLOOKUP($D596,[1]Balanza!$A$3:$K$852,10,0)-VLOOKUP($D596,[1]Balanza!$A$3:$K$852,11,0),0)</f>
        <v>2606868.86</v>
      </c>
    </row>
    <row r="597" spans="1:6" x14ac:dyDescent="0.3">
      <c r="A597" s="1" t="s">
        <v>1094</v>
      </c>
      <c r="B597" s="1" t="s">
        <v>1095</v>
      </c>
      <c r="C597" t="s">
        <v>3090</v>
      </c>
      <c r="D597" s="5" t="s">
        <v>3692</v>
      </c>
      <c r="E597" s="6">
        <f>IFERROR(VLOOKUP($D597,[1]Balanza!$A$3:$K$852,6,0)-VLOOKUP(D597,[1]Balanza!$A$3:$K$852,7,0),0)</f>
        <v>0</v>
      </c>
      <c r="F597" s="6">
        <f>IFERROR(VLOOKUP($D597,[1]Balanza!$A$3:$K$852,10,0)-VLOOKUP($D597,[1]Balanza!$A$3:$K$852,11,0),0)</f>
        <v>0</v>
      </c>
    </row>
    <row r="598" spans="1:6" x14ac:dyDescent="0.3">
      <c r="A598" s="2" t="s">
        <v>1096</v>
      </c>
      <c r="B598" s="2" t="s">
        <v>1097</v>
      </c>
      <c r="C598" t="s">
        <v>3090</v>
      </c>
      <c r="D598" s="5" t="s">
        <v>3693</v>
      </c>
      <c r="E598" s="6">
        <f>IFERROR(VLOOKUP($D598,[1]Balanza!$A$3:$K$852,6,0)-VLOOKUP(D598,[1]Balanza!$A$3:$K$852,7,0),0)</f>
        <v>0</v>
      </c>
      <c r="F598" s="6">
        <f>IFERROR(VLOOKUP($D598,[1]Balanza!$A$3:$K$852,10,0)-VLOOKUP($D598,[1]Balanza!$A$3:$K$852,11,0),0)</f>
        <v>0</v>
      </c>
    </row>
    <row r="599" spans="1:6" x14ac:dyDescent="0.3">
      <c r="A599" s="2" t="s">
        <v>1098</v>
      </c>
      <c r="B599" s="2" t="s">
        <v>1099</v>
      </c>
      <c r="C599" t="s">
        <v>3090</v>
      </c>
      <c r="D599" s="5" t="s">
        <v>3694</v>
      </c>
      <c r="E599" s="6">
        <f>IFERROR(VLOOKUP($D599,[1]Balanza!$A$3:$K$852,6,0)-VLOOKUP(D599,[1]Balanza!$A$3:$K$852,7,0),0)</f>
        <v>0</v>
      </c>
      <c r="F599" s="6">
        <f>IFERROR(VLOOKUP($D599,[1]Balanza!$A$3:$K$852,10,0)-VLOOKUP($D599,[1]Balanza!$A$3:$K$852,11,0),0)</f>
        <v>0</v>
      </c>
    </row>
    <row r="600" spans="1:6" x14ac:dyDescent="0.3">
      <c r="A600" s="2" t="s">
        <v>1100</v>
      </c>
      <c r="B600" s="2" t="s">
        <v>1101</v>
      </c>
      <c r="C600" t="s">
        <v>3090</v>
      </c>
      <c r="D600" s="5" t="s">
        <v>3695</v>
      </c>
      <c r="E600" s="6">
        <f>IFERROR(VLOOKUP($D600,[1]Balanza!$A$3:$K$852,6,0)-VLOOKUP(D600,[1]Balanza!$A$3:$K$852,7,0),0)</f>
        <v>0</v>
      </c>
      <c r="F600" s="6">
        <f>IFERROR(VLOOKUP($D600,[1]Balanza!$A$3:$K$852,10,0)-VLOOKUP($D600,[1]Balanza!$A$3:$K$852,11,0),0)</f>
        <v>0</v>
      </c>
    </row>
    <row r="601" spans="1:6" x14ac:dyDescent="0.3">
      <c r="A601" s="2" t="s">
        <v>1102</v>
      </c>
      <c r="B601" s="2" t="s">
        <v>1103</v>
      </c>
      <c r="C601" t="s">
        <v>3090</v>
      </c>
      <c r="D601" s="5" t="s">
        <v>3696</v>
      </c>
      <c r="E601" s="6">
        <f>IFERROR(VLOOKUP($D601,[1]Balanza!$A$3:$K$852,6,0)-VLOOKUP(D601,[1]Balanza!$A$3:$K$852,7,0),0)</f>
        <v>-127.6</v>
      </c>
      <c r="F601" s="6">
        <f>IFERROR(VLOOKUP($D601,[1]Balanza!$A$3:$K$852,10,0)-VLOOKUP($D601,[1]Balanza!$A$3:$K$852,11,0),0)</f>
        <v>0</v>
      </c>
    </row>
    <row r="602" spans="1:6" x14ac:dyDescent="0.3">
      <c r="A602" s="2" t="s">
        <v>1104</v>
      </c>
      <c r="B602" s="2" t="s">
        <v>1105</v>
      </c>
      <c r="C602" t="s">
        <v>3090</v>
      </c>
      <c r="D602" s="5" t="s">
        <v>3697</v>
      </c>
      <c r="E602" s="6">
        <f>IFERROR(VLOOKUP($D602,[1]Balanza!$A$3:$K$852,6,0)-VLOOKUP(D602,[1]Balanza!$A$3:$K$852,7,0),0)</f>
        <v>0</v>
      </c>
      <c r="F602" s="6">
        <f>IFERROR(VLOOKUP($D602,[1]Balanza!$A$3:$K$852,10,0)-VLOOKUP($D602,[1]Balanza!$A$3:$K$852,11,0),0)</f>
        <v>0</v>
      </c>
    </row>
    <row r="603" spans="1:6" x14ac:dyDescent="0.3">
      <c r="A603" s="2" t="s">
        <v>1106</v>
      </c>
      <c r="B603" s="2" t="s">
        <v>1107</v>
      </c>
      <c r="C603" t="s">
        <v>3090</v>
      </c>
      <c r="D603" s="5" t="s">
        <v>3698</v>
      </c>
      <c r="E603" s="6">
        <f>IFERROR(VLOOKUP($D603,[1]Balanza!$A$3:$K$852,6,0)-VLOOKUP(D603,[1]Balanza!$A$3:$K$852,7,0),0)</f>
        <v>0</v>
      </c>
      <c r="F603" s="6">
        <f>IFERROR(VLOOKUP($D603,[1]Balanza!$A$3:$K$852,10,0)-VLOOKUP($D603,[1]Balanza!$A$3:$K$852,11,0),0)</f>
        <v>9026.32</v>
      </c>
    </row>
    <row r="604" spans="1:6" x14ac:dyDescent="0.3">
      <c r="A604" s="2" t="s">
        <v>1108</v>
      </c>
      <c r="B604" s="2" t="s">
        <v>1109</v>
      </c>
      <c r="C604" t="s">
        <v>3090</v>
      </c>
      <c r="D604" s="5" t="s">
        <v>3699</v>
      </c>
      <c r="E604" s="6">
        <f>IFERROR(VLOOKUP($D604,[1]Balanza!$A$3:$K$852,6,0)-VLOOKUP(D604,[1]Balanza!$A$3:$K$852,7,0),0)</f>
        <v>-10556</v>
      </c>
      <c r="F604" s="6">
        <f>IFERROR(VLOOKUP($D604,[1]Balanza!$A$3:$K$852,10,0)-VLOOKUP($D604,[1]Balanza!$A$3:$K$852,11,0),0)</f>
        <v>0</v>
      </c>
    </row>
    <row r="605" spans="1:6" x14ac:dyDescent="0.3">
      <c r="A605" s="2" t="s">
        <v>1110</v>
      </c>
      <c r="B605" s="2" t="s">
        <v>1111</v>
      </c>
      <c r="C605" t="s">
        <v>3090</v>
      </c>
      <c r="D605" s="5" t="s">
        <v>3700</v>
      </c>
      <c r="E605" s="6">
        <f>IFERROR(VLOOKUP($D605,[1]Balanza!$A$3:$K$852,6,0)-VLOOKUP(D605,[1]Balanza!$A$3:$K$852,7,0),0)</f>
        <v>0</v>
      </c>
      <c r="F605" s="6">
        <f>IFERROR(VLOOKUP($D605,[1]Balanza!$A$3:$K$852,10,0)-VLOOKUP($D605,[1]Balanza!$A$3:$K$852,11,0),0)</f>
        <v>0</v>
      </c>
    </row>
    <row r="606" spans="1:6" x14ac:dyDescent="0.3">
      <c r="A606" s="2" t="s">
        <v>1112</v>
      </c>
      <c r="B606" s="2" t="s">
        <v>1113</v>
      </c>
      <c r="C606" t="s">
        <v>3090</v>
      </c>
      <c r="D606" s="5" t="s">
        <v>3701</v>
      </c>
      <c r="E606" s="6">
        <f>IFERROR(VLOOKUP($D606,[1]Balanza!$A$3:$K$852,6,0)-VLOOKUP(D606,[1]Balanza!$A$3:$K$852,7,0),0)</f>
        <v>0</v>
      </c>
      <c r="F606" s="6">
        <f>IFERROR(VLOOKUP($D606,[1]Balanza!$A$3:$K$852,10,0)-VLOOKUP($D606,[1]Balanza!$A$3:$K$852,11,0),0)</f>
        <v>0</v>
      </c>
    </row>
    <row r="607" spans="1:6" x14ac:dyDescent="0.3">
      <c r="A607" s="2" t="s">
        <v>1114</v>
      </c>
      <c r="B607" s="2" t="s">
        <v>1115</v>
      </c>
      <c r="C607" t="s">
        <v>3090</v>
      </c>
      <c r="D607" s="5" t="s">
        <v>3702</v>
      </c>
      <c r="E607" s="6">
        <f>IFERROR(VLOOKUP($D607,[1]Balanza!$A$3:$K$852,6,0)-VLOOKUP(D607,[1]Balanza!$A$3:$K$852,7,0),0)</f>
        <v>0</v>
      </c>
      <c r="F607" s="6">
        <f>IFERROR(VLOOKUP($D607,[1]Balanza!$A$3:$K$852,10,0)-VLOOKUP($D607,[1]Balanza!$A$3:$K$852,11,0),0)</f>
        <v>0</v>
      </c>
    </row>
    <row r="608" spans="1:6" x14ac:dyDescent="0.3">
      <c r="A608" s="2" t="s">
        <v>1116</v>
      </c>
      <c r="B608" s="2" t="s">
        <v>1117</v>
      </c>
      <c r="C608" t="s">
        <v>3090</v>
      </c>
      <c r="D608" s="5" t="s">
        <v>3703</v>
      </c>
      <c r="E608" s="6">
        <f>IFERROR(VLOOKUP($D608,[1]Balanza!$A$3:$K$852,6,0)-VLOOKUP(D608,[1]Balanza!$A$3:$K$852,7,0),0)</f>
        <v>0</v>
      </c>
      <c r="F608" s="6">
        <f>IFERROR(VLOOKUP($D608,[1]Balanza!$A$3:$K$852,10,0)-VLOOKUP($D608,[1]Balanza!$A$3:$K$852,11,0),0)</f>
        <v>0</v>
      </c>
    </row>
    <row r="609" spans="1:6" x14ac:dyDescent="0.3">
      <c r="A609" s="2" t="s">
        <v>1118</v>
      </c>
      <c r="B609" s="2" t="s">
        <v>1119</v>
      </c>
      <c r="C609" t="s">
        <v>3090</v>
      </c>
      <c r="D609" s="5" t="s">
        <v>3704</v>
      </c>
      <c r="E609" s="6">
        <f>IFERROR(VLOOKUP($D609,[1]Balanza!$A$3:$K$852,6,0)-VLOOKUP(D609,[1]Balanza!$A$3:$K$852,7,0),0)</f>
        <v>0</v>
      </c>
      <c r="F609" s="6">
        <f>IFERROR(VLOOKUP($D609,[1]Balanza!$A$3:$K$852,10,0)-VLOOKUP($D609,[1]Balanza!$A$3:$K$852,11,0),0)</f>
        <v>0</v>
      </c>
    </row>
    <row r="610" spans="1:6" x14ac:dyDescent="0.3">
      <c r="A610" s="2" t="s">
        <v>1120</v>
      </c>
      <c r="B610" s="2" t="s">
        <v>1121</v>
      </c>
      <c r="C610" t="s">
        <v>3090</v>
      </c>
      <c r="D610" s="5" t="s">
        <v>3705</v>
      </c>
      <c r="E610" s="6">
        <f>IFERROR(VLOOKUP($D610,[1]Balanza!$A$3:$K$852,6,0)-VLOOKUP(D610,[1]Balanza!$A$3:$K$852,7,0),0)</f>
        <v>-5502.09</v>
      </c>
      <c r="F610" s="6">
        <f>IFERROR(VLOOKUP($D610,[1]Balanza!$A$3:$K$852,10,0)-VLOOKUP($D610,[1]Balanza!$A$3:$K$852,11,0),0)</f>
        <v>-3182.7700000000041</v>
      </c>
    </row>
    <row r="611" spans="1:6" x14ac:dyDescent="0.3">
      <c r="A611" s="2" t="s">
        <v>1122</v>
      </c>
      <c r="B611" s="2" t="s">
        <v>1123</v>
      </c>
      <c r="C611" t="s">
        <v>3090</v>
      </c>
      <c r="D611" s="5" t="s">
        <v>3706</v>
      </c>
      <c r="E611" s="6">
        <f>IFERROR(VLOOKUP($D611,[1]Balanza!$A$3:$K$852,6,0)-VLOOKUP(D611,[1]Balanza!$A$3:$K$852,7,0),0)</f>
        <v>0</v>
      </c>
      <c r="F611" s="6">
        <f>IFERROR(VLOOKUP($D611,[1]Balanza!$A$3:$K$852,10,0)-VLOOKUP($D611,[1]Balanza!$A$3:$K$852,11,0),0)</f>
        <v>0</v>
      </c>
    </row>
    <row r="612" spans="1:6" x14ac:dyDescent="0.3">
      <c r="A612" s="2" t="s">
        <v>1124</v>
      </c>
      <c r="B612" s="2" t="s">
        <v>1125</v>
      </c>
      <c r="C612" t="s">
        <v>3090</v>
      </c>
      <c r="D612" s="5" t="s">
        <v>3707</v>
      </c>
      <c r="E612" s="6">
        <f>IFERROR(VLOOKUP($D612,[1]Balanza!$A$3:$K$852,6,0)-VLOOKUP(D612,[1]Balanza!$A$3:$K$852,7,0),0)</f>
        <v>-3031.2199999999993</v>
      </c>
      <c r="F612" s="6">
        <f>IFERROR(VLOOKUP($D612,[1]Balanza!$A$3:$K$852,10,0)-VLOOKUP($D612,[1]Balanza!$A$3:$K$852,11,0),0)</f>
        <v>-1879.2</v>
      </c>
    </row>
    <row r="613" spans="1:6" x14ac:dyDescent="0.3">
      <c r="A613" s="2" t="s">
        <v>1126</v>
      </c>
      <c r="B613" s="2" t="s">
        <v>1127</v>
      </c>
      <c r="C613" t="s">
        <v>3090</v>
      </c>
      <c r="D613" s="5" t="s">
        <v>3708</v>
      </c>
      <c r="E613" s="6">
        <f>IFERROR(VLOOKUP($D613,[1]Balanza!$A$3:$K$852,6,0)-VLOOKUP(D613,[1]Balanza!$A$3:$K$852,7,0),0)</f>
        <v>-1951</v>
      </c>
      <c r="F613" s="6">
        <f>IFERROR(VLOOKUP($D613,[1]Balanza!$A$3:$K$852,10,0)-VLOOKUP($D613,[1]Balanza!$A$3:$K$852,11,0),0)</f>
        <v>-17171.259999999995</v>
      </c>
    </row>
    <row r="614" spans="1:6" x14ac:dyDescent="0.3">
      <c r="A614" s="2" t="s">
        <v>1128</v>
      </c>
      <c r="B614" s="2" t="s">
        <v>1129</v>
      </c>
      <c r="C614" t="s">
        <v>3090</v>
      </c>
      <c r="D614" s="5" t="s">
        <v>3709</v>
      </c>
      <c r="E614" s="6">
        <f>IFERROR(VLOOKUP($D614,[1]Balanza!$A$3:$K$852,6,0)-VLOOKUP(D614,[1]Balanza!$A$3:$K$852,7,0),0)</f>
        <v>0</v>
      </c>
      <c r="F614" s="6">
        <f>IFERROR(VLOOKUP($D614,[1]Balanza!$A$3:$K$852,10,0)-VLOOKUP($D614,[1]Balanza!$A$3:$K$852,11,0),0)</f>
        <v>145.7400000000016</v>
      </c>
    </row>
    <row r="615" spans="1:6" x14ac:dyDescent="0.3">
      <c r="A615" s="2" t="s">
        <v>1130</v>
      </c>
      <c r="B615" s="2" t="s">
        <v>433</v>
      </c>
      <c r="C615" t="s">
        <v>3090</v>
      </c>
      <c r="D615" s="5" t="s">
        <v>3710</v>
      </c>
      <c r="E615" s="6">
        <f>IFERROR(VLOOKUP($D615,[1]Balanza!$A$3:$K$852,6,0)-VLOOKUP(D615,[1]Balanza!$A$3:$K$852,7,0),0)</f>
        <v>0</v>
      </c>
      <c r="F615" s="6">
        <f>IFERROR(VLOOKUP($D615,[1]Balanza!$A$3:$K$852,10,0)-VLOOKUP($D615,[1]Balanza!$A$3:$K$852,11,0),0)</f>
        <v>2510.31</v>
      </c>
    </row>
    <row r="616" spans="1:6" x14ac:dyDescent="0.3">
      <c r="A616" s="2" t="s">
        <v>1131</v>
      </c>
      <c r="B616" s="2" t="s">
        <v>1132</v>
      </c>
      <c r="C616" t="s">
        <v>3090</v>
      </c>
      <c r="D616" s="5" t="s">
        <v>3711</v>
      </c>
      <c r="E616" s="6">
        <f>IFERROR(VLOOKUP($D616,[1]Balanza!$A$3:$K$852,6,0)-VLOOKUP(D616,[1]Balanza!$A$3:$K$852,7,0),0)</f>
        <v>0</v>
      </c>
      <c r="F616" s="6">
        <f>IFERROR(VLOOKUP($D616,[1]Balanza!$A$3:$K$852,10,0)-VLOOKUP($D616,[1]Balanza!$A$3:$K$852,11,0),0)</f>
        <v>-3954.79</v>
      </c>
    </row>
    <row r="617" spans="1:6" x14ac:dyDescent="0.3">
      <c r="A617" s="2" t="s">
        <v>1133</v>
      </c>
      <c r="B617" s="2" t="s">
        <v>1134</v>
      </c>
      <c r="C617" t="s">
        <v>3090</v>
      </c>
      <c r="D617" s="5" t="s">
        <v>3712</v>
      </c>
      <c r="E617" s="6">
        <f>IFERROR(VLOOKUP($D617,[1]Balanza!$A$3:$K$852,6,0)-VLOOKUP(D617,[1]Balanza!$A$3:$K$852,7,0),0)</f>
        <v>-5626.65</v>
      </c>
      <c r="F617" s="6">
        <f>IFERROR(VLOOKUP($D617,[1]Balanza!$A$3:$K$852,10,0)-VLOOKUP($D617,[1]Balanza!$A$3:$K$852,11,0),0)</f>
        <v>-80.4699999999998</v>
      </c>
    </row>
    <row r="618" spans="1:6" x14ac:dyDescent="0.3">
      <c r="A618" s="2" t="s">
        <v>1135</v>
      </c>
      <c r="B618" s="2" t="s">
        <v>1136</v>
      </c>
      <c r="C618" t="s">
        <v>3090</v>
      </c>
      <c r="D618" s="5" t="s">
        <v>3713</v>
      </c>
      <c r="E618" s="6">
        <f>IFERROR(VLOOKUP($D618,[1]Balanza!$A$3:$K$852,6,0)-VLOOKUP(D618,[1]Balanza!$A$3:$K$852,7,0),0)</f>
        <v>0</v>
      </c>
      <c r="F618" s="6">
        <f>IFERROR(VLOOKUP($D618,[1]Balanza!$A$3:$K$852,10,0)-VLOOKUP($D618,[1]Balanza!$A$3:$K$852,11,0),0)</f>
        <v>0</v>
      </c>
    </row>
    <row r="619" spans="1:6" x14ac:dyDescent="0.3">
      <c r="A619" s="2" t="s">
        <v>1137</v>
      </c>
      <c r="B619" s="2" t="s">
        <v>1138</v>
      </c>
      <c r="C619" t="s">
        <v>3090</v>
      </c>
      <c r="D619" s="5" t="s">
        <v>3714</v>
      </c>
      <c r="E619" s="6">
        <f>IFERROR(VLOOKUP($D619,[1]Balanza!$A$3:$K$852,6,0)-VLOOKUP(D619,[1]Balanza!$A$3:$K$852,7,0),0)</f>
        <v>0</v>
      </c>
      <c r="F619" s="6">
        <f>IFERROR(VLOOKUP($D619,[1]Balanza!$A$3:$K$852,10,0)-VLOOKUP($D619,[1]Balanza!$A$3:$K$852,11,0),0)</f>
        <v>2629.6800000000003</v>
      </c>
    </row>
    <row r="620" spans="1:6" x14ac:dyDescent="0.3">
      <c r="A620" s="2" t="s">
        <v>1139</v>
      </c>
      <c r="B620" s="2" t="s">
        <v>1140</v>
      </c>
      <c r="C620" t="s">
        <v>3090</v>
      </c>
      <c r="D620" s="5" t="s">
        <v>3715</v>
      </c>
      <c r="E620" s="6">
        <f>IFERROR(VLOOKUP($D620,[1]Balanza!$A$3:$K$852,6,0)-VLOOKUP(D620,[1]Balanza!$A$3:$K$852,7,0),0)</f>
        <v>0</v>
      </c>
      <c r="F620" s="6">
        <f>IFERROR(VLOOKUP($D620,[1]Balanza!$A$3:$K$852,10,0)-VLOOKUP($D620,[1]Balanza!$A$3:$K$852,11,0),0)</f>
        <v>0</v>
      </c>
    </row>
    <row r="621" spans="1:6" x14ac:dyDescent="0.3">
      <c r="A621" s="2" t="s">
        <v>1141</v>
      </c>
      <c r="B621" s="2" t="s">
        <v>1142</v>
      </c>
      <c r="C621" t="s">
        <v>3090</v>
      </c>
      <c r="D621" s="5" t="s">
        <v>3716</v>
      </c>
      <c r="E621" s="6">
        <f>IFERROR(VLOOKUP($D621,[1]Balanza!$A$3:$K$852,6,0)-VLOOKUP(D621,[1]Balanza!$A$3:$K$852,7,0),0)</f>
        <v>0</v>
      </c>
      <c r="F621" s="6">
        <f>IFERROR(VLOOKUP($D621,[1]Balanza!$A$3:$K$852,10,0)-VLOOKUP($D621,[1]Balanza!$A$3:$K$852,11,0),0)</f>
        <v>-53088</v>
      </c>
    </row>
    <row r="622" spans="1:6" x14ac:dyDescent="0.3">
      <c r="A622" s="2" t="s">
        <v>1143</v>
      </c>
      <c r="B622" s="2" t="s">
        <v>1144</v>
      </c>
      <c r="C622" t="s">
        <v>3090</v>
      </c>
      <c r="D622" s="5" t="s">
        <v>3717</v>
      </c>
      <c r="E622" s="6">
        <f>IFERROR(VLOOKUP($D622,[1]Balanza!$A$3:$K$852,6,0)-VLOOKUP(D622,[1]Balanza!$A$3:$K$852,7,0),0)</f>
        <v>0</v>
      </c>
      <c r="F622" s="6">
        <f>IFERROR(VLOOKUP($D622,[1]Balanza!$A$3:$K$852,10,0)-VLOOKUP($D622,[1]Balanza!$A$3:$K$852,11,0),0)</f>
        <v>-1875.72</v>
      </c>
    </row>
    <row r="623" spans="1:6" x14ac:dyDescent="0.3">
      <c r="A623" s="2" t="s">
        <v>1145</v>
      </c>
      <c r="B623" s="2" t="s">
        <v>1146</v>
      </c>
      <c r="C623" t="s">
        <v>3090</v>
      </c>
      <c r="D623" s="5" t="s">
        <v>3718</v>
      </c>
      <c r="E623" s="6">
        <f>IFERROR(VLOOKUP($D623,[1]Balanza!$A$3:$K$852,6,0)-VLOOKUP(D623,[1]Balanza!$A$3:$K$852,7,0),0)</f>
        <v>0</v>
      </c>
      <c r="F623" s="6">
        <f>IFERROR(VLOOKUP($D623,[1]Balanza!$A$3:$K$852,10,0)-VLOOKUP($D623,[1]Balanza!$A$3:$K$852,11,0),0)</f>
        <v>0</v>
      </c>
    </row>
    <row r="624" spans="1:6" x14ac:dyDescent="0.3">
      <c r="A624" s="2" t="s">
        <v>1147</v>
      </c>
      <c r="B624" s="2" t="s">
        <v>1148</v>
      </c>
      <c r="C624" t="s">
        <v>3090</v>
      </c>
      <c r="D624" s="5" t="s">
        <v>3719</v>
      </c>
      <c r="E624" s="6">
        <f>IFERROR(VLOOKUP($D624,[1]Balanza!$A$3:$K$852,6,0)-VLOOKUP(D624,[1]Balanza!$A$3:$K$852,7,0),0)</f>
        <v>0</v>
      </c>
      <c r="F624" s="6">
        <f>IFERROR(VLOOKUP($D624,[1]Balanza!$A$3:$K$852,10,0)-VLOOKUP($D624,[1]Balanza!$A$3:$K$852,11,0),0)</f>
        <v>0</v>
      </c>
    </row>
    <row r="625" spans="1:6" x14ac:dyDescent="0.3">
      <c r="A625" s="2" t="s">
        <v>1149</v>
      </c>
      <c r="B625" s="2" t="s">
        <v>1150</v>
      </c>
      <c r="C625" t="s">
        <v>3090</v>
      </c>
      <c r="D625" s="5" t="s">
        <v>3720</v>
      </c>
      <c r="E625" s="6">
        <f>IFERROR(VLOOKUP($D625,[1]Balanza!$A$3:$K$852,6,0)-VLOOKUP(D625,[1]Balanza!$A$3:$K$852,7,0),0)</f>
        <v>0</v>
      </c>
      <c r="F625" s="6">
        <f>IFERROR(VLOOKUP($D625,[1]Balanza!$A$3:$K$852,10,0)-VLOOKUP($D625,[1]Balanza!$A$3:$K$852,11,0),0)</f>
        <v>0</v>
      </c>
    </row>
    <row r="626" spans="1:6" x14ac:dyDescent="0.3">
      <c r="A626" s="2" t="s">
        <v>1151</v>
      </c>
      <c r="B626" s="2" t="s">
        <v>1152</v>
      </c>
      <c r="C626" t="s">
        <v>3090</v>
      </c>
      <c r="D626" s="5" t="s">
        <v>3721</v>
      </c>
      <c r="E626" s="6">
        <f>IFERROR(VLOOKUP($D626,[1]Balanza!$A$3:$K$852,6,0)-VLOOKUP(D626,[1]Balanza!$A$3:$K$852,7,0),0)</f>
        <v>0</v>
      </c>
      <c r="F626" s="6">
        <f>IFERROR(VLOOKUP($D626,[1]Balanza!$A$3:$K$852,10,0)-VLOOKUP($D626,[1]Balanza!$A$3:$K$852,11,0),0)</f>
        <v>-80000</v>
      </c>
    </row>
    <row r="627" spans="1:6" x14ac:dyDescent="0.3">
      <c r="A627" s="2" t="s">
        <v>1153</v>
      </c>
      <c r="B627" s="2" t="s">
        <v>1154</v>
      </c>
      <c r="C627" t="s">
        <v>3090</v>
      </c>
      <c r="D627" s="5" t="s">
        <v>3722</v>
      </c>
      <c r="E627" s="6">
        <f>IFERROR(VLOOKUP($D627,[1]Balanza!$A$3:$K$852,6,0)-VLOOKUP(D627,[1]Balanza!$A$3:$K$852,7,0),0)</f>
        <v>0</v>
      </c>
      <c r="F627" s="6">
        <f>IFERROR(VLOOKUP($D627,[1]Balanza!$A$3:$K$852,10,0)-VLOOKUP($D627,[1]Balanza!$A$3:$K$852,11,0),0)</f>
        <v>46810.009999999995</v>
      </c>
    </row>
    <row r="628" spans="1:6" x14ac:dyDescent="0.3">
      <c r="A628" s="2" t="s">
        <v>1155</v>
      </c>
      <c r="B628" s="2" t="s">
        <v>1156</v>
      </c>
      <c r="C628" t="s">
        <v>3090</v>
      </c>
      <c r="D628" s="5" t="s">
        <v>3723</v>
      </c>
      <c r="E628" s="6">
        <f>IFERROR(VLOOKUP($D628,[1]Balanza!$A$3:$K$852,6,0)-VLOOKUP(D628,[1]Balanza!$A$3:$K$852,7,0),0)</f>
        <v>0</v>
      </c>
      <c r="F628" s="6">
        <f>IFERROR(VLOOKUP($D628,[1]Balanza!$A$3:$K$852,10,0)-VLOOKUP($D628,[1]Balanza!$A$3:$K$852,11,0),0)</f>
        <v>83768.850000000006</v>
      </c>
    </row>
    <row r="629" spans="1:6" x14ac:dyDescent="0.3">
      <c r="A629" s="2" t="s">
        <v>1157</v>
      </c>
      <c r="B629" s="2" t="s">
        <v>1158</v>
      </c>
      <c r="C629" t="s">
        <v>3090</v>
      </c>
      <c r="D629" s="5" t="s">
        <v>3724</v>
      </c>
      <c r="E629" s="6">
        <f>IFERROR(VLOOKUP($D629,[1]Balanza!$A$3:$K$852,6,0)-VLOOKUP(D629,[1]Balanza!$A$3:$K$852,7,0),0)</f>
        <v>0</v>
      </c>
      <c r="F629" s="6">
        <f>IFERROR(VLOOKUP($D629,[1]Balanza!$A$3:$K$852,10,0)-VLOOKUP($D629,[1]Balanza!$A$3:$K$852,11,0),0)</f>
        <v>11338.900000000001</v>
      </c>
    </row>
    <row r="630" spans="1:6" x14ac:dyDescent="0.3">
      <c r="A630" s="2" t="s">
        <v>1159</v>
      </c>
      <c r="B630" s="2" t="s">
        <v>1160</v>
      </c>
      <c r="C630" t="s">
        <v>3090</v>
      </c>
      <c r="D630" s="5" t="s">
        <v>3725</v>
      </c>
      <c r="E630" s="6">
        <f>IFERROR(VLOOKUP($D630,[1]Balanza!$A$3:$K$852,6,0)-VLOOKUP(D630,[1]Balanza!$A$3:$K$852,7,0),0)</f>
        <v>0</v>
      </c>
      <c r="F630" s="6">
        <f>IFERROR(VLOOKUP($D630,[1]Balanza!$A$3:$K$852,10,0)-VLOOKUP($D630,[1]Balanza!$A$3:$K$852,11,0),0)</f>
        <v>0</v>
      </c>
    </row>
    <row r="631" spans="1:6" x14ac:dyDescent="0.3">
      <c r="A631" s="2" t="s">
        <v>1161</v>
      </c>
      <c r="B631" s="2" t="s">
        <v>1162</v>
      </c>
      <c r="C631" t="s">
        <v>3090</v>
      </c>
      <c r="D631" s="5" t="s">
        <v>3726</v>
      </c>
      <c r="E631" s="6">
        <f>IFERROR(VLOOKUP($D631,[1]Balanza!$A$3:$K$852,6,0)-VLOOKUP(D631,[1]Balanza!$A$3:$K$852,7,0),0)</f>
        <v>0</v>
      </c>
      <c r="F631" s="6">
        <f>IFERROR(VLOOKUP($D631,[1]Balanza!$A$3:$K$852,10,0)-VLOOKUP($D631,[1]Balanza!$A$3:$K$852,11,0),0)</f>
        <v>-13989.31</v>
      </c>
    </row>
    <row r="632" spans="1:6" x14ac:dyDescent="0.3">
      <c r="A632" s="2" t="s">
        <v>1163</v>
      </c>
      <c r="B632" s="2" t="s">
        <v>1164</v>
      </c>
      <c r="C632" t="s">
        <v>3090</v>
      </c>
      <c r="D632" s="5" t="s">
        <v>3727</v>
      </c>
      <c r="E632" s="6">
        <f>IFERROR(VLOOKUP($D632,[1]Balanza!$A$3:$K$852,6,0)-VLOOKUP(D632,[1]Balanza!$A$3:$K$852,7,0),0)</f>
        <v>0</v>
      </c>
      <c r="F632" s="6">
        <f>IFERROR(VLOOKUP($D632,[1]Balanza!$A$3:$K$852,10,0)-VLOOKUP($D632,[1]Balanza!$A$3:$K$852,11,0),0)</f>
        <v>0</v>
      </c>
    </row>
    <row r="633" spans="1:6" x14ac:dyDescent="0.3">
      <c r="A633" s="2" t="s">
        <v>1165</v>
      </c>
      <c r="B633" s="2" t="s">
        <v>1166</v>
      </c>
      <c r="C633" t="s">
        <v>3090</v>
      </c>
      <c r="D633" s="5" t="s">
        <v>3728</v>
      </c>
      <c r="E633" s="6">
        <f>IFERROR(VLOOKUP($D633,[1]Balanza!$A$3:$K$852,6,0)-VLOOKUP(D633,[1]Balanza!$A$3:$K$852,7,0),0)</f>
        <v>0</v>
      </c>
      <c r="F633" s="6">
        <f>IFERROR(VLOOKUP($D633,[1]Balanza!$A$3:$K$852,10,0)-VLOOKUP($D633,[1]Balanza!$A$3:$K$852,11,0),0)</f>
        <v>0</v>
      </c>
    </row>
    <row r="634" spans="1:6" x14ac:dyDescent="0.3">
      <c r="A634" s="2" t="s">
        <v>1167</v>
      </c>
      <c r="B634" s="2" t="s">
        <v>1168</v>
      </c>
      <c r="C634" t="s">
        <v>3090</v>
      </c>
      <c r="D634" s="5" t="s">
        <v>3729</v>
      </c>
      <c r="E634" s="6">
        <f>IFERROR(VLOOKUP($D634,[1]Balanza!$A$3:$K$852,6,0)-VLOOKUP(D634,[1]Balanza!$A$3:$K$852,7,0),0)</f>
        <v>49765.419999999984</v>
      </c>
      <c r="F634" s="6">
        <f>IFERROR(VLOOKUP($D634,[1]Balanza!$A$3:$K$852,10,0)-VLOOKUP($D634,[1]Balanza!$A$3:$K$852,11,0),0)</f>
        <v>-69710.78</v>
      </c>
    </row>
    <row r="635" spans="1:6" x14ac:dyDescent="0.3">
      <c r="A635" s="2" t="s">
        <v>1169</v>
      </c>
      <c r="B635" s="2" t="s">
        <v>437</v>
      </c>
      <c r="C635" t="s">
        <v>3090</v>
      </c>
      <c r="D635" s="5" t="s">
        <v>3730</v>
      </c>
      <c r="E635" s="6">
        <f>IFERROR(VLOOKUP($D635,[1]Balanza!$A$3:$K$852,6,0)-VLOOKUP(D635,[1]Balanza!$A$3:$K$852,7,0),0)</f>
        <v>0</v>
      </c>
      <c r="F635" s="6">
        <f>IFERROR(VLOOKUP($D635,[1]Balanza!$A$3:$K$852,10,0)-VLOOKUP($D635,[1]Balanza!$A$3:$K$852,11,0),0)</f>
        <v>0</v>
      </c>
    </row>
    <row r="636" spans="1:6" x14ac:dyDescent="0.3">
      <c r="A636" s="2" t="s">
        <v>1170</v>
      </c>
      <c r="B636" s="2" t="s">
        <v>1171</v>
      </c>
      <c r="C636" t="s">
        <v>3090</v>
      </c>
      <c r="D636" s="5" t="s">
        <v>3731</v>
      </c>
      <c r="E636" s="6">
        <f>IFERROR(VLOOKUP($D636,[1]Balanza!$A$3:$K$852,6,0)-VLOOKUP(D636,[1]Balanza!$A$3:$K$852,7,0),0)</f>
        <v>0</v>
      </c>
      <c r="F636" s="6">
        <f>IFERROR(VLOOKUP($D636,[1]Balanza!$A$3:$K$852,10,0)-VLOOKUP($D636,[1]Balanza!$A$3:$K$852,11,0),0)</f>
        <v>70662.53</v>
      </c>
    </row>
    <row r="637" spans="1:6" x14ac:dyDescent="0.3">
      <c r="A637" s="2" t="s">
        <v>1172</v>
      </c>
      <c r="B637" s="2" t="s">
        <v>1173</v>
      </c>
      <c r="C637" t="s">
        <v>3090</v>
      </c>
      <c r="D637" s="5" t="s">
        <v>3732</v>
      </c>
      <c r="E637" s="6">
        <f>IFERROR(VLOOKUP($D637,[1]Balanza!$A$3:$K$852,6,0)-VLOOKUP(D637,[1]Balanza!$A$3:$K$852,7,0),0)</f>
        <v>0</v>
      </c>
      <c r="F637" s="6">
        <f>IFERROR(VLOOKUP($D637,[1]Balanza!$A$3:$K$852,10,0)-VLOOKUP($D637,[1]Balanza!$A$3:$K$852,11,0),0)</f>
        <v>0</v>
      </c>
    </row>
    <row r="638" spans="1:6" x14ac:dyDescent="0.3">
      <c r="A638" s="2" t="s">
        <v>1174</v>
      </c>
      <c r="B638" s="2" t="s">
        <v>1175</v>
      </c>
      <c r="C638" t="s">
        <v>3090</v>
      </c>
      <c r="D638" s="5" t="s">
        <v>3733</v>
      </c>
      <c r="E638" s="6">
        <f>IFERROR(VLOOKUP($D638,[1]Balanza!$A$3:$K$852,6,0)-VLOOKUP(D638,[1]Balanza!$A$3:$K$852,7,0),0)</f>
        <v>-19029.800000000003</v>
      </c>
      <c r="F638" s="6">
        <f>IFERROR(VLOOKUP($D638,[1]Balanza!$A$3:$K$852,10,0)-VLOOKUP($D638,[1]Balanza!$A$3:$K$852,11,0),0)</f>
        <v>0</v>
      </c>
    </row>
    <row r="639" spans="1:6" x14ac:dyDescent="0.3">
      <c r="A639" s="2" t="s">
        <v>1176</v>
      </c>
      <c r="B639" s="2" t="s">
        <v>1177</v>
      </c>
      <c r="C639" t="s">
        <v>3090</v>
      </c>
      <c r="D639" s="5" t="s">
        <v>3734</v>
      </c>
      <c r="E639" s="6">
        <f>IFERROR(VLOOKUP($D639,[1]Balanza!$A$3:$K$852,6,0)-VLOOKUP(D639,[1]Balanza!$A$3:$K$852,7,0),0)</f>
        <v>0</v>
      </c>
      <c r="F639" s="6">
        <f>IFERROR(VLOOKUP($D639,[1]Balanza!$A$3:$K$852,10,0)-VLOOKUP($D639,[1]Balanza!$A$3:$K$852,11,0),0)</f>
        <v>0</v>
      </c>
    </row>
    <row r="640" spans="1:6" x14ac:dyDescent="0.3">
      <c r="A640" s="2" t="s">
        <v>1178</v>
      </c>
      <c r="B640" s="2" t="s">
        <v>1179</v>
      </c>
      <c r="C640" t="s">
        <v>3090</v>
      </c>
      <c r="D640" s="5" t="s">
        <v>3735</v>
      </c>
      <c r="E640" s="6">
        <f>IFERROR(VLOOKUP($D640,[1]Balanza!$A$3:$K$852,6,0)-VLOOKUP(D640,[1]Balanza!$A$3:$K$852,7,0),0)</f>
        <v>0</v>
      </c>
      <c r="F640" s="6">
        <f>IFERROR(VLOOKUP($D640,[1]Balanza!$A$3:$K$852,10,0)-VLOOKUP($D640,[1]Balanza!$A$3:$K$852,11,0),0)</f>
        <v>0</v>
      </c>
    </row>
    <row r="641" spans="1:6" x14ac:dyDescent="0.3">
      <c r="A641" s="2" t="s">
        <v>1180</v>
      </c>
      <c r="B641" s="2" t="s">
        <v>421</v>
      </c>
      <c r="C641" t="s">
        <v>3090</v>
      </c>
      <c r="D641" s="5" t="s">
        <v>3736</v>
      </c>
      <c r="E641" s="6">
        <f>IFERROR(VLOOKUP($D641,[1]Balanza!$A$3:$K$852,6,0)-VLOOKUP(D641,[1]Balanza!$A$3:$K$852,7,0),0)</f>
        <v>0</v>
      </c>
      <c r="F641" s="6">
        <f>IFERROR(VLOOKUP($D641,[1]Balanza!$A$3:$K$852,10,0)-VLOOKUP($D641,[1]Balanza!$A$3:$K$852,11,0),0)</f>
        <v>0</v>
      </c>
    </row>
    <row r="642" spans="1:6" x14ac:dyDescent="0.3">
      <c r="A642" s="2" t="s">
        <v>1181</v>
      </c>
      <c r="B642" s="2" t="s">
        <v>1182</v>
      </c>
      <c r="C642" t="s">
        <v>3090</v>
      </c>
      <c r="D642" s="5" t="s">
        <v>3737</v>
      </c>
      <c r="E642" s="6">
        <f>IFERROR(VLOOKUP($D642,[1]Balanza!$A$3:$K$852,6,0)-VLOOKUP(D642,[1]Balanza!$A$3:$K$852,7,0),0)</f>
        <v>4002</v>
      </c>
      <c r="F642" s="6">
        <f>IFERROR(VLOOKUP($D642,[1]Balanza!$A$3:$K$852,10,0)-VLOOKUP($D642,[1]Balanza!$A$3:$K$852,11,0),0)</f>
        <v>0</v>
      </c>
    </row>
    <row r="643" spans="1:6" x14ac:dyDescent="0.3">
      <c r="A643" s="2" t="s">
        <v>1183</v>
      </c>
      <c r="B643" s="2" t="s">
        <v>1184</v>
      </c>
      <c r="C643" t="s">
        <v>3090</v>
      </c>
      <c r="D643" s="5" t="s">
        <v>3738</v>
      </c>
      <c r="E643" s="6">
        <f>IFERROR(VLOOKUP($D643,[1]Balanza!$A$3:$K$852,6,0)-VLOOKUP(D643,[1]Balanza!$A$3:$K$852,7,0),0)</f>
        <v>0</v>
      </c>
      <c r="F643" s="6">
        <f>IFERROR(VLOOKUP($D643,[1]Balanza!$A$3:$K$852,10,0)-VLOOKUP($D643,[1]Balanza!$A$3:$K$852,11,0),0)</f>
        <v>0</v>
      </c>
    </row>
    <row r="644" spans="1:6" x14ac:dyDescent="0.3">
      <c r="A644" s="2" t="s">
        <v>1185</v>
      </c>
      <c r="B644" s="2" t="s">
        <v>1186</v>
      </c>
      <c r="C644" t="s">
        <v>3090</v>
      </c>
      <c r="D644" s="5" t="s">
        <v>3739</v>
      </c>
      <c r="E644" s="6">
        <f>IFERROR(VLOOKUP($D644,[1]Balanza!$A$3:$K$852,6,0)-VLOOKUP(D644,[1]Balanza!$A$3:$K$852,7,0),0)</f>
        <v>0</v>
      </c>
      <c r="F644" s="6">
        <f>IFERROR(VLOOKUP($D644,[1]Balanza!$A$3:$K$852,10,0)-VLOOKUP($D644,[1]Balanza!$A$3:$K$852,11,0),0)</f>
        <v>0</v>
      </c>
    </row>
    <row r="645" spans="1:6" x14ac:dyDescent="0.3">
      <c r="A645" s="2" t="s">
        <v>1187</v>
      </c>
      <c r="B645" s="2" t="s">
        <v>1188</v>
      </c>
      <c r="C645" t="s">
        <v>3090</v>
      </c>
      <c r="D645" s="5" t="s">
        <v>3740</v>
      </c>
      <c r="E645" s="6">
        <f>IFERROR(VLOOKUP($D645,[1]Balanza!$A$3:$K$852,6,0)-VLOOKUP(D645,[1]Balanza!$A$3:$K$852,7,0),0)</f>
        <v>-670</v>
      </c>
      <c r="F645" s="6">
        <f>IFERROR(VLOOKUP($D645,[1]Balanza!$A$3:$K$852,10,0)-VLOOKUP($D645,[1]Balanza!$A$3:$K$852,11,0),0)</f>
        <v>0</v>
      </c>
    </row>
    <row r="646" spans="1:6" x14ac:dyDescent="0.3">
      <c r="A646" s="2" t="s">
        <v>1189</v>
      </c>
      <c r="B646" s="2" t="s">
        <v>1190</v>
      </c>
      <c r="C646" t="s">
        <v>3090</v>
      </c>
      <c r="D646" s="5" t="s">
        <v>3741</v>
      </c>
      <c r="E646" s="6">
        <f>IFERROR(VLOOKUP($D646,[1]Balanza!$A$3:$K$852,6,0)-VLOOKUP(D646,[1]Balanza!$A$3:$K$852,7,0),0)</f>
        <v>0</v>
      </c>
      <c r="F646" s="6">
        <f>IFERROR(VLOOKUP($D646,[1]Balanza!$A$3:$K$852,10,0)-VLOOKUP($D646,[1]Balanza!$A$3:$K$852,11,0),0)</f>
        <v>0</v>
      </c>
    </row>
    <row r="647" spans="1:6" x14ac:dyDescent="0.3">
      <c r="A647" s="2" t="s">
        <v>1191</v>
      </c>
      <c r="B647" s="2" t="s">
        <v>395</v>
      </c>
      <c r="C647" t="s">
        <v>3090</v>
      </c>
      <c r="D647" s="5" t="s">
        <v>3742</v>
      </c>
      <c r="E647" s="6">
        <f>IFERROR(VLOOKUP($D647,[1]Balanza!$A$3:$K$852,6,0)-VLOOKUP(D647,[1]Balanza!$A$3:$K$852,7,0),0)</f>
        <v>0</v>
      </c>
      <c r="F647" s="6">
        <f>IFERROR(VLOOKUP($D647,[1]Balanza!$A$3:$K$852,10,0)-VLOOKUP($D647,[1]Balanza!$A$3:$K$852,11,0),0)</f>
        <v>0</v>
      </c>
    </row>
    <row r="648" spans="1:6" x14ac:dyDescent="0.3">
      <c r="A648" s="2" t="s">
        <v>1192</v>
      </c>
      <c r="B648" s="2" t="s">
        <v>429</v>
      </c>
      <c r="C648" t="s">
        <v>3090</v>
      </c>
      <c r="D648" s="5" t="s">
        <v>3743</v>
      </c>
      <c r="E648" s="6">
        <f>IFERROR(VLOOKUP($D648,[1]Balanza!$A$3:$K$852,6,0)-VLOOKUP(D648,[1]Balanza!$A$3:$K$852,7,0),0)</f>
        <v>0</v>
      </c>
      <c r="F648" s="6">
        <f>IFERROR(VLOOKUP($D648,[1]Balanza!$A$3:$K$852,10,0)-VLOOKUP($D648,[1]Balanza!$A$3:$K$852,11,0),0)</f>
        <v>0</v>
      </c>
    </row>
    <row r="649" spans="1:6" x14ac:dyDescent="0.3">
      <c r="A649" s="2" t="s">
        <v>1193</v>
      </c>
      <c r="B649" s="2" t="s">
        <v>1194</v>
      </c>
      <c r="C649" t="s">
        <v>3090</v>
      </c>
      <c r="D649" s="5" t="s">
        <v>3744</v>
      </c>
      <c r="E649" s="6">
        <f>IFERROR(VLOOKUP($D649,[1]Balanza!$A$3:$K$852,6,0)-VLOOKUP(D649,[1]Balanza!$A$3:$K$852,7,0),0)</f>
        <v>-80</v>
      </c>
      <c r="F649" s="6">
        <f>IFERROR(VLOOKUP($D649,[1]Balanza!$A$3:$K$852,10,0)-VLOOKUP($D649,[1]Balanza!$A$3:$K$852,11,0),0)</f>
        <v>0</v>
      </c>
    </row>
    <row r="650" spans="1:6" x14ac:dyDescent="0.3">
      <c r="A650" s="2" t="s">
        <v>1195</v>
      </c>
      <c r="B650" s="2" t="s">
        <v>1196</v>
      </c>
      <c r="C650" t="s">
        <v>3090</v>
      </c>
      <c r="D650" s="5" t="s">
        <v>3745</v>
      </c>
      <c r="E650" s="6">
        <f>IFERROR(VLOOKUP($D650,[1]Balanza!$A$3:$K$852,6,0)-VLOOKUP(D650,[1]Balanza!$A$3:$K$852,7,0),0)</f>
        <v>0</v>
      </c>
      <c r="F650" s="6">
        <f>IFERROR(VLOOKUP($D650,[1]Balanza!$A$3:$K$852,10,0)-VLOOKUP($D650,[1]Balanza!$A$3:$K$852,11,0),0)</f>
        <v>0</v>
      </c>
    </row>
    <row r="651" spans="1:6" x14ac:dyDescent="0.3">
      <c r="A651" s="2" t="s">
        <v>1197</v>
      </c>
      <c r="B651" s="2" t="s">
        <v>1198</v>
      </c>
      <c r="C651" t="s">
        <v>3090</v>
      </c>
      <c r="D651" s="5" t="s">
        <v>3746</v>
      </c>
      <c r="E651" s="6">
        <f>IFERROR(VLOOKUP($D651,[1]Balanza!$A$3:$K$852,6,0)-VLOOKUP(D651,[1]Balanza!$A$3:$K$852,7,0),0)</f>
        <v>0</v>
      </c>
      <c r="F651" s="6">
        <f>IFERROR(VLOOKUP($D651,[1]Balanza!$A$3:$K$852,10,0)-VLOOKUP($D651,[1]Balanza!$A$3:$K$852,11,0),0)</f>
        <v>0</v>
      </c>
    </row>
    <row r="652" spans="1:6" x14ac:dyDescent="0.3">
      <c r="A652" s="2" t="s">
        <v>1199</v>
      </c>
      <c r="B652" s="2" t="s">
        <v>1200</v>
      </c>
      <c r="C652" t="s">
        <v>3090</v>
      </c>
      <c r="D652" s="5" t="s">
        <v>3747</v>
      </c>
      <c r="E652" s="6">
        <f>IFERROR(VLOOKUP($D652,[1]Balanza!$A$3:$K$852,6,0)-VLOOKUP(D652,[1]Balanza!$A$3:$K$852,7,0),0)</f>
        <v>0</v>
      </c>
      <c r="F652" s="6">
        <f>IFERROR(VLOOKUP($D652,[1]Balanza!$A$3:$K$852,10,0)-VLOOKUP($D652,[1]Balanza!$A$3:$K$852,11,0),0)</f>
        <v>0</v>
      </c>
    </row>
    <row r="653" spans="1:6" x14ac:dyDescent="0.3">
      <c r="A653" s="2" t="s">
        <v>1201</v>
      </c>
      <c r="B653" s="2" t="s">
        <v>1202</v>
      </c>
      <c r="C653" t="s">
        <v>3090</v>
      </c>
      <c r="D653" s="5" t="s">
        <v>3748</v>
      </c>
      <c r="E653" s="6">
        <f>IFERROR(VLOOKUP($D653,[1]Balanza!$A$3:$K$852,6,0)-VLOOKUP(D653,[1]Balanza!$A$3:$K$852,7,0),0)</f>
        <v>0</v>
      </c>
      <c r="F653" s="6">
        <f>IFERROR(VLOOKUP($D653,[1]Balanza!$A$3:$K$852,10,0)-VLOOKUP($D653,[1]Balanza!$A$3:$K$852,11,0),0)</f>
        <v>0</v>
      </c>
    </row>
    <row r="654" spans="1:6" x14ac:dyDescent="0.3">
      <c r="A654" s="2" t="s">
        <v>1203</v>
      </c>
      <c r="B654" s="2" t="s">
        <v>1204</v>
      </c>
      <c r="C654" t="s">
        <v>3090</v>
      </c>
      <c r="D654" s="5" t="s">
        <v>3749</v>
      </c>
      <c r="E654" s="6">
        <f>IFERROR(VLOOKUP($D654,[1]Balanza!$A$3:$K$852,6,0)-VLOOKUP(D654,[1]Balanza!$A$3:$K$852,7,0),0)</f>
        <v>-16924.47</v>
      </c>
      <c r="F654" s="6">
        <f>IFERROR(VLOOKUP($D654,[1]Balanza!$A$3:$K$852,10,0)-VLOOKUP($D654,[1]Balanza!$A$3:$K$852,11,0),0)</f>
        <v>0</v>
      </c>
    </row>
    <row r="655" spans="1:6" x14ac:dyDescent="0.3">
      <c r="A655" s="2" t="s">
        <v>1205</v>
      </c>
      <c r="B655" s="2" t="s">
        <v>1206</v>
      </c>
      <c r="C655" t="s">
        <v>3090</v>
      </c>
      <c r="D655" s="5" t="s">
        <v>3750</v>
      </c>
      <c r="E655" s="6">
        <f>IFERROR(VLOOKUP($D655,[1]Balanza!$A$3:$K$852,6,0)-VLOOKUP(D655,[1]Balanza!$A$3:$K$852,7,0),0)</f>
        <v>0</v>
      </c>
      <c r="F655" s="6">
        <f>IFERROR(VLOOKUP($D655,[1]Balanza!$A$3:$K$852,10,0)-VLOOKUP($D655,[1]Balanza!$A$3:$K$852,11,0),0)</f>
        <v>0</v>
      </c>
    </row>
    <row r="656" spans="1:6" x14ac:dyDescent="0.3">
      <c r="A656" s="2" t="s">
        <v>1207</v>
      </c>
      <c r="B656" s="2" t="s">
        <v>1208</v>
      </c>
      <c r="C656" t="s">
        <v>3090</v>
      </c>
      <c r="D656" s="5" t="s">
        <v>3751</v>
      </c>
      <c r="E656" s="6">
        <f>IFERROR(VLOOKUP($D656,[1]Balanza!$A$3:$K$852,6,0)-VLOOKUP(D656,[1]Balanza!$A$3:$K$852,7,0),0)</f>
        <v>0</v>
      </c>
      <c r="F656" s="6">
        <f>IFERROR(VLOOKUP($D656,[1]Balanza!$A$3:$K$852,10,0)-VLOOKUP($D656,[1]Balanza!$A$3:$K$852,11,0),0)</f>
        <v>0</v>
      </c>
    </row>
    <row r="657" spans="1:6" x14ac:dyDescent="0.3">
      <c r="A657" s="2" t="s">
        <v>1209</v>
      </c>
      <c r="B657" s="2" t="s">
        <v>1210</v>
      </c>
      <c r="C657" t="s">
        <v>3090</v>
      </c>
      <c r="D657" s="5" t="s">
        <v>3752</v>
      </c>
      <c r="E657" s="6">
        <f>IFERROR(VLOOKUP($D657,[1]Balanza!$A$3:$K$852,6,0)-VLOOKUP(D657,[1]Balanza!$A$3:$K$852,7,0),0)</f>
        <v>0</v>
      </c>
      <c r="F657" s="6">
        <f>IFERROR(VLOOKUP($D657,[1]Balanza!$A$3:$K$852,10,0)-VLOOKUP($D657,[1]Balanza!$A$3:$K$852,11,0),0)</f>
        <v>0</v>
      </c>
    </row>
    <row r="658" spans="1:6" x14ac:dyDescent="0.3">
      <c r="A658" s="2" t="s">
        <v>1211</v>
      </c>
      <c r="B658" s="2" t="s">
        <v>1212</v>
      </c>
      <c r="C658" t="s">
        <v>3090</v>
      </c>
      <c r="D658" s="5" t="s">
        <v>3753</v>
      </c>
      <c r="E658" s="6">
        <f>IFERROR(VLOOKUP($D658,[1]Balanza!$A$3:$K$852,6,0)-VLOOKUP(D658,[1]Balanza!$A$3:$K$852,7,0),0)</f>
        <v>0</v>
      </c>
      <c r="F658" s="6">
        <f>IFERROR(VLOOKUP($D658,[1]Balanza!$A$3:$K$852,10,0)-VLOOKUP($D658,[1]Balanza!$A$3:$K$852,11,0),0)</f>
        <v>0</v>
      </c>
    </row>
    <row r="659" spans="1:6" x14ac:dyDescent="0.3">
      <c r="A659" s="2" t="s">
        <v>1213</v>
      </c>
      <c r="B659" s="2" t="s">
        <v>1214</v>
      </c>
      <c r="C659" t="s">
        <v>3090</v>
      </c>
      <c r="D659" s="5" t="s">
        <v>3754</v>
      </c>
      <c r="E659" s="6">
        <f>IFERROR(VLOOKUP($D659,[1]Balanza!$A$3:$K$852,6,0)-VLOOKUP(D659,[1]Balanza!$A$3:$K$852,7,0),0)</f>
        <v>0</v>
      </c>
      <c r="F659" s="6">
        <f>IFERROR(VLOOKUP($D659,[1]Balanza!$A$3:$K$852,10,0)-VLOOKUP($D659,[1]Balanza!$A$3:$K$852,11,0),0)</f>
        <v>0</v>
      </c>
    </row>
    <row r="660" spans="1:6" x14ac:dyDescent="0.3">
      <c r="A660" s="2" t="s">
        <v>1215</v>
      </c>
      <c r="B660" s="2" t="s">
        <v>1216</v>
      </c>
      <c r="C660" t="s">
        <v>3090</v>
      </c>
      <c r="D660" s="5" t="s">
        <v>3755</v>
      </c>
      <c r="E660" s="6">
        <f>IFERROR(VLOOKUP($D660,[1]Balanza!$A$3:$K$852,6,0)-VLOOKUP(D660,[1]Balanza!$A$3:$K$852,7,0),0)</f>
        <v>0</v>
      </c>
      <c r="F660" s="6">
        <f>IFERROR(VLOOKUP($D660,[1]Balanza!$A$3:$K$852,10,0)-VLOOKUP($D660,[1]Balanza!$A$3:$K$852,11,0),0)</f>
        <v>0</v>
      </c>
    </row>
    <row r="661" spans="1:6" x14ac:dyDescent="0.3">
      <c r="A661" s="2" t="s">
        <v>1217</v>
      </c>
      <c r="B661" s="2" t="s">
        <v>429</v>
      </c>
      <c r="C661" t="s">
        <v>3090</v>
      </c>
      <c r="D661" s="5" t="s">
        <v>3756</v>
      </c>
      <c r="E661" s="6">
        <f>IFERROR(VLOOKUP($D661,[1]Balanza!$A$3:$K$852,6,0)-VLOOKUP(D661,[1]Balanza!$A$3:$K$852,7,0),0)</f>
        <v>0</v>
      </c>
      <c r="F661" s="6">
        <f>IFERROR(VLOOKUP($D661,[1]Balanza!$A$3:$K$852,10,0)-VLOOKUP($D661,[1]Balanza!$A$3:$K$852,11,0),0)</f>
        <v>0</v>
      </c>
    </row>
    <row r="662" spans="1:6" x14ac:dyDescent="0.3">
      <c r="A662" s="2" t="s">
        <v>1218</v>
      </c>
      <c r="B662" s="2" t="s">
        <v>1219</v>
      </c>
      <c r="C662" t="s">
        <v>3090</v>
      </c>
      <c r="D662" s="5" t="s">
        <v>3757</v>
      </c>
      <c r="E662" s="6">
        <f>IFERROR(VLOOKUP($D662,[1]Balanza!$A$3:$K$852,6,0)-VLOOKUP(D662,[1]Balanza!$A$3:$K$852,7,0),0)</f>
        <v>0</v>
      </c>
      <c r="F662" s="6">
        <f>IFERROR(VLOOKUP($D662,[1]Balanza!$A$3:$K$852,10,0)-VLOOKUP($D662,[1]Balanza!$A$3:$K$852,11,0),0)</f>
        <v>0</v>
      </c>
    </row>
    <row r="663" spans="1:6" x14ac:dyDescent="0.3">
      <c r="A663" s="2" t="s">
        <v>1220</v>
      </c>
      <c r="B663" s="2" t="s">
        <v>1214</v>
      </c>
      <c r="C663" t="s">
        <v>3090</v>
      </c>
      <c r="D663" s="5" t="s">
        <v>3758</v>
      </c>
      <c r="E663" s="6">
        <f>IFERROR(VLOOKUP($D663,[1]Balanza!$A$3:$K$852,6,0)-VLOOKUP(D663,[1]Balanza!$A$3:$K$852,7,0),0)</f>
        <v>0</v>
      </c>
      <c r="F663" s="6">
        <f>IFERROR(VLOOKUP($D663,[1]Balanza!$A$3:$K$852,10,0)-VLOOKUP($D663,[1]Balanza!$A$3:$K$852,11,0),0)</f>
        <v>0</v>
      </c>
    </row>
    <row r="664" spans="1:6" x14ac:dyDescent="0.3">
      <c r="A664" s="2" t="s">
        <v>1221</v>
      </c>
      <c r="B664" s="2" t="s">
        <v>1216</v>
      </c>
      <c r="C664" t="s">
        <v>3090</v>
      </c>
      <c r="D664" s="5" t="s">
        <v>3759</v>
      </c>
      <c r="E664" s="6">
        <f>IFERROR(VLOOKUP($D664,[1]Balanza!$A$3:$K$852,6,0)-VLOOKUP(D664,[1]Balanza!$A$3:$K$852,7,0),0)</f>
        <v>0</v>
      </c>
      <c r="F664" s="6">
        <f>IFERROR(VLOOKUP($D664,[1]Balanza!$A$3:$K$852,10,0)-VLOOKUP($D664,[1]Balanza!$A$3:$K$852,11,0),0)</f>
        <v>0</v>
      </c>
    </row>
    <row r="665" spans="1:6" x14ac:dyDescent="0.3">
      <c r="A665" s="2" t="s">
        <v>1222</v>
      </c>
      <c r="B665" s="2" t="s">
        <v>429</v>
      </c>
      <c r="C665" t="s">
        <v>3090</v>
      </c>
      <c r="D665" s="5" t="s">
        <v>3760</v>
      </c>
      <c r="E665" s="6">
        <f>IFERROR(VLOOKUP($D665,[1]Balanza!$A$3:$K$852,6,0)-VLOOKUP(D665,[1]Balanza!$A$3:$K$852,7,0),0)</f>
        <v>0</v>
      </c>
      <c r="F665" s="6">
        <f>IFERROR(VLOOKUP($D665,[1]Balanza!$A$3:$K$852,10,0)-VLOOKUP($D665,[1]Balanza!$A$3:$K$852,11,0),0)</f>
        <v>0</v>
      </c>
    </row>
    <row r="666" spans="1:6" x14ac:dyDescent="0.3">
      <c r="A666" s="2" t="s">
        <v>1223</v>
      </c>
      <c r="B666" s="2" t="s">
        <v>1224</v>
      </c>
      <c r="C666" t="s">
        <v>3090</v>
      </c>
      <c r="D666" s="5" t="s">
        <v>3761</v>
      </c>
      <c r="E666" s="6">
        <f>IFERROR(VLOOKUP($D666,[1]Balanza!$A$3:$K$852,6,0)-VLOOKUP(D666,[1]Balanza!$A$3:$K$852,7,0),0)</f>
        <v>0</v>
      </c>
      <c r="F666" s="6">
        <f>IFERROR(VLOOKUP($D666,[1]Balanza!$A$3:$K$852,10,0)-VLOOKUP($D666,[1]Balanza!$A$3:$K$852,11,0),0)</f>
        <v>0</v>
      </c>
    </row>
    <row r="667" spans="1:6" x14ac:dyDescent="0.3">
      <c r="A667" s="2" t="s">
        <v>1225</v>
      </c>
      <c r="B667" s="2" t="s">
        <v>1226</v>
      </c>
      <c r="C667" t="s">
        <v>3090</v>
      </c>
      <c r="D667" s="5" t="s">
        <v>3762</v>
      </c>
      <c r="E667" s="6">
        <f>IFERROR(VLOOKUP($D667,[1]Balanza!$A$3:$K$852,6,0)-VLOOKUP(D667,[1]Balanza!$A$3:$K$852,7,0),0)</f>
        <v>0</v>
      </c>
      <c r="F667" s="6">
        <f>IFERROR(VLOOKUP($D667,[1]Balanza!$A$3:$K$852,10,0)-VLOOKUP($D667,[1]Balanza!$A$3:$K$852,11,0),0)</f>
        <v>0</v>
      </c>
    </row>
    <row r="668" spans="1:6" x14ac:dyDescent="0.3">
      <c r="A668" s="2" t="s">
        <v>1227</v>
      </c>
      <c r="B668" s="2" t="s">
        <v>1228</v>
      </c>
      <c r="C668" t="s">
        <v>3090</v>
      </c>
      <c r="D668" s="5" t="s">
        <v>3763</v>
      </c>
      <c r="E668" s="6">
        <f>IFERROR(VLOOKUP($D668,[1]Balanza!$A$3:$K$852,6,0)-VLOOKUP(D668,[1]Balanza!$A$3:$K$852,7,0),0)</f>
        <v>0</v>
      </c>
      <c r="F668" s="6">
        <f>IFERROR(VLOOKUP($D668,[1]Balanza!$A$3:$K$852,10,0)-VLOOKUP($D668,[1]Balanza!$A$3:$K$852,11,0),0)</f>
        <v>0</v>
      </c>
    </row>
    <row r="669" spans="1:6" x14ac:dyDescent="0.3">
      <c r="A669" s="2" t="s">
        <v>1229</v>
      </c>
      <c r="B669" s="2" t="s">
        <v>1230</v>
      </c>
      <c r="C669" t="s">
        <v>3090</v>
      </c>
      <c r="D669" s="5" t="s">
        <v>3764</v>
      </c>
      <c r="E669" s="6">
        <f>IFERROR(VLOOKUP($D669,[1]Balanza!$A$3:$K$852,6,0)-VLOOKUP(D669,[1]Balanza!$A$3:$K$852,7,0),0)</f>
        <v>0</v>
      </c>
      <c r="F669" s="6">
        <f>IFERROR(VLOOKUP($D669,[1]Balanza!$A$3:$K$852,10,0)-VLOOKUP($D669,[1]Balanza!$A$3:$K$852,11,0),0)</f>
        <v>0</v>
      </c>
    </row>
    <row r="670" spans="1:6" x14ac:dyDescent="0.3">
      <c r="A670" s="1" t="s">
        <v>1231</v>
      </c>
      <c r="B670" s="1" t="s">
        <v>1232</v>
      </c>
      <c r="C670" t="s">
        <v>3090</v>
      </c>
      <c r="D670" s="5" t="s">
        <v>3765</v>
      </c>
      <c r="E670" s="6">
        <f>IFERROR(VLOOKUP($D670,[1]Balanza!$A$3:$K$852,6,0)-VLOOKUP(D670,[1]Balanza!$A$3:$K$852,7,0),0)</f>
        <v>0</v>
      </c>
      <c r="F670" s="6">
        <f>IFERROR(VLOOKUP($D670,[1]Balanza!$A$3:$K$852,10,0)-VLOOKUP($D670,[1]Balanza!$A$3:$K$852,11,0),0)</f>
        <v>0</v>
      </c>
    </row>
    <row r="671" spans="1:6" x14ac:dyDescent="0.3">
      <c r="A671" s="2" t="s">
        <v>1233</v>
      </c>
      <c r="B671" s="2" t="s">
        <v>1234</v>
      </c>
      <c r="C671" t="s">
        <v>3090</v>
      </c>
      <c r="D671" s="5" t="s">
        <v>3766</v>
      </c>
      <c r="E671" s="6">
        <f>IFERROR(VLOOKUP($D671,[1]Balanza!$A$3:$K$852,6,0)-VLOOKUP(D671,[1]Balanza!$A$3:$K$852,7,0),0)</f>
        <v>0</v>
      </c>
      <c r="F671" s="6">
        <f>IFERROR(VLOOKUP($D671,[1]Balanza!$A$3:$K$852,10,0)-VLOOKUP($D671,[1]Balanza!$A$3:$K$852,11,0),0)</f>
        <v>0</v>
      </c>
    </row>
    <row r="672" spans="1:6" x14ac:dyDescent="0.3">
      <c r="A672" s="2" t="s">
        <v>1235</v>
      </c>
      <c r="B672" s="2" t="s">
        <v>1236</v>
      </c>
      <c r="C672" t="s">
        <v>3090</v>
      </c>
      <c r="D672" s="5" t="s">
        <v>3767</v>
      </c>
      <c r="E672" s="6">
        <f>IFERROR(VLOOKUP($D672,[1]Balanza!$A$3:$K$852,6,0)-VLOOKUP(D672,[1]Balanza!$A$3:$K$852,7,0),0)</f>
        <v>0</v>
      </c>
      <c r="F672" s="6">
        <f>IFERROR(VLOOKUP($D672,[1]Balanza!$A$3:$K$852,10,0)-VLOOKUP($D672,[1]Balanza!$A$3:$K$852,11,0),0)</f>
        <v>0</v>
      </c>
    </row>
    <row r="673" spans="1:6" x14ac:dyDescent="0.3">
      <c r="A673" s="2" t="s">
        <v>1237</v>
      </c>
      <c r="B673" s="2" t="s">
        <v>1238</v>
      </c>
      <c r="C673" t="s">
        <v>3090</v>
      </c>
      <c r="D673" s="5" t="s">
        <v>3768</v>
      </c>
      <c r="E673" s="6">
        <f>IFERROR(VLOOKUP($D673,[1]Balanza!$A$3:$K$852,6,0)-VLOOKUP(D673,[1]Balanza!$A$3:$K$852,7,0),0)</f>
        <v>0</v>
      </c>
      <c r="F673" s="6">
        <f>IFERROR(VLOOKUP($D673,[1]Balanza!$A$3:$K$852,10,0)-VLOOKUP($D673,[1]Balanza!$A$3:$K$852,11,0),0)</f>
        <v>0</v>
      </c>
    </row>
    <row r="674" spans="1:6" x14ac:dyDescent="0.3">
      <c r="A674" s="2" t="s">
        <v>1239</v>
      </c>
      <c r="B674" s="2" t="s">
        <v>1240</v>
      </c>
      <c r="C674" t="s">
        <v>3090</v>
      </c>
      <c r="D674" s="5" t="s">
        <v>3769</v>
      </c>
      <c r="E674" s="6">
        <f>IFERROR(VLOOKUP($D674,[1]Balanza!$A$3:$K$852,6,0)-VLOOKUP(D674,[1]Balanza!$A$3:$K$852,7,0),0)</f>
        <v>0</v>
      </c>
      <c r="F674" s="6">
        <f>IFERROR(VLOOKUP($D674,[1]Balanza!$A$3:$K$852,10,0)-VLOOKUP($D674,[1]Balanza!$A$3:$K$852,11,0),0)</f>
        <v>-399383.85</v>
      </c>
    </row>
    <row r="675" spans="1:6" x14ac:dyDescent="0.3">
      <c r="A675" s="2" t="s">
        <v>1241</v>
      </c>
      <c r="B675" s="2" t="s">
        <v>1242</v>
      </c>
      <c r="C675" t="s">
        <v>3090</v>
      </c>
      <c r="D675" s="5" t="s">
        <v>3770</v>
      </c>
      <c r="E675" s="6">
        <f>IFERROR(VLOOKUP($D675,[1]Balanza!$A$3:$K$852,6,0)-VLOOKUP(D675,[1]Balanza!$A$3:$K$852,7,0),0)</f>
        <v>0</v>
      </c>
      <c r="F675" s="6">
        <f>IFERROR(VLOOKUP($D675,[1]Balanza!$A$3:$K$852,10,0)-VLOOKUP($D675,[1]Balanza!$A$3:$K$852,11,0),0)</f>
        <v>0</v>
      </c>
    </row>
    <row r="676" spans="1:6" x14ac:dyDescent="0.3">
      <c r="A676" s="2" t="s">
        <v>1243</v>
      </c>
      <c r="B676" s="2" t="s">
        <v>1244</v>
      </c>
      <c r="C676" t="s">
        <v>3090</v>
      </c>
      <c r="D676" s="5" t="s">
        <v>3771</v>
      </c>
      <c r="E676" s="6">
        <f>IFERROR(VLOOKUP($D676,[1]Balanza!$A$3:$K$852,6,0)-VLOOKUP(D676,[1]Balanza!$A$3:$K$852,7,0),0)</f>
        <v>0</v>
      </c>
      <c r="F676" s="6">
        <f>IFERROR(VLOOKUP($D676,[1]Balanza!$A$3:$K$852,10,0)-VLOOKUP($D676,[1]Balanza!$A$3:$K$852,11,0),0)</f>
        <v>0</v>
      </c>
    </row>
    <row r="677" spans="1:6" x14ac:dyDescent="0.3">
      <c r="A677" s="2" t="s">
        <v>1245</v>
      </c>
      <c r="B677" s="2" t="s">
        <v>1246</v>
      </c>
      <c r="C677" t="s">
        <v>3090</v>
      </c>
      <c r="D677" s="5" t="s">
        <v>3772</v>
      </c>
      <c r="E677" s="6">
        <f>IFERROR(VLOOKUP($D677,[1]Balanza!$A$3:$K$852,6,0)-VLOOKUP(D677,[1]Balanza!$A$3:$K$852,7,0),0)</f>
        <v>0</v>
      </c>
      <c r="F677" s="6">
        <f>IFERROR(VLOOKUP($D677,[1]Balanza!$A$3:$K$852,10,0)-VLOOKUP($D677,[1]Balanza!$A$3:$K$852,11,0),0)</f>
        <v>0</v>
      </c>
    </row>
    <row r="678" spans="1:6" x14ac:dyDescent="0.3">
      <c r="A678" s="2" t="s">
        <v>1247</v>
      </c>
      <c r="B678" s="2" t="s">
        <v>1248</v>
      </c>
      <c r="C678" t="s">
        <v>3090</v>
      </c>
      <c r="D678" s="5" t="s">
        <v>3773</v>
      </c>
      <c r="E678" s="6">
        <f>IFERROR(VLOOKUP($D678,[1]Balanza!$A$3:$K$852,6,0)-VLOOKUP(D678,[1]Balanza!$A$3:$K$852,7,0),0)</f>
        <v>0</v>
      </c>
      <c r="F678" s="6">
        <f>IFERROR(VLOOKUP($D678,[1]Balanza!$A$3:$K$852,10,0)-VLOOKUP($D678,[1]Balanza!$A$3:$K$852,11,0),0)</f>
        <v>0</v>
      </c>
    </row>
    <row r="679" spans="1:6" x14ac:dyDescent="0.3">
      <c r="A679" s="2" t="s">
        <v>1249</v>
      </c>
      <c r="B679" s="2" t="s">
        <v>1250</v>
      </c>
      <c r="C679" t="s">
        <v>3090</v>
      </c>
      <c r="D679" s="5" t="s">
        <v>3774</v>
      </c>
      <c r="E679" s="6">
        <f>IFERROR(VLOOKUP($D679,[1]Balanza!$A$3:$K$852,6,0)-VLOOKUP(D679,[1]Balanza!$A$3:$K$852,7,0),0)</f>
        <v>0</v>
      </c>
      <c r="F679" s="6">
        <f>IFERROR(VLOOKUP($D679,[1]Balanza!$A$3:$K$852,10,0)-VLOOKUP($D679,[1]Balanza!$A$3:$K$852,11,0),0)</f>
        <v>0</v>
      </c>
    </row>
    <row r="680" spans="1:6" x14ac:dyDescent="0.3">
      <c r="A680" s="2" t="s">
        <v>1251</v>
      </c>
      <c r="B680" s="2" t="s">
        <v>1252</v>
      </c>
      <c r="C680" t="s">
        <v>3090</v>
      </c>
      <c r="D680" s="5" t="s">
        <v>3775</v>
      </c>
      <c r="E680" s="6">
        <f>IFERROR(VLOOKUP($D680,[1]Balanza!$A$3:$K$852,6,0)-VLOOKUP(D680,[1]Balanza!$A$3:$K$852,7,0),0)</f>
        <v>0</v>
      </c>
      <c r="F680" s="6">
        <f>IFERROR(VLOOKUP($D680,[1]Balanza!$A$3:$K$852,10,0)-VLOOKUP($D680,[1]Balanza!$A$3:$K$852,11,0),0)</f>
        <v>0</v>
      </c>
    </row>
    <row r="681" spans="1:6" x14ac:dyDescent="0.3">
      <c r="A681" s="2" t="s">
        <v>1253</v>
      </c>
      <c r="B681" s="2" t="s">
        <v>1254</v>
      </c>
      <c r="C681" t="s">
        <v>3090</v>
      </c>
      <c r="D681" s="5" t="s">
        <v>3776</v>
      </c>
      <c r="E681" s="6">
        <f>IFERROR(VLOOKUP($D681,[1]Balanza!$A$3:$K$852,6,0)-VLOOKUP(D681,[1]Balanza!$A$3:$K$852,7,0),0)</f>
        <v>0</v>
      </c>
      <c r="F681" s="6">
        <f>IFERROR(VLOOKUP($D681,[1]Balanza!$A$3:$K$852,10,0)-VLOOKUP($D681,[1]Balanza!$A$3:$K$852,11,0),0)</f>
        <v>0</v>
      </c>
    </row>
    <row r="682" spans="1:6" x14ac:dyDescent="0.3">
      <c r="A682" s="2" t="s">
        <v>1255</v>
      </c>
      <c r="B682" s="2" t="s">
        <v>1256</v>
      </c>
      <c r="C682" t="s">
        <v>3090</v>
      </c>
      <c r="D682" s="5" t="s">
        <v>3777</v>
      </c>
      <c r="E682" s="6">
        <f>IFERROR(VLOOKUP($D682,[1]Balanza!$A$3:$K$852,6,0)-VLOOKUP(D682,[1]Balanza!$A$3:$K$852,7,0),0)</f>
        <v>0</v>
      </c>
      <c r="F682" s="6">
        <f>IFERROR(VLOOKUP($D682,[1]Balanza!$A$3:$K$852,10,0)-VLOOKUP($D682,[1]Balanza!$A$3:$K$852,11,0),0)</f>
        <v>0</v>
      </c>
    </row>
    <row r="683" spans="1:6" x14ac:dyDescent="0.3">
      <c r="A683" s="2" t="s">
        <v>1257</v>
      </c>
      <c r="B683" s="2" t="s">
        <v>1258</v>
      </c>
      <c r="C683" t="s">
        <v>3090</v>
      </c>
      <c r="D683" s="5" t="s">
        <v>3778</v>
      </c>
      <c r="E683" s="6">
        <f>IFERROR(VLOOKUP($D683,[1]Balanza!$A$3:$K$852,6,0)-VLOOKUP(D683,[1]Balanza!$A$3:$K$852,7,0),0)</f>
        <v>0</v>
      </c>
      <c r="F683" s="6">
        <f>IFERROR(VLOOKUP($D683,[1]Balanza!$A$3:$K$852,10,0)-VLOOKUP($D683,[1]Balanza!$A$3:$K$852,11,0),0)</f>
        <v>0</v>
      </c>
    </row>
    <row r="684" spans="1:6" x14ac:dyDescent="0.3">
      <c r="A684" s="2" t="s">
        <v>1259</v>
      </c>
      <c r="B684" s="2" t="s">
        <v>1260</v>
      </c>
      <c r="C684" t="s">
        <v>3090</v>
      </c>
      <c r="D684" s="5" t="s">
        <v>3779</v>
      </c>
      <c r="E684" s="6">
        <f>IFERROR(VLOOKUP($D684,[1]Balanza!$A$3:$K$852,6,0)-VLOOKUP(D684,[1]Balanza!$A$3:$K$852,7,0),0)</f>
        <v>0</v>
      </c>
      <c r="F684" s="6">
        <f>IFERROR(VLOOKUP($D684,[1]Balanza!$A$3:$K$852,10,0)-VLOOKUP($D684,[1]Balanza!$A$3:$K$852,11,0),0)</f>
        <v>0</v>
      </c>
    </row>
    <row r="685" spans="1:6" x14ac:dyDescent="0.3">
      <c r="A685" s="1" t="s">
        <v>1261</v>
      </c>
      <c r="B685" s="1" t="s">
        <v>1262</v>
      </c>
      <c r="C685" t="s">
        <v>3090</v>
      </c>
      <c r="D685" s="5" t="s">
        <v>3780</v>
      </c>
      <c r="E685" s="6">
        <f>IFERROR(VLOOKUP($D685,[1]Balanza!$A$3:$K$852,6,0)-VLOOKUP(D685,[1]Balanza!$A$3:$K$852,7,0),0)</f>
        <v>0</v>
      </c>
      <c r="F685" s="6">
        <f>IFERROR(VLOOKUP($D685,[1]Balanza!$A$3:$K$852,10,0)-VLOOKUP($D685,[1]Balanza!$A$3:$K$852,11,0),0)</f>
        <v>0</v>
      </c>
    </row>
    <row r="686" spans="1:6" x14ac:dyDescent="0.3">
      <c r="A686" s="2" t="s">
        <v>1263</v>
      </c>
      <c r="B686" s="2" t="s">
        <v>1264</v>
      </c>
      <c r="C686" t="s">
        <v>3090</v>
      </c>
      <c r="D686" s="5" t="s">
        <v>3781</v>
      </c>
      <c r="E686" s="6">
        <f>IFERROR(VLOOKUP($D686,[1]Balanza!$A$3:$K$852,6,0)-VLOOKUP(D686,[1]Balanza!$A$3:$K$852,7,0),0)</f>
        <v>0</v>
      </c>
      <c r="F686" s="6">
        <f>IFERROR(VLOOKUP($D686,[1]Balanza!$A$3:$K$852,10,0)-VLOOKUP($D686,[1]Balanza!$A$3:$K$852,11,0),0)</f>
        <v>0</v>
      </c>
    </row>
    <row r="687" spans="1:6" x14ac:dyDescent="0.3">
      <c r="A687" s="2" t="s">
        <v>1265</v>
      </c>
      <c r="B687" s="2" t="s">
        <v>1266</v>
      </c>
      <c r="C687" t="s">
        <v>3090</v>
      </c>
      <c r="D687" s="5" t="s">
        <v>3782</v>
      </c>
      <c r="E687" s="6">
        <f>IFERROR(VLOOKUP($D687,[1]Balanza!$A$3:$K$852,6,0)-VLOOKUP(D687,[1]Balanza!$A$3:$K$852,7,0),0)</f>
        <v>0</v>
      </c>
      <c r="F687" s="6">
        <f>IFERROR(VLOOKUP($D687,[1]Balanza!$A$3:$K$852,10,0)-VLOOKUP($D687,[1]Balanza!$A$3:$K$852,11,0),0)</f>
        <v>0</v>
      </c>
    </row>
    <row r="688" spans="1:6" x14ac:dyDescent="0.3">
      <c r="A688" s="1" t="s">
        <v>1267</v>
      </c>
      <c r="B688" s="1" t="s">
        <v>1268</v>
      </c>
      <c r="C688" t="s">
        <v>3090</v>
      </c>
      <c r="D688" s="5" t="s">
        <v>3783</v>
      </c>
      <c r="E688" s="6">
        <f>IFERROR(VLOOKUP($D688,[1]Balanza!$A$3:$K$852,6,0)-VLOOKUP(D688,[1]Balanza!$A$3:$K$852,7,0),0)</f>
        <v>0</v>
      </c>
      <c r="F688" s="6">
        <f>IFERROR(VLOOKUP($D688,[1]Balanza!$A$3:$K$852,10,0)-VLOOKUP($D688,[1]Balanza!$A$3:$K$852,11,0),0)</f>
        <v>0</v>
      </c>
    </row>
    <row r="689" spans="1:6" x14ac:dyDescent="0.3">
      <c r="A689" s="2" t="s">
        <v>1269</v>
      </c>
      <c r="B689" s="2" t="s">
        <v>1270</v>
      </c>
      <c r="C689" t="s">
        <v>3090</v>
      </c>
      <c r="D689" s="5" t="s">
        <v>3784</v>
      </c>
      <c r="E689" s="6">
        <f>IFERROR(VLOOKUP($D689,[1]Balanza!$A$3:$K$852,6,0)-VLOOKUP(D689,[1]Balanza!$A$3:$K$852,7,0),0)</f>
        <v>-1870.5800000000745</v>
      </c>
      <c r="F689" s="6">
        <f>IFERROR(VLOOKUP($D689,[1]Balanza!$A$3:$K$852,10,0)-VLOOKUP($D689,[1]Balanza!$A$3:$K$852,11,0),0)</f>
        <v>-972060.34</v>
      </c>
    </row>
    <row r="690" spans="1:6" x14ac:dyDescent="0.3">
      <c r="A690" s="2" t="s">
        <v>1271</v>
      </c>
      <c r="B690" s="2" t="s">
        <v>1272</v>
      </c>
      <c r="C690" t="s">
        <v>3090</v>
      </c>
      <c r="D690" s="5" t="s">
        <v>3785</v>
      </c>
      <c r="E690" s="6">
        <f>IFERROR(VLOOKUP($D690,[1]Balanza!$A$3:$K$852,6,0)-VLOOKUP(D690,[1]Balanza!$A$3:$K$852,7,0),0)</f>
        <v>0</v>
      </c>
      <c r="F690" s="6">
        <f>IFERROR(VLOOKUP($D690,[1]Balanza!$A$3:$K$852,10,0)-VLOOKUP($D690,[1]Balanza!$A$3:$K$852,11,0),0)</f>
        <v>0</v>
      </c>
    </row>
    <row r="691" spans="1:6" x14ac:dyDescent="0.3">
      <c r="A691" s="1" t="s">
        <v>1273</v>
      </c>
      <c r="B691" s="1" t="s">
        <v>1274</v>
      </c>
      <c r="C691" t="s">
        <v>3090</v>
      </c>
      <c r="D691" s="5" t="s">
        <v>3786</v>
      </c>
      <c r="E691" s="6">
        <f>IFERROR(VLOOKUP($D691,[1]Balanza!$A$3:$K$852,6,0)-VLOOKUP(D691,[1]Balanza!$A$3:$K$852,7,0),0)</f>
        <v>0</v>
      </c>
      <c r="F691" s="6">
        <f>IFERROR(VLOOKUP($D691,[1]Balanza!$A$3:$K$852,10,0)-VLOOKUP($D691,[1]Balanza!$A$3:$K$852,11,0),0)</f>
        <v>0</v>
      </c>
    </row>
    <row r="692" spans="1:6" x14ac:dyDescent="0.3">
      <c r="A692" s="2" t="s">
        <v>1275</v>
      </c>
      <c r="B692" s="2" t="s">
        <v>1276</v>
      </c>
      <c r="C692" t="s">
        <v>3090</v>
      </c>
      <c r="D692" s="5" t="s">
        <v>3787</v>
      </c>
      <c r="E692" s="6">
        <f>IFERROR(VLOOKUP($D692,[1]Balanza!$A$3:$K$852,6,0)-VLOOKUP(D692,[1]Balanza!$A$3:$K$852,7,0),0)</f>
        <v>-808559.44</v>
      </c>
      <c r="F692" s="6">
        <f>IFERROR(VLOOKUP($D692,[1]Balanza!$A$3:$K$852,10,0)-VLOOKUP($D692,[1]Balanza!$A$3:$K$852,11,0),0)</f>
        <v>60389.989999999991</v>
      </c>
    </row>
    <row r="693" spans="1:6" x14ac:dyDescent="0.3">
      <c r="A693" s="2" t="s">
        <v>1277</v>
      </c>
      <c r="B693" s="2" t="s">
        <v>1278</v>
      </c>
      <c r="C693" t="s">
        <v>3090</v>
      </c>
      <c r="D693" s="5" t="s">
        <v>3788</v>
      </c>
      <c r="E693" s="6">
        <f>IFERROR(VLOOKUP($D693,[1]Balanza!$A$3:$K$852,6,0)-VLOOKUP(D693,[1]Balanza!$A$3:$K$852,7,0),0)</f>
        <v>0</v>
      </c>
      <c r="F693" s="6">
        <f>IFERROR(VLOOKUP($D693,[1]Balanza!$A$3:$K$852,10,0)-VLOOKUP($D693,[1]Balanza!$A$3:$K$852,11,0),0)</f>
        <v>0</v>
      </c>
    </row>
    <row r="694" spans="1:6" x14ac:dyDescent="0.3">
      <c r="A694" s="1" t="s">
        <v>1279</v>
      </c>
      <c r="B694" s="1" t="s">
        <v>1280</v>
      </c>
      <c r="C694" t="s">
        <v>3090</v>
      </c>
      <c r="D694" s="5" t="s">
        <v>3789</v>
      </c>
      <c r="E694" s="6">
        <f>IFERROR(VLOOKUP($D694,[1]Balanza!$A$3:$K$852,6,0)-VLOOKUP(D694,[1]Balanza!$A$3:$K$852,7,0),0)</f>
        <v>0</v>
      </c>
      <c r="F694" s="6">
        <f>IFERROR(VLOOKUP($D694,[1]Balanza!$A$3:$K$852,10,0)-VLOOKUP($D694,[1]Balanza!$A$3:$K$852,11,0),0)</f>
        <v>0</v>
      </c>
    </row>
    <row r="695" spans="1:6" x14ac:dyDescent="0.3">
      <c r="A695" s="2" t="s">
        <v>1281</v>
      </c>
      <c r="B695" s="2" t="s">
        <v>1280</v>
      </c>
      <c r="C695" t="s">
        <v>3090</v>
      </c>
      <c r="D695" s="5" t="s">
        <v>3790</v>
      </c>
      <c r="E695" s="6">
        <f>IFERROR(VLOOKUP($D695,[1]Balanza!$A$3:$K$852,6,0)-VLOOKUP(D695,[1]Balanza!$A$3:$K$852,7,0),0)</f>
        <v>52546.899999999907</v>
      </c>
      <c r="F695" s="6">
        <f>IFERROR(VLOOKUP($D695,[1]Balanza!$A$3:$K$852,10,0)-VLOOKUP($D695,[1]Balanza!$A$3:$K$852,11,0),0)</f>
        <v>-56048.109999999986</v>
      </c>
    </row>
    <row r="696" spans="1:6" x14ac:dyDescent="0.3">
      <c r="A696" s="2" t="s">
        <v>1282</v>
      </c>
      <c r="B696" s="2" t="s">
        <v>1283</v>
      </c>
      <c r="C696" t="s">
        <v>3090</v>
      </c>
      <c r="D696" s="5" t="s">
        <v>3791</v>
      </c>
      <c r="E696" s="6">
        <f>IFERROR(VLOOKUP($D696,[1]Balanza!$A$3:$K$852,6,0)-VLOOKUP(D696,[1]Balanza!$A$3:$K$852,7,0),0)</f>
        <v>0</v>
      </c>
      <c r="F696" s="6">
        <f>IFERROR(VLOOKUP($D696,[1]Balanza!$A$3:$K$852,10,0)-VLOOKUP($D696,[1]Balanza!$A$3:$K$852,11,0),0)</f>
        <v>0</v>
      </c>
    </row>
    <row r="697" spans="1:6" x14ac:dyDescent="0.3">
      <c r="A697" s="2" t="s">
        <v>1284</v>
      </c>
      <c r="B697" s="2" t="s">
        <v>1285</v>
      </c>
      <c r="C697" t="s">
        <v>3090</v>
      </c>
      <c r="D697" s="5" t="s">
        <v>3792</v>
      </c>
      <c r="E697" s="6">
        <f>IFERROR(VLOOKUP($D697,[1]Balanza!$A$3:$K$852,6,0)-VLOOKUP(D697,[1]Balanza!$A$3:$K$852,7,0),0)</f>
        <v>-69345.95</v>
      </c>
      <c r="F697" s="6">
        <f>IFERROR(VLOOKUP($D697,[1]Balanza!$A$3:$K$852,10,0)-VLOOKUP($D697,[1]Balanza!$A$3:$K$852,11,0),0)</f>
        <v>-8439.67</v>
      </c>
    </row>
    <row r="698" spans="1:6" x14ac:dyDescent="0.3">
      <c r="A698" s="2" t="s">
        <v>1286</v>
      </c>
      <c r="B698" s="2" t="s">
        <v>1287</v>
      </c>
      <c r="C698" t="s">
        <v>3090</v>
      </c>
      <c r="D698" s="5" t="s">
        <v>3793</v>
      </c>
      <c r="E698" s="6">
        <f>IFERROR(VLOOKUP($D698,[1]Balanza!$A$3:$K$852,6,0)-VLOOKUP(D698,[1]Balanza!$A$3:$K$852,7,0),0)</f>
        <v>0</v>
      </c>
      <c r="F698" s="6">
        <f>IFERROR(VLOOKUP($D698,[1]Balanza!$A$3:$K$852,10,0)-VLOOKUP($D698,[1]Balanza!$A$3:$K$852,11,0),0)</f>
        <v>0</v>
      </c>
    </row>
    <row r="699" spans="1:6" x14ac:dyDescent="0.3">
      <c r="A699" s="2" t="s">
        <v>1288</v>
      </c>
      <c r="B699" s="2" t="s">
        <v>1289</v>
      </c>
      <c r="C699" t="s">
        <v>3090</v>
      </c>
      <c r="D699" s="5" t="s">
        <v>3794</v>
      </c>
      <c r="E699" s="6">
        <f>IFERROR(VLOOKUP($D699,[1]Balanza!$A$3:$K$852,6,0)-VLOOKUP(D699,[1]Balanza!$A$3:$K$852,7,0),0)</f>
        <v>0</v>
      </c>
      <c r="F699" s="6">
        <f>IFERROR(VLOOKUP($D699,[1]Balanza!$A$3:$K$852,10,0)-VLOOKUP($D699,[1]Balanza!$A$3:$K$852,11,0),0)</f>
        <v>0</v>
      </c>
    </row>
    <row r="700" spans="1:6" x14ac:dyDescent="0.3">
      <c r="A700" s="2" t="s">
        <v>1290</v>
      </c>
      <c r="B700" s="2" t="s">
        <v>1291</v>
      </c>
      <c r="C700" t="s">
        <v>3090</v>
      </c>
      <c r="D700" s="5" t="s">
        <v>3795</v>
      </c>
      <c r="E700" s="6">
        <f>IFERROR(VLOOKUP($D700,[1]Balanza!$A$3:$K$852,6,0)-VLOOKUP(D700,[1]Balanza!$A$3:$K$852,7,0),0)</f>
        <v>0</v>
      </c>
      <c r="F700" s="6">
        <f>IFERROR(VLOOKUP($D700,[1]Balanza!$A$3:$K$852,10,0)-VLOOKUP($D700,[1]Balanza!$A$3:$K$852,11,0),0)</f>
        <v>0</v>
      </c>
    </row>
    <row r="701" spans="1:6" x14ac:dyDescent="0.3">
      <c r="A701" s="2" t="s">
        <v>1292</v>
      </c>
      <c r="B701" s="2" t="s">
        <v>1293</v>
      </c>
      <c r="C701" t="s">
        <v>3090</v>
      </c>
      <c r="D701" s="5" t="s">
        <v>3796</v>
      </c>
      <c r="E701" s="6">
        <f>IFERROR(VLOOKUP($D701,[1]Balanza!$A$3:$K$852,6,0)-VLOOKUP(D701,[1]Balanza!$A$3:$K$852,7,0),0)</f>
        <v>0</v>
      </c>
      <c r="F701" s="6">
        <f>IFERROR(VLOOKUP($D701,[1]Balanza!$A$3:$K$852,10,0)-VLOOKUP($D701,[1]Balanza!$A$3:$K$852,11,0),0)</f>
        <v>0</v>
      </c>
    </row>
    <row r="702" spans="1:6" x14ac:dyDescent="0.3">
      <c r="A702" s="1" t="s">
        <v>1294</v>
      </c>
      <c r="B702" s="1" t="s">
        <v>1295</v>
      </c>
      <c r="C702" t="s">
        <v>3090</v>
      </c>
      <c r="D702" s="5" t="s">
        <v>3797</v>
      </c>
      <c r="E702" s="6">
        <f>IFERROR(VLOOKUP($D702,[1]Balanza!$A$3:$K$852,6,0)-VLOOKUP(D702,[1]Balanza!$A$3:$K$852,7,0),0)</f>
        <v>0</v>
      </c>
      <c r="F702" s="6">
        <f>IFERROR(VLOOKUP($D702,[1]Balanza!$A$3:$K$852,10,0)-VLOOKUP($D702,[1]Balanza!$A$3:$K$852,11,0),0)</f>
        <v>0</v>
      </c>
    </row>
    <row r="703" spans="1:6" x14ac:dyDescent="0.3">
      <c r="A703" s="2" t="s">
        <v>1296</v>
      </c>
      <c r="B703" s="2" t="s">
        <v>1297</v>
      </c>
      <c r="C703" t="s">
        <v>3090</v>
      </c>
      <c r="D703" s="5" t="s">
        <v>3798</v>
      </c>
      <c r="E703" s="6">
        <f>IFERROR(VLOOKUP($D703,[1]Balanza!$A$3:$K$852,6,0)-VLOOKUP(D703,[1]Balanza!$A$3:$K$852,7,0),0)</f>
        <v>9493.5799999999872</v>
      </c>
      <c r="F703" s="6">
        <f>IFERROR(VLOOKUP($D703,[1]Balanza!$A$3:$K$852,10,0)-VLOOKUP($D703,[1]Balanza!$A$3:$K$852,11,0),0)</f>
        <v>2396.2900000000009</v>
      </c>
    </row>
    <row r="704" spans="1:6" x14ac:dyDescent="0.3">
      <c r="A704" s="2" t="s">
        <v>1298</v>
      </c>
      <c r="B704" s="2" t="s">
        <v>1299</v>
      </c>
      <c r="C704" t="s">
        <v>3090</v>
      </c>
      <c r="D704" s="5" t="s">
        <v>3799</v>
      </c>
      <c r="E704" s="6">
        <f>IFERROR(VLOOKUP($D704,[1]Balanza!$A$3:$K$852,6,0)-VLOOKUP(D704,[1]Balanza!$A$3:$K$852,7,0),0)</f>
        <v>-401642.65</v>
      </c>
      <c r="F704" s="6">
        <f>IFERROR(VLOOKUP($D704,[1]Balanza!$A$3:$K$852,10,0)-VLOOKUP($D704,[1]Balanza!$A$3:$K$852,11,0),0)</f>
        <v>-48623.46</v>
      </c>
    </row>
    <row r="705" spans="1:6" x14ac:dyDescent="0.3">
      <c r="A705" s="2" t="s">
        <v>1300</v>
      </c>
      <c r="B705" s="2" t="s">
        <v>1301</v>
      </c>
      <c r="C705" t="s">
        <v>3090</v>
      </c>
      <c r="D705" s="5" t="s">
        <v>3800</v>
      </c>
      <c r="E705" s="6">
        <f>IFERROR(VLOOKUP($D705,[1]Balanza!$A$3:$K$852,6,0)-VLOOKUP(D705,[1]Balanza!$A$3:$K$852,7,0),0)</f>
        <v>-338297.61</v>
      </c>
      <c r="F705" s="6">
        <f>IFERROR(VLOOKUP($D705,[1]Balanza!$A$3:$K$852,10,0)-VLOOKUP($D705,[1]Balanza!$A$3:$K$852,11,0),0)</f>
        <v>-30808.51</v>
      </c>
    </row>
    <row r="706" spans="1:6" x14ac:dyDescent="0.3">
      <c r="A706" s="1" t="s">
        <v>1302</v>
      </c>
      <c r="B706" s="1" t="s">
        <v>1303</v>
      </c>
      <c r="C706" t="s">
        <v>3090</v>
      </c>
      <c r="D706" s="5" t="s">
        <v>3801</v>
      </c>
      <c r="E706" s="6">
        <f>IFERROR(VLOOKUP($D706,[1]Balanza!$A$3:$K$852,6,0)-VLOOKUP(D706,[1]Balanza!$A$3:$K$852,7,0),0)</f>
        <v>0</v>
      </c>
      <c r="F706" s="6">
        <f>IFERROR(VLOOKUP($D706,[1]Balanza!$A$3:$K$852,10,0)-VLOOKUP($D706,[1]Balanza!$A$3:$K$852,11,0),0)</f>
        <v>0</v>
      </c>
    </row>
    <row r="707" spans="1:6" x14ac:dyDescent="0.3">
      <c r="A707" s="2" t="s">
        <v>1304</v>
      </c>
      <c r="B707" s="2" t="s">
        <v>1303</v>
      </c>
      <c r="C707" t="s">
        <v>3090</v>
      </c>
      <c r="D707" s="5" t="s">
        <v>3802</v>
      </c>
      <c r="E707" s="6">
        <f>IFERROR(VLOOKUP($D707,[1]Balanza!$A$3:$K$852,6,0)-VLOOKUP(D707,[1]Balanza!$A$3:$K$852,7,0),0)</f>
        <v>0</v>
      </c>
      <c r="F707" s="6">
        <f>IFERROR(VLOOKUP($D707,[1]Balanza!$A$3:$K$852,10,0)-VLOOKUP($D707,[1]Balanza!$A$3:$K$852,11,0),0)</f>
        <v>0</v>
      </c>
    </row>
    <row r="708" spans="1:6" x14ac:dyDescent="0.3">
      <c r="A708" s="1" t="s">
        <v>1305</v>
      </c>
      <c r="B708" s="1" t="s">
        <v>1306</v>
      </c>
      <c r="C708" t="s">
        <v>3090</v>
      </c>
      <c r="D708" s="5" t="s">
        <v>3803</v>
      </c>
      <c r="E708" s="6">
        <f>IFERROR(VLOOKUP($D708,[1]Balanza!$A$3:$K$852,6,0)-VLOOKUP(D708,[1]Balanza!$A$3:$K$852,7,0),0)</f>
        <v>0</v>
      </c>
      <c r="F708" s="6">
        <f>IFERROR(VLOOKUP($D708,[1]Balanza!$A$3:$K$852,10,0)-VLOOKUP($D708,[1]Balanza!$A$3:$K$852,11,0),0)</f>
        <v>0</v>
      </c>
    </row>
    <row r="709" spans="1:6" x14ac:dyDescent="0.3">
      <c r="A709" s="2" t="s">
        <v>1307</v>
      </c>
      <c r="B709" s="2" t="s">
        <v>1308</v>
      </c>
      <c r="C709" t="s">
        <v>3090</v>
      </c>
      <c r="D709" s="5" t="s">
        <v>3804</v>
      </c>
      <c r="E709" s="6">
        <f>IFERROR(VLOOKUP($D709,[1]Balanza!$A$3:$K$852,6,0)-VLOOKUP(D709,[1]Balanza!$A$3:$K$852,7,0),0)</f>
        <v>407640</v>
      </c>
      <c r="F709" s="6">
        <f>IFERROR(VLOOKUP($D709,[1]Balanza!$A$3:$K$852,10,0)-VLOOKUP($D709,[1]Balanza!$A$3:$K$852,11,0),0)</f>
        <v>510057</v>
      </c>
    </row>
    <row r="710" spans="1:6" x14ac:dyDescent="0.3">
      <c r="A710" s="2" t="s">
        <v>1309</v>
      </c>
      <c r="B710" s="2" t="s">
        <v>1310</v>
      </c>
      <c r="C710" t="s">
        <v>3090</v>
      </c>
      <c r="D710" s="5" t="s">
        <v>3805</v>
      </c>
      <c r="E710" s="6">
        <f>IFERROR(VLOOKUP($D710,[1]Balanza!$A$3:$K$852,6,0)-VLOOKUP(D710,[1]Balanza!$A$3:$K$852,7,0),0)</f>
        <v>0</v>
      </c>
      <c r="F710" s="6">
        <f>IFERROR(VLOOKUP($D710,[1]Balanza!$A$3:$K$852,10,0)-VLOOKUP($D710,[1]Balanza!$A$3:$K$852,11,0),0)</f>
        <v>0</v>
      </c>
    </row>
    <row r="711" spans="1:6" x14ac:dyDescent="0.3">
      <c r="A711" s="2" t="s">
        <v>1311</v>
      </c>
      <c r="B711" s="2" t="s">
        <v>1312</v>
      </c>
      <c r="C711" t="s">
        <v>3090</v>
      </c>
      <c r="D711" s="5" t="s">
        <v>3806</v>
      </c>
      <c r="E711" s="6">
        <f>IFERROR(VLOOKUP($D711,[1]Balanza!$A$3:$K$852,6,0)-VLOOKUP(D711,[1]Balanza!$A$3:$K$852,7,0),0)</f>
        <v>0</v>
      </c>
      <c r="F711" s="6">
        <f>IFERROR(VLOOKUP($D711,[1]Balanza!$A$3:$K$852,10,0)-VLOOKUP($D711,[1]Balanza!$A$3:$K$852,11,0),0)</f>
        <v>0</v>
      </c>
    </row>
    <row r="712" spans="1:6" x14ac:dyDescent="0.3">
      <c r="A712" s="2" t="s">
        <v>1313</v>
      </c>
      <c r="B712" s="2" t="s">
        <v>1314</v>
      </c>
      <c r="C712" t="s">
        <v>3090</v>
      </c>
      <c r="D712" s="5" t="s">
        <v>3807</v>
      </c>
      <c r="E712" s="6">
        <f>IFERROR(VLOOKUP($D712,[1]Balanza!$A$3:$K$852,6,0)-VLOOKUP(D712,[1]Balanza!$A$3:$K$852,7,0),0)</f>
        <v>-77980.34</v>
      </c>
      <c r="F712" s="6">
        <f>IFERROR(VLOOKUP($D712,[1]Balanza!$A$3:$K$852,10,0)-VLOOKUP($D712,[1]Balanza!$A$3:$K$852,11,0),0)</f>
        <v>-9835.9500000000007</v>
      </c>
    </row>
    <row r="713" spans="1:6" x14ac:dyDescent="0.3">
      <c r="A713" s="2" t="s">
        <v>1315</v>
      </c>
      <c r="B713" s="2" t="s">
        <v>1316</v>
      </c>
      <c r="C713" t="s">
        <v>3090</v>
      </c>
      <c r="D713" s="5" t="s">
        <v>3808</v>
      </c>
      <c r="E713" s="6">
        <f>IFERROR(VLOOKUP($D713,[1]Balanza!$A$3:$K$852,6,0)-VLOOKUP(D713,[1]Balanza!$A$3:$K$852,7,0),0)</f>
        <v>0</v>
      </c>
      <c r="F713" s="6">
        <f>IFERROR(VLOOKUP($D713,[1]Balanza!$A$3:$K$852,10,0)-VLOOKUP($D713,[1]Balanza!$A$3:$K$852,11,0),0)</f>
        <v>0</v>
      </c>
    </row>
    <row r="714" spans="1:6" x14ac:dyDescent="0.3">
      <c r="A714" s="2" t="s">
        <v>1317</v>
      </c>
      <c r="B714" s="2" t="s">
        <v>1318</v>
      </c>
      <c r="C714" t="s">
        <v>3090</v>
      </c>
      <c r="D714" s="5" t="s">
        <v>3809</v>
      </c>
      <c r="E714" s="6">
        <f>IFERROR(VLOOKUP($D714,[1]Balanza!$A$3:$K$852,6,0)-VLOOKUP(D714,[1]Balanza!$A$3:$K$852,7,0),0)</f>
        <v>0</v>
      </c>
      <c r="F714" s="6">
        <f>IFERROR(VLOOKUP($D714,[1]Balanza!$A$3:$K$852,10,0)-VLOOKUP($D714,[1]Balanza!$A$3:$K$852,11,0),0)</f>
        <v>0</v>
      </c>
    </row>
    <row r="715" spans="1:6" x14ac:dyDescent="0.3">
      <c r="A715" s="2" t="s">
        <v>1319</v>
      </c>
      <c r="B715" s="2" t="s">
        <v>1320</v>
      </c>
      <c r="C715" t="s">
        <v>3090</v>
      </c>
      <c r="D715" s="5" t="s">
        <v>3810</v>
      </c>
      <c r="E715" s="6">
        <f>IFERROR(VLOOKUP($D715,[1]Balanza!$A$3:$K$852,6,0)-VLOOKUP(D715,[1]Balanza!$A$3:$K$852,7,0),0)</f>
        <v>0</v>
      </c>
      <c r="F715" s="6">
        <f>IFERROR(VLOOKUP($D715,[1]Balanza!$A$3:$K$852,10,0)-VLOOKUP($D715,[1]Balanza!$A$3:$K$852,11,0),0)</f>
        <v>0</v>
      </c>
    </row>
    <row r="716" spans="1:6" x14ac:dyDescent="0.3">
      <c r="A716" s="1" t="s">
        <v>1321</v>
      </c>
      <c r="B716" s="1" t="s">
        <v>1322</v>
      </c>
      <c r="C716" t="s">
        <v>3090</v>
      </c>
      <c r="D716" s="5" t="s">
        <v>3811</v>
      </c>
      <c r="E716" s="6">
        <f>IFERROR(VLOOKUP($D716,[1]Balanza!$A$3:$K$852,6,0)-VLOOKUP(D716,[1]Balanza!$A$3:$K$852,7,0),0)</f>
        <v>0</v>
      </c>
      <c r="F716" s="6">
        <f>IFERROR(VLOOKUP($D716,[1]Balanza!$A$3:$K$852,10,0)-VLOOKUP($D716,[1]Balanza!$A$3:$K$852,11,0),0)</f>
        <v>0</v>
      </c>
    </row>
    <row r="717" spans="1:6" x14ac:dyDescent="0.3">
      <c r="A717" s="2" t="s">
        <v>1323</v>
      </c>
      <c r="B717" s="2" t="s">
        <v>1322</v>
      </c>
      <c r="C717" t="s">
        <v>3090</v>
      </c>
      <c r="D717" s="5" t="s">
        <v>3812</v>
      </c>
      <c r="E717" s="6">
        <f>IFERROR(VLOOKUP($D717,[1]Balanza!$A$3:$K$852,6,0)-VLOOKUP(D717,[1]Balanza!$A$3:$K$852,7,0),0)</f>
        <v>0</v>
      </c>
      <c r="F717" s="6">
        <f>IFERROR(VLOOKUP($D717,[1]Balanza!$A$3:$K$852,10,0)-VLOOKUP($D717,[1]Balanza!$A$3:$K$852,11,0),0)</f>
        <v>0</v>
      </c>
    </row>
    <row r="718" spans="1:6" x14ac:dyDescent="0.3">
      <c r="A718" s="1" t="s">
        <v>1324</v>
      </c>
      <c r="B718" s="1" t="s">
        <v>1325</v>
      </c>
      <c r="C718" t="s">
        <v>3090</v>
      </c>
      <c r="D718" s="5" t="s">
        <v>3813</v>
      </c>
      <c r="E718" s="6">
        <f>IFERROR(VLOOKUP($D718,[1]Balanza!$A$3:$K$852,6,0)-VLOOKUP(D718,[1]Balanza!$A$3:$K$852,7,0),0)</f>
        <v>0</v>
      </c>
      <c r="F718" s="6">
        <f>IFERROR(VLOOKUP($D718,[1]Balanza!$A$3:$K$852,10,0)-VLOOKUP($D718,[1]Balanza!$A$3:$K$852,11,0),0)</f>
        <v>0</v>
      </c>
    </row>
    <row r="719" spans="1:6" x14ac:dyDescent="0.3">
      <c r="A719" s="2" t="s">
        <v>1326</v>
      </c>
      <c r="B719" s="2" t="s">
        <v>1325</v>
      </c>
      <c r="C719" t="s">
        <v>3090</v>
      </c>
      <c r="D719" s="5" t="s">
        <v>3814</v>
      </c>
      <c r="E719" s="6">
        <f>IFERROR(VLOOKUP($D719,[1]Balanza!$A$3:$K$852,6,0)-VLOOKUP(D719,[1]Balanza!$A$3:$K$852,7,0),0)</f>
        <v>0</v>
      </c>
      <c r="F719" s="6">
        <f>IFERROR(VLOOKUP($D719,[1]Balanza!$A$3:$K$852,10,0)-VLOOKUP($D719,[1]Balanza!$A$3:$K$852,11,0),0)</f>
        <v>0</v>
      </c>
    </row>
    <row r="720" spans="1:6" x14ac:dyDescent="0.3">
      <c r="A720" s="2" t="s">
        <v>1327</v>
      </c>
      <c r="B720" s="2" t="s">
        <v>1328</v>
      </c>
      <c r="C720" t="s">
        <v>3090</v>
      </c>
      <c r="D720" s="5" t="s">
        <v>3815</v>
      </c>
      <c r="E720" s="6">
        <f>IFERROR(VLOOKUP($D720,[1]Balanza!$A$3:$K$852,6,0)-VLOOKUP(D720,[1]Balanza!$A$3:$K$852,7,0),0)</f>
        <v>0</v>
      </c>
      <c r="F720" s="6">
        <f>IFERROR(VLOOKUP($D720,[1]Balanza!$A$3:$K$852,10,0)-VLOOKUP($D720,[1]Balanza!$A$3:$K$852,11,0),0)</f>
        <v>0</v>
      </c>
    </row>
    <row r="721" spans="1:6" x14ac:dyDescent="0.3">
      <c r="A721" s="2" t="s">
        <v>1329</v>
      </c>
      <c r="B721" s="2" t="s">
        <v>1330</v>
      </c>
      <c r="C721" t="s">
        <v>3090</v>
      </c>
      <c r="D721" s="5" t="s">
        <v>3816</v>
      </c>
      <c r="E721" s="6">
        <f>IFERROR(VLOOKUP($D721,[1]Balanza!$A$3:$K$852,6,0)-VLOOKUP(D721,[1]Balanza!$A$3:$K$852,7,0),0)</f>
        <v>0</v>
      </c>
      <c r="F721" s="6">
        <f>IFERROR(VLOOKUP($D721,[1]Balanza!$A$3:$K$852,10,0)-VLOOKUP($D721,[1]Balanza!$A$3:$K$852,11,0),0)</f>
        <v>0</v>
      </c>
    </row>
    <row r="722" spans="1:6" x14ac:dyDescent="0.3">
      <c r="A722" s="1" t="s">
        <v>1331</v>
      </c>
      <c r="B722" s="1" t="s">
        <v>1332</v>
      </c>
      <c r="C722" t="s">
        <v>3090</v>
      </c>
      <c r="D722" s="5" t="s">
        <v>3817</v>
      </c>
      <c r="E722" s="6">
        <f>IFERROR(VLOOKUP($D722,[1]Balanza!$A$3:$K$852,6,0)-VLOOKUP(D722,[1]Balanza!$A$3:$K$852,7,0),0)</f>
        <v>0</v>
      </c>
      <c r="F722" s="6">
        <f>IFERROR(VLOOKUP($D722,[1]Balanza!$A$3:$K$852,10,0)-VLOOKUP($D722,[1]Balanza!$A$3:$K$852,11,0),0)</f>
        <v>0</v>
      </c>
    </row>
    <row r="723" spans="1:6" x14ac:dyDescent="0.3">
      <c r="A723" s="2" t="s">
        <v>1333</v>
      </c>
      <c r="B723" s="2" t="s">
        <v>1334</v>
      </c>
      <c r="C723" t="s">
        <v>3090</v>
      </c>
      <c r="D723" s="5" t="s">
        <v>3818</v>
      </c>
      <c r="E723" s="6">
        <f>IFERROR(VLOOKUP($D723,[1]Balanza!$A$3:$K$852,6,0)-VLOOKUP(D723,[1]Balanza!$A$3:$K$852,7,0),0)</f>
        <v>261764.4</v>
      </c>
      <c r="F723" s="6">
        <f>IFERROR(VLOOKUP($D723,[1]Balanza!$A$3:$K$852,10,0)-VLOOKUP($D723,[1]Balanza!$A$3:$K$852,11,0),0)</f>
        <v>35179.119999999995</v>
      </c>
    </row>
    <row r="724" spans="1:6" x14ac:dyDescent="0.3">
      <c r="A724" s="2" t="s">
        <v>1335</v>
      </c>
      <c r="B724" s="2" t="s">
        <v>1336</v>
      </c>
      <c r="C724" t="s">
        <v>3090</v>
      </c>
      <c r="D724" s="5" t="s">
        <v>3819</v>
      </c>
      <c r="E724" s="6">
        <f>IFERROR(VLOOKUP($D724,[1]Balanza!$A$3:$K$852,6,0)-VLOOKUP(D724,[1]Balanza!$A$3:$K$852,7,0),0)</f>
        <v>0</v>
      </c>
      <c r="F724" s="6">
        <f>IFERROR(VLOOKUP($D724,[1]Balanza!$A$3:$K$852,10,0)-VLOOKUP($D724,[1]Balanza!$A$3:$K$852,11,0),0)</f>
        <v>0</v>
      </c>
    </row>
    <row r="725" spans="1:6" x14ac:dyDescent="0.3">
      <c r="A725" s="2" t="s">
        <v>1337</v>
      </c>
      <c r="B725" s="2" t="s">
        <v>1338</v>
      </c>
      <c r="C725" t="s">
        <v>3090</v>
      </c>
      <c r="D725" s="5" t="s">
        <v>3820</v>
      </c>
      <c r="E725" s="6">
        <f>IFERROR(VLOOKUP($D725,[1]Balanza!$A$3:$K$852,6,0)-VLOOKUP(D725,[1]Balanza!$A$3:$K$852,7,0),0)</f>
        <v>0</v>
      </c>
      <c r="F725" s="6">
        <f>IFERROR(VLOOKUP($D725,[1]Balanza!$A$3:$K$852,10,0)-VLOOKUP($D725,[1]Balanza!$A$3:$K$852,11,0),0)</f>
        <v>0</v>
      </c>
    </row>
    <row r="726" spans="1:6" x14ac:dyDescent="0.3">
      <c r="A726" s="2" t="s">
        <v>1339</v>
      </c>
      <c r="B726" s="2" t="s">
        <v>1340</v>
      </c>
      <c r="C726" t="s">
        <v>3090</v>
      </c>
      <c r="D726" s="5" t="s">
        <v>3821</v>
      </c>
      <c r="E726" s="6">
        <f>IFERROR(VLOOKUP($D726,[1]Balanza!$A$3:$K$852,6,0)-VLOOKUP(D726,[1]Balanza!$A$3:$K$852,7,0),0)</f>
        <v>0</v>
      </c>
      <c r="F726" s="6">
        <f>IFERROR(VLOOKUP($D726,[1]Balanza!$A$3:$K$852,10,0)-VLOOKUP($D726,[1]Balanza!$A$3:$K$852,11,0),0)</f>
        <v>0</v>
      </c>
    </row>
    <row r="727" spans="1:6" x14ac:dyDescent="0.3">
      <c r="A727" s="2" t="s">
        <v>1341</v>
      </c>
      <c r="B727" s="2" t="s">
        <v>1342</v>
      </c>
      <c r="C727" t="s">
        <v>3090</v>
      </c>
      <c r="D727" s="5" t="s">
        <v>3822</v>
      </c>
      <c r="E727" s="6">
        <f>IFERROR(VLOOKUP($D727,[1]Balanza!$A$3:$K$852,6,0)-VLOOKUP(D727,[1]Balanza!$A$3:$K$852,7,0),0)</f>
        <v>0</v>
      </c>
      <c r="F727" s="6">
        <f>IFERROR(VLOOKUP($D727,[1]Balanza!$A$3:$K$852,10,0)-VLOOKUP($D727,[1]Balanza!$A$3:$K$852,11,0),0)</f>
        <v>0</v>
      </c>
    </row>
    <row r="728" spans="1:6" x14ac:dyDescent="0.3">
      <c r="A728" s="2" t="s">
        <v>1343</v>
      </c>
      <c r="B728" s="2" t="s">
        <v>1344</v>
      </c>
      <c r="C728" t="s">
        <v>3090</v>
      </c>
      <c r="D728" s="5" t="s">
        <v>3823</v>
      </c>
      <c r="E728" s="6">
        <f>IFERROR(VLOOKUP($D728,[1]Balanza!$A$3:$K$852,6,0)-VLOOKUP(D728,[1]Balanza!$A$3:$K$852,7,0),0)</f>
        <v>0</v>
      </c>
      <c r="F728" s="6">
        <f>IFERROR(VLOOKUP($D728,[1]Balanza!$A$3:$K$852,10,0)-VLOOKUP($D728,[1]Balanza!$A$3:$K$852,11,0),0)</f>
        <v>0</v>
      </c>
    </row>
    <row r="729" spans="1:6" x14ac:dyDescent="0.3">
      <c r="A729" s="2" t="s">
        <v>1345</v>
      </c>
      <c r="B729" s="2" t="s">
        <v>1346</v>
      </c>
      <c r="C729" t="s">
        <v>3090</v>
      </c>
      <c r="D729" s="5" t="s">
        <v>3824</v>
      </c>
      <c r="E729" s="6">
        <f>IFERROR(VLOOKUP($D729,[1]Balanza!$A$3:$K$852,6,0)-VLOOKUP(D729,[1]Balanza!$A$3:$K$852,7,0),0)</f>
        <v>0</v>
      </c>
      <c r="F729" s="6">
        <f>IFERROR(VLOOKUP($D729,[1]Balanza!$A$3:$K$852,10,0)-VLOOKUP($D729,[1]Balanza!$A$3:$K$852,11,0),0)</f>
        <v>0</v>
      </c>
    </row>
    <row r="730" spans="1:6" x14ac:dyDescent="0.3">
      <c r="A730" s="2" t="s">
        <v>1347</v>
      </c>
      <c r="B730" s="2" t="s">
        <v>1348</v>
      </c>
      <c r="C730" t="s">
        <v>3090</v>
      </c>
      <c r="D730" s="5" t="s">
        <v>3825</v>
      </c>
      <c r="E730" s="6">
        <f>IFERROR(VLOOKUP($D730,[1]Balanza!$A$3:$K$852,6,0)-VLOOKUP(D730,[1]Balanza!$A$3:$K$852,7,0),0)</f>
        <v>0</v>
      </c>
      <c r="F730" s="6">
        <f>IFERROR(VLOOKUP($D730,[1]Balanza!$A$3:$K$852,10,0)-VLOOKUP($D730,[1]Balanza!$A$3:$K$852,11,0),0)</f>
        <v>0</v>
      </c>
    </row>
    <row r="731" spans="1:6" x14ac:dyDescent="0.3">
      <c r="A731" s="2" t="s">
        <v>1349</v>
      </c>
      <c r="B731" s="2" t="s">
        <v>1350</v>
      </c>
      <c r="C731" t="s">
        <v>3090</v>
      </c>
      <c r="D731" s="5" t="s">
        <v>3826</v>
      </c>
      <c r="E731" s="6">
        <f>IFERROR(VLOOKUP($D731,[1]Balanza!$A$3:$K$852,6,0)-VLOOKUP(D731,[1]Balanza!$A$3:$K$852,7,0),0)</f>
        <v>0</v>
      </c>
      <c r="F731" s="6">
        <f>IFERROR(VLOOKUP($D731,[1]Balanza!$A$3:$K$852,10,0)-VLOOKUP($D731,[1]Balanza!$A$3:$K$852,11,0),0)</f>
        <v>0</v>
      </c>
    </row>
    <row r="732" spans="1:6" x14ac:dyDescent="0.3">
      <c r="A732" s="2" t="s">
        <v>1351</v>
      </c>
      <c r="B732" s="2" t="s">
        <v>1352</v>
      </c>
      <c r="C732" t="s">
        <v>3090</v>
      </c>
      <c r="D732" s="5" t="s">
        <v>3827</v>
      </c>
      <c r="E732" s="6">
        <f>IFERROR(VLOOKUP($D732,[1]Balanza!$A$3:$K$852,6,0)-VLOOKUP(D732,[1]Balanza!$A$3:$K$852,7,0),0)</f>
        <v>0</v>
      </c>
      <c r="F732" s="6">
        <f>IFERROR(VLOOKUP($D732,[1]Balanza!$A$3:$K$852,10,0)-VLOOKUP($D732,[1]Balanza!$A$3:$K$852,11,0),0)</f>
        <v>0</v>
      </c>
    </row>
    <row r="733" spans="1:6" x14ac:dyDescent="0.3">
      <c r="A733" s="2" t="s">
        <v>1353</v>
      </c>
      <c r="B733" s="2" t="s">
        <v>1354</v>
      </c>
      <c r="C733" t="s">
        <v>3090</v>
      </c>
      <c r="D733" s="5" t="s">
        <v>3828</v>
      </c>
      <c r="E733" s="6">
        <f>IFERROR(VLOOKUP($D733,[1]Balanza!$A$3:$K$852,6,0)-VLOOKUP(D733,[1]Balanza!$A$3:$K$852,7,0),0)</f>
        <v>0</v>
      </c>
      <c r="F733" s="6">
        <f>IFERROR(VLOOKUP($D733,[1]Balanza!$A$3:$K$852,10,0)-VLOOKUP($D733,[1]Balanza!$A$3:$K$852,11,0),0)</f>
        <v>0</v>
      </c>
    </row>
    <row r="734" spans="1:6" x14ac:dyDescent="0.3">
      <c r="A734" s="2" t="s">
        <v>1355</v>
      </c>
      <c r="B734" s="2" t="s">
        <v>1356</v>
      </c>
      <c r="C734" t="s">
        <v>3090</v>
      </c>
      <c r="D734" s="5" t="s">
        <v>3829</v>
      </c>
      <c r="E734" s="6">
        <f>IFERROR(VLOOKUP($D734,[1]Balanza!$A$3:$K$852,6,0)-VLOOKUP(D734,[1]Balanza!$A$3:$K$852,7,0),0)</f>
        <v>0</v>
      </c>
      <c r="F734" s="6">
        <f>IFERROR(VLOOKUP($D734,[1]Balanza!$A$3:$K$852,10,0)-VLOOKUP($D734,[1]Balanza!$A$3:$K$852,11,0),0)</f>
        <v>0</v>
      </c>
    </row>
    <row r="735" spans="1:6" x14ac:dyDescent="0.3">
      <c r="A735" s="2" t="s">
        <v>1357</v>
      </c>
      <c r="B735" s="2" t="s">
        <v>1358</v>
      </c>
      <c r="C735" t="s">
        <v>3090</v>
      </c>
      <c r="D735" s="5" t="s">
        <v>3830</v>
      </c>
      <c r="E735" s="6">
        <f>IFERROR(VLOOKUP($D735,[1]Balanza!$A$3:$K$852,6,0)-VLOOKUP(D735,[1]Balanza!$A$3:$K$852,7,0),0)</f>
        <v>0</v>
      </c>
      <c r="F735" s="6">
        <f>IFERROR(VLOOKUP($D735,[1]Balanza!$A$3:$K$852,10,0)-VLOOKUP($D735,[1]Balanza!$A$3:$K$852,11,0),0)</f>
        <v>0</v>
      </c>
    </row>
    <row r="736" spans="1:6" x14ac:dyDescent="0.3">
      <c r="A736" s="2" t="s">
        <v>1359</v>
      </c>
      <c r="B736" s="2" t="s">
        <v>1360</v>
      </c>
      <c r="C736" t="s">
        <v>3090</v>
      </c>
      <c r="D736" s="5" t="s">
        <v>3831</v>
      </c>
      <c r="E736" s="6">
        <f>IFERROR(VLOOKUP($D736,[1]Balanza!$A$3:$K$852,6,0)-VLOOKUP(D736,[1]Balanza!$A$3:$K$852,7,0),0)</f>
        <v>0</v>
      </c>
      <c r="F736" s="6">
        <f>IFERROR(VLOOKUP($D736,[1]Balanza!$A$3:$K$852,10,0)-VLOOKUP($D736,[1]Balanza!$A$3:$K$852,11,0),0)</f>
        <v>0</v>
      </c>
    </row>
    <row r="737" spans="1:6" x14ac:dyDescent="0.3">
      <c r="A737" s="2" t="s">
        <v>1361</v>
      </c>
      <c r="B737" s="2" t="s">
        <v>1362</v>
      </c>
      <c r="C737" t="s">
        <v>3090</v>
      </c>
      <c r="D737" s="5" t="s">
        <v>3832</v>
      </c>
      <c r="E737" s="6">
        <f>IFERROR(VLOOKUP($D737,[1]Balanza!$A$3:$K$852,6,0)-VLOOKUP(D737,[1]Balanza!$A$3:$K$852,7,0),0)</f>
        <v>0</v>
      </c>
      <c r="F737" s="6">
        <f>IFERROR(VLOOKUP($D737,[1]Balanza!$A$3:$K$852,10,0)-VLOOKUP($D737,[1]Balanza!$A$3:$K$852,11,0),0)</f>
        <v>0</v>
      </c>
    </row>
    <row r="738" spans="1:6" x14ac:dyDescent="0.3">
      <c r="A738" s="2" t="s">
        <v>1363</v>
      </c>
      <c r="B738" s="2" t="s">
        <v>1364</v>
      </c>
      <c r="C738" t="s">
        <v>3090</v>
      </c>
      <c r="D738" s="5" t="s">
        <v>3833</v>
      </c>
      <c r="E738" s="6">
        <f>IFERROR(VLOOKUP($D738,[1]Balanza!$A$3:$K$852,6,0)-VLOOKUP(D738,[1]Balanza!$A$3:$K$852,7,0),0)</f>
        <v>0</v>
      </c>
      <c r="F738" s="6">
        <f>IFERROR(VLOOKUP($D738,[1]Balanza!$A$3:$K$852,10,0)-VLOOKUP($D738,[1]Balanza!$A$3:$K$852,11,0),0)</f>
        <v>0</v>
      </c>
    </row>
    <row r="739" spans="1:6" x14ac:dyDescent="0.3">
      <c r="A739" s="2" t="s">
        <v>1365</v>
      </c>
      <c r="B739" s="2" t="s">
        <v>1366</v>
      </c>
      <c r="C739" t="s">
        <v>3090</v>
      </c>
      <c r="D739" s="5" t="s">
        <v>3834</v>
      </c>
      <c r="E739" s="6">
        <f>IFERROR(VLOOKUP($D739,[1]Balanza!$A$3:$K$852,6,0)-VLOOKUP(D739,[1]Balanza!$A$3:$K$852,7,0),0)</f>
        <v>0</v>
      </c>
      <c r="F739" s="6">
        <f>IFERROR(VLOOKUP($D739,[1]Balanza!$A$3:$K$852,10,0)-VLOOKUP($D739,[1]Balanza!$A$3:$K$852,11,0),0)</f>
        <v>0</v>
      </c>
    </row>
    <row r="740" spans="1:6" x14ac:dyDescent="0.3">
      <c r="A740" s="2" t="s">
        <v>1367</v>
      </c>
      <c r="B740" s="2" t="s">
        <v>1368</v>
      </c>
      <c r="C740" t="s">
        <v>3090</v>
      </c>
      <c r="D740" s="5" t="s">
        <v>3835</v>
      </c>
      <c r="E740" s="6">
        <f>IFERROR(VLOOKUP($D740,[1]Balanza!$A$3:$K$852,6,0)-VLOOKUP(D740,[1]Balanza!$A$3:$K$852,7,0),0)</f>
        <v>0</v>
      </c>
      <c r="F740" s="6">
        <f>IFERROR(VLOOKUP($D740,[1]Balanza!$A$3:$K$852,10,0)-VLOOKUP($D740,[1]Balanza!$A$3:$K$852,11,0),0)</f>
        <v>0</v>
      </c>
    </row>
    <row r="741" spans="1:6" x14ac:dyDescent="0.3">
      <c r="A741" s="2" t="s">
        <v>1369</v>
      </c>
      <c r="B741" s="2" t="s">
        <v>1370</v>
      </c>
      <c r="C741" t="s">
        <v>3090</v>
      </c>
      <c r="D741" s="5" t="s">
        <v>3836</v>
      </c>
      <c r="E741" s="6">
        <f>IFERROR(VLOOKUP($D741,[1]Balanza!$A$3:$K$852,6,0)-VLOOKUP(D741,[1]Balanza!$A$3:$K$852,7,0),0)</f>
        <v>0</v>
      </c>
      <c r="F741" s="6">
        <f>IFERROR(VLOOKUP($D741,[1]Balanza!$A$3:$K$852,10,0)-VLOOKUP($D741,[1]Balanza!$A$3:$K$852,11,0),0)</f>
        <v>0</v>
      </c>
    </row>
    <row r="742" spans="1:6" x14ac:dyDescent="0.3">
      <c r="A742" s="2" t="s">
        <v>1371</v>
      </c>
      <c r="B742" s="2" t="s">
        <v>1372</v>
      </c>
      <c r="C742" t="s">
        <v>3090</v>
      </c>
      <c r="D742" s="5" t="s">
        <v>3837</v>
      </c>
      <c r="E742" s="6">
        <f>IFERROR(VLOOKUP($D742,[1]Balanza!$A$3:$K$852,6,0)-VLOOKUP(D742,[1]Balanza!$A$3:$K$852,7,0),0)</f>
        <v>0</v>
      </c>
      <c r="F742" s="6">
        <f>IFERROR(VLOOKUP($D742,[1]Balanza!$A$3:$K$852,10,0)-VLOOKUP($D742,[1]Balanza!$A$3:$K$852,11,0),0)</f>
        <v>0</v>
      </c>
    </row>
    <row r="743" spans="1:6" x14ac:dyDescent="0.3">
      <c r="A743" s="2" t="s">
        <v>1373</v>
      </c>
      <c r="B743" s="2" t="s">
        <v>1374</v>
      </c>
      <c r="C743" t="s">
        <v>3090</v>
      </c>
      <c r="D743" s="5" t="s">
        <v>3838</v>
      </c>
      <c r="E743" s="6">
        <f>IFERROR(VLOOKUP($D743,[1]Balanza!$A$3:$K$852,6,0)-VLOOKUP(D743,[1]Balanza!$A$3:$K$852,7,0),0)</f>
        <v>0</v>
      </c>
      <c r="F743" s="6">
        <f>IFERROR(VLOOKUP($D743,[1]Balanza!$A$3:$K$852,10,0)-VLOOKUP($D743,[1]Balanza!$A$3:$K$852,11,0),0)</f>
        <v>0</v>
      </c>
    </row>
    <row r="744" spans="1:6" x14ac:dyDescent="0.3">
      <c r="A744" s="2" t="s">
        <v>1375</v>
      </c>
      <c r="B744" s="2" t="s">
        <v>1376</v>
      </c>
      <c r="C744" t="s">
        <v>3090</v>
      </c>
      <c r="D744" s="5" t="s">
        <v>3839</v>
      </c>
      <c r="E744" s="6">
        <f>IFERROR(VLOOKUP($D744,[1]Balanza!$A$3:$K$852,6,0)-VLOOKUP(D744,[1]Balanza!$A$3:$K$852,7,0),0)</f>
        <v>0</v>
      </c>
      <c r="F744" s="6">
        <f>IFERROR(VLOOKUP($D744,[1]Balanza!$A$3:$K$852,10,0)-VLOOKUP($D744,[1]Balanza!$A$3:$K$852,11,0),0)</f>
        <v>0</v>
      </c>
    </row>
    <row r="745" spans="1:6" x14ac:dyDescent="0.3">
      <c r="A745" s="2" t="s">
        <v>1377</v>
      </c>
      <c r="B745" s="2" t="s">
        <v>1378</v>
      </c>
      <c r="C745" t="s">
        <v>3090</v>
      </c>
      <c r="D745" s="5" t="s">
        <v>3840</v>
      </c>
      <c r="E745" s="6">
        <f>IFERROR(VLOOKUP($D745,[1]Balanza!$A$3:$K$852,6,0)-VLOOKUP(D745,[1]Balanza!$A$3:$K$852,7,0),0)</f>
        <v>30102.369999999995</v>
      </c>
      <c r="F745" s="6">
        <f>IFERROR(VLOOKUP($D745,[1]Balanza!$A$3:$K$852,10,0)-VLOOKUP($D745,[1]Balanza!$A$3:$K$852,11,0),0)</f>
        <v>3531.8099999999995</v>
      </c>
    </row>
    <row r="746" spans="1:6" x14ac:dyDescent="0.3">
      <c r="A746" s="2" t="s">
        <v>1379</v>
      </c>
      <c r="B746" s="2" t="s">
        <v>1380</v>
      </c>
      <c r="C746" t="s">
        <v>3090</v>
      </c>
      <c r="D746" s="5" t="s">
        <v>3841</v>
      </c>
      <c r="E746" s="6">
        <f>IFERROR(VLOOKUP($D746,[1]Balanza!$A$3:$K$852,6,0)-VLOOKUP(D746,[1]Balanza!$A$3:$K$852,7,0),0)</f>
        <v>0</v>
      </c>
      <c r="F746" s="6">
        <f>IFERROR(VLOOKUP($D746,[1]Balanza!$A$3:$K$852,10,0)-VLOOKUP($D746,[1]Balanza!$A$3:$K$852,11,0),0)</f>
        <v>0</v>
      </c>
    </row>
    <row r="747" spans="1:6" x14ac:dyDescent="0.3">
      <c r="A747" s="2" t="s">
        <v>1381</v>
      </c>
      <c r="B747" s="2" t="s">
        <v>1382</v>
      </c>
      <c r="C747" t="s">
        <v>3090</v>
      </c>
      <c r="D747" s="5" t="s">
        <v>3842</v>
      </c>
      <c r="E747" s="6">
        <f>IFERROR(VLOOKUP($D747,[1]Balanza!$A$3:$K$852,6,0)-VLOOKUP(D747,[1]Balanza!$A$3:$K$852,7,0),0)</f>
        <v>0</v>
      </c>
      <c r="F747" s="6">
        <f>IFERROR(VLOOKUP($D747,[1]Balanza!$A$3:$K$852,10,0)-VLOOKUP($D747,[1]Balanza!$A$3:$K$852,11,0),0)</f>
        <v>0</v>
      </c>
    </row>
    <row r="748" spans="1:6" x14ac:dyDescent="0.3">
      <c r="A748" s="2" t="s">
        <v>1383</v>
      </c>
      <c r="B748" s="2" t="s">
        <v>1384</v>
      </c>
      <c r="C748" t="s">
        <v>3090</v>
      </c>
      <c r="D748" s="5" t="s">
        <v>3843</v>
      </c>
      <c r="E748" s="6">
        <f>IFERROR(VLOOKUP($D748,[1]Balanza!$A$3:$K$852,6,0)-VLOOKUP(D748,[1]Balanza!$A$3:$K$852,7,0),0)</f>
        <v>0</v>
      </c>
      <c r="F748" s="6">
        <f>IFERROR(VLOOKUP($D748,[1]Balanza!$A$3:$K$852,10,0)-VLOOKUP($D748,[1]Balanza!$A$3:$K$852,11,0),0)</f>
        <v>0</v>
      </c>
    </row>
    <row r="749" spans="1:6" x14ac:dyDescent="0.3">
      <c r="A749" s="2" t="s">
        <v>1385</v>
      </c>
      <c r="B749" s="2" t="s">
        <v>1386</v>
      </c>
      <c r="C749" t="s">
        <v>3090</v>
      </c>
      <c r="D749" s="5" t="s">
        <v>3844</v>
      </c>
      <c r="E749" s="6">
        <f>IFERROR(VLOOKUP($D749,[1]Balanza!$A$3:$K$852,6,0)-VLOOKUP(D749,[1]Balanza!$A$3:$K$852,7,0),0)</f>
        <v>0</v>
      </c>
      <c r="F749" s="6">
        <f>IFERROR(VLOOKUP($D749,[1]Balanza!$A$3:$K$852,10,0)-VLOOKUP($D749,[1]Balanza!$A$3:$K$852,11,0),0)</f>
        <v>1341.7700000000002</v>
      </c>
    </row>
    <row r="750" spans="1:6" x14ac:dyDescent="0.3">
      <c r="A750" s="2" t="s">
        <v>1387</v>
      </c>
      <c r="B750" s="2" t="s">
        <v>1388</v>
      </c>
      <c r="C750" t="s">
        <v>3090</v>
      </c>
      <c r="D750" s="5" t="s">
        <v>3845</v>
      </c>
      <c r="E750" s="6">
        <f>IFERROR(VLOOKUP($D750,[1]Balanza!$A$3:$K$852,6,0)-VLOOKUP(D750,[1]Balanza!$A$3:$K$852,7,0),0)</f>
        <v>1671.58</v>
      </c>
      <c r="F750" s="6">
        <f>IFERROR(VLOOKUP($D750,[1]Balanza!$A$3:$K$852,10,0)-VLOOKUP($D750,[1]Balanza!$A$3:$K$852,11,0),0)</f>
        <v>0</v>
      </c>
    </row>
    <row r="751" spans="1:6" x14ac:dyDescent="0.3">
      <c r="A751" s="2" t="s">
        <v>1389</v>
      </c>
      <c r="B751" s="2" t="s">
        <v>1390</v>
      </c>
      <c r="C751" t="s">
        <v>3090</v>
      </c>
      <c r="D751" s="5" t="s">
        <v>3846</v>
      </c>
      <c r="E751" s="6">
        <f>IFERROR(VLOOKUP($D751,[1]Balanza!$A$3:$K$852,6,0)-VLOOKUP(D751,[1]Balanza!$A$3:$K$852,7,0),0)</f>
        <v>2631.6200000000003</v>
      </c>
      <c r="F751" s="6">
        <f>IFERROR(VLOOKUP($D751,[1]Balanza!$A$3:$K$852,10,0)-VLOOKUP($D751,[1]Balanza!$A$3:$K$852,11,0),0)</f>
        <v>0</v>
      </c>
    </row>
    <row r="752" spans="1:6" x14ac:dyDescent="0.3">
      <c r="A752" s="2" t="s">
        <v>1391</v>
      </c>
      <c r="B752" s="2" t="s">
        <v>1392</v>
      </c>
      <c r="C752" t="s">
        <v>3090</v>
      </c>
      <c r="D752" s="5" t="s">
        <v>3847</v>
      </c>
      <c r="E752" s="6">
        <f>IFERROR(VLOOKUP($D752,[1]Balanza!$A$3:$K$852,6,0)-VLOOKUP(D752,[1]Balanza!$A$3:$K$852,7,0),0)</f>
        <v>3316.66</v>
      </c>
      <c r="F752" s="6">
        <f>IFERROR(VLOOKUP($D752,[1]Balanza!$A$3:$K$852,10,0)-VLOOKUP($D752,[1]Balanza!$A$3:$K$852,11,0),0)</f>
        <v>0</v>
      </c>
    </row>
    <row r="753" spans="1:6" x14ac:dyDescent="0.3">
      <c r="A753" s="2" t="s">
        <v>1393</v>
      </c>
      <c r="B753" s="2" t="s">
        <v>1394</v>
      </c>
      <c r="C753" t="s">
        <v>3090</v>
      </c>
      <c r="D753" s="5" t="s">
        <v>3848</v>
      </c>
      <c r="E753" s="6">
        <f>IFERROR(VLOOKUP($D753,[1]Balanza!$A$3:$K$852,6,0)-VLOOKUP(D753,[1]Balanza!$A$3:$K$852,7,0),0)</f>
        <v>2529.5400000000004</v>
      </c>
      <c r="F753" s="6">
        <f>IFERROR(VLOOKUP($D753,[1]Balanza!$A$3:$K$852,10,0)-VLOOKUP($D753,[1]Balanza!$A$3:$K$852,11,0),0)</f>
        <v>0</v>
      </c>
    </row>
    <row r="754" spans="1:6" x14ac:dyDescent="0.3">
      <c r="A754" s="2" t="s">
        <v>1395</v>
      </c>
      <c r="B754" s="2" t="s">
        <v>1396</v>
      </c>
      <c r="C754" t="s">
        <v>3090</v>
      </c>
      <c r="D754" s="5" t="s">
        <v>3849</v>
      </c>
      <c r="E754" s="6">
        <f>IFERROR(VLOOKUP($D754,[1]Balanza!$A$3:$K$852,6,0)-VLOOKUP(D754,[1]Balanza!$A$3:$K$852,7,0),0)</f>
        <v>2158.7400000000002</v>
      </c>
      <c r="F754" s="6">
        <f>IFERROR(VLOOKUP($D754,[1]Balanza!$A$3:$K$852,10,0)-VLOOKUP($D754,[1]Balanza!$A$3:$K$852,11,0),0)</f>
        <v>0</v>
      </c>
    </row>
    <row r="755" spans="1:6" x14ac:dyDescent="0.3">
      <c r="A755" s="2" t="s">
        <v>1397</v>
      </c>
      <c r="B755" s="2" t="s">
        <v>1398</v>
      </c>
      <c r="C755" t="s">
        <v>3090</v>
      </c>
      <c r="D755" s="5" t="s">
        <v>3850</v>
      </c>
      <c r="E755" s="6">
        <f>IFERROR(VLOOKUP($D755,[1]Balanza!$A$3:$K$852,6,0)-VLOOKUP(D755,[1]Balanza!$A$3:$K$852,7,0),0)</f>
        <v>814.22</v>
      </c>
      <c r="F755" s="6">
        <f>IFERROR(VLOOKUP($D755,[1]Balanza!$A$3:$K$852,10,0)-VLOOKUP($D755,[1]Balanza!$A$3:$K$852,11,0),0)</f>
        <v>0</v>
      </c>
    </row>
    <row r="756" spans="1:6" x14ac:dyDescent="0.3">
      <c r="A756" s="2" t="s">
        <v>1399</v>
      </c>
      <c r="B756" s="2" t="s">
        <v>1400</v>
      </c>
      <c r="C756" t="s">
        <v>3090</v>
      </c>
      <c r="D756" s="5" t="s">
        <v>3851</v>
      </c>
      <c r="E756" s="6">
        <f>IFERROR(VLOOKUP($D756,[1]Balanza!$A$3:$K$852,6,0)-VLOOKUP(D756,[1]Balanza!$A$3:$K$852,7,0),0)</f>
        <v>2757.8399999999997</v>
      </c>
      <c r="F756" s="6">
        <f>IFERROR(VLOOKUP($D756,[1]Balanza!$A$3:$K$852,10,0)-VLOOKUP($D756,[1]Balanza!$A$3:$K$852,11,0),0)</f>
        <v>0</v>
      </c>
    </row>
    <row r="757" spans="1:6" x14ac:dyDescent="0.3">
      <c r="A757" s="2" t="s">
        <v>1401</v>
      </c>
      <c r="B757" s="2" t="s">
        <v>1402</v>
      </c>
      <c r="C757" t="s">
        <v>3090</v>
      </c>
      <c r="D757" s="5" t="s">
        <v>3852</v>
      </c>
      <c r="E757" s="6">
        <f>IFERROR(VLOOKUP($D757,[1]Balanza!$A$3:$K$852,6,0)-VLOOKUP(D757,[1]Balanza!$A$3:$K$852,7,0),0)</f>
        <v>2401.3200000000006</v>
      </c>
      <c r="F757" s="6">
        <f>IFERROR(VLOOKUP($D757,[1]Balanza!$A$3:$K$852,10,0)-VLOOKUP($D757,[1]Balanza!$A$3:$K$852,11,0),0)</f>
        <v>0</v>
      </c>
    </row>
    <row r="758" spans="1:6" x14ac:dyDescent="0.3">
      <c r="A758" s="2" t="s">
        <v>1403</v>
      </c>
      <c r="B758" s="2" t="s">
        <v>1404</v>
      </c>
      <c r="C758" t="s">
        <v>3090</v>
      </c>
      <c r="D758" s="5" t="s">
        <v>3853</v>
      </c>
      <c r="E758" s="6">
        <f>IFERROR(VLOOKUP($D758,[1]Balanza!$A$3:$K$852,6,0)-VLOOKUP(D758,[1]Balanza!$A$3:$K$852,7,0),0)</f>
        <v>1055.0200000000002</v>
      </c>
      <c r="F758" s="6">
        <f>IFERROR(VLOOKUP($D758,[1]Balanza!$A$3:$K$852,10,0)-VLOOKUP($D758,[1]Balanza!$A$3:$K$852,11,0),0)</f>
        <v>0</v>
      </c>
    </row>
    <row r="759" spans="1:6" x14ac:dyDescent="0.3">
      <c r="A759" s="2" t="s">
        <v>1405</v>
      </c>
      <c r="B759" s="2" t="s">
        <v>1406</v>
      </c>
      <c r="C759" t="s">
        <v>3090</v>
      </c>
      <c r="D759" s="5" t="s">
        <v>3854</v>
      </c>
      <c r="E759" s="6">
        <f>IFERROR(VLOOKUP($D759,[1]Balanza!$A$3:$K$852,6,0)-VLOOKUP(D759,[1]Balanza!$A$3:$K$852,7,0),0)</f>
        <v>1893.0000000000002</v>
      </c>
      <c r="F759" s="6">
        <f>IFERROR(VLOOKUP($D759,[1]Balanza!$A$3:$K$852,10,0)-VLOOKUP($D759,[1]Balanza!$A$3:$K$852,11,0),0)</f>
        <v>0</v>
      </c>
    </row>
    <row r="760" spans="1:6" x14ac:dyDescent="0.3">
      <c r="A760" s="2" t="s">
        <v>1407</v>
      </c>
      <c r="B760" s="2" t="s">
        <v>1408</v>
      </c>
      <c r="C760" t="s">
        <v>3090</v>
      </c>
      <c r="D760" s="5" t="s">
        <v>3855</v>
      </c>
      <c r="E760" s="6">
        <f>IFERROR(VLOOKUP($D760,[1]Balanza!$A$3:$K$852,6,0)-VLOOKUP(D760,[1]Balanza!$A$3:$K$852,7,0),0)</f>
        <v>0</v>
      </c>
      <c r="F760" s="6">
        <f>IFERROR(VLOOKUP($D760,[1]Balanza!$A$3:$K$852,10,0)-VLOOKUP($D760,[1]Balanza!$A$3:$K$852,11,0),0)</f>
        <v>0</v>
      </c>
    </row>
    <row r="761" spans="1:6" x14ac:dyDescent="0.3">
      <c r="A761" s="2" t="s">
        <v>1409</v>
      </c>
      <c r="B761" s="2" t="s">
        <v>1410</v>
      </c>
      <c r="C761" t="s">
        <v>3090</v>
      </c>
      <c r="D761" s="5" t="s">
        <v>3856</v>
      </c>
      <c r="E761" s="6">
        <f>IFERROR(VLOOKUP($D761,[1]Balanza!$A$3:$K$852,6,0)-VLOOKUP(D761,[1]Balanza!$A$3:$K$852,7,0),0)</f>
        <v>0</v>
      </c>
      <c r="F761" s="6">
        <f>IFERROR(VLOOKUP($D761,[1]Balanza!$A$3:$K$852,10,0)-VLOOKUP($D761,[1]Balanza!$A$3:$K$852,11,0),0)</f>
        <v>0</v>
      </c>
    </row>
    <row r="762" spans="1:6" x14ac:dyDescent="0.3">
      <c r="A762" s="2" t="s">
        <v>1411</v>
      </c>
      <c r="B762" s="2" t="s">
        <v>1412</v>
      </c>
      <c r="C762" t="s">
        <v>3090</v>
      </c>
      <c r="D762" s="5" t="s">
        <v>3857</v>
      </c>
      <c r="E762" s="6">
        <f>IFERROR(VLOOKUP($D762,[1]Balanza!$A$3:$K$852,6,0)-VLOOKUP(D762,[1]Balanza!$A$3:$K$852,7,0),0)</f>
        <v>1906.06</v>
      </c>
      <c r="F762" s="6">
        <f>IFERROR(VLOOKUP($D762,[1]Balanza!$A$3:$K$852,10,0)-VLOOKUP($D762,[1]Balanza!$A$3:$K$852,11,0),0)</f>
        <v>0</v>
      </c>
    </row>
    <row r="763" spans="1:6" x14ac:dyDescent="0.3">
      <c r="A763" s="2" t="s">
        <v>1413</v>
      </c>
      <c r="B763" s="2" t="s">
        <v>1414</v>
      </c>
      <c r="C763" t="s">
        <v>3090</v>
      </c>
      <c r="D763" s="5" t="s">
        <v>3858</v>
      </c>
      <c r="E763" s="6">
        <f>IFERROR(VLOOKUP($D763,[1]Balanza!$A$3:$K$852,6,0)-VLOOKUP(D763,[1]Balanza!$A$3:$K$852,7,0),0)</f>
        <v>856.43999999999994</v>
      </c>
      <c r="F763" s="6">
        <f>IFERROR(VLOOKUP($D763,[1]Balanza!$A$3:$K$852,10,0)-VLOOKUP($D763,[1]Balanza!$A$3:$K$852,11,0),0)</f>
        <v>0</v>
      </c>
    </row>
    <row r="764" spans="1:6" x14ac:dyDescent="0.3">
      <c r="A764" s="2" t="s">
        <v>1415</v>
      </c>
      <c r="B764" s="2" t="s">
        <v>1416</v>
      </c>
      <c r="C764" t="s">
        <v>3090</v>
      </c>
      <c r="D764" s="5" t="s">
        <v>3859</v>
      </c>
      <c r="E764" s="6">
        <f>IFERROR(VLOOKUP($D764,[1]Balanza!$A$3:$K$852,6,0)-VLOOKUP(D764,[1]Balanza!$A$3:$K$852,7,0),0)</f>
        <v>729.48</v>
      </c>
      <c r="F764" s="6">
        <f>IFERROR(VLOOKUP($D764,[1]Balanza!$A$3:$K$852,10,0)-VLOOKUP($D764,[1]Balanza!$A$3:$K$852,11,0),0)</f>
        <v>0</v>
      </c>
    </row>
    <row r="765" spans="1:6" x14ac:dyDescent="0.3">
      <c r="A765" s="2" t="s">
        <v>1417</v>
      </c>
      <c r="B765" s="2" t="s">
        <v>1418</v>
      </c>
      <c r="C765" t="s">
        <v>3090</v>
      </c>
      <c r="D765" s="5" t="s">
        <v>3860</v>
      </c>
      <c r="E765" s="6">
        <f>IFERROR(VLOOKUP($D765,[1]Balanza!$A$3:$K$852,6,0)-VLOOKUP(D765,[1]Balanza!$A$3:$K$852,7,0),0)</f>
        <v>2607.96</v>
      </c>
      <c r="F765" s="6">
        <f>IFERROR(VLOOKUP($D765,[1]Balanza!$A$3:$K$852,10,0)-VLOOKUP($D765,[1]Balanza!$A$3:$K$852,11,0),0)</f>
        <v>0</v>
      </c>
    </row>
    <row r="766" spans="1:6" x14ac:dyDescent="0.3">
      <c r="A766" s="2" t="s">
        <v>1419</v>
      </c>
      <c r="B766" s="2" t="s">
        <v>1420</v>
      </c>
      <c r="C766" t="s">
        <v>3090</v>
      </c>
      <c r="D766" s="5" t="s">
        <v>3861</v>
      </c>
      <c r="E766" s="6">
        <f>IFERROR(VLOOKUP($D766,[1]Balanza!$A$3:$K$852,6,0)-VLOOKUP(D766,[1]Balanza!$A$3:$K$852,7,0),0)</f>
        <v>0</v>
      </c>
      <c r="F766" s="6">
        <f>IFERROR(VLOOKUP($D766,[1]Balanza!$A$3:$K$852,10,0)-VLOOKUP($D766,[1]Balanza!$A$3:$K$852,11,0),0)</f>
        <v>0</v>
      </c>
    </row>
    <row r="767" spans="1:6" x14ac:dyDescent="0.3">
      <c r="A767" s="2" t="s">
        <v>1421</v>
      </c>
      <c r="B767" s="2" t="s">
        <v>1422</v>
      </c>
      <c r="C767" t="s">
        <v>3090</v>
      </c>
      <c r="D767" s="5" t="s">
        <v>3862</v>
      </c>
      <c r="E767" s="6">
        <f>IFERROR(VLOOKUP($D767,[1]Balanza!$A$3:$K$852,6,0)-VLOOKUP(D767,[1]Balanza!$A$3:$K$852,7,0),0)</f>
        <v>4962.6000000000004</v>
      </c>
      <c r="F767" s="6">
        <f>IFERROR(VLOOKUP($D767,[1]Balanza!$A$3:$K$852,10,0)-VLOOKUP($D767,[1]Balanza!$A$3:$K$852,11,0),0)</f>
        <v>0</v>
      </c>
    </row>
    <row r="768" spans="1:6" x14ac:dyDescent="0.3">
      <c r="A768" s="2" t="s">
        <v>1423</v>
      </c>
      <c r="B768" s="2" t="s">
        <v>1424</v>
      </c>
      <c r="C768" t="s">
        <v>3090</v>
      </c>
      <c r="D768" s="5" t="s">
        <v>3863</v>
      </c>
      <c r="E768" s="6">
        <f>IFERROR(VLOOKUP($D768,[1]Balanza!$A$3:$K$852,6,0)-VLOOKUP(D768,[1]Balanza!$A$3:$K$852,7,0),0)</f>
        <v>4496.8200000000006</v>
      </c>
      <c r="F768" s="6">
        <f>IFERROR(VLOOKUP($D768,[1]Balanza!$A$3:$K$852,10,0)-VLOOKUP($D768,[1]Balanza!$A$3:$K$852,11,0),0)</f>
        <v>0</v>
      </c>
    </row>
    <row r="769" spans="1:6" x14ac:dyDescent="0.3">
      <c r="A769" s="2" t="s">
        <v>1425</v>
      </c>
      <c r="B769" s="2" t="s">
        <v>1426</v>
      </c>
      <c r="C769" t="s">
        <v>3090</v>
      </c>
      <c r="D769" s="5" t="s">
        <v>3864</v>
      </c>
      <c r="E769" s="6">
        <f>IFERROR(VLOOKUP($D769,[1]Balanza!$A$3:$K$852,6,0)-VLOOKUP(D769,[1]Balanza!$A$3:$K$852,7,0),0)</f>
        <v>6452.37</v>
      </c>
      <c r="F769" s="6">
        <f>IFERROR(VLOOKUP($D769,[1]Balanza!$A$3:$K$852,10,0)-VLOOKUP($D769,[1]Balanza!$A$3:$K$852,11,0),0)</f>
        <v>0</v>
      </c>
    </row>
    <row r="770" spans="1:6" x14ac:dyDescent="0.3">
      <c r="A770" s="2" t="s">
        <v>1427</v>
      </c>
      <c r="B770" s="2" t="s">
        <v>1428</v>
      </c>
      <c r="C770" t="s">
        <v>3090</v>
      </c>
      <c r="D770" s="5" t="s">
        <v>3865</v>
      </c>
      <c r="E770" s="6">
        <f>IFERROR(VLOOKUP($D770,[1]Balanza!$A$3:$K$852,6,0)-VLOOKUP(D770,[1]Balanza!$A$3:$K$852,7,0),0)</f>
        <v>2640.1400000000003</v>
      </c>
      <c r="F770" s="6">
        <f>IFERROR(VLOOKUP($D770,[1]Balanza!$A$3:$K$852,10,0)-VLOOKUP($D770,[1]Balanza!$A$3:$K$852,11,0),0)</f>
        <v>0</v>
      </c>
    </row>
    <row r="771" spans="1:6" x14ac:dyDescent="0.3">
      <c r="A771" s="2" t="s">
        <v>1429</v>
      </c>
      <c r="B771" s="2" t="s">
        <v>1430</v>
      </c>
      <c r="C771" t="s">
        <v>3090</v>
      </c>
      <c r="D771" s="5" t="s">
        <v>3866</v>
      </c>
      <c r="E771" s="6">
        <f>IFERROR(VLOOKUP($D771,[1]Balanza!$A$3:$K$852,6,0)-VLOOKUP(D771,[1]Balanza!$A$3:$K$852,7,0),0)</f>
        <v>1124.24</v>
      </c>
      <c r="F771" s="6">
        <f>IFERROR(VLOOKUP($D771,[1]Balanza!$A$3:$K$852,10,0)-VLOOKUP($D771,[1]Balanza!$A$3:$K$852,11,0),0)</f>
        <v>0</v>
      </c>
    </row>
    <row r="772" spans="1:6" x14ac:dyDescent="0.3">
      <c r="A772" s="2" t="s">
        <v>1431</v>
      </c>
      <c r="B772" s="2" t="s">
        <v>1432</v>
      </c>
      <c r="C772" t="s">
        <v>3090</v>
      </c>
      <c r="D772" s="5" t="s">
        <v>3867</v>
      </c>
      <c r="E772" s="6">
        <f>IFERROR(VLOOKUP($D772,[1]Balanza!$A$3:$K$852,6,0)-VLOOKUP(D772,[1]Balanza!$A$3:$K$852,7,0),0)</f>
        <v>1212.68</v>
      </c>
      <c r="F772" s="6">
        <f>IFERROR(VLOOKUP($D772,[1]Balanza!$A$3:$K$852,10,0)-VLOOKUP($D772,[1]Balanza!$A$3:$K$852,11,0),0)</f>
        <v>0</v>
      </c>
    </row>
    <row r="773" spans="1:6" x14ac:dyDescent="0.3">
      <c r="A773" s="2" t="s">
        <v>1433</v>
      </c>
      <c r="B773" s="2" t="s">
        <v>1434</v>
      </c>
      <c r="C773" t="s">
        <v>3090</v>
      </c>
      <c r="D773" s="5" t="s">
        <v>3868</v>
      </c>
      <c r="E773" s="6">
        <f>IFERROR(VLOOKUP($D773,[1]Balanza!$A$3:$K$852,6,0)-VLOOKUP(D773,[1]Balanza!$A$3:$K$852,7,0),0)</f>
        <v>0</v>
      </c>
      <c r="F773" s="6">
        <f>IFERROR(VLOOKUP($D773,[1]Balanza!$A$3:$K$852,10,0)-VLOOKUP($D773,[1]Balanza!$A$3:$K$852,11,0),0)</f>
        <v>0</v>
      </c>
    </row>
    <row r="774" spans="1:6" x14ac:dyDescent="0.3">
      <c r="A774" s="2" t="s">
        <v>1435</v>
      </c>
      <c r="B774" s="2" t="s">
        <v>1436</v>
      </c>
      <c r="C774" t="s">
        <v>3090</v>
      </c>
      <c r="D774" s="5" t="s">
        <v>3869</v>
      </c>
      <c r="E774" s="6">
        <f>IFERROR(VLOOKUP($D774,[1]Balanza!$A$3:$K$852,6,0)-VLOOKUP(D774,[1]Balanza!$A$3:$K$852,7,0),0)</f>
        <v>1622.5500000000002</v>
      </c>
      <c r="F774" s="6">
        <f>IFERROR(VLOOKUP($D774,[1]Balanza!$A$3:$K$852,10,0)-VLOOKUP($D774,[1]Balanza!$A$3:$K$852,11,0),0)</f>
        <v>0</v>
      </c>
    </row>
    <row r="775" spans="1:6" x14ac:dyDescent="0.3">
      <c r="A775" s="2" t="s">
        <v>1437</v>
      </c>
      <c r="B775" s="2" t="s">
        <v>1438</v>
      </c>
      <c r="C775" t="s">
        <v>3090</v>
      </c>
      <c r="D775" s="5" t="s">
        <v>3870</v>
      </c>
      <c r="E775" s="6">
        <f>IFERROR(VLOOKUP($D775,[1]Balanza!$A$3:$K$852,6,0)-VLOOKUP(D775,[1]Balanza!$A$3:$K$852,7,0),0)</f>
        <v>797.57999999999993</v>
      </c>
      <c r="F775" s="6">
        <f>IFERROR(VLOOKUP($D775,[1]Balanza!$A$3:$K$852,10,0)-VLOOKUP($D775,[1]Balanza!$A$3:$K$852,11,0),0)</f>
        <v>0</v>
      </c>
    </row>
    <row r="776" spans="1:6" x14ac:dyDescent="0.3">
      <c r="A776" s="2" t="s">
        <v>1439</v>
      </c>
      <c r="B776" s="2" t="s">
        <v>1440</v>
      </c>
      <c r="C776" t="s">
        <v>3090</v>
      </c>
      <c r="D776" s="5" t="s">
        <v>3871</v>
      </c>
      <c r="E776" s="6">
        <f>IFERROR(VLOOKUP($D776,[1]Balanza!$A$3:$K$852,6,0)-VLOOKUP(D776,[1]Balanza!$A$3:$K$852,7,0),0)</f>
        <v>1241.33</v>
      </c>
      <c r="F776" s="6">
        <f>IFERROR(VLOOKUP($D776,[1]Balanza!$A$3:$K$852,10,0)-VLOOKUP($D776,[1]Balanza!$A$3:$K$852,11,0),0)</f>
        <v>0</v>
      </c>
    </row>
    <row r="777" spans="1:6" x14ac:dyDescent="0.3">
      <c r="A777" s="2" t="s">
        <v>1441</v>
      </c>
      <c r="B777" s="2" t="s">
        <v>1442</v>
      </c>
      <c r="C777" t="s">
        <v>3090</v>
      </c>
      <c r="D777" s="5" t="s">
        <v>3872</v>
      </c>
      <c r="E777" s="6">
        <f>IFERROR(VLOOKUP($D777,[1]Balanza!$A$3:$K$852,6,0)-VLOOKUP(D777,[1]Balanza!$A$3:$K$852,7,0),0)</f>
        <v>0</v>
      </c>
      <c r="F777" s="6">
        <f>IFERROR(VLOOKUP($D777,[1]Balanza!$A$3:$K$852,10,0)-VLOOKUP($D777,[1]Balanza!$A$3:$K$852,11,0),0)</f>
        <v>0</v>
      </c>
    </row>
    <row r="778" spans="1:6" x14ac:dyDescent="0.3">
      <c r="A778" s="2" t="s">
        <v>1443</v>
      </c>
      <c r="B778" s="2" t="s">
        <v>1444</v>
      </c>
      <c r="C778" t="s">
        <v>3090</v>
      </c>
      <c r="D778" s="5" t="s">
        <v>3873</v>
      </c>
      <c r="E778" s="6">
        <f>IFERROR(VLOOKUP($D778,[1]Balanza!$A$3:$K$852,6,0)-VLOOKUP(D778,[1]Balanza!$A$3:$K$852,7,0),0)</f>
        <v>0</v>
      </c>
      <c r="F778" s="6">
        <f>IFERROR(VLOOKUP($D778,[1]Balanza!$A$3:$K$852,10,0)-VLOOKUP($D778,[1]Balanza!$A$3:$K$852,11,0),0)</f>
        <v>0</v>
      </c>
    </row>
    <row r="779" spans="1:6" x14ac:dyDescent="0.3">
      <c r="A779" s="2" t="s">
        <v>1445</v>
      </c>
      <c r="B779" s="2" t="s">
        <v>1446</v>
      </c>
      <c r="C779" t="s">
        <v>3090</v>
      </c>
      <c r="D779" s="5" t="s">
        <v>3874</v>
      </c>
      <c r="E779" s="6">
        <f>IFERROR(VLOOKUP($D779,[1]Balanza!$A$3:$K$852,6,0)-VLOOKUP(D779,[1]Balanza!$A$3:$K$852,7,0),0)</f>
        <v>0</v>
      </c>
      <c r="F779" s="6">
        <f>IFERROR(VLOOKUP($D779,[1]Balanza!$A$3:$K$852,10,0)-VLOOKUP($D779,[1]Balanza!$A$3:$K$852,11,0),0)</f>
        <v>0</v>
      </c>
    </row>
    <row r="780" spans="1:6" x14ac:dyDescent="0.3">
      <c r="A780" s="2" t="s">
        <v>1447</v>
      </c>
      <c r="B780" s="2" t="s">
        <v>1448</v>
      </c>
      <c r="C780" t="s">
        <v>3090</v>
      </c>
      <c r="D780" s="5" t="s">
        <v>3875</v>
      </c>
      <c r="E780" s="6">
        <f>IFERROR(VLOOKUP($D780,[1]Balanza!$A$3:$K$852,6,0)-VLOOKUP(D780,[1]Balanza!$A$3:$K$852,7,0),0)</f>
        <v>0</v>
      </c>
      <c r="F780" s="6">
        <f>IFERROR(VLOOKUP($D780,[1]Balanza!$A$3:$K$852,10,0)-VLOOKUP($D780,[1]Balanza!$A$3:$K$852,11,0),0)</f>
        <v>0</v>
      </c>
    </row>
    <row r="781" spans="1:6" x14ac:dyDescent="0.3">
      <c r="A781" s="1" t="s">
        <v>1449</v>
      </c>
      <c r="B781" s="1" t="s">
        <v>1450</v>
      </c>
      <c r="C781" t="s">
        <v>3090</v>
      </c>
      <c r="D781" s="5" t="s">
        <v>3876</v>
      </c>
      <c r="E781" s="6">
        <f>IFERROR(VLOOKUP($D781,[1]Balanza!$A$3:$K$852,6,0)-VLOOKUP(D781,[1]Balanza!$A$3:$K$852,7,0),0)</f>
        <v>0</v>
      </c>
      <c r="F781" s="6">
        <f>IFERROR(VLOOKUP($D781,[1]Balanza!$A$3:$K$852,10,0)-VLOOKUP($D781,[1]Balanza!$A$3:$K$852,11,0),0)</f>
        <v>0</v>
      </c>
    </row>
    <row r="782" spans="1:6" x14ac:dyDescent="0.3">
      <c r="A782" s="2" t="s">
        <v>1451</v>
      </c>
      <c r="B782" s="2" t="s">
        <v>1450</v>
      </c>
      <c r="C782" t="s">
        <v>3090</v>
      </c>
      <c r="D782" s="5" t="s">
        <v>3877</v>
      </c>
      <c r="E782" s="6">
        <f>IFERROR(VLOOKUP($D782,[1]Balanza!$A$3:$K$852,6,0)-VLOOKUP(D782,[1]Balanza!$A$3:$K$852,7,0),0)</f>
        <v>0</v>
      </c>
      <c r="F782" s="6">
        <f>IFERROR(VLOOKUP($D782,[1]Balanza!$A$3:$K$852,10,0)-VLOOKUP($D782,[1]Balanza!$A$3:$K$852,11,0),0)</f>
        <v>0</v>
      </c>
    </row>
    <row r="783" spans="1:6" x14ac:dyDescent="0.3">
      <c r="A783" s="2" t="s">
        <v>1452</v>
      </c>
      <c r="B783" s="2" t="s">
        <v>1453</v>
      </c>
      <c r="C783" t="s">
        <v>3090</v>
      </c>
      <c r="D783" s="5" t="s">
        <v>3878</v>
      </c>
      <c r="E783" s="6">
        <f>IFERROR(VLOOKUP($D783,[1]Balanza!$A$3:$K$852,6,0)-VLOOKUP(D783,[1]Balanza!$A$3:$K$852,7,0),0)</f>
        <v>0</v>
      </c>
      <c r="F783" s="6">
        <f>IFERROR(VLOOKUP($D783,[1]Balanza!$A$3:$K$852,10,0)-VLOOKUP($D783,[1]Balanza!$A$3:$K$852,11,0),0)</f>
        <v>0</v>
      </c>
    </row>
    <row r="784" spans="1:6" x14ac:dyDescent="0.3">
      <c r="A784" s="2" t="s">
        <v>1454</v>
      </c>
      <c r="B784" s="2" t="s">
        <v>1455</v>
      </c>
      <c r="C784" t="s">
        <v>3090</v>
      </c>
      <c r="D784" s="5" t="s">
        <v>3879</v>
      </c>
      <c r="E784" s="6">
        <f>IFERROR(VLOOKUP($D784,[1]Balanza!$A$3:$K$852,6,0)-VLOOKUP(D784,[1]Balanza!$A$3:$K$852,7,0),0)</f>
        <v>0</v>
      </c>
      <c r="F784" s="6">
        <f>IFERROR(VLOOKUP($D784,[1]Balanza!$A$3:$K$852,10,0)-VLOOKUP($D784,[1]Balanza!$A$3:$K$852,11,0),0)</f>
        <v>0</v>
      </c>
    </row>
    <row r="785" spans="1:6" x14ac:dyDescent="0.3">
      <c r="A785" s="2" t="s">
        <v>1456</v>
      </c>
      <c r="B785" s="2" t="s">
        <v>226</v>
      </c>
      <c r="C785" t="s">
        <v>3090</v>
      </c>
      <c r="D785" s="5" t="s">
        <v>3880</v>
      </c>
      <c r="E785" s="6">
        <f>IFERROR(VLOOKUP($D785,[1]Balanza!$A$3:$K$852,6,0)-VLOOKUP(D785,[1]Balanza!$A$3:$K$852,7,0),0)</f>
        <v>0</v>
      </c>
      <c r="F785" s="6">
        <f>IFERROR(VLOOKUP($D785,[1]Balanza!$A$3:$K$852,10,0)-VLOOKUP($D785,[1]Balanza!$A$3:$K$852,11,0),0)</f>
        <v>0</v>
      </c>
    </row>
    <row r="786" spans="1:6" x14ac:dyDescent="0.3">
      <c r="A786" s="2" t="s">
        <v>1457</v>
      </c>
      <c r="B786" s="2" t="s">
        <v>1458</v>
      </c>
      <c r="C786" t="s">
        <v>3090</v>
      </c>
      <c r="D786" s="5" t="s">
        <v>3881</v>
      </c>
      <c r="E786" s="6">
        <f>IFERROR(VLOOKUP($D786,[1]Balanza!$A$3:$K$852,6,0)-VLOOKUP(D786,[1]Balanza!$A$3:$K$852,7,0),0)</f>
        <v>0</v>
      </c>
      <c r="F786" s="6">
        <f>IFERROR(VLOOKUP($D786,[1]Balanza!$A$3:$K$852,10,0)-VLOOKUP($D786,[1]Balanza!$A$3:$K$852,11,0),0)</f>
        <v>0</v>
      </c>
    </row>
    <row r="787" spans="1:6" x14ac:dyDescent="0.3">
      <c r="A787" s="1" t="s">
        <v>1459</v>
      </c>
      <c r="B787" s="1" t="s">
        <v>1460</v>
      </c>
      <c r="C787" t="s">
        <v>3090</v>
      </c>
      <c r="D787" s="5" t="s">
        <v>3882</v>
      </c>
      <c r="E787" s="6">
        <f>IFERROR(VLOOKUP($D787,[1]Balanza!$A$3:$K$852,6,0)-VLOOKUP(D787,[1]Balanza!$A$3:$K$852,7,0),0)</f>
        <v>0</v>
      </c>
      <c r="F787" s="6">
        <f>IFERROR(VLOOKUP($D787,[1]Balanza!$A$3:$K$852,10,0)-VLOOKUP($D787,[1]Balanza!$A$3:$K$852,11,0),0)</f>
        <v>0</v>
      </c>
    </row>
    <row r="788" spans="1:6" x14ac:dyDescent="0.3">
      <c r="A788" s="2" t="s">
        <v>1461</v>
      </c>
      <c r="B788" s="2" t="s">
        <v>1460</v>
      </c>
      <c r="C788" t="s">
        <v>3090</v>
      </c>
      <c r="D788" s="5" t="s">
        <v>3883</v>
      </c>
      <c r="E788" s="6">
        <f>IFERROR(VLOOKUP($D788,[1]Balanza!$A$3:$K$852,6,0)-VLOOKUP(D788,[1]Balanza!$A$3:$K$852,7,0),0)</f>
        <v>0</v>
      </c>
      <c r="F788" s="6">
        <f>IFERROR(VLOOKUP($D788,[1]Balanza!$A$3:$K$852,10,0)-VLOOKUP($D788,[1]Balanza!$A$3:$K$852,11,0),0)</f>
        <v>0</v>
      </c>
    </row>
    <row r="789" spans="1:6" x14ac:dyDescent="0.3">
      <c r="A789" s="2" t="s">
        <v>1462</v>
      </c>
      <c r="B789" s="2" t="s">
        <v>1463</v>
      </c>
      <c r="C789" t="s">
        <v>3090</v>
      </c>
      <c r="D789" s="5" t="s">
        <v>3884</v>
      </c>
      <c r="E789" s="6">
        <f>IFERROR(VLOOKUP($D789,[1]Balanza!$A$3:$K$852,6,0)-VLOOKUP(D789,[1]Balanza!$A$3:$K$852,7,0),0)</f>
        <v>0</v>
      </c>
      <c r="F789" s="6">
        <f>IFERROR(VLOOKUP($D789,[1]Balanza!$A$3:$K$852,10,0)-VLOOKUP($D789,[1]Balanza!$A$3:$K$852,11,0),0)</f>
        <v>137.36000000000058</v>
      </c>
    </row>
    <row r="790" spans="1:6" x14ac:dyDescent="0.3">
      <c r="A790" s="2" t="s">
        <v>1464</v>
      </c>
      <c r="B790" s="2" t="s">
        <v>1465</v>
      </c>
      <c r="C790" t="s">
        <v>3090</v>
      </c>
      <c r="D790" s="5" t="s">
        <v>3885</v>
      </c>
      <c r="E790" s="6">
        <f>IFERROR(VLOOKUP($D790,[1]Balanza!$A$3:$K$852,6,0)-VLOOKUP(D790,[1]Balanza!$A$3:$K$852,7,0),0)</f>
        <v>-0.71</v>
      </c>
      <c r="F790" s="6">
        <f>IFERROR(VLOOKUP($D790,[1]Balanza!$A$3:$K$852,10,0)-VLOOKUP($D790,[1]Balanza!$A$3:$K$852,11,0),0)</f>
        <v>-0.02</v>
      </c>
    </row>
    <row r="791" spans="1:6" x14ac:dyDescent="0.3">
      <c r="A791" s="2" t="s">
        <v>1466</v>
      </c>
      <c r="B791" s="2" t="s">
        <v>1467</v>
      </c>
      <c r="C791" t="s">
        <v>3090</v>
      </c>
      <c r="D791" s="5" t="s">
        <v>3886</v>
      </c>
      <c r="E791" s="6">
        <f>IFERROR(VLOOKUP($D791,[1]Balanza!$A$3:$K$852,6,0)-VLOOKUP(D791,[1]Balanza!$A$3:$K$852,7,0),0)</f>
        <v>-92575</v>
      </c>
      <c r="F791" s="6">
        <f>IFERROR(VLOOKUP($D791,[1]Balanza!$A$3:$K$852,10,0)-VLOOKUP($D791,[1]Balanza!$A$3:$K$852,11,0),0)</f>
        <v>-11854.02</v>
      </c>
    </row>
    <row r="792" spans="1:6" x14ac:dyDescent="0.3">
      <c r="A792" s="2" t="s">
        <v>1468</v>
      </c>
      <c r="B792" s="2" t="s">
        <v>1469</v>
      </c>
      <c r="C792" t="s">
        <v>3090</v>
      </c>
      <c r="D792" s="5" t="s">
        <v>3887</v>
      </c>
      <c r="E792" s="6">
        <f>IFERROR(VLOOKUP($D792,[1]Balanza!$A$3:$K$852,6,0)-VLOOKUP(D792,[1]Balanza!$A$3:$K$852,7,0),0)</f>
        <v>-92575</v>
      </c>
      <c r="F792" s="6">
        <f>IFERROR(VLOOKUP($D792,[1]Balanza!$A$3:$K$852,10,0)-VLOOKUP($D792,[1]Balanza!$A$3:$K$852,11,0),0)</f>
        <v>-11854.02</v>
      </c>
    </row>
    <row r="793" spans="1:6" x14ac:dyDescent="0.3">
      <c r="A793" s="2" t="s">
        <v>1470</v>
      </c>
      <c r="B793" s="2" t="s">
        <v>485</v>
      </c>
      <c r="C793" t="s">
        <v>3090</v>
      </c>
      <c r="D793" s="5" t="s">
        <v>3888</v>
      </c>
      <c r="E793" s="6">
        <f>IFERROR(VLOOKUP($D793,[1]Balanza!$A$3:$K$852,6,0)-VLOOKUP(D793,[1]Balanza!$A$3:$K$852,7,0),0)</f>
        <v>0</v>
      </c>
      <c r="F793" s="6">
        <f>IFERROR(VLOOKUP($D793,[1]Balanza!$A$3:$K$852,10,0)-VLOOKUP($D793,[1]Balanza!$A$3:$K$852,11,0),0)</f>
        <v>0</v>
      </c>
    </row>
    <row r="794" spans="1:6" x14ac:dyDescent="0.3">
      <c r="A794" s="2" t="s">
        <v>1471</v>
      </c>
      <c r="B794" s="2" t="s">
        <v>487</v>
      </c>
      <c r="C794" t="s">
        <v>3090</v>
      </c>
      <c r="D794" s="5" t="s">
        <v>3889</v>
      </c>
      <c r="E794" s="6">
        <f>IFERROR(VLOOKUP($D794,[1]Balanza!$A$3:$K$852,6,0)-VLOOKUP(D794,[1]Balanza!$A$3:$K$852,7,0),0)</f>
        <v>0</v>
      </c>
      <c r="F794" s="6">
        <f>IFERROR(VLOOKUP($D794,[1]Balanza!$A$3:$K$852,10,0)-VLOOKUP($D794,[1]Balanza!$A$3:$K$852,11,0),0)</f>
        <v>65953.53</v>
      </c>
    </row>
    <row r="795" spans="1:6" x14ac:dyDescent="0.3">
      <c r="A795" s="2" t="s">
        <v>1472</v>
      </c>
      <c r="B795" s="2" t="s">
        <v>489</v>
      </c>
      <c r="C795" t="s">
        <v>3090</v>
      </c>
      <c r="D795" s="5" t="s">
        <v>3890</v>
      </c>
      <c r="E795" s="6">
        <f>IFERROR(VLOOKUP($D795,[1]Balanza!$A$3:$K$852,6,0)-VLOOKUP(D795,[1]Balanza!$A$3:$K$852,7,0),0)</f>
        <v>0</v>
      </c>
      <c r="F795" s="6">
        <f>IFERROR(VLOOKUP($D795,[1]Balanza!$A$3:$K$852,10,0)-VLOOKUP($D795,[1]Balanza!$A$3:$K$852,11,0),0)</f>
        <v>0</v>
      </c>
    </row>
    <row r="796" spans="1:6" x14ac:dyDescent="0.3">
      <c r="A796" s="2" t="s">
        <v>1473</v>
      </c>
      <c r="B796" s="2" t="s">
        <v>491</v>
      </c>
      <c r="C796" t="s">
        <v>3090</v>
      </c>
      <c r="D796" s="5" t="s">
        <v>3891</v>
      </c>
      <c r="E796" s="6">
        <f>IFERROR(VLOOKUP($D796,[1]Balanza!$A$3:$K$852,6,0)-VLOOKUP(D796,[1]Balanza!$A$3:$K$852,7,0),0)</f>
        <v>0</v>
      </c>
      <c r="F796" s="6">
        <f>IFERROR(VLOOKUP($D796,[1]Balanza!$A$3:$K$852,10,0)-VLOOKUP($D796,[1]Balanza!$A$3:$K$852,11,0),0)</f>
        <v>0</v>
      </c>
    </row>
    <row r="797" spans="1:6" x14ac:dyDescent="0.3">
      <c r="A797" s="2" t="s">
        <v>1474</v>
      </c>
      <c r="B797" s="2" t="s">
        <v>493</v>
      </c>
      <c r="C797" t="s">
        <v>3090</v>
      </c>
      <c r="D797" s="5" t="s">
        <v>3892</v>
      </c>
      <c r="E797" s="6">
        <f>IFERROR(VLOOKUP($D797,[1]Balanza!$A$3:$K$852,6,0)-VLOOKUP(D797,[1]Balanza!$A$3:$K$852,7,0),0)</f>
        <v>0</v>
      </c>
      <c r="F797" s="6">
        <f>IFERROR(VLOOKUP($D797,[1]Balanza!$A$3:$K$852,10,0)-VLOOKUP($D797,[1]Balanza!$A$3:$K$852,11,0),0)</f>
        <v>0</v>
      </c>
    </row>
    <row r="798" spans="1:6" x14ac:dyDescent="0.3">
      <c r="A798" s="2" t="s">
        <v>1475</v>
      </c>
      <c r="B798" s="2" t="s">
        <v>495</v>
      </c>
      <c r="C798" t="s">
        <v>3090</v>
      </c>
      <c r="D798" s="5" t="s">
        <v>3893</v>
      </c>
      <c r="E798" s="6">
        <f>IFERROR(VLOOKUP($D798,[1]Balanza!$A$3:$K$852,6,0)-VLOOKUP(D798,[1]Balanza!$A$3:$K$852,7,0),0)</f>
        <v>0</v>
      </c>
      <c r="F798" s="6">
        <f>IFERROR(VLOOKUP($D798,[1]Balanza!$A$3:$K$852,10,0)-VLOOKUP($D798,[1]Balanza!$A$3:$K$852,11,0),0)</f>
        <v>0</v>
      </c>
    </row>
    <row r="799" spans="1:6" x14ac:dyDescent="0.3">
      <c r="A799" s="2" t="s">
        <v>1476</v>
      </c>
      <c r="B799" s="2" t="s">
        <v>1477</v>
      </c>
      <c r="C799" t="s">
        <v>3090</v>
      </c>
      <c r="D799" s="5" t="s">
        <v>3894</v>
      </c>
      <c r="E799" s="6">
        <f>IFERROR(VLOOKUP($D799,[1]Balanza!$A$3:$K$852,6,0)-VLOOKUP(D799,[1]Balanza!$A$3:$K$852,7,0),0)</f>
        <v>0</v>
      </c>
      <c r="F799" s="6">
        <f>IFERROR(VLOOKUP($D799,[1]Balanza!$A$3:$K$852,10,0)-VLOOKUP($D799,[1]Balanza!$A$3:$K$852,11,0),0)</f>
        <v>0</v>
      </c>
    </row>
    <row r="800" spans="1:6" x14ac:dyDescent="0.3">
      <c r="A800" s="1" t="s">
        <v>1478</v>
      </c>
      <c r="B800" s="1" t="s">
        <v>1479</v>
      </c>
      <c r="C800" t="s">
        <v>3090</v>
      </c>
      <c r="D800" s="5" t="s">
        <v>3895</v>
      </c>
      <c r="E800" s="6">
        <f>IFERROR(VLOOKUP($D800,[1]Balanza!$A$3:$K$852,6,0)-VLOOKUP(D800,[1]Balanza!$A$3:$K$852,7,0),0)</f>
        <v>0</v>
      </c>
      <c r="F800" s="6">
        <f>IFERROR(VLOOKUP($D800,[1]Balanza!$A$3:$K$852,10,0)-VLOOKUP($D800,[1]Balanza!$A$3:$K$852,11,0),0)</f>
        <v>0</v>
      </c>
    </row>
    <row r="801" spans="1:6" x14ac:dyDescent="0.3">
      <c r="A801" s="2" t="s">
        <v>1480</v>
      </c>
      <c r="B801" s="2" t="s">
        <v>1481</v>
      </c>
      <c r="C801" t="s">
        <v>3090</v>
      </c>
      <c r="D801" s="5" t="s">
        <v>3896</v>
      </c>
      <c r="E801" s="6">
        <f>IFERROR(VLOOKUP($D801,[1]Balanza!$A$3:$K$852,6,0)-VLOOKUP(D801,[1]Balanza!$A$3:$K$852,7,0),0)</f>
        <v>0</v>
      </c>
      <c r="F801" s="6">
        <f>IFERROR(VLOOKUP($D801,[1]Balanza!$A$3:$K$852,10,0)-VLOOKUP($D801,[1]Balanza!$A$3:$K$852,11,0),0)</f>
        <v>0</v>
      </c>
    </row>
    <row r="802" spans="1:6" x14ac:dyDescent="0.3">
      <c r="A802" s="2" t="s">
        <v>1482</v>
      </c>
      <c r="B802" s="2" t="s">
        <v>1483</v>
      </c>
      <c r="C802" t="s">
        <v>3090</v>
      </c>
      <c r="D802" s="5" t="s">
        <v>3897</v>
      </c>
      <c r="E802" s="6">
        <f>IFERROR(VLOOKUP($D802,[1]Balanza!$A$3:$K$852,6,0)-VLOOKUP(D802,[1]Balanza!$A$3:$K$852,7,0),0)</f>
        <v>0</v>
      </c>
      <c r="F802" s="6">
        <f>IFERROR(VLOOKUP($D802,[1]Balanza!$A$3:$K$852,10,0)-VLOOKUP($D802,[1]Balanza!$A$3:$K$852,11,0),0)</f>
        <v>0</v>
      </c>
    </row>
    <row r="803" spans="1:6" x14ac:dyDescent="0.3">
      <c r="A803" s="2" t="s">
        <v>1484</v>
      </c>
      <c r="B803" s="2" t="s">
        <v>1485</v>
      </c>
      <c r="C803" t="s">
        <v>3090</v>
      </c>
      <c r="D803" s="5" t="s">
        <v>3898</v>
      </c>
      <c r="E803" s="6">
        <f>IFERROR(VLOOKUP($D803,[1]Balanza!$A$3:$K$852,6,0)-VLOOKUP(D803,[1]Balanza!$A$3:$K$852,7,0),0)</f>
        <v>0</v>
      </c>
      <c r="F803" s="6">
        <f>IFERROR(VLOOKUP($D803,[1]Balanza!$A$3:$K$852,10,0)-VLOOKUP($D803,[1]Balanza!$A$3:$K$852,11,0),0)</f>
        <v>0</v>
      </c>
    </row>
    <row r="804" spans="1:6" x14ac:dyDescent="0.3">
      <c r="A804" s="2" t="s">
        <v>1486</v>
      </c>
      <c r="B804" s="2" t="s">
        <v>1487</v>
      </c>
      <c r="C804" t="s">
        <v>3090</v>
      </c>
      <c r="D804" s="5" t="s">
        <v>3899</v>
      </c>
      <c r="E804" s="6">
        <f>IFERROR(VLOOKUP($D804,[1]Balanza!$A$3:$K$852,6,0)-VLOOKUP(D804,[1]Balanza!$A$3:$K$852,7,0),0)</f>
        <v>0</v>
      </c>
      <c r="F804" s="6">
        <f>IFERROR(VLOOKUP($D804,[1]Balanza!$A$3:$K$852,10,0)-VLOOKUP($D804,[1]Balanza!$A$3:$K$852,11,0),0)</f>
        <v>0</v>
      </c>
    </row>
    <row r="805" spans="1:6" x14ac:dyDescent="0.3">
      <c r="A805" s="2" t="s">
        <v>1488</v>
      </c>
      <c r="B805" s="2" t="s">
        <v>1489</v>
      </c>
      <c r="C805" t="s">
        <v>3090</v>
      </c>
      <c r="D805" s="5" t="s">
        <v>3900</v>
      </c>
      <c r="E805" s="6">
        <f>IFERROR(VLOOKUP($D805,[1]Balanza!$A$3:$K$852,6,0)-VLOOKUP(D805,[1]Balanza!$A$3:$K$852,7,0),0)</f>
        <v>0</v>
      </c>
      <c r="F805" s="6">
        <f>IFERROR(VLOOKUP($D805,[1]Balanza!$A$3:$K$852,10,0)-VLOOKUP($D805,[1]Balanza!$A$3:$K$852,11,0),0)</f>
        <v>0</v>
      </c>
    </row>
    <row r="806" spans="1:6" x14ac:dyDescent="0.3">
      <c r="A806" s="2" t="s">
        <v>1490</v>
      </c>
      <c r="B806" s="2" t="s">
        <v>1491</v>
      </c>
      <c r="C806" t="s">
        <v>3090</v>
      </c>
      <c r="D806" s="5" t="s">
        <v>3901</v>
      </c>
      <c r="E806" s="6">
        <f>IFERROR(VLOOKUP($D806,[1]Balanza!$A$3:$K$852,6,0)-VLOOKUP(D806,[1]Balanza!$A$3:$K$852,7,0),0)</f>
        <v>0</v>
      </c>
      <c r="F806" s="6">
        <f>IFERROR(VLOOKUP($D806,[1]Balanza!$A$3:$K$852,10,0)-VLOOKUP($D806,[1]Balanza!$A$3:$K$852,11,0),0)</f>
        <v>0</v>
      </c>
    </row>
    <row r="807" spans="1:6" x14ac:dyDescent="0.3">
      <c r="A807" s="1" t="s">
        <v>1492</v>
      </c>
      <c r="B807" s="1" t="s">
        <v>1493</v>
      </c>
      <c r="C807" t="s">
        <v>3090</v>
      </c>
      <c r="D807" s="5" t="s">
        <v>3902</v>
      </c>
      <c r="E807" s="6">
        <f>IFERROR(VLOOKUP($D807,[1]Balanza!$A$3:$K$852,6,0)-VLOOKUP(D807,[1]Balanza!$A$3:$K$852,7,0),0)</f>
        <v>0</v>
      </c>
      <c r="F807" s="6">
        <f>IFERROR(VLOOKUP($D807,[1]Balanza!$A$3:$K$852,10,0)-VLOOKUP($D807,[1]Balanza!$A$3:$K$852,11,0),0)</f>
        <v>0</v>
      </c>
    </row>
    <row r="808" spans="1:6" x14ac:dyDescent="0.3">
      <c r="A808" s="2" t="s">
        <v>1494</v>
      </c>
      <c r="B808" s="2" t="s">
        <v>1495</v>
      </c>
      <c r="C808" t="s">
        <v>3090</v>
      </c>
      <c r="D808" s="5" t="s">
        <v>3903</v>
      </c>
      <c r="E808" s="6">
        <f>IFERROR(VLOOKUP($D808,[1]Balanza!$A$3:$K$852,6,0)-VLOOKUP(D808,[1]Balanza!$A$3:$K$852,7,0),0)</f>
        <v>0</v>
      </c>
      <c r="F808" s="6">
        <f>IFERROR(VLOOKUP($D808,[1]Balanza!$A$3:$K$852,10,0)-VLOOKUP($D808,[1]Balanza!$A$3:$K$852,11,0),0)</f>
        <v>0</v>
      </c>
    </row>
    <row r="809" spans="1:6" x14ac:dyDescent="0.3">
      <c r="A809" s="2" t="s">
        <v>1496</v>
      </c>
      <c r="B809" s="2" t="s">
        <v>1497</v>
      </c>
      <c r="C809" t="s">
        <v>3090</v>
      </c>
      <c r="D809" s="5" t="s">
        <v>3904</v>
      </c>
      <c r="E809" s="6">
        <f>IFERROR(VLOOKUP($D809,[1]Balanza!$A$3:$K$852,6,0)-VLOOKUP(D809,[1]Balanza!$A$3:$K$852,7,0),0)</f>
        <v>0</v>
      </c>
      <c r="F809" s="6">
        <f>IFERROR(VLOOKUP($D809,[1]Balanza!$A$3:$K$852,10,0)-VLOOKUP($D809,[1]Balanza!$A$3:$K$852,11,0),0)</f>
        <v>0</v>
      </c>
    </row>
    <row r="810" spans="1:6" x14ac:dyDescent="0.3">
      <c r="A810" s="2" t="s">
        <v>1498</v>
      </c>
      <c r="B810" s="2" t="s">
        <v>1499</v>
      </c>
      <c r="C810" t="s">
        <v>3090</v>
      </c>
      <c r="D810" s="5" t="s">
        <v>3905</v>
      </c>
      <c r="E810" s="6">
        <f>IFERROR(VLOOKUP($D810,[1]Balanza!$A$3:$K$852,6,0)-VLOOKUP(D810,[1]Balanza!$A$3:$K$852,7,0),0)</f>
        <v>0</v>
      </c>
      <c r="F810" s="6">
        <f>IFERROR(VLOOKUP($D810,[1]Balanza!$A$3:$K$852,10,0)-VLOOKUP($D810,[1]Balanza!$A$3:$K$852,11,0),0)</f>
        <v>0</v>
      </c>
    </row>
    <row r="811" spans="1:6" x14ac:dyDescent="0.3">
      <c r="A811" s="2" t="s">
        <v>1500</v>
      </c>
      <c r="B811" s="2" t="s">
        <v>1501</v>
      </c>
      <c r="C811" t="s">
        <v>3090</v>
      </c>
      <c r="D811" s="5" t="s">
        <v>3906</v>
      </c>
      <c r="E811" s="6">
        <f>IFERROR(VLOOKUP($D811,[1]Balanza!$A$3:$K$852,6,0)-VLOOKUP(D811,[1]Balanza!$A$3:$K$852,7,0),0)</f>
        <v>0</v>
      </c>
      <c r="F811" s="6">
        <f>IFERROR(VLOOKUP($D811,[1]Balanza!$A$3:$K$852,10,0)-VLOOKUP($D811,[1]Balanza!$A$3:$K$852,11,0),0)</f>
        <v>0</v>
      </c>
    </row>
    <row r="812" spans="1:6" x14ac:dyDescent="0.3">
      <c r="A812" s="2" t="s">
        <v>1502</v>
      </c>
      <c r="B812" s="2" t="s">
        <v>1503</v>
      </c>
      <c r="C812" t="s">
        <v>3090</v>
      </c>
      <c r="D812" s="5" t="s">
        <v>3907</v>
      </c>
      <c r="E812" s="6">
        <f>IFERROR(VLOOKUP($D812,[1]Balanza!$A$3:$K$852,6,0)-VLOOKUP(D812,[1]Balanza!$A$3:$K$852,7,0),0)</f>
        <v>0</v>
      </c>
      <c r="F812" s="6">
        <f>IFERROR(VLOOKUP($D812,[1]Balanza!$A$3:$K$852,10,0)-VLOOKUP($D812,[1]Balanza!$A$3:$K$852,11,0),0)</f>
        <v>13518.44</v>
      </c>
    </row>
    <row r="813" spans="1:6" x14ac:dyDescent="0.3">
      <c r="A813" s="2" t="s">
        <v>1504</v>
      </c>
      <c r="B813" s="2" t="s">
        <v>1505</v>
      </c>
      <c r="C813" t="s">
        <v>3090</v>
      </c>
      <c r="D813" s="5" t="s">
        <v>3908</v>
      </c>
      <c r="E813" s="6">
        <f>IFERROR(VLOOKUP($D813,[1]Balanza!$A$3:$K$852,6,0)-VLOOKUP(D813,[1]Balanza!$A$3:$K$852,7,0),0)</f>
        <v>0</v>
      </c>
      <c r="F813" s="6">
        <f>IFERROR(VLOOKUP($D813,[1]Balanza!$A$3:$K$852,10,0)-VLOOKUP($D813,[1]Balanza!$A$3:$K$852,11,0),0)</f>
        <v>0</v>
      </c>
    </row>
    <row r="814" spans="1:6" x14ac:dyDescent="0.3">
      <c r="A814" s="2" t="s">
        <v>1506</v>
      </c>
      <c r="B814" s="2" t="s">
        <v>1507</v>
      </c>
      <c r="C814" t="s">
        <v>3090</v>
      </c>
      <c r="D814" s="5" t="s">
        <v>3909</v>
      </c>
      <c r="E814" s="6">
        <f>IFERROR(VLOOKUP($D814,[1]Balanza!$A$3:$K$852,6,0)-VLOOKUP(D814,[1]Balanza!$A$3:$K$852,7,0),0)</f>
        <v>0</v>
      </c>
      <c r="F814" s="6">
        <f>IFERROR(VLOOKUP($D814,[1]Balanza!$A$3:$K$852,10,0)-VLOOKUP($D814,[1]Balanza!$A$3:$K$852,11,0),0)</f>
        <v>0</v>
      </c>
    </row>
    <row r="815" spans="1:6" x14ac:dyDescent="0.3">
      <c r="A815" s="2" t="s">
        <v>1508</v>
      </c>
      <c r="B815" s="2" t="s">
        <v>1509</v>
      </c>
      <c r="C815" t="s">
        <v>3090</v>
      </c>
      <c r="D815" s="5" t="s">
        <v>3910</v>
      </c>
      <c r="E815" s="6">
        <f>IFERROR(VLOOKUP($D815,[1]Balanza!$A$3:$K$852,6,0)-VLOOKUP(D815,[1]Balanza!$A$3:$K$852,7,0),0)</f>
        <v>0</v>
      </c>
      <c r="F815" s="6">
        <f>IFERROR(VLOOKUP($D815,[1]Balanza!$A$3:$K$852,10,0)-VLOOKUP($D815,[1]Balanza!$A$3:$K$852,11,0),0)</f>
        <v>-337707.66</v>
      </c>
    </row>
    <row r="816" spans="1:6" x14ac:dyDescent="0.3">
      <c r="A816" s="2" t="s">
        <v>1510</v>
      </c>
      <c r="B816" s="2" t="s">
        <v>1511</v>
      </c>
      <c r="C816" t="s">
        <v>3090</v>
      </c>
      <c r="D816" s="5" t="s">
        <v>3911</v>
      </c>
      <c r="E816" s="6">
        <f>IFERROR(VLOOKUP($D816,[1]Balanza!$A$3:$K$852,6,0)-VLOOKUP(D816,[1]Balanza!$A$3:$K$852,7,0),0)</f>
        <v>0</v>
      </c>
      <c r="F816" s="6">
        <f>IFERROR(VLOOKUP($D816,[1]Balanza!$A$3:$K$852,10,0)-VLOOKUP($D816,[1]Balanza!$A$3:$K$852,11,0),0)</f>
        <v>0</v>
      </c>
    </row>
    <row r="817" spans="1:6" x14ac:dyDescent="0.3">
      <c r="A817" s="2" t="s">
        <v>1512</v>
      </c>
      <c r="B817" s="2" t="s">
        <v>1513</v>
      </c>
      <c r="C817" t="s">
        <v>3090</v>
      </c>
      <c r="D817" s="5" t="s">
        <v>3912</v>
      </c>
      <c r="E817" s="6">
        <f>IFERROR(VLOOKUP($D817,[1]Balanza!$A$3:$K$852,6,0)-VLOOKUP(D817,[1]Balanza!$A$3:$K$852,7,0),0)</f>
        <v>0</v>
      </c>
      <c r="F817" s="6">
        <f>IFERROR(VLOOKUP($D817,[1]Balanza!$A$3:$K$852,10,0)-VLOOKUP($D817,[1]Balanza!$A$3:$K$852,11,0),0)</f>
        <v>50000</v>
      </c>
    </row>
    <row r="818" spans="1:6" x14ac:dyDescent="0.3">
      <c r="A818" s="2" t="s">
        <v>1514</v>
      </c>
      <c r="B818" s="2" t="s">
        <v>1515</v>
      </c>
      <c r="C818" t="s">
        <v>3090</v>
      </c>
      <c r="D818" s="5" t="s">
        <v>3913</v>
      </c>
      <c r="E818" s="6">
        <f>IFERROR(VLOOKUP($D818,[1]Balanza!$A$3:$K$852,6,0)-VLOOKUP(D818,[1]Balanza!$A$3:$K$852,7,0),0)</f>
        <v>0</v>
      </c>
      <c r="F818" s="6">
        <f>IFERROR(VLOOKUP($D818,[1]Balanza!$A$3:$K$852,10,0)-VLOOKUP($D818,[1]Balanza!$A$3:$K$852,11,0),0)</f>
        <v>95833.33</v>
      </c>
    </row>
    <row r="819" spans="1:6" x14ac:dyDescent="0.3">
      <c r="A819" s="2" t="s">
        <v>1516</v>
      </c>
      <c r="B819" s="2" t="s">
        <v>1517</v>
      </c>
      <c r="C819" t="s">
        <v>3090</v>
      </c>
      <c r="D819" s="5" t="s">
        <v>3914</v>
      </c>
      <c r="E819" s="6">
        <f>IFERROR(VLOOKUP($D819,[1]Balanza!$A$3:$K$852,6,0)-VLOOKUP(D819,[1]Balanza!$A$3:$K$852,7,0),0)</f>
        <v>-523480.15999999992</v>
      </c>
      <c r="F819" s="6">
        <f>IFERROR(VLOOKUP($D819,[1]Balanza!$A$3:$K$852,10,0)-VLOOKUP($D819,[1]Balanza!$A$3:$K$852,11,0),0)</f>
        <v>0</v>
      </c>
    </row>
    <row r="820" spans="1:6" x14ac:dyDescent="0.3">
      <c r="A820" s="2" t="s">
        <v>1518</v>
      </c>
      <c r="B820" s="2" t="s">
        <v>1519</v>
      </c>
      <c r="C820" t="s">
        <v>3090</v>
      </c>
      <c r="D820" s="5" t="s">
        <v>3915</v>
      </c>
      <c r="E820" s="6">
        <f>IFERROR(VLOOKUP($D820,[1]Balanza!$A$3:$K$852,6,0)-VLOOKUP(D820,[1]Balanza!$A$3:$K$852,7,0),0)</f>
        <v>0</v>
      </c>
      <c r="F820" s="6">
        <f>IFERROR(VLOOKUP($D820,[1]Balanza!$A$3:$K$852,10,0)-VLOOKUP($D820,[1]Balanza!$A$3:$K$852,11,0),0)</f>
        <v>0</v>
      </c>
    </row>
    <row r="821" spans="1:6" x14ac:dyDescent="0.3">
      <c r="A821" s="2" t="s">
        <v>1520</v>
      </c>
      <c r="B821" s="2" t="s">
        <v>1521</v>
      </c>
      <c r="C821" t="s">
        <v>3090</v>
      </c>
      <c r="D821" s="5" t="s">
        <v>3916</v>
      </c>
      <c r="E821" s="6">
        <f>IFERROR(VLOOKUP($D821,[1]Balanza!$A$3:$K$852,6,0)-VLOOKUP(D821,[1]Balanza!$A$3:$K$852,7,0),0)</f>
        <v>0</v>
      </c>
      <c r="F821" s="6">
        <f>IFERROR(VLOOKUP($D821,[1]Balanza!$A$3:$K$852,10,0)-VLOOKUP($D821,[1]Balanza!$A$3:$K$852,11,0),0)</f>
        <v>0</v>
      </c>
    </row>
    <row r="822" spans="1:6" x14ac:dyDescent="0.3">
      <c r="A822" s="2" t="s">
        <v>1522</v>
      </c>
      <c r="B822" s="2" t="s">
        <v>1523</v>
      </c>
      <c r="C822" t="s">
        <v>3090</v>
      </c>
      <c r="D822" s="5" t="s">
        <v>3917</v>
      </c>
      <c r="E822" s="6">
        <f>IFERROR(VLOOKUP($D822,[1]Balanza!$A$3:$K$852,6,0)-VLOOKUP(D822,[1]Balanza!$A$3:$K$852,7,0),0)</f>
        <v>0</v>
      </c>
      <c r="F822" s="6">
        <f>IFERROR(VLOOKUP($D822,[1]Balanza!$A$3:$K$852,10,0)-VLOOKUP($D822,[1]Balanza!$A$3:$K$852,11,0),0)</f>
        <v>0</v>
      </c>
    </row>
    <row r="823" spans="1:6" x14ac:dyDescent="0.3">
      <c r="A823" s="2" t="s">
        <v>1524</v>
      </c>
      <c r="B823" s="2" t="s">
        <v>1525</v>
      </c>
      <c r="C823" t="s">
        <v>3090</v>
      </c>
      <c r="D823" s="5" t="s">
        <v>3918</v>
      </c>
      <c r="E823" s="6">
        <f>IFERROR(VLOOKUP($D823,[1]Balanza!$A$3:$K$852,6,0)-VLOOKUP(D823,[1]Balanza!$A$3:$K$852,7,0),0)</f>
        <v>0</v>
      </c>
      <c r="F823" s="6">
        <f>IFERROR(VLOOKUP($D823,[1]Balanza!$A$3:$K$852,10,0)-VLOOKUP($D823,[1]Balanza!$A$3:$K$852,11,0),0)</f>
        <v>0</v>
      </c>
    </row>
    <row r="824" spans="1:6" x14ac:dyDescent="0.3">
      <c r="A824" s="2" t="s">
        <v>1526</v>
      </c>
      <c r="B824" s="2" t="s">
        <v>1527</v>
      </c>
      <c r="C824" t="s">
        <v>3090</v>
      </c>
      <c r="D824" s="5" t="s">
        <v>3919</v>
      </c>
      <c r="E824" s="6">
        <f>IFERROR(VLOOKUP($D824,[1]Balanza!$A$3:$K$852,6,0)-VLOOKUP(D824,[1]Balanza!$A$3:$K$852,7,0),0)</f>
        <v>0</v>
      </c>
      <c r="F824" s="6">
        <f>IFERROR(VLOOKUP($D824,[1]Balanza!$A$3:$K$852,10,0)-VLOOKUP($D824,[1]Balanza!$A$3:$K$852,11,0),0)</f>
        <v>0</v>
      </c>
    </row>
    <row r="825" spans="1:6" x14ac:dyDescent="0.3">
      <c r="A825" s="2" t="s">
        <v>1528</v>
      </c>
      <c r="B825" s="2" t="s">
        <v>1529</v>
      </c>
      <c r="C825" t="s">
        <v>3090</v>
      </c>
      <c r="D825" s="5" t="s">
        <v>3920</v>
      </c>
      <c r="E825" s="6">
        <f>IFERROR(VLOOKUP($D825,[1]Balanza!$A$3:$K$852,6,0)-VLOOKUP(D825,[1]Balanza!$A$3:$K$852,7,0),0)</f>
        <v>0</v>
      </c>
      <c r="F825" s="6">
        <f>IFERROR(VLOOKUP($D825,[1]Balanza!$A$3:$K$852,10,0)-VLOOKUP($D825,[1]Balanza!$A$3:$K$852,11,0),0)</f>
        <v>0</v>
      </c>
    </row>
    <row r="826" spans="1:6" x14ac:dyDescent="0.3">
      <c r="A826" s="2" t="s">
        <v>1530</v>
      </c>
      <c r="B826" s="2" t="s">
        <v>1531</v>
      </c>
      <c r="C826" t="s">
        <v>3090</v>
      </c>
      <c r="D826" s="5" t="s">
        <v>3921</v>
      </c>
      <c r="E826" s="6">
        <f>IFERROR(VLOOKUP($D826,[1]Balanza!$A$3:$K$852,6,0)-VLOOKUP(D826,[1]Balanza!$A$3:$K$852,7,0),0)</f>
        <v>0</v>
      </c>
      <c r="F826" s="6">
        <f>IFERROR(VLOOKUP($D826,[1]Balanza!$A$3:$K$852,10,0)-VLOOKUP($D826,[1]Balanza!$A$3:$K$852,11,0),0)</f>
        <v>0</v>
      </c>
    </row>
    <row r="827" spans="1:6" x14ac:dyDescent="0.3">
      <c r="A827" s="2" t="s">
        <v>1532</v>
      </c>
      <c r="B827" s="2" t="s">
        <v>1533</v>
      </c>
      <c r="C827" t="s">
        <v>3090</v>
      </c>
      <c r="D827" s="5" t="s">
        <v>3922</v>
      </c>
      <c r="E827" s="6">
        <f>IFERROR(VLOOKUP($D827,[1]Balanza!$A$3:$K$852,6,0)-VLOOKUP(D827,[1]Balanza!$A$3:$K$852,7,0),0)</f>
        <v>0</v>
      </c>
      <c r="F827" s="6">
        <f>IFERROR(VLOOKUP($D827,[1]Balanza!$A$3:$K$852,10,0)-VLOOKUP($D827,[1]Balanza!$A$3:$K$852,11,0),0)</f>
        <v>0</v>
      </c>
    </row>
    <row r="828" spans="1:6" x14ac:dyDescent="0.3">
      <c r="A828" s="2" t="s">
        <v>1534</v>
      </c>
      <c r="B828" s="2" t="s">
        <v>1535</v>
      </c>
      <c r="C828" t="s">
        <v>3090</v>
      </c>
      <c r="D828" s="5" t="s">
        <v>3923</v>
      </c>
      <c r="E828" s="6">
        <f>IFERROR(VLOOKUP($D828,[1]Balanza!$A$3:$K$852,6,0)-VLOOKUP(D828,[1]Balanza!$A$3:$K$852,7,0),0)</f>
        <v>0</v>
      </c>
      <c r="F828" s="6">
        <f>IFERROR(VLOOKUP($D828,[1]Balanza!$A$3:$K$852,10,0)-VLOOKUP($D828,[1]Balanza!$A$3:$K$852,11,0),0)</f>
        <v>0</v>
      </c>
    </row>
    <row r="829" spans="1:6" x14ac:dyDescent="0.3">
      <c r="A829" s="2" t="s">
        <v>1536</v>
      </c>
      <c r="B829" s="2" t="s">
        <v>1537</v>
      </c>
      <c r="C829" t="s">
        <v>3090</v>
      </c>
      <c r="D829" s="5" t="s">
        <v>3924</v>
      </c>
      <c r="E829" s="6">
        <f>IFERROR(VLOOKUP($D829,[1]Balanza!$A$3:$K$852,6,0)-VLOOKUP(D829,[1]Balanza!$A$3:$K$852,7,0),0)</f>
        <v>0</v>
      </c>
      <c r="F829" s="6">
        <f>IFERROR(VLOOKUP($D829,[1]Balanza!$A$3:$K$852,10,0)-VLOOKUP($D829,[1]Balanza!$A$3:$K$852,11,0),0)</f>
        <v>0</v>
      </c>
    </row>
    <row r="830" spans="1:6" x14ac:dyDescent="0.3">
      <c r="A830" s="2" t="s">
        <v>1538</v>
      </c>
      <c r="B830" s="2" t="s">
        <v>1539</v>
      </c>
      <c r="C830" t="s">
        <v>3090</v>
      </c>
      <c r="D830" s="5" t="s">
        <v>3925</v>
      </c>
      <c r="E830" s="6">
        <f>IFERROR(VLOOKUP($D830,[1]Balanza!$A$3:$K$852,6,0)-VLOOKUP(D830,[1]Balanza!$A$3:$K$852,7,0),0)</f>
        <v>0</v>
      </c>
      <c r="F830" s="6">
        <f>IFERROR(VLOOKUP($D830,[1]Balanza!$A$3:$K$852,10,0)-VLOOKUP($D830,[1]Balanza!$A$3:$K$852,11,0),0)</f>
        <v>0</v>
      </c>
    </row>
    <row r="831" spans="1:6" x14ac:dyDescent="0.3">
      <c r="A831" s="2" t="s">
        <v>1540</v>
      </c>
      <c r="B831" s="2" t="s">
        <v>1541</v>
      </c>
      <c r="C831" t="s">
        <v>3090</v>
      </c>
      <c r="D831" s="5" t="s">
        <v>3926</v>
      </c>
      <c r="E831" s="6">
        <f>IFERROR(VLOOKUP($D831,[1]Balanza!$A$3:$K$852,6,0)-VLOOKUP(D831,[1]Balanza!$A$3:$K$852,7,0),0)</f>
        <v>0</v>
      </c>
      <c r="F831" s="6">
        <f>IFERROR(VLOOKUP($D831,[1]Balanza!$A$3:$K$852,10,0)-VLOOKUP($D831,[1]Balanza!$A$3:$K$852,11,0),0)</f>
        <v>0</v>
      </c>
    </row>
    <row r="832" spans="1:6" x14ac:dyDescent="0.3">
      <c r="A832" s="2" t="s">
        <v>1542</v>
      </c>
      <c r="B832" s="2" t="s">
        <v>1543</v>
      </c>
      <c r="C832" t="s">
        <v>3090</v>
      </c>
      <c r="D832" s="5" t="s">
        <v>3927</v>
      </c>
      <c r="E832" s="6">
        <f>IFERROR(VLOOKUP($D832,[1]Balanza!$A$3:$K$852,6,0)-VLOOKUP(D832,[1]Balanza!$A$3:$K$852,7,0),0)</f>
        <v>0</v>
      </c>
      <c r="F832" s="6">
        <f>IFERROR(VLOOKUP($D832,[1]Balanza!$A$3:$K$852,10,0)-VLOOKUP($D832,[1]Balanza!$A$3:$K$852,11,0),0)</f>
        <v>0</v>
      </c>
    </row>
    <row r="833" spans="1:6" x14ac:dyDescent="0.3">
      <c r="A833" s="2" t="s">
        <v>1544</v>
      </c>
      <c r="B833" s="2" t="s">
        <v>1545</v>
      </c>
      <c r="C833" t="s">
        <v>3090</v>
      </c>
      <c r="D833" s="5" t="s">
        <v>3928</v>
      </c>
      <c r="E833" s="6">
        <f>IFERROR(VLOOKUP($D833,[1]Balanza!$A$3:$K$852,6,0)-VLOOKUP(D833,[1]Balanza!$A$3:$K$852,7,0),0)</f>
        <v>0</v>
      </c>
      <c r="F833" s="6">
        <f>IFERROR(VLOOKUP($D833,[1]Balanza!$A$3:$K$852,10,0)-VLOOKUP($D833,[1]Balanza!$A$3:$K$852,11,0),0)</f>
        <v>0</v>
      </c>
    </row>
    <row r="834" spans="1:6" x14ac:dyDescent="0.3">
      <c r="A834" s="2" t="s">
        <v>1546</v>
      </c>
      <c r="B834" s="2" t="s">
        <v>1547</v>
      </c>
      <c r="C834" t="s">
        <v>3090</v>
      </c>
      <c r="D834" s="5" t="s">
        <v>3929</v>
      </c>
      <c r="E834" s="6">
        <f>IFERROR(VLOOKUP($D834,[1]Balanza!$A$3:$K$852,6,0)-VLOOKUP(D834,[1]Balanza!$A$3:$K$852,7,0),0)</f>
        <v>0</v>
      </c>
      <c r="F834" s="6">
        <f>IFERROR(VLOOKUP($D834,[1]Balanza!$A$3:$K$852,10,0)-VLOOKUP($D834,[1]Balanza!$A$3:$K$852,11,0),0)</f>
        <v>0</v>
      </c>
    </row>
    <row r="835" spans="1:6" x14ac:dyDescent="0.3">
      <c r="A835" s="2" t="s">
        <v>1548</v>
      </c>
      <c r="B835" s="2" t="s">
        <v>1549</v>
      </c>
      <c r="C835" t="s">
        <v>3090</v>
      </c>
      <c r="D835" s="5" t="s">
        <v>3930</v>
      </c>
      <c r="E835" s="6">
        <f>IFERROR(VLOOKUP($D835,[1]Balanza!$A$3:$K$852,6,0)-VLOOKUP(D835,[1]Balanza!$A$3:$K$852,7,0),0)</f>
        <v>0</v>
      </c>
      <c r="F835" s="6">
        <f>IFERROR(VLOOKUP($D835,[1]Balanza!$A$3:$K$852,10,0)-VLOOKUP($D835,[1]Balanza!$A$3:$K$852,11,0),0)</f>
        <v>0</v>
      </c>
    </row>
    <row r="836" spans="1:6" x14ac:dyDescent="0.3">
      <c r="A836" s="2" t="s">
        <v>1550</v>
      </c>
      <c r="B836" s="2" t="s">
        <v>1551</v>
      </c>
      <c r="C836" t="s">
        <v>3090</v>
      </c>
      <c r="D836" s="5" t="s">
        <v>3931</v>
      </c>
      <c r="E836" s="6">
        <f>IFERROR(VLOOKUP($D836,[1]Balanza!$A$3:$K$852,6,0)-VLOOKUP(D836,[1]Balanza!$A$3:$K$852,7,0),0)</f>
        <v>0</v>
      </c>
      <c r="F836" s="6">
        <f>IFERROR(VLOOKUP($D836,[1]Balanza!$A$3:$K$852,10,0)-VLOOKUP($D836,[1]Balanza!$A$3:$K$852,11,0),0)</f>
        <v>0</v>
      </c>
    </row>
    <row r="837" spans="1:6" x14ac:dyDescent="0.3">
      <c r="A837" s="2" t="s">
        <v>1552</v>
      </c>
      <c r="B837" s="2" t="s">
        <v>485</v>
      </c>
      <c r="C837" t="s">
        <v>3090</v>
      </c>
      <c r="D837" s="5" t="s">
        <v>3932</v>
      </c>
      <c r="E837" s="6">
        <f>IFERROR(VLOOKUP($D837,[1]Balanza!$A$3:$K$852,6,0)-VLOOKUP(D837,[1]Balanza!$A$3:$K$852,7,0),0)</f>
        <v>0</v>
      </c>
      <c r="F837" s="6">
        <f>IFERROR(VLOOKUP($D837,[1]Balanza!$A$3:$K$852,10,0)-VLOOKUP($D837,[1]Balanza!$A$3:$K$852,11,0),0)</f>
        <v>0</v>
      </c>
    </row>
    <row r="838" spans="1:6" x14ac:dyDescent="0.3">
      <c r="A838" s="2" t="s">
        <v>1553</v>
      </c>
      <c r="B838" s="2" t="s">
        <v>530</v>
      </c>
      <c r="C838" t="s">
        <v>3090</v>
      </c>
      <c r="D838" s="5" t="s">
        <v>3933</v>
      </c>
      <c r="E838" s="6">
        <f>IFERROR(VLOOKUP($D838,[1]Balanza!$A$3:$K$852,6,0)-VLOOKUP(D838,[1]Balanza!$A$3:$K$852,7,0),0)</f>
        <v>0</v>
      </c>
      <c r="F838" s="6">
        <f>IFERROR(VLOOKUP($D838,[1]Balanza!$A$3:$K$852,10,0)-VLOOKUP($D838,[1]Balanza!$A$3:$K$852,11,0),0)</f>
        <v>18305.18</v>
      </c>
    </row>
    <row r="839" spans="1:6" x14ac:dyDescent="0.3">
      <c r="A839" s="2" t="s">
        <v>1554</v>
      </c>
      <c r="B839" s="2" t="s">
        <v>532</v>
      </c>
      <c r="C839" t="s">
        <v>3090</v>
      </c>
      <c r="D839" s="5" t="s">
        <v>3934</v>
      </c>
      <c r="E839" s="6">
        <f>IFERROR(VLOOKUP($D839,[1]Balanza!$A$3:$K$852,6,0)-VLOOKUP(D839,[1]Balanza!$A$3:$K$852,7,0),0)</f>
        <v>0</v>
      </c>
      <c r="F839" s="6">
        <f>IFERROR(VLOOKUP($D839,[1]Balanza!$A$3:$K$852,10,0)-VLOOKUP($D839,[1]Balanza!$A$3:$K$852,11,0),0)</f>
        <v>16137.77</v>
      </c>
    </row>
    <row r="840" spans="1:6" x14ac:dyDescent="0.3">
      <c r="A840" s="2" t="s">
        <v>1555</v>
      </c>
      <c r="B840" s="2" t="s">
        <v>534</v>
      </c>
      <c r="C840" t="s">
        <v>3090</v>
      </c>
      <c r="D840" s="5" t="s">
        <v>3935</v>
      </c>
      <c r="E840" s="6">
        <f>IFERROR(VLOOKUP($D840,[1]Balanza!$A$3:$K$852,6,0)-VLOOKUP(D840,[1]Balanza!$A$3:$K$852,7,0),0)</f>
        <v>0</v>
      </c>
      <c r="F840" s="6">
        <f>IFERROR(VLOOKUP($D840,[1]Balanza!$A$3:$K$852,10,0)-VLOOKUP($D840,[1]Balanza!$A$3:$K$852,11,0),0)</f>
        <v>14383.36</v>
      </c>
    </row>
    <row r="841" spans="1:6" x14ac:dyDescent="0.3">
      <c r="A841" s="2" t="s">
        <v>1556</v>
      </c>
      <c r="B841" s="2" t="s">
        <v>536</v>
      </c>
      <c r="C841" t="s">
        <v>3090</v>
      </c>
      <c r="D841" s="5" t="s">
        <v>3936</v>
      </c>
      <c r="E841" s="6">
        <f>IFERROR(VLOOKUP($D841,[1]Balanza!$A$3:$K$852,6,0)-VLOOKUP(D841,[1]Balanza!$A$3:$K$852,7,0),0)</f>
        <v>0</v>
      </c>
      <c r="F841" s="6">
        <f>IFERROR(VLOOKUP($D841,[1]Balanza!$A$3:$K$852,10,0)-VLOOKUP($D841,[1]Balanza!$A$3:$K$852,11,0),0)</f>
        <v>0</v>
      </c>
    </row>
    <row r="842" spans="1:6" x14ac:dyDescent="0.3">
      <c r="A842" s="2" t="s">
        <v>1557</v>
      </c>
      <c r="B842" s="2" t="s">
        <v>538</v>
      </c>
      <c r="C842" t="s">
        <v>3090</v>
      </c>
      <c r="D842" s="5" t="s">
        <v>3937</v>
      </c>
      <c r="E842" s="6">
        <f>IFERROR(VLOOKUP($D842,[1]Balanza!$A$3:$K$852,6,0)-VLOOKUP(D842,[1]Balanza!$A$3:$K$852,7,0),0)</f>
        <v>0</v>
      </c>
      <c r="F842" s="6">
        <f>IFERROR(VLOOKUP($D842,[1]Balanza!$A$3:$K$852,10,0)-VLOOKUP($D842,[1]Balanza!$A$3:$K$852,11,0),0)</f>
        <v>49065.32</v>
      </c>
    </row>
    <row r="843" spans="1:6" x14ac:dyDescent="0.3">
      <c r="A843" s="2" t="s">
        <v>1558</v>
      </c>
      <c r="B843" s="2" t="s">
        <v>540</v>
      </c>
      <c r="C843" t="s">
        <v>3090</v>
      </c>
      <c r="D843" s="5" t="s">
        <v>3938</v>
      </c>
      <c r="E843" s="6">
        <f>IFERROR(VLOOKUP($D843,[1]Balanza!$A$3:$K$852,6,0)-VLOOKUP(D843,[1]Balanza!$A$3:$K$852,7,0),0)</f>
        <v>0</v>
      </c>
      <c r="F843" s="6">
        <f>IFERROR(VLOOKUP($D843,[1]Balanza!$A$3:$K$852,10,0)-VLOOKUP($D843,[1]Balanza!$A$3:$K$852,11,0),0)</f>
        <v>0</v>
      </c>
    </row>
    <row r="844" spans="1:6" x14ac:dyDescent="0.3">
      <c r="A844" s="2" t="s">
        <v>1559</v>
      </c>
      <c r="B844" s="2" t="s">
        <v>542</v>
      </c>
      <c r="C844" t="s">
        <v>3090</v>
      </c>
      <c r="D844" s="5" t="s">
        <v>3939</v>
      </c>
      <c r="E844" s="6">
        <f>IFERROR(VLOOKUP($D844,[1]Balanza!$A$3:$K$852,6,0)-VLOOKUP(D844,[1]Balanza!$A$3:$K$852,7,0),0)</f>
        <v>0</v>
      </c>
      <c r="F844" s="6">
        <f>IFERROR(VLOOKUP($D844,[1]Balanza!$A$3:$K$852,10,0)-VLOOKUP($D844,[1]Balanza!$A$3:$K$852,11,0),0)</f>
        <v>0</v>
      </c>
    </row>
    <row r="845" spans="1:6" x14ac:dyDescent="0.3">
      <c r="A845" s="2" t="s">
        <v>1560</v>
      </c>
      <c r="B845" s="2" t="s">
        <v>544</v>
      </c>
      <c r="C845" t="s">
        <v>3090</v>
      </c>
      <c r="D845" s="5" t="s">
        <v>3940</v>
      </c>
      <c r="E845" s="6">
        <f>IFERROR(VLOOKUP($D845,[1]Balanza!$A$3:$K$852,6,0)-VLOOKUP(D845,[1]Balanza!$A$3:$K$852,7,0),0)</f>
        <v>0</v>
      </c>
      <c r="F845" s="6">
        <f>IFERROR(VLOOKUP($D845,[1]Balanza!$A$3:$K$852,10,0)-VLOOKUP($D845,[1]Balanza!$A$3:$K$852,11,0),0)</f>
        <v>0</v>
      </c>
    </row>
    <row r="846" spans="1:6" x14ac:dyDescent="0.3">
      <c r="A846" s="2" t="s">
        <v>1561</v>
      </c>
      <c r="B846" s="2" t="s">
        <v>546</v>
      </c>
      <c r="C846" t="s">
        <v>3090</v>
      </c>
      <c r="D846" s="5" t="s">
        <v>3941</v>
      </c>
      <c r="E846" s="6">
        <f>IFERROR(VLOOKUP($D846,[1]Balanza!$A$3:$K$852,6,0)-VLOOKUP(D846,[1]Balanza!$A$3:$K$852,7,0),0)</f>
        <v>0</v>
      </c>
      <c r="F846" s="6">
        <f>IFERROR(VLOOKUP($D846,[1]Balanza!$A$3:$K$852,10,0)-VLOOKUP($D846,[1]Balanza!$A$3:$K$852,11,0),0)</f>
        <v>0</v>
      </c>
    </row>
    <row r="847" spans="1:6" x14ac:dyDescent="0.3">
      <c r="A847" s="2" t="s">
        <v>1562</v>
      </c>
      <c r="B847" s="2" t="s">
        <v>548</v>
      </c>
      <c r="C847" t="s">
        <v>3090</v>
      </c>
      <c r="D847" s="5" t="s">
        <v>3942</v>
      </c>
      <c r="E847" s="6">
        <f>IFERROR(VLOOKUP($D847,[1]Balanza!$A$3:$K$852,6,0)-VLOOKUP(D847,[1]Balanza!$A$3:$K$852,7,0),0)</f>
        <v>0</v>
      </c>
      <c r="F847" s="6">
        <f>IFERROR(VLOOKUP($D847,[1]Balanza!$A$3:$K$852,10,0)-VLOOKUP($D847,[1]Balanza!$A$3:$K$852,11,0),0)</f>
        <v>0</v>
      </c>
    </row>
    <row r="848" spans="1:6" x14ac:dyDescent="0.3">
      <c r="A848" s="2" t="s">
        <v>1563</v>
      </c>
      <c r="B848" s="2" t="s">
        <v>550</v>
      </c>
      <c r="C848" t="s">
        <v>3090</v>
      </c>
      <c r="D848" s="5" t="s">
        <v>3943</v>
      </c>
      <c r="E848" s="6">
        <f>IFERROR(VLOOKUP($D848,[1]Balanza!$A$3:$K$852,6,0)-VLOOKUP(D848,[1]Balanza!$A$3:$K$852,7,0),0)</f>
        <v>0</v>
      </c>
      <c r="F848" s="6">
        <f>IFERROR(VLOOKUP($D848,[1]Balanza!$A$3:$K$852,10,0)-VLOOKUP($D848,[1]Balanza!$A$3:$K$852,11,0),0)</f>
        <v>0</v>
      </c>
    </row>
    <row r="849" spans="1:6" x14ac:dyDescent="0.3">
      <c r="A849" s="2" t="s">
        <v>1564</v>
      </c>
      <c r="B849" s="2" t="s">
        <v>552</v>
      </c>
      <c r="C849" t="s">
        <v>3090</v>
      </c>
      <c r="D849" s="5" t="s">
        <v>3944</v>
      </c>
      <c r="E849" s="6">
        <f>IFERROR(VLOOKUP($D849,[1]Balanza!$A$3:$K$852,6,0)-VLOOKUP(D849,[1]Balanza!$A$3:$K$852,7,0),0)</f>
        <v>0</v>
      </c>
      <c r="F849" s="6">
        <f>IFERROR(VLOOKUP($D849,[1]Balanza!$A$3:$K$852,10,0)-VLOOKUP($D849,[1]Balanza!$A$3:$K$852,11,0),0)</f>
        <v>0</v>
      </c>
    </row>
    <row r="850" spans="1:6" x14ac:dyDescent="0.3">
      <c r="A850" s="2" t="s">
        <v>1565</v>
      </c>
      <c r="B850" s="2" t="s">
        <v>554</v>
      </c>
      <c r="C850" t="s">
        <v>3090</v>
      </c>
      <c r="D850" s="5" t="s">
        <v>3945</v>
      </c>
      <c r="E850" s="6">
        <f>IFERROR(VLOOKUP($D850,[1]Balanza!$A$3:$K$852,6,0)-VLOOKUP(D850,[1]Balanza!$A$3:$K$852,7,0),0)</f>
        <v>0</v>
      </c>
      <c r="F850" s="6">
        <f>IFERROR(VLOOKUP($D850,[1]Balanza!$A$3:$K$852,10,0)-VLOOKUP($D850,[1]Balanza!$A$3:$K$852,11,0),0)</f>
        <v>0</v>
      </c>
    </row>
    <row r="851" spans="1:6" x14ac:dyDescent="0.3">
      <c r="A851" s="2" t="s">
        <v>1566</v>
      </c>
      <c r="B851" s="2" t="s">
        <v>556</v>
      </c>
      <c r="C851" t="s">
        <v>3090</v>
      </c>
      <c r="D851" s="5" t="s">
        <v>3946</v>
      </c>
      <c r="E851" s="6">
        <f>IFERROR(VLOOKUP($D851,[1]Balanza!$A$3:$K$852,6,0)-VLOOKUP(D851,[1]Balanza!$A$3:$K$852,7,0),0)</f>
        <v>0</v>
      </c>
      <c r="F851" s="6">
        <f>IFERROR(VLOOKUP($D851,[1]Balanza!$A$3:$K$852,10,0)-VLOOKUP($D851,[1]Balanza!$A$3:$K$852,11,0),0)</f>
        <v>0</v>
      </c>
    </row>
    <row r="852" spans="1:6" x14ac:dyDescent="0.3">
      <c r="A852" s="2" t="s">
        <v>1567</v>
      </c>
      <c r="B852" s="2" t="s">
        <v>558</v>
      </c>
      <c r="C852" t="s">
        <v>3090</v>
      </c>
      <c r="D852" s="5" t="s">
        <v>3947</v>
      </c>
      <c r="E852" s="6">
        <f>IFERROR(VLOOKUP($D852,[1]Balanza!$A$3:$K$852,6,0)-VLOOKUP(D852,[1]Balanza!$A$3:$K$852,7,0),0)</f>
        <v>0</v>
      </c>
      <c r="F852" s="6">
        <f>IFERROR(VLOOKUP($D852,[1]Balanza!$A$3:$K$852,10,0)-VLOOKUP($D852,[1]Balanza!$A$3:$K$852,11,0),0)</f>
        <v>0</v>
      </c>
    </row>
    <row r="853" spans="1:6" x14ac:dyDescent="0.3">
      <c r="A853" s="2" t="s">
        <v>1568</v>
      </c>
      <c r="B853" s="2" t="s">
        <v>560</v>
      </c>
      <c r="C853" t="s">
        <v>3090</v>
      </c>
      <c r="D853" s="5" t="s">
        <v>3948</v>
      </c>
      <c r="E853" s="6">
        <f>IFERROR(VLOOKUP($D853,[1]Balanza!$A$3:$K$852,6,0)-VLOOKUP(D853,[1]Balanza!$A$3:$K$852,7,0),0)</f>
        <v>0</v>
      </c>
      <c r="F853" s="6">
        <f>IFERROR(VLOOKUP($D853,[1]Balanza!$A$3:$K$852,10,0)-VLOOKUP($D853,[1]Balanza!$A$3:$K$852,11,0),0)</f>
        <v>0</v>
      </c>
    </row>
    <row r="854" spans="1:6" x14ac:dyDescent="0.3">
      <c r="A854" s="2" t="s">
        <v>1569</v>
      </c>
      <c r="B854" s="2" t="s">
        <v>562</v>
      </c>
      <c r="C854" t="s">
        <v>3090</v>
      </c>
      <c r="D854" s="5" t="s">
        <v>3949</v>
      </c>
      <c r="E854" s="6">
        <f>IFERROR(VLOOKUP($D854,[1]Balanza!$A$3:$K$852,6,0)-VLOOKUP(D854,[1]Balanza!$A$3:$K$852,7,0),0)</f>
        <v>0</v>
      </c>
      <c r="F854" s="6">
        <f>IFERROR(VLOOKUP($D854,[1]Balanza!$A$3:$K$852,10,0)-VLOOKUP($D854,[1]Balanza!$A$3:$K$852,11,0),0)</f>
        <v>0</v>
      </c>
    </row>
    <row r="855" spans="1:6" x14ac:dyDescent="0.3">
      <c r="A855" s="2" t="s">
        <v>1570</v>
      </c>
      <c r="B855" s="2" t="s">
        <v>564</v>
      </c>
      <c r="C855" t="s">
        <v>3090</v>
      </c>
      <c r="D855" s="5" t="s">
        <v>3950</v>
      </c>
      <c r="E855" s="6">
        <f>IFERROR(VLOOKUP($D855,[1]Balanza!$A$3:$K$852,6,0)-VLOOKUP(D855,[1]Balanza!$A$3:$K$852,7,0),0)</f>
        <v>0</v>
      </c>
      <c r="F855" s="6">
        <f>IFERROR(VLOOKUP($D855,[1]Balanza!$A$3:$K$852,10,0)-VLOOKUP($D855,[1]Balanza!$A$3:$K$852,11,0),0)</f>
        <v>0</v>
      </c>
    </row>
    <row r="856" spans="1:6" x14ac:dyDescent="0.3">
      <c r="A856" s="2" t="s">
        <v>1571</v>
      </c>
      <c r="B856" s="2" t="s">
        <v>566</v>
      </c>
      <c r="C856" t="s">
        <v>3090</v>
      </c>
      <c r="D856" s="5" t="s">
        <v>3951</v>
      </c>
      <c r="E856" s="6">
        <f>IFERROR(VLOOKUP($D856,[1]Balanza!$A$3:$K$852,6,0)-VLOOKUP(D856,[1]Balanza!$A$3:$K$852,7,0),0)</f>
        <v>0</v>
      </c>
      <c r="F856" s="6">
        <f>IFERROR(VLOOKUP($D856,[1]Balanza!$A$3:$K$852,10,0)-VLOOKUP($D856,[1]Balanza!$A$3:$K$852,11,0),0)</f>
        <v>0</v>
      </c>
    </row>
    <row r="857" spans="1:6" x14ac:dyDescent="0.3">
      <c r="A857" s="2" t="s">
        <v>1572</v>
      </c>
      <c r="B857" s="2" t="s">
        <v>568</v>
      </c>
      <c r="C857" t="s">
        <v>3090</v>
      </c>
      <c r="D857" s="5" t="s">
        <v>3952</v>
      </c>
      <c r="E857" s="6">
        <f>IFERROR(VLOOKUP($D857,[1]Balanza!$A$3:$K$852,6,0)-VLOOKUP(D857,[1]Balanza!$A$3:$K$852,7,0),0)</f>
        <v>0</v>
      </c>
      <c r="F857" s="6">
        <f>IFERROR(VLOOKUP($D857,[1]Balanza!$A$3:$K$852,10,0)-VLOOKUP($D857,[1]Balanza!$A$3:$K$852,11,0),0)</f>
        <v>0</v>
      </c>
    </row>
    <row r="858" spans="1:6" x14ac:dyDescent="0.3">
      <c r="A858" s="2" t="s">
        <v>1573</v>
      </c>
      <c r="B858" s="2" t="s">
        <v>570</v>
      </c>
      <c r="C858" t="s">
        <v>3090</v>
      </c>
      <c r="D858" s="5" t="s">
        <v>3953</v>
      </c>
      <c r="E858" s="6">
        <f>IFERROR(VLOOKUP($D858,[1]Balanza!$A$3:$K$852,6,0)-VLOOKUP(D858,[1]Balanza!$A$3:$K$852,7,0),0)</f>
        <v>0</v>
      </c>
      <c r="F858" s="6">
        <f>IFERROR(VLOOKUP($D858,[1]Balanza!$A$3:$K$852,10,0)-VLOOKUP($D858,[1]Balanza!$A$3:$K$852,11,0),0)</f>
        <v>0</v>
      </c>
    </row>
    <row r="859" spans="1:6" x14ac:dyDescent="0.3">
      <c r="A859" s="2" t="s">
        <v>1574</v>
      </c>
      <c r="B859" s="2" t="s">
        <v>572</v>
      </c>
      <c r="C859" t="s">
        <v>3090</v>
      </c>
      <c r="D859" s="5" t="s">
        <v>3954</v>
      </c>
      <c r="E859" s="6">
        <f>IFERROR(VLOOKUP($D859,[1]Balanza!$A$3:$K$852,6,0)-VLOOKUP(D859,[1]Balanza!$A$3:$K$852,7,0),0)</f>
        <v>0</v>
      </c>
      <c r="F859" s="6">
        <f>IFERROR(VLOOKUP($D859,[1]Balanza!$A$3:$K$852,10,0)-VLOOKUP($D859,[1]Balanza!$A$3:$K$852,11,0),0)</f>
        <v>0</v>
      </c>
    </row>
    <row r="860" spans="1:6" x14ac:dyDescent="0.3">
      <c r="A860" s="2" t="s">
        <v>1575</v>
      </c>
      <c r="B860" s="2" t="s">
        <v>574</v>
      </c>
      <c r="C860" t="s">
        <v>3090</v>
      </c>
      <c r="D860" s="5" t="s">
        <v>3955</v>
      </c>
      <c r="E860" s="6">
        <f>IFERROR(VLOOKUP($D860,[1]Balanza!$A$3:$K$852,6,0)-VLOOKUP(D860,[1]Balanza!$A$3:$K$852,7,0),0)</f>
        <v>0</v>
      </c>
      <c r="F860" s="6">
        <f>IFERROR(VLOOKUP($D860,[1]Balanza!$A$3:$K$852,10,0)-VLOOKUP($D860,[1]Balanza!$A$3:$K$852,11,0),0)</f>
        <v>0</v>
      </c>
    </row>
    <row r="861" spans="1:6" x14ac:dyDescent="0.3">
      <c r="A861" s="2" t="s">
        <v>1576</v>
      </c>
      <c r="B861" s="2" t="s">
        <v>576</v>
      </c>
      <c r="C861" t="s">
        <v>3090</v>
      </c>
      <c r="D861" s="5" t="s">
        <v>3956</v>
      </c>
      <c r="E861" s="6">
        <f>IFERROR(VLOOKUP($D861,[1]Balanza!$A$3:$K$852,6,0)-VLOOKUP(D861,[1]Balanza!$A$3:$K$852,7,0),0)</f>
        <v>0</v>
      </c>
      <c r="F861" s="6">
        <f>IFERROR(VLOOKUP($D861,[1]Balanza!$A$3:$K$852,10,0)-VLOOKUP($D861,[1]Balanza!$A$3:$K$852,11,0),0)</f>
        <v>0</v>
      </c>
    </row>
    <row r="862" spans="1:6" x14ac:dyDescent="0.3">
      <c r="A862" s="1" t="s">
        <v>1577</v>
      </c>
      <c r="B862" s="1" t="s">
        <v>1578</v>
      </c>
      <c r="C862" t="s">
        <v>3090</v>
      </c>
      <c r="D862" s="5" t="s">
        <v>3957</v>
      </c>
      <c r="E862" s="6">
        <f>IFERROR(VLOOKUP($D862,[1]Balanza!$A$3:$K$852,6,0)-VLOOKUP(D862,[1]Balanza!$A$3:$K$852,7,0),0)</f>
        <v>0</v>
      </c>
      <c r="F862" s="6">
        <f>IFERROR(VLOOKUP($D862,[1]Balanza!$A$3:$K$852,10,0)-VLOOKUP($D862,[1]Balanza!$A$3:$K$852,11,0),0)</f>
        <v>0</v>
      </c>
    </row>
    <row r="863" spans="1:6" x14ac:dyDescent="0.3">
      <c r="A863" s="2" t="s">
        <v>1579</v>
      </c>
      <c r="B863" s="2" t="s">
        <v>1580</v>
      </c>
      <c r="C863" t="s">
        <v>3090</v>
      </c>
      <c r="D863" s="5" t="s">
        <v>3958</v>
      </c>
      <c r="E863" s="6">
        <f>IFERROR(VLOOKUP($D863,[1]Balanza!$A$3:$K$852,6,0)-VLOOKUP(D863,[1]Balanza!$A$3:$K$852,7,0),0)</f>
        <v>0</v>
      </c>
      <c r="F863" s="6">
        <f>IFERROR(VLOOKUP($D863,[1]Balanza!$A$3:$K$852,10,0)-VLOOKUP($D863,[1]Balanza!$A$3:$K$852,11,0),0)</f>
        <v>0</v>
      </c>
    </row>
    <row r="864" spans="1:6" x14ac:dyDescent="0.3">
      <c r="A864" s="2" t="s">
        <v>1581</v>
      </c>
      <c r="B864" s="2" t="s">
        <v>1582</v>
      </c>
      <c r="C864" t="s">
        <v>3090</v>
      </c>
      <c r="D864" s="5" t="s">
        <v>3959</v>
      </c>
      <c r="E864" s="6">
        <f>IFERROR(VLOOKUP($D864,[1]Balanza!$A$3:$K$852,6,0)-VLOOKUP(D864,[1]Balanza!$A$3:$K$852,7,0),0)</f>
        <v>0</v>
      </c>
      <c r="F864" s="6">
        <f>IFERROR(VLOOKUP($D864,[1]Balanza!$A$3:$K$852,10,0)-VLOOKUP($D864,[1]Balanza!$A$3:$K$852,11,0),0)</f>
        <v>0</v>
      </c>
    </row>
    <row r="865" spans="1:6" x14ac:dyDescent="0.3">
      <c r="A865" s="2" t="s">
        <v>1583</v>
      </c>
      <c r="B865" s="2" t="s">
        <v>1584</v>
      </c>
      <c r="C865" t="s">
        <v>3090</v>
      </c>
      <c r="D865" s="5" t="s">
        <v>3960</v>
      </c>
      <c r="E865" s="6">
        <f>IFERROR(VLOOKUP($D865,[1]Balanza!$A$3:$K$852,6,0)-VLOOKUP(D865,[1]Balanza!$A$3:$K$852,7,0),0)</f>
        <v>0</v>
      </c>
      <c r="F865" s="6">
        <f>IFERROR(VLOOKUP($D865,[1]Balanza!$A$3:$K$852,10,0)-VLOOKUP($D865,[1]Balanza!$A$3:$K$852,11,0),0)</f>
        <v>0</v>
      </c>
    </row>
    <row r="866" spans="1:6" x14ac:dyDescent="0.3">
      <c r="A866" s="2" t="s">
        <v>1585</v>
      </c>
      <c r="B866" s="2" t="s">
        <v>1586</v>
      </c>
      <c r="C866" t="s">
        <v>3090</v>
      </c>
      <c r="D866" s="5" t="s">
        <v>3961</v>
      </c>
      <c r="E866" s="6">
        <f>IFERROR(VLOOKUP($D866,[1]Balanza!$A$3:$K$852,6,0)-VLOOKUP(D866,[1]Balanza!$A$3:$K$852,7,0),0)</f>
        <v>0</v>
      </c>
      <c r="F866" s="6">
        <f>IFERROR(VLOOKUP($D866,[1]Balanza!$A$3:$K$852,10,0)-VLOOKUP($D866,[1]Balanza!$A$3:$K$852,11,0),0)</f>
        <v>0</v>
      </c>
    </row>
    <row r="867" spans="1:6" x14ac:dyDescent="0.3">
      <c r="A867" s="2" t="s">
        <v>1587</v>
      </c>
      <c r="B867" s="2" t="s">
        <v>1588</v>
      </c>
      <c r="C867" t="s">
        <v>3090</v>
      </c>
      <c r="D867" s="5" t="s">
        <v>3962</v>
      </c>
      <c r="E867" s="6">
        <f>IFERROR(VLOOKUP($D867,[1]Balanza!$A$3:$K$852,6,0)-VLOOKUP(D867,[1]Balanza!$A$3:$K$852,7,0),0)</f>
        <v>0</v>
      </c>
      <c r="F867" s="6">
        <f>IFERROR(VLOOKUP($D867,[1]Balanza!$A$3:$K$852,10,0)-VLOOKUP($D867,[1]Balanza!$A$3:$K$852,11,0),0)</f>
        <v>0</v>
      </c>
    </row>
    <row r="868" spans="1:6" x14ac:dyDescent="0.3">
      <c r="A868" s="2" t="s">
        <v>1589</v>
      </c>
      <c r="B868" s="2" t="s">
        <v>1590</v>
      </c>
      <c r="C868" t="s">
        <v>3090</v>
      </c>
      <c r="D868" s="5" t="s">
        <v>3963</v>
      </c>
      <c r="E868" s="6">
        <f>IFERROR(VLOOKUP($D868,[1]Balanza!$A$3:$K$852,6,0)-VLOOKUP(D868,[1]Balanza!$A$3:$K$852,7,0),0)</f>
        <v>0</v>
      </c>
      <c r="F868" s="6">
        <f>IFERROR(VLOOKUP($D868,[1]Balanza!$A$3:$K$852,10,0)-VLOOKUP($D868,[1]Balanza!$A$3:$K$852,11,0),0)</f>
        <v>0</v>
      </c>
    </row>
    <row r="869" spans="1:6" x14ac:dyDescent="0.3">
      <c r="A869" s="2" t="s">
        <v>1591</v>
      </c>
      <c r="B869" s="2" t="s">
        <v>1592</v>
      </c>
      <c r="C869" t="s">
        <v>3090</v>
      </c>
      <c r="D869" s="5" t="s">
        <v>3964</v>
      </c>
      <c r="E869" s="6">
        <f>IFERROR(VLOOKUP($D869,[1]Balanza!$A$3:$K$852,6,0)-VLOOKUP(D869,[1]Balanza!$A$3:$K$852,7,0),0)</f>
        <v>0</v>
      </c>
      <c r="F869" s="6">
        <f>IFERROR(VLOOKUP($D869,[1]Balanza!$A$3:$K$852,10,0)-VLOOKUP($D869,[1]Balanza!$A$3:$K$852,11,0),0)</f>
        <v>0</v>
      </c>
    </row>
    <row r="870" spans="1:6" x14ac:dyDescent="0.3">
      <c r="A870" s="2" t="s">
        <v>1593</v>
      </c>
      <c r="B870" s="2" t="s">
        <v>1594</v>
      </c>
      <c r="C870" t="s">
        <v>3090</v>
      </c>
      <c r="D870" s="5" t="s">
        <v>3965</v>
      </c>
      <c r="E870" s="6">
        <f>IFERROR(VLOOKUP($D870,[1]Balanza!$A$3:$K$852,6,0)-VLOOKUP(D870,[1]Balanza!$A$3:$K$852,7,0),0)</f>
        <v>0</v>
      </c>
      <c r="F870" s="6">
        <f>IFERROR(VLOOKUP($D870,[1]Balanza!$A$3:$K$852,10,0)-VLOOKUP($D870,[1]Balanza!$A$3:$K$852,11,0),0)</f>
        <v>0</v>
      </c>
    </row>
    <row r="871" spans="1:6" x14ac:dyDescent="0.3">
      <c r="A871" s="2" t="s">
        <v>1595</v>
      </c>
      <c r="B871" s="2" t="s">
        <v>1596</v>
      </c>
      <c r="C871" t="s">
        <v>3090</v>
      </c>
      <c r="D871" s="5" t="s">
        <v>3966</v>
      </c>
      <c r="E871" s="6">
        <f>IFERROR(VLOOKUP($D871,[1]Balanza!$A$3:$K$852,6,0)-VLOOKUP(D871,[1]Balanza!$A$3:$K$852,7,0),0)</f>
        <v>0</v>
      </c>
      <c r="F871" s="6">
        <f>IFERROR(VLOOKUP($D871,[1]Balanza!$A$3:$K$852,10,0)-VLOOKUP($D871,[1]Balanza!$A$3:$K$852,11,0),0)</f>
        <v>0</v>
      </c>
    </row>
    <row r="872" spans="1:6" x14ac:dyDescent="0.3">
      <c r="A872" s="2" t="s">
        <v>1597</v>
      </c>
      <c r="B872" s="2" t="s">
        <v>1598</v>
      </c>
      <c r="C872" t="s">
        <v>3090</v>
      </c>
      <c r="D872" s="5" t="s">
        <v>3967</v>
      </c>
      <c r="E872" s="6">
        <f>IFERROR(VLOOKUP($D872,[1]Balanza!$A$3:$K$852,6,0)-VLOOKUP(D872,[1]Balanza!$A$3:$K$852,7,0),0)</f>
        <v>0</v>
      </c>
      <c r="F872" s="6">
        <f>IFERROR(VLOOKUP($D872,[1]Balanza!$A$3:$K$852,10,0)-VLOOKUP($D872,[1]Balanza!$A$3:$K$852,11,0),0)</f>
        <v>0</v>
      </c>
    </row>
    <row r="873" spans="1:6" x14ac:dyDescent="0.3">
      <c r="A873" s="2" t="s">
        <v>1599</v>
      </c>
      <c r="B873" s="2" t="s">
        <v>1600</v>
      </c>
      <c r="C873" t="s">
        <v>3090</v>
      </c>
      <c r="D873" s="5" t="s">
        <v>3968</v>
      </c>
      <c r="E873" s="6">
        <f>IFERROR(VLOOKUP($D873,[1]Balanza!$A$3:$K$852,6,0)-VLOOKUP(D873,[1]Balanza!$A$3:$K$852,7,0),0)</f>
        <v>0</v>
      </c>
      <c r="F873" s="6">
        <f>IFERROR(VLOOKUP($D873,[1]Balanza!$A$3:$K$852,10,0)-VLOOKUP($D873,[1]Balanza!$A$3:$K$852,11,0),0)</f>
        <v>0</v>
      </c>
    </row>
    <row r="874" spans="1:6" x14ac:dyDescent="0.3">
      <c r="A874" s="2" t="s">
        <v>1601</v>
      </c>
      <c r="B874" s="2" t="s">
        <v>1602</v>
      </c>
      <c r="C874" t="s">
        <v>3090</v>
      </c>
      <c r="D874" s="5" t="s">
        <v>3969</v>
      </c>
      <c r="E874" s="6">
        <f>IFERROR(VLOOKUP($D874,[1]Balanza!$A$3:$K$852,6,0)-VLOOKUP(D874,[1]Balanza!$A$3:$K$852,7,0),0)</f>
        <v>0</v>
      </c>
      <c r="F874" s="6">
        <f>IFERROR(VLOOKUP($D874,[1]Balanza!$A$3:$K$852,10,0)-VLOOKUP($D874,[1]Balanza!$A$3:$K$852,11,0),0)</f>
        <v>0</v>
      </c>
    </row>
    <row r="875" spans="1:6" x14ac:dyDescent="0.3">
      <c r="A875" s="2" t="s">
        <v>1603</v>
      </c>
      <c r="B875" s="2" t="s">
        <v>1604</v>
      </c>
      <c r="C875" t="s">
        <v>3090</v>
      </c>
      <c r="D875" s="5" t="s">
        <v>3970</v>
      </c>
      <c r="E875" s="6">
        <f>IFERROR(VLOOKUP($D875,[1]Balanza!$A$3:$K$852,6,0)-VLOOKUP(D875,[1]Balanza!$A$3:$K$852,7,0),0)</f>
        <v>0</v>
      </c>
      <c r="F875" s="6">
        <f>IFERROR(VLOOKUP($D875,[1]Balanza!$A$3:$K$852,10,0)-VLOOKUP($D875,[1]Balanza!$A$3:$K$852,11,0),0)</f>
        <v>0</v>
      </c>
    </row>
    <row r="876" spans="1:6" x14ac:dyDescent="0.3">
      <c r="A876" s="2" t="s">
        <v>1605</v>
      </c>
      <c r="B876" s="2" t="s">
        <v>1606</v>
      </c>
      <c r="C876" t="s">
        <v>3090</v>
      </c>
      <c r="D876" s="5" t="s">
        <v>3971</v>
      </c>
      <c r="E876" s="6">
        <f>IFERROR(VLOOKUP($D876,[1]Balanza!$A$3:$K$852,6,0)-VLOOKUP(D876,[1]Balanza!$A$3:$K$852,7,0),0)</f>
        <v>0</v>
      </c>
      <c r="F876" s="6">
        <f>IFERROR(VLOOKUP($D876,[1]Balanza!$A$3:$K$852,10,0)-VLOOKUP($D876,[1]Balanza!$A$3:$K$852,11,0),0)</f>
        <v>0</v>
      </c>
    </row>
    <row r="877" spans="1:6" x14ac:dyDescent="0.3">
      <c r="A877" s="2" t="s">
        <v>1607</v>
      </c>
      <c r="B877" s="2" t="s">
        <v>1608</v>
      </c>
      <c r="C877" t="s">
        <v>3090</v>
      </c>
      <c r="D877" s="5" t="s">
        <v>3972</v>
      </c>
      <c r="E877" s="6">
        <f>IFERROR(VLOOKUP($D877,[1]Balanza!$A$3:$K$852,6,0)-VLOOKUP(D877,[1]Balanza!$A$3:$K$852,7,0),0)</f>
        <v>0</v>
      </c>
      <c r="F877" s="6">
        <f>IFERROR(VLOOKUP($D877,[1]Balanza!$A$3:$K$852,10,0)-VLOOKUP($D877,[1]Balanza!$A$3:$K$852,11,0),0)</f>
        <v>0</v>
      </c>
    </row>
    <row r="878" spans="1:6" x14ac:dyDescent="0.3">
      <c r="A878" s="2" t="s">
        <v>1609</v>
      </c>
      <c r="B878" s="2" t="s">
        <v>1610</v>
      </c>
      <c r="C878" t="s">
        <v>3090</v>
      </c>
      <c r="D878" s="5" t="s">
        <v>3973</v>
      </c>
      <c r="E878" s="6">
        <f>IFERROR(VLOOKUP($D878,[1]Balanza!$A$3:$K$852,6,0)-VLOOKUP(D878,[1]Balanza!$A$3:$K$852,7,0),0)</f>
        <v>0</v>
      </c>
      <c r="F878" s="6">
        <f>IFERROR(VLOOKUP($D878,[1]Balanza!$A$3:$K$852,10,0)-VLOOKUP($D878,[1]Balanza!$A$3:$K$852,11,0),0)</f>
        <v>0</v>
      </c>
    </row>
    <row r="879" spans="1:6" x14ac:dyDescent="0.3">
      <c r="A879" s="2" t="s">
        <v>1611</v>
      </c>
      <c r="B879" s="2" t="s">
        <v>299</v>
      </c>
      <c r="C879" t="s">
        <v>3090</v>
      </c>
      <c r="D879" s="5" t="s">
        <v>3974</v>
      </c>
      <c r="E879" s="6">
        <f>IFERROR(VLOOKUP($D879,[1]Balanza!$A$3:$K$852,6,0)-VLOOKUP(D879,[1]Balanza!$A$3:$K$852,7,0),0)</f>
        <v>0</v>
      </c>
      <c r="F879" s="6">
        <f>IFERROR(VLOOKUP($D879,[1]Balanza!$A$3:$K$852,10,0)-VLOOKUP($D879,[1]Balanza!$A$3:$K$852,11,0),0)</f>
        <v>0</v>
      </c>
    </row>
    <row r="880" spans="1:6" x14ac:dyDescent="0.3">
      <c r="A880" s="2" t="s">
        <v>1612</v>
      </c>
      <c r="B880" s="2" t="s">
        <v>1086</v>
      </c>
      <c r="C880" t="s">
        <v>3090</v>
      </c>
      <c r="D880" s="5" t="s">
        <v>3975</v>
      </c>
      <c r="E880" s="6">
        <f>IFERROR(VLOOKUP($D880,[1]Balanza!$A$3:$K$852,6,0)-VLOOKUP(D880,[1]Balanza!$A$3:$K$852,7,0),0)</f>
        <v>0</v>
      </c>
      <c r="F880" s="6">
        <f>IFERROR(VLOOKUP($D880,[1]Balanza!$A$3:$K$852,10,0)-VLOOKUP($D880,[1]Balanza!$A$3:$K$852,11,0),0)</f>
        <v>0</v>
      </c>
    </row>
    <row r="881" spans="1:6" x14ac:dyDescent="0.3">
      <c r="A881" s="1" t="s">
        <v>1613</v>
      </c>
      <c r="B881" s="1" t="s">
        <v>1614</v>
      </c>
      <c r="C881" t="s">
        <v>3090</v>
      </c>
      <c r="D881" s="5" t="s">
        <v>3976</v>
      </c>
      <c r="E881" s="6">
        <f>IFERROR(VLOOKUP($D881,[1]Balanza!$A$3:$K$852,6,0)-VLOOKUP(D881,[1]Balanza!$A$3:$K$852,7,0),0)</f>
        <v>0</v>
      </c>
      <c r="F881" s="6">
        <f>IFERROR(VLOOKUP($D881,[1]Balanza!$A$3:$K$852,10,0)-VLOOKUP($D881,[1]Balanza!$A$3:$K$852,11,0),0)</f>
        <v>0</v>
      </c>
    </row>
    <row r="882" spans="1:6" x14ac:dyDescent="0.3">
      <c r="A882" s="2" t="s">
        <v>1615</v>
      </c>
      <c r="B882" s="2" t="s">
        <v>1614</v>
      </c>
      <c r="C882" t="s">
        <v>3090</v>
      </c>
      <c r="D882" s="5" t="s">
        <v>3977</v>
      </c>
      <c r="E882" s="6">
        <f>IFERROR(VLOOKUP($D882,[1]Balanza!$A$3:$K$852,6,0)-VLOOKUP(D882,[1]Balanza!$A$3:$K$852,7,0),0)</f>
        <v>0</v>
      </c>
      <c r="F882" s="6">
        <f>IFERROR(VLOOKUP($D882,[1]Balanza!$A$3:$K$852,10,0)-VLOOKUP($D882,[1]Balanza!$A$3:$K$852,11,0),0)</f>
        <v>0</v>
      </c>
    </row>
    <row r="883" spans="1:6" x14ac:dyDescent="0.3">
      <c r="A883" s="1" t="s">
        <v>1616</v>
      </c>
      <c r="B883" s="1" t="s">
        <v>1617</v>
      </c>
      <c r="C883" t="s">
        <v>3090</v>
      </c>
      <c r="D883" s="5" t="s">
        <v>3978</v>
      </c>
      <c r="E883" s="6">
        <f>IFERROR(VLOOKUP($D883,[1]Balanza!$A$3:$K$852,6,0)-VLOOKUP(D883,[1]Balanza!$A$3:$K$852,7,0),0)</f>
        <v>0</v>
      </c>
      <c r="F883" s="6">
        <f>IFERROR(VLOOKUP($D883,[1]Balanza!$A$3:$K$852,10,0)-VLOOKUP($D883,[1]Balanza!$A$3:$K$852,11,0),0)</f>
        <v>0</v>
      </c>
    </row>
    <row r="884" spans="1:6" x14ac:dyDescent="0.3">
      <c r="A884" s="2" t="s">
        <v>1618</v>
      </c>
      <c r="B884" s="2" t="s">
        <v>1619</v>
      </c>
      <c r="C884" t="s">
        <v>3090</v>
      </c>
      <c r="D884" s="5" t="s">
        <v>3979</v>
      </c>
      <c r="E884" s="6">
        <f>IFERROR(VLOOKUP($D884,[1]Balanza!$A$3:$K$852,6,0)-VLOOKUP(D884,[1]Balanza!$A$3:$K$852,7,0),0)</f>
        <v>0</v>
      </c>
      <c r="F884" s="6">
        <f>IFERROR(VLOOKUP($D884,[1]Balanza!$A$3:$K$852,10,0)-VLOOKUP($D884,[1]Balanza!$A$3:$K$852,11,0),0)</f>
        <v>0</v>
      </c>
    </row>
    <row r="885" spans="1:6" x14ac:dyDescent="0.3">
      <c r="A885" s="1" t="s">
        <v>1620</v>
      </c>
      <c r="B885" s="1" t="s">
        <v>1621</v>
      </c>
      <c r="C885" t="s">
        <v>3090</v>
      </c>
      <c r="D885" s="5" t="s">
        <v>3980</v>
      </c>
      <c r="E885" s="6">
        <f>IFERROR(VLOOKUP($D885,[1]Balanza!$A$3:$K$852,6,0)-VLOOKUP(D885,[1]Balanza!$A$3:$K$852,7,0),0)</f>
        <v>0</v>
      </c>
      <c r="F885" s="6">
        <f>IFERROR(VLOOKUP($D885,[1]Balanza!$A$3:$K$852,10,0)-VLOOKUP($D885,[1]Balanza!$A$3:$K$852,11,0),0)</f>
        <v>0</v>
      </c>
    </row>
    <row r="886" spans="1:6" x14ac:dyDescent="0.3">
      <c r="A886" s="2" t="s">
        <v>1622</v>
      </c>
      <c r="B886" s="2" t="s">
        <v>1621</v>
      </c>
      <c r="C886" t="s">
        <v>3090</v>
      </c>
      <c r="D886" s="5" t="s">
        <v>3981</v>
      </c>
      <c r="E886" s="6">
        <f>IFERROR(VLOOKUP($D886,[1]Balanza!$A$3:$K$852,6,0)-VLOOKUP(D886,[1]Balanza!$A$3:$K$852,7,0),0)</f>
        <v>0</v>
      </c>
      <c r="F886" s="6">
        <f>IFERROR(VLOOKUP($D886,[1]Balanza!$A$3:$K$852,10,0)-VLOOKUP($D886,[1]Balanza!$A$3:$K$852,11,0),0)</f>
        <v>0</v>
      </c>
    </row>
    <row r="887" spans="1:6" x14ac:dyDescent="0.3">
      <c r="A887" s="1" t="s">
        <v>1623</v>
      </c>
      <c r="B887" s="1" t="s">
        <v>1624</v>
      </c>
      <c r="C887" t="s">
        <v>3090</v>
      </c>
      <c r="D887" s="5" t="s">
        <v>3982</v>
      </c>
      <c r="E887" s="6">
        <f>IFERROR(VLOOKUP($D887,[1]Balanza!$A$3:$K$852,6,0)-VLOOKUP(D887,[1]Balanza!$A$3:$K$852,7,0),0)</f>
        <v>0</v>
      </c>
      <c r="F887" s="6">
        <f>IFERROR(VLOOKUP($D887,[1]Balanza!$A$3:$K$852,10,0)-VLOOKUP($D887,[1]Balanza!$A$3:$K$852,11,0),0)</f>
        <v>0</v>
      </c>
    </row>
    <row r="888" spans="1:6" x14ac:dyDescent="0.3">
      <c r="A888" s="2" t="s">
        <v>1625</v>
      </c>
      <c r="B888" s="2" t="s">
        <v>1626</v>
      </c>
      <c r="C888" t="s">
        <v>3090</v>
      </c>
      <c r="D888" s="5" t="s">
        <v>3983</v>
      </c>
      <c r="E888" s="6">
        <f>IFERROR(VLOOKUP($D888,[1]Balanza!$A$3:$K$852,6,0)-VLOOKUP(D888,[1]Balanza!$A$3:$K$852,7,0),0)</f>
        <v>0</v>
      </c>
      <c r="F888" s="6">
        <f>IFERROR(VLOOKUP($D888,[1]Balanza!$A$3:$K$852,10,0)-VLOOKUP($D888,[1]Balanza!$A$3:$K$852,11,0),0)</f>
        <v>0</v>
      </c>
    </row>
    <row r="889" spans="1:6" x14ac:dyDescent="0.3">
      <c r="A889" s="1" t="s">
        <v>1627</v>
      </c>
      <c r="B889" s="1" t="s">
        <v>1628</v>
      </c>
      <c r="C889" t="s">
        <v>3090</v>
      </c>
      <c r="D889" s="5" t="s">
        <v>3984</v>
      </c>
      <c r="E889" s="6">
        <f>IFERROR(VLOOKUP($D889,[1]Balanza!$A$3:$K$852,6,0)-VLOOKUP(D889,[1]Balanza!$A$3:$K$852,7,0),0)</f>
        <v>0</v>
      </c>
      <c r="F889" s="6">
        <f>IFERROR(VLOOKUP($D889,[1]Balanza!$A$3:$K$852,10,0)-VLOOKUP($D889,[1]Balanza!$A$3:$K$852,11,0),0)</f>
        <v>0</v>
      </c>
    </row>
    <row r="890" spans="1:6" x14ac:dyDescent="0.3">
      <c r="A890" s="2" t="s">
        <v>1629</v>
      </c>
      <c r="B890" s="2" t="s">
        <v>1628</v>
      </c>
      <c r="C890" t="s">
        <v>3090</v>
      </c>
      <c r="D890" s="5" t="s">
        <v>3985</v>
      </c>
      <c r="E890" s="6">
        <f>IFERROR(VLOOKUP($D890,[1]Balanza!$A$3:$K$852,6,0)-VLOOKUP(D890,[1]Balanza!$A$3:$K$852,7,0),0)</f>
        <v>0</v>
      </c>
      <c r="F890" s="6">
        <f>IFERROR(VLOOKUP($D890,[1]Balanza!$A$3:$K$852,10,0)-VLOOKUP($D890,[1]Balanza!$A$3:$K$852,11,0),0)</f>
        <v>0</v>
      </c>
    </row>
    <row r="891" spans="1:6" x14ac:dyDescent="0.3">
      <c r="A891" s="1" t="s">
        <v>1630</v>
      </c>
      <c r="B891" s="1" t="s">
        <v>754</v>
      </c>
      <c r="C891" t="s">
        <v>3090</v>
      </c>
      <c r="D891" s="5" t="s">
        <v>3986</v>
      </c>
      <c r="E891" s="6">
        <f>IFERROR(VLOOKUP($D891,[1]Balanza!$A$3:$K$852,6,0)-VLOOKUP(D891,[1]Balanza!$A$3:$K$852,7,0),0)</f>
        <v>0</v>
      </c>
      <c r="F891" s="6">
        <f>IFERROR(VLOOKUP($D891,[1]Balanza!$A$3:$K$852,10,0)-VLOOKUP($D891,[1]Balanza!$A$3:$K$852,11,0),0)</f>
        <v>0</v>
      </c>
    </row>
    <row r="892" spans="1:6" x14ac:dyDescent="0.3">
      <c r="A892" s="2" t="s">
        <v>1631</v>
      </c>
      <c r="B892" s="2" t="s">
        <v>1632</v>
      </c>
      <c r="C892" t="s">
        <v>3090</v>
      </c>
      <c r="D892" s="5" t="s">
        <v>3987</v>
      </c>
      <c r="E892" s="6">
        <f>IFERROR(VLOOKUP($D892,[1]Balanza!$A$3:$K$852,6,0)-VLOOKUP(D892,[1]Balanza!$A$3:$K$852,7,0),0)</f>
        <v>0</v>
      </c>
      <c r="F892" s="6">
        <f>IFERROR(VLOOKUP($D892,[1]Balanza!$A$3:$K$852,10,0)-VLOOKUP($D892,[1]Balanza!$A$3:$K$852,11,0),0)</f>
        <v>0</v>
      </c>
    </row>
    <row r="893" spans="1:6" x14ac:dyDescent="0.3">
      <c r="A893" s="2" t="s">
        <v>1633</v>
      </c>
      <c r="B893" s="2" t="s">
        <v>1634</v>
      </c>
      <c r="C893" t="s">
        <v>3090</v>
      </c>
      <c r="D893" s="5" t="s">
        <v>3988</v>
      </c>
      <c r="E893" s="6">
        <f>IFERROR(VLOOKUP($D893,[1]Balanza!$A$3:$K$852,6,0)-VLOOKUP(D893,[1]Balanza!$A$3:$K$852,7,0),0)</f>
        <v>0</v>
      </c>
      <c r="F893" s="6">
        <f>IFERROR(VLOOKUP($D893,[1]Balanza!$A$3:$K$852,10,0)-VLOOKUP($D893,[1]Balanza!$A$3:$K$852,11,0),0)</f>
        <v>0</v>
      </c>
    </row>
    <row r="894" spans="1:6" x14ac:dyDescent="0.3">
      <c r="A894" s="2" t="s">
        <v>1635</v>
      </c>
      <c r="B894" s="2" t="s">
        <v>1636</v>
      </c>
      <c r="C894" t="s">
        <v>3090</v>
      </c>
      <c r="D894" s="5" t="s">
        <v>3989</v>
      </c>
      <c r="E894" s="6">
        <f>IFERROR(VLOOKUP($D894,[1]Balanza!$A$3:$K$852,6,0)-VLOOKUP(D894,[1]Balanza!$A$3:$K$852,7,0),0)</f>
        <v>0</v>
      </c>
      <c r="F894" s="6">
        <f>IFERROR(VLOOKUP($D894,[1]Balanza!$A$3:$K$852,10,0)-VLOOKUP($D894,[1]Balanza!$A$3:$K$852,11,0),0)</f>
        <v>0</v>
      </c>
    </row>
    <row r="895" spans="1:6" x14ac:dyDescent="0.3">
      <c r="A895" s="1" t="s">
        <v>1637</v>
      </c>
      <c r="B895" s="1" t="s">
        <v>1638</v>
      </c>
      <c r="C895" t="s">
        <v>3090</v>
      </c>
      <c r="D895" s="5" t="s">
        <v>3990</v>
      </c>
      <c r="E895" s="6">
        <f>IFERROR(VLOOKUP($D895,[1]Balanza!$A$3:$K$852,6,0)-VLOOKUP(D895,[1]Balanza!$A$3:$K$852,7,0),0)</f>
        <v>0</v>
      </c>
      <c r="F895" s="6">
        <f>IFERROR(VLOOKUP($D895,[1]Balanza!$A$3:$K$852,10,0)-VLOOKUP($D895,[1]Balanza!$A$3:$K$852,11,0),0)</f>
        <v>0</v>
      </c>
    </row>
    <row r="896" spans="1:6" x14ac:dyDescent="0.3">
      <c r="A896" s="2" t="s">
        <v>1639</v>
      </c>
      <c r="B896" s="2" t="s">
        <v>1638</v>
      </c>
      <c r="C896" t="s">
        <v>3090</v>
      </c>
      <c r="D896" s="5" t="s">
        <v>3991</v>
      </c>
      <c r="E896" s="6">
        <f>IFERROR(VLOOKUP($D896,[1]Balanza!$A$3:$K$852,6,0)-VLOOKUP(D896,[1]Balanza!$A$3:$K$852,7,0),0)</f>
        <v>0</v>
      </c>
      <c r="F896" s="6">
        <f>IFERROR(VLOOKUP($D896,[1]Balanza!$A$3:$K$852,10,0)-VLOOKUP($D896,[1]Balanza!$A$3:$K$852,11,0),0)</f>
        <v>0</v>
      </c>
    </row>
    <row r="897" spans="1:6" x14ac:dyDescent="0.3">
      <c r="A897" s="2" t="s">
        <v>1640</v>
      </c>
      <c r="B897" s="2" t="s">
        <v>1641</v>
      </c>
      <c r="C897" t="s">
        <v>3090</v>
      </c>
      <c r="D897" s="5" t="s">
        <v>3992</v>
      </c>
      <c r="E897" s="6">
        <f>IFERROR(VLOOKUP($D897,[1]Balanza!$A$3:$K$852,6,0)-VLOOKUP(D897,[1]Balanza!$A$3:$K$852,7,0),0)</f>
        <v>0</v>
      </c>
      <c r="F897" s="6">
        <f>IFERROR(VLOOKUP($D897,[1]Balanza!$A$3:$K$852,10,0)-VLOOKUP($D897,[1]Balanza!$A$3:$K$852,11,0),0)</f>
        <v>0</v>
      </c>
    </row>
    <row r="898" spans="1:6" x14ac:dyDescent="0.3">
      <c r="A898" s="1" t="s">
        <v>1642</v>
      </c>
      <c r="B898" s="1" t="s">
        <v>1643</v>
      </c>
      <c r="C898" t="s">
        <v>3090</v>
      </c>
      <c r="D898" s="5" t="s">
        <v>3993</v>
      </c>
      <c r="E898" s="6">
        <f>IFERROR(VLOOKUP($D898,[1]Balanza!$A$3:$K$852,6,0)-VLOOKUP(D898,[1]Balanza!$A$3:$K$852,7,0),0)</f>
        <v>0</v>
      </c>
      <c r="F898" s="6">
        <f>IFERROR(VLOOKUP($D898,[1]Balanza!$A$3:$K$852,10,0)-VLOOKUP($D898,[1]Balanza!$A$3:$K$852,11,0),0)</f>
        <v>0</v>
      </c>
    </row>
    <row r="899" spans="1:6" x14ac:dyDescent="0.3">
      <c r="A899" s="2" t="s">
        <v>1644</v>
      </c>
      <c r="B899" s="2" t="s">
        <v>1645</v>
      </c>
      <c r="C899" t="s">
        <v>3090</v>
      </c>
      <c r="D899" s="5" t="s">
        <v>3994</v>
      </c>
      <c r="E899" s="6">
        <f>IFERROR(VLOOKUP($D899,[1]Balanza!$A$3:$K$852,6,0)-VLOOKUP(D899,[1]Balanza!$A$3:$K$852,7,0),0)</f>
        <v>0</v>
      </c>
      <c r="F899" s="6">
        <f>IFERROR(VLOOKUP($D899,[1]Balanza!$A$3:$K$852,10,0)-VLOOKUP($D899,[1]Balanza!$A$3:$K$852,11,0),0)</f>
        <v>0</v>
      </c>
    </row>
    <row r="900" spans="1:6" x14ac:dyDescent="0.3">
      <c r="A900" s="2" t="s">
        <v>1646</v>
      </c>
      <c r="B900" s="2" t="s">
        <v>226</v>
      </c>
      <c r="C900" t="s">
        <v>3090</v>
      </c>
      <c r="D900" s="5" t="s">
        <v>3995</v>
      </c>
      <c r="E900" s="6">
        <f>IFERROR(VLOOKUP($D900,[1]Balanza!$A$3:$K$852,6,0)-VLOOKUP(D900,[1]Balanza!$A$3:$K$852,7,0),0)</f>
        <v>0</v>
      </c>
      <c r="F900" s="6">
        <f>IFERROR(VLOOKUP($D900,[1]Balanza!$A$3:$K$852,10,0)-VLOOKUP($D900,[1]Balanza!$A$3:$K$852,11,0),0)</f>
        <v>0</v>
      </c>
    </row>
    <row r="901" spans="1:6" x14ac:dyDescent="0.3">
      <c r="A901" s="2" t="s">
        <v>1647</v>
      </c>
      <c r="B901" s="2" t="s">
        <v>1648</v>
      </c>
      <c r="C901" t="s">
        <v>3090</v>
      </c>
      <c r="D901" s="5" t="s">
        <v>3996</v>
      </c>
      <c r="E901" s="6">
        <f>IFERROR(VLOOKUP($D901,[1]Balanza!$A$3:$K$852,6,0)-VLOOKUP(D901,[1]Balanza!$A$3:$K$852,7,0),0)</f>
        <v>0</v>
      </c>
      <c r="F901" s="6">
        <f>IFERROR(VLOOKUP($D901,[1]Balanza!$A$3:$K$852,10,0)-VLOOKUP($D901,[1]Balanza!$A$3:$K$852,11,0),0)</f>
        <v>0</v>
      </c>
    </row>
    <row r="902" spans="1:6" x14ac:dyDescent="0.3">
      <c r="A902" s="2" t="s">
        <v>1649</v>
      </c>
      <c r="B902" s="2" t="s">
        <v>1650</v>
      </c>
      <c r="C902" t="s">
        <v>3090</v>
      </c>
      <c r="D902" s="5" t="s">
        <v>3997</v>
      </c>
      <c r="E902" s="6">
        <f>IFERROR(VLOOKUP($D902,[1]Balanza!$A$3:$K$852,6,0)-VLOOKUP(D902,[1]Balanza!$A$3:$K$852,7,0),0)</f>
        <v>0</v>
      </c>
      <c r="F902" s="6">
        <f>IFERROR(VLOOKUP($D902,[1]Balanza!$A$3:$K$852,10,0)-VLOOKUP($D902,[1]Balanza!$A$3:$K$852,11,0),0)</f>
        <v>0</v>
      </c>
    </row>
    <row r="903" spans="1:6" x14ac:dyDescent="0.3">
      <c r="A903" s="2" t="s">
        <v>1651</v>
      </c>
      <c r="B903" s="2" t="s">
        <v>1652</v>
      </c>
      <c r="C903" t="s">
        <v>3090</v>
      </c>
      <c r="D903" s="5" t="s">
        <v>3998</v>
      </c>
      <c r="E903" s="6">
        <f>IFERROR(VLOOKUP($D903,[1]Balanza!$A$3:$K$852,6,0)-VLOOKUP(D903,[1]Balanza!$A$3:$K$852,7,0),0)</f>
        <v>0</v>
      </c>
      <c r="F903" s="6">
        <f>IFERROR(VLOOKUP($D903,[1]Balanza!$A$3:$K$852,10,0)-VLOOKUP($D903,[1]Balanza!$A$3:$K$852,11,0),0)</f>
        <v>0</v>
      </c>
    </row>
    <row r="904" spans="1:6" x14ac:dyDescent="0.3">
      <c r="A904" s="2" t="s">
        <v>1653</v>
      </c>
      <c r="B904" s="2" t="s">
        <v>226</v>
      </c>
      <c r="C904" t="s">
        <v>3090</v>
      </c>
      <c r="D904" s="5" t="s">
        <v>3999</v>
      </c>
      <c r="E904" s="6">
        <f>IFERROR(VLOOKUP($D904,[1]Balanza!$A$3:$K$852,6,0)-VLOOKUP(D904,[1]Balanza!$A$3:$K$852,7,0),0)</f>
        <v>0</v>
      </c>
      <c r="F904" s="6">
        <f>IFERROR(VLOOKUP($D904,[1]Balanza!$A$3:$K$852,10,0)-VLOOKUP($D904,[1]Balanza!$A$3:$K$852,11,0),0)</f>
        <v>0</v>
      </c>
    </row>
    <row r="905" spans="1:6" x14ac:dyDescent="0.3">
      <c r="A905" s="2" t="s">
        <v>1654</v>
      </c>
      <c r="B905" s="2" t="s">
        <v>1648</v>
      </c>
      <c r="C905" t="s">
        <v>3090</v>
      </c>
      <c r="D905" s="5" t="s">
        <v>4000</v>
      </c>
      <c r="E905" s="6">
        <f>IFERROR(VLOOKUP($D905,[1]Balanza!$A$3:$K$852,6,0)-VLOOKUP(D905,[1]Balanza!$A$3:$K$852,7,0),0)</f>
        <v>0</v>
      </c>
      <c r="F905" s="6">
        <f>IFERROR(VLOOKUP($D905,[1]Balanza!$A$3:$K$852,10,0)-VLOOKUP($D905,[1]Balanza!$A$3:$K$852,11,0),0)</f>
        <v>0</v>
      </c>
    </row>
    <row r="906" spans="1:6" x14ac:dyDescent="0.3">
      <c r="A906" s="2" t="s">
        <v>1655</v>
      </c>
      <c r="B906" s="2" t="s">
        <v>1650</v>
      </c>
      <c r="C906" t="s">
        <v>3090</v>
      </c>
      <c r="D906" s="5" t="s">
        <v>4001</v>
      </c>
      <c r="E906" s="6">
        <f>IFERROR(VLOOKUP($D906,[1]Balanza!$A$3:$K$852,6,0)-VLOOKUP(D906,[1]Balanza!$A$3:$K$852,7,0),0)</f>
        <v>0</v>
      </c>
      <c r="F906" s="6">
        <f>IFERROR(VLOOKUP($D906,[1]Balanza!$A$3:$K$852,10,0)-VLOOKUP($D906,[1]Balanza!$A$3:$K$852,11,0),0)</f>
        <v>0</v>
      </c>
    </row>
    <row r="907" spans="1:6" x14ac:dyDescent="0.3">
      <c r="A907" s="2" t="s">
        <v>1656</v>
      </c>
      <c r="B907" s="2" t="s">
        <v>1657</v>
      </c>
      <c r="C907" t="s">
        <v>3090</v>
      </c>
      <c r="D907" s="5" t="s">
        <v>4002</v>
      </c>
      <c r="E907" s="6">
        <f>IFERROR(VLOOKUP($D907,[1]Balanza!$A$3:$K$852,6,0)-VLOOKUP(D907,[1]Balanza!$A$3:$K$852,7,0),0)</f>
        <v>0</v>
      </c>
      <c r="F907" s="6">
        <f>IFERROR(VLOOKUP($D907,[1]Balanza!$A$3:$K$852,10,0)-VLOOKUP($D907,[1]Balanza!$A$3:$K$852,11,0),0)</f>
        <v>0</v>
      </c>
    </row>
    <row r="908" spans="1:6" x14ac:dyDescent="0.3">
      <c r="A908" s="2" t="s">
        <v>1658</v>
      </c>
      <c r="B908" s="2" t="s">
        <v>1659</v>
      </c>
      <c r="C908" t="s">
        <v>3090</v>
      </c>
      <c r="D908" s="5" t="s">
        <v>4003</v>
      </c>
      <c r="E908" s="6">
        <f>IFERROR(VLOOKUP($D908,[1]Balanza!$A$3:$K$852,6,0)-VLOOKUP(D908,[1]Balanza!$A$3:$K$852,7,0),0)</f>
        <v>0</v>
      </c>
      <c r="F908" s="6">
        <f>IFERROR(VLOOKUP($D908,[1]Balanza!$A$3:$K$852,10,0)-VLOOKUP($D908,[1]Balanza!$A$3:$K$852,11,0),0)</f>
        <v>0</v>
      </c>
    </row>
    <row r="909" spans="1:6" x14ac:dyDescent="0.3">
      <c r="A909" s="2" t="s">
        <v>1660</v>
      </c>
      <c r="B909" s="2" t="s">
        <v>1661</v>
      </c>
      <c r="C909" t="s">
        <v>3090</v>
      </c>
      <c r="D909" s="5" t="s">
        <v>4004</v>
      </c>
      <c r="E909" s="6">
        <f>IFERROR(VLOOKUP($D909,[1]Balanza!$A$3:$K$852,6,0)-VLOOKUP(D909,[1]Balanza!$A$3:$K$852,7,0),0)</f>
        <v>0</v>
      </c>
      <c r="F909" s="6">
        <f>IFERROR(VLOOKUP($D909,[1]Balanza!$A$3:$K$852,10,0)-VLOOKUP($D909,[1]Balanza!$A$3:$K$852,11,0),0)</f>
        <v>0</v>
      </c>
    </row>
    <row r="910" spans="1:6" x14ac:dyDescent="0.3">
      <c r="A910" s="1" t="s">
        <v>1662</v>
      </c>
      <c r="B910" s="1" t="s">
        <v>1663</v>
      </c>
      <c r="C910" t="s">
        <v>3090</v>
      </c>
      <c r="D910" s="5" t="s">
        <v>4005</v>
      </c>
      <c r="E910" s="6">
        <f>IFERROR(VLOOKUP($D910,[1]Balanza!$A$3:$K$852,6,0)-VLOOKUP(D910,[1]Balanza!$A$3:$K$852,7,0),0)</f>
        <v>0</v>
      </c>
      <c r="F910" s="6">
        <f>IFERROR(VLOOKUP($D910,[1]Balanza!$A$3:$K$852,10,0)-VLOOKUP($D910,[1]Balanza!$A$3:$K$852,11,0),0)</f>
        <v>0</v>
      </c>
    </row>
    <row r="911" spans="1:6" x14ac:dyDescent="0.3">
      <c r="A911" s="2" t="s">
        <v>1664</v>
      </c>
      <c r="B911" s="2" t="s">
        <v>1663</v>
      </c>
      <c r="C911" t="s">
        <v>3090</v>
      </c>
      <c r="D911" s="5" t="s">
        <v>4006</v>
      </c>
      <c r="E911" s="6">
        <f>IFERROR(VLOOKUP($D911,[1]Balanza!$A$3:$K$852,6,0)-VLOOKUP(D911,[1]Balanza!$A$3:$K$852,7,0),0)</f>
        <v>0</v>
      </c>
      <c r="F911" s="6">
        <f>IFERROR(VLOOKUP($D911,[1]Balanza!$A$3:$K$852,10,0)-VLOOKUP($D911,[1]Balanza!$A$3:$K$852,11,0),0)</f>
        <v>0</v>
      </c>
    </row>
    <row r="912" spans="1:6" x14ac:dyDescent="0.3">
      <c r="A912" s="2" t="s">
        <v>1665</v>
      </c>
      <c r="B912" s="2" t="s">
        <v>1666</v>
      </c>
      <c r="C912" t="s">
        <v>3090</v>
      </c>
      <c r="D912" s="5" t="s">
        <v>4007</v>
      </c>
      <c r="E912" s="6">
        <f>IFERROR(VLOOKUP($D912,[1]Balanza!$A$3:$K$852,6,0)-VLOOKUP(D912,[1]Balanza!$A$3:$K$852,7,0),0)</f>
        <v>0</v>
      </c>
      <c r="F912" s="6">
        <f>IFERROR(VLOOKUP($D912,[1]Balanza!$A$3:$K$852,10,0)-VLOOKUP($D912,[1]Balanza!$A$3:$K$852,11,0),0)</f>
        <v>0</v>
      </c>
    </row>
    <row r="913" spans="1:6" x14ac:dyDescent="0.3">
      <c r="A913" s="2" t="s">
        <v>1667</v>
      </c>
      <c r="B913" s="2" t="s">
        <v>1668</v>
      </c>
      <c r="C913" t="s">
        <v>3090</v>
      </c>
      <c r="D913" s="5" t="s">
        <v>4008</v>
      </c>
      <c r="E913" s="6">
        <f>IFERROR(VLOOKUP($D913,[1]Balanza!$A$3:$K$852,6,0)-VLOOKUP(D913,[1]Balanza!$A$3:$K$852,7,0),0)</f>
        <v>0</v>
      </c>
      <c r="F913" s="6">
        <f>IFERROR(VLOOKUP($D913,[1]Balanza!$A$3:$K$852,10,0)-VLOOKUP($D913,[1]Balanza!$A$3:$K$852,11,0),0)</f>
        <v>0</v>
      </c>
    </row>
    <row r="914" spans="1:6" x14ac:dyDescent="0.3">
      <c r="A914" s="1" t="s">
        <v>1669</v>
      </c>
      <c r="B914" s="1" t="s">
        <v>1670</v>
      </c>
      <c r="C914" t="s">
        <v>3090</v>
      </c>
      <c r="D914" s="5" t="s">
        <v>4009</v>
      </c>
      <c r="E914" s="6">
        <f>IFERROR(VLOOKUP($D914,[1]Balanza!$A$3:$K$852,6,0)-VLOOKUP(D914,[1]Balanza!$A$3:$K$852,7,0),0)</f>
        <v>0</v>
      </c>
      <c r="F914" s="6">
        <f>IFERROR(VLOOKUP($D914,[1]Balanza!$A$3:$K$852,10,0)-VLOOKUP($D914,[1]Balanza!$A$3:$K$852,11,0),0)</f>
        <v>0</v>
      </c>
    </row>
    <row r="915" spans="1:6" x14ac:dyDescent="0.3">
      <c r="A915" s="2" t="s">
        <v>1671</v>
      </c>
      <c r="B915" s="2" t="s">
        <v>1670</v>
      </c>
      <c r="C915" t="s">
        <v>3090</v>
      </c>
      <c r="D915" s="5" t="s">
        <v>4010</v>
      </c>
      <c r="E915" s="6">
        <f>IFERROR(VLOOKUP($D915,[1]Balanza!$A$3:$K$852,6,0)-VLOOKUP(D915,[1]Balanza!$A$3:$K$852,7,0),0)</f>
        <v>0</v>
      </c>
      <c r="F915" s="6">
        <f>IFERROR(VLOOKUP($D915,[1]Balanza!$A$3:$K$852,10,0)-VLOOKUP($D915,[1]Balanza!$A$3:$K$852,11,0),0)</f>
        <v>0</v>
      </c>
    </row>
    <row r="916" spans="1:6" x14ac:dyDescent="0.3">
      <c r="A916" s="1" t="s">
        <v>1672</v>
      </c>
      <c r="B916" s="1" t="s">
        <v>1673</v>
      </c>
      <c r="C916" t="s">
        <v>3090</v>
      </c>
      <c r="D916" s="5" t="s">
        <v>4011</v>
      </c>
      <c r="E916" s="6">
        <f>IFERROR(VLOOKUP($D916,[1]Balanza!$A$3:$K$852,6,0)-VLOOKUP(D916,[1]Balanza!$A$3:$K$852,7,0),0)</f>
        <v>0</v>
      </c>
      <c r="F916" s="6">
        <f>IFERROR(VLOOKUP($D916,[1]Balanza!$A$3:$K$852,10,0)-VLOOKUP($D916,[1]Balanza!$A$3:$K$852,11,0),0)</f>
        <v>0</v>
      </c>
    </row>
    <row r="917" spans="1:6" x14ac:dyDescent="0.3">
      <c r="A917" s="2" t="s">
        <v>1674</v>
      </c>
      <c r="B917" s="2" t="s">
        <v>1675</v>
      </c>
      <c r="C917" t="s">
        <v>3090</v>
      </c>
      <c r="D917" s="5" t="s">
        <v>4012</v>
      </c>
      <c r="E917" s="6">
        <f>IFERROR(VLOOKUP($D917,[1]Balanza!$A$3:$K$852,6,0)-VLOOKUP(D917,[1]Balanza!$A$3:$K$852,7,0),0)</f>
        <v>0</v>
      </c>
      <c r="F917" s="6">
        <f>IFERROR(VLOOKUP($D917,[1]Balanza!$A$3:$K$852,10,0)-VLOOKUP($D917,[1]Balanza!$A$3:$K$852,11,0),0)</f>
        <v>0</v>
      </c>
    </row>
    <row r="918" spans="1:6" x14ac:dyDescent="0.3">
      <c r="A918" s="2" t="s">
        <v>1676</v>
      </c>
      <c r="B918" s="2" t="s">
        <v>1677</v>
      </c>
      <c r="C918" t="s">
        <v>3090</v>
      </c>
      <c r="D918" s="5" t="s">
        <v>4013</v>
      </c>
      <c r="E918" s="6">
        <f>IFERROR(VLOOKUP($D918,[1]Balanza!$A$3:$K$852,6,0)-VLOOKUP(D918,[1]Balanza!$A$3:$K$852,7,0),0)</f>
        <v>0</v>
      </c>
      <c r="F918" s="6">
        <f>IFERROR(VLOOKUP($D918,[1]Balanza!$A$3:$K$852,10,0)-VLOOKUP($D918,[1]Balanza!$A$3:$K$852,11,0),0)</f>
        <v>0</v>
      </c>
    </row>
    <row r="919" spans="1:6" x14ac:dyDescent="0.3">
      <c r="A919" s="2" t="s">
        <v>1678</v>
      </c>
      <c r="B919" s="2" t="s">
        <v>1679</v>
      </c>
      <c r="C919" t="s">
        <v>3090</v>
      </c>
      <c r="D919" s="5" t="s">
        <v>4014</v>
      </c>
      <c r="E919" s="6">
        <f>IFERROR(VLOOKUP($D919,[1]Balanza!$A$3:$K$852,6,0)-VLOOKUP(D919,[1]Balanza!$A$3:$K$852,7,0),0)</f>
        <v>0</v>
      </c>
      <c r="F919" s="6">
        <f>IFERROR(VLOOKUP($D919,[1]Balanza!$A$3:$K$852,10,0)-VLOOKUP($D919,[1]Balanza!$A$3:$K$852,11,0),0)</f>
        <v>0</v>
      </c>
    </row>
    <row r="920" spans="1:6" x14ac:dyDescent="0.3">
      <c r="A920" s="2" t="s">
        <v>1680</v>
      </c>
      <c r="B920" s="2" t="s">
        <v>1681</v>
      </c>
      <c r="C920" t="s">
        <v>3090</v>
      </c>
      <c r="D920" s="5" t="s">
        <v>4015</v>
      </c>
      <c r="E920" s="6">
        <f>IFERROR(VLOOKUP($D920,[1]Balanza!$A$3:$K$852,6,0)-VLOOKUP(D920,[1]Balanza!$A$3:$K$852,7,0),0)</f>
        <v>0</v>
      </c>
      <c r="F920" s="6">
        <f>IFERROR(VLOOKUP($D920,[1]Balanza!$A$3:$K$852,10,0)-VLOOKUP($D920,[1]Balanza!$A$3:$K$852,11,0),0)</f>
        <v>0</v>
      </c>
    </row>
    <row r="921" spans="1:6" x14ac:dyDescent="0.3">
      <c r="A921" s="2" t="s">
        <v>1682</v>
      </c>
      <c r="B921" s="2" t="s">
        <v>1683</v>
      </c>
      <c r="C921" t="s">
        <v>3090</v>
      </c>
      <c r="D921" s="5" t="s">
        <v>4016</v>
      </c>
      <c r="E921" s="6">
        <f>IFERROR(VLOOKUP($D921,[1]Balanza!$A$3:$K$852,6,0)-VLOOKUP(D921,[1]Balanza!$A$3:$K$852,7,0),0)</f>
        <v>0</v>
      </c>
      <c r="F921" s="6">
        <f>IFERROR(VLOOKUP($D921,[1]Balanza!$A$3:$K$852,10,0)-VLOOKUP($D921,[1]Balanza!$A$3:$K$852,11,0),0)</f>
        <v>0</v>
      </c>
    </row>
    <row r="922" spans="1:6" x14ac:dyDescent="0.3">
      <c r="A922" s="2" t="s">
        <v>1684</v>
      </c>
      <c r="B922" s="2" t="s">
        <v>1685</v>
      </c>
      <c r="C922" t="s">
        <v>3090</v>
      </c>
      <c r="D922" s="5" t="s">
        <v>4017</v>
      </c>
      <c r="E922" s="6">
        <f>IFERROR(VLOOKUP($D922,[1]Balanza!$A$3:$K$852,6,0)-VLOOKUP(D922,[1]Balanza!$A$3:$K$852,7,0),0)</f>
        <v>0</v>
      </c>
      <c r="F922" s="6">
        <f>IFERROR(VLOOKUP($D922,[1]Balanza!$A$3:$K$852,10,0)-VLOOKUP($D922,[1]Balanza!$A$3:$K$852,11,0),0)</f>
        <v>0</v>
      </c>
    </row>
    <row r="923" spans="1:6" x14ac:dyDescent="0.3">
      <c r="A923" s="1" t="s">
        <v>1686</v>
      </c>
      <c r="B923" s="1" t="s">
        <v>1687</v>
      </c>
      <c r="C923" t="s">
        <v>3090</v>
      </c>
      <c r="D923" s="5" t="s">
        <v>4018</v>
      </c>
      <c r="E923" s="6">
        <f>IFERROR(VLOOKUP($D923,[1]Balanza!$A$3:$K$852,6,0)-VLOOKUP(D923,[1]Balanza!$A$3:$K$852,7,0),0)</f>
        <v>0</v>
      </c>
      <c r="F923" s="6">
        <f>IFERROR(VLOOKUP($D923,[1]Balanza!$A$3:$K$852,10,0)-VLOOKUP($D923,[1]Balanza!$A$3:$K$852,11,0),0)</f>
        <v>0</v>
      </c>
    </row>
    <row r="924" spans="1:6" x14ac:dyDescent="0.3">
      <c r="A924" s="2" t="s">
        <v>1688</v>
      </c>
      <c r="B924" s="2" t="s">
        <v>1689</v>
      </c>
      <c r="C924" t="s">
        <v>3090</v>
      </c>
      <c r="D924" s="5" t="s">
        <v>4019</v>
      </c>
      <c r="E924" s="6">
        <f>IFERROR(VLOOKUP($D924,[1]Balanza!$A$3:$K$852,6,0)-VLOOKUP(D924,[1]Balanza!$A$3:$K$852,7,0),0)</f>
        <v>0</v>
      </c>
      <c r="F924" s="6">
        <f>IFERROR(VLOOKUP($D924,[1]Balanza!$A$3:$K$852,10,0)-VLOOKUP($D924,[1]Balanza!$A$3:$K$852,11,0),0)</f>
        <v>0</v>
      </c>
    </row>
    <row r="925" spans="1:6" x14ac:dyDescent="0.3">
      <c r="A925" s="2" t="s">
        <v>1690</v>
      </c>
      <c r="B925" s="2" t="s">
        <v>1691</v>
      </c>
      <c r="C925" t="s">
        <v>3090</v>
      </c>
      <c r="D925" s="5" t="s">
        <v>4020</v>
      </c>
      <c r="E925" s="6">
        <f>IFERROR(VLOOKUP($D925,[1]Balanza!$A$3:$K$852,6,0)-VLOOKUP(D925,[1]Balanza!$A$3:$K$852,7,0),0)</f>
        <v>0</v>
      </c>
      <c r="F925" s="6">
        <f>IFERROR(VLOOKUP($D925,[1]Balanza!$A$3:$K$852,10,0)-VLOOKUP($D925,[1]Balanza!$A$3:$K$852,11,0),0)</f>
        <v>0</v>
      </c>
    </row>
    <row r="926" spans="1:6" x14ac:dyDescent="0.3">
      <c r="A926" s="2" t="s">
        <v>1692</v>
      </c>
      <c r="B926" s="2" t="s">
        <v>1693</v>
      </c>
      <c r="C926" t="s">
        <v>3090</v>
      </c>
      <c r="D926" s="5" t="s">
        <v>4021</v>
      </c>
      <c r="E926" s="6">
        <f>IFERROR(VLOOKUP($D926,[1]Balanza!$A$3:$K$852,6,0)-VLOOKUP(D926,[1]Balanza!$A$3:$K$852,7,0),0)</f>
        <v>0</v>
      </c>
      <c r="F926" s="6">
        <f>IFERROR(VLOOKUP($D926,[1]Balanza!$A$3:$K$852,10,0)-VLOOKUP($D926,[1]Balanza!$A$3:$K$852,11,0),0)</f>
        <v>0</v>
      </c>
    </row>
    <row r="927" spans="1:6" x14ac:dyDescent="0.3">
      <c r="A927" s="1" t="s">
        <v>1694</v>
      </c>
      <c r="B927" s="1" t="s">
        <v>1695</v>
      </c>
      <c r="C927" t="s">
        <v>3090</v>
      </c>
      <c r="D927" s="5" t="s">
        <v>4022</v>
      </c>
      <c r="E927" s="6">
        <f>IFERROR(VLOOKUP($D927,[1]Balanza!$A$3:$K$852,6,0)-VLOOKUP(D927,[1]Balanza!$A$3:$K$852,7,0),0)</f>
        <v>0</v>
      </c>
      <c r="F927" s="6">
        <f>IFERROR(VLOOKUP($D927,[1]Balanza!$A$3:$K$852,10,0)-VLOOKUP($D927,[1]Balanza!$A$3:$K$852,11,0),0)</f>
        <v>0</v>
      </c>
    </row>
    <row r="928" spans="1:6" x14ac:dyDescent="0.3">
      <c r="A928" s="2" t="s">
        <v>1696</v>
      </c>
      <c r="B928" s="2" t="s">
        <v>1695</v>
      </c>
      <c r="C928" t="s">
        <v>3090</v>
      </c>
      <c r="D928" s="5" t="s">
        <v>4023</v>
      </c>
      <c r="E928" s="6">
        <f>IFERROR(VLOOKUP($D928,[1]Balanza!$A$3:$K$852,6,0)-VLOOKUP(D928,[1]Balanza!$A$3:$K$852,7,0),0)</f>
        <v>0</v>
      </c>
      <c r="F928" s="6">
        <f>IFERROR(VLOOKUP($D928,[1]Balanza!$A$3:$K$852,10,0)-VLOOKUP($D928,[1]Balanza!$A$3:$K$852,11,0),0)</f>
        <v>0</v>
      </c>
    </row>
    <row r="929" spans="1:6" x14ac:dyDescent="0.3">
      <c r="A929" s="2" t="s">
        <v>1697</v>
      </c>
      <c r="B929" s="2" t="s">
        <v>1698</v>
      </c>
      <c r="C929" t="s">
        <v>3029</v>
      </c>
      <c r="D929" s="5" t="s">
        <v>4024</v>
      </c>
      <c r="E929" s="6">
        <f>IFERROR(VLOOKUP($D929,[1]Balanza!$A$3:$K$852,6,0)-VLOOKUP(D929,[1]Balanza!$A$3:$K$852,7,0),0)</f>
        <v>0</v>
      </c>
      <c r="F929" s="6">
        <f>IFERROR(VLOOKUP($D929,[1]Balanza!$A$3:$K$852,10,0)-VLOOKUP($D929,[1]Balanza!$A$3:$K$852,11,0),0)</f>
        <v>0</v>
      </c>
    </row>
    <row r="930" spans="1:6" x14ac:dyDescent="0.3">
      <c r="A930" s="2" t="s">
        <v>1699</v>
      </c>
      <c r="B930" s="2" t="s">
        <v>1698</v>
      </c>
      <c r="C930" t="s">
        <v>3029</v>
      </c>
      <c r="D930" s="5" t="s">
        <v>4025</v>
      </c>
      <c r="E930" s="6">
        <f>IFERROR(VLOOKUP($D930,[1]Balanza!$A$3:$K$852,6,0)-(VLOOKUP(D930,[1]Balanza!$A$3:$K$852,7,0)*-1),0)</f>
        <v>0</v>
      </c>
      <c r="F930" s="6">
        <f>IFERROR(VLOOKUP($D930,[1]Balanza!$A$3:$K$852,10,0)-VLOOKUP($D930,[1]Balanza!$A$3:$K$852,11,0),0)</f>
        <v>0</v>
      </c>
    </row>
    <row r="931" spans="1:6" x14ac:dyDescent="0.3">
      <c r="A931" s="2" t="s">
        <v>1700</v>
      </c>
      <c r="B931" s="2" t="s">
        <v>1701</v>
      </c>
      <c r="C931" t="s">
        <v>3029</v>
      </c>
      <c r="D931" s="5" t="s">
        <v>4026</v>
      </c>
      <c r="E931" s="6">
        <f>IFERROR(VLOOKUP($D931,[1]Balanza!$A$3:$K$852,6,0)-(VLOOKUP(D931,[1]Balanza!$A$3:$K$852,7,0)*-1),0)</f>
        <v>0</v>
      </c>
      <c r="F931" s="6">
        <f>IFERROR(VLOOKUP($D931,[1]Balanza!$A$3:$K$852,10,0)-VLOOKUP($D931,[1]Balanza!$A$3:$K$852,11,0),0)</f>
        <v>0</v>
      </c>
    </row>
    <row r="932" spans="1:6" x14ac:dyDescent="0.3">
      <c r="A932" s="1" t="s">
        <v>1702</v>
      </c>
      <c r="B932" s="1" t="s">
        <v>82</v>
      </c>
      <c r="C932" t="s">
        <v>3030</v>
      </c>
      <c r="D932" s="5" t="s">
        <v>4027</v>
      </c>
      <c r="E932" s="6">
        <f>IFERROR(VLOOKUP($D932,[1]Balanza!$A$3:$K$852,6,0)-(VLOOKUP(D932,[1]Balanza!$A$3:$K$852,7,0)*-1),0)</f>
        <v>7004416.7599999998</v>
      </c>
      <c r="F932" s="6">
        <f>IFERROR(VLOOKUP($D932,[1]Balanza!$A$3:$K$852,10,0)-VLOOKUP($D932,[1]Balanza!$A$3:$K$852,11,0),0)</f>
        <v>-3204132.94</v>
      </c>
    </row>
    <row r="933" spans="1:6" x14ac:dyDescent="0.3">
      <c r="A933" s="1" t="s">
        <v>1703</v>
      </c>
      <c r="B933" s="1" t="s">
        <v>1704</v>
      </c>
      <c r="C933" t="s">
        <v>3031</v>
      </c>
      <c r="D933" s="5" t="s">
        <v>4028</v>
      </c>
      <c r="E933" s="6">
        <f>IFERROR(VLOOKUP($D933,[1]Balanza!$A$3:$K$852,6,0)-(VLOOKUP(D933,[1]Balanza!$A$3:$K$852,7,0)*-1),0)</f>
        <v>0</v>
      </c>
      <c r="F933" s="6">
        <f>IFERROR(VLOOKUP($D933,[1]Balanza!$A$3:$K$852,10,0)-VLOOKUP($D933,[1]Balanza!$A$3:$K$852,11,0),0)</f>
        <v>-852760.66</v>
      </c>
    </row>
    <row r="934" spans="1:6" x14ac:dyDescent="0.3">
      <c r="A934" s="2" t="s">
        <v>1705</v>
      </c>
      <c r="B934" s="2" t="s">
        <v>1706</v>
      </c>
      <c r="C934" t="s">
        <v>3029</v>
      </c>
      <c r="D934" s="5" t="s">
        <v>4029</v>
      </c>
      <c r="E934" s="6">
        <f>IFERROR(VLOOKUP($D934,[1]Balanza!$A$3:$K$852,6,0)-(VLOOKUP(D934,[1]Balanza!$A$3:$K$852,7,0)*-1),0)</f>
        <v>0</v>
      </c>
      <c r="F934" s="6">
        <f>IFERROR(VLOOKUP($D934,[1]Balanza!$A$3:$K$852,10,0)-VLOOKUP($D934,[1]Balanza!$A$3:$K$852,11,0),0)</f>
        <v>0</v>
      </c>
    </row>
    <row r="935" spans="1:6" x14ac:dyDescent="0.3">
      <c r="A935" s="1" t="s">
        <v>1707</v>
      </c>
      <c r="B935" s="1" t="s">
        <v>1708</v>
      </c>
      <c r="C935" t="s">
        <v>3032</v>
      </c>
      <c r="D935" s="5" t="s">
        <v>4030</v>
      </c>
      <c r="E935" s="6">
        <f>IFERROR(VLOOKUP($D935,[1]Balanza!$A$3:$K$852,6,0)-(VLOOKUP(D935,[1]Balanza!$A$3:$K$852,7,0)*-1),0)</f>
        <v>7264787.8000000007</v>
      </c>
      <c r="F935" s="6">
        <f>IFERROR(VLOOKUP($D935,[1]Balanza!$A$3:$K$852,10,0)-VLOOKUP($D935,[1]Balanza!$A$3:$K$852,11,0),0)</f>
        <v>-2150193.1700000004</v>
      </c>
    </row>
    <row r="936" spans="1:6" x14ac:dyDescent="0.3">
      <c r="A936" s="1" t="s">
        <v>1709</v>
      </c>
      <c r="B936" s="1" t="s">
        <v>1710</v>
      </c>
      <c r="C936" t="s">
        <v>3032</v>
      </c>
      <c r="D936" s="5" t="s">
        <v>4031</v>
      </c>
      <c r="E936" s="6">
        <f>IFERROR(VLOOKUP($D936,[1]Balanza!$A$3:$K$852,6,0)-(VLOOKUP(D936,[1]Balanza!$A$3:$K$852,7,0)*-1),0)</f>
        <v>693585.1</v>
      </c>
      <c r="F936" s="6">
        <f>IFERROR(VLOOKUP($D936,[1]Balanza!$A$3:$K$852,10,0)-VLOOKUP($D936,[1]Balanza!$A$3:$K$852,11,0),0)</f>
        <v>-85581.41</v>
      </c>
    </row>
    <row r="937" spans="1:6" x14ac:dyDescent="0.3">
      <c r="A937" s="2" t="s">
        <v>1711</v>
      </c>
      <c r="B937" s="2" t="s">
        <v>1712</v>
      </c>
      <c r="C937" t="s">
        <v>3029</v>
      </c>
      <c r="D937" s="5" t="s">
        <v>4032</v>
      </c>
      <c r="E937" s="6">
        <f>IFERROR(VLOOKUP($D937,[1]Balanza!$A$3:$K$852,6,0)-VLOOKUP(D937,[1]Balanza!$A$3:$K$852,7,0),0)</f>
        <v>0</v>
      </c>
      <c r="F937" s="6">
        <f>IFERROR(VLOOKUP($D937,[1]Balanza!$A$3:$K$852,10,0)-VLOOKUP($D937,[1]Balanza!$A$3:$K$852,11,0),0)</f>
        <v>0</v>
      </c>
    </row>
    <row r="938" spans="1:6" x14ac:dyDescent="0.3">
      <c r="A938" s="2" t="s">
        <v>1713</v>
      </c>
      <c r="B938" s="2" t="s">
        <v>1714</v>
      </c>
      <c r="C938" t="s">
        <v>3029</v>
      </c>
      <c r="D938" s="5" t="s">
        <v>4033</v>
      </c>
      <c r="E938" s="6">
        <f>IFERROR(VLOOKUP($D938,[1]Balanza!$A$3:$K$852,6,0)-VLOOKUP(D938,[1]Balanza!$A$3:$K$852,7,0),0)</f>
        <v>0</v>
      </c>
      <c r="F938" s="6">
        <f>IFERROR(VLOOKUP($D938,[1]Balanza!$A$3:$K$852,10,0)-VLOOKUP($D938,[1]Balanza!$A$3:$K$852,11,0),0)</f>
        <v>0</v>
      </c>
    </row>
    <row r="939" spans="1:6" x14ac:dyDescent="0.3">
      <c r="A939" s="1" t="s">
        <v>1715</v>
      </c>
      <c r="B939" s="1" t="s">
        <v>1716</v>
      </c>
      <c r="C939" t="s">
        <v>3033</v>
      </c>
      <c r="D939" s="5" t="s">
        <v>4034</v>
      </c>
      <c r="E939" s="6">
        <f>IFERROR(VLOOKUP($D939,[1]Balanza!$A$3:$K$852,6,0)-VLOOKUP(D939,[1]Balanza!$A$3:$K$852,7,0),0)</f>
        <v>3299.94</v>
      </c>
      <c r="F939" s="6">
        <f>IFERROR(VLOOKUP($D939,[1]Balanza!$A$3:$K$852,10,0)-VLOOKUP($D939,[1]Balanza!$A$3:$K$852,11,0),0)</f>
        <v>179603.81</v>
      </c>
    </row>
    <row r="940" spans="1:6" x14ac:dyDescent="0.3">
      <c r="A940" s="1" t="s">
        <v>1717</v>
      </c>
      <c r="B940" s="1" t="s">
        <v>1718</v>
      </c>
      <c r="C940" t="s">
        <v>3034</v>
      </c>
      <c r="D940" s="5" t="s">
        <v>4035</v>
      </c>
      <c r="E940" s="6">
        <f>IFERROR(VLOOKUP($D940,[1]Balanza!$A$3:$K$852,6,0)-VLOOKUP(D940,[1]Balanza!$A$3:$K$852,7,0),0)</f>
        <v>35000</v>
      </c>
      <c r="F940" s="6">
        <f>IFERROR(VLOOKUP($D940,[1]Balanza!$A$3:$K$852,10,0)-VLOOKUP($D940,[1]Balanza!$A$3:$K$852,11,0),0)</f>
        <v>189880.99</v>
      </c>
    </row>
    <row r="941" spans="1:6" x14ac:dyDescent="0.3">
      <c r="A941" s="1" t="s">
        <v>1719</v>
      </c>
      <c r="B941" s="1" t="s">
        <v>1720</v>
      </c>
      <c r="C941" t="s">
        <v>3033</v>
      </c>
      <c r="D941" s="5" t="s">
        <v>4036</v>
      </c>
      <c r="E941" s="6">
        <f>IFERROR(VLOOKUP($D941,[1]Balanza!$A$3:$K$852,6,0)-VLOOKUP(D941,[1]Balanza!$A$3:$K$852,7,0),0)</f>
        <v>112742.32</v>
      </c>
      <c r="F941" s="6">
        <f>IFERROR(VLOOKUP($D941,[1]Balanza!$A$3:$K$852,10,0)-VLOOKUP($D941,[1]Balanza!$A$3:$K$852,11,0),0)</f>
        <v>280346.13</v>
      </c>
    </row>
    <row r="942" spans="1:6" x14ac:dyDescent="0.3">
      <c r="A942" s="1" t="s">
        <v>1721</v>
      </c>
      <c r="B942" s="1" t="s">
        <v>1722</v>
      </c>
      <c r="C942" t="s">
        <v>3033</v>
      </c>
      <c r="D942" s="5" t="s">
        <v>4037</v>
      </c>
      <c r="E942" s="6">
        <f>IFERROR(VLOOKUP($D942,[1]Balanza!$A$3:$K$852,6,0)-VLOOKUP(D942,[1]Balanza!$A$3:$K$852,7,0),0)</f>
        <v>0</v>
      </c>
      <c r="F942" s="6">
        <f>IFERROR(VLOOKUP($D942,[1]Balanza!$A$3:$K$852,10,0)-VLOOKUP($D942,[1]Balanza!$A$3:$K$852,11,0),0)</f>
        <v>218.96</v>
      </c>
    </row>
    <row r="943" spans="1:6" x14ac:dyDescent="0.3">
      <c r="A943" s="1" t="s">
        <v>1723</v>
      </c>
      <c r="B943" s="1" t="s">
        <v>1724</v>
      </c>
      <c r="C943" t="s">
        <v>3033</v>
      </c>
      <c r="D943" s="5" t="s">
        <v>4038</v>
      </c>
      <c r="E943" s="6">
        <f>IFERROR(VLOOKUP($D943,[1]Balanza!$A$3:$K$852,6,0)-VLOOKUP(D943,[1]Balanza!$A$3:$K$852,7,0),0)</f>
        <v>107708.11</v>
      </c>
      <c r="F943" s="6">
        <f>IFERROR(VLOOKUP($D943,[1]Balanza!$A$3:$K$852,10,0)-VLOOKUP($D943,[1]Balanza!$A$3:$K$852,11,0),0)</f>
        <v>9518.16</v>
      </c>
    </row>
    <row r="944" spans="1:6" x14ac:dyDescent="0.3">
      <c r="A944" s="1" t="s">
        <v>1725</v>
      </c>
      <c r="B944" s="1" t="s">
        <v>1726</v>
      </c>
      <c r="C944" t="s">
        <v>3033</v>
      </c>
      <c r="D944" s="5" t="s">
        <v>4039</v>
      </c>
      <c r="E944" s="6">
        <f>IFERROR(VLOOKUP($D944,[1]Balanza!$A$3:$K$852,6,0)-VLOOKUP(D944,[1]Balanza!$A$3:$K$852,7,0),0)</f>
        <v>765.52</v>
      </c>
      <c r="F944" s="6">
        <f>IFERROR(VLOOKUP($D944,[1]Balanza!$A$3:$K$852,10,0)-VLOOKUP($D944,[1]Balanza!$A$3:$K$852,11,0),0)</f>
        <v>29153.48</v>
      </c>
    </row>
    <row r="945" spans="1:6" x14ac:dyDescent="0.3">
      <c r="A945" s="1" t="s">
        <v>1727</v>
      </c>
      <c r="B945" s="1" t="s">
        <v>1728</v>
      </c>
      <c r="C945" t="s">
        <v>3033</v>
      </c>
      <c r="D945" s="5" t="s">
        <v>4040</v>
      </c>
      <c r="E945" s="6">
        <f>IFERROR(VLOOKUP($D945,[1]Balanza!$A$3:$K$852,6,0)-VLOOKUP(D945,[1]Balanza!$A$3:$K$852,7,0),0)</f>
        <v>0</v>
      </c>
      <c r="F945" s="6">
        <f>IFERROR(VLOOKUP($D945,[1]Balanza!$A$3:$K$852,10,0)-VLOOKUP($D945,[1]Balanza!$A$3:$K$852,11,0),0)</f>
        <v>0</v>
      </c>
    </row>
    <row r="946" spans="1:6" x14ac:dyDescent="0.3">
      <c r="A946" s="1" t="s">
        <v>1729</v>
      </c>
      <c r="B946" s="1" t="s">
        <v>1730</v>
      </c>
      <c r="C946" t="s">
        <v>3033</v>
      </c>
      <c r="D946" s="5" t="s">
        <v>4041</v>
      </c>
      <c r="E946" s="6">
        <f>IFERROR(VLOOKUP($D946,[1]Balanza!$A$3:$K$852,6,0)-VLOOKUP(D946,[1]Balanza!$A$3:$K$852,7,0),0)</f>
        <v>0</v>
      </c>
      <c r="F946" s="6">
        <f>IFERROR(VLOOKUP($D946,[1]Balanza!$A$3:$K$852,10,0)-VLOOKUP($D946,[1]Balanza!$A$3:$K$852,11,0),0)</f>
        <v>12182.4</v>
      </c>
    </row>
    <row r="947" spans="1:6" x14ac:dyDescent="0.3">
      <c r="A947" s="1" t="s">
        <v>1731</v>
      </c>
      <c r="B947" s="1" t="s">
        <v>1732</v>
      </c>
      <c r="C947" t="s">
        <v>3033</v>
      </c>
      <c r="D947" s="5" t="s">
        <v>4042</v>
      </c>
      <c r="E947" s="6">
        <f>IFERROR(VLOOKUP($D947,[1]Balanza!$A$3:$K$852,6,0)-VLOOKUP(D947,[1]Balanza!$A$3:$K$852,7,0),0)</f>
        <v>0</v>
      </c>
      <c r="F947" s="6">
        <f>IFERROR(VLOOKUP($D947,[1]Balanza!$A$3:$K$852,10,0)-VLOOKUP($D947,[1]Balanza!$A$3:$K$852,11,0),0)</f>
        <v>3024.82</v>
      </c>
    </row>
    <row r="948" spans="1:6" x14ac:dyDescent="0.3">
      <c r="A948" s="2" t="s">
        <v>1733</v>
      </c>
      <c r="B948" s="2" t="s">
        <v>1734</v>
      </c>
      <c r="C948" t="s">
        <v>3035</v>
      </c>
      <c r="D948" s="5" t="s">
        <v>4043</v>
      </c>
      <c r="E948" s="6">
        <f>IFERROR(VLOOKUP($D948,[1]Balanza!$A$3:$K$852,6,0)-VLOOKUP(D948,[1]Balanza!$A$3:$K$852,7,0),0)</f>
        <v>0</v>
      </c>
      <c r="F948" s="6">
        <f>IFERROR(VLOOKUP($D948,[1]Balanza!$A$3:$K$852,10,0)-VLOOKUP($D948,[1]Balanza!$A$3:$K$852,11,0),0)</f>
        <v>0</v>
      </c>
    </row>
    <row r="949" spans="1:6" x14ac:dyDescent="0.3">
      <c r="A949" s="2" t="s">
        <v>1735</v>
      </c>
      <c r="B949" s="2" t="s">
        <v>1736</v>
      </c>
      <c r="C949" t="s">
        <v>3035</v>
      </c>
      <c r="D949" s="5" t="s">
        <v>4044</v>
      </c>
      <c r="E949" s="6">
        <f>IFERROR(VLOOKUP($D949,[1]Balanza!$A$3:$K$852,6,0)-VLOOKUP(D949,[1]Balanza!$A$3:$K$852,7,0),0)</f>
        <v>0</v>
      </c>
      <c r="F949" s="6">
        <f>IFERROR(VLOOKUP($D949,[1]Balanza!$A$3:$K$852,10,0)-VLOOKUP($D949,[1]Balanza!$A$3:$K$852,11,0),0)</f>
        <v>0</v>
      </c>
    </row>
    <row r="950" spans="1:6" x14ac:dyDescent="0.3">
      <c r="A950" s="1" t="s">
        <v>1737</v>
      </c>
      <c r="B950" s="1" t="s">
        <v>1738</v>
      </c>
      <c r="C950" t="s">
        <v>3038</v>
      </c>
      <c r="D950" s="5" t="s">
        <v>4045</v>
      </c>
      <c r="E950" s="6">
        <f>IFERROR(VLOOKUP($D950,[1]Balanza!$A$3:$K$852,6,0)-VLOOKUP(D950,[1]Balanza!$A$3:$K$852,7,0),0)</f>
        <v>0</v>
      </c>
      <c r="F950" s="6">
        <f>IFERROR(VLOOKUP($D950,[1]Balanza!$A$3:$K$852,10,0)-VLOOKUP($D950,[1]Balanza!$A$3:$K$852,11,0),0)</f>
        <v>0</v>
      </c>
    </row>
    <row r="951" spans="1:6" x14ac:dyDescent="0.3">
      <c r="A951" s="1" t="s">
        <v>1739</v>
      </c>
      <c r="B951" s="1" t="s">
        <v>1740</v>
      </c>
      <c r="C951" t="s">
        <v>3035</v>
      </c>
      <c r="D951" s="5" t="s">
        <v>4046</v>
      </c>
      <c r="E951" s="6">
        <f>IFERROR(VLOOKUP($D951,[1]Balanza!$A$3:$K$852,6,0)-VLOOKUP(D951,[1]Balanza!$A$3:$K$852,7,0),0)</f>
        <v>-39966</v>
      </c>
      <c r="F951" s="6">
        <f>IFERROR(VLOOKUP($D951,[1]Balanza!$A$3:$K$852,10,0)-VLOOKUP($D951,[1]Balanza!$A$3:$K$852,11,0),0)</f>
        <v>0</v>
      </c>
    </row>
    <row r="952" spans="1:6" x14ac:dyDescent="0.3">
      <c r="A952" s="2" t="s">
        <v>1741</v>
      </c>
      <c r="B952" s="2" t="s">
        <v>1742</v>
      </c>
      <c r="C952" t="s">
        <v>3029</v>
      </c>
      <c r="D952" s="5" t="s">
        <v>4047</v>
      </c>
      <c r="E952" s="6">
        <f>IFERROR(VLOOKUP($D952,[1]Balanza!$A$3:$K$852,6,0)-VLOOKUP(D952,[1]Balanza!$A$3:$K$852,7,0),0)</f>
        <v>0</v>
      </c>
      <c r="F952" s="6">
        <f>IFERROR(VLOOKUP($D952,[1]Balanza!$A$3:$K$852,10,0)-VLOOKUP($D952,[1]Balanza!$A$3:$K$852,11,0),0)</f>
        <v>0</v>
      </c>
    </row>
    <row r="953" spans="1:6" x14ac:dyDescent="0.3">
      <c r="A953" s="2" t="s">
        <v>1743</v>
      </c>
      <c r="B953" s="2" t="s">
        <v>1744</v>
      </c>
      <c r="C953" t="s">
        <v>3029</v>
      </c>
      <c r="D953" s="5" t="s">
        <v>4048</v>
      </c>
      <c r="E953" s="6">
        <f>IFERROR(VLOOKUP($D953,[1]Balanza!$A$3:$K$852,6,0)-VLOOKUP(D953,[1]Balanza!$A$3:$K$852,7,0),0)</f>
        <v>0</v>
      </c>
      <c r="F953" s="6">
        <f>IFERROR(VLOOKUP($D953,[1]Balanza!$A$3:$K$852,10,0)-VLOOKUP($D953,[1]Balanza!$A$3:$K$852,11,0),0)</f>
        <v>0</v>
      </c>
    </row>
    <row r="954" spans="1:6" x14ac:dyDescent="0.3">
      <c r="A954" s="2" t="s">
        <v>1745</v>
      </c>
      <c r="B954" s="2" t="s">
        <v>1746</v>
      </c>
      <c r="C954" t="s">
        <v>3029</v>
      </c>
      <c r="D954" s="5" t="s">
        <v>4049</v>
      </c>
      <c r="E954" s="6">
        <f>IFERROR(VLOOKUP($D954,[1]Balanza!$A$3:$K$852,6,0)-VLOOKUP(D954,[1]Balanza!$A$3:$K$852,7,0),0)</f>
        <v>0</v>
      </c>
      <c r="F954" s="6">
        <f>IFERROR(VLOOKUP($D954,[1]Balanza!$A$3:$K$852,10,0)-VLOOKUP($D954,[1]Balanza!$A$3:$K$852,11,0),0)</f>
        <v>0</v>
      </c>
    </row>
    <row r="955" spans="1:6" x14ac:dyDescent="0.3">
      <c r="A955" s="2" t="s">
        <v>1747</v>
      </c>
      <c r="B955" s="2" t="s">
        <v>1748</v>
      </c>
      <c r="C955" t="s">
        <v>3029</v>
      </c>
      <c r="D955" s="5" t="s">
        <v>4050</v>
      </c>
      <c r="E955" s="6">
        <f>IFERROR(VLOOKUP($D955,[1]Balanza!$A$3:$K$852,6,0)-VLOOKUP(D955,[1]Balanza!$A$3:$K$852,7,0),0)</f>
        <v>0</v>
      </c>
      <c r="F955" s="6">
        <f>IFERROR(VLOOKUP($D955,[1]Balanza!$A$3:$K$852,10,0)-VLOOKUP($D955,[1]Balanza!$A$3:$K$852,11,0),0)</f>
        <v>0</v>
      </c>
    </row>
    <row r="956" spans="1:6" x14ac:dyDescent="0.3">
      <c r="A956" s="2" t="s">
        <v>1749</v>
      </c>
      <c r="B956" s="2" t="s">
        <v>1750</v>
      </c>
      <c r="C956" t="s">
        <v>3029</v>
      </c>
      <c r="D956" s="5" t="s">
        <v>4051</v>
      </c>
      <c r="E956" s="6">
        <f>IFERROR(VLOOKUP($D956,[1]Balanza!$A$3:$K$852,6,0)-VLOOKUP(D956,[1]Balanza!$A$3:$K$852,7,0),0)</f>
        <v>0</v>
      </c>
      <c r="F956" s="6">
        <f>IFERROR(VLOOKUP($D956,[1]Balanza!$A$3:$K$852,10,0)-VLOOKUP($D956,[1]Balanza!$A$3:$K$852,11,0),0)</f>
        <v>0</v>
      </c>
    </row>
    <row r="957" spans="1:6" x14ac:dyDescent="0.3">
      <c r="A957" s="2" t="s">
        <v>1751</v>
      </c>
      <c r="B957" s="2" t="s">
        <v>1752</v>
      </c>
      <c r="C957" t="s">
        <v>3029</v>
      </c>
      <c r="D957" s="5" t="s">
        <v>4052</v>
      </c>
      <c r="E957" s="6">
        <f>IFERROR(VLOOKUP($D957,[1]Balanza!$A$3:$K$852,6,0)-VLOOKUP(D957,[1]Balanza!$A$3:$K$852,7,0),0)</f>
        <v>0</v>
      </c>
      <c r="F957" s="6">
        <f>IFERROR(VLOOKUP($D957,[1]Balanza!$A$3:$K$852,10,0)-VLOOKUP($D957,[1]Balanza!$A$3:$K$852,11,0),0)</f>
        <v>0</v>
      </c>
    </row>
    <row r="958" spans="1:6" x14ac:dyDescent="0.3">
      <c r="A958" s="2" t="s">
        <v>1753</v>
      </c>
      <c r="B958" s="2" t="s">
        <v>1754</v>
      </c>
      <c r="C958" t="s">
        <v>3029</v>
      </c>
      <c r="D958" s="5" t="s">
        <v>4053</v>
      </c>
      <c r="E958" s="6">
        <f>IFERROR(VLOOKUP($D958,[1]Balanza!$A$3:$K$852,6,0)-VLOOKUP(D958,[1]Balanza!$A$3:$K$852,7,0),0)</f>
        <v>0</v>
      </c>
      <c r="F958" s="6">
        <f>IFERROR(VLOOKUP($D958,[1]Balanza!$A$3:$K$852,10,0)-VLOOKUP($D958,[1]Balanza!$A$3:$K$852,11,0),0)</f>
        <v>0</v>
      </c>
    </row>
    <row r="959" spans="1:6" x14ac:dyDescent="0.3">
      <c r="A959" s="1" t="s">
        <v>1755</v>
      </c>
      <c r="B959" s="1" t="s">
        <v>1756</v>
      </c>
      <c r="C959" t="s">
        <v>3036</v>
      </c>
      <c r="D959" s="5" t="s">
        <v>4054</v>
      </c>
      <c r="E959" s="6">
        <f>IFERROR(VLOOKUP($D959,[1]Balanza!$A$3:$K$852,6,0)-VLOOKUP(D959,[1]Balanza!$A$3:$K$852,7,0),0)</f>
        <v>5071546.87</v>
      </c>
      <c r="F959" s="6">
        <f>IFERROR(VLOOKUP($D959,[1]Balanza!$A$3:$K$852,10,0)-VLOOKUP($D959,[1]Balanza!$A$3:$K$852,11,0),0)</f>
        <v>2064998.3099999998</v>
      </c>
    </row>
    <row r="960" spans="1:6" x14ac:dyDescent="0.3">
      <c r="A960" s="1" t="s">
        <v>1757</v>
      </c>
      <c r="B960" s="1" t="s">
        <v>1758</v>
      </c>
      <c r="C960" t="s">
        <v>3036</v>
      </c>
      <c r="D960" s="5" t="s">
        <v>4055</v>
      </c>
      <c r="E960" s="6">
        <f>IFERROR(VLOOKUP($D960,[1]Balanza!$A$3:$K$852,6,0)-VLOOKUP(D960,[1]Balanza!$A$3:$K$852,7,0),0)</f>
        <v>0</v>
      </c>
      <c r="F960" s="6">
        <f>IFERROR(VLOOKUP($D960,[1]Balanza!$A$3:$K$852,10,0)-VLOOKUP($D960,[1]Balanza!$A$3:$K$852,11,0),0)</f>
        <v>0</v>
      </c>
    </row>
    <row r="961" spans="1:6" x14ac:dyDescent="0.3">
      <c r="A961" s="1" t="s">
        <v>1759</v>
      </c>
      <c r="B961" s="1" t="s">
        <v>1760</v>
      </c>
      <c r="C961" t="s">
        <v>3036</v>
      </c>
      <c r="D961" s="5" t="s">
        <v>4056</v>
      </c>
      <c r="E961" s="6">
        <f>IFERROR(VLOOKUP($D961,[1]Balanza!$A$3:$K$852,6,0)-VLOOKUP(D961,[1]Balanza!$A$3:$K$852,7,0),0)</f>
        <v>0</v>
      </c>
      <c r="F961" s="6">
        <f>IFERROR(VLOOKUP($D961,[1]Balanza!$A$3:$K$852,10,0)-VLOOKUP($D961,[1]Balanza!$A$3:$K$852,11,0),0)</f>
        <v>0</v>
      </c>
    </row>
    <row r="962" spans="1:6" x14ac:dyDescent="0.3">
      <c r="A962" s="2" t="s">
        <v>1761</v>
      </c>
      <c r="B962" s="2" t="s">
        <v>1762</v>
      </c>
      <c r="C962" t="s">
        <v>3090</v>
      </c>
      <c r="D962" s="5" t="s">
        <v>4057</v>
      </c>
      <c r="E962" s="6">
        <f>IFERROR(VLOOKUP($D962,[1]Balanza!$A$3:$K$852,6,0)-VLOOKUP(D962,[1]Balanza!$A$3:$K$852,7,0),0)</f>
        <v>0</v>
      </c>
      <c r="F962" s="6">
        <f>IFERROR(VLOOKUP($D962,[1]Balanza!$A$3:$K$852,10,0)-VLOOKUP($D962,[1]Balanza!$A$3:$K$852,11,0),0)</f>
        <v>0</v>
      </c>
    </row>
    <row r="963" spans="1:6" x14ac:dyDescent="0.3">
      <c r="A963" s="1" t="s">
        <v>1763</v>
      </c>
      <c r="B963" s="1" t="s">
        <v>1764</v>
      </c>
      <c r="C963" t="s">
        <v>3037</v>
      </c>
      <c r="D963" s="5" t="s">
        <v>4058</v>
      </c>
      <c r="E963" s="6">
        <f>IFERROR(VLOOKUP($D963,[1]Balanza!$A$3:$K$852,6,0)-VLOOKUP(D963,[1]Balanza!$A$3:$K$852,7,0),0)</f>
        <v>0</v>
      </c>
      <c r="F963" s="6">
        <f>IFERROR(VLOOKUP($D963,[1]Balanza!$A$3:$K$852,10,0)-VLOOKUP($D963,[1]Balanza!$A$3:$K$852,11,0),0)</f>
        <v>0</v>
      </c>
    </row>
    <row r="964" spans="1:6" x14ac:dyDescent="0.3">
      <c r="A964" s="1" t="s">
        <v>1765</v>
      </c>
      <c r="B964" s="1" t="s">
        <v>1766</v>
      </c>
      <c r="C964" t="s">
        <v>3029</v>
      </c>
      <c r="D964" s="5" t="s">
        <v>4059</v>
      </c>
      <c r="E964" s="6">
        <f>IFERROR(VLOOKUP($D964,[1]Balanza!$A$3:$K$852,6,0)-VLOOKUP(D964,[1]Balanza!$A$3:$K$852,7,0),0)</f>
        <v>0</v>
      </c>
      <c r="F964" s="6">
        <f>IFERROR(VLOOKUP($D964,[1]Balanza!$A$3:$K$852,10,0)-VLOOKUP($D964,[1]Balanza!$A$3:$K$852,11,0),0)</f>
        <v>0</v>
      </c>
    </row>
    <row r="965" spans="1:6" x14ac:dyDescent="0.3">
      <c r="A965" s="2" t="s">
        <v>1767</v>
      </c>
      <c r="B965" s="2" t="s">
        <v>1768</v>
      </c>
      <c r="C965" t="s">
        <v>3037</v>
      </c>
      <c r="D965" s="5" t="s">
        <v>4060</v>
      </c>
      <c r="E965" s="6">
        <f>IFERROR(VLOOKUP($D965,[1]Balanza!$A$3:$K$852,6,0)-VLOOKUP(D965,[1]Balanza!$A$3:$K$852,7,0),0)</f>
        <v>616647.65</v>
      </c>
      <c r="F965" s="6">
        <f>IFERROR(VLOOKUP($D965,[1]Balanza!$A$3:$K$852,10,0)-VLOOKUP($D965,[1]Balanza!$A$3:$K$852,11,0),0)</f>
        <v>180798.74</v>
      </c>
    </row>
    <row r="966" spans="1:6" x14ac:dyDescent="0.3">
      <c r="A966" s="2" t="s">
        <v>1769</v>
      </c>
      <c r="B966" s="2" t="s">
        <v>1770</v>
      </c>
      <c r="C966" t="s">
        <v>3037</v>
      </c>
      <c r="D966" s="5" t="s">
        <v>4061</v>
      </c>
      <c r="E966" s="6">
        <f>IFERROR(VLOOKUP($D966,[1]Balanza!$A$3:$K$852,6,0)-VLOOKUP(D966,[1]Balanza!$A$3:$K$852,7,0),0)</f>
        <v>0</v>
      </c>
      <c r="F966" s="6">
        <f>IFERROR(VLOOKUP($D966,[1]Balanza!$A$3:$K$852,10,0)-VLOOKUP($D966,[1]Balanza!$A$3:$K$852,11,0),0)</f>
        <v>0</v>
      </c>
    </row>
    <row r="967" spans="1:6" x14ac:dyDescent="0.3">
      <c r="A967" s="2" t="s">
        <v>1771</v>
      </c>
      <c r="B967" s="2" t="s">
        <v>1772</v>
      </c>
      <c r="C967" t="s">
        <v>3037</v>
      </c>
      <c r="D967" s="5" t="s">
        <v>4062</v>
      </c>
      <c r="E967" s="6">
        <f>IFERROR(VLOOKUP($D967,[1]Balanza!$A$3:$K$852,6,0)-VLOOKUP(D967,[1]Balanza!$A$3:$K$852,7,0),0)</f>
        <v>23047.13</v>
      </c>
      <c r="F967" s="6">
        <f>IFERROR(VLOOKUP($D967,[1]Balanza!$A$3:$K$852,10,0)-VLOOKUP($D967,[1]Balanza!$A$3:$K$852,11,0),0)</f>
        <v>386.02</v>
      </c>
    </row>
    <row r="968" spans="1:6" x14ac:dyDescent="0.3">
      <c r="A968" s="2" t="s">
        <v>1773</v>
      </c>
      <c r="B968" s="2" t="s">
        <v>1774</v>
      </c>
      <c r="C968" t="s">
        <v>3037</v>
      </c>
      <c r="D968" s="5" t="s">
        <v>4063</v>
      </c>
      <c r="E968" s="6">
        <f>IFERROR(VLOOKUP($D968,[1]Balanza!$A$3:$K$852,6,0)-VLOOKUP(D968,[1]Balanza!$A$3:$K$852,7,0),0)</f>
        <v>73705.210000000006</v>
      </c>
      <c r="F968" s="6">
        <f>IFERROR(VLOOKUP($D968,[1]Balanza!$A$3:$K$852,10,0)-VLOOKUP($D968,[1]Balanza!$A$3:$K$852,11,0),0)</f>
        <v>21411.22</v>
      </c>
    </row>
    <row r="969" spans="1:6" x14ac:dyDescent="0.3">
      <c r="A969" s="2" t="s">
        <v>1775</v>
      </c>
      <c r="B969" s="2" t="s">
        <v>1776</v>
      </c>
      <c r="C969" t="s">
        <v>3037</v>
      </c>
      <c r="D969" s="5" t="s">
        <v>4064</v>
      </c>
      <c r="E969" s="6">
        <f>IFERROR(VLOOKUP($D969,[1]Balanza!$A$3:$K$852,6,0)-VLOOKUP(D969,[1]Balanza!$A$3:$K$852,7,0),0)</f>
        <v>73705.210000000006</v>
      </c>
      <c r="F969" s="6">
        <f>IFERROR(VLOOKUP($D969,[1]Balanza!$A$3:$K$852,10,0)-VLOOKUP($D969,[1]Balanza!$A$3:$K$852,11,0),0)</f>
        <v>21411.22</v>
      </c>
    </row>
    <row r="970" spans="1:6" x14ac:dyDescent="0.3">
      <c r="A970" s="2" t="s">
        <v>1777</v>
      </c>
      <c r="B970" s="2" t="s">
        <v>1778</v>
      </c>
      <c r="C970" t="s">
        <v>3037</v>
      </c>
      <c r="D970" s="5" t="s">
        <v>4065</v>
      </c>
      <c r="E970" s="6">
        <f>IFERROR(VLOOKUP($D970,[1]Balanza!$A$3:$K$852,6,0)-VLOOKUP(D970,[1]Balanza!$A$3:$K$852,7,0),0)</f>
        <v>25220.7</v>
      </c>
      <c r="F970" s="6">
        <f>IFERROR(VLOOKUP($D970,[1]Balanza!$A$3:$K$852,10,0)-VLOOKUP($D970,[1]Balanza!$A$3:$K$852,11,0),0)</f>
        <v>3936.68</v>
      </c>
    </row>
    <row r="971" spans="1:6" x14ac:dyDescent="0.3">
      <c r="A971" s="2" t="s">
        <v>1779</v>
      </c>
      <c r="B971" s="2" t="s">
        <v>1780</v>
      </c>
      <c r="C971" t="s">
        <v>3037</v>
      </c>
      <c r="D971" s="5" t="s">
        <v>4066</v>
      </c>
      <c r="E971" s="6">
        <f>IFERROR(VLOOKUP($D971,[1]Balanza!$A$3:$K$852,6,0)-VLOOKUP(D971,[1]Balanza!$A$3:$K$852,7,0),0)</f>
        <v>9333.83</v>
      </c>
      <c r="F971" s="6">
        <f>IFERROR(VLOOKUP($D971,[1]Balanza!$A$3:$K$852,10,0)-VLOOKUP($D971,[1]Balanza!$A$3:$K$852,11,0),0)</f>
        <v>3228.74</v>
      </c>
    </row>
    <row r="972" spans="1:6" x14ac:dyDescent="0.3">
      <c r="A972" s="2" t="s">
        <v>1781</v>
      </c>
      <c r="B972" s="2" t="s">
        <v>1782</v>
      </c>
      <c r="C972" t="s">
        <v>3037</v>
      </c>
      <c r="D972" s="5" t="s">
        <v>4067</v>
      </c>
      <c r="E972" s="6">
        <f>IFERROR(VLOOKUP($D972,[1]Balanza!$A$3:$K$852,6,0)-VLOOKUP(D972,[1]Balanza!$A$3:$K$852,7,0),0)</f>
        <v>0</v>
      </c>
      <c r="F972" s="6">
        <f>IFERROR(VLOOKUP($D972,[1]Balanza!$A$3:$K$852,10,0)-VLOOKUP($D972,[1]Balanza!$A$3:$K$852,11,0),0)</f>
        <v>0</v>
      </c>
    </row>
    <row r="973" spans="1:6" x14ac:dyDescent="0.3">
      <c r="A973" s="2" t="s">
        <v>1783</v>
      </c>
      <c r="B973" s="2" t="s">
        <v>1784</v>
      </c>
      <c r="C973" t="s">
        <v>3037</v>
      </c>
      <c r="D973" s="5" t="s">
        <v>4068</v>
      </c>
      <c r="E973" s="6">
        <f>IFERROR(VLOOKUP($D973,[1]Balanza!$A$3:$K$852,6,0)-VLOOKUP(D973,[1]Balanza!$A$3:$K$852,7,0),0)</f>
        <v>0</v>
      </c>
      <c r="F973" s="6">
        <f>IFERROR(VLOOKUP($D973,[1]Balanza!$A$3:$K$852,10,0)-VLOOKUP($D973,[1]Balanza!$A$3:$K$852,11,0),0)</f>
        <v>0</v>
      </c>
    </row>
    <row r="974" spans="1:6" x14ac:dyDescent="0.3">
      <c r="A974" s="2" t="s">
        <v>1785</v>
      </c>
      <c r="B974" s="2" t="s">
        <v>1786</v>
      </c>
      <c r="C974" t="s">
        <v>3037</v>
      </c>
      <c r="D974" s="5" t="s">
        <v>4069</v>
      </c>
      <c r="E974" s="6">
        <f>IFERROR(VLOOKUP($D974,[1]Balanza!$A$3:$K$852,6,0)-VLOOKUP(D974,[1]Balanza!$A$3:$K$852,7,0),0)</f>
        <v>0</v>
      </c>
      <c r="F974" s="6">
        <f>IFERROR(VLOOKUP($D974,[1]Balanza!$A$3:$K$852,10,0)-VLOOKUP($D974,[1]Balanza!$A$3:$K$852,11,0),0)</f>
        <v>0</v>
      </c>
    </row>
    <row r="975" spans="1:6" x14ac:dyDescent="0.3">
      <c r="A975" s="2" t="s">
        <v>1787</v>
      </c>
      <c r="B975" s="2" t="s">
        <v>1788</v>
      </c>
      <c r="C975" t="s">
        <v>3037</v>
      </c>
      <c r="D975" s="5" t="s">
        <v>4070</v>
      </c>
      <c r="E975" s="6">
        <f>IFERROR(VLOOKUP($D975,[1]Balanza!$A$3:$K$852,6,0)-VLOOKUP(D975,[1]Balanza!$A$3:$K$852,7,0),0)</f>
        <v>5789</v>
      </c>
      <c r="F975" s="6">
        <f>IFERROR(VLOOKUP($D975,[1]Balanza!$A$3:$K$852,10,0)-VLOOKUP($D975,[1]Balanza!$A$3:$K$852,11,0),0)</f>
        <v>0</v>
      </c>
    </row>
    <row r="976" spans="1:6" x14ac:dyDescent="0.3">
      <c r="A976" s="2" t="s">
        <v>1789</v>
      </c>
      <c r="B976" s="2" t="s">
        <v>1790</v>
      </c>
      <c r="C976" t="s">
        <v>3037</v>
      </c>
      <c r="D976" s="5" t="s">
        <v>4071</v>
      </c>
      <c r="E976" s="6">
        <f>IFERROR(VLOOKUP($D976,[1]Balanza!$A$3:$K$852,6,0)-VLOOKUP(D976,[1]Balanza!$A$3:$K$852,7,0),0)</f>
        <v>32862.449999999997</v>
      </c>
      <c r="F976" s="6">
        <f>IFERROR(VLOOKUP($D976,[1]Balanza!$A$3:$K$852,10,0)-VLOOKUP($D976,[1]Balanza!$A$3:$K$852,11,0),0)</f>
        <v>9563.16</v>
      </c>
    </row>
    <row r="977" spans="1:6" x14ac:dyDescent="0.3">
      <c r="A977" s="2" t="s">
        <v>1791</v>
      </c>
      <c r="B977" s="2" t="s">
        <v>1792</v>
      </c>
      <c r="C977" t="s">
        <v>3037</v>
      </c>
      <c r="D977" s="5" t="s">
        <v>4072</v>
      </c>
      <c r="E977" s="6">
        <f>IFERROR(VLOOKUP($D977,[1]Balanza!$A$3:$K$852,6,0)-VLOOKUP(D977,[1]Balanza!$A$3:$K$852,7,0),0)</f>
        <v>0</v>
      </c>
      <c r="F977" s="6">
        <f>IFERROR(VLOOKUP($D977,[1]Balanza!$A$3:$K$852,10,0)-VLOOKUP($D977,[1]Balanza!$A$3:$K$852,11,0),0)</f>
        <v>0</v>
      </c>
    </row>
    <row r="978" spans="1:6" x14ac:dyDescent="0.3">
      <c r="A978" s="2" t="s">
        <v>1793</v>
      </c>
      <c r="B978" s="2" t="s">
        <v>1794</v>
      </c>
      <c r="C978" t="s">
        <v>3037</v>
      </c>
      <c r="D978" s="5" t="s">
        <v>4073</v>
      </c>
      <c r="E978" s="6">
        <f>IFERROR(VLOOKUP($D978,[1]Balanza!$A$3:$K$852,6,0)-VLOOKUP(D978,[1]Balanza!$A$3:$K$852,7,0),0)</f>
        <v>0</v>
      </c>
      <c r="F978" s="6">
        <f>IFERROR(VLOOKUP($D978,[1]Balanza!$A$3:$K$852,10,0)-VLOOKUP($D978,[1]Balanza!$A$3:$K$852,11,0),0)</f>
        <v>0</v>
      </c>
    </row>
    <row r="979" spans="1:6" x14ac:dyDescent="0.3">
      <c r="A979" s="2" t="s">
        <v>1795</v>
      </c>
      <c r="B979" s="2" t="s">
        <v>1796</v>
      </c>
      <c r="C979" t="s">
        <v>3037</v>
      </c>
      <c r="D979" s="5" t="s">
        <v>4074</v>
      </c>
      <c r="E979" s="6">
        <f>IFERROR(VLOOKUP($D979,[1]Balanza!$A$3:$K$852,6,0)-VLOOKUP(D979,[1]Balanza!$A$3:$K$852,7,0),0)</f>
        <v>73352.03</v>
      </c>
      <c r="F979" s="6">
        <f>IFERROR(VLOOKUP($D979,[1]Balanza!$A$3:$K$852,10,0)-VLOOKUP($D979,[1]Balanza!$A$3:$K$852,11,0),0)</f>
        <v>21411.22</v>
      </c>
    </row>
    <row r="980" spans="1:6" x14ac:dyDescent="0.3">
      <c r="A980" s="2" t="s">
        <v>1797</v>
      </c>
      <c r="B980" s="2" t="s">
        <v>1798</v>
      </c>
      <c r="C980" t="s">
        <v>3037</v>
      </c>
      <c r="D980" s="5" t="s">
        <v>4075</v>
      </c>
      <c r="E980" s="6">
        <f>IFERROR(VLOOKUP($D980,[1]Balanza!$A$3:$K$852,6,0)-VLOOKUP(D980,[1]Balanza!$A$3:$K$852,7,0),0)</f>
        <v>3400</v>
      </c>
      <c r="F980" s="6">
        <f>IFERROR(VLOOKUP($D980,[1]Balanza!$A$3:$K$852,10,0)-VLOOKUP($D980,[1]Balanza!$A$3:$K$852,11,0),0)</f>
        <v>0</v>
      </c>
    </row>
    <row r="981" spans="1:6" x14ac:dyDescent="0.3">
      <c r="A981" s="2" t="s">
        <v>1799</v>
      </c>
      <c r="B981" s="2" t="s">
        <v>1800</v>
      </c>
      <c r="C981" t="s">
        <v>3037</v>
      </c>
      <c r="D981" s="5" t="s">
        <v>4076</v>
      </c>
      <c r="E981" s="6">
        <f>IFERROR(VLOOKUP($D981,[1]Balanza!$A$3:$K$852,6,0)-VLOOKUP(D981,[1]Balanza!$A$3:$K$852,7,0),0)</f>
        <v>0</v>
      </c>
      <c r="F981" s="6">
        <f>IFERROR(VLOOKUP($D981,[1]Balanza!$A$3:$K$852,10,0)-VLOOKUP($D981,[1]Balanza!$A$3:$K$852,11,0),0)</f>
        <v>0</v>
      </c>
    </row>
    <row r="982" spans="1:6" x14ac:dyDescent="0.3">
      <c r="A982" s="2" t="s">
        <v>1801</v>
      </c>
      <c r="B982" s="2" t="s">
        <v>1802</v>
      </c>
      <c r="C982" t="s">
        <v>3037</v>
      </c>
      <c r="D982" s="5" t="s">
        <v>4077</v>
      </c>
      <c r="E982" s="6">
        <f>IFERROR(VLOOKUP($D982,[1]Balanza!$A$3:$K$852,6,0)-VLOOKUP(D982,[1]Balanza!$A$3:$K$852,7,0),0)</f>
        <v>0</v>
      </c>
      <c r="F982" s="6">
        <f>IFERROR(VLOOKUP($D982,[1]Balanza!$A$3:$K$852,10,0)-VLOOKUP($D982,[1]Balanza!$A$3:$K$852,11,0),0)</f>
        <v>0</v>
      </c>
    </row>
    <row r="983" spans="1:6" x14ac:dyDescent="0.3">
      <c r="A983" s="2" t="s">
        <v>1803</v>
      </c>
      <c r="B983" s="2" t="s">
        <v>1804</v>
      </c>
      <c r="C983" t="s">
        <v>3037</v>
      </c>
      <c r="D983" s="5" t="s">
        <v>4078</v>
      </c>
      <c r="E983" s="6">
        <f>IFERROR(VLOOKUP($D983,[1]Balanza!$A$3:$K$852,6,0)-VLOOKUP(D983,[1]Balanza!$A$3:$K$852,7,0),0)</f>
        <v>36452.35</v>
      </c>
      <c r="F983" s="6">
        <f>IFERROR(VLOOKUP($D983,[1]Balanza!$A$3:$K$852,10,0)-VLOOKUP($D983,[1]Balanza!$A$3:$K$852,11,0),0)</f>
        <v>10675.14</v>
      </c>
    </row>
    <row r="984" spans="1:6" x14ac:dyDescent="0.3">
      <c r="A984" s="2" t="s">
        <v>1805</v>
      </c>
      <c r="B984" s="2" t="s">
        <v>1806</v>
      </c>
      <c r="C984" t="s">
        <v>3037</v>
      </c>
      <c r="D984" s="5" t="s">
        <v>4079</v>
      </c>
      <c r="E984" s="6">
        <f>IFERROR(VLOOKUP($D984,[1]Balanza!$A$3:$K$852,6,0)-VLOOKUP(D984,[1]Balanza!$A$3:$K$852,7,0),0)</f>
        <v>0</v>
      </c>
      <c r="F984" s="6">
        <f>IFERROR(VLOOKUP($D984,[1]Balanza!$A$3:$K$852,10,0)-VLOOKUP($D984,[1]Balanza!$A$3:$K$852,11,0),0)</f>
        <v>0</v>
      </c>
    </row>
    <row r="985" spans="1:6" x14ac:dyDescent="0.3">
      <c r="A985" s="2" t="s">
        <v>1807</v>
      </c>
      <c r="B985" s="2" t="s">
        <v>1808</v>
      </c>
      <c r="C985" t="s">
        <v>3037</v>
      </c>
      <c r="D985" s="5" t="s">
        <v>4080</v>
      </c>
      <c r="E985" s="6">
        <f>IFERROR(VLOOKUP($D985,[1]Balanza!$A$3:$K$852,6,0)-VLOOKUP(D985,[1]Balanza!$A$3:$K$852,7,0),0)</f>
        <v>0</v>
      </c>
      <c r="F985" s="6">
        <f>IFERROR(VLOOKUP($D985,[1]Balanza!$A$3:$K$852,10,0)-VLOOKUP($D985,[1]Balanza!$A$3:$K$852,11,0),0)</f>
        <v>16493</v>
      </c>
    </row>
    <row r="986" spans="1:6" x14ac:dyDescent="0.3">
      <c r="A986" s="2" t="s">
        <v>1809</v>
      </c>
      <c r="B986" s="2" t="s">
        <v>1810</v>
      </c>
      <c r="C986" t="s">
        <v>3037</v>
      </c>
      <c r="D986" s="5" t="s">
        <v>4081</v>
      </c>
      <c r="E986" s="6">
        <f>IFERROR(VLOOKUP($D986,[1]Balanza!$A$3:$K$852,6,0)-VLOOKUP(D986,[1]Balanza!$A$3:$K$852,7,0),0)</f>
        <v>0</v>
      </c>
      <c r="F986" s="6">
        <f>IFERROR(VLOOKUP($D986,[1]Balanza!$A$3:$K$852,10,0)-VLOOKUP($D986,[1]Balanza!$A$3:$K$852,11,0),0)</f>
        <v>0</v>
      </c>
    </row>
    <row r="987" spans="1:6" x14ac:dyDescent="0.3">
      <c r="A987" s="2" t="s">
        <v>1811</v>
      </c>
      <c r="B987" s="2" t="s">
        <v>1812</v>
      </c>
      <c r="C987" t="s">
        <v>3037</v>
      </c>
      <c r="D987" s="5" t="s">
        <v>4082</v>
      </c>
      <c r="E987" s="6">
        <f>IFERROR(VLOOKUP($D987,[1]Balanza!$A$3:$K$852,6,0)-VLOOKUP(D987,[1]Balanza!$A$3:$K$852,7,0),0)</f>
        <v>0</v>
      </c>
      <c r="F987" s="6">
        <f>IFERROR(VLOOKUP($D987,[1]Balanza!$A$3:$K$852,10,0)-VLOOKUP($D987,[1]Balanza!$A$3:$K$852,11,0),0)</f>
        <v>0</v>
      </c>
    </row>
    <row r="988" spans="1:6" x14ac:dyDescent="0.3">
      <c r="A988" s="2" t="s">
        <v>1813</v>
      </c>
      <c r="B988" s="2" t="s">
        <v>1814</v>
      </c>
      <c r="C988" t="s">
        <v>3037</v>
      </c>
      <c r="D988" s="5" t="s">
        <v>4083</v>
      </c>
      <c r="E988" s="6">
        <f>IFERROR(VLOOKUP($D988,[1]Balanza!$A$3:$K$852,6,0)-VLOOKUP(D988,[1]Balanza!$A$3:$K$852,7,0),0)</f>
        <v>105159.83</v>
      </c>
      <c r="F988" s="6">
        <f>IFERROR(VLOOKUP($D988,[1]Balanza!$A$3:$K$852,10,0)-VLOOKUP($D988,[1]Balanza!$A$3:$K$852,11,0),0)</f>
        <v>30602.11</v>
      </c>
    </row>
    <row r="989" spans="1:6" x14ac:dyDescent="0.3">
      <c r="A989" s="2" t="s">
        <v>1815</v>
      </c>
      <c r="B989" s="2" t="s">
        <v>1816</v>
      </c>
      <c r="C989" t="s">
        <v>3037</v>
      </c>
      <c r="D989" s="5" t="s">
        <v>4084</v>
      </c>
      <c r="E989" s="6">
        <f>IFERROR(VLOOKUP($D989,[1]Balanza!$A$3:$K$852,6,0)-VLOOKUP(D989,[1]Balanza!$A$3:$K$852,7,0),0)</f>
        <v>0</v>
      </c>
      <c r="F989" s="6">
        <f>IFERROR(VLOOKUP($D989,[1]Balanza!$A$3:$K$852,10,0)-VLOOKUP($D989,[1]Balanza!$A$3:$K$852,11,0),0)</f>
        <v>0</v>
      </c>
    </row>
    <row r="990" spans="1:6" x14ac:dyDescent="0.3">
      <c r="A990" s="2" t="s">
        <v>1817</v>
      </c>
      <c r="B990" s="2" t="s">
        <v>1818</v>
      </c>
      <c r="C990" t="s">
        <v>3037</v>
      </c>
      <c r="D990" s="5" t="s">
        <v>4085</v>
      </c>
      <c r="E990" s="6">
        <f>IFERROR(VLOOKUP($D990,[1]Balanza!$A$3:$K$852,6,0)-VLOOKUP(D990,[1]Balanza!$A$3:$K$852,7,0),0)</f>
        <v>0</v>
      </c>
      <c r="F990" s="6">
        <f>IFERROR(VLOOKUP($D990,[1]Balanza!$A$3:$K$852,10,0)-VLOOKUP($D990,[1]Balanza!$A$3:$K$852,11,0),0)</f>
        <v>0</v>
      </c>
    </row>
    <row r="991" spans="1:6" x14ac:dyDescent="0.3">
      <c r="A991" s="2" t="s">
        <v>1819</v>
      </c>
      <c r="B991" s="2" t="s">
        <v>1820</v>
      </c>
      <c r="C991" t="s">
        <v>3037</v>
      </c>
      <c r="D991" s="5" t="s">
        <v>4086</v>
      </c>
      <c r="E991" s="6">
        <f>IFERROR(VLOOKUP($D991,[1]Balanza!$A$3:$K$852,6,0)-VLOOKUP(D991,[1]Balanza!$A$3:$K$852,7,0),0)</f>
        <v>0</v>
      </c>
      <c r="F991" s="6">
        <f>IFERROR(VLOOKUP($D991,[1]Balanza!$A$3:$K$852,10,0)-VLOOKUP($D991,[1]Balanza!$A$3:$K$852,11,0),0)</f>
        <v>0</v>
      </c>
    </row>
    <row r="992" spans="1:6" x14ac:dyDescent="0.3">
      <c r="A992" s="2" t="s">
        <v>1821</v>
      </c>
      <c r="B992" s="2" t="s">
        <v>1822</v>
      </c>
      <c r="C992" t="s">
        <v>3037</v>
      </c>
      <c r="D992" s="5" t="s">
        <v>4087</v>
      </c>
      <c r="E992" s="6">
        <f>IFERROR(VLOOKUP($D992,[1]Balanza!$A$3:$K$852,6,0)-VLOOKUP(D992,[1]Balanza!$A$3:$K$852,7,0),0)</f>
        <v>1737.14</v>
      </c>
      <c r="F992" s="6">
        <f>IFERROR(VLOOKUP($D992,[1]Balanza!$A$3:$K$852,10,0)-VLOOKUP($D992,[1]Balanza!$A$3:$K$852,11,0),0)</f>
        <v>0</v>
      </c>
    </row>
    <row r="993" spans="1:6" x14ac:dyDescent="0.3">
      <c r="A993" s="2" t="s">
        <v>1823</v>
      </c>
      <c r="B993" s="2" t="s">
        <v>1824</v>
      </c>
      <c r="C993" t="s">
        <v>3037</v>
      </c>
      <c r="D993" s="5" t="s">
        <v>4088</v>
      </c>
      <c r="E993" s="6">
        <f>IFERROR(VLOOKUP($D993,[1]Balanza!$A$3:$K$852,6,0)-VLOOKUP(D993,[1]Balanza!$A$3:$K$852,7,0),0)</f>
        <v>78523.100000000006</v>
      </c>
      <c r="F993" s="6">
        <f>IFERROR(VLOOKUP($D993,[1]Balanza!$A$3:$K$852,10,0)-VLOOKUP($D993,[1]Balanza!$A$3:$K$852,11,0),0)</f>
        <v>51867</v>
      </c>
    </row>
    <row r="994" spans="1:6" x14ac:dyDescent="0.3">
      <c r="A994" s="2" t="s">
        <v>1825</v>
      </c>
      <c r="B994" s="2" t="s">
        <v>1826</v>
      </c>
      <c r="C994" t="s">
        <v>3037</v>
      </c>
      <c r="D994" s="5" t="s">
        <v>4089</v>
      </c>
      <c r="E994" s="6">
        <f>IFERROR(VLOOKUP($D994,[1]Balanza!$A$3:$K$852,6,0)-VLOOKUP(D994,[1]Balanza!$A$3:$K$852,7,0),0)</f>
        <v>0</v>
      </c>
      <c r="F994" s="6">
        <f>IFERROR(VLOOKUP($D994,[1]Balanza!$A$3:$K$852,10,0)-VLOOKUP($D994,[1]Balanza!$A$3:$K$852,11,0),0)</f>
        <v>0</v>
      </c>
    </row>
    <row r="995" spans="1:6" x14ac:dyDescent="0.3">
      <c r="A995" s="2" t="s">
        <v>1827</v>
      </c>
      <c r="B995" s="2" t="s">
        <v>1828</v>
      </c>
      <c r="C995" t="s">
        <v>3037</v>
      </c>
      <c r="D995" s="5" t="s">
        <v>4090</v>
      </c>
      <c r="E995" s="6">
        <f>IFERROR(VLOOKUP($D995,[1]Balanza!$A$3:$K$852,6,0)-VLOOKUP(D995,[1]Balanza!$A$3:$K$852,7,0),0)</f>
        <v>0</v>
      </c>
      <c r="F995" s="6">
        <f>IFERROR(VLOOKUP($D995,[1]Balanza!$A$3:$K$852,10,0)-VLOOKUP($D995,[1]Balanza!$A$3:$K$852,11,0),0)</f>
        <v>0</v>
      </c>
    </row>
    <row r="996" spans="1:6" x14ac:dyDescent="0.3">
      <c r="A996" s="2" t="s">
        <v>4914</v>
      </c>
      <c r="B996" s="2" t="s">
        <v>1764</v>
      </c>
      <c r="C996" t="s">
        <v>3037</v>
      </c>
      <c r="D996" s="5" t="s">
        <v>4915</v>
      </c>
      <c r="E996" s="6">
        <f>IFERROR(VLOOKUP($D996,[1]Balanza!$A$3:$K$852,6,0)-VLOOKUP(D996,[1]Balanza!$A$3:$K$852,7,0),0)</f>
        <v>0</v>
      </c>
      <c r="F996" s="6">
        <f>IFERROR(VLOOKUP($D996,[1]Balanza!$A$3:$K$852,10,0)-VLOOKUP($D996,[1]Balanza!$A$3:$K$852,11,0),0)</f>
        <v>3400</v>
      </c>
    </row>
    <row r="997" spans="1:6" x14ac:dyDescent="0.3">
      <c r="A997" s="1" t="s">
        <v>1829</v>
      </c>
      <c r="B997" s="1" t="s">
        <v>1830</v>
      </c>
      <c r="C997" t="s">
        <v>3029</v>
      </c>
      <c r="D997" s="5" t="s">
        <v>4091</v>
      </c>
      <c r="E997" s="6">
        <f>IFERROR(VLOOKUP($D997,[1]Balanza!$A$3:$K$852,6,0)-VLOOKUP(D997,[1]Balanza!$A$3:$K$852,7,0),0)</f>
        <v>0</v>
      </c>
      <c r="F997" s="6">
        <f>IFERROR(VLOOKUP($D997,[1]Balanza!$A$3:$K$852,10,0)-VLOOKUP($D997,[1]Balanza!$A$3:$K$852,11,0),0)</f>
        <v>0</v>
      </c>
    </row>
    <row r="998" spans="1:6" x14ac:dyDescent="0.3">
      <c r="A998" s="2" t="s">
        <v>1831</v>
      </c>
      <c r="B998" s="2" t="s">
        <v>1828</v>
      </c>
      <c r="C998" t="s">
        <v>3037</v>
      </c>
      <c r="D998" s="5" t="s">
        <v>4092</v>
      </c>
      <c r="E998" s="6">
        <f>IFERROR(VLOOKUP($D998,[1]Balanza!$A$3:$K$852,6,0)-VLOOKUP(D998,[1]Balanza!$A$3:$K$852,7,0),0)</f>
        <v>0</v>
      </c>
      <c r="F998" s="6">
        <f>IFERROR(VLOOKUP($D998,[1]Balanza!$A$3:$K$852,10,0)-VLOOKUP($D998,[1]Balanza!$A$3:$K$852,11,0),0)</f>
        <v>0</v>
      </c>
    </row>
    <row r="999" spans="1:6" x14ac:dyDescent="0.3">
      <c r="A999" s="2" t="s">
        <v>1832</v>
      </c>
      <c r="B999" s="2" t="s">
        <v>1833</v>
      </c>
      <c r="C999" t="s">
        <v>3037</v>
      </c>
      <c r="D999" s="5" t="s">
        <v>4093</v>
      </c>
      <c r="E999" s="6">
        <f>IFERROR(VLOOKUP($D999,[1]Balanza!$A$3:$K$852,6,0)-VLOOKUP(D999,[1]Balanza!$A$3:$K$852,7,0),0)</f>
        <v>116411.15</v>
      </c>
      <c r="F999" s="6">
        <f>IFERROR(VLOOKUP($D999,[1]Balanza!$A$3:$K$852,10,0)-VLOOKUP($D999,[1]Balanza!$A$3:$K$852,11,0),0)</f>
        <v>30596.82</v>
      </c>
    </row>
    <row r="1000" spans="1:6" x14ac:dyDescent="0.3">
      <c r="A1000" s="2" t="s">
        <v>1834</v>
      </c>
      <c r="B1000" s="2" t="s">
        <v>1835</v>
      </c>
      <c r="C1000" t="s">
        <v>3037</v>
      </c>
      <c r="D1000" s="5" t="s">
        <v>4094</v>
      </c>
      <c r="E1000" s="6">
        <f>IFERROR(VLOOKUP($D1000,[1]Balanza!$A$3:$K$852,6,0)-VLOOKUP(D1000,[1]Balanza!$A$3:$K$852,7,0),0)</f>
        <v>92463.45</v>
      </c>
      <c r="F1000" s="6">
        <f>IFERROR(VLOOKUP($D1000,[1]Balanza!$A$3:$K$852,10,0)-VLOOKUP($D1000,[1]Balanza!$A$3:$K$852,11,0),0)</f>
        <v>25950.91</v>
      </c>
    </row>
    <row r="1001" spans="1:6" x14ac:dyDescent="0.3">
      <c r="A1001" s="2" t="s">
        <v>1836</v>
      </c>
      <c r="B1001" s="2" t="s">
        <v>1837</v>
      </c>
      <c r="C1001" t="s">
        <v>3037</v>
      </c>
      <c r="D1001" s="5" t="s">
        <v>4095</v>
      </c>
      <c r="E1001" s="6">
        <f>IFERROR(VLOOKUP($D1001,[1]Balanza!$A$3:$K$852,6,0)-VLOOKUP(D1001,[1]Balanza!$A$3:$K$852,7,0),0)</f>
        <v>134021.14000000001</v>
      </c>
      <c r="F1001" s="6">
        <f>IFERROR(VLOOKUP($D1001,[1]Balanza!$A$3:$K$852,10,0)-VLOOKUP($D1001,[1]Balanza!$A$3:$K$852,11,0),0)</f>
        <v>38188.46</v>
      </c>
    </row>
    <row r="1002" spans="1:6" x14ac:dyDescent="0.3">
      <c r="A1002" s="2" t="s">
        <v>1838</v>
      </c>
      <c r="B1002" s="2" t="s">
        <v>1839</v>
      </c>
      <c r="C1002" t="s">
        <v>3037</v>
      </c>
      <c r="D1002" s="5" t="s">
        <v>4096</v>
      </c>
      <c r="E1002" s="6">
        <f>IFERROR(VLOOKUP($D1002,[1]Balanza!$A$3:$K$852,6,0)-VLOOKUP(D1002,[1]Balanza!$A$3:$K$852,7,0),0)</f>
        <v>31699.78</v>
      </c>
      <c r="F1002" s="6">
        <f>IFERROR(VLOOKUP($D1002,[1]Balanza!$A$3:$K$852,10,0)-VLOOKUP($D1002,[1]Balanza!$A$3:$K$852,11,0),0)</f>
        <v>8881.0300000000007</v>
      </c>
    </row>
    <row r="1003" spans="1:6" x14ac:dyDescent="0.3">
      <c r="A1003" s="2" t="s">
        <v>1840</v>
      </c>
      <c r="B1003" s="2" t="s">
        <v>1841</v>
      </c>
      <c r="C1003" t="s">
        <v>3037</v>
      </c>
      <c r="D1003" s="5" t="s">
        <v>4097</v>
      </c>
      <c r="E1003" s="6">
        <f>IFERROR(VLOOKUP($D1003,[1]Balanza!$A$3:$K$852,6,0)-VLOOKUP(D1003,[1]Balanza!$A$3:$K$852,7,0),0)</f>
        <v>0</v>
      </c>
      <c r="F1003" s="6">
        <f>IFERROR(VLOOKUP($D1003,[1]Balanza!$A$3:$K$852,10,0)-VLOOKUP($D1003,[1]Balanza!$A$3:$K$852,11,0),0)</f>
        <v>0</v>
      </c>
    </row>
    <row r="1004" spans="1:6" x14ac:dyDescent="0.3">
      <c r="A1004" s="1" t="s">
        <v>1842</v>
      </c>
      <c r="B1004" s="1" t="s">
        <v>1843</v>
      </c>
      <c r="C1004" t="s">
        <v>3029</v>
      </c>
      <c r="D1004" s="5" t="s">
        <v>4098</v>
      </c>
      <c r="E1004" s="6">
        <f>IFERROR(VLOOKUP($D1004,[1]Balanza!$A$3:$K$852,6,0)-VLOOKUP(D1004,[1]Balanza!$A$3:$K$852,7,0),0)</f>
        <v>0</v>
      </c>
      <c r="F1004" s="6">
        <f>IFERROR(VLOOKUP($D1004,[1]Balanza!$A$3:$K$852,10,0)-VLOOKUP($D1004,[1]Balanza!$A$3:$K$852,11,0),0)</f>
        <v>0</v>
      </c>
    </row>
    <row r="1005" spans="1:6" x14ac:dyDescent="0.3">
      <c r="A1005" s="2" t="s">
        <v>1844</v>
      </c>
      <c r="B1005" s="2" t="s">
        <v>1845</v>
      </c>
      <c r="C1005" t="s">
        <v>3038</v>
      </c>
      <c r="D1005" s="5" t="s">
        <v>4099</v>
      </c>
      <c r="E1005" s="6">
        <f>IFERROR(VLOOKUP($D1005,[1]Balanza!$A$3:$K$852,6,0)-VLOOKUP(D1005,[1]Balanza!$A$3:$K$852,7,0),0)</f>
        <v>0</v>
      </c>
      <c r="F1005" s="6">
        <f>IFERROR(VLOOKUP($D1005,[1]Balanza!$A$3:$K$852,10,0)-VLOOKUP($D1005,[1]Balanza!$A$3:$K$852,11,0),0)</f>
        <v>0</v>
      </c>
    </row>
    <row r="1006" spans="1:6" x14ac:dyDescent="0.3">
      <c r="A1006" s="2" t="s">
        <v>1846</v>
      </c>
      <c r="B1006" s="2" t="s">
        <v>1847</v>
      </c>
      <c r="C1006" t="s">
        <v>3038</v>
      </c>
      <c r="D1006" s="5" t="s">
        <v>4100</v>
      </c>
      <c r="E1006" s="6">
        <f>IFERROR(VLOOKUP($D1006,[1]Balanza!$A$3:$K$852,6,0)-VLOOKUP(D1006,[1]Balanza!$A$3:$K$852,7,0),0)</f>
        <v>0</v>
      </c>
      <c r="F1006" s="6">
        <f>IFERROR(VLOOKUP($D1006,[1]Balanza!$A$3:$K$852,10,0)-VLOOKUP($D1006,[1]Balanza!$A$3:$K$852,11,0),0)</f>
        <v>0</v>
      </c>
    </row>
    <row r="1007" spans="1:6" x14ac:dyDescent="0.3">
      <c r="A1007" s="2" t="s">
        <v>1848</v>
      </c>
      <c r="B1007" s="2" t="s">
        <v>1849</v>
      </c>
      <c r="C1007" t="s">
        <v>3038</v>
      </c>
      <c r="D1007" s="5" t="s">
        <v>4101</v>
      </c>
      <c r="E1007" s="6">
        <f>IFERROR(VLOOKUP($D1007,[1]Balanza!$A$3:$K$852,6,0)-VLOOKUP(D1007,[1]Balanza!$A$3:$K$852,7,0),0)</f>
        <v>0</v>
      </c>
      <c r="F1007" s="6">
        <f>IFERROR(VLOOKUP($D1007,[1]Balanza!$A$3:$K$852,10,0)-VLOOKUP($D1007,[1]Balanza!$A$3:$K$852,11,0),0)</f>
        <v>0</v>
      </c>
    </row>
    <row r="1008" spans="1:6" x14ac:dyDescent="0.3">
      <c r="A1008" s="2" t="s">
        <v>1850</v>
      </c>
      <c r="B1008" s="2" t="s">
        <v>1851</v>
      </c>
      <c r="C1008" t="s">
        <v>3038</v>
      </c>
      <c r="D1008" s="5" t="s">
        <v>4102</v>
      </c>
      <c r="E1008" s="6">
        <f>IFERROR(VLOOKUP($D1008,[1]Balanza!$A$3:$K$852,6,0)-VLOOKUP(D1008,[1]Balanza!$A$3:$K$852,7,0),0)</f>
        <v>0</v>
      </c>
      <c r="F1008" s="6">
        <f>IFERROR(VLOOKUP($D1008,[1]Balanza!$A$3:$K$852,10,0)-VLOOKUP($D1008,[1]Balanza!$A$3:$K$852,11,0),0)</f>
        <v>0</v>
      </c>
    </row>
    <row r="1009" spans="1:6" x14ac:dyDescent="0.3">
      <c r="A1009" s="2" t="s">
        <v>1852</v>
      </c>
      <c r="B1009" s="2" t="s">
        <v>1853</v>
      </c>
      <c r="C1009" t="s">
        <v>3039</v>
      </c>
      <c r="D1009" s="5" t="s">
        <v>4103</v>
      </c>
      <c r="E1009" s="6">
        <f>IFERROR(VLOOKUP($D1009,[1]Balanza!$A$3:$K$852,6,0)-VLOOKUP(D1009,[1]Balanza!$A$3:$K$852,7,0),0)</f>
        <v>110105</v>
      </c>
      <c r="F1009" s="6">
        <f>IFERROR(VLOOKUP($D1009,[1]Balanza!$A$3:$K$852,10,0)-VLOOKUP($D1009,[1]Balanza!$A$3:$K$852,11,0),0)</f>
        <v>0</v>
      </c>
    </row>
    <row r="1010" spans="1:6" x14ac:dyDescent="0.3">
      <c r="A1010" s="2" t="s">
        <v>1854</v>
      </c>
      <c r="B1010" s="2" t="s">
        <v>1855</v>
      </c>
      <c r="C1010" t="s">
        <v>3036</v>
      </c>
      <c r="D1010" s="5" t="s">
        <v>4104</v>
      </c>
      <c r="E1010" s="6">
        <f>IFERROR(VLOOKUP($D1010,[1]Balanza!$A$3:$K$852,6,0)-VLOOKUP(D1010,[1]Balanza!$A$3:$K$852,7,0),0)</f>
        <v>0</v>
      </c>
      <c r="F1010" s="6">
        <f>IFERROR(VLOOKUP($D1010,[1]Balanza!$A$3:$K$852,10,0)-VLOOKUP($D1010,[1]Balanza!$A$3:$K$852,11,0),0)</f>
        <v>0</v>
      </c>
    </row>
    <row r="1011" spans="1:6" x14ac:dyDescent="0.3">
      <c r="A1011" s="1" t="s">
        <v>1856</v>
      </c>
      <c r="B1011" s="1" t="s">
        <v>1857</v>
      </c>
      <c r="C1011" t="s">
        <v>3038</v>
      </c>
      <c r="D1011" s="5" t="s">
        <v>4105</v>
      </c>
      <c r="E1011" s="6">
        <f>IFERROR(VLOOKUP($D1011,[1]Balanza!$A$3:$K$852,6,0)-VLOOKUP(D1011,[1]Balanza!$A$3:$K$852,7,0),0)</f>
        <v>0</v>
      </c>
      <c r="F1011" s="6">
        <f>IFERROR(VLOOKUP($D1011,[1]Balanza!$A$3:$K$852,10,0)-VLOOKUP($D1011,[1]Balanza!$A$3:$K$852,11,0),0)</f>
        <v>0</v>
      </c>
    </row>
    <row r="1012" spans="1:6" x14ac:dyDescent="0.3">
      <c r="A1012" s="1" t="s">
        <v>1858</v>
      </c>
      <c r="B1012" s="1" t="s">
        <v>1859</v>
      </c>
      <c r="C1012" t="s">
        <v>3038</v>
      </c>
      <c r="D1012" s="5" t="s">
        <v>4106</v>
      </c>
      <c r="E1012" s="6">
        <f>IFERROR(VLOOKUP($D1012,[1]Balanza!$A$3:$K$852,6,0)-VLOOKUP(D1012,[1]Balanza!$A$3:$K$852,7,0),0)</f>
        <v>0</v>
      </c>
      <c r="F1012" s="6">
        <f>IFERROR(VLOOKUP($D1012,[1]Balanza!$A$3:$K$852,10,0)-VLOOKUP($D1012,[1]Balanza!$A$3:$K$852,11,0),0)</f>
        <v>0</v>
      </c>
    </row>
    <row r="1013" spans="1:6" x14ac:dyDescent="0.3">
      <c r="A1013" s="2" t="s">
        <v>1860</v>
      </c>
      <c r="B1013" s="2" t="s">
        <v>1861</v>
      </c>
      <c r="C1013" t="s">
        <v>3038</v>
      </c>
      <c r="D1013" s="5" t="s">
        <v>4107</v>
      </c>
      <c r="E1013" s="6">
        <f>IFERROR(VLOOKUP($D1013,[1]Balanza!$A$3:$K$852,6,0)-VLOOKUP(D1013,[1]Balanza!$A$3:$K$852,7,0),0)</f>
        <v>0</v>
      </c>
      <c r="F1013" s="6">
        <f>IFERROR(VLOOKUP($D1013,[1]Balanza!$A$3:$K$852,10,0)-VLOOKUP($D1013,[1]Balanza!$A$3:$K$852,11,0),0)</f>
        <v>0</v>
      </c>
    </row>
    <row r="1014" spans="1:6" x14ac:dyDescent="0.3">
      <c r="A1014" s="2" t="s">
        <v>1862</v>
      </c>
      <c r="B1014" s="2" t="s">
        <v>1863</v>
      </c>
      <c r="C1014" t="s">
        <v>3038</v>
      </c>
      <c r="D1014" s="5" t="s">
        <v>4108</v>
      </c>
      <c r="E1014" s="6">
        <f>IFERROR(VLOOKUP($D1014,[1]Balanza!$A$3:$K$852,6,0)-VLOOKUP(D1014,[1]Balanza!$A$3:$K$852,7,0),0)</f>
        <v>0</v>
      </c>
      <c r="F1014" s="6">
        <f>IFERROR(VLOOKUP($D1014,[1]Balanza!$A$3:$K$852,10,0)-VLOOKUP($D1014,[1]Balanza!$A$3:$K$852,11,0),0)</f>
        <v>0</v>
      </c>
    </row>
    <row r="1015" spans="1:6" x14ac:dyDescent="0.3">
      <c r="A1015" s="2" t="s">
        <v>1864</v>
      </c>
      <c r="B1015" s="2" t="s">
        <v>1865</v>
      </c>
      <c r="C1015" t="s">
        <v>3038</v>
      </c>
      <c r="D1015" s="5" t="s">
        <v>4109</v>
      </c>
      <c r="E1015" s="6">
        <f>IFERROR(VLOOKUP($D1015,[1]Balanza!$A$3:$K$852,6,0)-VLOOKUP(D1015,[1]Balanza!$A$3:$K$852,7,0),0)</f>
        <v>0</v>
      </c>
      <c r="F1015" s="6">
        <f>IFERROR(VLOOKUP($D1015,[1]Balanza!$A$3:$K$852,10,0)-VLOOKUP($D1015,[1]Balanza!$A$3:$K$852,11,0),0)</f>
        <v>0</v>
      </c>
    </row>
    <row r="1016" spans="1:6" x14ac:dyDescent="0.3">
      <c r="A1016" s="2" t="s">
        <v>1866</v>
      </c>
      <c r="B1016" s="2" t="s">
        <v>1867</v>
      </c>
      <c r="C1016" t="s">
        <v>3038</v>
      </c>
      <c r="D1016" s="5" t="s">
        <v>4110</v>
      </c>
      <c r="E1016" s="6">
        <f>IFERROR(VLOOKUP($D1016,[1]Balanza!$A$3:$K$852,6,0)-VLOOKUP(D1016,[1]Balanza!$A$3:$K$852,7,0),0)</f>
        <v>0</v>
      </c>
      <c r="F1016" s="6">
        <f>IFERROR(VLOOKUP($D1016,[1]Balanza!$A$3:$K$852,10,0)-VLOOKUP($D1016,[1]Balanza!$A$3:$K$852,11,0),0)</f>
        <v>0</v>
      </c>
    </row>
    <row r="1017" spans="1:6" x14ac:dyDescent="0.3">
      <c r="A1017" s="1" t="s">
        <v>1868</v>
      </c>
      <c r="B1017" s="1" t="s">
        <v>1869</v>
      </c>
      <c r="C1017" t="s">
        <v>3038</v>
      </c>
      <c r="D1017" s="5" t="s">
        <v>4111</v>
      </c>
      <c r="E1017" s="6">
        <f>IFERROR(VLOOKUP($D1017,[1]Balanza!$A$3:$K$852,6,0)-VLOOKUP(D1017,[1]Balanza!$A$3:$K$852,7,0),0)</f>
        <v>0</v>
      </c>
      <c r="F1017" s="6">
        <f>IFERROR(VLOOKUP($D1017,[1]Balanza!$A$3:$K$852,10,0)-VLOOKUP($D1017,[1]Balanza!$A$3:$K$852,11,0),0)</f>
        <v>0</v>
      </c>
    </row>
    <row r="1018" spans="1:6" x14ac:dyDescent="0.3">
      <c r="A1018" s="2" t="s">
        <v>1870</v>
      </c>
      <c r="B1018" s="2" t="s">
        <v>1871</v>
      </c>
      <c r="C1018" t="s">
        <v>3038</v>
      </c>
      <c r="D1018" s="5" t="s">
        <v>4112</v>
      </c>
      <c r="E1018" s="6">
        <f>IFERROR(VLOOKUP($D1018,[1]Balanza!$A$3:$K$852,6,0)-VLOOKUP(D1018,[1]Balanza!$A$3:$K$852,7,0),0)</f>
        <v>0</v>
      </c>
      <c r="F1018" s="6">
        <f>IFERROR(VLOOKUP($D1018,[1]Balanza!$A$3:$K$852,10,0)-VLOOKUP($D1018,[1]Balanza!$A$3:$K$852,11,0),0)</f>
        <v>0</v>
      </c>
    </row>
    <row r="1019" spans="1:6" x14ac:dyDescent="0.3">
      <c r="A1019" s="2" t="s">
        <v>1872</v>
      </c>
      <c r="B1019" s="2" t="s">
        <v>1873</v>
      </c>
      <c r="C1019" t="s">
        <v>3029</v>
      </c>
      <c r="D1019" s="5" t="s">
        <v>4113</v>
      </c>
      <c r="E1019" s="6">
        <f>IFERROR(VLOOKUP($D1019,[1]Balanza!$A$3:$K$852,6,0)-VLOOKUP(D1019,[1]Balanza!$A$3:$K$852,7,0),0)</f>
        <v>0</v>
      </c>
      <c r="F1019" s="6">
        <f>IFERROR(VLOOKUP($D1019,[1]Balanza!$A$3:$K$852,10,0)-VLOOKUP($D1019,[1]Balanza!$A$3:$K$852,11,0),0)</f>
        <v>0</v>
      </c>
    </row>
    <row r="1020" spans="1:6" x14ac:dyDescent="0.3">
      <c r="A1020" s="1" t="s">
        <v>1874</v>
      </c>
      <c r="B1020" s="1" t="s">
        <v>1875</v>
      </c>
      <c r="C1020" t="s">
        <v>3029</v>
      </c>
      <c r="D1020" s="5" t="s">
        <v>4114</v>
      </c>
      <c r="E1020" s="6">
        <f>IFERROR(VLOOKUP($D1020,[1]Balanza!$A$3:$K$852,6,0)-VLOOKUP(D1020,[1]Balanza!$A$3:$K$852,7,0),0)</f>
        <v>0</v>
      </c>
      <c r="F1020" s="6">
        <f>IFERROR(VLOOKUP($D1020,[1]Balanza!$A$3:$K$852,10,0)-VLOOKUP($D1020,[1]Balanza!$A$3:$K$852,11,0),0)</f>
        <v>0</v>
      </c>
    </row>
    <row r="1021" spans="1:6" x14ac:dyDescent="0.3">
      <c r="A1021" s="2" t="s">
        <v>1876</v>
      </c>
      <c r="B1021" s="2" t="s">
        <v>1877</v>
      </c>
      <c r="C1021" t="s">
        <v>3040</v>
      </c>
      <c r="D1021" s="5" t="s">
        <v>4115</v>
      </c>
      <c r="E1021" s="6">
        <f>IFERROR(VLOOKUP($D1021,[1]Balanza!$A$3:$K$852,6,0)-VLOOKUP(D1021,[1]Balanza!$A$3:$K$852,7,0),0)</f>
        <v>172454.29</v>
      </c>
      <c r="F1021" s="6">
        <f>IFERROR(VLOOKUP($D1021,[1]Balanza!$A$3:$K$852,10,0)-VLOOKUP($D1021,[1]Balanza!$A$3:$K$852,11,0),0)</f>
        <v>0</v>
      </c>
    </row>
    <row r="1022" spans="1:6" x14ac:dyDescent="0.3">
      <c r="A1022" s="2" t="s">
        <v>1878</v>
      </c>
      <c r="B1022" s="2" t="s">
        <v>1879</v>
      </c>
      <c r="C1022" t="s">
        <v>3040</v>
      </c>
      <c r="D1022" s="5" t="s">
        <v>4116</v>
      </c>
      <c r="E1022" s="6">
        <f>IFERROR(VLOOKUP($D1022,[1]Balanza!$A$3:$K$852,6,0)-VLOOKUP(D1022,[1]Balanza!$A$3:$K$852,7,0),0)</f>
        <v>0</v>
      </c>
      <c r="F1022" s="6">
        <f>IFERROR(VLOOKUP($D1022,[1]Balanza!$A$3:$K$852,10,0)-VLOOKUP($D1022,[1]Balanza!$A$3:$K$852,11,0),0)</f>
        <v>0</v>
      </c>
    </row>
    <row r="1023" spans="1:6" x14ac:dyDescent="0.3">
      <c r="A1023" s="2" t="s">
        <v>1880</v>
      </c>
      <c r="B1023" s="2" t="s">
        <v>1881</v>
      </c>
      <c r="C1023" t="s">
        <v>3040</v>
      </c>
      <c r="D1023" s="5" t="s">
        <v>4117</v>
      </c>
      <c r="E1023" s="6">
        <f>IFERROR(VLOOKUP($D1023,[1]Balanza!$A$3:$K$852,6,0)-VLOOKUP(D1023,[1]Balanza!$A$3:$K$852,7,0),0)</f>
        <v>1587.75</v>
      </c>
      <c r="F1023" s="6">
        <f>IFERROR(VLOOKUP($D1023,[1]Balanza!$A$3:$K$852,10,0)-VLOOKUP($D1023,[1]Balanza!$A$3:$K$852,11,0),0)</f>
        <v>0</v>
      </c>
    </row>
    <row r="1024" spans="1:6" x14ac:dyDescent="0.3">
      <c r="A1024" s="2" t="s">
        <v>1882</v>
      </c>
      <c r="B1024" s="2" t="s">
        <v>1883</v>
      </c>
      <c r="C1024" t="s">
        <v>3040</v>
      </c>
      <c r="D1024" s="5" t="s">
        <v>4118</v>
      </c>
      <c r="E1024" s="6">
        <f>IFERROR(VLOOKUP($D1024,[1]Balanza!$A$3:$K$852,6,0)-VLOOKUP(D1024,[1]Balanza!$A$3:$K$852,7,0),0)</f>
        <v>17497.3</v>
      </c>
      <c r="F1024" s="6">
        <f>IFERROR(VLOOKUP($D1024,[1]Balanza!$A$3:$K$852,10,0)-VLOOKUP($D1024,[1]Balanza!$A$3:$K$852,11,0),0)</f>
        <v>0</v>
      </c>
    </row>
    <row r="1025" spans="1:6" x14ac:dyDescent="0.3">
      <c r="A1025" s="2" t="s">
        <v>1884</v>
      </c>
      <c r="B1025" s="2" t="s">
        <v>1885</v>
      </c>
      <c r="C1025" t="s">
        <v>3040</v>
      </c>
      <c r="D1025" s="5" t="s">
        <v>4119</v>
      </c>
      <c r="E1025" s="6">
        <f>IFERROR(VLOOKUP($D1025,[1]Balanza!$A$3:$K$852,6,0)-VLOOKUP(D1025,[1]Balanza!$A$3:$K$852,7,0),0)</f>
        <v>17497.3</v>
      </c>
      <c r="F1025" s="6">
        <f>IFERROR(VLOOKUP($D1025,[1]Balanza!$A$3:$K$852,10,0)-VLOOKUP($D1025,[1]Balanza!$A$3:$K$852,11,0),0)</f>
        <v>0</v>
      </c>
    </row>
    <row r="1026" spans="1:6" x14ac:dyDescent="0.3">
      <c r="A1026" s="2" t="s">
        <v>1886</v>
      </c>
      <c r="B1026" s="2" t="s">
        <v>1887</v>
      </c>
      <c r="C1026" t="s">
        <v>3040</v>
      </c>
      <c r="D1026" s="5" t="s">
        <v>4120</v>
      </c>
      <c r="E1026" s="6">
        <f>IFERROR(VLOOKUP($D1026,[1]Balanza!$A$3:$K$852,6,0)-VLOOKUP(D1026,[1]Balanza!$A$3:$K$852,7,0),0)</f>
        <v>2518.5500000000002</v>
      </c>
      <c r="F1026" s="6">
        <f>IFERROR(VLOOKUP($D1026,[1]Balanza!$A$3:$K$852,10,0)-VLOOKUP($D1026,[1]Balanza!$A$3:$K$852,11,0),0)</f>
        <v>0</v>
      </c>
    </row>
    <row r="1027" spans="1:6" x14ac:dyDescent="0.3">
      <c r="A1027" s="2" t="s">
        <v>1888</v>
      </c>
      <c r="B1027" s="2" t="s">
        <v>1889</v>
      </c>
      <c r="C1027" t="s">
        <v>3040</v>
      </c>
      <c r="D1027" s="5" t="s">
        <v>4121</v>
      </c>
      <c r="E1027" s="6">
        <f>IFERROR(VLOOKUP($D1027,[1]Balanza!$A$3:$K$852,6,0)-VLOOKUP(D1027,[1]Balanza!$A$3:$K$852,7,0),0)</f>
        <v>3273.8</v>
      </c>
      <c r="F1027" s="6">
        <f>IFERROR(VLOOKUP($D1027,[1]Balanza!$A$3:$K$852,10,0)-VLOOKUP($D1027,[1]Balanza!$A$3:$K$852,11,0),0)</f>
        <v>0</v>
      </c>
    </row>
    <row r="1028" spans="1:6" x14ac:dyDescent="0.3">
      <c r="A1028" s="2" t="s">
        <v>1890</v>
      </c>
      <c r="B1028" s="2" t="s">
        <v>1891</v>
      </c>
      <c r="C1028" t="s">
        <v>3040</v>
      </c>
      <c r="D1028" s="5" t="s">
        <v>4122</v>
      </c>
      <c r="E1028" s="6">
        <f>IFERROR(VLOOKUP($D1028,[1]Balanza!$A$3:$K$852,6,0)-VLOOKUP(D1028,[1]Balanza!$A$3:$K$852,7,0),0)</f>
        <v>0</v>
      </c>
      <c r="F1028" s="6">
        <f>IFERROR(VLOOKUP($D1028,[1]Balanza!$A$3:$K$852,10,0)-VLOOKUP($D1028,[1]Balanza!$A$3:$K$852,11,0),0)</f>
        <v>0</v>
      </c>
    </row>
    <row r="1029" spans="1:6" x14ac:dyDescent="0.3">
      <c r="A1029" s="2" t="s">
        <v>1892</v>
      </c>
      <c r="B1029" s="2" t="s">
        <v>1893</v>
      </c>
      <c r="C1029" t="s">
        <v>3040</v>
      </c>
      <c r="D1029" s="5" t="s">
        <v>4123</v>
      </c>
      <c r="E1029" s="6">
        <f>IFERROR(VLOOKUP($D1029,[1]Balanza!$A$3:$K$852,6,0)-VLOOKUP(D1029,[1]Balanza!$A$3:$K$852,7,0),0)</f>
        <v>0</v>
      </c>
      <c r="F1029" s="6">
        <f>IFERROR(VLOOKUP($D1029,[1]Balanza!$A$3:$K$852,10,0)-VLOOKUP($D1029,[1]Balanza!$A$3:$K$852,11,0),0)</f>
        <v>0</v>
      </c>
    </row>
    <row r="1030" spans="1:6" x14ac:dyDescent="0.3">
      <c r="A1030" s="2" t="s">
        <v>1894</v>
      </c>
      <c r="B1030" s="2" t="s">
        <v>1895</v>
      </c>
      <c r="C1030" t="s">
        <v>3040</v>
      </c>
      <c r="D1030" s="5" t="s">
        <v>4124</v>
      </c>
      <c r="E1030" s="6">
        <f>IFERROR(VLOOKUP($D1030,[1]Balanza!$A$3:$K$852,6,0)-VLOOKUP(D1030,[1]Balanza!$A$3:$K$852,7,0),0)</f>
        <v>0</v>
      </c>
      <c r="F1030" s="6">
        <f>IFERROR(VLOOKUP($D1030,[1]Balanza!$A$3:$K$852,10,0)-VLOOKUP($D1030,[1]Balanza!$A$3:$K$852,11,0),0)</f>
        <v>0</v>
      </c>
    </row>
    <row r="1031" spans="1:6" x14ac:dyDescent="0.3">
      <c r="A1031" s="2" t="s">
        <v>1896</v>
      </c>
      <c r="B1031" s="2" t="s">
        <v>1897</v>
      </c>
      <c r="C1031" t="s">
        <v>3040</v>
      </c>
      <c r="D1031" s="5" t="s">
        <v>4125</v>
      </c>
      <c r="E1031" s="6">
        <f>IFERROR(VLOOKUP($D1031,[1]Balanza!$A$3:$K$852,6,0)-VLOOKUP(D1031,[1]Balanza!$A$3:$K$852,7,0),0)</f>
        <v>0</v>
      </c>
      <c r="F1031" s="6">
        <f>IFERROR(VLOOKUP($D1031,[1]Balanza!$A$3:$K$852,10,0)-VLOOKUP($D1031,[1]Balanza!$A$3:$K$852,11,0),0)</f>
        <v>0</v>
      </c>
    </row>
    <row r="1032" spans="1:6" x14ac:dyDescent="0.3">
      <c r="A1032" s="2" t="s">
        <v>1898</v>
      </c>
      <c r="B1032" s="2" t="s">
        <v>1899</v>
      </c>
      <c r="C1032" t="s">
        <v>3040</v>
      </c>
      <c r="D1032" s="5" t="s">
        <v>4126</v>
      </c>
      <c r="E1032" s="6">
        <f>IFERROR(VLOOKUP($D1032,[1]Balanza!$A$3:$K$852,6,0)-VLOOKUP(D1032,[1]Balanza!$A$3:$K$852,7,0),0)</f>
        <v>7698.85</v>
      </c>
      <c r="F1032" s="6">
        <f>IFERROR(VLOOKUP($D1032,[1]Balanza!$A$3:$K$852,10,0)-VLOOKUP($D1032,[1]Balanza!$A$3:$K$852,11,0),0)</f>
        <v>0</v>
      </c>
    </row>
    <row r="1033" spans="1:6" x14ac:dyDescent="0.3">
      <c r="A1033" s="2" t="s">
        <v>1900</v>
      </c>
      <c r="B1033" s="2" t="s">
        <v>1901</v>
      </c>
      <c r="C1033" t="s">
        <v>3040</v>
      </c>
      <c r="D1033" s="5" t="s">
        <v>4127</v>
      </c>
      <c r="E1033" s="6">
        <f>IFERROR(VLOOKUP($D1033,[1]Balanza!$A$3:$K$852,6,0)-VLOOKUP(D1033,[1]Balanza!$A$3:$K$852,7,0),0)</f>
        <v>0</v>
      </c>
      <c r="F1033" s="6">
        <f>IFERROR(VLOOKUP($D1033,[1]Balanza!$A$3:$K$852,10,0)-VLOOKUP($D1033,[1]Balanza!$A$3:$K$852,11,0),0)</f>
        <v>0</v>
      </c>
    </row>
    <row r="1034" spans="1:6" x14ac:dyDescent="0.3">
      <c r="A1034" s="2" t="s">
        <v>1902</v>
      </c>
      <c r="B1034" s="2" t="s">
        <v>1903</v>
      </c>
      <c r="C1034" t="s">
        <v>3040</v>
      </c>
      <c r="D1034" s="5" t="s">
        <v>4128</v>
      </c>
      <c r="E1034" s="6">
        <f>IFERROR(VLOOKUP($D1034,[1]Balanza!$A$3:$K$852,6,0)-VLOOKUP(D1034,[1]Balanza!$A$3:$K$852,7,0),0)</f>
        <v>0</v>
      </c>
      <c r="F1034" s="6">
        <f>IFERROR(VLOOKUP($D1034,[1]Balanza!$A$3:$K$852,10,0)-VLOOKUP($D1034,[1]Balanza!$A$3:$K$852,11,0),0)</f>
        <v>0</v>
      </c>
    </row>
    <row r="1035" spans="1:6" x14ac:dyDescent="0.3">
      <c r="A1035" s="2" t="s">
        <v>1904</v>
      </c>
      <c r="B1035" s="2" t="s">
        <v>1905</v>
      </c>
      <c r="C1035" t="s">
        <v>3040</v>
      </c>
      <c r="D1035" s="5" t="s">
        <v>4129</v>
      </c>
      <c r="E1035" s="6">
        <f>IFERROR(VLOOKUP($D1035,[1]Balanza!$A$3:$K$852,6,0)-VLOOKUP(D1035,[1]Balanza!$A$3:$K$852,7,0),0)</f>
        <v>17112.96</v>
      </c>
      <c r="F1035" s="6">
        <f>IFERROR(VLOOKUP($D1035,[1]Balanza!$A$3:$K$852,10,0)-VLOOKUP($D1035,[1]Balanza!$A$3:$K$852,11,0),0)</f>
        <v>0</v>
      </c>
    </row>
    <row r="1036" spans="1:6" x14ac:dyDescent="0.3">
      <c r="A1036" s="2" t="s">
        <v>1906</v>
      </c>
      <c r="B1036" s="2" t="s">
        <v>1907</v>
      </c>
      <c r="C1036" t="s">
        <v>3040</v>
      </c>
      <c r="D1036" s="5" t="s">
        <v>4130</v>
      </c>
      <c r="E1036" s="6">
        <f>IFERROR(VLOOKUP($D1036,[1]Balanza!$A$3:$K$852,6,0)-VLOOKUP(D1036,[1]Balanza!$A$3:$K$852,7,0),0)</f>
        <v>0</v>
      </c>
      <c r="F1036" s="6">
        <f>IFERROR(VLOOKUP($D1036,[1]Balanza!$A$3:$K$852,10,0)-VLOOKUP($D1036,[1]Balanza!$A$3:$K$852,11,0),0)</f>
        <v>0</v>
      </c>
    </row>
    <row r="1037" spans="1:6" x14ac:dyDescent="0.3">
      <c r="A1037" s="2" t="s">
        <v>1908</v>
      </c>
      <c r="B1037" s="2" t="s">
        <v>1909</v>
      </c>
      <c r="C1037" t="s">
        <v>3040</v>
      </c>
      <c r="D1037" s="5" t="s">
        <v>4131</v>
      </c>
      <c r="E1037" s="6">
        <f>IFERROR(VLOOKUP($D1037,[1]Balanza!$A$3:$K$852,6,0)-VLOOKUP(D1037,[1]Balanza!$A$3:$K$852,7,0),0)</f>
        <v>0</v>
      </c>
      <c r="F1037" s="6">
        <f>IFERROR(VLOOKUP($D1037,[1]Balanza!$A$3:$K$852,10,0)-VLOOKUP($D1037,[1]Balanza!$A$3:$K$852,11,0),0)</f>
        <v>0</v>
      </c>
    </row>
    <row r="1038" spans="1:6" x14ac:dyDescent="0.3">
      <c r="A1038" s="2" t="s">
        <v>1910</v>
      </c>
      <c r="B1038" s="2" t="s">
        <v>1911</v>
      </c>
      <c r="C1038" t="s">
        <v>3040</v>
      </c>
      <c r="D1038" s="5" t="s">
        <v>4132</v>
      </c>
      <c r="E1038" s="6">
        <f>IFERROR(VLOOKUP($D1038,[1]Balanza!$A$3:$K$852,6,0)-VLOOKUP(D1038,[1]Balanza!$A$3:$K$852,7,0),0)</f>
        <v>0</v>
      </c>
      <c r="F1038" s="6">
        <f>IFERROR(VLOOKUP($D1038,[1]Balanza!$A$3:$K$852,10,0)-VLOOKUP($D1038,[1]Balanza!$A$3:$K$852,11,0),0)</f>
        <v>0</v>
      </c>
    </row>
    <row r="1039" spans="1:6" x14ac:dyDescent="0.3">
      <c r="A1039" s="2" t="s">
        <v>1912</v>
      </c>
      <c r="B1039" s="2" t="s">
        <v>1913</v>
      </c>
      <c r="C1039" t="s">
        <v>3040</v>
      </c>
      <c r="D1039" s="5" t="s">
        <v>4133</v>
      </c>
      <c r="E1039" s="6">
        <f>IFERROR(VLOOKUP($D1039,[1]Balanza!$A$3:$K$852,6,0)-VLOOKUP(D1039,[1]Balanza!$A$3:$K$852,7,0),0)</f>
        <v>8748.65</v>
      </c>
      <c r="F1039" s="6">
        <f>IFERROR(VLOOKUP($D1039,[1]Balanza!$A$3:$K$852,10,0)-VLOOKUP($D1039,[1]Balanza!$A$3:$K$852,11,0),0)</f>
        <v>0</v>
      </c>
    </row>
    <row r="1040" spans="1:6" x14ac:dyDescent="0.3">
      <c r="A1040" s="2" t="s">
        <v>1914</v>
      </c>
      <c r="B1040" s="2" t="s">
        <v>1915</v>
      </c>
      <c r="C1040" t="s">
        <v>3040</v>
      </c>
      <c r="D1040" s="5" t="s">
        <v>4134</v>
      </c>
      <c r="E1040" s="6">
        <f>IFERROR(VLOOKUP($D1040,[1]Balanza!$A$3:$K$852,6,0)-VLOOKUP(D1040,[1]Balanza!$A$3:$K$852,7,0),0)</f>
        <v>1000</v>
      </c>
      <c r="F1040" s="6">
        <f>IFERROR(VLOOKUP($D1040,[1]Balanza!$A$3:$K$852,10,0)-VLOOKUP($D1040,[1]Balanza!$A$3:$K$852,11,0),0)</f>
        <v>0</v>
      </c>
    </row>
    <row r="1041" spans="1:6" x14ac:dyDescent="0.3">
      <c r="A1041" s="2" t="s">
        <v>1916</v>
      </c>
      <c r="B1041" s="2" t="s">
        <v>1917</v>
      </c>
      <c r="C1041" t="s">
        <v>3040</v>
      </c>
      <c r="D1041" s="5" t="s">
        <v>4135</v>
      </c>
      <c r="E1041" s="6">
        <f>IFERROR(VLOOKUP($D1041,[1]Balanza!$A$3:$K$852,6,0)-VLOOKUP(D1041,[1]Balanza!$A$3:$K$852,7,0),0)</f>
        <v>0</v>
      </c>
      <c r="F1041" s="6">
        <f>IFERROR(VLOOKUP($D1041,[1]Balanza!$A$3:$K$852,10,0)-VLOOKUP($D1041,[1]Balanza!$A$3:$K$852,11,0),0)</f>
        <v>0</v>
      </c>
    </row>
    <row r="1042" spans="1:6" x14ac:dyDescent="0.3">
      <c r="A1042" s="2" t="s">
        <v>1918</v>
      </c>
      <c r="B1042" s="2" t="s">
        <v>1919</v>
      </c>
      <c r="C1042" t="s">
        <v>3040</v>
      </c>
      <c r="D1042" s="5" t="s">
        <v>4136</v>
      </c>
      <c r="E1042" s="6">
        <f>IFERROR(VLOOKUP($D1042,[1]Balanza!$A$3:$K$852,6,0)-VLOOKUP(D1042,[1]Balanza!$A$3:$K$852,7,0),0)</f>
        <v>0</v>
      </c>
      <c r="F1042" s="6">
        <f>IFERROR(VLOOKUP($D1042,[1]Balanza!$A$3:$K$852,10,0)-VLOOKUP($D1042,[1]Balanza!$A$3:$K$852,11,0),0)</f>
        <v>0</v>
      </c>
    </row>
    <row r="1043" spans="1:6" x14ac:dyDescent="0.3">
      <c r="A1043" s="2" t="s">
        <v>1920</v>
      </c>
      <c r="B1043" s="2" t="s">
        <v>1921</v>
      </c>
      <c r="C1043" t="s">
        <v>3040</v>
      </c>
      <c r="D1043" s="5" t="s">
        <v>4137</v>
      </c>
      <c r="E1043" s="6">
        <f>IFERROR(VLOOKUP($D1043,[1]Balanza!$A$3:$K$852,6,0)-VLOOKUP(D1043,[1]Balanza!$A$3:$K$852,7,0),0)</f>
        <v>0</v>
      </c>
      <c r="F1043" s="6">
        <f>IFERROR(VLOOKUP($D1043,[1]Balanza!$A$3:$K$852,10,0)-VLOOKUP($D1043,[1]Balanza!$A$3:$K$852,11,0),0)</f>
        <v>0</v>
      </c>
    </row>
    <row r="1044" spans="1:6" x14ac:dyDescent="0.3">
      <c r="A1044" s="2" t="s">
        <v>1922</v>
      </c>
      <c r="B1044" s="2" t="s">
        <v>1923</v>
      </c>
      <c r="C1044" t="s">
        <v>3040</v>
      </c>
      <c r="D1044" s="5" t="s">
        <v>4138</v>
      </c>
      <c r="E1044" s="6">
        <f>IFERROR(VLOOKUP($D1044,[1]Balanza!$A$3:$K$852,6,0)-VLOOKUP(D1044,[1]Balanza!$A$3:$K$852,7,0),0)</f>
        <v>0</v>
      </c>
      <c r="F1044" s="6">
        <f>IFERROR(VLOOKUP($D1044,[1]Balanza!$A$3:$K$852,10,0)-VLOOKUP($D1044,[1]Balanza!$A$3:$K$852,11,0),0)</f>
        <v>0</v>
      </c>
    </row>
    <row r="1045" spans="1:6" x14ac:dyDescent="0.3">
      <c r="A1045" s="2" t="s">
        <v>1924</v>
      </c>
      <c r="B1045" s="2" t="s">
        <v>1925</v>
      </c>
      <c r="C1045" t="s">
        <v>3040</v>
      </c>
      <c r="D1045" s="5" t="s">
        <v>4139</v>
      </c>
      <c r="E1045" s="6">
        <f>IFERROR(VLOOKUP($D1045,[1]Balanza!$A$3:$K$852,6,0)-VLOOKUP(D1045,[1]Balanza!$A$3:$K$852,7,0),0)</f>
        <v>0</v>
      </c>
      <c r="F1045" s="6">
        <f>IFERROR(VLOOKUP($D1045,[1]Balanza!$A$3:$K$852,10,0)-VLOOKUP($D1045,[1]Balanza!$A$3:$K$852,11,0),0)</f>
        <v>0</v>
      </c>
    </row>
    <row r="1046" spans="1:6" x14ac:dyDescent="0.3">
      <c r="A1046" s="2" t="s">
        <v>1926</v>
      </c>
      <c r="B1046" s="2" t="s">
        <v>1927</v>
      </c>
      <c r="C1046" t="s">
        <v>3040</v>
      </c>
      <c r="D1046" s="5" t="s">
        <v>4140</v>
      </c>
      <c r="E1046" s="6">
        <f>IFERROR(VLOOKUP($D1046,[1]Balanza!$A$3:$K$852,6,0)-VLOOKUP(D1046,[1]Balanza!$A$3:$K$852,7,0),0)</f>
        <v>0</v>
      </c>
      <c r="F1046" s="6">
        <f>IFERROR(VLOOKUP($D1046,[1]Balanza!$A$3:$K$852,10,0)-VLOOKUP($D1046,[1]Balanza!$A$3:$K$852,11,0),0)</f>
        <v>0</v>
      </c>
    </row>
    <row r="1047" spans="1:6" x14ac:dyDescent="0.3">
      <c r="A1047" s="2" t="s">
        <v>1928</v>
      </c>
      <c r="B1047" s="2" t="s">
        <v>1929</v>
      </c>
      <c r="C1047" t="s">
        <v>3040</v>
      </c>
      <c r="D1047" s="5" t="s">
        <v>4141</v>
      </c>
      <c r="E1047" s="6">
        <f>IFERROR(VLOOKUP($D1047,[1]Balanza!$A$3:$K$852,6,0)-VLOOKUP(D1047,[1]Balanza!$A$3:$K$852,7,0),0)</f>
        <v>5211.43</v>
      </c>
      <c r="F1047" s="6">
        <f>IFERROR(VLOOKUP($D1047,[1]Balanza!$A$3:$K$852,10,0)-VLOOKUP($D1047,[1]Balanza!$A$3:$K$852,11,0),0)</f>
        <v>0</v>
      </c>
    </row>
    <row r="1048" spans="1:6" x14ac:dyDescent="0.3">
      <c r="A1048" s="2" t="s">
        <v>1930</v>
      </c>
      <c r="B1048" s="2" t="s">
        <v>1931</v>
      </c>
      <c r="C1048" t="s">
        <v>3040</v>
      </c>
      <c r="D1048" s="5" t="s">
        <v>4142</v>
      </c>
      <c r="E1048" s="6">
        <f>IFERROR(VLOOKUP($D1048,[1]Balanza!$A$3:$K$852,6,0)-VLOOKUP(D1048,[1]Balanza!$A$3:$K$852,7,0),0)</f>
        <v>30989.06</v>
      </c>
      <c r="F1048" s="6">
        <f>IFERROR(VLOOKUP($D1048,[1]Balanza!$A$3:$K$852,10,0)-VLOOKUP($D1048,[1]Balanza!$A$3:$K$852,11,0),0)</f>
        <v>22650.5</v>
      </c>
    </row>
    <row r="1049" spans="1:6" x14ac:dyDescent="0.3">
      <c r="A1049" s="2" t="s">
        <v>1932</v>
      </c>
      <c r="B1049" s="2" t="s">
        <v>1933</v>
      </c>
      <c r="C1049" t="s">
        <v>3040</v>
      </c>
      <c r="D1049" s="5" t="s">
        <v>4143</v>
      </c>
      <c r="E1049" s="6">
        <f>IFERROR(VLOOKUP($D1049,[1]Balanza!$A$3:$K$852,6,0)-VLOOKUP(D1049,[1]Balanza!$A$3:$K$852,7,0),0)</f>
        <v>23888.89</v>
      </c>
      <c r="F1049" s="6">
        <f>IFERROR(VLOOKUP($D1049,[1]Balanza!$A$3:$K$852,10,0)-VLOOKUP($D1049,[1]Balanza!$A$3:$K$852,11,0),0)</f>
        <v>0</v>
      </c>
    </row>
    <row r="1050" spans="1:6" x14ac:dyDescent="0.3">
      <c r="A1050" s="2" t="s">
        <v>1934</v>
      </c>
      <c r="B1050" s="2" t="s">
        <v>1935</v>
      </c>
      <c r="C1050" t="s">
        <v>3040</v>
      </c>
      <c r="D1050" s="5" t="s">
        <v>4144</v>
      </c>
      <c r="E1050" s="6">
        <f>IFERROR(VLOOKUP($D1050,[1]Balanza!$A$3:$K$852,6,0)-VLOOKUP(D1050,[1]Balanza!$A$3:$K$852,7,0),0)</f>
        <v>0</v>
      </c>
      <c r="F1050" s="6">
        <f>IFERROR(VLOOKUP($D1050,[1]Balanza!$A$3:$K$852,10,0)-VLOOKUP($D1050,[1]Balanza!$A$3:$K$852,11,0),0)</f>
        <v>0</v>
      </c>
    </row>
    <row r="1051" spans="1:6" x14ac:dyDescent="0.3">
      <c r="A1051" s="1" t="s">
        <v>1936</v>
      </c>
      <c r="B1051" s="1" t="s">
        <v>1937</v>
      </c>
      <c r="C1051" t="s">
        <v>3029</v>
      </c>
      <c r="D1051" s="5" t="s">
        <v>4145</v>
      </c>
      <c r="E1051" s="6">
        <f>IFERROR(VLOOKUP($D1051,[1]Balanza!$A$3:$K$852,6,0)-VLOOKUP(D1051,[1]Balanza!$A$3:$K$852,7,0),0)</f>
        <v>0</v>
      </c>
      <c r="F1051" s="6">
        <f>IFERROR(VLOOKUP($D1051,[1]Balanza!$A$3:$K$852,10,0)-VLOOKUP($D1051,[1]Balanza!$A$3:$K$852,11,0),0)</f>
        <v>0</v>
      </c>
    </row>
    <row r="1052" spans="1:6" x14ac:dyDescent="0.3">
      <c r="A1052" s="2" t="s">
        <v>1938</v>
      </c>
      <c r="B1052" s="2" t="s">
        <v>1935</v>
      </c>
      <c r="C1052" t="s">
        <v>3040</v>
      </c>
      <c r="D1052" s="5" t="s">
        <v>4146</v>
      </c>
      <c r="E1052" s="6">
        <f>IFERROR(VLOOKUP($D1052,[1]Balanza!$A$3:$K$852,6,0)-VLOOKUP(D1052,[1]Balanza!$A$3:$K$852,7,0),0)</f>
        <v>0</v>
      </c>
      <c r="F1052" s="6">
        <f>IFERROR(VLOOKUP($D1052,[1]Balanza!$A$3:$K$852,10,0)-VLOOKUP($D1052,[1]Balanza!$A$3:$K$852,11,0),0)</f>
        <v>0</v>
      </c>
    </row>
    <row r="1053" spans="1:6" x14ac:dyDescent="0.3">
      <c r="A1053" s="2" t="s">
        <v>1939</v>
      </c>
      <c r="B1053" s="2" t="s">
        <v>1940</v>
      </c>
      <c r="C1053" t="s">
        <v>3040</v>
      </c>
      <c r="D1053" s="5" t="s">
        <v>4147</v>
      </c>
      <c r="E1053" s="6">
        <f>IFERROR(VLOOKUP($D1053,[1]Balanza!$A$3:$K$852,6,0)-VLOOKUP(D1053,[1]Balanza!$A$3:$K$852,7,0),0)</f>
        <v>19038.52</v>
      </c>
      <c r="F1053" s="6">
        <f>IFERROR(VLOOKUP($D1053,[1]Balanza!$A$3:$K$852,10,0)-VLOOKUP($D1053,[1]Balanza!$A$3:$K$852,11,0),0)</f>
        <v>0</v>
      </c>
    </row>
    <row r="1054" spans="1:6" x14ac:dyDescent="0.3">
      <c r="A1054" s="2" t="s">
        <v>1941</v>
      </c>
      <c r="B1054" s="2" t="s">
        <v>1942</v>
      </c>
      <c r="C1054" t="s">
        <v>3040</v>
      </c>
      <c r="D1054" s="5" t="s">
        <v>4148</v>
      </c>
      <c r="E1054" s="6">
        <f>IFERROR(VLOOKUP($D1054,[1]Balanza!$A$3:$K$852,6,0)-VLOOKUP(D1054,[1]Balanza!$A$3:$K$852,7,0),0)</f>
        <v>22046.15</v>
      </c>
      <c r="F1054" s="6">
        <f>IFERROR(VLOOKUP($D1054,[1]Balanza!$A$3:$K$852,10,0)-VLOOKUP($D1054,[1]Balanza!$A$3:$K$852,11,0),0)</f>
        <v>0</v>
      </c>
    </row>
    <row r="1055" spans="1:6" x14ac:dyDescent="0.3">
      <c r="A1055" s="2" t="s">
        <v>1943</v>
      </c>
      <c r="B1055" s="2" t="s">
        <v>1944</v>
      </c>
      <c r="C1055" t="s">
        <v>3040</v>
      </c>
      <c r="D1055" s="5" t="s">
        <v>4149</v>
      </c>
      <c r="E1055" s="6">
        <f>IFERROR(VLOOKUP($D1055,[1]Balanza!$A$3:$K$852,6,0)-VLOOKUP(D1055,[1]Balanza!$A$3:$K$852,7,0),0)</f>
        <v>36746.800000000003</v>
      </c>
      <c r="F1055" s="6">
        <f>IFERROR(VLOOKUP($D1055,[1]Balanza!$A$3:$K$852,10,0)-VLOOKUP($D1055,[1]Balanza!$A$3:$K$852,11,0),0)</f>
        <v>0</v>
      </c>
    </row>
    <row r="1056" spans="1:6" x14ac:dyDescent="0.3">
      <c r="A1056" s="2" t="s">
        <v>1945</v>
      </c>
      <c r="B1056" s="2" t="s">
        <v>1946</v>
      </c>
      <c r="C1056" t="s">
        <v>3040</v>
      </c>
      <c r="D1056" s="5" t="s">
        <v>4150</v>
      </c>
      <c r="E1056" s="6">
        <f>IFERROR(VLOOKUP($D1056,[1]Balanza!$A$3:$K$852,6,0)-VLOOKUP(D1056,[1]Balanza!$A$3:$K$852,7,0),0)</f>
        <v>7220.72</v>
      </c>
      <c r="F1056" s="6">
        <f>IFERROR(VLOOKUP($D1056,[1]Balanza!$A$3:$K$852,10,0)-VLOOKUP($D1056,[1]Balanza!$A$3:$K$852,11,0),0)</f>
        <v>0</v>
      </c>
    </row>
    <row r="1057" spans="1:6" x14ac:dyDescent="0.3">
      <c r="A1057" s="2" t="s">
        <v>1947</v>
      </c>
      <c r="B1057" s="2" t="s">
        <v>1948</v>
      </c>
      <c r="C1057" t="s">
        <v>3040</v>
      </c>
      <c r="D1057" s="5" t="s">
        <v>4151</v>
      </c>
      <c r="E1057" s="6">
        <f>IFERROR(VLOOKUP($D1057,[1]Balanza!$A$3:$K$852,6,0)-VLOOKUP(D1057,[1]Balanza!$A$3:$K$852,7,0),0)</f>
        <v>0</v>
      </c>
      <c r="F1057" s="6">
        <f>IFERROR(VLOOKUP($D1057,[1]Balanza!$A$3:$K$852,10,0)-VLOOKUP($D1057,[1]Balanza!$A$3:$K$852,11,0),0)</f>
        <v>0</v>
      </c>
    </row>
    <row r="1058" spans="1:6" x14ac:dyDescent="0.3">
      <c r="A1058" s="1" t="s">
        <v>1949</v>
      </c>
      <c r="B1058" s="1" t="s">
        <v>1950</v>
      </c>
      <c r="C1058" t="s">
        <v>3029</v>
      </c>
      <c r="D1058" s="5" t="s">
        <v>4152</v>
      </c>
      <c r="E1058" s="6">
        <f>IFERROR(VLOOKUP($D1058,[1]Balanza!$A$3:$K$852,6,0)-VLOOKUP(D1058,[1]Balanza!$A$3:$K$852,7,0),0)</f>
        <v>0</v>
      </c>
      <c r="F1058" s="6">
        <f>IFERROR(VLOOKUP($D1058,[1]Balanza!$A$3:$K$852,10,0)-VLOOKUP($D1058,[1]Balanza!$A$3:$K$852,11,0),0)</f>
        <v>0</v>
      </c>
    </row>
    <row r="1059" spans="1:6" x14ac:dyDescent="0.3">
      <c r="A1059" s="2" t="s">
        <v>1951</v>
      </c>
      <c r="B1059" s="2" t="s">
        <v>1952</v>
      </c>
      <c r="C1059" t="s">
        <v>3041</v>
      </c>
      <c r="D1059" s="5" t="s">
        <v>4153</v>
      </c>
      <c r="E1059" s="6">
        <f>IFERROR(VLOOKUP($D1059,[1]Balanza!$A$3:$K$852,6,0)-VLOOKUP(D1059,[1]Balanza!$A$3:$K$852,7,0),0)</f>
        <v>504783.22</v>
      </c>
      <c r="F1059" s="6">
        <f>IFERROR(VLOOKUP($D1059,[1]Balanza!$A$3:$K$852,10,0)-VLOOKUP($D1059,[1]Balanza!$A$3:$K$852,11,0),0)</f>
        <v>22000</v>
      </c>
    </row>
    <row r="1060" spans="1:6" x14ac:dyDescent="0.3">
      <c r="A1060" s="2" t="s">
        <v>1953</v>
      </c>
      <c r="B1060" s="2" t="s">
        <v>1954</v>
      </c>
      <c r="C1060" t="s">
        <v>3042</v>
      </c>
      <c r="D1060" s="5" t="s">
        <v>4154</v>
      </c>
      <c r="E1060" s="6">
        <f>IFERROR(VLOOKUP($D1060,[1]Balanza!$A$3:$K$852,6,0)-VLOOKUP(D1060,[1]Balanza!$A$3:$K$852,7,0),0)</f>
        <v>0</v>
      </c>
      <c r="F1060" s="6">
        <f>IFERROR(VLOOKUP($D1060,[1]Balanza!$A$3:$K$852,10,0)-VLOOKUP($D1060,[1]Balanza!$A$3:$K$852,11,0),0)</f>
        <v>72425.850000000006</v>
      </c>
    </row>
    <row r="1061" spans="1:6" x14ac:dyDescent="0.3">
      <c r="A1061" s="2" t="s">
        <v>1955</v>
      </c>
      <c r="B1061" s="2" t="s">
        <v>1956</v>
      </c>
      <c r="C1061" t="s">
        <v>3043</v>
      </c>
      <c r="D1061" s="5" t="s">
        <v>4155</v>
      </c>
      <c r="E1061" s="6">
        <f>IFERROR(VLOOKUP($D1061,[1]Balanza!$A$3:$K$852,6,0)-VLOOKUP(D1061,[1]Balanza!$A$3:$K$852,7,0),0)</f>
        <v>51000</v>
      </c>
      <c r="F1061" s="6">
        <f>IFERROR(VLOOKUP($D1061,[1]Balanza!$A$3:$K$852,10,0)-VLOOKUP($D1061,[1]Balanza!$A$3:$K$852,11,0),0)</f>
        <v>0</v>
      </c>
    </row>
    <row r="1062" spans="1:6" x14ac:dyDescent="0.3">
      <c r="A1062" s="2" t="s">
        <v>1957</v>
      </c>
      <c r="B1062" s="2" t="s">
        <v>1958</v>
      </c>
      <c r="C1062" t="s">
        <v>3044</v>
      </c>
      <c r="D1062" s="5" t="s">
        <v>4156</v>
      </c>
      <c r="E1062" s="6">
        <f>IFERROR(VLOOKUP($D1062,[1]Balanza!$A$3:$K$852,6,0)-VLOOKUP(D1062,[1]Balanza!$A$3:$K$852,7,0),0)</f>
        <v>30847.119999999999</v>
      </c>
      <c r="F1062" s="6">
        <f>IFERROR(VLOOKUP($D1062,[1]Balanza!$A$3:$K$852,10,0)-VLOOKUP($D1062,[1]Balanza!$A$3:$K$852,11,0),0)</f>
        <v>4229.91</v>
      </c>
    </row>
    <row r="1063" spans="1:6" x14ac:dyDescent="0.3">
      <c r="A1063" s="2" t="s">
        <v>1959</v>
      </c>
      <c r="B1063" s="2" t="s">
        <v>1960</v>
      </c>
      <c r="C1063" t="s">
        <v>3045</v>
      </c>
      <c r="D1063" s="5" t="s">
        <v>4157</v>
      </c>
      <c r="E1063" s="6">
        <f>IFERROR(VLOOKUP($D1063,[1]Balanza!$A$3:$K$852,6,0)-VLOOKUP(D1063,[1]Balanza!$A$3:$K$852,7,0),0)</f>
        <v>50000</v>
      </c>
      <c r="F1063" s="6">
        <f>IFERROR(VLOOKUP($D1063,[1]Balanza!$A$3:$K$852,10,0)-VLOOKUP($D1063,[1]Balanza!$A$3:$K$852,11,0),0)</f>
        <v>0</v>
      </c>
    </row>
    <row r="1064" spans="1:6" x14ac:dyDescent="0.3">
      <c r="A1064" s="2" t="s">
        <v>1961</v>
      </c>
      <c r="B1064" s="2" t="s">
        <v>1962</v>
      </c>
      <c r="C1064" t="s">
        <v>3029</v>
      </c>
      <c r="D1064" s="5" t="s">
        <v>4158</v>
      </c>
      <c r="E1064" s="6">
        <f>IFERROR(VLOOKUP($D1064,[1]Balanza!$A$3:$K$852,6,0)-VLOOKUP(D1064,[1]Balanza!$A$3:$K$852,7,0),0)</f>
        <v>0</v>
      </c>
      <c r="F1064" s="6">
        <f>IFERROR(VLOOKUP($D1064,[1]Balanza!$A$3:$K$852,10,0)-VLOOKUP($D1064,[1]Balanza!$A$3:$K$852,11,0),0)</f>
        <v>0</v>
      </c>
    </row>
    <row r="1065" spans="1:6" x14ac:dyDescent="0.3">
      <c r="A1065" s="2" t="s">
        <v>1963</v>
      </c>
      <c r="B1065" s="2" t="s">
        <v>1964</v>
      </c>
      <c r="C1065" t="s">
        <v>3046</v>
      </c>
      <c r="D1065" s="5" t="s">
        <v>4159</v>
      </c>
      <c r="E1065" s="6">
        <f>IFERROR(VLOOKUP($D1065,[1]Balanza!$A$3:$K$852,6,0)-VLOOKUP(D1065,[1]Balanza!$A$3:$K$852,7,0),0)</f>
        <v>108456.34</v>
      </c>
      <c r="F1065" s="6">
        <f>IFERROR(VLOOKUP($D1065,[1]Balanza!$A$3:$K$852,10,0)-VLOOKUP($D1065,[1]Balanza!$A$3:$K$852,11,0),0)</f>
        <v>20410.05</v>
      </c>
    </row>
    <row r="1066" spans="1:6" x14ac:dyDescent="0.3">
      <c r="A1066" s="2" t="s">
        <v>1965</v>
      </c>
      <c r="B1066" s="2" t="s">
        <v>1966</v>
      </c>
      <c r="C1066" t="s">
        <v>3046</v>
      </c>
      <c r="D1066" s="5" t="s">
        <v>4160</v>
      </c>
      <c r="E1066" s="6">
        <f>IFERROR(VLOOKUP($D1066,[1]Balanza!$A$3:$K$852,6,0)-VLOOKUP(D1066,[1]Balanza!$A$3:$K$852,7,0),0)</f>
        <v>0</v>
      </c>
      <c r="F1066" s="6">
        <f>IFERROR(VLOOKUP($D1066,[1]Balanza!$A$3:$K$852,10,0)-VLOOKUP($D1066,[1]Balanza!$A$3:$K$852,11,0),0)</f>
        <v>0</v>
      </c>
    </row>
    <row r="1067" spans="1:6" x14ac:dyDescent="0.3">
      <c r="A1067" s="2" t="s">
        <v>1967</v>
      </c>
      <c r="B1067" s="2" t="s">
        <v>1968</v>
      </c>
      <c r="C1067" t="s">
        <v>3046</v>
      </c>
      <c r="D1067" s="5" t="s">
        <v>4161</v>
      </c>
      <c r="E1067" s="6">
        <f>IFERROR(VLOOKUP($D1067,[1]Balanza!$A$3:$K$852,6,0)-VLOOKUP(D1067,[1]Balanza!$A$3:$K$852,7,0),0)</f>
        <v>10832.67</v>
      </c>
      <c r="F1067" s="6">
        <f>IFERROR(VLOOKUP($D1067,[1]Balanza!$A$3:$K$852,10,0)-VLOOKUP($D1067,[1]Balanza!$A$3:$K$852,11,0),0)</f>
        <v>11271.77</v>
      </c>
    </row>
    <row r="1068" spans="1:6" x14ac:dyDescent="0.3">
      <c r="A1068" s="2" t="s">
        <v>1969</v>
      </c>
      <c r="B1068" s="2" t="s">
        <v>1970</v>
      </c>
      <c r="C1068" t="s">
        <v>3046</v>
      </c>
      <c r="D1068" s="5" t="s">
        <v>4162</v>
      </c>
      <c r="E1068" s="6">
        <f>IFERROR(VLOOKUP($D1068,[1]Balanza!$A$3:$K$852,6,0)-VLOOKUP(D1068,[1]Balanza!$A$3:$K$852,7,0),0)</f>
        <v>7760.48</v>
      </c>
      <c r="F1068" s="6">
        <f>IFERROR(VLOOKUP($D1068,[1]Balanza!$A$3:$K$852,10,0)-VLOOKUP($D1068,[1]Balanza!$A$3:$K$852,11,0),0)</f>
        <v>0</v>
      </c>
    </row>
    <row r="1069" spans="1:6" x14ac:dyDescent="0.3">
      <c r="A1069" s="2" t="s">
        <v>1971</v>
      </c>
      <c r="B1069" s="2" t="s">
        <v>1972</v>
      </c>
      <c r="C1069" t="s">
        <v>3041</v>
      </c>
      <c r="D1069" s="5" t="s">
        <v>4163</v>
      </c>
      <c r="E1069" s="6">
        <f>IFERROR(VLOOKUP($D1069,[1]Balanza!$A$3:$K$852,6,0)-VLOOKUP(D1069,[1]Balanza!$A$3:$K$852,7,0),0)</f>
        <v>0</v>
      </c>
      <c r="F1069" s="6">
        <f>IFERROR(VLOOKUP($D1069,[1]Balanza!$A$3:$K$852,10,0)-VLOOKUP($D1069,[1]Balanza!$A$3:$K$852,11,0),0)</f>
        <v>60095.5</v>
      </c>
    </row>
    <row r="1070" spans="1:6" x14ac:dyDescent="0.3">
      <c r="A1070" s="2" t="s">
        <v>1973</v>
      </c>
      <c r="B1070" s="2" t="s">
        <v>1974</v>
      </c>
      <c r="C1070" t="s">
        <v>3042</v>
      </c>
      <c r="D1070" s="5" t="s">
        <v>4164</v>
      </c>
      <c r="E1070" s="6">
        <f>IFERROR(VLOOKUP($D1070,[1]Balanza!$A$3:$K$852,6,0)-VLOOKUP(D1070,[1]Balanza!$A$3:$K$852,7,0),0)</f>
        <v>0</v>
      </c>
      <c r="F1070" s="6">
        <f>IFERROR(VLOOKUP($D1070,[1]Balanza!$A$3:$K$852,10,0)-VLOOKUP($D1070,[1]Balanza!$A$3:$K$852,11,0),0)</f>
        <v>0</v>
      </c>
    </row>
    <row r="1071" spans="1:6" x14ac:dyDescent="0.3">
      <c r="A1071" s="2" t="s">
        <v>1975</v>
      </c>
      <c r="B1071" s="2" t="s">
        <v>1976</v>
      </c>
      <c r="C1071" t="s">
        <v>3047</v>
      </c>
      <c r="D1071" s="5" t="s">
        <v>4165</v>
      </c>
      <c r="E1071" s="6">
        <f>IFERROR(VLOOKUP($D1071,[1]Balanza!$A$3:$K$852,6,0)-VLOOKUP(D1071,[1]Balanza!$A$3:$K$852,7,0),0)</f>
        <v>43103.45</v>
      </c>
      <c r="F1071" s="6">
        <f>IFERROR(VLOOKUP($D1071,[1]Balanza!$A$3:$K$852,10,0)-VLOOKUP($D1071,[1]Balanza!$A$3:$K$852,11,0),0)</f>
        <v>0</v>
      </c>
    </row>
    <row r="1072" spans="1:6" x14ac:dyDescent="0.3">
      <c r="A1072" s="2" t="s">
        <v>1977</v>
      </c>
      <c r="B1072" s="2" t="s">
        <v>1978</v>
      </c>
      <c r="C1072" t="s">
        <v>3045</v>
      </c>
      <c r="D1072" s="5" t="s">
        <v>4166</v>
      </c>
      <c r="E1072" s="6">
        <f>IFERROR(VLOOKUP($D1072,[1]Balanza!$A$3:$K$852,6,0)-VLOOKUP(D1072,[1]Balanza!$A$3:$K$852,7,0),0)</f>
        <v>75983</v>
      </c>
      <c r="F1072" s="6">
        <f>IFERROR(VLOOKUP($D1072,[1]Balanza!$A$3:$K$852,10,0)-VLOOKUP($D1072,[1]Balanza!$A$3:$K$852,11,0),0)</f>
        <v>0</v>
      </c>
    </row>
    <row r="1073" spans="1:6" x14ac:dyDescent="0.3">
      <c r="A1073" s="1" t="s">
        <v>1979</v>
      </c>
      <c r="B1073" s="1" t="s">
        <v>1980</v>
      </c>
      <c r="C1073" t="s">
        <v>3029</v>
      </c>
      <c r="D1073" s="5" t="s">
        <v>4167</v>
      </c>
      <c r="E1073" s="6">
        <f>IFERROR(VLOOKUP($D1073,[1]Balanza!$A$3:$K$852,6,0)-VLOOKUP(D1073,[1]Balanza!$A$3:$K$852,7,0),0)</f>
        <v>0</v>
      </c>
      <c r="F1073" s="6">
        <f>IFERROR(VLOOKUP($D1073,[1]Balanza!$A$3:$K$852,10,0)-VLOOKUP($D1073,[1]Balanza!$A$3:$K$852,11,0),0)</f>
        <v>0</v>
      </c>
    </row>
    <row r="1074" spans="1:6" x14ac:dyDescent="0.3">
      <c r="A1074" s="2" t="s">
        <v>1981</v>
      </c>
      <c r="B1074" s="2" t="s">
        <v>1982</v>
      </c>
      <c r="C1074" t="s">
        <v>3049</v>
      </c>
      <c r="D1074" s="5" t="s">
        <v>4168</v>
      </c>
      <c r="E1074" s="6">
        <f>IFERROR(VLOOKUP($D1074,[1]Balanza!$A$3:$K$852,6,0)-VLOOKUP(D1074,[1]Balanza!$A$3:$K$852,7,0),0)</f>
        <v>0</v>
      </c>
      <c r="F1074" s="6">
        <f>IFERROR(VLOOKUP($D1074,[1]Balanza!$A$3:$K$852,10,0)-VLOOKUP($D1074,[1]Balanza!$A$3:$K$852,11,0),0)</f>
        <v>0</v>
      </c>
    </row>
    <row r="1075" spans="1:6" x14ac:dyDescent="0.3">
      <c r="A1075" s="2" t="s">
        <v>1983</v>
      </c>
      <c r="B1075" s="2" t="s">
        <v>1984</v>
      </c>
      <c r="C1075" t="s">
        <v>3048</v>
      </c>
      <c r="D1075" s="5" t="s">
        <v>4169</v>
      </c>
      <c r="E1075" s="6">
        <f>IFERROR(VLOOKUP($D1075,[1]Balanza!$A$3:$K$852,6,0)-VLOOKUP(D1075,[1]Balanza!$A$3:$K$852,7,0),0)</f>
        <v>72956.639999999999</v>
      </c>
      <c r="F1075" s="6">
        <f>IFERROR(VLOOKUP($D1075,[1]Balanza!$A$3:$K$852,10,0)-VLOOKUP($D1075,[1]Balanza!$A$3:$K$852,11,0),0)</f>
        <v>0</v>
      </c>
    </row>
    <row r="1076" spans="1:6" x14ac:dyDescent="0.3">
      <c r="A1076" s="2" t="s">
        <v>1985</v>
      </c>
      <c r="B1076" s="2" t="s">
        <v>1986</v>
      </c>
      <c r="C1076" t="s">
        <v>3048</v>
      </c>
      <c r="D1076" s="5" t="s">
        <v>4170</v>
      </c>
      <c r="E1076" s="6">
        <f>IFERROR(VLOOKUP($D1076,[1]Balanza!$A$3:$K$852,6,0)-VLOOKUP(D1076,[1]Balanza!$A$3:$K$852,7,0),0)</f>
        <v>0</v>
      </c>
      <c r="F1076" s="6">
        <f>IFERROR(VLOOKUP($D1076,[1]Balanza!$A$3:$K$852,10,0)-VLOOKUP($D1076,[1]Balanza!$A$3:$K$852,11,0),0)</f>
        <v>0</v>
      </c>
    </row>
    <row r="1077" spans="1:6" x14ac:dyDescent="0.3">
      <c r="A1077" s="2" t="s">
        <v>1987</v>
      </c>
      <c r="B1077" s="2" t="s">
        <v>1988</v>
      </c>
      <c r="C1077" t="s">
        <v>3048</v>
      </c>
      <c r="D1077" s="5" t="s">
        <v>4171</v>
      </c>
      <c r="E1077" s="6">
        <f>IFERROR(VLOOKUP($D1077,[1]Balanza!$A$3:$K$852,6,0)-VLOOKUP(D1077,[1]Balanza!$A$3:$K$852,7,0),0)</f>
        <v>2398.84</v>
      </c>
      <c r="F1077" s="6">
        <f>IFERROR(VLOOKUP($D1077,[1]Balanza!$A$3:$K$852,10,0)-VLOOKUP($D1077,[1]Balanza!$A$3:$K$852,11,0),0)</f>
        <v>0</v>
      </c>
    </row>
    <row r="1078" spans="1:6" x14ac:dyDescent="0.3">
      <c r="A1078" s="2" t="s">
        <v>1989</v>
      </c>
      <c r="B1078" s="2" t="s">
        <v>1990</v>
      </c>
      <c r="C1078" t="s">
        <v>3048</v>
      </c>
      <c r="D1078" s="5" t="s">
        <v>4172</v>
      </c>
      <c r="E1078" s="6">
        <f>IFERROR(VLOOKUP($D1078,[1]Balanza!$A$3:$K$852,6,0)-VLOOKUP(D1078,[1]Balanza!$A$3:$K$852,7,0),0)</f>
        <v>8690.5</v>
      </c>
      <c r="F1078" s="6">
        <f>IFERROR(VLOOKUP($D1078,[1]Balanza!$A$3:$K$852,10,0)-VLOOKUP($D1078,[1]Balanza!$A$3:$K$852,11,0),0)</f>
        <v>0</v>
      </c>
    </row>
    <row r="1079" spans="1:6" x14ac:dyDescent="0.3">
      <c r="A1079" s="2" t="s">
        <v>1991</v>
      </c>
      <c r="B1079" s="2" t="s">
        <v>1992</v>
      </c>
      <c r="C1079" t="s">
        <v>3048</v>
      </c>
      <c r="D1079" s="5" t="s">
        <v>4173</v>
      </c>
      <c r="E1079" s="6">
        <f>IFERROR(VLOOKUP($D1079,[1]Balanza!$A$3:$K$852,6,0)-VLOOKUP(D1079,[1]Balanza!$A$3:$K$852,7,0),0)</f>
        <v>8690.5</v>
      </c>
      <c r="F1079" s="6">
        <f>IFERROR(VLOOKUP($D1079,[1]Balanza!$A$3:$K$852,10,0)-VLOOKUP($D1079,[1]Balanza!$A$3:$K$852,11,0),0)</f>
        <v>0</v>
      </c>
    </row>
    <row r="1080" spans="1:6" x14ac:dyDescent="0.3">
      <c r="A1080" s="2" t="s">
        <v>1993</v>
      </c>
      <c r="B1080" s="2" t="s">
        <v>1994</v>
      </c>
      <c r="C1080" t="s">
        <v>3048</v>
      </c>
      <c r="D1080" s="5" t="s">
        <v>4174</v>
      </c>
      <c r="E1080" s="6">
        <f>IFERROR(VLOOKUP($D1080,[1]Balanza!$A$3:$K$852,6,0)-VLOOKUP(D1080,[1]Balanza!$A$3:$K$852,7,0),0)</f>
        <v>1431.17</v>
      </c>
      <c r="F1080" s="6">
        <f>IFERROR(VLOOKUP($D1080,[1]Balanza!$A$3:$K$852,10,0)-VLOOKUP($D1080,[1]Balanza!$A$3:$K$852,11,0),0)</f>
        <v>0</v>
      </c>
    </row>
    <row r="1081" spans="1:6" x14ac:dyDescent="0.3">
      <c r="A1081" s="2" t="s">
        <v>1995</v>
      </c>
      <c r="B1081" s="2" t="s">
        <v>1996</v>
      </c>
      <c r="C1081" t="s">
        <v>3048</v>
      </c>
      <c r="D1081" s="5" t="s">
        <v>4175</v>
      </c>
      <c r="E1081" s="6">
        <f>IFERROR(VLOOKUP($D1081,[1]Balanza!$A$3:$K$852,6,0)-VLOOKUP(D1081,[1]Balanza!$A$3:$K$852,7,0),0)</f>
        <v>0</v>
      </c>
      <c r="F1081" s="6">
        <f>IFERROR(VLOOKUP($D1081,[1]Balanza!$A$3:$K$852,10,0)-VLOOKUP($D1081,[1]Balanza!$A$3:$K$852,11,0),0)</f>
        <v>0</v>
      </c>
    </row>
    <row r="1082" spans="1:6" x14ac:dyDescent="0.3">
      <c r="A1082" s="2" t="s">
        <v>1997</v>
      </c>
      <c r="B1082" s="2" t="s">
        <v>1998</v>
      </c>
      <c r="C1082" t="s">
        <v>3048</v>
      </c>
      <c r="D1082" s="5" t="s">
        <v>4176</v>
      </c>
      <c r="E1082" s="6">
        <f>IFERROR(VLOOKUP($D1082,[1]Balanza!$A$3:$K$852,6,0)-VLOOKUP(D1082,[1]Balanza!$A$3:$K$852,7,0),0)</f>
        <v>0</v>
      </c>
      <c r="F1082" s="6">
        <f>IFERROR(VLOOKUP($D1082,[1]Balanza!$A$3:$K$852,10,0)-VLOOKUP($D1082,[1]Balanza!$A$3:$K$852,11,0),0)</f>
        <v>0</v>
      </c>
    </row>
    <row r="1083" spans="1:6" x14ac:dyDescent="0.3">
      <c r="A1083" s="2" t="s">
        <v>1999</v>
      </c>
      <c r="B1083" s="2" t="s">
        <v>2000</v>
      </c>
      <c r="C1083" t="s">
        <v>3048</v>
      </c>
      <c r="D1083" s="5" t="s">
        <v>4177</v>
      </c>
      <c r="E1083" s="6">
        <f>IFERROR(VLOOKUP($D1083,[1]Balanza!$A$3:$K$852,6,0)-VLOOKUP(D1083,[1]Balanza!$A$3:$K$852,7,0),0)</f>
        <v>0</v>
      </c>
      <c r="F1083" s="6">
        <f>IFERROR(VLOOKUP($D1083,[1]Balanza!$A$3:$K$852,10,0)-VLOOKUP($D1083,[1]Balanza!$A$3:$K$852,11,0),0)</f>
        <v>0</v>
      </c>
    </row>
    <row r="1084" spans="1:6" x14ac:dyDescent="0.3">
      <c r="A1084" s="2" t="s">
        <v>2001</v>
      </c>
      <c r="B1084" s="2" t="s">
        <v>2002</v>
      </c>
      <c r="C1084" t="s">
        <v>3048</v>
      </c>
      <c r="D1084" s="5" t="s">
        <v>4178</v>
      </c>
      <c r="E1084" s="6">
        <f>IFERROR(VLOOKUP($D1084,[1]Balanza!$A$3:$K$852,6,0)-VLOOKUP(D1084,[1]Balanza!$A$3:$K$852,7,0),0)</f>
        <v>0</v>
      </c>
      <c r="F1084" s="6">
        <f>IFERROR(VLOOKUP($D1084,[1]Balanza!$A$3:$K$852,10,0)-VLOOKUP($D1084,[1]Balanza!$A$3:$K$852,11,0),0)</f>
        <v>0</v>
      </c>
    </row>
    <row r="1085" spans="1:6" x14ac:dyDescent="0.3">
      <c r="A1085" s="2" t="s">
        <v>2003</v>
      </c>
      <c r="B1085" s="2" t="s">
        <v>2004</v>
      </c>
      <c r="C1085" t="s">
        <v>3048</v>
      </c>
      <c r="D1085" s="5" t="s">
        <v>4179</v>
      </c>
      <c r="E1085" s="6">
        <f>IFERROR(VLOOKUP($D1085,[1]Balanza!$A$3:$K$852,6,0)-VLOOKUP(D1085,[1]Balanza!$A$3:$K$852,7,0),0)</f>
        <v>0</v>
      </c>
      <c r="F1085" s="6">
        <f>IFERROR(VLOOKUP($D1085,[1]Balanza!$A$3:$K$852,10,0)-VLOOKUP($D1085,[1]Balanza!$A$3:$K$852,11,0),0)</f>
        <v>0</v>
      </c>
    </row>
    <row r="1086" spans="1:6" x14ac:dyDescent="0.3">
      <c r="A1086" s="2" t="s">
        <v>2005</v>
      </c>
      <c r="B1086" s="2" t="s">
        <v>2006</v>
      </c>
      <c r="C1086" t="s">
        <v>3048</v>
      </c>
      <c r="D1086" s="5" t="s">
        <v>4180</v>
      </c>
      <c r="E1086" s="6">
        <f>IFERROR(VLOOKUP($D1086,[1]Balanza!$A$3:$K$852,6,0)-VLOOKUP(D1086,[1]Balanza!$A$3:$K$852,7,0),0)</f>
        <v>3879.69</v>
      </c>
      <c r="F1086" s="6">
        <f>IFERROR(VLOOKUP($D1086,[1]Balanza!$A$3:$K$852,10,0)-VLOOKUP($D1086,[1]Balanza!$A$3:$K$852,11,0),0)</f>
        <v>0</v>
      </c>
    </row>
    <row r="1087" spans="1:6" x14ac:dyDescent="0.3">
      <c r="A1087" s="2" t="s">
        <v>2007</v>
      </c>
      <c r="B1087" s="2" t="s">
        <v>2008</v>
      </c>
      <c r="C1087" t="s">
        <v>3048</v>
      </c>
      <c r="D1087" s="5" t="s">
        <v>4181</v>
      </c>
      <c r="E1087" s="6">
        <f>IFERROR(VLOOKUP($D1087,[1]Balanza!$A$3:$K$852,6,0)-VLOOKUP(D1087,[1]Balanza!$A$3:$K$852,7,0),0)</f>
        <v>0</v>
      </c>
      <c r="F1087" s="6">
        <f>IFERROR(VLOOKUP($D1087,[1]Balanza!$A$3:$K$852,10,0)-VLOOKUP($D1087,[1]Balanza!$A$3:$K$852,11,0),0)</f>
        <v>0</v>
      </c>
    </row>
    <row r="1088" spans="1:6" x14ac:dyDescent="0.3">
      <c r="A1088" s="2" t="s">
        <v>2009</v>
      </c>
      <c r="B1088" s="2" t="s">
        <v>2010</v>
      </c>
      <c r="C1088" t="s">
        <v>3048</v>
      </c>
      <c r="D1088" s="5" t="s">
        <v>4182</v>
      </c>
      <c r="E1088" s="6">
        <f>IFERROR(VLOOKUP($D1088,[1]Balanza!$A$3:$K$852,6,0)-VLOOKUP(D1088,[1]Balanza!$A$3:$K$852,7,0),0)</f>
        <v>0</v>
      </c>
      <c r="F1088" s="6">
        <f>IFERROR(VLOOKUP($D1088,[1]Balanza!$A$3:$K$852,10,0)-VLOOKUP($D1088,[1]Balanza!$A$3:$K$852,11,0),0)</f>
        <v>0</v>
      </c>
    </row>
    <row r="1089" spans="1:6" x14ac:dyDescent="0.3">
      <c r="A1089" s="2" t="s">
        <v>2011</v>
      </c>
      <c r="B1089" s="2" t="s">
        <v>2012</v>
      </c>
      <c r="C1089" t="s">
        <v>3048</v>
      </c>
      <c r="D1089" s="5" t="s">
        <v>4183</v>
      </c>
      <c r="E1089" s="6">
        <f>IFERROR(VLOOKUP($D1089,[1]Balanza!$A$3:$K$852,6,0)-VLOOKUP(D1089,[1]Balanza!$A$3:$K$852,7,0),0)</f>
        <v>8690.5</v>
      </c>
      <c r="F1089" s="6">
        <f>IFERROR(VLOOKUP($D1089,[1]Balanza!$A$3:$K$852,10,0)-VLOOKUP($D1089,[1]Balanza!$A$3:$K$852,11,0),0)</f>
        <v>0</v>
      </c>
    </row>
    <row r="1090" spans="1:6" x14ac:dyDescent="0.3">
      <c r="A1090" s="2" t="s">
        <v>2013</v>
      </c>
      <c r="B1090" s="2" t="s">
        <v>2014</v>
      </c>
      <c r="C1090" t="s">
        <v>3048</v>
      </c>
      <c r="D1090" s="5" t="s">
        <v>4184</v>
      </c>
      <c r="E1090" s="6">
        <f>IFERROR(VLOOKUP($D1090,[1]Balanza!$A$3:$K$852,6,0)-VLOOKUP(D1090,[1]Balanza!$A$3:$K$852,7,0),0)</f>
        <v>0</v>
      </c>
      <c r="F1090" s="6">
        <f>IFERROR(VLOOKUP($D1090,[1]Balanza!$A$3:$K$852,10,0)-VLOOKUP($D1090,[1]Balanza!$A$3:$K$852,11,0),0)</f>
        <v>0</v>
      </c>
    </row>
    <row r="1091" spans="1:6" x14ac:dyDescent="0.3">
      <c r="A1091" s="2" t="s">
        <v>2015</v>
      </c>
      <c r="B1091" s="2" t="s">
        <v>2016</v>
      </c>
      <c r="C1091" t="s">
        <v>3048</v>
      </c>
      <c r="D1091" s="5" t="s">
        <v>4185</v>
      </c>
      <c r="E1091" s="6">
        <f>IFERROR(VLOOKUP($D1091,[1]Balanza!$A$3:$K$852,6,0)-VLOOKUP(D1091,[1]Balanza!$A$3:$K$852,7,0),0)</f>
        <v>0</v>
      </c>
      <c r="F1091" s="6">
        <f>IFERROR(VLOOKUP($D1091,[1]Balanza!$A$3:$K$852,10,0)-VLOOKUP($D1091,[1]Balanza!$A$3:$K$852,11,0),0)</f>
        <v>0</v>
      </c>
    </row>
    <row r="1092" spans="1:6" x14ac:dyDescent="0.3">
      <c r="A1092" s="2" t="s">
        <v>2017</v>
      </c>
      <c r="B1092" s="2" t="s">
        <v>2018</v>
      </c>
      <c r="C1092" t="s">
        <v>3048</v>
      </c>
      <c r="D1092" s="5" t="s">
        <v>4186</v>
      </c>
      <c r="E1092" s="6">
        <f>IFERROR(VLOOKUP($D1092,[1]Balanza!$A$3:$K$852,6,0)-VLOOKUP(D1092,[1]Balanza!$A$3:$K$852,7,0),0)</f>
        <v>0</v>
      </c>
      <c r="F1092" s="6">
        <f>IFERROR(VLOOKUP($D1092,[1]Balanza!$A$3:$K$852,10,0)-VLOOKUP($D1092,[1]Balanza!$A$3:$K$852,11,0),0)</f>
        <v>0</v>
      </c>
    </row>
    <row r="1093" spans="1:6" x14ac:dyDescent="0.3">
      <c r="A1093" s="2" t="s">
        <v>2019</v>
      </c>
      <c r="B1093" s="2" t="s">
        <v>2020</v>
      </c>
      <c r="C1093" t="s">
        <v>3048</v>
      </c>
      <c r="D1093" s="5" t="s">
        <v>4187</v>
      </c>
      <c r="E1093" s="6">
        <f>IFERROR(VLOOKUP($D1093,[1]Balanza!$A$3:$K$852,6,0)-VLOOKUP(D1093,[1]Balanza!$A$3:$K$852,7,0),0)</f>
        <v>4345.25</v>
      </c>
      <c r="F1093" s="6">
        <f>IFERROR(VLOOKUP($D1093,[1]Balanza!$A$3:$K$852,10,0)-VLOOKUP($D1093,[1]Balanza!$A$3:$K$852,11,0),0)</f>
        <v>0</v>
      </c>
    </row>
    <row r="1094" spans="1:6" x14ac:dyDescent="0.3">
      <c r="A1094" s="2" t="s">
        <v>2021</v>
      </c>
      <c r="B1094" s="2" t="s">
        <v>2022</v>
      </c>
      <c r="C1094" t="s">
        <v>3048</v>
      </c>
      <c r="D1094" s="5" t="s">
        <v>4188</v>
      </c>
      <c r="E1094" s="6">
        <f>IFERROR(VLOOKUP($D1094,[1]Balanza!$A$3:$K$852,6,0)-VLOOKUP(D1094,[1]Balanza!$A$3:$K$852,7,0),0)</f>
        <v>0</v>
      </c>
      <c r="F1094" s="6">
        <f>IFERROR(VLOOKUP($D1094,[1]Balanza!$A$3:$K$852,10,0)-VLOOKUP($D1094,[1]Balanza!$A$3:$K$852,11,0),0)</f>
        <v>0</v>
      </c>
    </row>
    <row r="1095" spans="1:6" x14ac:dyDescent="0.3">
      <c r="A1095" s="2" t="s">
        <v>2023</v>
      </c>
      <c r="B1095" s="2" t="s">
        <v>2024</v>
      </c>
      <c r="C1095" t="s">
        <v>3048</v>
      </c>
      <c r="D1095" s="5" t="s">
        <v>4189</v>
      </c>
      <c r="E1095" s="6">
        <f>IFERROR(VLOOKUP($D1095,[1]Balanza!$A$3:$K$852,6,0)-VLOOKUP(D1095,[1]Balanza!$A$3:$K$852,7,0),0)</f>
        <v>0</v>
      </c>
      <c r="F1095" s="6">
        <f>IFERROR(VLOOKUP($D1095,[1]Balanza!$A$3:$K$852,10,0)-VLOOKUP($D1095,[1]Balanza!$A$3:$K$852,11,0),0)</f>
        <v>0</v>
      </c>
    </row>
    <row r="1096" spans="1:6" x14ac:dyDescent="0.3">
      <c r="A1096" s="2" t="s">
        <v>2025</v>
      </c>
      <c r="B1096" s="2" t="s">
        <v>2026</v>
      </c>
      <c r="C1096" t="s">
        <v>3048</v>
      </c>
      <c r="D1096" s="5" t="s">
        <v>4190</v>
      </c>
      <c r="E1096" s="6">
        <f>IFERROR(VLOOKUP($D1096,[1]Balanza!$A$3:$K$852,6,0)-VLOOKUP(D1096,[1]Balanza!$A$3:$K$852,7,0),0)</f>
        <v>0</v>
      </c>
      <c r="F1096" s="6">
        <f>IFERROR(VLOOKUP($D1096,[1]Balanza!$A$3:$K$852,10,0)-VLOOKUP($D1096,[1]Balanza!$A$3:$K$852,11,0),0)</f>
        <v>0</v>
      </c>
    </row>
    <row r="1097" spans="1:6" x14ac:dyDescent="0.3">
      <c r="A1097" s="2" t="s">
        <v>2027</v>
      </c>
      <c r="B1097" s="2" t="s">
        <v>2028</v>
      </c>
      <c r="C1097" t="s">
        <v>3048</v>
      </c>
      <c r="D1097" s="5" t="s">
        <v>4191</v>
      </c>
      <c r="E1097" s="6">
        <f>IFERROR(VLOOKUP($D1097,[1]Balanza!$A$3:$K$852,6,0)-VLOOKUP(D1097,[1]Balanza!$A$3:$K$852,7,0),0)</f>
        <v>0</v>
      </c>
      <c r="F1097" s="6">
        <f>IFERROR(VLOOKUP($D1097,[1]Balanza!$A$3:$K$852,10,0)-VLOOKUP($D1097,[1]Balanza!$A$3:$K$852,11,0),0)</f>
        <v>0</v>
      </c>
    </row>
    <row r="1098" spans="1:6" x14ac:dyDescent="0.3">
      <c r="A1098" s="2" t="s">
        <v>2029</v>
      </c>
      <c r="B1098" s="2" t="s">
        <v>2030</v>
      </c>
      <c r="C1098" t="s">
        <v>3048</v>
      </c>
      <c r="D1098" s="5" t="s">
        <v>4192</v>
      </c>
      <c r="E1098" s="6">
        <f>IFERROR(VLOOKUP($D1098,[1]Balanza!$A$3:$K$852,6,0)-VLOOKUP(D1098,[1]Balanza!$A$3:$K$852,7,0),0)</f>
        <v>12415.02</v>
      </c>
      <c r="F1098" s="6">
        <f>IFERROR(VLOOKUP($D1098,[1]Balanza!$A$3:$K$852,10,0)-VLOOKUP($D1098,[1]Balanza!$A$3:$K$852,11,0),0)</f>
        <v>0</v>
      </c>
    </row>
    <row r="1099" spans="1:6" x14ac:dyDescent="0.3">
      <c r="A1099" s="2" t="s">
        <v>2031</v>
      </c>
      <c r="B1099" s="2" t="s">
        <v>2032</v>
      </c>
      <c r="C1099" t="s">
        <v>3048</v>
      </c>
      <c r="D1099" s="5" t="s">
        <v>4193</v>
      </c>
      <c r="E1099" s="6">
        <f>IFERROR(VLOOKUP($D1099,[1]Balanza!$A$3:$K$852,6,0)-VLOOKUP(D1099,[1]Balanza!$A$3:$K$852,7,0),0)</f>
        <v>0</v>
      </c>
      <c r="F1099" s="6">
        <f>IFERROR(VLOOKUP($D1099,[1]Balanza!$A$3:$K$852,10,0)-VLOOKUP($D1099,[1]Balanza!$A$3:$K$852,11,0),0)</f>
        <v>0</v>
      </c>
    </row>
    <row r="1100" spans="1:6" x14ac:dyDescent="0.3">
      <c r="A1100" s="2" t="s">
        <v>2033</v>
      </c>
      <c r="B1100" s="2" t="s">
        <v>2034</v>
      </c>
      <c r="C1100" t="s">
        <v>3048</v>
      </c>
      <c r="D1100" s="5" t="s">
        <v>4194</v>
      </c>
      <c r="E1100" s="6">
        <f>IFERROR(VLOOKUP($D1100,[1]Balanza!$A$3:$K$852,6,0)-VLOOKUP(D1100,[1]Balanza!$A$3:$K$852,7,0),0)</f>
        <v>0</v>
      </c>
      <c r="F1100" s="6">
        <f>IFERROR(VLOOKUP($D1100,[1]Balanza!$A$3:$K$852,10,0)-VLOOKUP($D1100,[1]Balanza!$A$3:$K$852,11,0),0)</f>
        <v>0</v>
      </c>
    </row>
    <row r="1101" spans="1:6" x14ac:dyDescent="0.3">
      <c r="A1101" s="2" t="s">
        <v>2035</v>
      </c>
      <c r="B1101" s="2" t="s">
        <v>2036</v>
      </c>
      <c r="C1101" t="s">
        <v>3048</v>
      </c>
      <c r="D1101" s="5" t="s">
        <v>4195</v>
      </c>
      <c r="E1101" s="6">
        <f>IFERROR(VLOOKUP($D1101,[1]Balanza!$A$3:$K$852,6,0)-VLOOKUP(D1101,[1]Balanza!$A$3:$K$852,7,0),0)</f>
        <v>0</v>
      </c>
      <c r="F1101" s="6">
        <f>IFERROR(VLOOKUP($D1101,[1]Balanza!$A$3:$K$852,10,0)-VLOOKUP($D1101,[1]Balanza!$A$3:$K$852,11,0),0)</f>
        <v>0</v>
      </c>
    </row>
    <row r="1102" spans="1:6" x14ac:dyDescent="0.3">
      <c r="A1102" s="2" t="s">
        <v>2037</v>
      </c>
      <c r="B1102" s="2" t="s">
        <v>2038</v>
      </c>
      <c r="C1102" t="s">
        <v>3048</v>
      </c>
      <c r="D1102" s="5" t="s">
        <v>4196</v>
      </c>
      <c r="E1102" s="6">
        <f>IFERROR(VLOOKUP($D1102,[1]Balanza!$A$3:$K$852,6,0)-VLOOKUP(D1102,[1]Balanza!$A$3:$K$852,7,0),0)</f>
        <v>0</v>
      </c>
      <c r="F1102" s="6">
        <f>IFERROR(VLOOKUP($D1102,[1]Balanza!$A$3:$K$852,10,0)-VLOOKUP($D1102,[1]Balanza!$A$3:$K$852,11,0),0)</f>
        <v>0</v>
      </c>
    </row>
    <row r="1103" spans="1:6" x14ac:dyDescent="0.3">
      <c r="A1103" s="2" t="s">
        <v>2039</v>
      </c>
      <c r="B1103" s="2" t="s">
        <v>2038</v>
      </c>
      <c r="C1103" t="s">
        <v>3048</v>
      </c>
      <c r="D1103" s="5" t="s">
        <v>4197</v>
      </c>
      <c r="E1103" s="6">
        <f>IFERROR(VLOOKUP($D1103,[1]Balanza!$A$3:$K$852,6,0)-VLOOKUP(D1103,[1]Balanza!$A$3:$K$852,7,0),0)</f>
        <v>46310.71</v>
      </c>
      <c r="F1103" s="6">
        <f>IFERROR(VLOOKUP($D1103,[1]Balanza!$A$3:$K$852,10,0)-VLOOKUP($D1103,[1]Balanza!$A$3:$K$852,11,0),0)</f>
        <v>0</v>
      </c>
    </row>
    <row r="1104" spans="1:6" x14ac:dyDescent="0.3">
      <c r="A1104" s="2" t="s">
        <v>2040</v>
      </c>
      <c r="B1104" s="2" t="s">
        <v>2041</v>
      </c>
      <c r="C1104" t="s">
        <v>3048</v>
      </c>
      <c r="D1104" s="5" t="s">
        <v>4198</v>
      </c>
      <c r="E1104" s="6">
        <f>IFERROR(VLOOKUP($D1104,[1]Balanza!$A$3:$K$852,6,0)-VLOOKUP(D1104,[1]Balanza!$A$3:$K$852,7,0),0)</f>
        <v>0</v>
      </c>
      <c r="F1104" s="6">
        <f>IFERROR(VLOOKUP($D1104,[1]Balanza!$A$3:$K$852,10,0)-VLOOKUP($D1104,[1]Balanza!$A$3:$K$852,11,0),0)</f>
        <v>0</v>
      </c>
    </row>
    <row r="1105" spans="1:6" x14ac:dyDescent="0.3">
      <c r="A1105" s="2" t="s">
        <v>2042</v>
      </c>
      <c r="B1105" s="2" t="s">
        <v>2043</v>
      </c>
      <c r="C1105" t="s">
        <v>3048</v>
      </c>
      <c r="D1105" s="5" t="s">
        <v>4199</v>
      </c>
      <c r="E1105" s="6">
        <f>IFERROR(VLOOKUP($D1105,[1]Balanza!$A$3:$K$852,6,0)-VLOOKUP(D1105,[1]Balanza!$A$3:$K$852,7,0),0)</f>
        <v>0</v>
      </c>
      <c r="F1105" s="6">
        <f>IFERROR(VLOOKUP($D1105,[1]Balanza!$A$3:$K$852,10,0)-VLOOKUP($D1105,[1]Balanza!$A$3:$K$852,11,0),0)</f>
        <v>0</v>
      </c>
    </row>
    <row r="1106" spans="1:6" x14ac:dyDescent="0.3">
      <c r="A1106" s="1" t="s">
        <v>2044</v>
      </c>
      <c r="B1106" s="1" t="s">
        <v>2045</v>
      </c>
      <c r="C1106" t="s">
        <v>3029</v>
      </c>
      <c r="D1106" s="5" t="s">
        <v>4200</v>
      </c>
      <c r="E1106" s="6">
        <f>IFERROR(VLOOKUP($D1106,[1]Balanza!$A$3:$K$852,6,0)-VLOOKUP(D1106,[1]Balanza!$A$3:$K$852,7,0),0)</f>
        <v>0</v>
      </c>
      <c r="F1106" s="6">
        <f>IFERROR(VLOOKUP($D1106,[1]Balanza!$A$3:$K$852,10,0)-VLOOKUP($D1106,[1]Balanza!$A$3:$K$852,11,0),0)</f>
        <v>0</v>
      </c>
    </row>
    <row r="1107" spans="1:6" x14ac:dyDescent="0.3">
      <c r="A1107" s="2" t="s">
        <v>2046</v>
      </c>
      <c r="B1107" s="2" t="s">
        <v>2047</v>
      </c>
      <c r="C1107" t="s">
        <v>3048</v>
      </c>
      <c r="D1107" s="5" t="s">
        <v>4201</v>
      </c>
      <c r="E1107" s="6">
        <f>IFERROR(VLOOKUP($D1107,[1]Balanza!$A$3:$K$852,6,0)-VLOOKUP(D1107,[1]Balanza!$A$3:$K$852,7,0),0)</f>
        <v>0</v>
      </c>
      <c r="F1107" s="6">
        <f>IFERROR(VLOOKUP($D1107,[1]Balanza!$A$3:$K$852,10,0)-VLOOKUP($D1107,[1]Balanza!$A$3:$K$852,11,0),0)</f>
        <v>0</v>
      </c>
    </row>
    <row r="1108" spans="1:6" x14ac:dyDescent="0.3">
      <c r="A1108" s="2" t="s">
        <v>2048</v>
      </c>
      <c r="B1108" s="2" t="s">
        <v>2049</v>
      </c>
      <c r="C1108" t="s">
        <v>3048</v>
      </c>
      <c r="D1108" s="5" t="s">
        <v>4202</v>
      </c>
      <c r="E1108" s="6">
        <f>IFERROR(VLOOKUP($D1108,[1]Balanza!$A$3:$K$852,6,0)-VLOOKUP(D1108,[1]Balanza!$A$3:$K$852,7,0),0)</f>
        <v>10697.58</v>
      </c>
      <c r="F1108" s="6">
        <f>IFERROR(VLOOKUP($D1108,[1]Balanza!$A$3:$K$852,10,0)-VLOOKUP($D1108,[1]Balanza!$A$3:$K$852,11,0),0)</f>
        <v>0</v>
      </c>
    </row>
    <row r="1109" spans="1:6" x14ac:dyDescent="0.3">
      <c r="A1109" s="2" t="s">
        <v>2050</v>
      </c>
      <c r="B1109" s="2" t="s">
        <v>2051</v>
      </c>
      <c r="C1109" t="s">
        <v>3048</v>
      </c>
      <c r="D1109" s="5" t="s">
        <v>4203</v>
      </c>
      <c r="E1109" s="6">
        <f>IFERROR(VLOOKUP($D1109,[1]Balanza!$A$3:$K$852,6,0)-VLOOKUP(D1109,[1]Balanza!$A$3:$K$852,7,0),0)</f>
        <v>10090.41</v>
      </c>
      <c r="F1109" s="6">
        <f>IFERROR(VLOOKUP($D1109,[1]Balanza!$A$3:$K$852,10,0)-VLOOKUP($D1109,[1]Balanza!$A$3:$K$852,11,0),0)</f>
        <v>0</v>
      </c>
    </row>
    <row r="1110" spans="1:6" x14ac:dyDescent="0.3">
      <c r="A1110" s="2" t="s">
        <v>2052</v>
      </c>
      <c r="B1110" s="2" t="s">
        <v>2053</v>
      </c>
      <c r="C1110" t="s">
        <v>3048</v>
      </c>
      <c r="D1110" s="5" t="s">
        <v>4204</v>
      </c>
      <c r="E1110" s="6">
        <f>IFERROR(VLOOKUP($D1110,[1]Balanza!$A$3:$K$852,6,0)-VLOOKUP(D1110,[1]Balanza!$A$3:$K$852,7,0),0)</f>
        <v>15676.98</v>
      </c>
      <c r="F1110" s="6">
        <f>IFERROR(VLOOKUP($D1110,[1]Balanza!$A$3:$K$852,10,0)-VLOOKUP($D1110,[1]Balanza!$A$3:$K$852,11,0),0)</f>
        <v>0</v>
      </c>
    </row>
    <row r="1111" spans="1:6" x14ac:dyDescent="0.3">
      <c r="A1111" s="2" t="s">
        <v>2054</v>
      </c>
      <c r="B1111" s="2" t="s">
        <v>2055</v>
      </c>
      <c r="C1111" t="s">
        <v>3048</v>
      </c>
      <c r="D1111" s="5" t="s">
        <v>4205</v>
      </c>
      <c r="E1111" s="6">
        <f>IFERROR(VLOOKUP($D1111,[1]Balanza!$A$3:$K$852,6,0)-VLOOKUP(D1111,[1]Balanza!$A$3:$K$852,7,0),0)</f>
        <v>3591.57</v>
      </c>
      <c r="F1111" s="6">
        <f>IFERROR(VLOOKUP($D1111,[1]Balanza!$A$3:$K$852,10,0)-VLOOKUP($D1111,[1]Balanza!$A$3:$K$852,11,0),0)</f>
        <v>0</v>
      </c>
    </row>
    <row r="1112" spans="1:6" x14ac:dyDescent="0.3">
      <c r="A1112" s="2" t="s">
        <v>2056</v>
      </c>
      <c r="B1112" s="2" t="s">
        <v>2057</v>
      </c>
      <c r="C1112" t="s">
        <v>3048</v>
      </c>
      <c r="D1112" s="5" t="s">
        <v>4206</v>
      </c>
      <c r="E1112" s="6">
        <f>IFERROR(VLOOKUP($D1112,[1]Balanza!$A$3:$K$852,6,0)-VLOOKUP(D1112,[1]Balanza!$A$3:$K$852,7,0),0)</f>
        <v>0</v>
      </c>
      <c r="F1112" s="6">
        <f>IFERROR(VLOOKUP($D1112,[1]Balanza!$A$3:$K$852,10,0)-VLOOKUP($D1112,[1]Balanza!$A$3:$K$852,11,0),0)</f>
        <v>0</v>
      </c>
    </row>
    <row r="1113" spans="1:6" x14ac:dyDescent="0.3">
      <c r="A1113" s="1" t="s">
        <v>2058</v>
      </c>
      <c r="B1113" s="1" t="s">
        <v>2059</v>
      </c>
      <c r="C1113" t="s">
        <v>3029</v>
      </c>
      <c r="D1113" s="5" t="s">
        <v>4207</v>
      </c>
      <c r="E1113" s="6">
        <f>IFERROR(VLOOKUP($D1113,[1]Balanza!$A$3:$K$852,6,0)-VLOOKUP(D1113,[1]Balanza!$A$3:$K$852,7,0),0)</f>
        <v>0</v>
      </c>
      <c r="F1113" s="6">
        <f>IFERROR(VLOOKUP($D1113,[1]Balanza!$A$3:$K$852,10,0)-VLOOKUP($D1113,[1]Balanza!$A$3:$K$852,11,0),0)</f>
        <v>0</v>
      </c>
    </row>
    <row r="1114" spans="1:6" x14ac:dyDescent="0.3">
      <c r="A1114" s="2" t="s">
        <v>2060</v>
      </c>
      <c r="B1114" s="2" t="s">
        <v>2061</v>
      </c>
      <c r="C1114" t="s">
        <v>3050</v>
      </c>
      <c r="D1114" s="5" t="s">
        <v>4208</v>
      </c>
      <c r="E1114" s="6">
        <f>IFERROR(VLOOKUP($D1114,[1]Balanza!$A$3:$K$852,6,0)-VLOOKUP(D1114,[1]Balanza!$A$3:$K$852,7,0),0)</f>
        <v>41147.279999999999</v>
      </c>
      <c r="F1114" s="6">
        <f>IFERROR(VLOOKUP($D1114,[1]Balanza!$A$3:$K$852,10,0)-VLOOKUP($D1114,[1]Balanza!$A$3:$K$852,11,0),0)</f>
        <v>0</v>
      </c>
    </row>
    <row r="1115" spans="1:6" x14ac:dyDescent="0.3">
      <c r="A1115" s="2" t="s">
        <v>2062</v>
      </c>
      <c r="B1115" s="2" t="s">
        <v>2063</v>
      </c>
      <c r="C1115" t="s">
        <v>3050</v>
      </c>
      <c r="D1115" s="5" t="s">
        <v>4209</v>
      </c>
      <c r="E1115" s="6">
        <f>IFERROR(VLOOKUP($D1115,[1]Balanza!$A$3:$K$852,6,0)-VLOOKUP(D1115,[1]Balanza!$A$3:$K$852,7,0),0)</f>
        <v>0</v>
      </c>
      <c r="F1115" s="6">
        <f>IFERROR(VLOOKUP($D1115,[1]Balanza!$A$3:$K$852,10,0)-VLOOKUP($D1115,[1]Balanza!$A$3:$K$852,11,0),0)</f>
        <v>0</v>
      </c>
    </row>
    <row r="1116" spans="1:6" x14ac:dyDescent="0.3">
      <c r="A1116" s="2" t="s">
        <v>2064</v>
      </c>
      <c r="B1116" s="2" t="s">
        <v>2065</v>
      </c>
      <c r="C1116" t="s">
        <v>3050</v>
      </c>
      <c r="D1116" s="5" t="s">
        <v>4210</v>
      </c>
      <c r="E1116" s="6">
        <f>IFERROR(VLOOKUP($D1116,[1]Balanza!$A$3:$K$852,6,0)-VLOOKUP(D1116,[1]Balanza!$A$3:$K$852,7,0),0)</f>
        <v>8371.84</v>
      </c>
      <c r="F1116" s="6">
        <f>IFERROR(VLOOKUP($D1116,[1]Balanza!$A$3:$K$852,10,0)-VLOOKUP($D1116,[1]Balanza!$A$3:$K$852,11,0),0)</f>
        <v>0</v>
      </c>
    </row>
    <row r="1117" spans="1:6" x14ac:dyDescent="0.3">
      <c r="A1117" s="2" t="s">
        <v>2066</v>
      </c>
      <c r="B1117" s="2" t="s">
        <v>2067</v>
      </c>
      <c r="C1117" t="s">
        <v>3050</v>
      </c>
      <c r="D1117" s="5" t="s">
        <v>4211</v>
      </c>
      <c r="E1117" s="6">
        <f>IFERROR(VLOOKUP($D1117,[1]Balanza!$A$3:$K$852,6,0)-VLOOKUP(D1117,[1]Balanza!$A$3:$K$852,7,0),0)</f>
        <v>4800.4799999999996</v>
      </c>
      <c r="F1117" s="6">
        <f>IFERROR(VLOOKUP($D1117,[1]Balanza!$A$3:$K$852,10,0)-VLOOKUP($D1117,[1]Balanza!$A$3:$K$852,11,0),0)</f>
        <v>0</v>
      </c>
    </row>
    <row r="1118" spans="1:6" x14ac:dyDescent="0.3">
      <c r="A1118" s="2" t="s">
        <v>2068</v>
      </c>
      <c r="B1118" s="2" t="s">
        <v>2069</v>
      </c>
      <c r="C1118" t="s">
        <v>3050</v>
      </c>
      <c r="D1118" s="5" t="s">
        <v>4212</v>
      </c>
      <c r="E1118" s="6">
        <f>IFERROR(VLOOKUP($D1118,[1]Balanza!$A$3:$K$852,6,0)-VLOOKUP(D1118,[1]Balanza!$A$3:$K$852,7,0),0)</f>
        <v>4800.4799999999996</v>
      </c>
      <c r="F1118" s="6">
        <f>IFERROR(VLOOKUP($D1118,[1]Balanza!$A$3:$K$852,10,0)-VLOOKUP($D1118,[1]Balanza!$A$3:$K$852,11,0),0)</f>
        <v>0</v>
      </c>
    </row>
    <row r="1119" spans="1:6" x14ac:dyDescent="0.3">
      <c r="A1119" s="2" t="s">
        <v>2070</v>
      </c>
      <c r="B1119" s="2" t="s">
        <v>2071</v>
      </c>
      <c r="C1119" t="s">
        <v>3050</v>
      </c>
      <c r="D1119" s="5" t="s">
        <v>4213</v>
      </c>
      <c r="E1119" s="6">
        <f>IFERROR(VLOOKUP($D1119,[1]Balanza!$A$3:$K$852,6,0)-VLOOKUP(D1119,[1]Balanza!$A$3:$K$852,7,0),0)</f>
        <v>0</v>
      </c>
      <c r="F1119" s="6">
        <f>IFERROR(VLOOKUP($D1119,[1]Balanza!$A$3:$K$852,10,0)-VLOOKUP($D1119,[1]Balanza!$A$3:$K$852,11,0),0)</f>
        <v>0</v>
      </c>
    </row>
    <row r="1120" spans="1:6" x14ac:dyDescent="0.3">
      <c r="A1120" s="2" t="s">
        <v>2072</v>
      </c>
      <c r="B1120" s="2" t="s">
        <v>2073</v>
      </c>
      <c r="C1120" t="s">
        <v>3050</v>
      </c>
      <c r="D1120" s="5" t="s">
        <v>4214</v>
      </c>
      <c r="E1120" s="6">
        <f>IFERROR(VLOOKUP($D1120,[1]Balanza!$A$3:$K$852,6,0)-VLOOKUP(D1120,[1]Balanza!$A$3:$K$852,7,0),0)</f>
        <v>0</v>
      </c>
      <c r="F1120" s="6">
        <f>IFERROR(VLOOKUP($D1120,[1]Balanza!$A$3:$K$852,10,0)-VLOOKUP($D1120,[1]Balanza!$A$3:$K$852,11,0),0)</f>
        <v>0</v>
      </c>
    </row>
    <row r="1121" spans="1:6" x14ac:dyDescent="0.3">
      <c r="A1121" s="2" t="s">
        <v>2074</v>
      </c>
      <c r="B1121" s="2" t="s">
        <v>2075</v>
      </c>
      <c r="C1121" t="s">
        <v>3050</v>
      </c>
      <c r="D1121" s="5" t="s">
        <v>4215</v>
      </c>
      <c r="E1121" s="6">
        <f>IFERROR(VLOOKUP($D1121,[1]Balanza!$A$3:$K$852,6,0)-VLOOKUP(D1121,[1]Balanza!$A$3:$K$852,7,0),0)</f>
        <v>0</v>
      </c>
      <c r="F1121" s="6">
        <f>IFERROR(VLOOKUP($D1121,[1]Balanza!$A$3:$K$852,10,0)-VLOOKUP($D1121,[1]Balanza!$A$3:$K$852,11,0),0)</f>
        <v>0</v>
      </c>
    </row>
    <row r="1122" spans="1:6" x14ac:dyDescent="0.3">
      <c r="A1122" s="2" t="s">
        <v>2076</v>
      </c>
      <c r="B1122" s="2" t="s">
        <v>2077</v>
      </c>
      <c r="C1122" t="s">
        <v>3050</v>
      </c>
      <c r="D1122" s="5" t="s">
        <v>4216</v>
      </c>
      <c r="E1122" s="6">
        <f>IFERROR(VLOOKUP($D1122,[1]Balanza!$A$3:$K$852,6,0)-VLOOKUP(D1122,[1]Balanza!$A$3:$K$852,7,0),0)</f>
        <v>0</v>
      </c>
      <c r="F1122" s="6">
        <f>IFERROR(VLOOKUP($D1122,[1]Balanza!$A$3:$K$852,10,0)-VLOOKUP($D1122,[1]Balanza!$A$3:$K$852,11,0),0)</f>
        <v>0</v>
      </c>
    </row>
    <row r="1123" spans="1:6" x14ac:dyDescent="0.3">
      <c r="A1123" s="2" t="s">
        <v>2078</v>
      </c>
      <c r="B1123" s="2" t="s">
        <v>2079</v>
      </c>
      <c r="C1123" t="s">
        <v>3050</v>
      </c>
      <c r="D1123" s="5" t="s">
        <v>4217</v>
      </c>
      <c r="E1123" s="6">
        <f>IFERROR(VLOOKUP($D1123,[1]Balanza!$A$3:$K$852,6,0)-VLOOKUP(D1123,[1]Balanza!$A$3:$K$852,7,0),0)</f>
        <v>0</v>
      </c>
      <c r="F1123" s="6">
        <f>IFERROR(VLOOKUP($D1123,[1]Balanza!$A$3:$K$852,10,0)-VLOOKUP($D1123,[1]Balanza!$A$3:$K$852,11,0),0)</f>
        <v>0</v>
      </c>
    </row>
    <row r="1124" spans="1:6" x14ac:dyDescent="0.3">
      <c r="A1124" s="2" t="s">
        <v>2080</v>
      </c>
      <c r="B1124" s="2" t="s">
        <v>2081</v>
      </c>
      <c r="C1124" t="s">
        <v>3050</v>
      </c>
      <c r="D1124" s="5" t="s">
        <v>4218</v>
      </c>
      <c r="E1124" s="6">
        <f>IFERROR(VLOOKUP($D1124,[1]Balanza!$A$3:$K$852,6,0)-VLOOKUP(D1124,[1]Balanza!$A$3:$K$852,7,0),0)</f>
        <v>0</v>
      </c>
      <c r="F1124" s="6">
        <f>IFERROR(VLOOKUP($D1124,[1]Balanza!$A$3:$K$852,10,0)-VLOOKUP($D1124,[1]Balanza!$A$3:$K$852,11,0),0)</f>
        <v>0</v>
      </c>
    </row>
    <row r="1125" spans="1:6" x14ac:dyDescent="0.3">
      <c r="A1125" s="2" t="s">
        <v>2082</v>
      </c>
      <c r="B1125" s="2" t="s">
        <v>2083</v>
      </c>
      <c r="C1125" t="s">
        <v>3050</v>
      </c>
      <c r="D1125" s="5" t="s">
        <v>4219</v>
      </c>
      <c r="E1125" s="6">
        <f>IFERROR(VLOOKUP($D1125,[1]Balanza!$A$3:$K$852,6,0)-VLOOKUP(D1125,[1]Balanza!$A$3:$K$852,7,0),0)</f>
        <v>2143.09</v>
      </c>
      <c r="F1125" s="6">
        <f>IFERROR(VLOOKUP($D1125,[1]Balanza!$A$3:$K$852,10,0)-VLOOKUP($D1125,[1]Balanza!$A$3:$K$852,11,0),0)</f>
        <v>0</v>
      </c>
    </row>
    <row r="1126" spans="1:6" x14ac:dyDescent="0.3">
      <c r="A1126" s="2" t="s">
        <v>2084</v>
      </c>
      <c r="B1126" s="2" t="s">
        <v>2085</v>
      </c>
      <c r="C1126" t="s">
        <v>3050</v>
      </c>
      <c r="D1126" s="5" t="s">
        <v>4220</v>
      </c>
      <c r="E1126" s="6">
        <f>IFERROR(VLOOKUP($D1126,[1]Balanza!$A$3:$K$852,6,0)-VLOOKUP(D1126,[1]Balanza!$A$3:$K$852,7,0),0)</f>
        <v>0</v>
      </c>
      <c r="F1126" s="6">
        <f>IFERROR(VLOOKUP($D1126,[1]Balanza!$A$3:$K$852,10,0)-VLOOKUP($D1126,[1]Balanza!$A$3:$K$852,11,0),0)</f>
        <v>0</v>
      </c>
    </row>
    <row r="1127" spans="1:6" x14ac:dyDescent="0.3">
      <c r="A1127" s="2" t="s">
        <v>2086</v>
      </c>
      <c r="B1127" s="2" t="s">
        <v>2087</v>
      </c>
      <c r="C1127" t="s">
        <v>3050</v>
      </c>
      <c r="D1127" s="5" t="s">
        <v>4221</v>
      </c>
      <c r="E1127" s="6">
        <f>IFERROR(VLOOKUP($D1127,[1]Balanza!$A$3:$K$852,6,0)-VLOOKUP(D1127,[1]Balanza!$A$3:$K$852,7,0),0)</f>
        <v>0</v>
      </c>
      <c r="F1127" s="6">
        <f>IFERROR(VLOOKUP($D1127,[1]Balanza!$A$3:$K$852,10,0)-VLOOKUP($D1127,[1]Balanza!$A$3:$K$852,11,0),0)</f>
        <v>0</v>
      </c>
    </row>
    <row r="1128" spans="1:6" x14ac:dyDescent="0.3">
      <c r="A1128" s="2" t="s">
        <v>2088</v>
      </c>
      <c r="B1128" s="2" t="s">
        <v>2089</v>
      </c>
      <c r="C1128" t="s">
        <v>3050</v>
      </c>
      <c r="D1128" s="5" t="s">
        <v>4222</v>
      </c>
      <c r="E1128" s="6">
        <f>IFERROR(VLOOKUP($D1128,[1]Balanza!$A$3:$K$852,6,0)-VLOOKUP(D1128,[1]Balanza!$A$3:$K$852,7,0),0)</f>
        <v>4800.4799999999996</v>
      </c>
      <c r="F1128" s="6">
        <f>IFERROR(VLOOKUP($D1128,[1]Balanza!$A$3:$K$852,10,0)-VLOOKUP($D1128,[1]Balanza!$A$3:$K$852,11,0),0)</f>
        <v>0</v>
      </c>
    </row>
    <row r="1129" spans="1:6" x14ac:dyDescent="0.3">
      <c r="A1129" s="2" t="s">
        <v>2090</v>
      </c>
      <c r="B1129" s="2" t="s">
        <v>2091</v>
      </c>
      <c r="C1129" t="s">
        <v>3050</v>
      </c>
      <c r="D1129" s="5" t="s">
        <v>4223</v>
      </c>
      <c r="E1129" s="6">
        <f>IFERROR(VLOOKUP($D1129,[1]Balanza!$A$3:$K$852,6,0)-VLOOKUP(D1129,[1]Balanza!$A$3:$K$852,7,0),0)</f>
        <v>0</v>
      </c>
      <c r="F1129" s="6">
        <f>IFERROR(VLOOKUP($D1129,[1]Balanza!$A$3:$K$852,10,0)-VLOOKUP($D1129,[1]Balanza!$A$3:$K$852,11,0),0)</f>
        <v>0</v>
      </c>
    </row>
    <row r="1130" spans="1:6" x14ac:dyDescent="0.3">
      <c r="A1130" s="2" t="s">
        <v>2092</v>
      </c>
      <c r="B1130" s="2" t="s">
        <v>2093</v>
      </c>
      <c r="C1130" t="s">
        <v>3050</v>
      </c>
      <c r="D1130" s="5" t="s">
        <v>4224</v>
      </c>
      <c r="E1130" s="6">
        <f>IFERROR(VLOOKUP($D1130,[1]Balanza!$A$3:$K$852,6,0)-VLOOKUP(D1130,[1]Balanza!$A$3:$K$852,7,0),0)</f>
        <v>0</v>
      </c>
      <c r="F1130" s="6">
        <f>IFERROR(VLOOKUP($D1130,[1]Balanza!$A$3:$K$852,10,0)-VLOOKUP($D1130,[1]Balanza!$A$3:$K$852,11,0),0)</f>
        <v>0</v>
      </c>
    </row>
    <row r="1131" spans="1:6" x14ac:dyDescent="0.3">
      <c r="A1131" s="2" t="s">
        <v>2094</v>
      </c>
      <c r="B1131" s="2" t="s">
        <v>2095</v>
      </c>
      <c r="C1131" t="s">
        <v>3050</v>
      </c>
      <c r="D1131" s="5" t="s">
        <v>4225</v>
      </c>
      <c r="E1131" s="6">
        <f>IFERROR(VLOOKUP($D1131,[1]Balanza!$A$3:$K$852,6,0)-VLOOKUP(D1131,[1]Balanza!$A$3:$K$852,7,0),0)</f>
        <v>0</v>
      </c>
      <c r="F1131" s="6">
        <f>IFERROR(VLOOKUP($D1131,[1]Balanza!$A$3:$K$852,10,0)-VLOOKUP($D1131,[1]Balanza!$A$3:$K$852,11,0),0)</f>
        <v>0</v>
      </c>
    </row>
    <row r="1132" spans="1:6" x14ac:dyDescent="0.3">
      <c r="A1132" s="2" t="s">
        <v>2096</v>
      </c>
      <c r="B1132" s="2" t="s">
        <v>2097</v>
      </c>
      <c r="C1132" t="s">
        <v>3050</v>
      </c>
      <c r="D1132" s="5" t="s">
        <v>4226</v>
      </c>
      <c r="E1132" s="6">
        <f>IFERROR(VLOOKUP($D1132,[1]Balanza!$A$3:$K$852,6,0)-VLOOKUP(D1132,[1]Balanza!$A$3:$K$852,7,0),0)</f>
        <v>2400.2800000000002</v>
      </c>
      <c r="F1132" s="6">
        <f>IFERROR(VLOOKUP($D1132,[1]Balanza!$A$3:$K$852,10,0)-VLOOKUP($D1132,[1]Balanza!$A$3:$K$852,11,0),0)</f>
        <v>0</v>
      </c>
    </row>
    <row r="1133" spans="1:6" x14ac:dyDescent="0.3">
      <c r="A1133" s="2" t="s">
        <v>2098</v>
      </c>
      <c r="B1133" s="2" t="s">
        <v>2099</v>
      </c>
      <c r="C1133" t="s">
        <v>3050</v>
      </c>
      <c r="D1133" s="5" t="s">
        <v>4227</v>
      </c>
      <c r="E1133" s="6">
        <f>IFERROR(VLOOKUP($D1133,[1]Balanza!$A$3:$K$852,6,0)-VLOOKUP(D1133,[1]Balanza!$A$3:$K$852,7,0),0)</f>
        <v>0</v>
      </c>
      <c r="F1133" s="6">
        <f>IFERROR(VLOOKUP($D1133,[1]Balanza!$A$3:$K$852,10,0)-VLOOKUP($D1133,[1]Balanza!$A$3:$K$852,11,0),0)</f>
        <v>0</v>
      </c>
    </row>
    <row r="1134" spans="1:6" x14ac:dyDescent="0.3">
      <c r="A1134" s="2" t="s">
        <v>2100</v>
      </c>
      <c r="B1134" s="2" t="s">
        <v>2101</v>
      </c>
      <c r="C1134" t="s">
        <v>3050</v>
      </c>
      <c r="D1134" s="5" t="s">
        <v>4228</v>
      </c>
      <c r="E1134" s="6">
        <f>IFERROR(VLOOKUP($D1134,[1]Balanza!$A$3:$K$852,6,0)-VLOOKUP(D1134,[1]Balanza!$A$3:$K$852,7,0),0)</f>
        <v>0</v>
      </c>
      <c r="F1134" s="6">
        <f>IFERROR(VLOOKUP($D1134,[1]Balanza!$A$3:$K$852,10,0)-VLOOKUP($D1134,[1]Balanza!$A$3:$K$852,11,0),0)</f>
        <v>0</v>
      </c>
    </row>
    <row r="1135" spans="1:6" x14ac:dyDescent="0.3">
      <c r="A1135" s="2" t="s">
        <v>2102</v>
      </c>
      <c r="B1135" s="2" t="s">
        <v>2103</v>
      </c>
      <c r="C1135" t="s">
        <v>3050</v>
      </c>
      <c r="D1135" s="5" t="s">
        <v>4229</v>
      </c>
      <c r="E1135" s="6">
        <f>IFERROR(VLOOKUP($D1135,[1]Balanza!$A$3:$K$852,6,0)-VLOOKUP(D1135,[1]Balanza!$A$3:$K$852,7,0),0)</f>
        <v>0</v>
      </c>
      <c r="F1135" s="6">
        <f>IFERROR(VLOOKUP($D1135,[1]Balanza!$A$3:$K$852,10,0)-VLOOKUP($D1135,[1]Balanza!$A$3:$K$852,11,0),0)</f>
        <v>0</v>
      </c>
    </row>
    <row r="1136" spans="1:6" x14ac:dyDescent="0.3">
      <c r="A1136" s="2" t="s">
        <v>2104</v>
      </c>
      <c r="B1136" s="2" t="s">
        <v>2105</v>
      </c>
      <c r="C1136" t="s">
        <v>3050</v>
      </c>
      <c r="D1136" s="5" t="s">
        <v>4230</v>
      </c>
      <c r="E1136" s="6">
        <f>IFERROR(VLOOKUP($D1136,[1]Balanza!$A$3:$K$852,6,0)-VLOOKUP(D1136,[1]Balanza!$A$3:$K$852,7,0),0)</f>
        <v>0</v>
      </c>
      <c r="F1136" s="6">
        <f>IFERROR(VLOOKUP($D1136,[1]Balanza!$A$3:$K$852,10,0)-VLOOKUP($D1136,[1]Balanza!$A$3:$K$852,11,0),0)</f>
        <v>0</v>
      </c>
    </row>
    <row r="1137" spans="1:6" x14ac:dyDescent="0.3">
      <c r="A1137" s="2" t="s">
        <v>2106</v>
      </c>
      <c r="B1137" s="2" t="s">
        <v>2107</v>
      </c>
      <c r="C1137" t="s">
        <v>3050</v>
      </c>
      <c r="D1137" s="5" t="s">
        <v>4231</v>
      </c>
      <c r="E1137" s="6">
        <f>IFERROR(VLOOKUP($D1137,[1]Balanza!$A$3:$K$852,6,0)-VLOOKUP(D1137,[1]Balanza!$A$3:$K$852,7,0),0)</f>
        <v>6857.88</v>
      </c>
      <c r="F1137" s="6">
        <f>IFERROR(VLOOKUP($D1137,[1]Balanza!$A$3:$K$852,10,0)-VLOOKUP($D1137,[1]Balanza!$A$3:$K$852,11,0),0)</f>
        <v>0</v>
      </c>
    </row>
    <row r="1138" spans="1:6" x14ac:dyDescent="0.3">
      <c r="A1138" s="2" t="s">
        <v>2108</v>
      </c>
      <c r="B1138" s="2" t="s">
        <v>2109</v>
      </c>
      <c r="C1138" t="s">
        <v>3050</v>
      </c>
      <c r="D1138" s="5" t="s">
        <v>4232</v>
      </c>
      <c r="E1138" s="6">
        <f>IFERROR(VLOOKUP($D1138,[1]Balanza!$A$3:$K$852,6,0)-VLOOKUP(D1138,[1]Balanza!$A$3:$K$852,7,0),0)</f>
        <v>0</v>
      </c>
      <c r="F1138" s="6">
        <f>IFERROR(VLOOKUP($D1138,[1]Balanza!$A$3:$K$852,10,0)-VLOOKUP($D1138,[1]Balanza!$A$3:$K$852,11,0),0)</f>
        <v>0</v>
      </c>
    </row>
    <row r="1139" spans="1:6" x14ac:dyDescent="0.3">
      <c r="A1139" s="2" t="s">
        <v>2110</v>
      </c>
      <c r="B1139" s="2" t="s">
        <v>2111</v>
      </c>
      <c r="C1139" t="s">
        <v>3050</v>
      </c>
      <c r="D1139" s="5" t="s">
        <v>4233</v>
      </c>
      <c r="E1139" s="6">
        <f>IFERROR(VLOOKUP($D1139,[1]Balanza!$A$3:$K$852,6,0)-VLOOKUP(D1139,[1]Balanza!$A$3:$K$852,7,0),0)</f>
        <v>0</v>
      </c>
      <c r="F1139" s="6">
        <f>IFERROR(VLOOKUP($D1139,[1]Balanza!$A$3:$K$852,10,0)-VLOOKUP($D1139,[1]Balanza!$A$3:$K$852,11,0),0)</f>
        <v>0</v>
      </c>
    </row>
    <row r="1140" spans="1:6" x14ac:dyDescent="0.3">
      <c r="A1140" s="2" t="s">
        <v>2112</v>
      </c>
      <c r="B1140" s="2" t="s">
        <v>2113</v>
      </c>
      <c r="C1140" t="s">
        <v>3050</v>
      </c>
      <c r="D1140" s="5" t="s">
        <v>4234</v>
      </c>
      <c r="E1140" s="6">
        <f>IFERROR(VLOOKUP($D1140,[1]Balanza!$A$3:$K$852,6,0)-VLOOKUP(D1140,[1]Balanza!$A$3:$K$852,7,0),0)</f>
        <v>0</v>
      </c>
      <c r="F1140" s="6">
        <f>IFERROR(VLOOKUP($D1140,[1]Balanza!$A$3:$K$852,10,0)-VLOOKUP($D1140,[1]Balanza!$A$3:$K$852,11,0),0)</f>
        <v>0</v>
      </c>
    </row>
    <row r="1141" spans="1:6" x14ac:dyDescent="0.3">
      <c r="A1141" s="2" t="s">
        <v>2114</v>
      </c>
      <c r="B1141" s="2" t="s">
        <v>2115</v>
      </c>
      <c r="C1141" t="s">
        <v>3050</v>
      </c>
      <c r="D1141" s="5" t="s">
        <v>4235</v>
      </c>
      <c r="E1141" s="6">
        <f>IFERROR(VLOOKUP($D1141,[1]Balanza!$A$3:$K$852,6,0)-VLOOKUP(D1141,[1]Balanza!$A$3:$K$852,7,0),0)</f>
        <v>0</v>
      </c>
      <c r="F1141" s="6">
        <f>IFERROR(VLOOKUP($D1141,[1]Balanza!$A$3:$K$852,10,0)-VLOOKUP($D1141,[1]Balanza!$A$3:$K$852,11,0),0)</f>
        <v>0</v>
      </c>
    </row>
    <row r="1142" spans="1:6" x14ac:dyDescent="0.3">
      <c r="A1142" s="2" t="s">
        <v>2116</v>
      </c>
      <c r="B1142" s="2" t="s">
        <v>2117</v>
      </c>
      <c r="C1142" t="s">
        <v>3050</v>
      </c>
      <c r="D1142" s="5" t="s">
        <v>4236</v>
      </c>
      <c r="E1142" s="6">
        <f>IFERROR(VLOOKUP($D1142,[1]Balanza!$A$3:$K$852,6,0)-VLOOKUP(D1142,[1]Balanza!$A$3:$K$852,7,0),0)</f>
        <v>0</v>
      </c>
      <c r="F1142" s="6">
        <f>IFERROR(VLOOKUP($D1142,[1]Balanza!$A$3:$K$852,10,0)-VLOOKUP($D1142,[1]Balanza!$A$3:$K$852,11,0),0)</f>
        <v>0</v>
      </c>
    </row>
    <row r="1143" spans="1:6" x14ac:dyDescent="0.3">
      <c r="A1143" s="2" t="s">
        <v>2118</v>
      </c>
      <c r="B1143" s="2" t="s">
        <v>2119</v>
      </c>
      <c r="C1143" t="s">
        <v>3050</v>
      </c>
      <c r="D1143" s="5" t="s">
        <v>4237</v>
      </c>
      <c r="E1143" s="6">
        <f>IFERROR(VLOOKUP($D1143,[1]Balanza!$A$3:$K$852,6,0)-VLOOKUP(D1143,[1]Balanza!$A$3:$K$852,7,0),0)</f>
        <v>0</v>
      </c>
      <c r="F1143" s="6">
        <f>IFERROR(VLOOKUP($D1143,[1]Balanza!$A$3:$K$852,10,0)-VLOOKUP($D1143,[1]Balanza!$A$3:$K$852,11,0),0)</f>
        <v>0</v>
      </c>
    </row>
    <row r="1144" spans="1:6" x14ac:dyDescent="0.3">
      <c r="A1144" s="2" t="s">
        <v>2120</v>
      </c>
      <c r="B1144" s="2" t="s">
        <v>2121</v>
      </c>
      <c r="C1144" t="s">
        <v>3050</v>
      </c>
      <c r="D1144" s="5" t="s">
        <v>4238</v>
      </c>
      <c r="E1144" s="6">
        <f>IFERROR(VLOOKUP($D1144,[1]Balanza!$A$3:$K$852,6,0)-VLOOKUP(D1144,[1]Balanza!$A$3:$K$852,7,0),0)</f>
        <v>0</v>
      </c>
      <c r="F1144" s="6">
        <f>IFERROR(VLOOKUP($D1144,[1]Balanza!$A$3:$K$852,10,0)-VLOOKUP($D1144,[1]Balanza!$A$3:$K$852,11,0),0)</f>
        <v>0</v>
      </c>
    </row>
    <row r="1145" spans="1:6" x14ac:dyDescent="0.3">
      <c r="A1145" s="1" t="s">
        <v>2122</v>
      </c>
      <c r="B1145" s="1" t="s">
        <v>2123</v>
      </c>
      <c r="C1145" t="s">
        <v>3029</v>
      </c>
      <c r="D1145" s="5" t="s">
        <v>4239</v>
      </c>
      <c r="E1145" s="6">
        <f>IFERROR(VLOOKUP($D1145,[1]Balanza!$A$3:$K$852,6,0)-VLOOKUP(D1145,[1]Balanza!$A$3:$K$852,7,0),0)</f>
        <v>0</v>
      </c>
      <c r="F1145" s="6">
        <f>IFERROR(VLOOKUP($D1145,[1]Balanza!$A$3:$K$852,10,0)-VLOOKUP($D1145,[1]Balanza!$A$3:$K$852,11,0),0)</f>
        <v>0</v>
      </c>
    </row>
    <row r="1146" spans="1:6" x14ac:dyDescent="0.3">
      <c r="A1146" s="2" t="s">
        <v>2124</v>
      </c>
      <c r="B1146" s="2" t="s">
        <v>2121</v>
      </c>
      <c r="C1146" t="s">
        <v>3050</v>
      </c>
      <c r="D1146" s="5" t="s">
        <v>4240</v>
      </c>
      <c r="E1146" s="6">
        <f>IFERROR(VLOOKUP($D1146,[1]Balanza!$A$3:$K$852,6,0)-VLOOKUP(D1146,[1]Balanza!$A$3:$K$852,7,0),0)</f>
        <v>0</v>
      </c>
      <c r="F1146" s="6">
        <f>IFERROR(VLOOKUP($D1146,[1]Balanza!$A$3:$K$852,10,0)-VLOOKUP($D1146,[1]Balanza!$A$3:$K$852,11,0),0)</f>
        <v>0</v>
      </c>
    </row>
    <row r="1147" spans="1:6" x14ac:dyDescent="0.3">
      <c r="A1147" s="2" t="s">
        <v>2125</v>
      </c>
      <c r="B1147" s="2" t="s">
        <v>2126</v>
      </c>
      <c r="C1147" t="s">
        <v>3050</v>
      </c>
      <c r="D1147" s="5" t="s">
        <v>4241</v>
      </c>
      <c r="E1147" s="6">
        <f>IFERROR(VLOOKUP($D1147,[1]Balanza!$A$3:$K$852,6,0)-VLOOKUP(D1147,[1]Balanza!$A$3:$K$852,7,0),0)</f>
        <v>5147.12</v>
      </c>
      <c r="F1147" s="6">
        <f>IFERROR(VLOOKUP($D1147,[1]Balanza!$A$3:$K$852,10,0)-VLOOKUP($D1147,[1]Balanza!$A$3:$K$852,11,0),0)</f>
        <v>0</v>
      </c>
    </row>
    <row r="1148" spans="1:6" x14ac:dyDescent="0.3">
      <c r="A1148" s="2" t="s">
        <v>2127</v>
      </c>
      <c r="B1148" s="2" t="s">
        <v>2128</v>
      </c>
      <c r="C1148" t="s">
        <v>3050</v>
      </c>
      <c r="D1148" s="5" t="s">
        <v>4242</v>
      </c>
      <c r="E1148" s="6">
        <f>IFERROR(VLOOKUP($D1148,[1]Balanza!$A$3:$K$852,6,0)-VLOOKUP(D1148,[1]Balanza!$A$3:$K$852,7,0),0)</f>
        <v>5676.45</v>
      </c>
      <c r="F1148" s="6">
        <f>IFERROR(VLOOKUP($D1148,[1]Balanza!$A$3:$K$852,10,0)-VLOOKUP($D1148,[1]Balanza!$A$3:$K$852,11,0),0)</f>
        <v>0</v>
      </c>
    </row>
    <row r="1149" spans="1:6" x14ac:dyDescent="0.3">
      <c r="A1149" s="2" t="s">
        <v>2129</v>
      </c>
      <c r="B1149" s="2" t="s">
        <v>2130</v>
      </c>
      <c r="C1149" t="s">
        <v>3050</v>
      </c>
      <c r="D1149" s="5" t="s">
        <v>4243</v>
      </c>
      <c r="E1149" s="6">
        <f>IFERROR(VLOOKUP($D1149,[1]Balanza!$A$3:$K$852,6,0)-VLOOKUP(D1149,[1]Balanza!$A$3:$K$852,7,0),0)</f>
        <v>9561.41</v>
      </c>
      <c r="F1149" s="6">
        <f>IFERROR(VLOOKUP($D1149,[1]Balanza!$A$3:$K$852,10,0)-VLOOKUP($D1149,[1]Balanza!$A$3:$K$852,11,0),0)</f>
        <v>0</v>
      </c>
    </row>
    <row r="1150" spans="1:6" x14ac:dyDescent="0.3">
      <c r="A1150" s="2" t="s">
        <v>2131</v>
      </c>
      <c r="B1150" s="2" t="s">
        <v>2132</v>
      </c>
      <c r="C1150" t="s">
        <v>3050</v>
      </c>
      <c r="D1150" s="5" t="s">
        <v>4244</v>
      </c>
      <c r="E1150" s="6">
        <f>IFERROR(VLOOKUP($D1150,[1]Balanza!$A$3:$K$852,6,0)-VLOOKUP(D1150,[1]Balanza!$A$3:$K$852,7,0),0)</f>
        <v>2195.35</v>
      </c>
      <c r="F1150" s="6">
        <f>IFERROR(VLOOKUP($D1150,[1]Balanza!$A$3:$K$852,10,0)-VLOOKUP($D1150,[1]Balanza!$A$3:$K$852,11,0),0)</f>
        <v>0</v>
      </c>
    </row>
    <row r="1151" spans="1:6" x14ac:dyDescent="0.3">
      <c r="A1151" s="2" t="s">
        <v>2133</v>
      </c>
      <c r="B1151" s="2" t="s">
        <v>2134</v>
      </c>
      <c r="C1151" t="s">
        <v>3050</v>
      </c>
      <c r="D1151" s="5" t="s">
        <v>4245</v>
      </c>
      <c r="E1151" s="6">
        <f>IFERROR(VLOOKUP($D1151,[1]Balanza!$A$3:$K$852,6,0)-VLOOKUP(D1151,[1]Balanza!$A$3:$K$852,7,0),0)</f>
        <v>0</v>
      </c>
      <c r="F1151" s="6">
        <f>IFERROR(VLOOKUP($D1151,[1]Balanza!$A$3:$K$852,10,0)-VLOOKUP($D1151,[1]Balanza!$A$3:$K$852,11,0),0)</f>
        <v>0</v>
      </c>
    </row>
    <row r="1152" spans="1:6" x14ac:dyDescent="0.3">
      <c r="A1152" s="2" t="s">
        <v>2135</v>
      </c>
      <c r="B1152" s="2" t="s">
        <v>2136</v>
      </c>
      <c r="C1152" t="s">
        <v>3050</v>
      </c>
      <c r="D1152" s="5" t="s">
        <v>4246</v>
      </c>
      <c r="E1152" s="6">
        <f>IFERROR(VLOOKUP($D1152,[1]Balanza!$A$3:$K$852,6,0)-VLOOKUP(D1152,[1]Balanza!$A$3:$K$852,7,0),0)</f>
        <v>0</v>
      </c>
      <c r="F1152" s="6">
        <f>IFERROR(VLOOKUP($D1152,[1]Balanza!$A$3:$K$852,10,0)-VLOOKUP($D1152,[1]Balanza!$A$3:$K$852,11,0),0)</f>
        <v>0</v>
      </c>
    </row>
    <row r="1153" spans="1:6" x14ac:dyDescent="0.3">
      <c r="A1153" s="2" t="s">
        <v>2137</v>
      </c>
      <c r="B1153" s="2" t="s">
        <v>2138</v>
      </c>
      <c r="C1153" t="s">
        <v>3050</v>
      </c>
      <c r="D1153" s="5" t="s">
        <v>4247</v>
      </c>
      <c r="E1153" s="6">
        <f>IFERROR(VLOOKUP($D1153,[1]Balanza!$A$3:$K$852,6,0)-VLOOKUP(D1153,[1]Balanza!$A$3:$K$852,7,0),0)</f>
        <v>0</v>
      </c>
      <c r="F1153" s="6">
        <f>IFERROR(VLOOKUP($D1153,[1]Balanza!$A$3:$K$852,10,0)-VLOOKUP($D1153,[1]Balanza!$A$3:$K$852,11,0),0)</f>
        <v>0</v>
      </c>
    </row>
    <row r="1154" spans="1:6" x14ac:dyDescent="0.3">
      <c r="A1154" s="2" t="s">
        <v>2139</v>
      </c>
      <c r="B1154" s="2" t="s">
        <v>2140</v>
      </c>
      <c r="C1154" t="s">
        <v>3050</v>
      </c>
      <c r="D1154" s="5" t="s">
        <v>4248</v>
      </c>
      <c r="E1154" s="6">
        <f>IFERROR(VLOOKUP($D1154,[1]Balanza!$A$3:$K$852,6,0)-VLOOKUP(D1154,[1]Balanza!$A$3:$K$852,7,0),0)</f>
        <v>0</v>
      </c>
      <c r="F1154" s="6">
        <f>IFERROR(VLOOKUP($D1154,[1]Balanza!$A$3:$K$852,10,0)-VLOOKUP($D1154,[1]Balanza!$A$3:$K$852,11,0),0)</f>
        <v>0</v>
      </c>
    </row>
    <row r="1155" spans="1:6" x14ac:dyDescent="0.3">
      <c r="A1155" s="2" t="s">
        <v>2141</v>
      </c>
      <c r="B1155" s="2" t="s">
        <v>2142</v>
      </c>
      <c r="C1155" t="s">
        <v>3050</v>
      </c>
      <c r="D1155" s="5" t="s">
        <v>4249</v>
      </c>
      <c r="E1155" s="6">
        <f>IFERROR(VLOOKUP($D1155,[1]Balanza!$A$3:$K$852,6,0)-VLOOKUP(D1155,[1]Balanza!$A$3:$K$852,7,0),0)</f>
        <v>0</v>
      </c>
      <c r="F1155" s="6">
        <f>IFERROR(VLOOKUP($D1155,[1]Balanza!$A$3:$K$852,10,0)-VLOOKUP($D1155,[1]Balanza!$A$3:$K$852,11,0),0)</f>
        <v>0</v>
      </c>
    </row>
    <row r="1156" spans="1:6" x14ac:dyDescent="0.3">
      <c r="A1156" s="2" t="s">
        <v>2143</v>
      </c>
      <c r="B1156" s="2" t="s">
        <v>2144</v>
      </c>
      <c r="C1156" t="s">
        <v>3050</v>
      </c>
      <c r="D1156" s="5" t="s">
        <v>4250</v>
      </c>
      <c r="E1156" s="6">
        <f>IFERROR(VLOOKUP($D1156,[1]Balanza!$A$3:$K$852,6,0)-VLOOKUP(D1156,[1]Balanza!$A$3:$K$852,7,0),0)</f>
        <v>0</v>
      </c>
      <c r="F1156" s="6">
        <f>IFERROR(VLOOKUP($D1156,[1]Balanza!$A$3:$K$852,10,0)-VLOOKUP($D1156,[1]Balanza!$A$3:$K$852,11,0),0)</f>
        <v>0</v>
      </c>
    </row>
    <row r="1157" spans="1:6" x14ac:dyDescent="0.3">
      <c r="A1157" s="2" t="s">
        <v>2145</v>
      </c>
      <c r="B1157" s="2" t="s">
        <v>2146</v>
      </c>
      <c r="C1157" t="s">
        <v>3050</v>
      </c>
      <c r="D1157" s="5" t="s">
        <v>4251</v>
      </c>
      <c r="E1157" s="6">
        <f>IFERROR(VLOOKUP($D1157,[1]Balanza!$A$3:$K$852,6,0)-VLOOKUP(D1157,[1]Balanza!$A$3:$K$852,7,0),0)</f>
        <v>0</v>
      </c>
      <c r="F1157" s="6">
        <f>IFERROR(VLOOKUP($D1157,[1]Balanza!$A$3:$K$852,10,0)-VLOOKUP($D1157,[1]Balanza!$A$3:$K$852,11,0),0)</f>
        <v>0</v>
      </c>
    </row>
    <row r="1158" spans="1:6" x14ac:dyDescent="0.3">
      <c r="A1158" s="2" t="s">
        <v>2147</v>
      </c>
      <c r="B1158" s="2" t="s">
        <v>2148</v>
      </c>
      <c r="C1158" t="s">
        <v>3050</v>
      </c>
      <c r="D1158" s="5" t="s">
        <v>4252</v>
      </c>
      <c r="E1158" s="6">
        <f>IFERROR(VLOOKUP($D1158,[1]Balanza!$A$3:$K$852,6,0)-VLOOKUP(D1158,[1]Balanza!$A$3:$K$852,7,0),0)</f>
        <v>0</v>
      </c>
      <c r="F1158" s="6">
        <f>IFERROR(VLOOKUP($D1158,[1]Balanza!$A$3:$K$852,10,0)-VLOOKUP($D1158,[1]Balanza!$A$3:$K$852,11,0),0)</f>
        <v>0</v>
      </c>
    </row>
    <row r="1159" spans="1:6" x14ac:dyDescent="0.3">
      <c r="A1159" s="2" t="s">
        <v>2149</v>
      </c>
      <c r="B1159" s="2" t="s">
        <v>2150</v>
      </c>
      <c r="C1159" t="s">
        <v>3050</v>
      </c>
      <c r="D1159" s="5" t="s">
        <v>4253</v>
      </c>
      <c r="E1159" s="6">
        <f>IFERROR(VLOOKUP($D1159,[1]Balanza!$A$3:$K$852,6,0)-VLOOKUP(D1159,[1]Balanza!$A$3:$K$852,7,0),0)</f>
        <v>0</v>
      </c>
      <c r="F1159" s="6">
        <f>IFERROR(VLOOKUP($D1159,[1]Balanza!$A$3:$K$852,10,0)-VLOOKUP($D1159,[1]Balanza!$A$3:$K$852,11,0),0)</f>
        <v>0</v>
      </c>
    </row>
    <row r="1160" spans="1:6" x14ac:dyDescent="0.3">
      <c r="A1160" s="2" t="s">
        <v>2151</v>
      </c>
      <c r="B1160" s="2" t="s">
        <v>2152</v>
      </c>
      <c r="C1160" t="s">
        <v>3050</v>
      </c>
      <c r="D1160" s="5" t="s">
        <v>4254</v>
      </c>
      <c r="E1160" s="6">
        <f>IFERROR(VLOOKUP($D1160,[1]Balanza!$A$3:$K$852,6,0)-VLOOKUP(D1160,[1]Balanza!$A$3:$K$852,7,0),0)</f>
        <v>0</v>
      </c>
      <c r="F1160" s="6">
        <f>IFERROR(VLOOKUP($D1160,[1]Balanza!$A$3:$K$852,10,0)-VLOOKUP($D1160,[1]Balanza!$A$3:$K$852,11,0),0)</f>
        <v>0</v>
      </c>
    </row>
    <row r="1161" spans="1:6" x14ac:dyDescent="0.3">
      <c r="A1161" s="2" t="s">
        <v>2153</v>
      </c>
      <c r="B1161" s="2" t="s">
        <v>2154</v>
      </c>
      <c r="C1161" t="s">
        <v>3050</v>
      </c>
      <c r="D1161" s="5" t="s">
        <v>4255</v>
      </c>
      <c r="E1161" s="6">
        <f>IFERROR(VLOOKUP($D1161,[1]Balanza!$A$3:$K$852,6,0)-VLOOKUP(D1161,[1]Balanza!$A$3:$K$852,7,0),0)</f>
        <v>0</v>
      </c>
      <c r="F1161" s="6">
        <f>IFERROR(VLOOKUP($D1161,[1]Balanza!$A$3:$K$852,10,0)-VLOOKUP($D1161,[1]Balanza!$A$3:$K$852,11,0),0)</f>
        <v>0</v>
      </c>
    </row>
    <row r="1162" spans="1:6" x14ac:dyDescent="0.3">
      <c r="A1162" s="2" t="s">
        <v>2155</v>
      </c>
      <c r="B1162" s="2" t="s">
        <v>2156</v>
      </c>
      <c r="C1162" t="s">
        <v>3050</v>
      </c>
      <c r="D1162" s="5" t="s">
        <v>4256</v>
      </c>
      <c r="E1162" s="6">
        <f>IFERROR(VLOOKUP($D1162,[1]Balanza!$A$3:$K$852,6,0)-VLOOKUP(D1162,[1]Balanza!$A$3:$K$852,7,0),0)</f>
        <v>0</v>
      </c>
      <c r="F1162" s="6">
        <f>IFERROR(VLOOKUP($D1162,[1]Balanza!$A$3:$K$852,10,0)-VLOOKUP($D1162,[1]Balanza!$A$3:$K$852,11,0),0)</f>
        <v>0</v>
      </c>
    </row>
    <row r="1163" spans="1:6" x14ac:dyDescent="0.3">
      <c r="A1163" s="2" t="s">
        <v>2157</v>
      </c>
      <c r="B1163" s="2" t="s">
        <v>2158</v>
      </c>
      <c r="C1163" t="s">
        <v>3050</v>
      </c>
      <c r="D1163" s="5" t="s">
        <v>4257</v>
      </c>
      <c r="E1163" s="6">
        <f>IFERROR(VLOOKUP($D1163,[1]Balanza!$A$3:$K$852,6,0)-VLOOKUP(D1163,[1]Balanza!$A$3:$K$852,7,0),0)</f>
        <v>0</v>
      </c>
      <c r="F1163" s="6">
        <f>IFERROR(VLOOKUP($D1163,[1]Balanza!$A$3:$K$852,10,0)-VLOOKUP($D1163,[1]Balanza!$A$3:$K$852,11,0),0)</f>
        <v>0</v>
      </c>
    </row>
    <row r="1164" spans="1:6" x14ac:dyDescent="0.3">
      <c r="A1164" s="2" t="s">
        <v>2159</v>
      </c>
      <c r="B1164" s="2" t="s">
        <v>2160</v>
      </c>
      <c r="C1164" t="s">
        <v>3050</v>
      </c>
      <c r="D1164" s="5" t="s">
        <v>4258</v>
      </c>
      <c r="E1164" s="6">
        <f>IFERROR(VLOOKUP($D1164,[1]Balanza!$A$3:$K$852,6,0)-VLOOKUP(D1164,[1]Balanza!$A$3:$K$852,7,0),0)</f>
        <v>0</v>
      </c>
      <c r="F1164" s="6">
        <f>IFERROR(VLOOKUP($D1164,[1]Balanza!$A$3:$K$852,10,0)-VLOOKUP($D1164,[1]Balanza!$A$3:$K$852,11,0),0)</f>
        <v>0</v>
      </c>
    </row>
    <row r="1165" spans="1:6" x14ac:dyDescent="0.3">
      <c r="A1165" s="2" t="s">
        <v>2161</v>
      </c>
      <c r="B1165" s="2" t="s">
        <v>2162</v>
      </c>
      <c r="C1165" t="s">
        <v>3050</v>
      </c>
      <c r="D1165" s="5" t="s">
        <v>4259</v>
      </c>
      <c r="E1165" s="6">
        <f>IFERROR(VLOOKUP($D1165,[1]Balanza!$A$3:$K$852,6,0)-VLOOKUP(D1165,[1]Balanza!$A$3:$K$852,7,0),0)</f>
        <v>0</v>
      </c>
      <c r="F1165" s="6">
        <f>IFERROR(VLOOKUP($D1165,[1]Balanza!$A$3:$K$852,10,0)-VLOOKUP($D1165,[1]Balanza!$A$3:$K$852,11,0),0)</f>
        <v>0</v>
      </c>
    </row>
    <row r="1166" spans="1:6" x14ac:dyDescent="0.3">
      <c r="A1166" s="2" t="s">
        <v>2163</v>
      </c>
      <c r="B1166" s="2" t="s">
        <v>2164</v>
      </c>
      <c r="C1166" t="s">
        <v>3050</v>
      </c>
      <c r="D1166" s="5" t="s">
        <v>4260</v>
      </c>
      <c r="E1166" s="6">
        <f>IFERROR(VLOOKUP($D1166,[1]Balanza!$A$3:$K$852,6,0)-VLOOKUP(D1166,[1]Balanza!$A$3:$K$852,7,0),0)</f>
        <v>0</v>
      </c>
      <c r="F1166" s="6">
        <f>IFERROR(VLOOKUP($D1166,[1]Balanza!$A$3:$K$852,10,0)-VLOOKUP($D1166,[1]Balanza!$A$3:$K$852,11,0),0)</f>
        <v>0</v>
      </c>
    </row>
    <row r="1167" spans="1:6" x14ac:dyDescent="0.3">
      <c r="A1167" s="2" t="s">
        <v>2165</v>
      </c>
      <c r="B1167" s="2" t="s">
        <v>2166</v>
      </c>
      <c r="C1167" t="s">
        <v>3050</v>
      </c>
      <c r="D1167" s="5" t="s">
        <v>4261</v>
      </c>
      <c r="E1167" s="6">
        <f>IFERROR(VLOOKUP($D1167,[1]Balanza!$A$3:$K$852,6,0)-VLOOKUP(D1167,[1]Balanza!$A$3:$K$852,7,0),0)</f>
        <v>0</v>
      </c>
      <c r="F1167" s="6">
        <f>IFERROR(VLOOKUP($D1167,[1]Balanza!$A$3:$K$852,10,0)-VLOOKUP($D1167,[1]Balanza!$A$3:$K$852,11,0),0)</f>
        <v>0</v>
      </c>
    </row>
    <row r="1168" spans="1:6" x14ac:dyDescent="0.3">
      <c r="A1168" s="2" t="s">
        <v>2167</v>
      </c>
      <c r="B1168" s="2" t="s">
        <v>2168</v>
      </c>
      <c r="C1168" t="s">
        <v>3050</v>
      </c>
      <c r="D1168" s="5" t="s">
        <v>4262</v>
      </c>
      <c r="E1168" s="6">
        <f>IFERROR(VLOOKUP($D1168,[1]Balanza!$A$3:$K$852,6,0)-VLOOKUP(D1168,[1]Balanza!$A$3:$K$852,7,0),0)</f>
        <v>0</v>
      </c>
      <c r="F1168" s="6">
        <f>IFERROR(VLOOKUP($D1168,[1]Balanza!$A$3:$K$852,10,0)-VLOOKUP($D1168,[1]Balanza!$A$3:$K$852,11,0),0)</f>
        <v>0</v>
      </c>
    </row>
    <row r="1169" spans="1:10" x14ac:dyDescent="0.3">
      <c r="A1169" s="2" t="s">
        <v>2169</v>
      </c>
      <c r="B1169" s="2" t="s">
        <v>2170</v>
      </c>
      <c r="C1169" t="s">
        <v>3050</v>
      </c>
      <c r="D1169" s="5" t="s">
        <v>4263</v>
      </c>
      <c r="E1169" s="6">
        <f>IFERROR(VLOOKUP($D1169,[1]Balanza!$A$3:$K$852,6,0)-VLOOKUP(D1169,[1]Balanza!$A$3:$K$852,7,0),0)</f>
        <v>0</v>
      </c>
      <c r="F1169" s="6">
        <f>IFERROR(VLOOKUP($D1169,[1]Balanza!$A$3:$K$852,10,0)-VLOOKUP($D1169,[1]Balanza!$A$3:$K$852,11,0),0)</f>
        <v>0</v>
      </c>
    </row>
    <row r="1170" spans="1:10" x14ac:dyDescent="0.3">
      <c r="A1170" s="1" t="s">
        <v>2171</v>
      </c>
      <c r="B1170" s="1" t="s">
        <v>2172</v>
      </c>
      <c r="C1170" t="s">
        <v>3029</v>
      </c>
      <c r="D1170" s="5" t="s">
        <v>4264</v>
      </c>
      <c r="E1170" s="6">
        <f>IFERROR(VLOOKUP($D1170,[1]Balanza!$A$3:$K$852,6,0)-VLOOKUP(D1170,[1]Balanza!$A$3:$K$852,7,0),0)</f>
        <v>0</v>
      </c>
      <c r="F1170" s="6">
        <f>IFERROR(VLOOKUP($D1170,[1]Balanza!$A$3:$K$852,10,0)-VLOOKUP($D1170,[1]Balanza!$A$3:$K$852,11,0),0)</f>
        <v>0</v>
      </c>
    </row>
    <row r="1171" spans="1:10" x14ac:dyDescent="0.3">
      <c r="A1171" s="2" t="s">
        <v>2173</v>
      </c>
      <c r="B1171" s="2" t="s">
        <v>2174</v>
      </c>
      <c r="C1171" t="s">
        <v>3051</v>
      </c>
      <c r="D1171" s="5" t="s">
        <v>4265</v>
      </c>
      <c r="E1171" s="6">
        <f>IFERROR(VLOOKUP($D1171,[1]Balanza!$A$3:$K$852,6,0)-VLOOKUP(D1171,[1]Balanza!$A$3:$K$852,7,0),0)</f>
        <v>0</v>
      </c>
      <c r="F1171" s="6">
        <f>IFERROR(VLOOKUP($D1171,[1]Balanza!$A$3:$K$852,10,0)-VLOOKUP($D1171,[1]Balanza!$A$3:$K$852,11,0),0)</f>
        <v>0</v>
      </c>
    </row>
    <row r="1172" spans="1:10" x14ac:dyDescent="0.3">
      <c r="A1172" s="2" t="s">
        <v>2175</v>
      </c>
      <c r="B1172" s="2" t="s">
        <v>2176</v>
      </c>
      <c r="C1172" t="s">
        <v>3051</v>
      </c>
      <c r="D1172" s="5" t="s">
        <v>4266</v>
      </c>
      <c r="E1172" s="6">
        <f>IFERROR(VLOOKUP($D1172,[1]Balanza!$A$3:$K$852,6,0)-VLOOKUP(D1172,[1]Balanza!$A$3:$K$852,7,0),0)</f>
        <v>0</v>
      </c>
      <c r="F1172" s="6">
        <f>IFERROR(VLOOKUP($D1172,[1]Balanza!$A$3:$K$852,10,0)-VLOOKUP($D1172,[1]Balanza!$A$3:$K$852,11,0),0)</f>
        <v>0</v>
      </c>
    </row>
    <row r="1173" spans="1:10" x14ac:dyDescent="0.3">
      <c r="A1173" s="2" t="s">
        <v>2177</v>
      </c>
      <c r="B1173" s="2" t="s">
        <v>2178</v>
      </c>
      <c r="C1173" t="s">
        <v>3029</v>
      </c>
      <c r="D1173" s="5" t="s">
        <v>4267</v>
      </c>
      <c r="E1173" s="6">
        <f>IFERROR(VLOOKUP($D1173,[1]Balanza!$A$3:$K$852,6,0)-VLOOKUP(D1173,[1]Balanza!$A$3:$K$852,7,0),0)</f>
        <v>0</v>
      </c>
      <c r="F1173" s="6">
        <f>IFERROR(VLOOKUP($D1173,[1]Balanza!$A$3:$K$852,10,0)-VLOOKUP($D1173,[1]Balanza!$A$3:$K$852,11,0),0)</f>
        <v>0</v>
      </c>
    </row>
    <row r="1174" spans="1:10" x14ac:dyDescent="0.3">
      <c r="A1174" s="1" t="s">
        <v>2179</v>
      </c>
      <c r="B1174" s="1" t="s">
        <v>2180</v>
      </c>
      <c r="C1174" t="s">
        <v>3029</v>
      </c>
      <c r="D1174" s="5" t="s">
        <v>4268</v>
      </c>
      <c r="E1174" s="6">
        <f>IFERROR(VLOOKUP($D1174,[1]Balanza!$A$3:$K$852,6,0)-VLOOKUP(D1174,[1]Balanza!$A$3:$K$852,7,0),0)</f>
        <v>0</v>
      </c>
      <c r="F1174" s="6">
        <f>IFERROR(VLOOKUP($D1174,[1]Balanza!$A$3:$K$852,10,0)-VLOOKUP($D1174,[1]Balanza!$A$3:$K$852,11,0),0)</f>
        <v>0</v>
      </c>
    </row>
    <row r="1175" spans="1:10" x14ac:dyDescent="0.3">
      <c r="A1175" s="4" t="s">
        <v>2181</v>
      </c>
      <c r="B1175" s="2" t="s">
        <v>2182</v>
      </c>
      <c r="C1175" s="3" t="s">
        <v>3029</v>
      </c>
      <c r="D1175" s="5" t="s">
        <v>4269</v>
      </c>
      <c r="E1175" s="6">
        <f>IFERROR(VLOOKUP($D1175,[1]Balanza!$A$3:$K$852,6,0)-VLOOKUP(D1175,[1]Balanza!$A$3:$K$852,7,0),0)</f>
        <v>0</v>
      </c>
      <c r="F1175" s="6">
        <f>IFERROR(VLOOKUP($D1175,[1]Balanza!$A$3:$K$852,10,0)-VLOOKUP($D1175,[1]Balanza!$A$3:$K$852,11,0),0)</f>
        <v>0</v>
      </c>
    </row>
    <row r="1176" spans="1:10" x14ac:dyDescent="0.3">
      <c r="A1176" s="4" t="s">
        <v>2183</v>
      </c>
      <c r="B1176" s="2" t="s">
        <v>2184</v>
      </c>
      <c r="C1176" s="3" t="s">
        <v>3052</v>
      </c>
      <c r="D1176" s="5" t="s">
        <v>4270</v>
      </c>
      <c r="E1176" s="6">
        <f>IFERROR(VLOOKUP($D1176,[1]Balanza!$A$3:$K$852,6,0)-VLOOKUP(D1176,[1]Balanza!$A$3:$K$852,7,0),0)</f>
        <v>55824.7</v>
      </c>
      <c r="F1176" s="6">
        <f>IFERROR(VLOOKUP($D1176,[1]Balanza!$A$3:$K$852,10,0)-VLOOKUP($D1176,[1]Balanza!$A$3:$K$852,11,0),0)</f>
        <v>0</v>
      </c>
    </row>
    <row r="1177" spans="1:10" x14ac:dyDescent="0.3">
      <c r="A1177" s="4" t="s">
        <v>2185</v>
      </c>
      <c r="B1177" s="2" t="s">
        <v>2186</v>
      </c>
      <c r="C1177" s="3" t="s">
        <v>3052</v>
      </c>
      <c r="D1177" s="5" t="s">
        <v>4271</v>
      </c>
      <c r="E1177" s="6">
        <f>IFERROR(VLOOKUP($D1177,[1]Balanza!$A$3:$K$852,6,0)-VLOOKUP(D1177,[1]Balanza!$A$3:$K$852,7,0),0)</f>
        <v>0</v>
      </c>
      <c r="F1177" s="6">
        <f>IFERROR(VLOOKUP($D1177,[1]Balanza!$A$3:$K$852,10,0)-VLOOKUP($D1177,[1]Balanza!$A$3:$K$852,11,0),0)</f>
        <v>0</v>
      </c>
      <c r="G1177" t="str" cm="1">
        <f t="array" ref="G1177:G1210">_xlfn.UNIQUE(C1177:C1301)</f>
        <v>NOMINA SERVICIOS GENERALES</v>
      </c>
      <c r="H1177">
        <f>SUMIF($C$1176:$C$1301,G1177,$E$1176:$E$1301)</f>
        <v>176584.03999999998</v>
      </c>
      <c r="I1177">
        <f>H1177-141903.94</f>
        <v>34680.099999999977</v>
      </c>
      <c r="J1177">
        <v>558.99</v>
      </c>
    </row>
    <row r="1178" spans="1:10" x14ac:dyDescent="0.3">
      <c r="A1178" s="4" t="s">
        <v>2187</v>
      </c>
      <c r="B1178" s="2" t="s">
        <v>2188</v>
      </c>
      <c r="C1178" s="3" t="s">
        <v>3052</v>
      </c>
      <c r="D1178" s="5" t="s">
        <v>4272</v>
      </c>
      <c r="E1178" s="6">
        <f>IFERROR(VLOOKUP($D1178,[1]Balanza!$A$3:$K$852,6,0)-VLOOKUP(D1178,[1]Balanza!$A$3:$K$852,7,0),0)</f>
        <v>9704.0400000000009</v>
      </c>
      <c r="F1178" s="6">
        <f>IFERROR(VLOOKUP($D1178,[1]Balanza!$A$3:$K$852,10,0)-VLOOKUP($D1178,[1]Balanza!$A$3:$K$852,11,0),0)</f>
        <v>0</v>
      </c>
      <c r="G1178" t="str">
        <v>SERVICIOS GENERALES</v>
      </c>
      <c r="H1178">
        <f t="shared" ref="H1178:H1210" si="0">SUMIF($C$1176:$C$1301,G1178,$E$1176:$E$1301)</f>
        <v>8740.15</v>
      </c>
    </row>
    <row r="1179" spans="1:10" x14ac:dyDescent="0.3">
      <c r="A1179" s="4" t="s">
        <v>2189</v>
      </c>
      <c r="B1179" s="2" t="s">
        <v>2190</v>
      </c>
      <c r="C1179" s="3" t="s">
        <v>3052</v>
      </c>
      <c r="D1179" s="5" t="s">
        <v>4273</v>
      </c>
      <c r="E1179" s="6">
        <f>IFERROR(VLOOKUP($D1179,[1]Balanza!$A$3:$K$852,6,0)-VLOOKUP(D1179,[1]Balanza!$A$3:$K$852,7,0),0)</f>
        <v>6664.57</v>
      </c>
      <c r="F1179" s="6">
        <f>IFERROR(VLOOKUP($D1179,[1]Balanza!$A$3:$K$852,10,0)-VLOOKUP($D1179,[1]Balanza!$A$3:$K$852,11,0),0)</f>
        <v>0</v>
      </c>
      <c r="G1179" t="str">
        <v>NO USAR</v>
      </c>
      <c r="H1179">
        <f t="shared" si="0"/>
        <v>0</v>
      </c>
    </row>
    <row r="1180" spans="1:10" x14ac:dyDescent="0.3">
      <c r="A1180" s="4" t="s">
        <v>2191</v>
      </c>
      <c r="B1180" s="2" t="s">
        <v>2192</v>
      </c>
      <c r="C1180" s="3" t="s">
        <v>3052</v>
      </c>
      <c r="D1180" s="5" t="s">
        <v>4274</v>
      </c>
      <c r="E1180" s="6">
        <f>IFERROR(VLOOKUP($D1180,[1]Balanza!$A$3:$K$852,6,0)-VLOOKUP(D1180,[1]Balanza!$A$3:$K$852,7,0),0)</f>
        <v>6664.57</v>
      </c>
      <c r="F1180" s="6">
        <f>IFERROR(VLOOKUP($D1180,[1]Balanza!$A$3:$K$852,10,0)-VLOOKUP($D1180,[1]Balanza!$A$3:$K$852,11,0),0)</f>
        <v>0</v>
      </c>
      <c r="G1180" t="str">
        <v>HONORARIOS</v>
      </c>
      <c r="H1180">
        <f t="shared" si="0"/>
        <v>136701.91</v>
      </c>
    </row>
    <row r="1181" spans="1:10" x14ac:dyDescent="0.3">
      <c r="A1181" s="4" t="s">
        <v>2193</v>
      </c>
      <c r="B1181" s="2" t="s">
        <v>2194</v>
      </c>
      <c r="C1181" s="3" t="s">
        <v>3052</v>
      </c>
      <c r="D1181" s="5" t="s">
        <v>4275</v>
      </c>
      <c r="E1181" s="6">
        <f>IFERROR(VLOOKUP($D1181,[1]Balanza!$A$3:$K$852,6,0)-VLOOKUP(D1181,[1]Balanza!$A$3:$K$852,7,0),0)</f>
        <v>1155.2</v>
      </c>
      <c r="F1181" s="6">
        <f>IFERROR(VLOOKUP($D1181,[1]Balanza!$A$3:$K$852,10,0)-VLOOKUP($D1181,[1]Balanza!$A$3:$K$852,11,0),0)</f>
        <v>0</v>
      </c>
      <c r="G1181" t="str">
        <v>-</v>
      </c>
      <c r="H1181">
        <f t="shared" si="0"/>
        <v>0</v>
      </c>
    </row>
    <row r="1182" spans="1:10" x14ac:dyDescent="0.3">
      <c r="A1182" s="4" t="s">
        <v>2195</v>
      </c>
      <c r="B1182" s="2" t="s">
        <v>2196</v>
      </c>
      <c r="C1182" s="3" t="s">
        <v>3052</v>
      </c>
      <c r="D1182" s="5" t="s">
        <v>4276</v>
      </c>
      <c r="E1182" s="6">
        <f>IFERROR(VLOOKUP($D1182,[1]Balanza!$A$3:$K$852,6,0)-VLOOKUP(D1182,[1]Balanza!$A$3:$K$852,7,0),0)</f>
        <v>2454.8000000000002</v>
      </c>
      <c r="F1182" s="6">
        <f>IFERROR(VLOOKUP($D1182,[1]Balanza!$A$3:$K$852,10,0)-VLOOKUP($D1182,[1]Balanza!$A$3:$K$852,11,0),0)</f>
        <v>0</v>
      </c>
      <c r="G1182" t="str">
        <v>ARRENDAMIENTOS</v>
      </c>
      <c r="H1182">
        <f t="shared" si="0"/>
        <v>0</v>
      </c>
    </row>
    <row r="1183" spans="1:10" x14ac:dyDescent="0.3">
      <c r="A1183" s="4" t="s">
        <v>2197</v>
      </c>
      <c r="B1183" s="2" t="s">
        <v>2198</v>
      </c>
      <c r="C1183" s="3" t="s">
        <v>3052</v>
      </c>
      <c r="D1183" s="5" t="s">
        <v>4277</v>
      </c>
      <c r="E1183" s="6">
        <f>IFERROR(VLOOKUP($D1183,[1]Balanza!$A$3:$K$852,6,0)-VLOOKUP(D1183,[1]Balanza!$A$3:$K$852,7,0),0)</f>
        <v>657.92</v>
      </c>
      <c r="F1183" s="6">
        <f>IFERROR(VLOOKUP($D1183,[1]Balanza!$A$3:$K$852,10,0)-VLOOKUP($D1183,[1]Balanza!$A$3:$K$852,11,0),0)</f>
        <v>0</v>
      </c>
      <c r="G1183" t="str">
        <v>GASOLINA</v>
      </c>
      <c r="H1183">
        <f t="shared" si="0"/>
        <v>0</v>
      </c>
    </row>
    <row r="1184" spans="1:10" x14ac:dyDescent="0.3">
      <c r="A1184" s="4" t="s">
        <v>2199</v>
      </c>
      <c r="B1184" s="2" t="s">
        <v>2200</v>
      </c>
      <c r="C1184" s="3" t="s">
        <v>3052</v>
      </c>
      <c r="D1184" s="5" t="s">
        <v>4278</v>
      </c>
      <c r="E1184" s="6">
        <f>IFERROR(VLOOKUP($D1184,[1]Balanza!$A$3:$K$852,6,0)-VLOOKUP(D1184,[1]Balanza!$A$3:$K$852,7,0),0)</f>
        <v>0</v>
      </c>
      <c r="F1184" s="6">
        <f>IFERROR(VLOOKUP($D1184,[1]Balanza!$A$3:$K$852,10,0)-VLOOKUP($D1184,[1]Balanza!$A$3:$K$852,11,0),0)</f>
        <v>0</v>
      </c>
      <c r="G1184" t="str">
        <v>VIATICOS ADMIN</v>
      </c>
      <c r="H1184">
        <f t="shared" si="0"/>
        <v>431.03</v>
      </c>
    </row>
    <row r="1185" spans="1:8" x14ac:dyDescent="0.3">
      <c r="A1185" s="4" t="s">
        <v>2201</v>
      </c>
      <c r="B1185" s="2" t="s">
        <v>2202</v>
      </c>
      <c r="C1185" s="3" t="s">
        <v>3052</v>
      </c>
      <c r="D1185" s="5" t="s">
        <v>4279</v>
      </c>
      <c r="E1185" s="6">
        <f>IFERROR(VLOOKUP($D1185,[1]Balanza!$A$3:$K$852,6,0)-VLOOKUP(D1185,[1]Balanza!$A$3:$K$852,7,0),0)</f>
        <v>0</v>
      </c>
      <c r="F1185" s="6">
        <f>IFERROR(VLOOKUP($D1185,[1]Balanza!$A$3:$K$852,10,0)-VLOOKUP($D1185,[1]Balanza!$A$3:$K$852,11,0),0)</f>
        <v>0</v>
      </c>
      <c r="G1185" t="str">
        <v>LUZ/GAS</v>
      </c>
      <c r="H1185">
        <f t="shared" si="0"/>
        <v>0</v>
      </c>
    </row>
    <row r="1186" spans="1:8" x14ac:dyDescent="0.3">
      <c r="A1186" s="4" t="s">
        <v>2203</v>
      </c>
      <c r="B1186" s="2" t="s">
        <v>2204</v>
      </c>
      <c r="C1186" s="3" t="s">
        <v>3052</v>
      </c>
      <c r="D1186" s="5" t="s">
        <v>4280</v>
      </c>
      <c r="E1186" s="6">
        <f>IFERROR(VLOOKUP($D1186,[1]Balanza!$A$3:$K$852,6,0)-VLOOKUP(D1186,[1]Balanza!$A$3:$K$852,7,0),0)</f>
        <v>0</v>
      </c>
      <c r="F1186" s="6">
        <f>IFERROR(VLOOKUP($D1186,[1]Balanza!$A$3:$K$852,10,0)-VLOOKUP($D1186,[1]Balanza!$A$3:$K$852,11,0),0)</f>
        <v>0</v>
      </c>
      <c r="G1186" t="str">
        <v>VIGILANCIA</v>
      </c>
      <c r="H1186">
        <f t="shared" si="0"/>
        <v>960</v>
      </c>
    </row>
    <row r="1187" spans="1:8" x14ac:dyDescent="0.3">
      <c r="A1187" s="4" t="s">
        <v>2205</v>
      </c>
      <c r="B1187" s="2" t="s">
        <v>2206</v>
      </c>
      <c r="C1187" s="3" t="s">
        <v>3052</v>
      </c>
      <c r="D1187" s="5" t="s">
        <v>4281</v>
      </c>
      <c r="E1187" s="6">
        <f>IFERROR(VLOOKUP($D1187,[1]Balanza!$A$3:$K$852,6,0)-VLOOKUP(D1187,[1]Balanza!$A$3:$K$852,7,0),0)</f>
        <v>2975.23</v>
      </c>
      <c r="F1187" s="6">
        <f>IFERROR(VLOOKUP($D1187,[1]Balanza!$A$3:$K$852,10,0)-VLOOKUP($D1187,[1]Balanza!$A$3:$K$852,11,0),0)</f>
        <v>0</v>
      </c>
      <c r="G1187" t="str">
        <v>LIMPIEZA</v>
      </c>
      <c r="H1187">
        <f t="shared" si="0"/>
        <v>712.07</v>
      </c>
    </row>
    <row r="1188" spans="1:8" x14ac:dyDescent="0.3">
      <c r="A1188" s="4" t="s">
        <v>2207</v>
      </c>
      <c r="B1188" s="2" t="s">
        <v>2208</v>
      </c>
      <c r="C1188" s="3" t="s">
        <v>3052</v>
      </c>
      <c r="D1188" s="5" t="s">
        <v>4282</v>
      </c>
      <c r="E1188" s="6">
        <f>IFERROR(VLOOKUP($D1188,[1]Balanza!$A$3:$K$852,6,0)-VLOOKUP(D1188,[1]Balanza!$A$3:$K$852,7,0),0)</f>
        <v>0</v>
      </c>
      <c r="F1188" s="6">
        <f>IFERROR(VLOOKUP($D1188,[1]Balanza!$A$3:$K$852,10,0)-VLOOKUP($D1188,[1]Balanza!$A$3:$K$852,11,0),0)</f>
        <v>0</v>
      </c>
      <c r="G1188" t="str">
        <v>CONSUMIBLES OFICINAS</v>
      </c>
      <c r="H1188">
        <f t="shared" si="0"/>
        <v>22888.48</v>
      </c>
    </row>
    <row r="1189" spans="1:8" x14ac:dyDescent="0.3">
      <c r="A1189" s="4" t="s">
        <v>2209</v>
      </c>
      <c r="B1189" s="2" t="s">
        <v>2210</v>
      </c>
      <c r="C1189" s="3" t="s">
        <v>3052</v>
      </c>
      <c r="D1189" s="5" t="s">
        <v>4283</v>
      </c>
      <c r="E1189" s="6">
        <f>IFERROR(VLOOKUP($D1189,[1]Balanza!$A$3:$K$852,6,0)-VLOOKUP(D1189,[1]Balanza!$A$3:$K$852,7,0),0)</f>
        <v>0</v>
      </c>
      <c r="F1189" s="6">
        <f>IFERROR(VLOOKUP($D1189,[1]Balanza!$A$3:$K$852,10,0)-VLOOKUP($D1189,[1]Balanza!$A$3:$K$852,11,0),0)</f>
        <v>0</v>
      </c>
      <c r="G1189" t="str">
        <v>MTTO EDIFICIOS</v>
      </c>
      <c r="H1189">
        <f t="shared" si="0"/>
        <v>102528.39</v>
      </c>
    </row>
    <row r="1190" spans="1:8" x14ac:dyDescent="0.3">
      <c r="A1190" s="4" t="s">
        <v>2211</v>
      </c>
      <c r="B1190" s="2" t="s">
        <v>2212</v>
      </c>
      <c r="C1190" s="3" t="s">
        <v>3052</v>
      </c>
      <c r="D1190" s="5" t="s">
        <v>4284</v>
      </c>
      <c r="E1190" s="6">
        <f>IFERROR(VLOOKUP($D1190,[1]Balanza!$A$3:$K$852,6,0)-VLOOKUP(D1190,[1]Balanza!$A$3:$K$852,7,0),0)</f>
        <v>6664.57</v>
      </c>
      <c r="F1190" s="6">
        <f>IFERROR(VLOOKUP($D1190,[1]Balanza!$A$3:$K$852,10,0)-VLOOKUP($D1190,[1]Balanza!$A$3:$K$852,11,0),0)</f>
        <v>0</v>
      </c>
      <c r="G1190" t="str">
        <v>MTTO EQUIPOS TRANSPORTE</v>
      </c>
      <c r="H1190">
        <f t="shared" si="0"/>
        <v>41676.800000000003</v>
      </c>
    </row>
    <row r="1191" spans="1:8" x14ac:dyDescent="0.3">
      <c r="A1191" s="4" t="s">
        <v>2213</v>
      </c>
      <c r="B1191" s="2" t="s">
        <v>2214</v>
      </c>
      <c r="C1191" s="3" t="s">
        <v>3052</v>
      </c>
      <c r="D1191" s="5" t="s">
        <v>4285</v>
      </c>
      <c r="E1191" s="6">
        <f>IFERROR(VLOOKUP($D1191,[1]Balanza!$A$3:$K$852,6,0)-VLOOKUP(D1191,[1]Balanza!$A$3:$K$852,7,0),0)</f>
        <v>0</v>
      </c>
      <c r="F1191" s="6">
        <f>IFERROR(VLOOKUP($D1191,[1]Balanza!$A$3:$K$852,10,0)-VLOOKUP($D1191,[1]Balanza!$A$3:$K$852,11,0),0)</f>
        <v>0</v>
      </c>
      <c r="G1191" t="str">
        <v>SEGUROS</v>
      </c>
      <c r="H1191">
        <f t="shared" si="0"/>
        <v>36835.730000000003</v>
      </c>
    </row>
    <row r="1192" spans="1:8" x14ac:dyDescent="0.3">
      <c r="A1192" s="4" t="s">
        <v>2215</v>
      </c>
      <c r="B1192" s="2" t="s">
        <v>2216</v>
      </c>
      <c r="C1192" s="3" t="s">
        <v>3052</v>
      </c>
      <c r="D1192" s="5" t="s">
        <v>4286</v>
      </c>
      <c r="E1192" s="6">
        <f>IFERROR(VLOOKUP($D1192,[1]Balanza!$A$3:$K$852,6,0)-VLOOKUP(D1192,[1]Balanza!$A$3:$K$852,7,0),0)</f>
        <v>0</v>
      </c>
      <c r="F1192" s="6">
        <f>IFERROR(VLOOKUP($D1192,[1]Balanza!$A$3:$K$852,10,0)-VLOOKUP($D1192,[1]Balanza!$A$3:$K$852,11,0),0)</f>
        <v>0</v>
      </c>
      <c r="G1192" t="str">
        <v>OTROS IMPUESTOS</v>
      </c>
      <c r="H1192">
        <f t="shared" si="0"/>
        <v>11465</v>
      </c>
    </row>
    <row r="1193" spans="1:8" x14ac:dyDescent="0.3">
      <c r="A1193" s="4" t="s">
        <v>2217</v>
      </c>
      <c r="B1193" s="2" t="s">
        <v>2218</v>
      </c>
      <c r="C1193" s="3" t="s">
        <v>3052</v>
      </c>
      <c r="D1193" s="5" t="s">
        <v>4287</v>
      </c>
      <c r="E1193" s="6">
        <f>IFERROR(VLOOKUP($D1193,[1]Balanza!$A$3:$K$852,6,0)-VLOOKUP(D1193,[1]Balanza!$A$3:$K$852,7,0),0)</f>
        <v>0</v>
      </c>
      <c r="F1193" s="6">
        <f>IFERROR(VLOOKUP($D1193,[1]Balanza!$A$3:$K$852,10,0)-VLOOKUP($D1193,[1]Balanza!$A$3:$K$852,11,0),0)</f>
        <v>0</v>
      </c>
      <c r="G1193" t="str">
        <v>SUSCRIPCIONES</v>
      </c>
      <c r="H1193">
        <f t="shared" si="0"/>
        <v>0</v>
      </c>
    </row>
    <row r="1194" spans="1:8" x14ac:dyDescent="0.3">
      <c r="A1194" s="4" t="s">
        <v>2219</v>
      </c>
      <c r="B1194" s="2" t="s">
        <v>2220</v>
      </c>
      <c r="C1194" s="3" t="s">
        <v>3052</v>
      </c>
      <c r="D1194" s="5" t="s">
        <v>4288</v>
      </c>
      <c r="E1194" s="6">
        <f>IFERROR(VLOOKUP($D1194,[1]Balanza!$A$3:$K$852,6,0)-VLOOKUP(D1194,[1]Balanza!$A$3:$K$852,7,0),0)</f>
        <v>3332.21</v>
      </c>
      <c r="F1194" s="6">
        <f>IFERROR(VLOOKUP($D1194,[1]Balanza!$A$3:$K$852,10,0)-VLOOKUP($D1194,[1]Balanza!$A$3:$K$852,11,0),0)</f>
        <v>0</v>
      </c>
      <c r="G1194" t="str">
        <v>PUBLICIDAD RECLASIFICAR</v>
      </c>
      <c r="H1194">
        <f t="shared" si="0"/>
        <v>167953.5</v>
      </c>
    </row>
    <row r="1195" spans="1:8" x14ac:dyDescent="0.3">
      <c r="A1195" s="4" t="s">
        <v>2221</v>
      </c>
      <c r="B1195" s="2" t="s">
        <v>2222</v>
      </c>
      <c r="C1195" s="3" t="s">
        <v>3052</v>
      </c>
      <c r="D1195" s="5" t="s">
        <v>4289</v>
      </c>
      <c r="E1195" s="6">
        <f>IFERROR(VLOOKUP($D1195,[1]Balanza!$A$3:$K$852,6,0)-VLOOKUP(D1195,[1]Balanza!$A$3:$K$852,7,0),0)</f>
        <v>0</v>
      </c>
      <c r="F1195" s="6">
        <f>IFERROR(VLOOKUP($D1195,[1]Balanza!$A$3:$K$852,10,0)-VLOOKUP($D1195,[1]Balanza!$A$3:$K$852,11,0),0)</f>
        <v>0</v>
      </c>
      <c r="G1195" t="str">
        <v>CAPACITACIONES</v>
      </c>
      <c r="H1195">
        <f t="shared" si="0"/>
        <v>0</v>
      </c>
    </row>
    <row r="1196" spans="1:8" x14ac:dyDescent="0.3">
      <c r="A1196" s="4" t="s">
        <v>2223</v>
      </c>
      <c r="B1196" s="2" t="s">
        <v>2224</v>
      </c>
      <c r="C1196" s="3" t="s">
        <v>3052</v>
      </c>
      <c r="D1196" s="5" t="s">
        <v>4290</v>
      </c>
      <c r="E1196" s="6">
        <f>IFERROR(VLOOKUP($D1196,[1]Balanza!$A$3:$K$852,6,0)-VLOOKUP(D1196,[1]Balanza!$A$3:$K$852,7,0),0)</f>
        <v>0</v>
      </c>
      <c r="F1196" s="6">
        <f>IFERROR(VLOOKUP($D1196,[1]Balanza!$A$3:$K$852,10,0)-VLOOKUP($D1196,[1]Balanza!$A$3:$K$852,11,0),0)</f>
        <v>0</v>
      </c>
      <c r="G1196" t="str">
        <v>DONATIVOS</v>
      </c>
      <c r="H1196">
        <f t="shared" si="0"/>
        <v>0</v>
      </c>
    </row>
    <row r="1197" spans="1:8" x14ac:dyDescent="0.3">
      <c r="A1197" s="4" t="s">
        <v>2225</v>
      </c>
      <c r="B1197" s="2" t="s">
        <v>2226</v>
      </c>
      <c r="C1197" s="3" t="s">
        <v>3052</v>
      </c>
      <c r="D1197" s="5" t="s">
        <v>4291</v>
      </c>
      <c r="E1197" s="6">
        <f>IFERROR(VLOOKUP($D1197,[1]Balanza!$A$3:$K$852,6,0)-VLOOKUP(D1197,[1]Balanza!$A$3:$K$852,7,0),0)</f>
        <v>34680.1</v>
      </c>
      <c r="F1197" s="6">
        <f>IFERROR(VLOOKUP($D1197,[1]Balanza!$A$3:$K$852,10,0)-VLOOKUP($D1197,[1]Balanza!$A$3:$K$852,11,0),0)</f>
        <v>0</v>
      </c>
      <c r="G1197" t="str">
        <v>FLETES REC</v>
      </c>
      <c r="H1197">
        <f t="shared" si="0"/>
        <v>0</v>
      </c>
    </row>
    <row r="1198" spans="1:8" x14ac:dyDescent="0.3">
      <c r="A1198" s="4" t="s">
        <v>2227</v>
      </c>
      <c r="B1198" s="2" t="s">
        <v>2228</v>
      </c>
      <c r="C1198" s="3" t="s">
        <v>3052</v>
      </c>
      <c r="D1198" s="5" t="s">
        <v>4292</v>
      </c>
      <c r="E1198" s="6">
        <f>IFERROR(VLOOKUP($D1198,[1]Balanza!$A$3:$K$852,6,0)-VLOOKUP(D1198,[1]Balanza!$A$3:$K$852,7,0),0)</f>
        <v>0</v>
      </c>
      <c r="F1198" s="6">
        <f>IFERROR(VLOOKUP($D1198,[1]Balanza!$A$3:$K$852,10,0)-VLOOKUP($D1198,[1]Balanza!$A$3:$K$852,11,0),0)</f>
        <v>0</v>
      </c>
      <c r="G1198" t="str">
        <v>IMPORTACIONES</v>
      </c>
      <c r="H1198">
        <f t="shared" si="0"/>
        <v>0</v>
      </c>
    </row>
    <row r="1199" spans="1:8" x14ac:dyDescent="0.3">
      <c r="A1199" s="4" t="s">
        <v>2229</v>
      </c>
      <c r="B1199" s="2" t="s">
        <v>2230</v>
      </c>
      <c r="C1199" s="3" t="s">
        <v>3052</v>
      </c>
      <c r="D1199" s="5" t="s">
        <v>4293</v>
      </c>
      <c r="E1199" s="6">
        <f>IFERROR(VLOOKUP($D1199,[1]Balanza!$A$3:$K$852,6,0)-VLOOKUP(D1199,[1]Balanza!$A$3:$K$852,7,0),0)</f>
        <v>9520.74</v>
      </c>
      <c r="F1199" s="6">
        <f>IFERROR(VLOOKUP($D1199,[1]Balanza!$A$3:$K$852,10,0)-VLOOKUP($D1199,[1]Balanza!$A$3:$K$852,11,0),0)</f>
        <v>0</v>
      </c>
      <c r="G1199" t="str">
        <v>COMISIONES</v>
      </c>
      <c r="H1199">
        <f t="shared" si="0"/>
        <v>0</v>
      </c>
    </row>
    <row r="1200" spans="1:8" x14ac:dyDescent="0.3">
      <c r="A1200" s="4" t="s">
        <v>2231</v>
      </c>
      <c r="B1200" s="2" t="s">
        <v>2232</v>
      </c>
      <c r="C1200" s="3" t="s">
        <v>3052</v>
      </c>
      <c r="D1200" s="5" t="s">
        <v>4294</v>
      </c>
      <c r="E1200" s="6">
        <f>IFERROR(VLOOKUP($D1200,[1]Balanza!$A$3:$K$852,6,0)-VLOOKUP(D1200,[1]Balanza!$A$3:$K$852,7,0),0)</f>
        <v>0</v>
      </c>
      <c r="F1200" s="6">
        <f>IFERROR(VLOOKUP($D1200,[1]Balanza!$A$3:$K$852,10,0)-VLOOKUP($D1200,[1]Balanza!$A$3:$K$852,11,0),0)</f>
        <v>0</v>
      </c>
      <c r="G1200" t="str">
        <v>PATENTES/MARCAS</v>
      </c>
      <c r="H1200">
        <f t="shared" si="0"/>
        <v>0</v>
      </c>
    </row>
    <row r="1201" spans="1:8" x14ac:dyDescent="0.3">
      <c r="A1201" s="4" t="s">
        <v>2233</v>
      </c>
      <c r="B1201" s="2" t="s">
        <v>2234</v>
      </c>
      <c r="C1201" s="3" t="s">
        <v>3052</v>
      </c>
      <c r="D1201" s="5" t="s">
        <v>4295</v>
      </c>
      <c r="E1201" s="6">
        <f>IFERROR(VLOOKUP($D1201,[1]Balanza!$A$3:$K$852,6,0)-VLOOKUP(D1201,[1]Balanza!$A$3:$K$852,7,0),0)</f>
        <v>0</v>
      </c>
      <c r="F1201" s="6">
        <f>IFERROR(VLOOKUP($D1201,[1]Balanza!$A$3:$K$852,10,0)-VLOOKUP($D1201,[1]Balanza!$A$3:$K$852,11,0),0)</f>
        <v>0</v>
      </c>
      <c r="G1201" t="str">
        <v>UNIFORMES</v>
      </c>
      <c r="H1201">
        <f t="shared" si="0"/>
        <v>0</v>
      </c>
    </row>
    <row r="1202" spans="1:8" x14ac:dyDescent="0.3">
      <c r="A1202" s="4" t="s">
        <v>2235</v>
      </c>
      <c r="B1202" s="2" t="s">
        <v>2210</v>
      </c>
      <c r="C1202" s="3" t="s">
        <v>3052</v>
      </c>
      <c r="D1202" s="5" t="s">
        <v>4296</v>
      </c>
      <c r="E1202" s="6">
        <f>IFERROR(VLOOKUP($D1202,[1]Balanza!$A$3:$K$852,6,0)-VLOOKUP(D1202,[1]Balanza!$A$3:$K$852,7,0),0)</f>
        <v>0</v>
      </c>
      <c r="F1202" s="6">
        <f>IFERROR(VLOOKUP($D1202,[1]Balanza!$A$3:$K$852,10,0)-VLOOKUP($D1202,[1]Balanza!$A$3:$K$852,11,0),0)</f>
        <v>0</v>
      </c>
      <c r="G1202" t="str">
        <v>PERMISOS</v>
      </c>
      <c r="H1202">
        <f t="shared" si="0"/>
        <v>0</v>
      </c>
    </row>
    <row r="1203" spans="1:8" x14ac:dyDescent="0.3">
      <c r="A1203" s="4" t="s">
        <v>2236</v>
      </c>
      <c r="B1203" s="2" t="s">
        <v>2237</v>
      </c>
      <c r="C1203" s="3" t="s">
        <v>3052</v>
      </c>
      <c r="D1203" s="5" t="s">
        <v>4297</v>
      </c>
      <c r="E1203" s="6">
        <f>IFERROR(VLOOKUP($D1203,[1]Balanza!$A$3:$K$852,6,0)-VLOOKUP(D1203,[1]Balanza!$A$3:$K$852,7,0),0)</f>
        <v>0</v>
      </c>
      <c r="F1203" s="6">
        <f>IFERROR(VLOOKUP($D1203,[1]Balanza!$A$3:$K$852,10,0)-VLOOKUP($D1203,[1]Balanza!$A$3:$K$852,11,0),0)</f>
        <v>0</v>
      </c>
      <c r="G1203" t="str">
        <v>FLETES</v>
      </c>
      <c r="H1203">
        <f t="shared" si="0"/>
        <v>0</v>
      </c>
    </row>
    <row r="1204" spans="1:8" x14ac:dyDescent="0.3">
      <c r="A1204" s="4" t="s">
        <v>2238</v>
      </c>
      <c r="B1204" s="2" t="s">
        <v>2239</v>
      </c>
      <c r="C1204" s="3" t="s">
        <v>3052</v>
      </c>
      <c r="D1204" s="5" t="s">
        <v>4298</v>
      </c>
      <c r="E1204" s="6">
        <f>IFERROR(VLOOKUP($D1204,[1]Balanza!$A$3:$K$852,6,0)-VLOOKUP(D1204,[1]Balanza!$A$3:$K$852,7,0),0)</f>
        <v>3900</v>
      </c>
      <c r="F1204" s="6">
        <f>IFERROR(VLOOKUP($D1204,[1]Balanza!$A$3:$K$852,10,0)-VLOOKUP($D1204,[1]Balanza!$A$3:$K$852,11,0),0)</f>
        <v>0</v>
      </c>
      <c r="G1204" t="str">
        <v>NO DEDUCIBLES</v>
      </c>
      <c r="H1204">
        <f t="shared" si="0"/>
        <v>0</v>
      </c>
    </row>
    <row r="1205" spans="1:8" x14ac:dyDescent="0.3">
      <c r="A1205" s="4" t="s">
        <v>2240</v>
      </c>
      <c r="B1205" s="2" t="s">
        <v>2241</v>
      </c>
      <c r="C1205" s="3" t="s">
        <v>3052</v>
      </c>
      <c r="D1205" s="5" t="s">
        <v>4299</v>
      </c>
      <c r="E1205" s="6">
        <f>IFERROR(VLOOKUP($D1205,[1]Balanza!$A$3:$K$852,6,0)-VLOOKUP(D1205,[1]Balanza!$A$3:$K$852,7,0),0)</f>
        <v>0</v>
      </c>
      <c r="F1205" s="6">
        <f>IFERROR(VLOOKUP($D1205,[1]Balanza!$A$3:$K$852,10,0)-VLOOKUP($D1205,[1]Balanza!$A$3:$K$852,11,0),0)</f>
        <v>0</v>
      </c>
      <c r="G1205" t="str">
        <v>OTROS GASTOS GENERALES</v>
      </c>
      <c r="H1205">
        <f t="shared" si="0"/>
        <v>2489.38</v>
      </c>
    </row>
    <row r="1206" spans="1:8" x14ac:dyDescent="0.3">
      <c r="A1206" s="4" t="s">
        <v>2242</v>
      </c>
      <c r="B1206" s="2" t="s">
        <v>2243</v>
      </c>
      <c r="C1206" s="3" t="s">
        <v>3052</v>
      </c>
      <c r="D1206" s="5" t="s">
        <v>4300</v>
      </c>
      <c r="E1206" s="6">
        <f>IFERROR(VLOOKUP($D1206,[1]Balanza!$A$3:$K$852,6,0)-VLOOKUP(D1206,[1]Balanza!$A$3:$K$852,7,0),0)</f>
        <v>0</v>
      </c>
      <c r="F1206" s="6">
        <f>IFERROR(VLOOKUP($D1206,[1]Balanza!$A$3:$K$852,10,0)-VLOOKUP($D1206,[1]Balanza!$A$3:$K$852,11,0),0)</f>
        <v>0</v>
      </c>
      <c r="G1206" t="str">
        <v>OTROS GASTOS VENTAS</v>
      </c>
      <c r="H1206">
        <f t="shared" si="0"/>
        <v>0</v>
      </c>
    </row>
    <row r="1207" spans="1:8" x14ac:dyDescent="0.3">
      <c r="A1207" s="4" t="s">
        <v>2244</v>
      </c>
      <c r="B1207" s="2" t="s">
        <v>2245</v>
      </c>
      <c r="C1207" s="3" t="s">
        <v>3052</v>
      </c>
      <c r="D1207" s="5" t="s">
        <v>4301</v>
      </c>
      <c r="E1207" s="6">
        <f>IFERROR(VLOOKUP($D1207,[1]Balanza!$A$3:$K$852,6,0)-VLOOKUP(D1207,[1]Balanza!$A$3:$K$852,7,0),0)</f>
        <v>0</v>
      </c>
      <c r="F1207" s="6">
        <f>IFERROR(VLOOKUP($D1207,[1]Balanza!$A$3:$K$852,10,0)-VLOOKUP($D1207,[1]Balanza!$A$3:$K$852,11,0),0)</f>
        <v>0</v>
      </c>
      <c r="G1207" t="str">
        <v>ARRENDAMIENTOS REC</v>
      </c>
      <c r="H1207">
        <f t="shared" si="0"/>
        <v>0</v>
      </c>
    </row>
    <row r="1208" spans="1:8" x14ac:dyDescent="0.3">
      <c r="A1208" s="4" t="s">
        <v>2246</v>
      </c>
      <c r="B1208" s="2" t="s">
        <v>2247</v>
      </c>
      <c r="C1208" s="3" t="s">
        <v>3052</v>
      </c>
      <c r="D1208" s="5" t="s">
        <v>4302</v>
      </c>
      <c r="E1208" s="6">
        <f>IFERROR(VLOOKUP($D1208,[1]Balanza!$A$3:$K$852,6,0)-VLOOKUP(D1208,[1]Balanza!$A$3:$K$852,7,0),0)</f>
        <v>0</v>
      </c>
      <c r="F1208" s="6">
        <f>IFERROR(VLOOKUP($D1208,[1]Balanza!$A$3:$K$852,10,0)-VLOOKUP($D1208,[1]Balanza!$A$3:$K$852,11,0),0)</f>
        <v>0</v>
      </c>
      <c r="G1208" t="str">
        <v>CONVENIOS LABORALES</v>
      </c>
      <c r="H1208">
        <f t="shared" si="0"/>
        <v>0</v>
      </c>
    </row>
    <row r="1209" spans="1:8" x14ac:dyDescent="0.3">
      <c r="A1209" s="4" t="s">
        <v>2248</v>
      </c>
      <c r="B1209" s="2" t="s">
        <v>2249</v>
      </c>
      <c r="C1209" s="3" t="s">
        <v>3052</v>
      </c>
      <c r="D1209" s="5" t="s">
        <v>4303</v>
      </c>
      <c r="E1209" s="6">
        <f>IFERROR(VLOOKUP($D1209,[1]Balanza!$A$3:$K$852,6,0)-VLOOKUP(D1209,[1]Balanza!$A$3:$K$852,7,0),0)</f>
        <v>0</v>
      </c>
      <c r="F1209" s="6">
        <f>IFERROR(VLOOKUP($D1209,[1]Balanza!$A$3:$K$852,10,0)-VLOOKUP($D1209,[1]Balanza!$A$3:$K$852,11,0),0)</f>
        <v>0</v>
      </c>
      <c r="G1209" t="str">
        <v>SERVICIOS PROGRAMAS</v>
      </c>
      <c r="H1209">
        <f t="shared" si="0"/>
        <v>0</v>
      </c>
    </row>
    <row r="1210" spans="1:8" x14ac:dyDescent="0.3">
      <c r="A1210" s="4" t="s">
        <v>2250</v>
      </c>
      <c r="B1210" s="2" t="s">
        <v>1992</v>
      </c>
      <c r="C1210" s="3" t="s">
        <v>3052</v>
      </c>
      <c r="D1210" s="5" t="s">
        <v>4304</v>
      </c>
      <c r="E1210" s="6">
        <f>IFERROR(VLOOKUP($D1210,[1]Balanza!$A$3:$K$852,6,0)-VLOOKUP(D1210,[1]Balanza!$A$3:$K$852,7,0),0)</f>
        <v>0</v>
      </c>
      <c r="F1210" s="6">
        <f>IFERROR(VLOOKUP($D1210,[1]Balanza!$A$3:$K$852,10,0)-VLOOKUP($D1210,[1]Balanza!$A$3:$K$852,11,0),0)</f>
        <v>0</v>
      </c>
      <c r="G1210" t="str">
        <v>MENSAJERIA</v>
      </c>
      <c r="H1210">
        <f t="shared" si="0"/>
        <v>0</v>
      </c>
    </row>
    <row r="1211" spans="1:8" x14ac:dyDescent="0.3">
      <c r="A1211" s="4" t="s">
        <v>2251</v>
      </c>
      <c r="B1211" s="2" t="s">
        <v>2252</v>
      </c>
      <c r="C1211" s="3" t="s">
        <v>3052</v>
      </c>
      <c r="D1211" s="5" t="s">
        <v>4305</v>
      </c>
      <c r="E1211" s="6">
        <f>IFERROR(VLOOKUP($D1211,[1]Balanza!$A$3:$K$852,6,0)-VLOOKUP(D1211,[1]Balanza!$A$3:$K$852,7,0),0)</f>
        <v>0</v>
      </c>
      <c r="F1211" s="6">
        <f>IFERROR(VLOOKUP($D1211,[1]Balanza!$A$3:$K$852,10,0)-VLOOKUP($D1211,[1]Balanza!$A$3:$K$852,11,0),0)</f>
        <v>0</v>
      </c>
    </row>
    <row r="1212" spans="1:8" x14ac:dyDescent="0.3">
      <c r="A1212" s="4" t="s">
        <v>2253</v>
      </c>
      <c r="B1212" s="2" t="s">
        <v>1996</v>
      </c>
      <c r="C1212" s="3" t="s">
        <v>3052</v>
      </c>
      <c r="D1212" s="5" t="s">
        <v>4306</v>
      </c>
      <c r="E1212" s="6">
        <f>IFERROR(VLOOKUP($D1212,[1]Balanza!$A$3:$K$852,6,0)-VLOOKUP(D1212,[1]Balanza!$A$3:$K$852,7,0),0)</f>
        <v>0</v>
      </c>
      <c r="F1212" s="6">
        <f>IFERROR(VLOOKUP($D1212,[1]Balanza!$A$3:$K$852,10,0)-VLOOKUP($D1212,[1]Balanza!$A$3:$K$852,11,0),0)</f>
        <v>0</v>
      </c>
    </row>
    <row r="1213" spans="1:8" x14ac:dyDescent="0.3">
      <c r="A1213" s="4" t="s">
        <v>2254</v>
      </c>
      <c r="B1213" s="2" t="s">
        <v>2255</v>
      </c>
      <c r="C1213" s="3" t="s">
        <v>3052</v>
      </c>
      <c r="D1213" s="5" t="s">
        <v>4307</v>
      </c>
      <c r="E1213" s="6">
        <f>IFERROR(VLOOKUP($D1213,[1]Balanza!$A$3:$K$852,6,0)-VLOOKUP(D1213,[1]Balanza!$A$3:$K$852,7,0),0)</f>
        <v>0</v>
      </c>
      <c r="F1213" s="6">
        <f>IFERROR(VLOOKUP($D1213,[1]Balanza!$A$3:$K$852,10,0)-VLOOKUP($D1213,[1]Balanza!$A$3:$K$852,11,0),0)</f>
        <v>0</v>
      </c>
    </row>
    <row r="1214" spans="1:8" x14ac:dyDescent="0.3">
      <c r="A1214" s="4" t="s">
        <v>2256</v>
      </c>
      <c r="B1214" s="2" t="s">
        <v>2257</v>
      </c>
      <c r="C1214" s="3" t="s">
        <v>3052</v>
      </c>
      <c r="D1214" s="5" t="s">
        <v>4308</v>
      </c>
      <c r="E1214" s="6">
        <f>IFERROR(VLOOKUP($D1214,[1]Balanza!$A$3:$K$852,6,0)-VLOOKUP(D1214,[1]Balanza!$A$3:$K$852,7,0),0)</f>
        <v>0</v>
      </c>
      <c r="F1214" s="6">
        <f>IFERROR(VLOOKUP($D1214,[1]Balanza!$A$3:$K$852,10,0)-VLOOKUP($D1214,[1]Balanza!$A$3:$K$852,11,0),0)</f>
        <v>0</v>
      </c>
    </row>
    <row r="1215" spans="1:8" x14ac:dyDescent="0.3">
      <c r="A1215" s="4" t="s">
        <v>2258</v>
      </c>
      <c r="B1215" s="2" t="s">
        <v>2259</v>
      </c>
      <c r="C1215" s="3" t="s">
        <v>3052</v>
      </c>
      <c r="D1215" s="5" t="s">
        <v>4309</v>
      </c>
      <c r="E1215" s="6">
        <f>IFERROR(VLOOKUP($D1215,[1]Balanza!$A$3:$K$852,6,0)-VLOOKUP(D1215,[1]Balanza!$A$3:$K$852,7,0),0)</f>
        <v>0</v>
      </c>
      <c r="F1215" s="6">
        <f>IFERROR(VLOOKUP($D1215,[1]Balanza!$A$3:$K$852,10,0)-VLOOKUP($D1215,[1]Balanza!$A$3:$K$852,11,0),0)</f>
        <v>0</v>
      </c>
    </row>
    <row r="1216" spans="1:8" x14ac:dyDescent="0.3">
      <c r="A1216" s="4" t="s">
        <v>2260</v>
      </c>
      <c r="B1216" s="2" t="s">
        <v>2261</v>
      </c>
      <c r="C1216" s="3" t="s">
        <v>3052</v>
      </c>
      <c r="D1216" s="5" t="s">
        <v>4310</v>
      </c>
      <c r="E1216" s="6">
        <f>IFERROR(VLOOKUP($D1216,[1]Balanza!$A$3:$K$852,6,0)-VLOOKUP(D1216,[1]Balanza!$A$3:$K$852,7,0),0)</f>
        <v>0</v>
      </c>
      <c r="F1216" s="6">
        <f>IFERROR(VLOOKUP($D1216,[1]Balanza!$A$3:$K$852,10,0)-VLOOKUP($D1216,[1]Balanza!$A$3:$K$852,11,0),0)</f>
        <v>0</v>
      </c>
    </row>
    <row r="1217" spans="1:6" x14ac:dyDescent="0.3">
      <c r="A1217" s="4" t="s">
        <v>2262</v>
      </c>
      <c r="B1217" s="2" t="s">
        <v>2263</v>
      </c>
      <c r="C1217" s="3" t="s">
        <v>3052</v>
      </c>
      <c r="D1217" s="5" t="s">
        <v>4311</v>
      </c>
      <c r="E1217" s="6">
        <f>IFERROR(VLOOKUP($D1217,[1]Balanza!$A$3:$K$852,6,0)-VLOOKUP(D1217,[1]Balanza!$A$3:$K$852,7,0),0)</f>
        <v>0</v>
      </c>
      <c r="F1217" s="6">
        <f>IFERROR(VLOOKUP($D1217,[1]Balanza!$A$3:$K$852,10,0)-VLOOKUP($D1217,[1]Balanza!$A$3:$K$852,11,0),0)</f>
        <v>0</v>
      </c>
    </row>
    <row r="1218" spans="1:6" x14ac:dyDescent="0.3">
      <c r="A1218" s="4" t="s">
        <v>2264</v>
      </c>
      <c r="B1218" s="2" t="s">
        <v>2265</v>
      </c>
      <c r="C1218" s="3" t="s">
        <v>3052</v>
      </c>
      <c r="D1218" s="5" t="s">
        <v>4312</v>
      </c>
      <c r="E1218" s="6">
        <f>IFERROR(VLOOKUP($D1218,[1]Balanza!$A$3:$K$852,6,0)-VLOOKUP(D1218,[1]Balanza!$A$3:$K$852,7,0),0)</f>
        <v>0</v>
      </c>
      <c r="F1218" s="6">
        <f>IFERROR(VLOOKUP($D1218,[1]Balanza!$A$3:$K$852,10,0)-VLOOKUP($D1218,[1]Balanza!$A$3:$K$852,11,0),0)</f>
        <v>0</v>
      </c>
    </row>
    <row r="1219" spans="1:6" x14ac:dyDescent="0.3">
      <c r="A1219" s="4" t="s">
        <v>2266</v>
      </c>
      <c r="B1219" s="2" t="s">
        <v>2267</v>
      </c>
      <c r="C1219" s="3" t="s">
        <v>3052</v>
      </c>
      <c r="D1219" s="5" t="s">
        <v>4313</v>
      </c>
      <c r="E1219" s="6">
        <f>IFERROR(VLOOKUP($D1219,[1]Balanza!$A$3:$K$852,6,0)-VLOOKUP(D1219,[1]Balanza!$A$3:$K$852,7,0),0)</f>
        <v>0</v>
      </c>
      <c r="F1219" s="6">
        <f>IFERROR(VLOOKUP($D1219,[1]Balanza!$A$3:$K$852,10,0)-VLOOKUP($D1219,[1]Balanza!$A$3:$K$852,11,0),0)</f>
        <v>0</v>
      </c>
    </row>
    <row r="1220" spans="1:6" x14ac:dyDescent="0.3">
      <c r="A1220" s="4" t="s">
        <v>2268</v>
      </c>
      <c r="B1220" s="2" t="s">
        <v>2269</v>
      </c>
      <c r="C1220" s="3" t="s">
        <v>3052</v>
      </c>
      <c r="D1220" s="5" t="s">
        <v>4314</v>
      </c>
      <c r="E1220" s="6">
        <f>IFERROR(VLOOKUP($D1220,[1]Balanza!$A$3:$K$852,6,0)-VLOOKUP(D1220,[1]Balanza!$A$3:$K$852,7,0),0)</f>
        <v>0</v>
      </c>
      <c r="F1220" s="6">
        <f>IFERROR(VLOOKUP($D1220,[1]Balanza!$A$3:$K$852,10,0)-VLOOKUP($D1220,[1]Balanza!$A$3:$K$852,11,0),0)</f>
        <v>0</v>
      </c>
    </row>
    <row r="1221" spans="1:6" x14ac:dyDescent="0.3">
      <c r="A1221" s="4" t="s">
        <v>2270</v>
      </c>
      <c r="B1221" s="2" t="s">
        <v>2271</v>
      </c>
      <c r="C1221" s="3" t="s">
        <v>3052</v>
      </c>
      <c r="D1221" s="5" t="s">
        <v>4315</v>
      </c>
      <c r="E1221" s="6">
        <f>IFERROR(VLOOKUP($D1221,[1]Balanza!$A$3:$K$852,6,0)-VLOOKUP(D1221,[1]Balanza!$A$3:$K$852,7,0),0)</f>
        <v>0</v>
      </c>
      <c r="F1221" s="6">
        <f>IFERROR(VLOOKUP($D1221,[1]Balanza!$A$3:$K$852,10,0)-VLOOKUP($D1221,[1]Balanza!$A$3:$K$852,11,0),0)</f>
        <v>0</v>
      </c>
    </row>
    <row r="1222" spans="1:6" x14ac:dyDescent="0.3">
      <c r="A1222" s="4" t="s">
        <v>2272</v>
      </c>
      <c r="B1222" s="2" t="s">
        <v>2273</v>
      </c>
      <c r="C1222" s="3" t="s">
        <v>3052</v>
      </c>
      <c r="D1222" s="5" t="s">
        <v>4316</v>
      </c>
      <c r="E1222" s="6">
        <f>IFERROR(VLOOKUP($D1222,[1]Balanza!$A$3:$K$852,6,0)-VLOOKUP(D1222,[1]Balanza!$A$3:$K$852,7,0),0)</f>
        <v>0</v>
      </c>
      <c r="F1222" s="6">
        <f>IFERROR(VLOOKUP($D1222,[1]Balanza!$A$3:$K$852,10,0)-VLOOKUP($D1222,[1]Balanza!$A$3:$K$852,11,0),0)</f>
        <v>0</v>
      </c>
    </row>
    <row r="1223" spans="1:6" x14ac:dyDescent="0.3">
      <c r="A1223" s="4" t="s">
        <v>2274</v>
      </c>
      <c r="B1223" s="2" t="s">
        <v>2275</v>
      </c>
      <c r="C1223" s="3" t="s">
        <v>3052</v>
      </c>
      <c r="D1223" s="5" t="s">
        <v>4317</v>
      </c>
      <c r="E1223" s="6">
        <f>IFERROR(VLOOKUP($D1223,[1]Balanza!$A$3:$K$852,6,0)-VLOOKUP(D1223,[1]Balanza!$A$3:$K$852,7,0),0)</f>
        <v>0</v>
      </c>
      <c r="F1223" s="6">
        <f>IFERROR(VLOOKUP($D1223,[1]Balanza!$A$3:$K$852,10,0)-VLOOKUP($D1223,[1]Balanza!$A$3:$K$852,11,0),0)</f>
        <v>0</v>
      </c>
    </row>
    <row r="1224" spans="1:6" x14ac:dyDescent="0.3">
      <c r="A1224" s="4" t="s">
        <v>2276</v>
      </c>
      <c r="B1224" s="2" t="s">
        <v>2277</v>
      </c>
      <c r="C1224" s="3" t="s">
        <v>3052</v>
      </c>
      <c r="D1224" s="5" t="s">
        <v>4318</v>
      </c>
      <c r="E1224" s="6">
        <f>IFERROR(VLOOKUP($D1224,[1]Balanza!$A$3:$K$852,6,0)-VLOOKUP(D1224,[1]Balanza!$A$3:$K$852,7,0),0)</f>
        <v>0</v>
      </c>
      <c r="F1224" s="6">
        <f>IFERROR(VLOOKUP($D1224,[1]Balanza!$A$3:$K$852,10,0)-VLOOKUP($D1224,[1]Balanza!$A$3:$K$852,11,0),0)</f>
        <v>0</v>
      </c>
    </row>
    <row r="1225" spans="1:6" x14ac:dyDescent="0.3">
      <c r="A1225" s="4" t="s">
        <v>2278</v>
      </c>
      <c r="B1225" s="2" t="s">
        <v>2279</v>
      </c>
      <c r="C1225" s="3" t="s">
        <v>3052</v>
      </c>
      <c r="D1225" s="5" t="s">
        <v>4319</v>
      </c>
      <c r="E1225" s="6">
        <f>IFERROR(VLOOKUP($D1225,[1]Balanza!$A$3:$K$852,6,0)-VLOOKUP(D1225,[1]Balanza!$A$3:$K$852,7,0),0)</f>
        <v>0</v>
      </c>
      <c r="F1225" s="6">
        <f>IFERROR(VLOOKUP($D1225,[1]Balanza!$A$3:$K$852,10,0)-VLOOKUP($D1225,[1]Balanza!$A$3:$K$852,11,0),0)</f>
        <v>0</v>
      </c>
    </row>
    <row r="1226" spans="1:6" x14ac:dyDescent="0.3">
      <c r="A1226" s="4" t="s">
        <v>2280</v>
      </c>
      <c r="B1226" s="2" t="s">
        <v>2281</v>
      </c>
      <c r="C1226" s="3" t="s">
        <v>3052</v>
      </c>
      <c r="D1226" s="5" t="s">
        <v>4320</v>
      </c>
      <c r="E1226" s="6">
        <f>IFERROR(VLOOKUP($D1226,[1]Balanza!$A$3:$K$852,6,0)-VLOOKUP(D1226,[1]Balanza!$A$3:$K$852,7,0),0)</f>
        <v>0</v>
      </c>
      <c r="F1226" s="6">
        <f>IFERROR(VLOOKUP($D1226,[1]Balanza!$A$3:$K$852,10,0)-VLOOKUP($D1226,[1]Balanza!$A$3:$K$852,11,0),0)</f>
        <v>0</v>
      </c>
    </row>
    <row r="1227" spans="1:6" x14ac:dyDescent="0.3">
      <c r="A1227" s="4" t="s">
        <v>2282</v>
      </c>
      <c r="B1227" s="2" t="s">
        <v>2283</v>
      </c>
      <c r="C1227" s="3" t="s">
        <v>3052</v>
      </c>
      <c r="D1227" s="5" t="s">
        <v>4321</v>
      </c>
      <c r="E1227" s="6">
        <f>IFERROR(VLOOKUP($D1227,[1]Balanza!$A$3:$K$852,6,0)-VLOOKUP(D1227,[1]Balanza!$A$3:$K$852,7,0),0)</f>
        <v>0</v>
      </c>
      <c r="F1227" s="6">
        <f>IFERROR(VLOOKUP($D1227,[1]Balanza!$A$3:$K$852,10,0)-VLOOKUP($D1227,[1]Balanza!$A$3:$K$852,11,0),0)</f>
        <v>0</v>
      </c>
    </row>
    <row r="1228" spans="1:6" x14ac:dyDescent="0.3">
      <c r="A1228" s="4" t="s">
        <v>2284</v>
      </c>
      <c r="B1228" s="2" t="s">
        <v>2285</v>
      </c>
      <c r="C1228" s="3" t="s">
        <v>3052</v>
      </c>
      <c r="D1228" s="5" t="s">
        <v>4322</v>
      </c>
      <c r="E1228" s="6">
        <f>IFERROR(VLOOKUP($D1228,[1]Balanza!$A$3:$K$852,6,0)-VLOOKUP(D1228,[1]Balanza!$A$3:$K$852,7,0),0)</f>
        <v>0</v>
      </c>
      <c r="F1228" s="6">
        <f>IFERROR(VLOOKUP($D1228,[1]Balanza!$A$3:$K$852,10,0)-VLOOKUP($D1228,[1]Balanza!$A$3:$K$852,11,0),0)</f>
        <v>0</v>
      </c>
    </row>
    <row r="1229" spans="1:6" x14ac:dyDescent="0.3">
      <c r="A1229" s="4" t="s">
        <v>2286</v>
      </c>
      <c r="B1229" s="2" t="s">
        <v>2287</v>
      </c>
      <c r="C1229" s="3" t="s">
        <v>3052</v>
      </c>
      <c r="D1229" s="5" t="s">
        <v>4323</v>
      </c>
      <c r="E1229" s="6">
        <f>IFERROR(VLOOKUP($D1229,[1]Balanza!$A$3:$K$852,6,0)-VLOOKUP(D1229,[1]Balanza!$A$3:$K$852,7,0),0)</f>
        <v>0</v>
      </c>
      <c r="F1229" s="6">
        <f>IFERROR(VLOOKUP($D1229,[1]Balanza!$A$3:$K$852,10,0)-VLOOKUP($D1229,[1]Balanza!$A$3:$K$852,11,0),0)</f>
        <v>0</v>
      </c>
    </row>
    <row r="1230" spans="1:6" x14ac:dyDescent="0.3">
      <c r="A1230" s="4" t="s">
        <v>2288</v>
      </c>
      <c r="B1230" s="2" t="s">
        <v>2289</v>
      </c>
      <c r="C1230" s="3" t="s">
        <v>3052</v>
      </c>
      <c r="D1230" s="5" t="s">
        <v>4324</v>
      </c>
      <c r="E1230" s="6">
        <f>IFERROR(VLOOKUP($D1230,[1]Balanza!$A$3:$K$852,6,0)-VLOOKUP(D1230,[1]Balanza!$A$3:$K$852,7,0),0)</f>
        <v>0</v>
      </c>
      <c r="F1230" s="6">
        <f>IFERROR(VLOOKUP($D1230,[1]Balanza!$A$3:$K$852,10,0)-VLOOKUP($D1230,[1]Balanza!$A$3:$K$852,11,0),0)</f>
        <v>0</v>
      </c>
    </row>
    <row r="1231" spans="1:6" x14ac:dyDescent="0.3">
      <c r="A1231" s="4" t="s">
        <v>2290</v>
      </c>
      <c r="B1231" s="2" t="s">
        <v>1833</v>
      </c>
      <c r="C1231" s="3" t="s">
        <v>3052</v>
      </c>
      <c r="D1231" s="5" t="s">
        <v>4325</v>
      </c>
      <c r="E1231" s="6">
        <f>IFERROR(VLOOKUP($D1231,[1]Balanza!$A$3:$K$852,6,0)-VLOOKUP(D1231,[1]Balanza!$A$3:$K$852,7,0),0)</f>
        <v>8310.4599999999991</v>
      </c>
      <c r="F1231" s="6">
        <f>IFERROR(VLOOKUP($D1231,[1]Balanza!$A$3:$K$852,10,0)-VLOOKUP($D1231,[1]Balanza!$A$3:$K$852,11,0),0)</f>
        <v>0</v>
      </c>
    </row>
    <row r="1232" spans="1:6" x14ac:dyDescent="0.3">
      <c r="A1232" s="4" t="s">
        <v>2291</v>
      </c>
      <c r="B1232" s="2" t="s">
        <v>1835</v>
      </c>
      <c r="C1232" s="3" t="s">
        <v>3052</v>
      </c>
      <c r="D1232" s="5" t="s">
        <v>4326</v>
      </c>
      <c r="E1232" s="6">
        <f>IFERROR(VLOOKUP($D1232,[1]Balanza!$A$3:$K$852,6,0)-VLOOKUP(D1232,[1]Balanza!$A$3:$K$852,7,0),0)</f>
        <v>8463.6200000000008</v>
      </c>
      <c r="F1232" s="6">
        <f>IFERROR(VLOOKUP($D1232,[1]Balanza!$A$3:$K$852,10,0)-VLOOKUP($D1232,[1]Balanza!$A$3:$K$852,11,0),0)</f>
        <v>0</v>
      </c>
    </row>
    <row r="1233" spans="1:6" x14ac:dyDescent="0.3">
      <c r="A1233" s="4" t="s">
        <v>2292</v>
      </c>
      <c r="B1233" s="2" t="s">
        <v>1837</v>
      </c>
      <c r="C1233" s="3" t="s">
        <v>3052</v>
      </c>
      <c r="D1233" s="5" t="s">
        <v>4327</v>
      </c>
      <c r="E1233" s="6">
        <f>IFERROR(VLOOKUP($D1233,[1]Balanza!$A$3:$K$852,6,0)-VLOOKUP(D1233,[1]Balanza!$A$3:$K$852,7,0),0)</f>
        <v>12527.78</v>
      </c>
      <c r="F1233" s="6">
        <f>IFERROR(VLOOKUP($D1233,[1]Balanza!$A$3:$K$852,10,0)-VLOOKUP($D1233,[1]Balanza!$A$3:$K$852,11,0),0)</f>
        <v>0</v>
      </c>
    </row>
    <row r="1234" spans="1:6" x14ac:dyDescent="0.3">
      <c r="A1234" s="4" t="s">
        <v>2293</v>
      </c>
      <c r="B1234" s="2" t="s">
        <v>1839</v>
      </c>
      <c r="C1234" s="3" t="s">
        <v>3052</v>
      </c>
      <c r="D1234" s="5" t="s">
        <v>4328</v>
      </c>
      <c r="E1234" s="6">
        <f>IFERROR(VLOOKUP($D1234,[1]Balanza!$A$3:$K$852,6,0)-VLOOKUP(D1234,[1]Balanza!$A$3:$K$852,7,0),0)</f>
        <v>3083.53</v>
      </c>
      <c r="F1234" s="6">
        <f>IFERROR(VLOOKUP($D1234,[1]Balanza!$A$3:$K$852,10,0)-VLOOKUP($D1234,[1]Balanza!$A$3:$K$852,11,0),0)</f>
        <v>0</v>
      </c>
    </row>
    <row r="1235" spans="1:6" x14ac:dyDescent="0.3">
      <c r="A1235" s="4" t="s">
        <v>2294</v>
      </c>
      <c r="B1235" s="2" t="s">
        <v>1841</v>
      </c>
      <c r="C1235" s="3" t="s">
        <v>3052</v>
      </c>
      <c r="D1235" s="5" t="s">
        <v>4329</v>
      </c>
      <c r="E1235" s="6">
        <f>IFERROR(VLOOKUP($D1235,[1]Balanza!$A$3:$K$852,6,0)-VLOOKUP(D1235,[1]Balanza!$A$3:$K$852,7,0),0)</f>
        <v>0</v>
      </c>
      <c r="F1235" s="6">
        <f>IFERROR(VLOOKUP($D1235,[1]Balanza!$A$3:$K$852,10,0)-VLOOKUP($D1235,[1]Balanza!$A$3:$K$852,11,0),0)</f>
        <v>0</v>
      </c>
    </row>
    <row r="1236" spans="1:6" x14ac:dyDescent="0.3">
      <c r="A1236" s="4" t="s">
        <v>2295</v>
      </c>
      <c r="B1236" s="2" t="s">
        <v>2296</v>
      </c>
      <c r="C1236" s="3" t="s">
        <v>3052</v>
      </c>
      <c r="D1236" s="5" t="s">
        <v>4330</v>
      </c>
      <c r="E1236" s="6">
        <f>IFERROR(VLOOKUP($D1236,[1]Balanza!$A$3:$K$852,6,0)-VLOOKUP(D1236,[1]Balanza!$A$3:$K$852,7,0),0)</f>
        <v>0</v>
      </c>
      <c r="F1236" s="6">
        <f>IFERROR(VLOOKUP($D1236,[1]Balanza!$A$3:$K$852,10,0)-VLOOKUP($D1236,[1]Balanza!$A$3:$K$852,11,0),0)</f>
        <v>0</v>
      </c>
    </row>
    <row r="1237" spans="1:6" x14ac:dyDescent="0.3">
      <c r="A1237" s="4" t="s">
        <v>2297</v>
      </c>
      <c r="B1237" s="2" t="s">
        <v>2298</v>
      </c>
      <c r="C1237" s="3" t="s">
        <v>3056</v>
      </c>
      <c r="D1237" s="5" t="s">
        <v>4331</v>
      </c>
      <c r="E1237" s="6">
        <f>IFERROR(VLOOKUP($D1237,[1]Balanza!$A$3:$K$852,6,0)-VLOOKUP(D1237,[1]Balanza!$A$3:$K$852,7,0),0)</f>
        <v>0</v>
      </c>
      <c r="F1237" s="6">
        <f>IFERROR(VLOOKUP($D1237,[1]Balanza!$A$3:$K$852,10,0)-VLOOKUP($D1237,[1]Balanza!$A$3:$K$852,11,0),0)</f>
        <v>0</v>
      </c>
    </row>
    <row r="1238" spans="1:6" x14ac:dyDescent="0.3">
      <c r="A1238" s="4" t="s">
        <v>2299</v>
      </c>
      <c r="B1238" s="2" t="s">
        <v>2300</v>
      </c>
      <c r="C1238" s="3" t="s">
        <v>3038</v>
      </c>
      <c r="D1238" s="5" t="s">
        <v>4332</v>
      </c>
      <c r="E1238" s="6">
        <f>IFERROR(VLOOKUP($D1238,[1]Balanza!$A$3:$K$852,6,0)-VLOOKUP(D1238,[1]Balanza!$A$3:$K$852,7,0),0)</f>
        <v>0</v>
      </c>
      <c r="F1238" s="6">
        <f>IFERROR(VLOOKUP($D1238,[1]Balanza!$A$3:$K$852,10,0)-VLOOKUP($D1238,[1]Balanza!$A$3:$K$852,11,0),0)</f>
        <v>0</v>
      </c>
    </row>
    <row r="1239" spans="1:6" x14ac:dyDescent="0.3">
      <c r="A1239" s="4" t="s">
        <v>2301</v>
      </c>
      <c r="B1239" s="2" t="s">
        <v>2302</v>
      </c>
      <c r="C1239" s="3" t="s">
        <v>3053</v>
      </c>
      <c r="D1239" s="5" t="s">
        <v>4333</v>
      </c>
      <c r="E1239" s="6">
        <f>IFERROR(VLOOKUP($D1239,[1]Balanza!$A$3:$K$852,6,0)-VLOOKUP(D1239,[1]Balanza!$A$3:$K$852,7,0),0)</f>
        <v>32239.51</v>
      </c>
      <c r="F1239" s="6">
        <f>IFERROR(VLOOKUP($D1239,[1]Balanza!$A$3:$K$852,10,0)-VLOOKUP($D1239,[1]Balanza!$A$3:$K$852,11,0),0)</f>
        <v>0</v>
      </c>
    </row>
    <row r="1240" spans="1:6" x14ac:dyDescent="0.3">
      <c r="A1240" s="4" t="s">
        <v>2303</v>
      </c>
      <c r="B1240" s="2" t="s">
        <v>2304</v>
      </c>
      <c r="C1240" s="3" t="s">
        <v>3053</v>
      </c>
      <c r="D1240" s="5" t="s">
        <v>4334</v>
      </c>
      <c r="E1240" s="6">
        <f>IFERROR(VLOOKUP($D1240,[1]Balanza!$A$3:$K$852,6,0)-VLOOKUP(D1240,[1]Balanza!$A$3:$K$852,7,0),0)</f>
        <v>0</v>
      </c>
      <c r="F1240" s="6">
        <f>IFERROR(VLOOKUP($D1240,[1]Balanza!$A$3:$K$852,10,0)-VLOOKUP($D1240,[1]Balanza!$A$3:$K$852,11,0),0)</f>
        <v>0</v>
      </c>
    </row>
    <row r="1241" spans="1:6" x14ac:dyDescent="0.3">
      <c r="A1241" s="4" t="s">
        <v>2305</v>
      </c>
      <c r="B1241" s="2" t="s">
        <v>2306</v>
      </c>
      <c r="C1241" s="3" t="s">
        <v>3053</v>
      </c>
      <c r="D1241" s="5" t="s">
        <v>4335</v>
      </c>
      <c r="E1241" s="6">
        <f>IFERROR(VLOOKUP($D1241,[1]Balanza!$A$3:$K$852,6,0)-VLOOKUP(D1241,[1]Balanza!$A$3:$K$852,7,0),0)</f>
        <v>0</v>
      </c>
      <c r="F1241" s="6">
        <f>IFERROR(VLOOKUP($D1241,[1]Balanza!$A$3:$K$852,10,0)-VLOOKUP($D1241,[1]Balanza!$A$3:$K$852,11,0),0)</f>
        <v>0</v>
      </c>
    </row>
    <row r="1242" spans="1:6" x14ac:dyDescent="0.3">
      <c r="A1242" s="4" t="s">
        <v>2307</v>
      </c>
      <c r="B1242" s="2" t="s">
        <v>2308</v>
      </c>
      <c r="C1242" s="3" t="s">
        <v>3053</v>
      </c>
      <c r="D1242" s="5" t="s">
        <v>4336</v>
      </c>
      <c r="E1242" s="6">
        <f>IFERROR(VLOOKUP($D1242,[1]Balanza!$A$3:$K$852,6,0)-VLOOKUP(D1242,[1]Balanza!$A$3:$K$852,7,0),0)</f>
        <v>0</v>
      </c>
      <c r="F1242" s="6">
        <f>IFERROR(VLOOKUP($D1242,[1]Balanza!$A$3:$K$852,10,0)-VLOOKUP($D1242,[1]Balanza!$A$3:$K$852,11,0),0)</f>
        <v>0</v>
      </c>
    </row>
    <row r="1243" spans="1:6" x14ac:dyDescent="0.3">
      <c r="A1243" s="4" t="s">
        <v>2309</v>
      </c>
      <c r="B1243" s="2" t="s">
        <v>2310</v>
      </c>
      <c r="C1243" s="3" t="s">
        <v>3053</v>
      </c>
      <c r="D1243" s="5" t="s">
        <v>4337</v>
      </c>
      <c r="E1243" s="6">
        <f>IFERROR(VLOOKUP($D1243,[1]Balanza!$A$3:$K$852,6,0)-VLOOKUP(D1243,[1]Balanza!$A$3:$K$852,7,0),0)</f>
        <v>104462.39999999999</v>
      </c>
      <c r="F1243" s="6">
        <f>IFERROR(VLOOKUP($D1243,[1]Balanza!$A$3:$K$852,10,0)-VLOOKUP($D1243,[1]Balanza!$A$3:$K$852,11,0),0)</f>
        <v>409.35</v>
      </c>
    </row>
    <row r="1244" spans="1:6" x14ac:dyDescent="0.3">
      <c r="A1244" s="4" t="s">
        <v>2311</v>
      </c>
      <c r="B1244" s="2" t="s">
        <v>2312</v>
      </c>
      <c r="C1244" s="3" t="s">
        <v>3053</v>
      </c>
      <c r="D1244" s="5" t="s">
        <v>4338</v>
      </c>
      <c r="E1244" s="6">
        <f>IFERROR(VLOOKUP($D1244,[1]Balanza!$A$3:$K$852,6,0)-VLOOKUP(D1244,[1]Balanza!$A$3:$K$852,7,0),0)</f>
        <v>0</v>
      </c>
      <c r="F1244" s="6">
        <f>IFERROR(VLOOKUP($D1244,[1]Balanza!$A$3:$K$852,10,0)-VLOOKUP($D1244,[1]Balanza!$A$3:$K$852,11,0),0)</f>
        <v>0</v>
      </c>
    </row>
    <row r="1245" spans="1:6" x14ac:dyDescent="0.3">
      <c r="A1245" s="4" t="s">
        <v>2313</v>
      </c>
      <c r="B1245" s="2" t="s">
        <v>2314</v>
      </c>
      <c r="C1245" s="3" t="s">
        <v>3053</v>
      </c>
      <c r="D1245" s="5" t="s">
        <v>4339</v>
      </c>
      <c r="E1245" s="6">
        <f>IFERROR(VLOOKUP($D1245,[1]Balanza!$A$3:$K$852,6,0)-VLOOKUP(D1245,[1]Balanza!$A$3:$K$852,7,0),0)</f>
        <v>0</v>
      </c>
      <c r="F1245" s="6">
        <f>IFERROR(VLOOKUP($D1245,[1]Balanza!$A$3:$K$852,10,0)-VLOOKUP($D1245,[1]Balanza!$A$3:$K$852,11,0),0)</f>
        <v>0</v>
      </c>
    </row>
    <row r="1246" spans="1:6" x14ac:dyDescent="0.3">
      <c r="A1246" s="4" t="s">
        <v>2315</v>
      </c>
      <c r="B1246" s="2" t="s">
        <v>2316</v>
      </c>
      <c r="C1246" s="3" t="s">
        <v>3053</v>
      </c>
      <c r="D1246" s="5" t="s">
        <v>4340</v>
      </c>
      <c r="E1246" s="6">
        <f>IFERROR(VLOOKUP($D1246,[1]Balanza!$A$3:$K$852,6,0)-VLOOKUP(D1246,[1]Balanza!$A$3:$K$852,7,0),0)</f>
        <v>0</v>
      </c>
      <c r="F1246" s="6">
        <f>IFERROR(VLOOKUP($D1246,[1]Balanza!$A$3:$K$852,10,0)-VLOOKUP($D1246,[1]Balanza!$A$3:$K$852,11,0),0)</f>
        <v>0</v>
      </c>
    </row>
    <row r="1247" spans="1:6" x14ac:dyDescent="0.3">
      <c r="A1247" s="4" t="s">
        <v>2317</v>
      </c>
      <c r="B1247" s="2" t="s">
        <v>2318</v>
      </c>
      <c r="C1247" s="3" t="s">
        <v>3053</v>
      </c>
      <c r="D1247" s="5" t="s">
        <v>4341</v>
      </c>
      <c r="E1247" s="6">
        <f>IFERROR(VLOOKUP($D1247,[1]Balanza!$A$3:$K$852,6,0)-VLOOKUP(D1247,[1]Balanza!$A$3:$K$852,7,0),0)</f>
        <v>0</v>
      </c>
      <c r="F1247" s="6">
        <f>IFERROR(VLOOKUP($D1247,[1]Balanza!$A$3:$K$852,10,0)-VLOOKUP($D1247,[1]Balanza!$A$3:$K$852,11,0),0)</f>
        <v>0</v>
      </c>
    </row>
    <row r="1248" spans="1:6" x14ac:dyDescent="0.3">
      <c r="A1248" s="4" t="s">
        <v>2319</v>
      </c>
      <c r="B1248" s="2" t="s">
        <v>2320</v>
      </c>
      <c r="C1248" s="3" t="s">
        <v>3053</v>
      </c>
      <c r="D1248" s="5" t="s">
        <v>4342</v>
      </c>
      <c r="E1248" s="6">
        <f>IFERROR(VLOOKUP($D1248,[1]Balanza!$A$3:$K$852,6,0)-VLOOKUP(D1248,[1]Balanza!$A$3:$K$852,7,0),0)</f>
        <v>0</v>
      </c>
      <c r="F1248" s="6">
        <f>IFERROR(VLOOKUP($D1248,[1]Balanza!$A$3:$K$852,10,0)-VLOOKUP($D1248,[1]Balanza!$A$3:$K$852,11,0),0)</f>
        <v>0</v>
      </c>
    </row>
    <row r="1249" spans="1:6" x14ac:dyDescent="0.3">
      <c r="A1249" s="4" t="s">
        <v>2321</v>
      </c>
      <c r="B1249" s="2" t="s">
        <v>2322</v>
      </c>
      <c r="C1249" s="3" t="s">
        <v>3053</v>
      </c>
      <c r="D1249" s="5" t="s">
        <v>4343</v>
      </c>
      <c r="E1249" s="6">
        <f>IFERROR(VLOOKUP($D1249,[1]Balanza!$A$3:$K$852,6,0)-VLOOKUP(D1249,[1]Balanza!$A$3:$K$852,7,0),0)</f>
        <v>0</v>
      </c>
      <c r="F1249" s="6">
        <f>IFERROR(VLOOKUP($D1249,[1]Balanza!$A$3:$K$852,10,0)-VLOOKUP($D1249,[1]Balanza!$A$3:$K$852,11,0),0)</f>
        <v>0</v>
      </c>
    </row>
    <row r="1250" spans="1:6" x14ac:dyDescent="0.3">
      <c r="A1250" s="4" t="s">
        <v>2323</v>
      </c>
      <c r="B1250" s="2" t="s">
        <v>2324</v>
      </c>
      <c r="C1250" s="3" t="s">
        <v>3029</v>
      </c>
      <c r="D1250" s="5" t="s">
        <v>4344</v>
      </c>
      <c r="E1250" s="6">
        <f>IFERROR(VLOOKUP($D1250,[1]Balanza!$A$3:$K$852,6,0)-VLOOKUP(D1250,[1]Balanza!$A$3:$K$852,7,0),0)</f>
        <v>0</v>
      </c>
      <c r="F1250" s="6">
        <f>IFERROR(VLOOKUP($D1250,[1]Balanza!$A$3:$K$852,10,0)-VLOOKUP($D1250,[1]Balanza!$A$3:$K$852,11,0),0)</f>
        <v>0</v>
      </c>
    </row>
    <row r="1251" spans="1:6" x14ac:dyDescent="0.3">
      <c r="A1251" s="4" t="s">
        <v>2325</v>
      </c>
      <c r="B1251" s="2" t="s">
        <v>2326</v>
      </c>
      <c r="C1251" s="3" t="s">
        <v>3056</v>
      </c>
      <c r="D1251" s="5" t="s">
        <v>4345</v>
      </c>
      <c r="E1251" s="6">
        <f>IFERROR(VLOOKUP($D1251,[1]Balanza!$A$3:$K$852,6,0)-VLOOKUP(D1251,[1]Balanza!$A$3:$K$852,7,0),0)</f>
        <v>0</v>
      </c>
      <c r="F1251" s="6">
        <f>IFERROR(VLOOKUP($D1251,[1]Balanza!$A$3:$K$852,10,0)-VLOOKUP($D1251,[1]Balanza!$A$3:$K$852,11,0),0)</f>
        <v>0</v>
      </c>
    </row>
    <row r="1252" spans="1:6" x14ac:dyDescent="0.3">
      <c r="A1252" s="4" t="s">
        <v>2327</v>
      </c>
      <c r="B1252" s="2" t="s">
        <v>2328</v>
      </c>
      <c r="C1252" s="3" t="s">
        <v>3074</v>
      </c>
      <c r="D1252" s="5" t="s">
        <v>4346</v>
      </c>
      <c r="E1252" s="6">
        <f>IFERROR(VLOOKUP($D1252,[1]Balanza!$A$3:$K$852,6,0)-VLOOKUP(D1252,[1]Balanza!$A$3:$K$852,7,0),0)</f>
        <v>0</v>
      </c>
      <c r="F1252" s="6">
        <f>IFERROR(VLOOKUP($D1252,[1]Balanza!$A$3:$K$852,10,0)-VLOOKUP($D1252,[1]Balanza!$A$3:$K$852,11,0),0)</f>
        <v>0</v>
      </c>
    </row>
    <row r="1253" spans="1:6" x14ac:dyDescent="0.3">
      <c r="A1253" s="4" t="s">
        <v>2329</v>
      </c>
      <c r="B1253" s="2" t="s">
        <v>2330</v>
      </c>
      <c r="C1253" s="3" t="s">
        <v>3038</v>
      </c>
      <c r="D1253" s="5" t="s">
        <v>4347</v>
      </c>
      <c r="E1253" s="6">
        <f>IFERROR(VLOOKUP($D1253,[1]Balanza!$A$3:$K$852,6,0)-VLOOKUP(D1253,[1]Balanza!$A$3:$K$852,7,0),0)</f>
        <v>0</v>
      </c>
      <c r="F1253" s="6">
        <f>IFERROR(VLOOKUP($D1253,[1]Balanza!$A$3:$K$852,10,0)-VLOOKUP($D1253,[1]Balanza!$A$3:$K$852,11,0),0)</f>
        <v>0</v>
      </c>
    </row>
    <row r="1254" spans="1:6" x14ac:dyDescent="0.3">
      <c r="A1254" s="4" t="s">
        <v>2331</v>
      </c>
      <c r="B1254" s="2" t="s">
        <v>2332</v>
      </c>
      <c r="C1254" s="3" t="s">
        <v>3038</v>
      </c>
      <c r="D1254" s="5" t="s">
        <v>4348</v>
      </c>
      <c r="E1254" s="6">
        <f>IFERROR(VLOOKUP($D1254,[1]Balanza!$A$3:$K$852,6,0)-VLOOKUP(D1254,[1]Balanza!$A$3:$K$852,7,0),0)</f>
        <v>0</v>
      </c>
      <c r="F1254" s="6">
        <f>IFERROR(VLOOKUP($D1254,[1]Balanza!$A$3:$K$852,10,0)-VLOOKUP($D1254,[1]Balanza!$A$3:$K$852,11,0),0)</f>
        <v>0</v>
      </c>
    </row>
    <row r="1255" spans="1:6" x14ac:dyDescent="0.3">
      <c r="A1255" s="4" t="s">
        <v>2333</v>
      </c>
      <c r="B1255" s="2" t="s">
        <v>2334</v>
      </c>
      <c r="C1255" s="3" t="s">
        <v>3054</v>
      </c>
      <c r="D1255" s="5" t="s">
        <v>4349</v>
      </c>
      <c r="E1255" s="6">
        <f>IFERROR(VLOOKUP($D1255,[1]Balanza!$A$3:$K$852,6,0)-VLOOKUP(D1255,[1]Balanza!$A$3:$K$852,7,0),0)</f>
        <v>0</v>
      </c>
      <c r="F1255" s="6">
        <f>IFERROR(VLOOKUP($D1255,[1]Balanza!$A$3:$K$852,10,0)-VLOOKUP($D1255,[1]Balanza!$A$3:$K$852,11,0),0)</f>
        <v>0</v>
      </c>
    </row>
    <row r="1256" spans="1:6" x14ac:dyDescent="0.3">
      <c r="A1256" s="4" t="s">
        <v>2335</v>
      </c>
      <c r="B1256" s="2" t="s">
        <v>2336</v>
      </c>
      <c r="C1256" s="3" t="s">
        <v>3055</v>
      </c>
      <c r="D1256" s="5" t="s">
        <v>4350</v>
      </c>
      <c r="E1256" s="6">
        <f>IFERROR(VLOOKUP($D1256,[1]Balanza!$A$3:$K$852,6,0)-VLOOKUP(D1256,[1]Balanza!$A$3:$K$852,7,0),0)</f>
        <v>431.03</v>
      </c>
      <c r="F1256" s="6">
        <f>IFERROR(VLOOKUP($D1256,[1]Balanza!$A$3:$K$852,10,0)-VLOOKUP($D1256,[1]Balanza!$A$3:$K$852,11,0),0)</f>
        <v>0</v>
      </c>
    </row>
    <row r="1257" spans="1:6" x14ac:dyDescent="0.3">
      <c r="A1257" s="4" t="s">
        <v>2337</v>
      </c>
      <c r="B1257" s="2" t="s">
        <v>2338</v>
      </c>
      <c r="C1257" s="3" t="s">
        <v>3056</v>
      </c>
      <c r="D1257" s="5" t="s">
        <v>4351</v>
      </c>
      <c r="E1257" s="6">
        <f>IFERROR(VLOOKUP($D1257,[1]Balanza!$A$3:$K$852,6,0)-VLOOKUP(D1257,[1]Balanza!$A$3:$K$852,7,0),0)</f>
        <v>5428.15</v>
      </c>
      <c r="F1257" s="6">
        <f>IFERROR(VLOOKUP($D1257,[1]Balanza!$A$3:$K$852,10,0)-VLOOKUP($D1257,[1]Balanza!$A$3:$K$852,11,0),0)</f>
        <v>36105.120000000003</v>
      </c>
    </row>
    <row r="1258" spans="1:6" x14ac:dyDescent="0.3">
      <c r="A1258" s="4" t="s">
        <v>2339</v>
      </c>
      <c r="B1258" s="2" t="s">
        <v>2340</v>
      </c>
      <c r="C1258" s="3" t="s">
        <v>3056</v>
      </c>
      <c r="D1258" s="5" t="s">
        <v>4352</v>
      </c>
      <c r="E1258" s="6">
        <f>IFERROR(VLOOKUP($D1258,[1]Balanza!$A$3:$K$852,6,0)-VLOOKUP(D1258,[1]Balanza!$A$3:$K$852,7,0),0)</f>
        <v>3312</v>
      </c>
      <c r="F1258" s="6">
        <f>IFERROR(VLOOKUP($D1258,[1]Balanza!$A$3:$K$852,10,0)-VLOOKUP($D1258,[1]Balanza!$A$3:$K$852,11,0),0)</f>
        <v>874.94</v>
      </c>
    </row>
    <row r="1259" spans="1:6" x14ac:dyDescent="0.3">
      <c r="A1259" s="4" t="s">
        <v>2341</v>
      </c>
      <c r="B1259" s="2" t="s">
        <v>2342</v>
      </c>
      <c r="C1259" s="3" t="s">
        <v>3042</v>
      </c>
      <c r="D1259" s="5" t="s">
        <v>4353</v>
      </c>
      <c r="E1259" s="6">
        <f>IFERROR(VLOOKUP($D1259,[1]Balanza!$A$3:$K$852,6,0)-VLOOKUP(D1259,[1]Balanza!$A$3:$K$852,7,0),0)</f>
        <v>0</v>
      </c>
      <c r="F1259" s="6">
        <f>IFERROR(VLOOKUP($D1259,[1]Balanza!$A$3:$K$852,10,0)-VLOOKUP($D1259,[1]Balanza!$A$3:$K$852,11,0),0)</f>
        <v>0</v>
      </c>
    </row>
    <row r="1260" spans="1:6" x14ac:dyDescent="0.3">
      <c r="A1260" s="4" t="s">
        <v>2343</v>
      </c>
      <c r="B1260" s="2" t="s">
        <v>2344</v>
      </c>
      <c r="C1260" s="3" t="s">
        <v>3057</v>
      </c>
      <c r="D1260" s="5" t="s">
        <v>4354</v>
      </c>
      <c r="E1260" s="6">
        <f>IFERROR(VLOOKUP($D1260,[1]Balanza!$A$3:$K$852,6,0)-VLOOKUP(D1260,[1]Balanza!$A$3:$K$852,7,0),0)</f>
        <v>960</v>
      </c>
      <c r="F1260" s="6">
        <f>IFERROR(VLOOKUP($D1260,[1]Balanza!$A$3:$K$852,10,0)-VLOOKUP($D1260,[1]Balanza!$A$3:$K$852,11,0),0)</f>
        <v>1617</v>
      </c>
    </row>
    <row r="1261" spans="1:6" x14ac:dyDescent="0.3">
      <c r="A1261" s="4" t="s">
        <v>2345</v>
      </c>
      <c r="B1261" s="2" t="s">
        <v>2346</v>
      </c>
      <c r="C1261" s="3" t="s">
        <v>3058</v>
      </c>
      <c r="D1261" s="5" t="s">
        <v>4355</v>
      </c>
      <c r="E1261" s="6">
        <f>IFERROR(VLOOKUP($D1261,[1]Balanza!$A$3:$K$852,6,0)-VLOOKUP(D1261,[1]Balanza!$A$3:$K$852,7,0),0)</f>
        <v>712.07</v>
      </c>
      <c r="F1261" s="6">
        <f>IFERROR(VLOOKUP($D1261,[1]Balanza!$A$3:$K$852,10,0)-VLOOKUP($D1261,[1]Balanza!$A$3:$K$852,11,0),0)</f>
        <v>0</v>
      </c>
    </row>
    <row r="1262" spans="1:6" x14ac:dyDescent="0.3">
      <c r="A1262" s="4" t="s">
        <v>2347</v>
      </c>
      <c r="B1262" s="2" t="s">
        <v>2348</v>
      </c>
      <c r="C1262" s="3" t="s">
        <v>3059</v>
      </c>
      <c r="D1262" s="5" t="s">
        <v>4356</v>
      </c>
      <c r="E1262" s="6">
        <f>IFERROR(VLOOKUP($D1262,[1]Balanza!$A$3:$K$852,6,0)-VLOOKUP(D1262,[1]Balanza!$A$3:$K$852,7,0),0)</f>
        <v>22888.48</v>
      </c>
      <c r="F1262" s="6">
        <f>IFERROR(VLOOKUP($D1262,[1]Balanza!$A$3:$K$852,10,0)-VLOOKUP($D1262,[1]Balanza!$A$3:$K$852,11,0),0)</f>
        <v>24132.54</v>
      </c>
    </row>
    <row r="1263" spans="1:6" x14ac:dyDescent="0.3">
      <c r="A1263" s="4" t="s">
        <v>2349</v>
      </c>
      <c r="B1263" s="2" t="s">
        <v>2350</v>
      </c>
      <c r="C1263" s="3" t="s">
        <v>3029</v>
      </c>
      <c r="D1263" s="5" t="s">
        <v>4357</v>
      </c>
      <c r="E1263" s="6">
        <f>IFERROR(VLOOKUP($D1263,[1]Balanza!$A$3:$K$852,6,0)-VLOOKUP(D1263,[1]Balanza!$A$3:$K$852,7,0),0)</f>
        <v>0</v>
      </c>
      <c r="F1263" s="6">
        <f>IFERROR(VLOOKUP($D1263,[1]Balanza!$A$3:$K$852,10,0)-VLOOKUP($D1263,[1]Balanza!$A$3:$K$852,11,0),0)</f>
        <v>0</v>
      </c>
    </row>
    <row r="1264" spans="1:6" x14ac:dyDescent="0.3">
      <c r="A1264" s="4" t="s">
        <v>2351</v>
      </c>
      <c r="B1264" s="2" t="s">
        <v>2352</v>
      </c>
      <c r="C1264" s="3" t="s">
        <v>4874</v>
      </c>
      <c r="D1264" s="5" t="s">
        <v>4358</v>
      </c>
      <c r="E1264" s="6">
        <f>IFERROR(VLOOKUP($D1264,[1]Balanza!$A$3:$K$852,6,0)-VLOOKUP(D1264,[1]Balanza!$A$3:$K$852,7,0),0)</f>
        <v>102528.39</v>
      </c>
      <c r="F1264" s="6">
        <f>IFERROR(VLOOKUP($D1264,[1]Balanza!$A$3:$K$852,10,0)-VLOOKUP($D1264,[1]Balanza!$A$3:$K$852,11,0),0)</f>
        <v>2117.4299999999998</v>
      </c>
    </row>
    <row r="1265" spans="1:6" x14ac:dyDescent="0.3">
      <c r="A1265" s="4" t="s">
        <v>2353</v>
      </c>
      <c r="B1265" s="2" t="s">
        <v>2354</v>
      </c>
      <c r="C1265" s="3" t="s">
        <v>3060</v>
      </c>
      <c r="D1265" s="5" t="s">
        <v>4359</v>
      </c>
      <c r="E1265" s="6">
        <f>IFERROR(VLOOKUP($D1265,[1]Balanza!$A$3:$K$852,6,0)-VLOOKUP(D1265,[1]Balanza!$A$3:$K$852,7,0),0)</f>
        <v>41676.800000000003</v>
      </c>
      <c r="F1265" s="6">
        <f>IFERROR(VLOOKUP($D1265,[1]Balanza!$A$3:$K$852,10,0)-VLOOKUP($D1265,[1]Balanza!$A$3:$K$852,11,0),0)</f>
        <v>275</v>
      </c>
    </row>
    <row r="1266" spans="1:6" x14ac:dyDescent="0.3">
      <c r="A1266" s="4" t="s">
        <v>2355</v>
      </c>
      <c r="B1266" s="2" t="s">
        <v>2356</v>
      </c>
      <c r="C1266" s="3" t="s">
        <v>3038</v>
      </c>
      <c r="D1266" s="5" t="s">
        <v>4360</v>
      </c>
      <c r="E1266" s="6">
        <f>IFERROR(VLOOKUP($D1266,[1]Balanza!$A$3:$K$852,6,0)-VLOOKUP(D1266,[1]Balanza!$A$3:$K$852,7,0),0)</f>
        <v>0</v>
      </c>
      <c r="F1266" s="6">
        <f>IFERROR(VLOOKUP($D1266,[1]Balanza!$A$3:$K$852,10,0)-VLOOKUP($D1266,[1]Balanza!$A$3:$K$852,11,0),0)</f>
        <v>0</v>
      </c>
    </row>
    <row r="1267" spans="1:6" x14ac:dyDescent="0.3">
      <c r="A1267" s="4" t="s">
        <v>2357</v>
      </c>
      <c r="B1267" s="2" t="s">
        <v>2358</v>
      </c>
      <c r="C1267" s="3" t="s">
        <v>3061</v>
      </c>
      <c r="D1267" s="5" t="s">
        <v>4361</v>
      </c>
      <c r="E1267" s="6">
        <f>IFERROR(VLOOKUP($D1267,[1]Balanza!$A$3:$K$852,6,0)-VLOOKUP(D1267,[1]Balanza!$A$3:$K$852,7,0),0)</f>
        <v>36835.730000000003</v>
      </c>
      <c r="F1267" s="6">
        <f>IFERROR(VLOOKUP($D1267,[1]Balanza!$A$3:$K$852,10,0)-VLOOKUP($D1267,[1]Balanza!$A$3:$K$852,11,0),0)</f>
        <v>8876.9500000000007</v>
      </c>
    </row>
    <row r="1268" spans="1:6" x14ac:dyDescent="0.3">
      <c r="A1268" s="4" t="s">
        <v>2359</v>
      </c>
      <c r="B1268" s="2" t="s">
        <v>2360</v>
      </c>
      <c r="C1268" s="3" t="s">
        <v>3062</v>
      </c>
      <c r="D1268" s="5" t="s">
        <v>4362</v>
      </c>
      <c r="E1268" s="6">
        <f>IFERROR(VLOOKUP($D1268,[1]Balanza!$A$3:$K$852,6,0)-VLOOKUP(D1268,[1]Balanza!$A$3:$K$852,7,0),0)</f>
        <v>0</v>
      </c>
      <c r="F1268" s="6">
        <f>IFERROR(VLOOKUP($D1268,[1]Balanza!$A$3:$K$852,10,0)-VLOOKUP($D1268,[1]Balanza!$A$3:$K$852,11,0),0)</f>
        <v>0</v>
      </c>
    </row>
    <row r="1269" spans="1:6" x14ac:dyDescent="0.3">
      <c r="A1269" s="4" t="s">
        <v>2361</v>
      </c>
      <c r="B1269" s="2" t="s">
        <v>2362</v>
      </c>
      <c r="C1269" s="3" t="s">
        <v>3062</v>
      </c>
      <c r="D1269" s="5" t="s">
        <v>4363</v>
      </c>
      <c r="E1269" s="6">
        <f>IFERROR(VLOOKUP($D1269,[1]Balanza!$A$3:$K$852,6,0)-VLOOKUP(D1269,[1]Balanza!$A$3:$K$852,7,0),0)</f>
        <v>11465</v>
      </c>
      <c r="F1269" s="6">
        <f>IFERROR(VLOOKUP($D1269,[1]Balanza!$A$3:$K$852,10,0)-VLOOKUP($D1269,[1]Balanza!$A$3:$K$852,11,0),0)</f>
        <v>5448</v>
      </c>
    </row>
    <row r="1270" spans="1:6" x14ac:dyDescent="0.3">
      <c r="A1270" s="4" t="s">
        <v>2363</v>
      </c>
      <c r="B1270" s="2" t="s">
        <v>2364</v>
      </c>
      <c r="C1270" s="3" t="s">
        <v>4860</v>
      </c>
      <c r="D1270" s="5" t="s">
        <v>4364</v>
      </c>
      <c r="E1270" s="6">
        <f>IFERROR(VLOOKUP($D1270,[1]Balanza!$A$3:$K$852,6,0)-VLOOKUP(D1270,[1]Balanza!$A$3:$K$852,7,0),0)</f>
        <v>0</v>
      </c>
      <c r="F1270" s="6">
        <f>IFERROR(VLOOKUP($D1270,[1]Balanza!$A$3:$K$852,10,0)-VLOOKUP($D1270,[1]Balanza!$A$3:$K$852,11,0),0)</f>
        <v>0</v>
      </c>
    </row>
    <row r="1271" spans="1:6" x14ac:dyDescent="0.3">
      <c r="A1271" s="4" t="s">
        <v>2365</v>
      </c>
      <c r="B1271" s="2" t="s">
        <v>2366</v>
      </c>
      <c r="C1271" s="3" t="s">
        <v>3038</v>
      </c>
      <c r="D1271" s="5" t="s">
        <v>4365</v>
      </c>
      <c r="E1271" s="6">
        <f>IFERROR(VLOOKUP($D1271,[1]Balanza!$A$3:$K$852,6,0)-VLOOKUP(D1271,[1]Balanza!$A$3:$K$852,7,0),0)</f>
        <v>0</v>
      </c>
      <c r="F1271" s="6">
        <f>IFERROR(VLOOKUP($D1271,[1]Balanza!$A$3:$K$852,10,0)-VLOOKUP($D1271,[1]Balanza!$A$3:$K$852,11,0),0)</f>
        <v>0</v>
      </c>
    </row>
    <row r="1272" spans="1:6" x14ac:dyDescent="0.3">
      <c r="A1272" s="4" t="s">
        <v>2367</v>
      </c>
      <c r="B1272" s="2" t="s">
        <v>2368</v>
      </c>
      <c r="C1272" s="3" t="s">
        <v>4875</v>
      </c>
      <c r="D1272" s="5" t="s">
        <v>4366</v>
      </c>
      <c r="E1272" s="6">
        <f>IFERROR(VLOOKUP($D1272,[1]Balanza!$A$3:$K$852,6,0)-VLOOKUP(D1272,[1]Balanza!$A$3:$K$852,7,0),0)</f>
        <v>167953.5</v>
      </c>
      <c r="F1272" s="6">
        <f>IFERROR(VLOOKUP($D1272,[1]Balanza!$A$3:$K$852,10,0)-VLOOKUP($D1272,[1]Balanza!$A$3:$K$852,11,0),0)</f>
        <v>0</v>
      </c>
    </row>
    <row r="1273" spans="1:6" x14ac:dyDescent="0.3">
      <c r="A1273" s="4" t="s">
        <v>2369</v>
      </c>
      <c r="B1273" s="2" t="s">
        <v>2370</v>
      </c>
      <c r="C1273" s="3" t="s">
        <v>3063</v>
      </c>
      <c r="D1273" s="5" t="s">
        <v>4367</v>
      </c>
      <c r="E1273" s="6">
        <f>IFERROR(VLOOKUP($D1273,[1]Balanza!$A$3:$K$852,6,0)-VLOOKUP(D1273,[1]Balanza!$A$3:$K$852,7,0),0)</f>
        <v>0</v>
      </c>
      <c r="F1273" s="6">
        <f>IFERROR(VLOOKUP($D1273,[1]Balanza!$A$3:$K$852,10,0)-VLOOKUP($D1273,[1]Balanza!$A$3:$K$852,11,0),0)</f>
        <v>0</v>
      </c>
    </row>
    <row r="1274" spans="1:6" x14ac:dyDescent="0.3">
      <c r="A1274" s="4" t="s">
        <v>2371</v>
      </c>
      <c r="B1274" s="2" t="s">
        <v>2372</v>
      </c>
      <c r="C1274" s="3" t="s">
        <v>3064</v>
      </c>
      <c r="D1274" s="5" t="s">
        <v>4368</v>
      </c>
      <c r="E1274" s="6">
        <f>IFERROR(VLOOKUP($D1274,[1]Balanza!$A$3:$K$852,6,0)-VLOOKUP(D1274,[1]Balanza!$A$3:$K$852,7,0),0)</f>
        <v>0</v>
      </c>
      <c r="F1274" s="6">
        <f>IFERROR(VLOOKUP($D1274,[1]Balanza!$A$3:$K$852,10,0)-VLOOKUP($D1274,[1]Balanza!$A$3:$K$852,11,0),0)</f>
        <v>0</v>
      </c>
    </row>
    <row r="1275" spans="1:6" x14ac:dyDescent="0.3">
      <c r="A1275" s="4" t="s">
        <v>2373</v>
      </c>
      <c r="B1275" s="2" t="s">
        <v>2374</v>
      </c>
      <c r="C1275" s="3" t="s">
        <v>3038</v>
      </c>
      <c r="D1275" s="5" t="s">
        <v>4369</v>
      </c>
      <c r="E1275" s="6">
        <f>IFERROR(VLOOKUP($D1275,[1]Balanza!$A$3:$K$852,6,0)-VLOOKUP(D1275,[1]Balanza!$A$3:$K$852,7,0),0)</f>
        <v>0</v>
      </c>
      <c r="F1275" s="6">
        <f>IFERROR(VLOOKUP($D1275,[1]Balanza!$A$3:$K$852,10,0)-VLOOKUP($D1275,[1]Balanza!$A$3:$K$852,11,0),0)</f>
        <v>0</v>
      </c>
    </row>
    <row r="1276" spans="1:6" x14ac:dyDescent="0.3">
      <c r="A1276" s="4" t="s">
        <v>2375</v>
      </c>
      <c r="B1276" s="2" t="s">
        <v>2376</v>
      </c>
      <c r="C1276" s="3" t="s">
        <v>3038</v>
      </c>
      <c r="D1276" s="5" t="s">
        <v>4370</v>
      </c>
      <c r="E1276" s="6">
        <f>IFERROR(VLOOKUP($D1276,[1]Balanza!$A$3:$K$852,6,0)-VLOOKUP(D1276,[1]Balanza!$A$3:$K$852,7,0),0)</f>
        <v>0</v>
      </c>
      <c r="F1276" s="6">
        <f>IFERROR(VLOOKUP($D1276,[1]Balanza!$A$3:$K$852,10,0)-VLOOKUP($D1276,[1]Balanza!$A$3:$K$852,11,0),0)</f>
        <v>0</v>
      </c>
    </row>
    <row r="1277" spans="1:6" x14ac:dyDescent="0.3">
      <c r="A1277" s="4" t="s">
        <v>2377</v>
      </c>
      <c r="B1277" s="2" t="s">
        <v>2378</v>
      </c>
      <c r="C1277" s="3" t="s">
        <v>3038</v>
      </c>
      <c r="D1277" s="5" t="s">
        <v>4371</v>
      </c>
      <c r="E1277" s="6">
        <f>IFERROR(VLOOKUP($D1277,[1]Balanza!$A$3:$K$852,6,0)-VLOOKUP(D1277,[1]Balanza!$A$3:$K$852,7,0),0)</f>
        <v>0</v>
      </c>
      <c r="F1277" s="6">
        <f>IFERROR(VLOOKUP($D1277,[1]Balanza!$A$3:$K$852,10,0)-VLOOKUP($D1277,[1]Balanza!$A$3:$K$852,11,0),0)</f>
        <v>0</v>
      </c>
    </row>
    <row r="1278" spans="1:6" x14ac:dyDescent="0.3">
      <c r="A1278" s="4" t="s">
        <v>2379</v>
      </c>
      <c r="B1278" s="2" t="s">
        <v>2380</v>
      </c>
      <c r="C1278" s="3" t="s">
        <v>3038</v>
      </c>
      <c r="D1278" s="5" t="s">
        <v>4372</v>
      </c>
      <c r="E1278" s="6">
        <f>IFERROR(VLOOKUP($D1278,[1]Balanza!$A$3:$K$852,6,0)-VLOOKUP(D1278,[1]Balanza!$A$3:$K$852,7,0),0)</f>
        <v>0</v>
      </c>
      <c r="F1278" s="6">
        <f>IFERROR(VLOOKUP($D1278,[1]Balanza!$A$3:$K$852,10,0)-VLOOKUP($D1278,[1]Balanza!$A$3:$K$852,11,0),0)</f>
        <v>0</v>
      </c>
    </row>
    <row r="1279" spans="1:6" x14ac:dyDescent="0.3">
      <c r="A1279" s="4" t="s">
        <v>2381</v>
      </c>
      <c r="B1279" s="2" t="s">
        <v>2382</v>
      </c>
      <c r="C1279" s="3" t="s">
        <v>3038</v>
      </c>
      <c r="D1279" s="5" t="s">
        <v>4373</v>
      </c>
      <c r="E1279" s="6">
        <f>IFERROR(VLOOKUP($D1279,[1]Balanza!$A$3:$K$852,6,0)-VLOOKUP(D1279,[1]Balanza!$A$3:$K$852,7,0),0)</f>
        <v>0</v>
      </c>
      <c r="F1279" s="6">
        <f>IFERROR(VLOOKUP($D1279,[1]Balanza!$A$3:$K$852,10,0)-VLOOKUP($D1279,[1]Balanza!$A$3:$K$852,11,0),0)</f>
        <v>0</v>
      </c>
    </row>
    <row r="1280" spans="1:6" x14ac:dyDescent="0.3">
      <c r="A1280" s="4" t="s">
        <v>2383</v>
      </c>
      <c r="B1280" s="2" t="s">
        <v>2384</v>
      </c>
      <c r="C1280" s="3" t="s">
        <v>3038</v>
      </c>
      <c r="D1280" s="5" t="s">
        <v>4374</v>
      </c>
      <c r="E1280" s="6">
        <f>IFERROR(VLOOKUP($D1280,[1]Balanza!$A$3:$K$852,6,0)-VLOOKUP(D1280,[1]Balanza!$A$3:$K$852,7,0),0)</f>
        <v>0</v>
      </c>
      <c r="F1280" s="6">
        <f>IFERROR(VLOOKUP($D1280,[1]Balanza!$A$3:$K$852,10,0)-VLOOKUP($D1280,[1]Balanza!$A$3:$K$852,11,0),0)</f>
        <v>0</v>
      </c>
    </row>
    <row r="1281" spans="1:6" x14ac:dyDescent="0.3">
      <c r="A1281" s="4" t="s">
        <v>2385</v>
      </c>
      <c r="B1281" s="2" t="s">
        <v>2386</v>
      </c>
      <c r="C1281" s="3" t="s">
        <v>3038</v>
      </c>
      <c r="D1281" s="5" t="s">
        <v>4375</v>
      </c>
      <c r="E1281" s="6">
        <f>IFERROR(VLOOKUP($D1281,[1]Balanza!$A$3:$K$852,6,0)-VLOOKUP(D1281,[1]Balanza!$A$3:$K$852,7,0),0)</f>
        <v>0</v>
      </c>
      <c r="F1281" s="6">
        <f>IFERROR(VLOOKUP($D1281,[1]Balanza!$A$3:$K$852,10,0)-VLOOKUP($D1281,[1]Balanza!$A$3:$K$852,11,0),0)</f>
        <v>0</v>
      </c>
    </row>
    <row r="1282" spans="1:6" x14ac:dyDescent="0.3">
      <c r="A1282" s="4" t="s">
        <v>2387</v>
      </c>
      <c r="B1282" s="2" t="s">
        <v>2388</v>
      </c>
      <c r="C1282" s="3" t="s">
        <v>3038</v>
      </c>
      <c r="D1282" s="5" t="s">
        <v>4376</v>
      </c>
      <c r="E1282" s="6">
        <f>IFERROR(VLOOKUP($D1282,[1]Balanza!$A$3:$K$852,6,0)-VLOOKUP(D1282,[1]Balanza!$A$3:$K$852,7,0),0)</f>
        <v>0</v>
      </c>
      <c r="F1282" s="6">
        <f>IFERROR(VLOOKUP($D1282,[1]Balanza!$A$3:$K$852,10,0)-VLOOKUP($D1282,[1]Balanza!$A$3:$K$852,11,0),0)</f>
        <v>0</v>
      </c>
    </row>
    <row r="1283" spans="1:6" x14ac:dyDescent="0.3">
      <c r="A1283" s="4" t="s">
        <v>2389</v>
      </c>
      <c r="B1283" s="2" t="s">
        <v>2390</v>
      </c>
      <c r="C1283" s="3" t="s">
        <v>4917</v>
      </c>
      <c r="D1283" s="5" t="s">
        <v>4377</v>
      </c>
      <c r="E1283" s="6">
        <f>IFERROR(VLOOKUP($D1283,[1]Balanza!$A$3:$K$852,6,0)-VLOOKUP(D1283,[1]Balanza!$A$3:$K$852,7,0),0)</f>
        <v>0</v>
      </c>
      <c r="F1283" s="6">
        <f>IFERROR(VLOOKUP($D1283,[1]Balanza!$A$3:$K$852,10,0)-VLOOKUP($D1283,[1]Balanza!$A$3:$K$852,11,0),0)</f>
        <v>811</v>
      </c>
    </row>
    <row r="1284" spans="1:6" x14ac:dyDescent="0.3">
      <c r="A1284" s="4" t="s">
        <v>2391</v>
      </c>
      <c r="B1284" s="2" t="s">
        <v>2392</v>
      </c>
      <c r="C1284" s="3" t="s">
        <v>3066</v>
      </c>
      <c r="D1284" s="5" t="s">
        <v>4378</v>
      </c>
      <c r="E1284" s="6">
        <f>IFERROR(VLOOKUP($D1284,[1]Balanza!$A$3:$K$852,6,0)-VLOOKUP(D1284,[1]Balanza!$A$3:$K$852,7,0),0)</f>
        <v>0</v>
      </c>
      <c r="F1284" s="6">
        <f>IFERROR(VLOOKUP($D1284,[1]Balanza!$A$3:$K$852,10,0)-VLOOKUP($D1284,[1]Balanza!$A$3:$K$852,11,0),0)</f>
        <v>0</v>
      </c>
    </row>
    <row r="1285" spans="1:6" x14ac:dyDescent="0.3">
      <c r="A1285" s="4" t="s">
        <v>2393</v>
      </c>
      <c r="B1285" s="2" t="s">
        <v>2394</v>
      </c>
      <c r="C1285" s="3" t="s">
        <v>3038</v>
      </c>
      <c r="D1285" s="5" t="s">
        <v>4379</v>
      </c>
      <c r="E1285" s="6">
        <f>IFERROR(VLOOKUP($D1285,[1]Balanza!$A$3:$K$852,6,0)-VLOOKUP(D1285,[1]Balanza!$A$3:$K$852,7,0),0)</f>
        <v>0</v>
      </c>
      <c r="F1285" s="6">
        <f>IFERROR(VLOOKUP($D1285,[1]Balanza!$A$3:$K$852,10,0)-VLOOKUP($D1285,[1]Balanza!$A$3:$K$852,11,0),0)</f>
        <v>0</v>
      </c>
    </row>
    <row r="1286" spans="1:6" x14ac:dyDescent="0.3">
      <c r="A1286" s="4" t="s">
        <v>2395</v>
      </c>
      <c r="B1286" s="2" t="s">
        <v>2396</v>
      </c>
      <c r="C1286" s="3" t="s">
        <v>3067</v>
      </c>
      <c r="D1286" s="5" t="s">
        <v>4380</v>
      </c>
      <c r="E1286" s="6">
        <f>IFERROR(VLOOKUP($D1286,[1]Balanza!$A$3:$K$852,6,0)-VLOOKUP(D1286,[1]Balanza!$A$3:$K$852,7,0),0)</f>
        <v>0</v>
      </c>
      <c r="F1286" s="6">
        <f>IFERROR(VLOOKUP($D1286,[1]Balanza!$A$3:$K$852,10,0)-VLOOKUP($D1286,[1]Balanza!$A$3:$K$852,11,0),0)</f>
        <v>0</v>
      </c>
    </row>
    <row r="1287" spans="1:6" x14ac:dyDescent="0.3">
      <c r="A1287" s="4" t="s">
        <v>2397</v>
      </c>
      <c r="B1287" s="2" t="s">
        <v>2398</v>
      </c>
      <c r="C1287" s="3" t="s">
        <v>3068</v>
      </c>
      <c r="D1287" s="5" t="s">
        <v>4381</v>
      </c>
      <c r="E1287" s="6">
        <f>IFERROR(VLOOKUP($D1287,[1]Balanza!$A$3:$K$852,6,0)-VLOOKUP(D1287,[1]Balanza!$A$3:$K$852,7,0),0)</f>
        <v>0</v>
      </c>
      <c r="F1287" s="6">
        <f>IFERROR(VLOOKUP($D1287,[1]Balanza!$A$3:$K$852,10,0)-VLOOKUP($D1287,[1]Balanza!$A$3:$K$852,11,0),0)</f>
        <v>0</v>
      </c>
    </row>
    <row r="1288" spans="1:6" x14ac:dyDescent="0.3">
      <c r="A1288" s="4" t="s">
        <v>2399</v>
      </c>
      <c r="B1288" s="2" t="s">
        <v>2400</v>
      </c>
      <c r="C1288" s="3" t="s">
        <v>3069</v>
      </c>
      <c r="D1288" s="5" t="s">
        <v>4382</v>
      </c>
      <c r="E1288" s="6">
        <f>IFERROR(VLOOKUP($D1288,[1]Balanza!$A$3:$K$852,6,0)-VLOOKUP(D1288,[1]Balanza!$A$3:$K$852,7,0),0)</f>
        <v>0</v>
      </c>
      <c r="F1288" s="6">
        <f>IFERROR(VLOOKUP($D1288,[1]Balanza!$A$3:$K$852,10,0)-VLOOKUP($D1288,[1]Balanza!$A$3:$K$852,11,0),0)</f>
        <v>0</v>
      </c>
    </row>
    <row r="1289" spans="1:6" x14ac:dyDescent="0.3">
      <c r="A1289" s="4" t="s">
        <v>2401</v>
      </c>
      <c r="B1289" s="2" t="s">
        <v>2402</v>
      </c>
      <c r="C1289" s="3" t="s">
        <v>3070</v>
      </c>
      <c r="D1289" s="5" t="s">
        <v>4383</v>
      </c>
      <c r="E1289" s="6">
        <f>IFERROR(VLOOKUP($D1289,[1]Balanza!$A$3:$K$852,6,0)-VLOOKUP(D1289,[1]Balanza!$A$3:$K$852,7,0),0)</f>
        <v>0</v>
      </c>
      <c r="F1289" s="6">
        <f>IFERROR(VLOOKUP($D1289,[1]Balanza!$A$3:$K$852,10,0)-VLOOKUP($D1289,[1]Balanza!$A$3:$K$852,11,0),0)</f>
        <v>0</v>
      </c>
    </row>
    <row r="1290" spans="1:6" x14ac:dyDescent="0.3">
      <c r="A1290" s="4" t="s">
        <v>2403</v>
      </c>
      <c r="B1290" s="2" t="s">
        <v>2404</v>
      </c>
      <c r="C1290" s="3" t="s">
        <v>3038</v>
      </c>
      <c r="D1290" s="5" t="s">
        <v>4384</v>
      </c>
      <c r="E1290" s="6">
        <f>IFERROR(VLOOKUP($D1290,[1]Balanza!$A$3:$K$852,6,0)-VLOOKUP(D1290,[1]Balanza!$A$3:$K$852,7,0),0)</f>
        <v>0</v>
      </c>
      <c r="F1290" s="6">
        <f>IFERROR(VLOOKUP($D1290,[1]Balanza!$A$3:$K$852,10,0)-VLOOKUP($D1290,[1]Balanza!$A$3:$K$852,11,0),0)</f>
        <v>0</v>
      </c>
    </row>
    <row r="1291" spans="1:6" x14ac:dyDescent="0.3">
      <c r="A1291" s="4" t="s">
        <v>2405</v>
      </c>
      <c r="B1291" s="2" t="s">
        <v>2406</v>
      </c>
      <c r="C1291" s="3" t="s">
        <v>3038</v>
      </c>
      <c r="D1291" s="5" t="s">
        <v>4385</v>
      </c>
      <c r="E1291" s="6">
        <f>IFERROR(VLOOKUP($D1291,[1]Balanza!$A$3:$K$852,6,0)-VLOOKUP(D1291,[1]Balanza!$A$3:$K$852,7,0),0)</f>
        <v>0</v>
      </c>
      <c r="F1291" s="6">
        <f>IFERROR(VLOOKUP($D1291,[1]Balanza!$A$3:$K$852,10,0)-VLOOKUP($D1291,[1]Balanza!$A$3:$K$852,11,0),0)</f>
        <v>0</v>
      </c>
    </row>
    <row r="1292" spans="1:6" x14ac:dyDescent="0.3">
      <c r="A1292" s="4" t="s">
        <v>2407</v>
      </c>
      <c r="B1292" s="2" t="s">
        <v>2408</v>
      </c>
      <c r="C1292" s="3" t="s">
        <v>3065</v>
      </c>
      <c r="D1292" s="5" t="s">
        <v>4386</v>
      </c>
      <c r="E1292" s="6">
        <f>IFERROR(VLOOKUP($D1292,[1]Balanza!$A$3:$K$852,6,0)-VLOOKUP(D1292,[1]Balanza!$A$3:$K$852,7,0),0)</f>
        <v>0</v>
      </c>
      <c r="F1292" s="6">
        <f>IFERROR(VLOOKUP($D1292,[1]Balanza!$A$3:$K$852,10,0)-VLOOKUP($D1292,[1]Balanza!$A$3:$K$852,11,0),0)</f>
        <v>0</v>
      </c>
    </row>
    <row r="1293" spans="1:6" x14ac:dyDescent="0.3">
      <c r="A1293" s="4" t="s">
        <v>2409</v>
      </c>
      <c r="B1293" s="2" t="s">
        <v>2410</v>
      </c>
      <c r="C1293" s="3" t="s">
        <v>3038</v>
      </c>
      <c r="D1293" s="5" t="s">
        <v>4387</v>
      </c>
      <c r="E1293" s="6">
        <f>IFERROR(VLOOKUP($D1293,[1]Balanza!$A$3:$K$852,6,0)-VLOOKUP(D1293,[1]Balanza!$A$3:$K$852,7,0),0)</f>
        <v>0</v>
      </c>
      <c r="F1293" s="6">
        <f>IFERROR(VLOOKUP($D1293,[1]Balanza!$A$3:$K$852,10,0)-VLOOKUP($D1293,[1]Balanza!$A$3:$K$852,11,0),0)</f>
        <v>0</v>
      </c>
    </row>
    <row r="1294" spans="1:6" x14ac:dyDescent="0.3">
      <c r="A1294" s="4" t="s">
        <v>2411</v>
      </c>
      <c r="B1294" s="2" t="s">
        <v>2412</v>
      </c>
      <c r="C1294" s="3" t="s">
        <v>3071</v>
      </c>
      <c r="D1294" s="5" t="s">
        <v>4388</v>
      </c>
      <c r="E1294" s="6">
        <f>IFERROR(VLOOKUP($D1294,[1]Balanza!$A$3:$K$852,6,0)-VLOOKUP(D1294,[1]Balanza!$A$3:$K$852,7,0),0)</f>
        <v>0</v>
      </c>
      <c r="F1294" s="6">
        <f>IFERROR(VLOOKUP($D1294,[1]Balanza!$A$3:$K$852,10,0)-VLOOKUP($D1294,[1]Balanza!$A$3:$K$852,11,0),0)</f>
        <v>0</v>
      </c>
    </row>
    <row r="1295" spans="1:6" x14ac:dyDescent="0.3">
      <c r="A1295" s="4" t="s">
        <v>2413</v>
      </c>
      <c r="B1295" s="2" t="s">
        <v>2414</v>
      </c>
      <c r="C1295" s="3" t="s">
        <v>3072</v>
      </c>
      <c r="D1295" s="5" t="s">
        <v>4389</v>
      </c>
      <c r="E1295" s="6">
        <f>IFERROR(VLOOKUP($D1295,[1]Balanza!$A$3:$K$852,6,0)-VLOOKUP(D1295,[1]Balanza!$A$3:$K$852,7,0),0)</f>
        <v>2489.38</v>
      </c>
      <c r="F1295" s="6">
        <f>IFERROR(VLOOKUP($D1295,[1]Balanza!$A$3:$K$852,10,0)-VLOOKUP($D1295,[1]Balanza!$A$3:$K$852,11,0),0)</f>
        <v>21839.55</v>
      </c>
    </row>
    <row r="1296" spans="1:6" x14ac:dyDescent="0.3">
      <c r="A1296" s="4" t="s">
        <v>2415</v>
      </c>
      <c r="B1296" s="2" t="s">
        <v>2416</v>
      </c>
      <c r="C1296" s="3" t="s">
        <v>3073</v>
      </c>
      <c r="D1296" s="5" t="s">
        <v>4390</v>
      </c>
      <c r="E1296" s="6">
        <f>IFERROR(VLOOKUP($D1296,[1]Balanza!$A$3:$K$852,6,0)-VLOOKUP(D1296,[1]Balanza!$A$3:$K$852,7,0),0)</f>
        <v>0</v>
      </c>
      <c r="F1296" s="6">
        <f>IFERROR(VLOOKUP($D1296,[1]Balanza!$A$3:$K$852,10,0)-VLOOKUP($D1296,[1]Balanza!$A$3:$K$852,11,0),0)</f>
        <v>0</v>
      </c>
    </row>
    <row r="1297" spans="1:6" x14ac:dyDescent="0.3">
      <c r="A1297" s="4" t="s">
        <v>2417</v>
      </c>
      <c r="B1297" s="2" t="s">
        <v>2418</v>
      </c>
      <c r="C1297" s="3" t="s">
        <v>4916</v>
      </c>
      <c r="D1297" s="5" t="s">
        <v>4391</v>
      </c>
      <c r="E1297" s="6">
        <f>IFERROR(VLOOKUP($D1297,[1]Balanza!$A$3:$K$852,6,0)-VLOOKUP(D1297,[1]Balanza!$A$3:$K$852,7,0),0)</f>
        <v>0</v>
      </c>
      <c r="F1297" s="6">
        <f>IFERROR(VLOOKUP($D1297,[1]Balanza!$A$3:$K$852,10,0)-VLOOKUP($D1297,[1]Balanza!$A$3:$K$852,11,0),0)</f>
        <v>2536</v>
      </c>
    </row>
    <row r="1298" spans="1:6" x14ac:dyDescent="0.3">
      <c r="A1298" s="4" t="s">
        <v>2419</v>
      </c>
      <c r="B1298" s="2" t="s">
        <v>2420</v>
      </c>
      <c r="C1298" s="3" t="s">
        <v>3075</v>
      </c>
      <c r="D1298" s="5" t="s">
        <v>4392</v>
      </c>
      <c r="E1298" s="6">
        <f>IFERROR(VLOOKUP($D1298,[1]Balanza!$A$3:$K$852,6,0)-VLOOKUP(D1298,[1]Balanza!$A$3:$K$852,7,0),0)</f>
        <v>0</v>
      </c>
      <c r="F1298" s="6">
        <f>IFERROR(VLOOKUP($D1298,[1]Balanza!$A$3:$K$852,10,0)-VLOOKUP($D1298,[1]Balanza!$A$3:$K$852,11,0),0)</f>
        <v>0</v>
      </c>
    </row>
    <row r="1299" spans="1:6" x14ac:dyDescent="0.3">
      <c r="A1299" s="4" t="s">
        <v>2421</v>
      </c>
      <c r="B1299" s="2" t="s">
        <v>2423</v>
      </c>
      <c r="C1299" s="3" t="s">
        <v>3077</v>
      </c>
      <c r="D1299" s="5" t="s">
        <v>4393</v>
      </c>
      <c r="E1299" s="6">
        <f>IFERROR(VLOOKUP($D1299,[1]Balanza!$A$3:$K$852,6,0)-VLOOKUP(D1299,[1]Balanza!$A$3:$K$852,7,0),0)</f>
        <v>0</v>
      </c>
      <c r="F1299" s="6">
        <f>IFERROR(VLOOKUP($D1299,[1]Balanza!$A$3:$K$852,10,0)-VLOOKUP($D1299,[1]Balanza!$A$3:$K$852,11,0),0)</f>
        <v>24687.56</v>
      </c>
    </row>
    <row r="1300" spans="1:6" x14ac:dyDescent="0.3">
      <c r="A1300" s="4" t="s">
        <v>2422</v>
      </c>
      <c r="B1300" s="2" t="s">
        <v>2425</v>
      </c>
      <c r="C1300" s="3" t="s">
        <v>3078</v>
      </c>
      <c r="D1300" s="5" t="s">
        <v>4394</v>
      </c>
      <c r="E1300" s="6">
        <f>IFERROR(VLOOKUP($D1300,[1]Balanza!$A$3:$K$852,6,0)-VLOOKUP(D1300,[1]Balanza!$A$3:$K$852,7,0),0)</f>
        <v>0</v>
      </c>
      <c r="F1300" s="6">
        <f>IFERROR(VLOOKUP($D1300,[1]Balanza!$A$3:$K$852,10,0)-VLOOKUP($D1300,[1]Balanza!$A$3:$K$852,11,0),0)</f>
        <v>7876.5</v>
      </c>
    </row>
    <row r="1301" spans="1:6" x14ac:dyDescent="0.3">
      <c r="A1301" s="4" t="s">
        <v>2424</v>
      </c>
      <c r="B1301" s="2"/>
      <c r="C1301" s="3" t="s">
        <v>3029</v>
      </c>
      <c r="D1301" s="5" t="s">
        <v>4395</v>
      </c>
      <c r="E1301" s="6">
        <f>IFERROR(VLOOKUP($D1301,[1]Balanza!$A$3:$K$852,6,0)-VLOOKUP(D1301,[1]Balanza!$A$3:$K$852,7,0),0)</f>
        <v>0</v>
      </c>
      <c r="F1301" s="6">
        <f>IFERROR(VLOOKUP($D1301,[1]Balanza!$A$3:$K$852,10,0)-VLOOKUP($D1301,[1]Balanza!$A$3:$K$852,11,0),0)</f>
        <v>0</v>
      </c>
    </row>
    <row r="1302" spans="1:6" x14ac:dyDescent="0.3">
      <c r="A1302" s="1" t="s">
        <v>2426</v>
      </c>
      <c r="B1302" s="1" t="s">
        <v>2427</v>
      </c>
      <c r="C1302" t="s">
        <v>3029</v>
      </c>
      <c r="D1302" s="5" t="s">
        <v>4396</v>
      </c>
      <c r="E1302" s="6">
        <f>IFERROR(VLOOKUP($D1302,[1]Balanza!$A$3:$K$852,6,0)-VLOOKUP(D1302,[1]Balanza!$A$3:$K$852,7,0),0)</f>
        <v>0</v>
      </c>
      <c r="F1302" s="6">
        <f>IFERROR(VLOOKUP($D1302,[1]Balanza!$A$3:$K$852,10,0)-VLOOKUP($D1302,[1]Balanza!$A$3:$K$852,11,0),0)</f>
        <v>0</v>
      </c>
    </row>
    <row r="1303" spans="1:6" x14ac:dyDescent="0.3">
      <c r="A1303" s="2" t="s">
        <v>2428</v>
      </c>
      <c r="B1303" s="2" t="s">
        <v>2429</v>
      </c>
      <c r="C1303" t="s">
        <v>3029</v>
      </c>
      <c r="D1303" s="5" t="s">
        <v>4397</v>
      </c>
      <c r="E1303" s="6">
        <f>IFERROR(VLOOKUP($D1303,[1]Balanza!$A$3:$K$852,6,0)-VLOOKUP(D1303,[1]Balanza!$A$3:$K$852,7,0),0)</f>
        <v>0</v>
      </c>
      <c r="F1303" s="6">
        <f>IFERROR(VLOOKUP($D1303,[1]Balanza!$A$3:$K$852,10,0)-VLOOKUP($D1303,[1]Balanza!$A$3:$K$852,11,0),0)</f>
        <v>0</v>
      </c>
    </row>
    <row r="1304" spans="1:6" x14ac:dyDescent="0.3">
      <c r="A1304" s="2" t="s">
        <v>2430</v>
      </c>
      <c r="B1304" s="2" t="s">
        <v>2182</v>
      </c>
      <c r="C1304" t="s">
        <v>3079</v>
      </c>
      <c r="D1304" s="5" t="s">
        <v>4398</v>
      </c>
      <c r="E1304" s="6">
        <f>IFERROR(VLOOKUP($D1304,[1]Balanza!$A$3:$K$852,6,0)-VLOOKUP(D1304,[1]Balanza!$A$3:$K$852,7,0),0)</f>
        <v>216886.73</v>
      </c>
      <c r="F1304" s="6">
        <f>IFERROR(VLOOKUP($D1304,[1]Balanza!$A$3:$K$852,10,0)-VLOOKUP($D1304,[1]Balanza!$A$3:$K$852,11,0),0)</f>
        <v>0</v>
      </c>
    </row>
    <row r="1305" spans="1:6" x14ac:dyDescent="0.3">
      <c r="A1305" s="2" t="s">
        <v>2431</v>
      </c>
      <c r="B1305" s="2" t="s">
        <v>2245</v>
      </c>
      <c r="C1305" t="s">
        <v>3079</v>
      </c>
      <c r="D1305" s="5" t="s">
        <v>4399</v>
      </c>
      <c r="E1305" s="6">
        <f>IFERROR(VLOOKUP($D1305,[1]Balanza!$A$3:$K$852,6,0)-VLOOKUP(D1305,[1]Balanza!$A$3:$K$852,7,0),0)</f>
        <v>0</v>
      </c>
      <c r="F1305" s="6">
        <f>IFERROR(VLOOKUP($D1305,[1]Balanza!$A$3:$K$852,10,0)-VLOOKUP($D1305,[1]Balanza!$A$3:$K$852,11,0),0)</f>
        <v>0</v>
      </c>
    </row>
    <row r="1306" spans="1:6" x14ac:dyDescent="0.3">
      <c r="A1306" s="2" t="s">
        <v>2432</v>
      </c>
      <c r="B1306" s="2" t="s">
        <v>2247</v>
      </c>
      <c r="C1306" t="s">
        <v>3079</v>
      </c>
      <c r="D1306" s="5" t="s">
        <v>4400</v>
      </c>
      <c r="E1306" s="6">
        <f>IFERROR(VLOOKUP($D1306,[1]Balanza!$A$3:$K$852,6,0)-VLOOKUP(D1306,[1]Balanza!$A$3:$K$852,7,0),0)</f>
        <v>0</v>
      </c>
      <c r="F1306" s="6">
        <f>IFERROR(VLOOKUP($D1306,[1]Balanza!$A$3:$K$852,10,0)-VLOOKUP($D1306,[1]Balanza!$A$3:$K$852,11,0),0)</f>
        <v>0</v>
      </c>
    </row>
    <row r="1307" spans="1:6" x14ac:dyDescent="0.3">
      <c r="A1307" s="2" t="s">
        <v>2433</v>
      </c>
      <c r="B1307" s="2" t="s">
        <v>2249</v>
      </c>
      <c r="C1307" t="s">
        <v>3079</v>
      </c>
      <c r="D1307" s="5" t="s">
        <v>4401</v>
      </c>
      <c r="E1307" s="6">
        <f>IFERROR(VLOOKUP($D1307,[1]Balanza!$A$3:$K$852,6,0)-VLOOKUP(D1307,[1]Balanza!$A$3:$K$852,7,0),0)</f>
        <v>22237.599999999999</v>
      </c>
      <c r="F1307" s="6">
        <f>IFERROR(VLOOKUP($D1307,[1]Balanza!$A$3:$K$852,10,0)-VLOOKUP($D1307,[1]Balanza!$A$3:$K$852,11,0),0)</f>
        <v>0</v>
      </c>
    </row>
    <row r="1308" spans="1:6" x14ac:dyDescent="0.3">
      <c r="A1308" s="2" t="s">
        <v>2434</v>
      </c>
      <c r="B1308" s="2" t="s">
        <v>1992</v>
      </c>
      <c r="C1308" t="s">
        <v>3079</v>
      </c>
      <c r="D1308" s="5" t="s">
        <v>4402</v>
      </c>
      <c r="E1308" s="6">
        <f>IFERROR(VLOOKUP($D1308,[1]Balanza!$A$3:$K$852,6,0)-VLOOKUP(D1308,[1]Balanza!$A$3:$K$852,7,0),0)</f>
        <v>22237.599999999999</v>
      </c>
      <c r="F1308" s="6">
        <f>IFERROR(VLOOKUP($D1308,[1]Balanza!$A$3:$K$852,10,0)-VLOOKUP($D1308,[1]Balanza!$A$3:$K$852,11,0),0)</f>
        <v>0</v>
      </c>
    </row>
    <row r="1309" spans="1:6" x14ac:dyDescent="0.3">
      <c r="A1309" s="2" t="s">
        <v>2435</v>
      </c>
      <c r="B1309" s="2" t="s">
        <v>2252</v>
      </c>
      <c r="C1309" t="s">
        <v>3079</v>
      </c>
      <c r="D1309" s="5" t="s">
        <v>4403</v>
      </c>
      <c r="E1309" s="6">
        <f>IFERROR(VLOOKUP($D1309,[1]Balanza!$A$3:$K$852,6,0)-VLOOKUP(D1309,[1]Balanza!$A$3:$K$852,7,0),0)</f>
        <v>5489.71</v>
      </c>
      <c r="F1309" s="6">
        <f>IFERROR(VLOOKUP($D1309,[1]Balanza!$A$3:$K$852,10,0)-VLOOKUP($D1309,[1]Balanza!$A$3:$K$852,11,0),0)</f>
        <v>0</v>
      </c>
    </row>
    <row r="1310" spans="1:6" x14ac:dyDescent="0.3">
      <c r="A1310" s="2" t="s">
        <v>2436</v>
      </c>
      <c r="B1310" s="2" t="s">
        <v>1996</v>
      </c>
      <c r="C1310" t="s">
        <v>3079</v>
      </c>
      <c r="D1310" s="5" t="s">
        <v>4404</v>
      </c>
      <c r="E1310" s="6">
        <f>IFERROR(VLOOKUP($D1310,[1]Balanza!$A$3:$K$852,6,0)-VLOOKUP(D1310,[1]Balanza!$A$3:$K$852,7,0),0)</f>
        <v>3958.79</v>
      </c>
      <c r="F1310" s="6">
        <f>IFERROR(VLOOKUP($D1310,[1]Balanza!$A$3:$K$852,10,0)-VLOOKUP($D1310,[1]Balanza!$A$3:$K$852,11,0),0)</f>
        <v>0</v>
      </c>
    </row>
    <row r="1311" spans="1:6" x14ac:dyDescent="0.3">
      <c r="A1311" s="2" t="s">
        <v>2437</v>
      </c>
      <c r="B1311" s="2" t="s">
        <v>2255</v>
      </c>
      <c r="C1311" t="s">
        <v>3079</v>
      </c>
      <c r="D1311" s="5" t="s">
        <v>4405</v>
      </c>
      <c r="E1311" s="6">
        <f>IFERROR(VLOOKUP($D1311,[1]Balanza!$A$3:$K$852,6,0)-VLOOKUP(D1311,[1]Balanza!$A$3:$K$852,7,0),0)</f>
        <v>0</v>
      </c>
      <c r="F1311" s="6">
        <f>IFERROR(VLOOKUP($D1311,[1]Balanza!$A$3:$K$852,10,0)-VLOOKUP($D1311,[1]Balanza!$A$3:$K$852,11,0),0)</f>
        <v>0</v>
      </c>
    </row>
    <row r="1312" spans="1:6" x14ac:dyDescent="0.3">
      <c r="A1312" s="2" t="s">
        <v>2438</v>
      </c>
      <c r="B1312" s="2" t="s">
        <v>2257</v>
      </c>
      <c r="C1312" t="s">
        <v>3079</v>
      </c>
      <c r="D1312" s="5" t="s">
        <v>4406</v>
      </c>
      <c r="E1312" s="6">
        <f>IFERROR(VLOOKUP($D1312,[1]Balanza!$A$3:$K$852,6,0)-VLOOKUP(D1312,[1]Balanza!$A$3:$K$852,7,0),0)</f>
        <v>0</v>
      </c>
      <c r="F1312" s="6">
        <f>IFERROR(VLOOKUP($D1312,[1]Balanza!$A$3:$K$852,10,0)-VLOOKUP($D1312,[1]Balanza!$A$3:$K$852,11,0),0)</f>
        <v>0</v>
      </c>
    </row>
    <row r="1313" spans="1:6" x14ac:dyDescent="0.3">
      <c r="A1313" s="2" t="s">
        <v>2439</v>
      </c>
      <c r="B1313" s="2" t="s">
        <v>2259</v>
      </c>
      <c r="C1313" t="s">
        <v>3079</v>
      </c>
      <c r="D1313" s="5" t="s">
        <v>4407</v>
      </c>
      <c r="E1313" s="6">
        <f>IFERROR(VLOOKUP($D1313,[1]Balanza!$A$3:$K$852,6,0)-VLOOKUP(D1313,[1]Balanza!$A$3:$K$852,7,0),0)</f>
        <v>0</v>
      </c>
      <c r="F1313" s="6">
        <f>IFERROR(VLOOKUP($D1313,[1]Balanza!$A$3:$K$852,10,0)-VLOOKUP($D1313,[1]Balanza!$A$3:$K$852,11,0),0)</f>
        <v>0</v>
      </c>
    </row>
    <row r="1314" spans="1:6" x14ac:dyDescent="0.3">
      <c r="A1314" s="2" t="s">
        <v>2440</v>
      </c>
      <c r="B1314" s="2" t="s">
        <v>2261</v>
      </c>
      <c r="C1314" t="s">
        <v>3079</v>
      </c>
      <c r="D1314" s="5" t="s">
        <v>4408</v>
      </c>
      <c r="E1314" s="6">
        <f>IFERROR(VLOOKUP($D1314,[1]Balanza!$A$3:$K$852,6,0)-VLOOKUP(D1314,[1]Balanza!$A$3:$K$852,7,0),0)</f>
        <v>0</v>
      </c>
      <c r="F1314" s="6">
        <f>IFERROR(VLOOKUP($D1314,[1]Balanza!$A$3:$K$852,10,0)-VLOOKUP($D1314,[1]Balanza!$A$3:$K$852,11,0),0)</f>
        <v>0</v>
      </c>
    </row>
    <row r="1315" spans="1:6" x14ac:dyDescent="0.3">
      <c r="A1315" s="2" t="s">
        <v>2441</v>
      </c>
      <c r="B1315" s="2" t="s">
        <v>2263</v>
      </c>
      <c r="C1315" t="s">
        <v>3079</v>
      </c>
      <c r="D1315" s="5" t="s">
        <v>4409</v>
      </c>
      <c r="E1315" s="6">
        <f>IFERROR(VLOOKUP($D1315,[1]Balanza!$A$3:$K$852,6,0)-VLOOKUP(D1315,[1]Balanza!$A$3:$K$852,7,0),0)</f>
        <v>9682.44</v>
      </c>
      <c r="F1315" s="6">
        <f>IFERROR(VLOOKUP($D1315,[1]Balanza!$A$3:$K$852,10,0)-VLOOKUP($D1315,[1]Balanza!$A$3:$K$852,11,0),0)</f>
        <v>0</v>
      </c>
    </row>
    <row r="1316" spans="1:6" x14ac:dyDescent="0.3">
      <c r="A1316" s="2" t="s">
        <v>2442</v>
      </c>
      <c r="B1316" s="2" t="s">
        <v>2265</v>
      </c>
      <c r="C1316" t="s">
        <v>3079</v>
      </c>
      <c r="D1316" s="5" t="s">
        <v>4410</v>
      </c>
      <c r="E1316" s="6">
        <f>IFERROR(VLOOKUP($D1316,[1]Balanza!$A$3:$K$852,6,0)-VLOOKUP(D1316,[1]Balanza!$A$3:$K$852,7,0),0)</f>
        <v>0</v>
      </c>
      <c r="F1316" s="6">
        <f>IFERROR(VLOOKUP($D1316,[1]Balanza!$A$3:$K$852,10,0)-VLOOKUP($D1316,[1]Balanza!$A$3:$K$852,11,0),0)</f>
        <v>0</v>
      </c>
    </row>
    <row r="1317" spans="1:6" x14ac:dyDescent="0.3">
      <c r="A1317" s="2" t="s">
        <v>2443</v>
      </c>
      <c r="B1317" s="2" t="s">
        <v>2267</v>
      </c>
      <c r="C1317" t="s">
        <v>3079</v>
      </c>
      <c r="D1317" s="5" t="s">
        <v>4411</v>
      </c>
      <c r="E1317" s="6">
        <f>IFERROR(VLOOKUP($D1317,[1]Balanza!$A$3:$K$852,6,0)-VLOOKUP(D1317,[1]Balanza!$A$3:$K$852,7,0),0)</f>
        <v>0</v>
      </c>
      <c r="F1317" s="6">
        <f>IFERROR(VLOOKUP($D1317,[1]Balanza!$A$3:$K$852,10,0)-VLOOKUP($D1317,[1]Balanza!$A$3:$K$852,11,0),0)</f>
        <v>0</v>
      </c>
    </row>
    <row r="1318" spans="1:6" x14ac:dyDescent="0.3">
      <c r="A1318" s="2" t="s">
        <v>2444</v>
      </c>
      <c r="B1318" s="2" t="s">
        <v>2269</v>
      </c>
      <c r="C1318" t="s">
        <v>3079</v>
      </c>
      <c r="D1318" s="5" t="s">
        <v>4412</v>
      </c>
      <c r="E1318" s="6">
        <f>IFERROR(VLOOKUP($D1318,[1]Balanza!$A$3:$K$852,6,0)-VLOOKUP(D1318,[1]Balanza!$A$3:$K$852,7,0),0)</f>
        <v>20889</v>
      </c>
      <c r="F1318" s="6">
        <f>IFERROR(VLOOKUP($D1318,[1]Balanza!$A$3:$K$852,10,0)-VLOOKUP($D1318,[1]Balanza!$A$3:$K$852,11,0),0)</f>
        <v>0</v>
      </c>
    </row>
    <row r="1319" spans="1:6" x14ac:dyDescent="0.3">
      <c r="A1319" s="2" t="s">
        <v>2445</v>
      </c>
      <c r="B1319" s="2" t="s">
        <v>2271</v>
      </c>
      <c r="C1319" t="s">
        <v>3079</v>
      </c>
      <c r="D1319" s="5" t="s">
        <v>4413</v>
      </c>
      <c r="E1319" s="6">
        <f>IFERROR(VLOOKUP($D1319,[1]Balanza!$A$3:$K$852,6,0)-VLOOKUP(D1319,[1]Balanza!$A$3:$K$852,7,0),0)</f>
        <v>0</v>
      </c>
      <c r="F1319" s="6">
        <f>IFERROR(VLOOKUP($D1319,[1]Balanza!$A$3:$K$852,10,0)-VLOOKUP($D1319,[1]Balanza!$A$3:$K$852,11,0),0)</f>
        <v>0</v>
      </c>
    </row>
    <row r="1320" spans="1:6" x14ac:dyDescent="0.3">
      <c r="A1320" s="2" t="s">
        <v>2446</v>
      </c>
      <c r="B1320" s="2" t="s">
        <v>2273</v>
      </c>
      <c r="C1320" t="s">
        <v>3079</v>
      </c>
      <c r="D1320" s="5" t="s">
        <v>4414</v>
      </c>
      <c r="E1320" s="6">
        <f>IFERROR(VLOOKUP($D1320,[1]Balanza!$A$3:$K$852,6,0)-VLOOKUP(D1320,[1]Balanza!$A$3:$K$852,7,0),0)</f>
        <v>0</v>
      </c>
      <c r="F1320" s="6">
        <f>IFERROR(VLOOKUP($D1320,[1]Balanza!$A$3:$K$852,10,0)-VLOOKUP($D1320,[1]Balanza!$A$3:$K$852,11,0),0)</f>
        <v>0</v>
      </c>
    </row>
    <row r="1321" spans="1:6" x14ac:dyDescent="0.3">
      <c r="A1321" s="2" t="s">
        <v>2447</v>
      </c>
      <c r="B1321" s="2" t="s">
        <v>2275</v>
      </c>
      <c r="C1321" t="s">
        <v>3079</v>
      </c>
      <c r="D1321" s="5" t="s">
        <v>4415</v>
      </c>
      <c r="E1321" s="6">
        <f>IFERROR(VLOOKUP($D1321,[1]Balanza!$A$3:$K$852,6,0)-VLOOKUP(D1321,[1]Balanza!$A$3:$K$852,7,0),0)</f>
        <v>0</v>
      </c>
      <c r="F1321" s="6">
        <f>IFERROR(VLOOKUP($D1321,[1]Balanza!$A$3:$K$852,10,0)-VLOOKUP($D1321,[1]Balanza!$A$3:$K$852,11,0),0)</f>
        <v>0</v>
      </c>
    </row>
    <row r="1322" spans="1:6" x14ac:dyDescent="0.3">
      <c r="A1322" s="2" t="s">
        <v>2448</v>
      </c>
      <c r="B1322" s="2" t="s">
        <v>2277</v>
      </c>
      <c r="C1322" t="s">
        <v>3079</v>
      </c>
      <c r="D1322" s="5" t="s">
        <v>4416</v>
      </c>
      <c r="E1322" s="6">
        <f>IFERROR(VLOOKUP($D1322,[1]Balanza!$A$3:$K$852,6,0)-VLOOKUP(D1322,[1]Balanza!$A$3:$K$852,7,0),0)</f>
        <v>11118.85</v>
      </c>
      <c r="F1322" s="6">
        <f>IFERROR(VLOOKUP($D1322,[1]Balanza!$A$3:$K$852,10,0)-VLOOKUP($D1322,[1]Balanza!$A$3:$K$852,11,0),0)</f>
        <v>0</v>
      </c>
    </row>
    <row r="1323" spans="1:6" x14ac:dyDescent="0.3">
      <c r="A1323" s="2" t="s">
        <v>2449</v>
      </c>
      <c r="B1323" s="2" t="s">
        <v>2279</v>
      </c>
      <c r="C1323" t="s">
        <v>3079</v>
      </c>
      <c r="D1323" s="5" t="s">
        <v>4417</v>
      </c>
      <c r="E1323" s="6">
        <f>IFERROR(VLOOKUP($D1323,[1]Balanza!$A$3:$K$852,6,0)-VLOOKUP(D1323,[1]Balanza!$A$3:$K$852,7,0),0)</f>
        <v>0</v>
      </c>
      <c r="F1323" s="6">
        <f>IFERROR(VLOOKUP($D1323,[1]Balanza!$A$3:$K$852,10,0)-VLOOKUP($D1323,[1]Balanza!$A$3:$K$852,11,0),0)</f>
        <v>0</v>
      </c>
    </row>
    <row r="1324" spans="1:6" x14ac:dyDescent="0.3">
      <c r="A1324" s="2" t="s">
        <v>2450</v>
      </c>
      <c r="B1324" s="2" t="s">
        <v>2281</v>
      </c>
      <c r="C1324" t="s">
        <v>3079</v>
      </c>
      <c r="D1324" s="5" t="s">
        <v>4418</v>
      </c>
      <c r="E1324" s="6">
        <f>IFERROR(VLOOKUP($D1324,[1]Balanza!$A$3:$K$852,6,0)-VLOOKUP(D1324,[1]Balanza!$A$3:$K$852,7,0),0)</f>
        <v>0</v>
      </c>
      <c r="F1324" s="6">
        <f>IFERROR(VLOOKUP($D1324,[1]Balanza!$A$3:$K$852,10,0)-VLOOKUP($D1324,[1]Balanza!$A$3:$K$852,11,0),0)</f>
        <v>0</v>
      </c>
    </row>
    <row r="1325" spans="1:6" x14ac:dyDescent="0.3">
      <c r="A1325" s="2" t="s">
        <v>2451</v>
      </c>
      <c r="B1325" s="2" t="s">
        <v>2283</v>
      </c>
      <c r="C1325" t="s">
        <v>3079</v>
      </c>
      <c r="D1325" s="5" t="s">
        <v>4419</v>
      </c>
      <c r="E1325" s="6">
        <f>IFERROR(VLOOKUP($D1325,[1]Balanza!$A$3:$K$852,6,0)-VLOOKUP(D1325,[1]Balanza!$A$3:$K$852,7,0),0)</f>
        <v>0</v>
      </c>
      <c r="F1325" s="6">
        <f>IFERROR(VLOOKUP($D1325,[1]Balanza!$A$3:$K$852,10,0)-VLOOKUP($D1325,[1]Balanza!$A$3:$K$852,11,0),0)</f>
        <v>0</v>
      </c>
    </row>
    <row r="1326" spans="1:6" x14ac:dyDescent="0.3">
      <c r="A1326" s="2" t="s">
        <v>2452</v>
      </c>
      <c r="B1326" s="2" t="s">
        <v>2285</v>
      </c>
      <c r="C1326" t="s">
        <v>3079</v>
      </c>
      <c r="D1326" s="5" t="s">
        <v>4420</v>
      </c>
      <c r="E1326" s="6">
        <f>IFERROR(VLOOKUP($D1326,[1]Balanza!$A$3:$K$852,6,0)-VLOOKUP(D1326,[1]Balanza!$A$3:$K$852,7,0),0)</f>
        <v>0</v>
      </c>
      <c r="F1326" s="6">
        <f>IFERROR(VLOOKUP($D1326,[1]Balanza!$A$3:$K$852,10,0)-VLOOKUP($D1326,[1]Balanza!$A$3:$K$852,11,0),0)</f>
        <v>0</v>
      </c>
    </row>
    <row r="1327" spans="1:6" x14ac:dyDescent="0.3">
      <c r="A1327" s="2" t="s">
        <v>2453</v>
      </c>
      <c r="B1327" s="2" t="s">
        <v>2454</v>
      </c>
      <c r="C1327" t="s">
        <v>3079</v>
      </c>
      <c r="D1327" s="5" t="s">
        <v>4421</v>
      </c>
      <c r="E1327" s="6">
        <f>IFERROR(VLOOKUP($D1327,[1]Balanza!$A$3:$K$852,6,0)-VLOOKUP(D1327,[1]Balanza!$A$3:$K$852,7,0),0)</f>
        <v>0</v>
      </c>
      <c r="F1327" s="6">
        <f>IFERROR(VLOOKUP($D1327,[1]Balanza!$A$3:$K$852,10,0)-VLOOKUP($D1327,[1]Balanza!$A$3:$K$852,11,0),0)</f>
        <v>0</v>
      </c>
    </row>
    <row r="1328" spans="1:6" x14ac:dyDescent="0.3">
      <c r="A1328" s="2" t="s">
        <v>2455</v>
      </c>
      <c r="B1328" s="2" t="s">
        <v>2456</v>
      </c>
      <c r="C1328" t="s">
        <v>3079</v>
      </c>
      <c r="D1328" s="5" t="s">
        <v>4422</v>
      </c>
      <c r="E1328" s="6">
        <f>IFERROR(VLOOKUP($D1328,[1]Balanza!$A$3:$K$852,6,0)-VLOOKUP(D1328,[1]Balanza!$A$3:$K$852,7,0),0)</f>
        <v>0</v>
      </c>
      <c r="F1328" s="6">
        <f>IFERROR(VLOOKUP($D1328,[1]Balanza!$A$3:$K$852,10,0)-VLOOKUP($D1328,[1]Balanza!$A$3:$K$852,11,0),0)</f>
        <v>0</v>
      </c>
    </row>
    <row r="1329" spans="1:6" x14ac:dyDescent="0.3">
      <c r="A1329" s="2" t="s">
        <v>2457</v>
      </c>
      <c r="B1329" s="2" t="s">
        <v>2267</v>
      </c>
      <c r="C1329" t="s">
        <v>3079</v>
      </c>
      <c r="D1329" s="5" t="s">
        <v>4423</v>
      </c>
      <c r="E1329" s="6">
        <f>IFERROR(VLOOKUP($D1329,[1]Balanza!$A$3:$K$852,6,0)-VLOOKUP(D1329,[1]Balanza!$A$3:$K$852,7,0),0)</f>
        <v>0</v>
      </c>
      <c r="F1329" s="6">
        <f>IFERROR(VLOOKUP($D1329,[1]Balanza!$A$3:$K$852,10,0)-VLOOKUP($D1329,[1]Balanza!$A$3:$K$852,11,0),0)</f>
        <v>0</v>
      </c>
    </row>
    <row r="1330" spans="1:6" x14ac:dyDescent="0.3">
      <c r="A1330" s="2" t="s">
        <v>2458</v>
      </c>
      <c r="B1330" s="2" t="s">
        <v>2459</v>
      </c>
      <c r="C1330" t="s">
        <v>3079</v>
      </c>
      <c r="D1330" s="5" t="s">
        <v>4424</v>
      </c>
      <c r="E1330" s="6">
        <f>IFERROR(VLOOKUP($D1330,[1]Balanza!$A$3:$K$852,6,0)-VLOOKUP(D1330,[1]Balanza!$A$3:$K$852,7,0),0)</f>
        <v>1737.14</v>
      </c>
      <c r="F1330" s="6">
        <f>IFERROR(VLOOKUP($D1330,[1]Balanza!$A$3:$K$852,10,0)-VLOOKUP($D1330,[1]Balanza!$A$3:$K$852,11,0),0)</f>
        <v>0</v>
      </c>
    </row>
    <row r="1331" spans="1:6" x14ac:dyDescent="0.3">
      <c r="A1331" s="2" t="s">
        <v>2460</v>
      </c>
      <c r="B1331" s="2" t="s">
        <v>2461</v>
      </c>
      <c r="C1331" t="s">
        <v>3079</v>
      </c>
      <c r="D1331" s="5" t="s">
        <v>4425</v>
      </c>
      <c r="E1331" s="6">
        <f>IFERROR(VLOOKUP($D1331,[1]Balanza!$A$3:$K$852,6,0)-VLOOKUP(D1331,[1]Balanza!$A$3:$K$852,7,0),0)</f>
        <v>109888.22</v>
      </c>
      <c r="F1331" s="6">
        <f>IFERROR(VLOOKUP($D1331,[1]Balanza!$A$3:$K$852,10,0)-VLOOKUP($D1331,[1]Balanza!$A$3:$K$852,11,0),0)</f>
        <v>0</v>
      </c>
    </row>
    <row r="1332" spans="1:6" x14ac:dyDescent="0.3">
      <c r="A1332" s="2" t="s">
        <v>2462</v>
      </c>
      <c r="B1332" s="2" t="s">
        <v>2463</v>
      </c>
      <c r="C1332" t="s">
        <v>3079</v>
      </c>
      <c r="D1332" s="5" t="s">
        <v>4426</v>
      </c>
      <c r="E1332" s="6">
        <f>IFERROR(VLOOKUP($D1332,[1]Balanza!$A$3:$K$852,6,0)-VLOOKUP(D1332,[1]Balanza!$A$3:$K$852,7,0),0)</f>
        <v>0</v>
      </c>
      <c r="F1332" s="6">
        <f>IFERROR(VLOOKUP($D1332,[1]Balanza!$A$3:$K$852,10,0)-VLOOKUP($D1332,[1]Balanza!$A$3:$K$852,11,0),0)</f>
        <v>0</v>
      </c>
    </row>
    <row r="1333" spans="1:6" x14ac:dyDescent="0.3">
      <c r="A1333" s="2" t="s">
        <v>2464</v>
      </c>
      <c r="B1333" s="2" t="s">
        <v>1828</v>
      </c>
      <c r="C1333" t="s">
        <v>3079</v>
      </c>
      <c r="D1333" s="5" t="s">
        <v>4427</v>
      </c>
      <c r="E1333" s="6">
        <f>IFERROR(VLOOKUP($D1333,[1]Balanza!$A$3:$K$852,6,0)-VLOOKUP(D1333,[1]Balanza!$A$3:$K$852,7,0),0)</f>
        <v>0</v>
      </c>
      <c r="F1333" s="6">
        <f>IFERROR(VLOOKUP($D1333,[1]Balanza!$A$3:$K$852,10,0)-VLOOKUP($D1333,[1]Balanza!$A$3:$K$852,11,0),0)</f>
        <v>0</v>
      </c>
    </row>
    <row r="1334" spans="1:6" x14ac:dyDescent="0.3">
      <c r="A1334" s="2" t="s">
        <v>4863</v>
      </c>
      <c r="B1334" s="2" t="s">
        <v>4864</v>
      </c>
      <c r="C1334" t="s">
        <v>3079</v>
      </c>
      <c r="D1334" s="5" t="s">
        <v>4876</v>
      </c>
      <c r="E1334" s="6">
        <f>IFERROR(VLOOKUP($D1334,[1]Balanza!$A$3:$K$852,6,0)-VLOOKUP(D1334,[1]Balanza!$A$3:$K$852,7,0),0)</f>
        <v>140000</v>
      </c>
      <c r="F1334" s="6">
        <f>IFERROR(VLOOKUP($D1334,[1]Balanza!$A$3:$K$852,10,0)-VLOOKUP($D1334,[1]Balanza!$A$3:$K$852,11,0),0)</f>
        <v>0</v>
      </c>
    </row>
    <row r="1335" spans="1:6" x14ac:dyDescent="0.3">
      <c r="A1335" s="2" t="s">
        <v>2465</v>
      </c>
      <c r="B1335" s="2" t="s">
        <v>1833</v>
      </c>
      <c r="C1335" t="s">
        <v>3079</v>
      </c>
      <c r="D1335" s="5" t="s">
        <v>4428</v>
      </c>
      <c r="E1335" s="6">
        <f>IFERROR(VLOOKUP($D1335,[1]Balanza!$A$3:$K$852,6,0)-VLOOKUP(D1335,[1]Balanza!$A$3:$K$852,7,0),0)</f>
        <v>18616.07</v>
      </c>
      <c r="F1335" s="6">
        <f>IFERROR(VLOOKUP($D1335,[1]Balanza!$A$3:$K$852,10,0)-VLOOKUP($D1335,[1]Balanza!$A$3:$K$852,11,0),0)</f>
        <v>0</v>
      </c>
    </row>
    <row r="1336" spans="1:6" x14ac:dyDescent="0.3">
      <c r="A1336" s="2" t="s">
        <v>2466</v>
      </c>
      <c r="B1336" s="2" t="s">
        <v>1835</v>
      </c>
      <c r="C1336" t="s">
        <v>3079</v>
      </c>
      <c r="D1336" s="5" t="s">
        <v>4429</v>
      </c>
      <c r="E1336" s="6">
        <f>IFERROR(VLOOKUP($D1336,[1]Balanza!$A$3:$K$852,6,0)-VLOOKUP(D1336,[1]Balanza!$A$3:$K$852,7,0),0)</f>
        <v>26945.18</v>
      </c>
      <c r="F1336" s="6">
        <f>IFERROR(VLOOKUP($D1336,[1]Balanza!$A$3:$K$852,10,0)-VLOOKUP($D1336,[1]Balanza!$A$3:$K$852,11,0),0)</f>
        <v>0</v>
      </c>
    </row>
    <row r="1337" spans="1:6" x14ac:dyDescent="0.3">
      <c r="A1337" s="2" t="s">
        <v>2467</v>
      </c>
      <c r="B1337" s="2" t="s">
        <v>1837</v>
      </c>
      <c r="C1337" t="s">
        <v>3079</v>
      </c>
      <c r="D1337" s="5" t="s">
        <v>4430</v>
      </c>
      <c r="E1337" s="6">
        <f>IFERROR(VLOOKUP($D1337,[1]Balanza!$A$3:$K$852,6,0)-VLOOKUP(D1337,[1]Balanza!$A$3:$K$852,7,0),0)</f>
        <v>44128.02</v>
      </c>
      <c r="F1337" s="6">
        <f>IFERROR(VLOOKUP($D1337,[1]Balanza!$A$3:$K$852,10,0)-VLOOKUP($D1337,[1]Balanza!$A$3:$K$852,11,0),0)</f>
        <v>0</v>
      </c>
    </row>
    <row r="1338" spans="1:6" x14ac:dyDescent="0.3">
      <c r="A1338" s="2" t="s">
        <v>2468</v>
      </c>
      <c r="B1338" s="2" t="s">
        <v>1839</v>
      </c>
      <c r="C1338" t="s">
        <v>3079</v>
      </c>
      <c r="D1338" s="5" t="s">
        <v>4431</v>
      </c>
      <c r="E1338" s="6">
        <f>IFERROR(VLOOKUP($D1338,[1]Balanza!$A$3:$K$852,6,0)-VLOOKUP(D1338,[1]Balanza!$A$3:$K$852,7,0),0)</f>
        <v>9084.5</v>
      </c>
      <c r="F1338" s="6">
        <f>IFERROR(VLOOKUP($D1338,[1]Balanza!$A$3:$K$852,10,0)-VLOOKUP($D1338,[1]Balanza!$A$3:$K$852,11,0),0)</f>
        <v>0</v>
      </c>
    </row>
    <row r="1339" spans="1:6" x14ac:dyDescent="0.3">
      <c r="A1339" s="2" t="s">
        <v>2469</v>
      </c>
      <c r="B1339" s="2" t="s">
        <v>1841</v>
      </c>
      <c r="C1339" t="s">
        <v>3079</v>
      </c>
      <c r="D1339" s="5" t="s">
        <v>4432</v>
      </c>
      <c r="E1339" s="6">
        <f>IFERROR(VLOOKUP($D1339,[1]Balanza!$A$3:$K$852,6,0)-VLOOKUP(D1339,[1]Balanza!$A$3:$K$852,7,0),0)</f>
        <v>0</v>
      </c>
      <c r="F1339" s="6">
        <f>IFERROR(VLOOKUP($D1339,[1]Balanza!$A$3:$K$852,10,0)-VLOOKUP($D1339,[1]Balanza!$A$3:$K$852,11,0),0)</f>
        <v>0</v>
      </c>
    </row>
    <row r="1340" spans="1:6" x14ac:dyDescent="0.3">
      <c r="A1340" s="2" t="s">
        <v>2470</v>
      </c>
      <c r="B1340" s="2" t="s">
        <v>2296</v>
      </c>
      <c r="C1340" t="s">
        <v>3079</v>
      </c>
      <c r="D1340" s="5" t="s">
        <v>4433</v>
      </c>
      <c r="E1340" s="6">
        <f>IFERROR(VLOOKUP($D1340,[1]Balanza!$A$3:$K$852,6,0)-VLOOKUP(D1340,[1]Balanza!$A$3:$K$852,7,0),0)</f>
        <v>0</v>
      </c>
      <c r="F1340" s="6">
        <f>IFERROR(VLOOKUP($D1340,[1]Balanza!$A$3:$K$852,10,0)-VLOOKUP($D1340,[1]Balanza!$A$3:$K$852,11,0),0)</f>
        <v>0</v>
      </c>
    </row>
    <row r="1341" spans="1:6" x14ac:dyDescent="0.3">
      <c r="A1341" s="2" t="s">
        <v>2471</v>
      </c>
      <c r="B1341" s="2" t="s">
        <v>2298</v>
      </c>
      <c r="C1341" t="s">
        <v>3038</v>
      </c>
      <c r="D1341" s="5" t="s">
        <v>4434</v>
      </c>
      <c r="E1341" s="6">
        <f>IFERROR(VLOOKUP($D1341,[1]Balanza!$A$3:$K$852,6,0)-VLOOKUP(D1341,[1]Balanza!$A$3:$K$852,7,0),0)</f>
        <v>0</v>
      </c>
      <c r="F1341" s="6">
        <f>IFERROR(VLOOKUP($D1341,[1]Balanza!$A$3:$K$852,10,0)-VLOOKUP($D1341,[1]Balanza!$A$3:$K$852,11,0),0)</f>
        <v>0</v>
      </c>
    </row>
    <row r="1342" spans="1:6" x14ac:dyDescent="0.3">
      <c r="A1342" s="2" t="s">
        <v>2472</v>
      </c>
      <c r="B1342" s="2" t="s">
        <v>2300</v>
      </c>
      <c r="C1342" t="s">
        <v>3038</v>
      </c>
      <c r="D1342" s="5" t="s">
        <v>4435</v>
      </c>
      <c r="E1342" s="6">
        <f>IFERROR(VLOOKUP($D1342,[1]Balanza!$A$3:$K$852,6,0)-VLOOKUP(D1342,[1]Balanza!$A$3:$K$852,7,0),0)</f>
        <v>0</v>
      </c>
      <c r="F1342" s="6">
        <f>IFERROR(VLOOKUP($D1342,[1]Balanza!$A$3:$K$852,10,0)-VLOOKUP($D1342,[1]Balanza!$A$3:$K$852,11,0),0)</f>
        <v>0</v>
      </c>
    </row>
    <row r="1343" spans="1:6" x14ac:dyDescent="0.3">
      <c r="A1343" s="2" t="s">
        <v>2473</v>
      </c>
      <c r="B1343" s="2" t="s">
        <v>2474</v>
      </c>
      <c r="C1343" t="s">
        <v>3080</v>
      </c>
      <c r="D1343" s="5" t="s">
        <v>4436</v>
      </c>
      <c r="E1343" s="6">
        <f>IFERROR(VLOOKUP($D1343,[1]Balanza!$A$3:$K$852,6,0)-VLOOKUP(D1343,[1]Balanza!$A$3:$K$852,7,0),0)</f>
        <v>0</v>
      </c>
      <c r="F1343" s="6">
        <f>IFERROR(VLOOKUP($D1343,[1]Balanza!$A$3:$K$852,10,0)-VLOOKUP($D1343,[1]Balanza!$A$3:$K$852,11,0),0)</f>
        <v>0</v>
      </c>
    </row>
    <row r="1344" spans="1:6" x14ac:dyDescent="0.3">
      <c r="A1344" s="2" t="s">
        <v>2475</v>
      </c>
      <c r="B1344" s="2" t="s">
        <v>2476</v>
      </c>
      <c r="C1344" t="s">
        <v>3080</v>
      </c>
      <c r="D1344" s="5" t="s">
        <v>4437</v>
      </c>
      <c r="E1344" s="6">
        <f>IFERROR(VLOOKUP($D1344,[1]Balanza!$A$3:$K$852,6,0)-VLOOKUP(D1344,[1]Balanza!$A$3:$K$852,7,0),0)</f>
        <v>0</v>
      </c>
      <c r="F1344" s="6">
        <f>IFERROR(VLOOKUP($D1344,[1]Balanza!$A$3:$K$852,10,0)-VLOOKUP($D1344,[1]Balanza!$A$3:$K$852,11,0),0)</f>
        <v>0</v>
      </c>
    </row>
    <row r="1345" spans="1:6" x14ac:dyDescent="0.3">
      <c r="A1345" s="2" t="s">
        <v>2477</v>
      </c>
      <c r="B1345" s="2" t="s">
        <v>2478</v>
      </c>
      <c r="C1345" t="s">
        <v>3080</v>
      </c>
      <c r="D1345" s="5" t="s">
        <v>4438</v>
      </c>
      <c r="E1345" s="6">
        <f>IFERROR(VLOOKUP($D1345,[1]Balanza!$A$3:$K$852,6,0)-VLOOKUP(D1345,[1]Balanza!$A$3:$K$852,7,0),0)</f>
        <v>0</v>
      </c>
      <c r="F1345" s="6">
        <f>IFERROR(VLOOKUP($D1345,[1]Balanza!$A$3:$K$852,10,0)-VLOOKUP($D1345,[1]Balanza!$A$3:$K$852,11,0),0)</f>
        <v>0</v>
      </c>
    </row>
    <row r="1346" spans="1:6" x14ac:dyDescent="0.3">
      <c r="A1346" s="2" t="s">
        <v>2479</v>
      </c>
      <c r="B1346" s="2" t="s">
        <v>2480</v>
      </c>
      <c r="C1346" t="s">
        <v>3080</v>
      </c>
      <c r="D1346" s="5" t="s">
        <v>4439</v>
      </c>
      <c r="E1346" s="6">
        <f>IFERROR(VLOOKUP($D1346,[1]Balanza!$A$3:$K$852,6,0)-VLOOKUP(D1346,[1]Balanza!$A$3:$K$852,7,0),0)</f>
        <v>0</v>
      </c>
      <c r="F1346" s="6">
        <f>IFERROR(VLOOKUP($D1346,[1]Balanza!$A$3:$K$852,10,0)-VLOOKUP($D1346,[1]Balanza!$A$3:$K$852,11,0),0)</f>
        <v>0</v>
      </c>
    </row>
    <row r="1347" spans="1:6" x14ac:dyDescent="0.3">
      <c r="A1347" s="2" t="s">
        <v>2481</v>
      </c>
      <c r="B1347" s="2" t="s">
        <v>2482</v>
      </c>
      <c r="C1347" t="s">
        <v>3080</v>
      </c>
      <c r="D1347" s="5" t="s">
        <v>4440</v>
      </c>
      <c r="E1347" s="6">
        <f>IFERROR(VLOOKUP($D1347,[1]Balanza!$A$3:$K$852,6,0)-VLOOKUP(D1347,[1]Balanza!$A$3:$K$852,7,0),0)</f>
        <v>3044.88</v>
      </c>
      <c r="F1347" s="6">
        <f>IFERROR(VLOOKUP($D1347,[1]Balanza!$A$3:$K$852,10,0)-VLOOKUP($D1347,[1]Balanza!$A$3:$K$852,11,0),0)</f>
        <v>0</v>
      </c>
    </row>
    <row r="1348" spans="1:6" x14ac:dyDescent="0.3">
      <c r="A1348" s="2" t="s">
        <v>2483</v>
      </c>
      <c r="B1348" s="2" t="s">
        <v>2484</v>
      </c>
      <c r="C1348" t="s">
        <v>3080</v>
      </c>
      <c r="D1348" s="5" t="s">
        <v>4441</v>
      </c>
      <c r="E1348" s="6">
        <f>IFERROR(VLOOKUP($D1348,[1]Balanza!$A$3:$K$852,6,0)-VLOOKUP(D1348,[1]Balanza!$A$3:$K$852,7,0),0)</f>
        <v>0</v>
      </c>
      <c r="F1348" s="6">
        <f>IFERROR(VLOOKUP($D1348,[1]Balanza!$A$3:$K$852,10,0)-VLOOKUP($D1348,[1]Balanza!$A$3:$K$852,11,0),0)</f>
        <v>0</v>
      </c>
    </row>
    <row r="1349" spans="1:6" x14ac:dyDescent="0.3">
      <c r="A1349" s="2" t="s">
        <v>2485</v>
      </c>
      <c r="B1349" s="2" t="s">
        <v>2486</v>
      </c>
      <c r="C1349" t="s">
        <v>3080</v>
      </c>
      <c r="D1349" s="5" t="s">
        <v>4442</v>
      </c>
      <c r="E1349" s="6">
        <f>IFERROR(VLOOKUP($D1349,[1]Balanza!$A$3:$K$852,6,0)-VLOOKUP(D1349,[1]Balanza!$A$3:$K$852,7,0),0)</f>
        <v>0</v>
      </c>
      <c r="F1349" s="6">
        <f>IFERROR(VLOOKUP($D1349,[1]Balanza!$A$3:$K$852,10,0)-VLOOKUP($D1349,[1]Balanza!$A$3:$K$852,11,0),0)</f>
        <v>0</v>
      </c>
    </row>
    <row r="1350" spans="1:6" x14ac:dyDescent="0.3">
      <c r="A1350" s="2" t="s">
        <v>2487</v>
      </c>
      <c r="B1350" s="2" t="s">
        <v>2488</v>
      </c>
      <c r="C1350" t="s">
        <v>3080</v>
      </c>
      <c r="D1350" s="5" t="s">
        <v>4443</v>
      </c>
      <c r="E1350" s="6">
        <f>IFERROR(VLOOKUP($D1350,[1]Balanza!$A$3:$K$852,6,0)-VLOOKUP(D1350,[1]Balanza!$A$3:$K$852,7,0),0)</f>
        <v>0</v>
      </c>
      <c r="F1350" s="6">
        <f>IFERROR(VLOOKUP($D1350,[1]Balanza!$A$3:$K$852,10,0)-VLOOKUP($D1350,[1]Balanza!$A$3:$K$852,11,0),0)</f>
        <v>0</v>
      </c>
    </row>
    <row r="1351" spans="1:6" x14ac:dyDescent="0.3">
      <c r="A1351" s="2" t="s">
        <v>2489</v>
      </c>
      <c r="B1351" s="2" t="s">
        <v>2318</v>
      </c>
      <c r="C1351" t="s">
        <v>3080</v>
      </c>
      <c r="D1351" s="5" t="s">
        <v>4444</v>
      </c>
      <c r="E1351" s="6">
        <f>IFERROR(VLOOKUP($D1351,[1]Balanza!$A$3:$K$852,6,0)-VLOOKUP(D1351,[1]Balanza!$A$3:$K$852,7,0),0)</f>
        <v>0</v>
      </c>
      <c r="F1351" s="6">
        <f>IFERROR(VLOOKUP($D1351,[1]Balanza!$A$3:$K$852,10,0)-VLOOKUP($D1351,[1]Balanza!$A$3:$K$852,11,0),0)</f>
        <v>0</v>
      </c>
    </row>
    <row r="1352" spans="1:6" x14ac:dyDescent="0.3">
      <c r="A1352" s="2" t="s">
        <v>2490</v>
      </c>
      <c r="B1352" s="2" t="s">
        <v>2320</v>
      </c>
      <c r="C1352" t="s">
        <v>3080</v>
      </c>
      <c r="D1352" s="5" t="s">
        <v>4445</v>
      </c>
      <c r="E1352" s="6">
        <f>IFERROR(VLOOKUP($D1352,[1]Balanza!$A$3:$K$852,6,0)-VLOOKUP(D1352,[1]Balanza!$A$3:$K$852,7,0),0)</f>
        <v>0</v>
      </c>
      <c r="F1352" s="6">
        <f>IFERROR(VLOOKUP($D1352,[1]Balanza!$A$3:$K$852,10,0)-VLOOKUP($D1352,[1]Balanza!$A$3:$K$852,11,0),0)</f>
        <v>0</v>
      </c>
    </row>
    <row r="1353" spans="1:6" x14ac:dyDescent="0.3">
      <c r="A1353" s="2" t="s">
        <v>2491</v>
      </c>
      <c r="B1353" s="2" t="s">
        <v>2322</v>
      </c>
      <c r="C1353" t="s">
        <v>3080</v>
      </c>
      <c r="D1353" s="5" t="s">
        <v>4446</v>
      </c>
      <c r="E1353" s="6">
        <f>IFERROR(VLOOKUP($D1353,[1]Balanza!$A$3:$K$852,6,0)-VLOOKUP(D1353,[1]Balanza!$A$3:$K$852,7,0),0)</f>
        <v>0</v>
      </c>
      <c r="F1353" s="6">
        <f>IFERROR(VLOOKUP($D1353,[1]Balanza!$A$3:$K$852,10,0)-VLOOKUP($D1353,[1]Balanza!$A$3:$K$852,11,0),0)</f>
        <v>0</v>
      </c>
    </row>
    <row r="1354" spans="1:6" x14ac:dyDescent="0.3">
      <c r="A1354" s="2" t="s">
        <v>2492</v>
      </c>
      <c r="B1354" s="2" t="s">
        <v>2493</v>
      </c>
      <c r="C1354" t="s">
        <v>4919</v>
      </c>
      <c r="D1354" s="5" t="s">
        <v>4447</v>
      </c>
      <c r="E1354" s="6">
        <f>IFERROR(VLOOKUP($D1354,[1]Balanza!$A$3:$K$852,6,0)-VLOOKUP(D1354,[1]Balanza!$A$3:$K$852,7,0),0)</f>
        <v>0</v>
      </c>
      <c r="F1354" s="6">
        <f>IFERROR(VLOOKUP($D1354,[1]Balanza!$A$3:$K$852,10,0)-VLOOKUP($D1354,[1]Balanza!$A$3:$K$852,11,0),0)</f>
        <v>0</v>
      </c>
    </row>
    <row r="1355" spans="1:6" x14ac:dyDescent="0.3">
      <c r="A1355" s="2" t="s">
        <v>2494</v>
      </c>
      <c r="B1355" s="2" t="s">
        <v>2495</v>
      </c>
      <c r="C1355" t="s">
        <v>3038</v>
      </c>
      <c r="D1355" s="5" t="s">
        <v>4448</v>
      </c>
      <c r="E1355" s="6">
        <f>IFERROR(VLOOKUP($D1355,[1]Balanza!$A$3:$K$852,6,0)-VLOOKUP(D1355,[1]Balanza!$A$3:$K$852,7,0),0)</f>
        <v>0</v>
      </c>
      <c r="F1355" s="6">
        <f>IFERROR(VLOOKUP($D1355,[1]Balanza!$A$3:$K$852,10,0)-VLOOKUP($D1355,[1]Balanza!$A$3:$K$852,11,0),0)</f>
        <v>0</v>
      </c>
    </row>
    <row r="1356" spans="1:6" x14ac:dyDescent="0.3">
      <c r="A1356" s="2" t="s">
        <v>2496</v>
      </c>
      <c r="B1356" s="2" t="s">
        <v>2332</v>
      </c>
      <c r="C1356" t="s">
        <v>3038</v>
      </c>
      <c r="D1356" s="5" t="s">
        <v>4449</v>
      </c>
      <c r="E1356" s="6">
        <f>IFERROR(VLOOKUP($D1356,[1]Balanza!$A$3:$K$852,6,0)-VLOOKUP(D1356,[1]Balanza!$A$3:$K$852,7,0),0)</f>
        <v>0</v>
      </c>
      <c r="F1356" s="6">
        <f>IFERROR(VLOOKUP($D1356,[1]Balanza!$A$3:$K$852,10,0)-VLOOKUP($D1356,[1]Balanza!$A$3:$K$852,11,0),0)</f>
        <v>0</v>
      </c>
    </row>
    <row r="1357" spans="1:6" x14ac:dyDescent="0.3">
      <c r="A1357" s="2" t="s">
        <v>2497</v>
      </c>
      <c r="B1357" s="2" t="s">
        <v>2334</v>
      </c>
      <c r="C1357" t="s">
        <v>4861</v>
      </c>
      <c r="D1357" s="5" t="s">
        <v>4450</v>
      </c>
      <c r="E1357" s="6">
        <f>IFERROR(VLOOKUP($D1357,[1]Balanza!$A$3:$K$852,6,0)-VLOOKUP(D1357,[1]Balanza!$A$3:$K$852,7,0),0)</f>
        <v>23806.940000000002</v>
      </c>
      <c r="F1357" s="6">
        <f>IFERROR(VLOOKUP($D1357,[1]Balanza!$A$3:$K$852,10,0)-VLOOKUP($D1357,[1]Balanza!$A$3:$K$852,11,0),0)</f>
        <v>0</v>
      </c>
    </row>
    <row r="1358" spans="1:6" x14ac:dyDescent="0.3">
      <c r="A1358" s="2" t="s">
        <v>2498</v>
      </c>
      <c r="B1358" s="2" t="s">
        <v>2336</v>
      </c>
      <c r="C1358" t="s">
        <v>3081</v>
      </c>
      <c r="D1358" s="5" t="s">
        <v>4451</v>
      </c>
      <c r="E1358" s="6">
        <f>IFERROR(VLOOKUP($D1358,[1]Balanza!$A$3:$K$852,6,0)-VLOOKUP(D1358,[1]Balanza!$A$3:$K$852,7,0),0)</f>
        <v>32507.09</v>
      </c>
      <c r="F1358" s="6">
        <f>IFERROR(VLOOKUP($D1358,[1]Balanza!$A$3:$K$852,10,0)-VLOOKUP($D1358,[1]Balanza!$A$3:$K$852,11,0),0)</f>
        <v>45600.38</v>
      </c>
    </row>
    <row r="1359" spans="1:6" x14ac:dyDescent="0.3">
      <c r="A1359" s="2" t="s">
        <v>2499</v>
      </c>
      <c r="B1359" s="2" t="s">
        <v>2338</v>
      </c>
      <c r="C1359" t="s">
        <v>3038</v>
      </c>
      <c r="D1359" s="5" t="s">
        <v>4452</v>
      </c>
      <c r="E1359" s="6">
        <f>IFERROR(VLOOKUP($D1359,[1]Balanza!$A$3:$K$852,6,0)-VLOOKUP(D1359,[1]Balanza!$A$3:$K$852,7,0),0)</f>
        <v>0</v>
      </c>
      <c r="F1359" s="6">
        <f>IFERROR(VLOOKUP($D1359,[1]Balanza!$A$3:$K$852,10,0)-VLOOKUP($D1359,[1]Balanza!$A$3:$K$852,11,0),0)</f>
        <v>0</v>
      </c>
    </row>
    <row r="1360" spans="1:6" x14ac:dyDescent="0.3">
      <c r="A1360" s="2" t="s">
        <v>2500</v>
      </c>
      <c r="B1360" s="2" t="s">
        <v>2340</v>
      </c>
      <c r="C1360" t="s">
        <v>3038</v>
      </c>
      <c r="D1360" s="5" t="s">
        <v>4453</v>
      </c>
      <c r="E1360" s="6">
        <f>IFERROR(VLOOKUP($D1360,[1]Balanza!$A$3:$K$852,6,0)-VLOOKUP(D1360,[1]Balanza!$A$3:$K$852,7,0),0)</f>
        <v>0</v>
      </c>
      <c r="F1360" s="6">
        <f>IFERROR(VLOOKUP($D1360,[1]Balanza!$A$3:$K$852,10,0)-VLOOKUP($D1360,[1]Balanza!$A$3:$K$852,11,0),0)</f>
        <v>0</v>
      </c>
    </row>
    <row r="1361" spans="1:6" x14ac:dyDescent="0.3">
      <c r="A1361" s="2" t="s">
        <v>2501</v>
      </c>
      <c r="B1361" s="2" t="s">
        <v>2342</v>
      </c>
      <c r="C1361" t="s">
        <v>3038</v>
      </c>
      <c r="D1361" s="5" t="s">
        <v>4454</v>
      </c>
      <c r="E1361" s="6">
        <f>IFERROR(VLOOKUP($D1361,[1]Balanza!$A$3:$K$852,6,0)-VLOOKUP(D1361,[1]Balanza!$A$3:$K$852,7,0),0)</f>
        <v>0</v>
      </c>
      <c r="F1361" s="6">
        <f>IFERROR(VLOOKUP($D1361,[1]Balanza!$A$3:$K$852,10,0)-VLOOKUP($D1361,[1]Balanza!$A$3:$K$852,11,0),0)</f>
        <v>0</v>
      </c>
    </row>
    <row r="1362" spans="1:6" x14ac:dyDescent="0.3">
      <c r="A1362" s="2" t="s">
        <v>2502</v>
      </c>
      <c r="B1362" s="2" t="s">
        <v>2344</v>
      </c>
      <c r="C1362" t="s">
        <v>3038</v>
      </c>
      <c r="D1362" s="5" t="s">
        <v>4455</v>
      </c>
      <c r="E1362" s="6">
        <f>IFERROR(VLOOKUP($D1362,[1]Balanza!$A$3:$K$852,6,0)-VLOOKUP(D1362,[1]Balanza!$A$3:$K$852,7,0),0)</f>
        <v>0</v>
      </c>
      <c r="F1362" s="6">
        <f>IFERROR(VLOOKUP($D1362,[1]Balanza!$A$3:$K$852,10,0)-VLOOKUP($D1362,[1]Balanza!$A$3:$K$852,11,0),0)</f>
        <v>0</v>
      </c>
    </row>
    <row r="1363" spans="1:6" x14ac:dyDescent="0.3">
      <c r="A1363" s="2" t="s">
        <v>2503</v>
      </c>
      <c r="B1363" s="2" t="s">
        <v>2346</v>
      </c>
      <c r="C1363" t="s">
        <v>3038</v>
      </c>
      <c r="D1363" s="5" t="s">
        <v>4456</v>
      </c>
      <c r="E1363" s="6">
        <f>IFERROR(VLOOKUP($D1363,[1]Balanza!$A$3:$K$852,6,0)-VLOOKUP(D1363,[1]Balanza!$A$3:$K$852,7,0),0)</f>
        <v>0</v>
      </c>
      <c r="F1363" s="6">
        <f>IFERROR(VLOOKUP($D1363,[1]Balanza!$A$3:$K$852,10,0)-VLOOKUP($D1363,[1]Balanza!$A$3:$K$852,11,0),0)</f>
        <v>0</v>
      </c>
    </row>
    <row r="1364" spans="1:6" x14ac:dyDescent="0.3">
      <c r="A1364" s="2" t="s">
        <v>2504</v>
      </c>
      <c r="B1364" s="2" t="s">
        <v>2348</v>
      </c>
      <c r="C1364" t="s">
        <v>3038</v>
      </c>
      <c r="D1364" s="5" t="s">
        <v>4457</v>
      </c>
      <c r="E1364" s="6">
        <f>IFERROR(VLOOKUP($D1364,[1]Balanza!$A$3:$K$852,6,0)-VLOOKUP(D1364,[1]Balanza!$A$3:$K$852,7,0),0)</f>
        <v>0</v>
      </c>
      <c r="F1364" s="6">
        <f>IFERROR(VLOOKUP($D1364,[1]Balanza!$A$3:$K$852,10,0)-VLOOKUP($D1364,[1]Balanza!$A$3:$K$852,11,0),0)</f>
        <v>0</v>
      </c>
    </row>
    <row r="1365" spans="1:6" x14ac:dyDescent="0.3">
      <c r="A1365" s="2" t="s">
        <v>2505</v>
      </c>
      <c r="B1365" s="2" t="s">
        <v>2350</v>
      </c>
      <c r="C1365" t="s">
        <v>3038</v>
      </c>
      <c r="D1365" s="5" t="s">
        <v>4458</v>
      </c>
      <c r="E1365" s="6">
        <f>IFERROR(VLOOKUP($D1365,[1]Balanza!$A$3:$K$852,6,0)-VLOOKUP(D1365,[1]Balanza!$A$3:$K$852,7,0),0)</f>
        <v>0</v>
      </c>
      <c r="F1365" s="6">
        <f>IFERROR(VLOOKUP($D1365,[1]Balanza!$A$3:$K$852,10,0)-VLOOKUP($D1365,[1]Balanza!$A$3:$K$852,11,0),0)</f>
        <v>0</v>
      </c>
    </row>
    <row r="1366" spans="1:6" x14ac:dyDescent="0.3">
      <c r="A1366" s="2" t="s">
        <v>2506</v>
      </c>
      <c r="B1366" s="2" t="s">
        <v>2358</v>
      </c>
      <c r="C1366" t="s">
        <v>4877</v>
      </c>
      <c r="D1366" s="5" t="s">
        <v>4459</v>
      </c>
      <c r="E1366" s="6">
        <f>IFERROR(VLOOKUP($D1366,[1]Balanza!$A$3:$K$852,6,0)-VLOOKUP(D1366,[1]Balanza!$A$3:$K$852,7,0),0)</f>
        <v>70</v>
      </c>
      <c r="F1366" s="6">
        <f>IFERROR(VLOOKUP($D1366,[1]Balanza!$A$3:$K$852,10,0)-VLOOKUP($D1366,[1]Balanza!$A$3:$K$852,11,0),0)</f>
        <v>0</v>
      </c>
    </row>
    <row r="1367" spans="1:6" x14ac:dyDescent="0.3">
      <c r="A1367" s="2" t="s">
        <v>2507</v>
      </c>
      <c r="B1367" s="2" t="s">
        <v>2360</v>
      </c>
      <c r="C1367" t="s">
        <v>3038</v>
      </c>
      <c r="D1367" s="5" t="s">
        <v>4460</v>
      </c>
      <c r="E1367" s="6">
        <f>IFERROR(VLOOKUP($D1367,[1]Balanza!$A$3:$K$852,6,0)-VLOOKUP(D1367,[1]Balanza!$A$3:$K$852,7,0),0)</f>
        <v>0</v>
      </c>
      <c r="F1367" s="6">
        <f>IFERROR(VLOOKUP($D1367,[1]Balanza!$A$3:$K$852,10,0)-VLOOKUP($D1367,[1]Balanza!$A$3:$K$852,11,0),0)</f>
        <v>0</v>
      </c>
    </row>
    <row r="1368" spans="1:6" x14ac:dyDescent="0.3">
      <c r="A1368" s="2" t="s">
        <v>2508</v>
      </c>
      <c r="B1368" s="2" t="s">
        <v>2362</v>
      </c>
      <c r="C1368" t="s">
        <v>3038</v>
      </c>
      <c r="D1368" s="5" t="s">
        <v>4461</v>
      </c>
      <c r="E1368" s="6">
        <f>IFERROR(VLOOKUP($D1368,[1]Balanza!$A$3:$K$852,6,0)-VLOOKUP(D1368,[1]Balanza!$A$3:$K$852,7,0),0)</f>
        <v>0</v>
      </c>
      <c r="F1368" s="6">
        <f>IFERROR(VLOOKUP($D1368,[1]Balanza!$A$3:$K$852,10,0)-VLOOKUP($D1368,[1]Balanza!$A$3:$K$852,11,0),0)</f>
        <v>0</v>
      </c>
    </row>
    <row r="1369" spans="1:6" x14ac:dyDescent="0.3">
      <c r="A1369" s="2" t="s">
        <v>2509</v>
      </c>
      <c r="B1369" s="2" t="s">
        <v>2364</v>
      </c>
      <c r="C1369" t="s">
        <v>3038</v>
      </c>
      <c r="D1369" s="5" t="s">
        <v>4462</v>
      </c>
      <c r="E1369" s="6">
        <f>IFERROR(VLOOKUP($D1369,[1]Balanza!$A$3:$K$852,6,0)-VLOOKUP(D1369,[1]Balanza!$A$3:$K$852,7,0),0)</f>
        <v>0</v>
      </c>
      <c r="F1369" s="6">
        <f>IFERROR(VLOOKUP($D1369,[1]Balanza!$A$3:$K$852,10,0)-VLOOKUP($D1369,[1]Balanza!$A$3:$K$852,11,0),0)</f>
        <v>0</v>
      </c>
    </row>
    <row r="1370" spans="1:6" x14ac:dyDescent="0.3">
      <c r="A1370" s="2" t="s">
        <v>2510</v>
      </c>
      <c r="B1370" s="2" t="s">
        <v>2366</v>
      </c>
      <c r="C1370" t="s">
        <v>3029</v>
      </c>
      <c r="D1370" s="5" t="s">
        <v>4463</v>
      </c>
      <c r="E1370" s="6">
        <f>IFERROR(VLOOKUP($D1370,[1]Balanza!$A$3:$K$852,6,0)-VLOOKUP(D1370,[1]Balanza!$A$3:$K$852,7,0),0)</f>
        <v>0</v>
      </c>
      <c r="F1370" s="6">
        <f>IFERROR(VLOOKUP($D1370,[1]Balanza!$A$3:$K$852,10,0)-VLOOKUP($D1370,[1]Balanza!$A$3:$K$852,11,0),0)</f>
        <v>0</v>
      </c>
    </row>
    <row r="1371" spans="1:6" x14ac:dyDescent="0.3">
      <c r="A1371" s="2" t="s">
        <v>4862</v>
      </c>
      <c r="B1371" s="2" t="s">
        <v>2368</v>
      </c>
      <c r="C1371" t="s">
        <v>3082</v>
      </c>
      <c r="D1371" s="5" t="s">
        <v>4920</v>
      </c>
      <c r="E1371" s="6">
        <f>IFERROR(VLOOKUP($D1371,[1]Balanza!$A$3:$K$852,6,0)-VLOOKUP(D1371,[1]Balanza!$A$3:$K$852,7,0),0)</f>
        <v>385056.66</v>
      </c>
      <c r="F1371" s="6">
        <f>IFERROR(VLOOKUP($D1371,[1]Balanza!$A$3:$K$852,10,0)-VLOOKUP($D1371,[1]Balanza!$A$3:$K$852,11,0),0)</f>
        <v>204433.92000000001</v>
      </c>
    </row>
    <row r="1372" spans="1:6" x14ac:dyDescent="0.3">
      <c r="A1372" s="2" t="s">
        <v>2511</v>
      </c>
      <c r="B1372" s="2" t="s">
        <v>2370</v>
      </c>
      <c r="C1372" t="s">
        <v>3063</v>
      </c>
      <c r="D1372" s="5" t="s">
        <v>4464</v>
      </c>
      <c r="E1372" s="6">
        <f>IFERROR(VLOOKUP($D1372,[1]Balanza!$A$3:$K$852,6,0)-VLOOKUP(D1372,[1]Balanza!$A$3:$K$852,7,0),0)</f>
        <v>0</v>
      </c>
      <c r="F1372" s="6">
        <f>IFERROR(VLOOKUP($D1372,[1]Balanza!$A$3:$K$852,10,0)-VLOOKUP($D1372,[1]Balanza!$A$3:$K$852,11,0),0)</f>
        <v>0</v>
      </c>
    </row>
    <row r="1373" spans="1:6" x14ac:dyDescent="0.3">
      <c r="A1373" s="2" t="s">
        <v>2512</v>
      </c>
      <c r="B1373" s="2" t="s">
        <v>2372</v>
      </c>
      <c r="C1373" t="s">
        <v>3038</v>
      </c>
      <c r="D1373" s="5" t="s">
        <v>4465</v>
      </c>
      <c r="E1373" s="6">
        <f>IFERROR(VLOOKUP($D1373,[1]Balanza!$A$3:$K$852,6,0)-VLOOKUP(D1373,[1]Balanza!$A$3:$K$852,7,0),0)</f>
        <v>0</v>
      </c>
      <c r="F1373" s="6">
        <f>IFERROR(VLOOKUP($D1373,[1]Balanza!$A$3:$K$852,10,0)-VLOOKUP($D1373,[1]Balanza!$A$3:$K$852,11,0),0)</f>
        <v>0</v>
      </c>
    </row>
    <row r="1374" spans="1:6" x14ac:dyDescent="0.3">
      <c r="A1374" s="2" t="s">
        <v>2513</v>
      </c>
      <c r="B1374" s="2" t="s">
        <v>2374</v>
      </c>
      <c r="C1374" t="s">
        <v>3038</v>
      </c>
      <c r="D1374" s="5" t="s">
        <v>4466</v>
      </c>
      <c r="E1374" s="6">
        <f>IFERROR(VLOOKUP($D1374,[1]Balanza!$A$3:$K$852,6,0)-VLOOKUP(D1374,[1]Balanza!$A$3:$K$852,7,0),0)</f>
        <v>0</v>
      </c>
      <c r="F1374" s="6">
        <f>IFERROR(VLOOKUP($D1374,[1]Balanza!$A$3:$K$852,10,0)-VLOOKUP($D1374,[1]Balanza!$A$3:$K$852,11,0),0)</f>
        <v>0</v>
      </c>
    </row>
    <row r="1375" spans="1:6" x14ac:dyDescent="0.3">
      <c r="A1375" s="2" t="s">
        <v>2514</v>
      </c>
      <c r="B1375" s="2" t="s">
        <v>2376</v>
      </c>
      <c r="C1375" t="s">
        <v>3038</v>
      </c>
      <c r="D1375" s="5" t="s">
        <v>4467</v>
      </c>
      <c r="E1375" s="6">
        <f>IFERROR(VLOOKUP($D1375,[1]Balanza!$A$3:$K$852,6,0)-VLOOKUP(D1375,[1]Balanza!$A$3:$K$852,7,0),0)</f>
        <v>0</v>
      </c>
      <c r="F1375" s="6">
        <f>IFERROR(VLOOKUP($D1375,[1]Balanza!$A$3:$K$852,10,0)-VLOOKUP($D1375,[1]Balanza!$A$3:$K$852,11,0),0)</f>
        <v>0</v>
      </c>
    </row>
    <row r="1376" spans="1:6" x14ac:dyDescent="0.3">
      <c r="A1376" s="2" t="s">
        <v>2515</v>
      </c>
      <c r="B1376" s="2" t="s">
        <v>2378</v>
      </c>
      <c r="C1376" t="s">
        <v>3038</v>
      </c>
      <c r="D1376" s="5" t="s">
        <v>4468</v>
      </c>
      <c r="E1376" s="6">
        <f>IFERROR(VLOOKUP($D1376,[1]Balanza!$A$3:$K$852,6,0)-VLOOKUP(D1376,[1]Balanza!$A$3:$K$852,7,0),0)</f>
        <v>0</v>
      </c>
      <c r="F1376" s="6">
        <f>IFERROR(VLOOKUP($D1376,[1]Balanza!$A$3:$K$852,10,0)-VLOOKUP($D1376,[1]Balanza!$A$3:$K$852,11,0),0)</f>
        <v>0</v>
      </c>
    </row>
    <row r="1377" spans="1:6" x14ac:dyDescent="0.3">
      <c r="A1377" s="2" t="s">
        <v>2516</v>
      </c>
      <c r="B1377" s="2" t="s">
        <v>2380</v>
      </c>
      <c r="C1377" t="s">
        <v>3038</v>
      </c>
      <c r="D1377" s="5" t="s">
        <v>4469</v>
      </c>
      <c r="E1377" s="6">
        <f>IFERROR(VLOOKUP($D1377,[1]Balanza!$A$3:$K$852,6,0)-VLOOKUP(D1377,[1]Balanza!$A$3:$K$852,7,0),0)</f>
        <v>0</v>
      </c>
      <c r="F1377" s="6">
        <f>IFERROR(VLOOKUP($D1377,[1]Balanza!$A$3:$K$852,10,0)-VLOOKUP($D1377,[1]Balanza!$A$3:$K$852,11,0),0)</f>
        <v>0</v>
      </c>
    </row>
    <row r="1378" spans="1:6" x14ac:dyDescent="0.3">
      <c r="A1378" s="2" t="s">
        <v>2517</v>
      </c>
      <c r="B1378" s="2" t="s">
        <v>2382</v>
      </c>
      <c r="C1378" t="s">
        <v>3038</v>
      </c>
      <c r="D1378" s="5" t="s">
        <v>4470</v>
      </c>
      <c r="E1378" s="6">
        <f>IFERROR(VLOOKUP($D1378,[1]Balanza!$A$3:$K$852,6,0)-VLOOKUP(D1378,[1]Balanza!$A$3:$K$852,7,0),0)</f>
        <v>0</v>
      </c>
      <c r="F1378" s="6">
        <f>IFERROR(VLOOKUP($D1378,[1]Balanza!$A$3:$K$852,10,0)-VLOOKUP($D1378,[1]Balanza!$A$3:$K$852,11,0),0)</f>
        <v>0</v>
      </c>
    </row>
    <row r="1379" spans="1:6" x14ac:dyDescent="0.3">
      <c r="A1379" s="2" t="s">
        <v>2518</v>
      </c>
      <c r="B1379" s="2" t="s">
        <v>2384</v>
      </c>
      <c r="C1379" t="s">
        <v>3038</v>
      </c>
      <c r="D1379" s="5" t="s">
        <v>4471</v>
      </c>
      <c r="E1379" s="6">
        <f>IFERROR(VLOOKUP($D1379,[1]Balanza!$A$3:$K$852,6,0)-VLOOKUP(D1379,[1]Balanza!$A$3:$K$852,7,0),0)</f>
        <v>0</v>
      </c>
      <c r="F1379" s="6">
        <f>IFERROR(VLOOKUP($D1379,[1]Balanza!$A$3:$K$852,10,0)-VLOOKUP($D1379,[1]Balanza!$A$3:$K$852,11,0),0)</f>
        <v>0</v>
      </c>
    </row>
    <row r="1380" spans="1:6" x14ac:dyDescent="0.3">
      <c r="A1380" s="2" t="s">
        <v>2519</v>
      </c>
      <c r="B1380" s="2" t="s">
        <v>2386</v>
      </c>
      <c r="C1380" t="s">
        <v>3038</v>
      </c>
      <c r="D1380" s="5" t="s">
        <v>4472</v>
      </c>
      <c r="E1380" s="6">
        <f>IFERROR(VLOOKUP($D1380,[1]Balanza!$A$3:$K$852,6,0)-VLOOKUP(D1380,[1]Balanza!$A$3:$K$852,7,0),0)</f>
        <v>0</v>
      </c>
      <c r="F1380" s="6">
        <f>IFERROR(VLOOKUP($D1380,[1]Balanza!$A$3:$K$852,10,0)-VLOOKUP($D1380,[1]Balanza!$A$3:$K$852,11,0),0)</f>
        <v>0</v>
      </c>
    </row>
    <row r="1381" spans="1:6" x14ac:dyDescent="0.3">
      <c r="A1381" s="2" t="s">
        <v>2520</v>
      </c>
      <c r="B1381" s="2" t="s">
        <v>2388</v>
      </c>
      <c r="C1381" t="s">
        <v>3038</v>
      </c>
      <c r="D1381" s="5" t="s">
        <v>4473</v>
      </c>
      <c r="E1381" s="6">
        <f>IFERROR(VLOOKUP($D1381,[1]Balanza!$A$3:$K$852,6,0)-VLOOKUP(D1381,[1]Balanza!$A$3:$K$852,7,0),0)</f>
        <v>0</v>
      </c>
      <c r="F1381" s="6">
        <f>IFERROR(VLOOKUP($D1381,[1]Balanza!$A$3:$K$852,10,0)-VLOOKUP($D1381,[1]Balanza!$A$3:$K$852,11,0),0)</f>
        <v>0</v>
      </c>
    </row>
    <row r="1382" spans="1:6" x14ac:dyDescent="0.3">
      <c r="A1382" s="2" t="s">
        <v>2521</v>
      </c>
      <c r="B1382" s="2" t="s">
        <v>1760</v>
      </c>
      <c r="C1382" t="s">
        <v>3065</v>
      </c>
      <c r="D1382" s="5" t="s">
        <v>4474</v>
      </c>
      <c r="E1382" s="6">
        <f>IFERROR(VLOOKUP($D1382,[1]Balanza!$A$3:$K$852,6,0)-VLOOKUP(D1382,[1]Balanza!$A$3:$K$852,7,0),0)</f>
        <v>126470.66</v>
      </c>
      <c r="F1382" s="6">
        <f>IFERROR(VLOOKUP($D1382,[1]Balanza!$A$3:$K$852,10,0)-VLOOKUP($D1382,[1]Balanza!$A$3:$K$852,11,0),0)</f>
        <v>439984.45</v>
      </c>
    </row>
    <row r="1383" spans="1:6" x14ac:dyDescent="0.3">
      <c r="A1383" s="2" t="s">
        <v>2522</v>
      </c>
      <c r="B1383" s="2" t="s">
        <v>2392</v>
      </c>
      <c r="C1383" t="s">
        <v>3038</v>
      </c>
      <c r="D1383" s="5" t="s">
        <v>4475</v>
      </c>
      <c r="E1383" s="6">
        <f>IFERROR(VLOOKUP($D1383,[1]Balanza!$A$3:$K$852,6,0)-VLOOKUP(D1383,[1]Balanza!$A$3:$K$852,7,0),0)</f>
        <v>0</v>
      </c>
      <c r="F1383" s="6">
        <f>IFERROR(VLOOKUP($D1383,[1]Balanza!$A$3:$K$852,10,0)-VLOOKUP($D1383,[1]Balanza!$A$3:$K$852,11,0),0)</f>
        <v>0</v>
      </c>
    </row>
    <row r="1384" spans="1:6" x14ac:dyDescent="0.3">
      <c r="A1384" s="2" t="s">
        <v>2523</v>
      </c>
      <c r="B1384" s="2" t="s">
        <v>2394</v>
      </c>
      <c r="C1384" t="s">
        <v>4878</v>
      </c>
      <c r="D1384" s="5" t="s">
        <v>4476</v>
      </c>
      <c r="E1384" s="6">
        <f>IFERROR(VLOOKUP($D1384,[1]Balanza!$A$3:$K$852,6,0)-VLOOKUP(D1384,[1]Balanza!$A$3:$K$852,7,0),0)</f>
        <v>5948</v>
      </c>
      <c r="F1384" s="6">
        <f>IFERROR(VLOOKUP($D1384,[1]Balanza!$A$3:$K$852,10,0)-VLOOKUP($D1384,[1]Balanza!$A$3:$K$852,11,0),0)</f>
        <v>0</v>
      </c>
    </row>
    <row r="1385" spans="1:6" x14ac:dyDescent="0.3">
      <c r="A1385" s="2" t="s">
        <v>2524</v>
      </c>
      <c r="B1385" s="2" t="s">
        <v>2396</v>
      </c>
      <c r="C1385" t="s">
        <v>3038</v>
      </c>
      <c r="D1385" s="5" t="s">
        <v>4477</v>
      </c>
      <c r="E1385" s="6">
        <f>IFERROR(VLOOKUP($D1385,[1]Balanza!$A$3:$K$852,6,0)-VLOOKUP(D1385,[1]Balanza!$A$3:$K$852,7,0),0)</f>
        <v>0</v>
      </c>
      <c r="F1385" s="6">
        <f>IFERROR(VLOOKUP($D1385,[1]Balanza!$A$3:$K$852,10,0)-VLOOKUP($D1385,[1]Balanza!$A$3:$K$852,11,0),0)</f>
        <v>0</v>
      </c>
    </row>
    <row r="1386" spans="1:6" x14ac:dyDescent="0.3">
      <c r="A1386" s="2" t="s">
        <v>2525</v>
      </c>
      <c r="B1386" s="2" t="s">
        <v>2398</v>
      </c>
      <c r="C1386" t="s">
        <v>3038</v>
      </c>
      <c r="D1386" s="5" t="s">
        <v>4478</v>
      </c>
      <c r="E1386" s="6">
        <f>IFERROR(VLOOKUP($D1386,[1]Balanza!$A$3:$K$852,6,0)-VLOOKUP(D1386,[1]Balanza!$A$3:$K$852,7,0),0)</f>
        <v>0</v>
      </c>
      <c r="F1386" s="6">
        <f>IFERROR(VLOOKUP($D1386,[1]Balanza!$A$3:$K$852,10,0)-VLOOKUP($D1386,[1]Balanza!$A$3:$K$852,11,0),0)</f>
        <v>0</v>
      </c>
    </row>
    <row r="1387" spans="1:6" x14ac:dyDescent="0.3">
      <c r="A1387" s="2" t="s">
        <v>2526</v>
      </c>
      <c r="B1387" s="2" t="s">
        <v>2400</v>
      </c>
      <c r="C1387" t="s">
        <v>4879</v>
      </c>
      <c r="D1387" s="5" t="s">
        <v>4479</v>
      </c>
      <c r="E1387" s="6">
        <f>IFERROR(VLOOKUP($D1387,[1]Balanza!$A$3:$K$852,6,0)-VLOOKUP(D1387,[1]Balanza!$A$3:$K$852,7,0),0)</f>
        <v>4840</v>
      </c>
      <c r="F1387" s="6">
        <f>IFERROR(VLOOKUP($D1387,[1]Balanza!$A$3:$K$852,10,0)-VLOOKUP($D1387,[1]Balanza!$A$3:$K$852,11,0),0)</f>
        <v>0</v>
      </c>
    </row>
    <row r="1388" spans="1:6" x14ac:dyDescent="0.3">
      <c r="A1388" s="2" t="s">
        <v>2527</v>
      </c>
      <c r="B1388" s="2" t="s">
        <v>2402</v>
      </c>
      <c r="C1388" t="s">
        <v>3038</v>
      </c>
      <c r="D1388" s="5" t="s">
        <v>4480</v>
      </c>
      <c r="E1388" s="6">
        <f>IFERROR(VLOOKUP($D1388,[1]Balanza!$A$3:$K$852,6,0)-VLOOKUP(D1388,[1]Balanza!$A$3:$K$852,7,0),0)</f>
        <v>0</v>
      </c>
      <c r="F1388" s="6">
        <f>IFERROR(VLOOKUP($D1388,[1]Balanza!$A$3:$K$852,10,0)-VLOOKUP($D1388,[1]Balanza!$A$3:$K$852,11,0),0)</f>
        <v>0</v>
      </c>
    </row>
    <row r="1389" spans="1:6" x14ac:dyDescent="0.3">
      <c r="A1389" s="2" t="s">
        <v>2528</v>
      </c>
      <c r="B1389" s="2" t="s">
        <v>2529</v>
      </c>
      <c r="C1389" t="s">
        <v>3038</v>
      </c>
      <c r="D1389" s="5" t="s">
        <v>4481</v>
      </c>
      <c r="E1389" s="6">
        <f>IFERROR(VLOOKUP($D1389,[1]Balanza!$A$3:$K$852,6,0)-VLOOKUP(D1389,[1]Balanza!$A$3:$K$852,7,0),0)</f>
        <v>0</v>
      </c>
      <c r="F1389" s="6">
        <f>IFERROR(VLOOKUP($D1389,[1]Balanza!$A$3:$K$852,10,0)-VLOOKUP($D1389,[1]Balanza!$A$3:$K$852,11,0),0)</f>
        <v>0</v>
      </c>
    </row>
    <row r="1390" spans="1:6" x14ac:dyDescent="0.3">
      <c r="A1390" s="2" t="s">
        <v>2530</v>
      </c>
      <c r="B1390" s="2" t="s">
        <v>2531</v>
      </c>
      <c r="C1390" t="s">
        <v>3038</v>
      </c>
      <c r="D1390" s="5" t="s">
        <v>4482</v>
      </c>
      <c r="E1390" s="6">
        <f>IFERROR(VLOOKUP($D1390,[1]Balanza!$A$3:$K$852,6,0)-VLOOKUP(D1390,[1]Balanza!$A$3:$K$852,7,0),0)</f>
        <v>0</v>
      </c>
      <c r="F1390" s="6">
        <f>IFERROR(VLOOKUP($D1390,[1]Balanza!$A$3:$K$852,10,0)-VLOOKUP($D1390,[1]Balanza!$A$3:$K$852,11,0),0)</f>
        <v>0</v>
      </c>
    </row>
    <row r="1391" spans="1:6" x14ac:dyDescent="0.3">
      <c r="A1391" s="2" t="s">
        <v>2532</v>
      </c>
      <c r="B1391" s="2" t="s">
        <v>2408</v>
      </c>
      <c r="C1391" t="s">
        <v>3038</v>
      </c>
      <c r="D1391" s="5" t="s">
        <v>4483</v>
      </c>
      <c r="E1391" s="6">
        <f>IFERROR(VLOOKUP($D1391,[1]Balanza!$A$3:$K$852,6,0)-VLOOKUP(D1391,[1]Balanza!$A$3:$K$852,7,0),0)</f>
        <v>0</v>
      </c>
      <c r="F1391" s="6">
        <f>IFERROR(VLOOKUP($D1391,[1]Balanza!$A$3:$K$852,10,0)-VLOOKUP($D1391,[1]Balanza!$A$3:$K$852,11,0),0)</f>
        <v>0</v>
      </c>
    </row>
    <row r="1392" spans="1:6" x14ac:dyDescent="0.3">
      <c r="A1392" s="2" t="s">
        <v>2533</v>
      </c>
      <c r="B1392" s="2" t="s">
        <v>2534</v>
      </c>
      <c r="C1392" t="s">
        <v>3038</v>
      </c>
      <c r="D1392" s="5" t="s">
        <v>4484</v>
      </c>
      <c r="E1392" s="6">
        <f>IFERROR(VLOOKUP($D1392,[1]Balanza!$A$3:$K$852,6,0)-VLOOKUP(D1392,[1]Balanza!$A$3:$K$852,7,0),0)</f>
        <v>0</v>
      </c>
      <c r="F1392" s="6">
        <f>IFERROR(VLOOKUP($D1392,[1]Balanza!$A$3:$K$852,10,0)-VLOOKUP($D1392,[1]Balanza!$A$3:$K$852,11,0),0)</f>
        <v>0</v>
      </c>
    </row>
    <row r="1393" spans="1:6" x14ac:dyDescent="0.3">
      <c r="A1393" s="2" t="s">
        <v>2535</v>
      </c>
      <c r="B1393" s="2" t="s">
        <v>2536</v>
      </c>
      <c r="C1393" t="s">
        <v>3038</v>
      </c>
      <c r="D1393" s="5" t="s">
        <v>4485</v>
      </c>
      <c r="E1393" s="6">
        <f>IFERROR(VLOOKUP($D1393,[1]Balanza!$A$3:$K$852,6,0)-VLOOKUP(D1393,[1]Balanza!$A$3:$K$852,7,0),0)</f>
        <v>0</v>
      </c>
      <c r="F1393" s="6">
        <f>IFERROR(VLOOKUP($D1393,[1]Balanza!$A$3:$K$852,10,0)-VLOOKUP($D1393,[1]Balanza!$A$3:$K$852,11,0),0)</f>
        <v>0</v>
      </c>
    </row>
    <row r="1394" spans="1:6" x14ac:dyDescent="0.3">
      <c r="A1394" s="2" t="s">
        <v>2537</v>
      </c>
      <c r="B1394" s="2" t="s">
        <v>2538</v>
      </c>
      <c r="C1394" t="s">
        <v>3073</v>
      </c>
      <c r="D1394" s="5" t="s">
        <v>4486</v>
      </c>
      <c r="E1394" s="6">
        <f>IFERROR(VLOOKUP($D1394,[1]Balanza!$A$3:$K$852,6,0)-VLOOKUP(D1394,[1]Balanza!$A$3:$K$852,7,0),0)</f>
        <v>47827.93</v>
      </c>
      <c r="F1394" s="6">
        <f>IFERROR(VLOOKUP($D1394,[1]Balanza!$A$3:$K$852,10,0)-VLOOKUP($D1394,[1]Balanza!$A$3:$K$852,11,0),0)</f>
        <v>6949.1</v>
      </c>
    </row>
    <row r="1395" spans="1:6" x14ac:dyDescent="0.3">
      <c r="A1395" s="2" t="s">
        <v>2539</v>
      </c>
      <c r="B1395" s="2" t="s">
        <v>2540</v>
      </c>
      <c r="C1395" t="s">
        <v>3038</v>
      </c>
      <c r="D1395" s="5" t="s">
        <v>4487</v>
      </c>
      <c r="E1395" s="6">
        <f>IFERROR(VLOOKUP($D1395,[1]Balanza!$A$3:$K$852,6,0)-VLOOKUP(D1395,[1]Balanza!$A$3:$K$852,7,0),0)</f>
        <v>0</v>
      </c>
      <c r="F1395" s="6">
        <f>IFERROR(VLOOKUP($D1395,[1]Balanza!$A$3:$K$852,10,0)-VLOOKUP($D1395,[1]Balanza!$A$3:$K$852,11,0),0)</f>
        <v>0</v>
      </c>
    </row>
    <row r="1396" spans="1:6" x14ac:dyDescent="0.3">
      <c r="A1396" s="1" t="s">
        <v>2541</v>
      </c>
      <c r="B1396" s="1" t="s">
        <v>2542</v>
      </c>
      <c r="C1396" t="s">
        <v>3029</v>
      </c>
      <c r="D1396" s="5" t="s">
        <v>4488</v>
      </c>
      <c r="E1396" s="6">
        <f>IFERROR(VLOOKUP($D1396,[1]Balanza!$A$3:$K$852,6,0)-VLOOKUP(D1396,[1]Balanza!$A$3:$K$852,7,0),0)</f>
        <v>0</v>
      </c>
      <c r="F1396" s="6">
        <f>IFERROR(VLOOKUP($D1396,[1]Balanza!$A$3:$K$852,10,0)-VLOOKUP($D1396,[1]Balanza!$A$3:$K$852,11,0),0)</f>
        <v>0</v>
      </c>
    </row>
    <row r="1397" spans="1:6" x14ac:dyDescent="0.3">
      <c r="A1397" s="2" t="s">
        <v>2543</v>
      </c>
      <c r="B1397" s="2" t="s">
        <v>2544</v>
      </c>
      <c r="C1397" t="s">
        <v>3083</v>
      </c>
      <c r="D1397" s="5" t="s">
        <v>4489</v>
      </c>
      <c r="E1397" s="6">
        <f>IFERROR(VLOOKUP($D1397,[1]Balanza!$A$3:$K$852,6,0)-VLOOKUP(D1397,[1]Balanza!$A$3:$K$852,7,0),0)</f>
        <v>0</v>
      </c>
      <c r="F1397" s="6">
        <f>IFERROR(VLOOKUP($D1397,[1]Balanza!$A$3:$K$852,10,0)-VLOOKUP($D1397,[1]Balanza!$A$3:$K$852,11,0),0)</f>
        <v>0</v>
      </c>
    </row>
    <row r="1398" spans="1:6" x14ac:dyDescent="0.3">
      <c r="A1398" s="2" t="s">
        <v>2545</v>
      </c>
      <c r="B1398" s="2" t="s">
        <v>2546</v>
      </c>
      <c r="C1398" t="s">
        <v>3083</v>
      </c>
      <c r="D1398" s="5" t="s">
        <v>4490</v>
      </c>
      <c r="E1398" s="6">
        <f>IFERROR(VLOOKUP($D1398,[1]Balanza!$A$3:$K$852,6,0)-VLOOKUP(D1398,[1]Balanza!$A$3:$K$852,7,0),0)</f>
        <v>193521.98</v>
      </c>
      <c r="F1398" s="6">
        <f>IFERROR(VLOOKUP($D1398,[1]Balanza!$A$3:$K$852,10,0)-VLOOKUP($D1398,[1]Balanza!$A$3:$K$852,11,0),0)</f>
        <v>10273.68</v>
      </c>
    </row>
    <row r="1399" spans="1:6" x14ac:dyDescent="0.3">
      <c r="A1399" s="2" t="s">
        <v>2547</v>
      </c>
      <c r="B1399" s="2" t="s">
        <v>2245</v>
      </c>
      <c r="C1399" t="s">
        <v>3083</v>
      </c>
      <c r="D1399" s="5" t="s">
        <v>4491</v>
      </c>
      <c r="E1399" s="6">
        <f>IFERROR(VLOOKUP($D1399,[1]Balanza!$A$3:$K$852,6,0)-VLOOKUP(D1399,[1]Balanza!$A$3:$K$852,7,0),0)</f>
        <v>0</v>
      </c>
      <c r="F1399" s="6">
        <f>IFERROR(VLOOKUP($D1399,[1]Balanza!$A$3:$K$852,10,0)-VLOOKUP($D1399,[1]Balanza!$A$3:$K$852,11,0),0)</f>
        <v>0</v>
      </c>
    </row>
    <row r="1400" spans="1:6" x14ac:dyDescent="0.3">
      <c r="A1400" s="2" t="s">
        <v>2548</v>
      </c>
      <c r="B1400" s="2" t="s">
        <v>2247</v>
      </c>
      <c r="C1400" t="s">
        <v>3083</v>
      </c>
      <c r="D1400" s="5" t="s">
        <v>4492</v>
      </c>
      <c r="E1400" s="6">
        <f>IFERROR(VLOOKUP($D1400,[1]Balanza!$A$3:$K$852,6,0)-VLOOKUP(D1400,[1]Balanza!$A$3:$K$852,7,0),0)</f>
        <v>0</v>
      </c>
      <c r="F1400" s="6">
        <f>IFERROR(VLOOKUP($D1400,[1]Balanza!$A$3:$K$852,10,0)-VLOOKUP($D1400,[1]Balanza!$A$3:$K$852,11,0),0)</f>
        <v>0</v>
      </c>
    </row>
    <row r="1401" spans="1:6" x14ac:dyDescent="0.3">
      <c r="A1401" s="2" t="s">
        <v>2549</v>
      </c>
      <c r="B1401" s="2" t="s">
        <v>2249</v>
      </c>
      <c r="C1401" t="s">
        <v>3083</v>
      </c>
      <c r="D1401" s="5" t="s">
        <v>4493</v>
      </c>
      <c r="E1401" s="6">
        <f>IFERROR(VLOOKUP($D1401,[1]Balanza!$A$3:$K$852,6,0)-VLOOKUP(D1401,[1]Balanza!$A$3:$K$852,7,0),0)</f>
        <v>16118.86</v>
      </c>
      <c r="F1401" s="6">
        <f>IFERROR(VLOOKUP($D1401,[1]Balanza!$A$3:$K$852,10,0)-VLOOKUP($D1401,[1]Balanza!$A$3:$K$852,11,0),0)</f>
        <v>1198.5999999999999</v>
      </c>
    </row>
    <row r="1402" spans="1:6" x14ac:dyDescent="0.3">
      <c r="A1402" s="2" t="s">
        <v>2550</v>
      </c>
      <c r="B1402" s="2" t="s">
        <v>1992</v>
      </c>
      <c r="C1402" t="s">
        <v>3083</v>
      </c>
      <c r="D1402" s="5" t="s">
        <v>4494</v>
      </c>
      <c r="E1402" s="6">
        <f>IFERROR(VLOOKUP($D1402,[1]Balanza!$A$3:$K$852,6,0)-VLOOKUP(D1402,[1]Balanza!$A$3:$K$852,7,0),0)</f>
        <v>16118.86</v>
      </c>
      <c r="F1402" s="6">
        <f>IFERROR(VLOOKUP($D1402,[1]Balanza!$A$3:$K$852,10,0)-VLOOKUP($D1402,[1]Balanza!$A$3:$K$852,11,0),0)</f>
        <v>1198.5999999999999</v>
      </c>
    </row>
    <row r="1403" spans="1:6" x14ac:dyDescent="0.3">
      <c r="A1403" s="2" t="s">
        <v>2551</v>
      </c>
      <c r="B1403" s="2" t="s">
        <v>2252</v>
      </c>
      <c r="C1403" t="s">
        <v>3083</v>
      </c>
      <c r="D1403" s="5" t="s">
        <v>4495</v>
      </c>
      <c r="E1403" s="6">
        <f>IFERROR(VLOOKUP($D1403,[1]Balanza!$A$3:$K$852,6,0)-VLOOKUP(D1403,[1]Balanza!$A$3:$K$852,7,0),0)</f>
        <v>2691.38</v>
      </c>
      <c r="F1403" s="6">
        <f>IFERROR(VLOOKUP($D1403,[1]Balanza!$A$3:$K$852,10,0)-VLOOKUP($D1403,[1]Balanza!$A$3:$K$852,11,0),0)</f>
        <v>0</v>
      </c>
    </row>
    <row r="1404" spans="1:6" x14ac:dyDescent="0.3">
      <c r="A1404" s="2" t="s">
        <v>2552</v>
      </c>
      <c r="B1404" s="2" t="s">
        <v>1996</v>
      </c>
      <c r="C1404" t="s">
        <v>3083</v>
      </c>
      <c r="D1404" s="5" t="s">
        <v>4496</v>
      </c>
      <c r="E1404" s="6">
        <f>IFERROR(VLOOKUP($D1404,[1]Balanza!$A$3:$K$852,6,0)-VLOOKUP(D1404,[1]Balanza!$A$3:$K$852,7,0),0)</f>
        <v>0</v>
      </c>
      <c r="F1404" s="6">
        <f>IFERROR(VLOOKUP($D1404,[1]Balanza!$A$3:$K$852,10,0)-VLOOKUP($D1404,[1]Balanza!$A$3:$K$852,11,0),0)</f>
        <v>0</v>
      </c>
    </row>
    <row r="1405" spans="1:6" x14ac:dyDescent="0.3">
      <c r="A1405" s="2" t="s">
        <v>2553</v>
      </c>
      <c r="B1405" s="2" t="s">
        <v>2255</v>
      </c>
      <c r="C1405" t="s">
        <v>3083</v>
      </c>
      <c r="D1405" s="5" t="s">
        <v>4497</v>
      </c>
      <c r="E1405" s="6">
        <f>IFERROR(VLOOKUP($D1405,[1]Balanza!$A$3:$K$852,6,0)-VLOOKUP(D1405,[1]Balanza!$A$3:$K$852,7,0),0)</f>
        <v>0</v>
      </c>
      <c r="F1405" s="6">
        <f>IFERROR(VLOOKUP($D1405,[1]Balanza!$A$3:$K$852,10,0)-VLOOKUP($D1405,[1]Balanza!$A$3:$K$852,11,0),0)</f>
        <v>0</v>
      </c>
    </row>
    <row r="1406" spans="1:6" x14ac:dyDescent="0.3">
      <c r="A1406" s="2" t="s">
        <v>2554</v>
      </c>
      <c r="B1406" s="2" t="s">
        <v>2257</v>
      </c>
      <c r="C1406" t="s">
        <v>3083</v>
      </c>
      <c r="D1406" s="5" t="s">
        <v>4498</v>
      </c>
      <c r="E1406" s="6">
        <f>IFERROR(VLOOKUP($D1406,[1]Balanza!$A$3:$K$852,6,0)-VLOOKUP(D1406,[1]Balanza!$A$3:$K$852,7,0),0)</f>
        <v>0</v>
      </c>
      <c r="F1406" s="6">
        <f>IFERROR(VLOOKUP($D1406,[1]Balanza!$A$3:$K$852,10,0)-VLOOKUP($D1406,[1]Balanza!$A$3:$K$852,11,0),0)</f>
        <v>0</v>
      </c>
    </row>
    <row r="1407" spans="1:6" x14ac:dyDescent="0.3">
      <c r="A1407" s="2" t="s">
        <v>2555</v>
      </c>
      <c r="B1407" s="2" t="s">
        <v>2259</v>
      </c>
      <c r="C1407" t="s">
        <v>3083</v>
      </c>
      <c r="D1407" s="5" t="s">
        <v>4499</v>
      </c>
      <c r="E1407" s="6">
        <f>IFERROR(VLOOKUP($D1407,[1]Balanza!$A$3:$K$852,6,0)-VLOOKUP(D1407,[1]Balanza!$A$3:$K$852,7,0),0)</f>
        <v>0</v>
      </c>
      <c r="F1407" s="6">
        <f>IFERROR(VLOOKUP($D1407,[1]Balanza!$A$3:$K$852,10,0)-VLOOKUP($D1407,[1]Balanza!$A$3:$K$852,11,0),0)</f>
        <v>0</v>
      </c>
    </row>
    <row r="1408" spans="1:6" x14ac:dyDescent="0.3">
      <c r="A1408" s="2" t="s">
        <v>2556</v>
      </c>
      <c r="B1408" s="2" t="s">
        <v>2261</v>
      </c>
      <c r="C1408" t="s">
        <v>3083</v>
      </c>
      <c r="D1408" s="5" t="s">
        <v>4500</v>
      </c>
      <c r="E1408" s="6">
        <f>IFERROR(VLOOKUP($D1408,[1]Balanza!$A$3:$K$852,6,0)-VLOOKUP(D1408,[1]Balanza!$A$3:$K$852,7,0),0)</f>
        <v>0</v>
      </c>
      <c r="F1408" s="6">
        <f>IFERROR(VLOOKUP($D1408,[1]Balanza!$A$3:$K$852,10,0)-VLOOKUP($D1408,[1]Balanza!$A$3:$K$852,11,0),0)</f>
        <v>0</v>
      </c>
    </row>
    <row r="1409" spans="1:6" x14ac:dyDescent="0.3">
      <c r="A1409" s="2" t="s">
        <v>2557</v>
      </c>
      <c r="B1409" s="2" t="s">
        <v>2263</v>
      </c>
      <c r="C1409" t="s">
        <v>3083</v>
      </c>
      <c r="D1409" s="5" t="s">
        <v>4501</v>
      </c>
      <c r="E1409" s="6">
        <f>IFERROR(VLOOKUP($D1409,[1]Balanza!$A$3:$K$852,6,0)-VLOOKUP(D1409,[1]Balanza!$A$3:$K$852,7,0),0)</f>
        <v>8587.9699999999993</v>
      </c>
      <c r="F1409" s="6">
        <f>IFERROR(VLOOKUP($D1409,[1]Balanza!$A$3:$K$852,10,0)-VLOOKUP($D1409,[1]Balanza!$A$3:$K$852,11,0),0)</f>
        <v>535.09</v>
      </c>
    </row>
    <row r="1410" spans="1:6" x14ac:dyDescent="0.3">
      <c r="A1410" s="2" t="s">
        <v>2558</v>
      </c>
      <c r="B1410" s="2" t="s">
        <v>2265</v>
      </c>
      <c r="C1410" t="s">
        <v>3083</v>
      </c>
      <c r="D1410" s="5" t="s">
        <v>4502</v>
      </c>
      <c r="E1410" s="6">
        <f>IFERROR(VLOOKUP($D1410,[1]Balanza!$A$3:$K$852,6,0)-VLOOKUP(D1410,[1]Balanza!$A$3:$K$852,7,0),0)</f>
        <v>0</v>
      </c>
      <c r="F1410" s="6">
        <f>IFERROR(VLOOKUP($D1410,[1]Balanza!$A$3:$K$852,10,0)-VLOOKUP($D1410,[1]Balanza!$A$3:$K$852,11,0),0)</f>
        <v>0</v>
      </c>
    </row>
    <row r="1411" spans="1:6" x14ac:dyDescent="0.3">
      <c r="A1411" s="2" t="s">
        <v>2559</v>
      </c>
      <c r="B1411" s="2" t="s">
        <v>2267</v>
      </c>
      <c r="C1411" t="s">
        <v>3083</v>
      </c>
      <c r="D1411" s="5" t="s">
        <v>4503</v>
      </c>
      <c r="E1411" s="6">
        <f>IFERROR(VLOOKUP($D1411,[1]Balanza!$A$3:$K$852,6,0)-VLOOKUP(D1411,[1]Balanza!$A$3:$K$852,7,0),0)</f>
        <v>0</v>
      </c>
      <c r="F1411" s="6">
        <f>IFERROR(VLOOKUP($D1411,[1]Balanza!$A$3:$K$852,10,0)-VLOOKUP($D1411,[1]Balanza!$A$3:$K$852,11,0),0)</f>
        <v>0</v>
      </c>
    </row>
    <row r="1412" spans="1:6" x14ac:dyDescent="0.3">
      <c r="A1412" s="2" t="s">
        <v>2560</v>
      </c>
      <c r="B1412" s="2" t="s">
        <v>2269</v>
      </c>
      <c r="C1412" t="s">
        <v>3083</v>
      </c>
      <c r="D1412" s="5" t="s">
        <v>4504</v>
      </c>
      <c r="E1412" s="6">
        <f>IFERROR(VLOOKUP($D1412,[1]Balanza!$A$3:$K$852,6,0)-VLOOKUP(D1412,[1]Balanza!$A$3:$K$852,7,0),0)</f>
        <v>19282.259999999998</v>
      </c>
      <c r="F1412" s="6">
        <f>IFERROR(VLOOKUP($D1412,[1]Balanza!$A$3:$K$852,10,0)-VLOOKUP($D1412,[1]Balanza!$A$3:$K$852,11,0),0)</f>
        <v>1198.5999999999999</v>
      </c>
    </row>
    <row r="1413" spans="1:6" x14ac:dyDescent="0.3">
      <c r="A1413" s="2" t="s">
        <v>2561</v>
      </c>
      <c r="B1413" s="2" t="s">
        <v>2271</v>
      </c>
      <c r="C1413" t="s">
        <v>3083</v>
      </c>
      <c r="D1413" s="5" t="s">
        <v>4505</v>
      </c>
      <c r="E1413" s="6">
        <f>IFERROR(VLOOKUP($D1413,[1]Balanza!$A$3:$K$852,6,0)-VLOOKUP(D1413,[1]Balanza!$A$3:$K$852,7,0),0)</f>
        <v>0</v>
      </c>
      <c r="F1413" s="6">
        <f>IFERROR(VLOOKUP($D1413,[1]Balanza!$A$3:$K$852,10,0)-VLOOKUP($D1413,[1]Balanza!$A$3:$K$852,11,0),0)</f>
        <v>0</v>
      </c>
    </row>
    <row r="1414" spans="1:6" x14ac:dyDescent="0.3">
      <c r="A1414" s="2" t="s">
        <v>2562</v>
      </c>
      <c r="B1414" s="2" t="s">
        <v>2273</v>
      </c>
      <c r="C1414" t="s">
        <v>3083</v>
      </c>
      <c r="D1414" s="5" t="s">
        <v>4506</v>
      </c>
      <c r="E1414" s="6">
        <f>IFERROR(VLOOKUP($D1414,[1]Balanza!$A$3:$K$852,6,0)-VLOOKUP(D1414,[1]Balanza!$A$3:$K$852,7,0),0)</f>
        <v>0</v>
      </c>
      <c r="F1414" s="6">
        <f>IFERROR(VLOOKUP($D1414,[1]Balanza!$A$3:$K$852,10,0)-VLOOKUP($D1414,[1]Balanza!$A$3:$K$852,11,0),0)</f>
        <v>0</v>
      </c>
    </row>
    <row r="1415" spans="1:6" x14ac:dyDescent="0.3">
      <c r="A1415" s="2" t="s">
        <v>2563</v>
      </c>
      <c r="B1415" s="2" t="s">
        <v>2275</v>
      </c>
      <c r="C1415" t="s">
        <v>3083</v>
      </c>
      <c r="D1415" s="5" t="s">
        <v>4507</v>
      </c>
      <c r="E1415" s="6">
        <f>IFERROR(VLOOKUP($D1415,[1]Balanza!$A$3:$K$852,6,0)-VLOOKUP(D1415,[1]Balanza!$A$3:$K$852,7,0),0)</f>
        <v>0</v>
      </c>
      <c r="F1415" s="6">
        <f>IFERROR(VLOOKUP($D1415,[1]Balanza!$A$3:$K$852,10,0)-VLOOKUP($D1415,[1]Balanza!$A$3:$K$852,11,0),0)</f>
        <v>0</v>
      </c>
    </row>
    <row r="1416" spans="1:6" x14ac:dyDescent="0.3">
      <c r="A1416" s="2" t="s">
        <v>2564</v>
      </c>
      <c r="B1416" s="2" t="s">
        <v>2277</v>
      </c>
      <c r="C1416" t="s">
        <v>3083</v>
      </c>
      <c r="D1416" s="5" t="s">
        <v>4508</v>
      </c>
      <c r="E1416" s="6">
        <f>IFERROR(VLOOKUP($D1416,[1]Balanza!$A$3:$K$852,6,0)-VLOOKUP(D1416,[1]Balanza!$A$3:$K$852,7,0),0)</f>
        <v>9753.1200000000008</v>
      </c>
      <c r="F1416" s="6">
        <f>IFERROR(VLOOKUP($D1416,[1]Balanza!$A$3:$K$852,10,0)-VLOOKUP($D1416,[1]Balanza!$A$3:$K$852,11,0),0)</f>
        <v>599.28</v>
      </c>
    </row>
    <row r="1417" spans="1:6" x14ac:dyDescent="0.3">
      <c r="A1417" s="2" t="s">
        <v>2565</v>
      </c>
      <c r="B1417" s="2" t="s">
        <v>2279</v>
      </c>
      <c r="C1417" t="s">
        <v>3083</v>
      </c>
      <c r="D1417" s="5" t="s">
        <v>4509</v>
      </c>
      <c r="E1417" s="6">
        <f>IFERROR(VLOOKUP($D1417,[1]Balanza!$A$3:$K$852,6,0)-VLOOKUP(D1417,[1]Balanza!$A$3:$K$852,7,0),0)</f>
        <v>0</v>
      </c>
      <c r="F1417" s="6">
        <f>IFERROR(VLOOKUP($D1417,[1]Balanza!$A$3:$K$852,10,0)-VLOOKUP($D1417,[1]Balanza!$A$3:$K$852,11,0),0)</f>
        <v>0</v>
      </c>
    </row>
    <row r="1418" spans="1:6" x14ac:dyDescent="0.3">
      <c r="A1418" s="2" t="s">
        <v>2566</v>
      </c>
      <c r="B1418" s="2" t="s">
        <v>2281</v>
      </c>
      <c r="C1418" t="s">
        <v>3083</v>
      </c>
      <c r="D1418" s="5" t="s">
        <v>4510</v>
      </c>
      <c r="E1418" s="6">
        <f>IFERROR(VLOOKUP($D1418,[1]Balanza!$A$3:$K$852,6,0)-VLOOKUP(D1418,[1]Balanza!$A$3:$K$852,7,0),0)</f>
        <v>0</v>
      </c>
      <c r="F1418" s="6">
        <f>IFERROR(VLOOKUP($D1418,[1]Balanza!$A$3:$K$852,10,0)-VLOOKUP($D1418,[1]Balanza!$A$3:$K$852,11,0),0)</f>
        <v>0</v>
      </c>
    </row>
    <row r="1419" spans="1:6" x14ac:dyDescent="0.3">
      <c r="A1419" s="2" t="s">
        <v>2567</v>
      </c>
      <c r="B1419" s="2" t="s">
        <v>2283</v>
      </c>
      <c r="C1419" t="s">
        <v>3083</v>
      </c>
      <c r="D1419" s="5" t="s">
        <v>4511</v>
      </c>
      <c r="E1419" s="6">
        <f>IFERROR(VLOOKUP($D1419,[1]Balanza!$A$3:$K$852,6,0)-VLOOKUP(D1419,[1]Balanza!$A$3:$K$852,7,0),0)</f>
        <v>0</v>
      </c>
      <c r="F1419" s="6">
        <f>IFERROR(VLOOKUP($D1419,[1]Balanza!$A$3:$K$852,10,0)-VLOOKUP($D1419,[1]Balanza!$A$3:$K$852,11,0),0)</f>
        <v>0</v>
      </c>
    </row>
    <row r="1420" spans="1:6" x14ac:dyDescent="0.3">
      <c r="A1420" s="2" t="s">
        <v>2568</v>
      </c>
      <c r="B1420" s="2" t="s">
        <v>2285</v>
      </c>
      <c r="C1420" t="s">
        <v>3083</v>
      </c>
      <c r="D1420" s="5" t="s">
        <v>4512</v>
      </c>
      <c r="E1420" s="6">
        <f>IFERROR(VLOOKUP($D1420,[1]Balanza!$A$3:$K$852,6,0)-VLOOKUP(D1420,[1]Balanza!$A$3:$K$852,7,0),0)</f>
        <v>0</v>
      </c>
      <c r="F1420" s="6">
        <f>IFERROR(VLOOKUP($D1420,[1]Balanza!$A$3:$K$852,10,0)-VLOOKUP($D1420,[1]Balanza!$A$3:$K$852,11,0),0)</f>
        <v>0</v>
      </c>
    </row>
    <row r="1421" spans="1:6" x14ac:dyDescent="0.3">
      <c r="A1421" s="2" t="s">
        <v>2569</v>
      </c>
      <c r="B1421" s="2" t="s">
        <v>2454</v>
      </c>
      <c r="C1421" t="s">
        <v>3083</v>
      </c>
      <c r="D1421" s="5" t="s">
        <v>4513</v>
      </c>
      <c r="E1421" s="6">
        <f>IFERROR(VLOOKUP($D1421,[1]Balanza!$A$3:$K$852,6,0)-VLOOKUP(D1421,[1]Balanza!$A$3:$K$852,7,0),0)</f>
        <v>0</v>
      </c>
      <c r="F1421" s="6">
        <f>IFERROR(VLOOKUP($D1421,[1]Balanza!$A$3:$K$852,10,0)-VLOOKUP($D1421,[1]Balanza!$A$3:$K$852,11,0),0)</f>
        <v>1712.28</v>
      </c>
    </row>
    <row r="1422" spans="1:6" x14ac:dyDescent="0.3">
      <c r="A1422" s="2" t="s">
        <v>2570</v>
      </c>
      <c r="B1422" s="2" t="s">
        <v>2456</v>
      </c>
      <c r="C1422" t="s">
        <v>3083</v>
      </c>
      <c r="D1422" s="5" t="s">
        <v>4514</v>
      </c>
      <c r="E1422" s="6">
        <f>IFERROR(VLOOKUP($D1422,[1]Balanza!$A$3:$K$852,6,0)-VLOOKUP(D1422,[1]Balanza!$A$3:$K$852,7,0),0)</f>
        <v>0</v>
      </c>
      <c r="F1422" s="6">
        <f>IFERROR(VLOOKUP($D1422,[1]Balanza!$A$3:$K$852,10,0)-VLOOKUP($D1422,[1]Balanza!$A$3:$K$852,11,0),0)</f>
        <v>0</v>
      </c>
    </row>
    <row r="1423" spans="1:6" x14ac:dyDescent="0.3">
      <c r="A1423" s="2" t="s">
        <v>2571</v>
      </c>
      <c r="B1423" s="2" t="s">
        <v>2572</v>
      </c>
      <c r="C1423" t="s">
        <v>3083</v>
      </c>
      <c r="D1423" s="5" t="s">
        <v>4515</v>
      </c>
      <c r="E1423" s="6">
        <f>IFERROR(VLOOKUP($D1423,[1]Balanza!$A$3:$K$852,6,0)-VLOOKUP(D1423,[1]Balanza!$A$3:$K$852,7,0),0)</f>
        <v>0</v>
      </c>
      <c r="F1423" s="6">
        <f>IFERROR(VLOOKUP($D1423,[1]Balanza!$A$3:$K$852,10,0)-VLOOKUP($D1423,[1]Balanza!$A$3:$K$852,11,0),0)</f>
        <v>0</v>
      </c>
    </row>
    <row r="1424" spans="1:6" x14ac:dyDescent="0.3">
      <c r="A1424" s="2" t="s">
        <v>2573</v>
      </c>
      <c r="B1424" s="2" t="s">
        <v>2267</v>
      </c>
      <c r="C1424" t="s">
        <v>3083</v>
      </c>
      <c r="D1424" s="5" t="s">
        <v>4516</v>
      </c>
      <c r="E1424" s="6">
        <f>IFERROR(VLOOKUP($D1424,[1]Balanza!$A$3:$K$852,6,0)-VLOOKUP(D1424,[1]Balanza!$A$3:$K$852,7,0),0)</f>
        <v>0</v>
      </c>
      <c r="F1424" s="6">
        <f>IFERROR(VLOOKUP($D1424,[1]Balanza!$A$3:$K$852,10,0)-VLOOKUP($D1424,[1]Balanza!$A$3:$K$852,11,0),0)</f>
        <v>0</v>
      </c>
    </row>
    <row r="1425" spans="1:6" x14ac:dyDescent="0.3">
      <c r="A1425" s="2" t="s">
        <v>2574</v>
      </c>
      <c r="B1425" s="2" t="s">
        <v>2575</v>
      </c>
      <c r="C1425" t="s">
        <v>3083</v>
      </c>
      <c r="D1425" s="5" t="s">
        <v>4517</v>
      </c>
      <c r="E1425" s="6">
        <f>IFERROR(VLOOKUP($D1425,[1]Balanza!$A$3:$K$852,6,0)-VLOOKUP(D1425,[1]Balanza!$A$3:$K$852,7,0),0)</f>
        <v>6171.43</v>
      </c>
      <c r="F1425" s="6">
        <f>IFERROR(VLOOKUP($D1425,[1]Balanza!$A$3:$K$852,10,0)-VLOOKUP($D1425,[1]Balanza!$A$3:$K$852,11,0),0)</f>
        <v>0</v>
      </c>
    </row>
    <row r="1426" spans="1:6" x14ac:dyDescent="0.3">
      <c r="A1426" s="2" t="s">
        <v>2576</v>
      </c>
      <c r="B1426" s="2" t="s">
        <v>2577</v>
      </c>
      <c r="C1426" t="s">
        <v>3083</v>
      </c>
      <c r="D1426" s="5" t="s">
        <v>4518</v>
      </c>
      <c r="E1426" s="6">
        <f>IFERROR(VLOOKUP($D1426,[1]Balanza!$A$3:$K$852,6,0)-VLOOKUP(D1426,[1]Balanza!$A$3:$K$852,7,0),0)</f>
        <v>11362.21</v>
      </c>
      <c r="F1426" s="6">
        <f>IFERROR(VLOOKUP($D1426,[1]Balanza!$A$3:$K$852,10,0)-VLOOKUP($D1426,[1]Balanza!$A$3:$K$852,11,0),0)</f>
        <v>0</v>
      </c>
    </row>
    <row r="1427" spans="1:6" x14ac:dyDescent="0.3">
      <c r="A1427" s="2" t="s">
        <v>2578</v>
      </c>
      <c r="B1427" s="2" t="s">
        <v>2579</v>
      </c>
      <c r="C1427" t="s">
        <v>3083</v>
      </c>
      <c r="D1427" s="5" t="s">
        <v>4519</v>
      </c>
      <c r="E1427" s="6">
        <f>IFERROR(VLOOKUP($D1427,[1]Balanza!$A$3:$K$852,6,0)-VLOOKUP(D1427,[1]Balanza!$A$3:$K$852,7,0),0)</f>
        <v>0</v>
      </c>
      <c r="F1427" s="6">
        <f>IFERROR(VLOOKUP($D1427,[1]Balanza!$A$3:$K$852,10,0)-VLOOKUP($D1427,[1]Balanza!$A$3:$K$852,11,0),0)</f>
        <v>1000</v>
      </c>
    </row>
    <row r="1428" spans="1:6" x14ac:dyDescent="0.3">
      <c r="A1428" s="2" t="s">
        <v>2580</v>
      </c>
      <c r="B1428" s="2" t="s">
        <v>1828</v>
      </c>
      <c r="C1428" t="s">
        <v>3083</v>
      </c>
      <c r="D1428" s="5" t="s">
        <v>4520</v>
      </c>
      <c r="E1428" s="6">
        <f>IFERROR(VLOOKUP($D1428,[1]Balanza!$A$3:$K$852,6,0)-VLOOKUP(D1428,[1]Balanza!$A$3:$K$852,7,0),0)</f>
        <v>0</v>
      </c>
      <c r="F1428" s="6">
        <f>IFERROR(VLOOKUP($D1428,[1]Balanza!$A$3:$K$852,10,0)-VLOOKUP($D1428,[1]Balanza!$A$3:$K$852,11,0),0)</f>
        <v>0</v>
      </c>
    </row>
    <row r="1429" spans="1:6" x14ac:dyDescent="0.3">
      <c r="A1429" s="2" t="s">
        <v>4882</v>
      </c>
      <c r="B1429" s="2" t="s">
        <v>4883</v>
      </c>
      <c r="C1429" t="s">
        <v>3083</v>
      </c>
      <c r="D1429" s="5" t="s">
        <v>4884</v>
      </c>
      <c r="E1429" s="6">
        <f>IFERROR(VLOOKUP($D1429,[1]Balanza!$A$3:$K$852,6,0)-VLOOKUP(D1429,[1]Balanza!$A$3:$K$852,7,0),0)</f>
        <v>88131.4</v>
      </c>
      <c r="F1429" s="6">
        <f>IFERROR(VLOOKUP($D1429,[1]Balanza!$A$3:$K$852,10,0)-VLOOKUP($D1429,[1]Balanza!$A$3:$K$852,11,0),0)</f>
        <v>0</v>
      </c>
    </row>
    <row r="1430" spans="1:6" x14ac:dyDescent="0.3">
      <c r="A1430" s="2" t="s">
        <v>2581</v>
      </c>
      <c r="B1430" s="2" t="s">
        <v>1833</v>
      </c>
      <c r="C1430" t="s">
        <v>3083</v>
      </c>
      <c r="D1430" s="5" t="s">
        <v>4521</v>
      </c>
      <c r="E1430" s="6">
        <f>IFERROR(VLOOKUP($D1430,[1]Balanza!$A$3:$K$852,6,0)-VLOOKUP(D1430,[1]Balanza!$A$3:$K$852,7,0),0)</f>
        <v>17431.990000000002</v>
      </c>
      <c r="F1430" s="6">
        <f>IFERROR(VLOOKUP($D1430,[1]Balanza!$A$3:$K$852,10,0)-VLOOKUP($D1430,[1]Balanza!$A$3:$K$852,11,0),0)</f>
        <v>1551.41</v>
      </c>
    </row>
    <row r="1431" spans="1:6" x14ac:dyDescent="0.3">
      <c r="A1431" s="2" t="s">
        <v>2582</v>
      </c>
      <c r="B1431" s="2" t="s">
        <v>1835</v>
      </c>
      <c r="C1431" t="s">
        <v>3083</v>
      </c>
      <c r="D1431" s="5" t="s">
        <v>4522</v>
      </c>
      <c r="E1431" s="6">
        <f>IFERROR(VLOOKUP($D1431,[1]Balanza!$A$3:$K$852,6,0)-VLOOKUP(D1431,[1]Balanza!$A$3:$K$852,7,0),0)</f>
        <v>23123.54</v>
      </c>
      <c r="F1431" s="6">
        <f>IFERROR(VLOOKUP($D1431,[1]Balanza!$A$3:$K$852,10,0)-VLOOKUP($D1431,[1]Balanza!$A$3:$K$852,11,0),0)</f>
        <v>1377.17</v>
      </c>
    </row>
    <row r="1432" spans="1:6" x14ac:dyDescent="0.3">
      <c r="A1432" s="2" t="s">
        <v>2583</v>
      </c>
      <c r="B1432" s="2" t="s">
        <v>1837</v>
      </c>
      <c r="C1432" t="s">
        <v>3083</v>
      </c>
      <c r="D1432" s="5" t="s">
        <v>4523</v>
      </c>
      <c r="E1432" s="6">
        <f>IFERROR(VLOOKUP($D1432,[1]Balanza!$A$3:$K$852,6,0)-VLOOKUP(D1432,[1]Balanza!$A$3:$K$852,7,0),0)</f>
        <v>38743.43</v>
      </c>
      <c r="F1432" s="6">
        <f>IFERROR(VLOOKUP($D1432,[1]Balanza!$A$3:$K$852,10,0)-VLOOKUP($D1432,[1]Balanza!$A$3:$K$852,11,0),0)</f>
        <v>2133.79</v>
      </c>
    </row>
    <row r="1433" spans="1:6" x14ac:dyDescent="0.3">
      <c r="A1433" s="2" t="s">
        <v>2584</v>
      </c>
      <c r="B1433" s="2" t="s">
        <v>1839</v>
      </c>
      <c r="C1433" t="s">
        <v>3083</v>
      </c>
      <c r="D1433" s="5" t="s">
        <v>4524</v>
      </c>
      <c r="E1433" s="6">
        <f>IFERROR(VLOOKUP($D1433,[1]Balanza!$A$3:$K$852,6,0)-VLOOKUP(D1433,[1]Balanza!$A$3:$K$852,7,0),0)</f>
        <v>7724.6</v>
      </c>
      <c r="F1433" s="6">
        <f>IFERROR(VLOOKUP($D1433,[1]Balanza!$A$3:$K$852,10,0)-VLOOKUP($D1433,[1]Balanza!$A$3:$K$852,11,0),0)</f>
        <v>485.44</v>
      </c>
    </row>
    <row r="1434" spans="1:6" x14ac:dyDescent="0.3">
      <c r="A1434" s="2" t="s">
        <v>2585</v>
      </c>
      <c r="B1434" s="2" t="s">
        <v>1841</v>
      </c>
      <c r="C1434" t="s">
        <v>3083</v>
      </c>
      <c r="D1434" s="5" t="s">
        <v>4525</v>
      </c>
      <c r="E1434" s="6">
        <f>IFERROR(VLOOKUP($D1434,[1]Balanza!$A$3:$K$852,6,0)-VLOOKUP(D1434,[1]Balanza!$A$3:$K$852,7,0),0)</f>
        <v>0</v>
      </c>
      <c r="F1434" s="6">
        <f>IFERROR(VLOOKUP($D1434,[1]Balanza!$A$3:$K$852,10,0)-VLOOKUP($D1434,[1]Balanza!$A$3:$K$852,11,0),0)</f>
        <v>0</v>
      </c>
    </row>
    <row r="1435" spans="1:6" x14ac:dyDescent="0.3">
      <c r="A1435" s="2" t="s">
        <v>2586</v>
      </c>
      <c r="B1435" s="2" t="s">
        <v>2296</v>
      </c>
      <c r="C1435" t="s">
        <v>3083</v>
      </c>
      <c r="D1435" s="5" t="s">
        <v>4526</v>
      </c>
      <c r="E1435" s="6">
        <f>IFERROR(VLOOKUP($D1435,[1]Balanza!$A$3:$K$852,6,0)-VLOOKUP(D1435,[1]Balanza!$A$3:$K$852,7,0),0)</f>
        <v>0</v>
      </c>
      <c r="F1435" s="6">
        <f>IFERROR(VLOOKUP($D1435,[1]Balanza!$A$3:$K$852,10,0)-VLOOKUP($D1435,[1]Balanza!$A$3:$K$852,11,0),0)</f>
        <v>0</v>
      </c>
    </row>
    <row r="1436" spans="1:6" x14ac:dyDescent="0.3">
      <c r="A1436" s="2" t="s">
        <v>2587</v>
      </c>
      <c r="B1436" s="2" t="s">
        <v>2298</v>
      </c>
      <c r="C1436" t="s">
        <v>3038</v>
      </c>
      <c r="D1436" s="5" t="s">
        <v>4527</v>
      </c>
      <c r="E1436" s="6">
        <f>IFERROR(VLOOKUP($D1436,[1]Balanza!$A$3:$K$852,6,0)-VLOOKUP(D1436,[1]Balanza!$A$3:$K$852,7,0),0)</f>
        <v>0</v>
      </c>
      <c r="F1436" s="6">
        <f>IFERROR(VLOOKUP($D1436,[1]Balanza!$A$3:$K$852,10,0)-VLOOKUP($D1436,[1]Balanza!$A$3:$K$852,11,0),0)</f>
        <v>0</v>
      </c>
    </row>
    <row r="1437" spans="1:6" x14ac:dyDescent="0.3">
      <c r="A1437" s="2" t="s">
        <v>2588</v>
      </c>
      <c r="B1437" s="2" t="s">
        <v>2300</v>
      </c>
      <c r="C1437" t="s">
        <v>3038</v>
      </c>
      <c r="D1437" s="5" t="s">
        <v>4528</v>
      </c>
      <c r="E1437" s="6">
        <f>IFERROR(VLOOKUP($D1437,[1]Balanza!$A$3:$K$852,6,0)-VLOOKUP(D1437,[1]Balanza!$A$3:$K$852,7,0),0)</f>
        <v>0</v>
      </c>
      <c r="F1437" s="6">
        <f>IFERROR(VLOOKUP($D1437,[1]Balanza!$A$3:$K$852,10,0)-VLOOKUP($D1437,[1]Balanza!$A$3:$K$852,11,0),0)</f>
        <v>0</v>
      </c>
    </row>
    <row r="1438" spans="1:6" x14ac:dyDescent="0.3">
      <c r="A1438" s="2" t="s">
        <v>2589</v>
      </c>
      <c r="B1438" s="2" t="s">
        <v>2474</v>
      </c>
      <c r="C1438" t="s">
        <v>3038</v>
      </c>
      <c r="D1438" s="5" t="s">
        <v>4529</v>
      </c>
      <c r="E1438" s="6">
        <f>IFERROR(VLOOKUP($D1438,[1]Balanza!$A$3:$K$852,6,0)-VLOOKUP(D1438,[1]Balanza!$A$3:$K$852,7,0),0)</f>
        <v>0</v>
      </c>
      <c r="F1438" s="6">
        <f>IFERROR(VLOOKUP($D1438,[1]Balanza!$A$3:$K$852,10,0)-VLOOKUP($D1438,[1]Balanza!$A$3:$K$852,11,0),0)</f>
        <v>0</v>
      </c>
    </row>
    <row r="1439" spans="1:6" x14ac:dyDescent="0.3">
      <c r="A1439" s="2" t="s">
        <v>2590</v>
      </c>
      <c r="B1439" s="2" t="s">
        <v>2476</v>
      </c>
      <c r="C1439" t="s">
        <v>3038</v>
      </c>
      <c r="D1439" s="5" t="s">
        <v>4530</v>
      </c>
      <c r="E1439" s="6">
        <f>IFERROR(VLOOKUP($D1439,[1]Balanza!$A$3:$K$852,6,0)-VLOOKUP(D1439,[1]Balanza!$A$3:$K$852,7,0),0)</f>
        <v>0</v>
      </c>
      <c r="F1439" s="6">
        <f>IFERROR(VLOOKUP($D1439,[1]Balanza!$A$3:$K$852,10,0)-VLOOKUP($D1439,[1]Balanza!$A$3:$K$852,11,0),0)</f>
        <v>0</v>
      </c>
    </row>
    <row r="1440" spans="1:6" x14ac:dyDescent="0.3">
      <c r="A1440" s="2" t="s">
        <v>2591</v>
      </c>
      <c r="B1440" s="2" t="s">
        <v>2478</v>
      </c>
      <c r="C1440" t="s">
        <v>3038</v>
      </c>
      <c r="D1440" s="5" t="s">
        <v>4531</v>
      </c>
      <c r="E1440" s="6">
        <f>IFERROR(VLOOKUP($D1440,[1]Balanza!$A$3:$K$852,6,0)-VLOOKUP(D1440,[1]Balanza!$A$3:$K$852,7,0),0)</f>
        <v>0</v>
      </c>
      <c r="F1440" s="6">
        <f>IFERROR(VLOOKUP($D1440,[1]Balanza!$A$3:$K$852,10,0)-VLOOKUP($D1440,[1]Balanza!$A$3:$K$852,11,0),0)</f>
        <v>0</v>
      </c>
    </row>
    <row r="1441" spans="1:6" x14ac:dyDescent="0.3">
      <c r="A1441" s="2" t="s">
        <v>2592</v>
      </c>
      <c r="B1441" s="2" t="s">
        <v>2480</v>
      </c>
      <c r="C1441" t="s">
        <v>3038</v>
      </c>
      <c r="D1441" s="5" t="s">
        <v>4532</v>
      </c>
      <c r="E1441" s="6">
        <f>IFERROR(VLOOKUP($D1441,[1]Balanza!$A$3:$K$852,6,0)-VLOOKUP(D1441,[1]Balanza!$A$3:$K$852,7,0),0)</f>
        <v>0</v>
      </c>
      <c r="F1441" s="6">
        <f>IFERROR(VLOOKUP($D1441,[1]Balanza!$A$3:$K$852,10,0)-VLOOKUP($D1441,[1]Balanza!$A$3:$K$852,11,0),0)</f>
        <v>0</v>
      </c>
    </row>
    <row r="1442" spans="1:6" x14ac:dyDescent="0.3">
      <c r="A1442" s="2" t="s">
        <v>2593</v>
      </c>
      <c r="B1442" s="2" t="s">
        <v>2482</v>
      </c>
      <c r="C1442" t="s">
        <v>4880</v>
      </c>
      <c r="D1442" s="5" t="s">
        <v>4533</v>
      </c>
      <c r="E1442" s="6">
        <f>IFERROR(VLOOKUP($D1442,[1]Balanza!$A$3:$K$852,6,0)-VLOOKUP(D1442,[1]Balanza!$A$3:$K$852,7,0),0)</f>
        <v>0</v>
      </c>
      <c r="F1442" s="6">
        <f>IFERROR(VLOOKUP($D1442,[1]Balanza!$A$3:$K$852,10,0)-VLOOKUP($D1442,[1]Balanza!$A$3:$K$852,11,0),0)</f>
        <v>0</v>
      </c>
    </row>
    <row r="1443" spans="1:6" x14ac:dyDescent="0.3">
      <c r="A1443" s="2" t="s">
        <v>2594</v>
      </c>
      <c r="B1443" s="2" t="s">
        <v>2484</v>
      </c>
      <c r="C1443" t="s">
        <v>3038</v>
      </c>
      <c r="D1443" s="5" t="s">
        <v>4534</v>
      </c>
      <c r="E1443" s="6">
        <f>IFERROR(VLOOKUP($D1443,[1]Balanza!$A$3:$K$852,6,0)-VLOOKUP(D1443,[1]Balanza!$A$3:$K$852,7,0),0)</f>
        <v>0</v>
      </c>
      <c r="F1443" s="6">
        <f>IFERROR(VLOOKUP($D1443,[1]Balanza!$A$3:$K$852,10,0)-VLOOKUP($D1443,[1]Balanza!$A$3:$K$852,11,0),0)</f>
        <v>0</v>
      </c>
    </row>
    <row r="1444" spans="1:6" x14ac:dyDescent="0.3">
      <c r="A1444" s="2" t="s">
        <v>2595</v>
      </c>
      <c r="B1444" s="2" t="s">
        <v>2486</v>
      </c>
      <c r="C1444" t="s">
        <v>3038</v>
      </c>
      <c r="D1444" s="5" t="s">
        <v>4535</v>
      </c>
      <c r="E1444" s="6">
        <f>IFERROR(VLOOKUP($D1444,[1]Balanza!$A$3:$K$852,6,0)-VLOOKUP(D1444,[1]Balanza!$A$3:$K$852,7,0),0)</f>
        <v>0</v>
      </c>
      <c r="F1444" s="6">
        <f>IFERROR(VLOOKUP($D1444,[1]Balanza!$A$3:$K$852,10,0)-VLOOKUP($D1444,[1]Balanza!$A$3:$K$852,11,0),0)</f>
        <v>0</v>
      </c>
    </row>
    <row r="1445" spans="1:6" x14ac:dyDescent="0.3">
      <c r="A1445" s="2" t="s">
        <v>2596</v>
      </c>
      <c r="B1445" s="2" t="s">
        <v>2488</v>
      </c>
      <c r="C1445" t="s">
        <v>3038</v>
      </c>
      <c r="D1445" s="5" t="s">
        <v>4536</v>
      </c>
      <c r="E1445" s="6">
        <f>IFERROR(VLOOKUP($D1445,[1]Balanza!$A$3:$K$852,6,0)-VLOOKUP(D1445,[1]Balanza!$A$3:$K$852,7,0),0)</f>
        <v>0</v>
      </c>
      <c r="F1445" s="6">
        <f>IFERROR(VLOOKUP($D1445,[1]Balanza!$A$3:$K$852,10,0)-VLOOKUP($D1445,[1]Balanza!$A$3:$K$852,11,0),0)</f>
        <v>0</v>
      </c>
    </row>
    <row r="1446" spans="1:6" x14ac:dyDescent="0.3">
      <c r="A1446" s="2" t="s">
        <v>2597</v>
      </c>
      <c r="B1446" s="2" t="s">
        <v>2318</v>
      </c>
      <c r="C1446" t="s">
        <v>3038</v>
      </c>
      <c r="D1446" s="5" t="s">
        <v>4537</v>
      </c>
      <c r="E1446" s="6">
        <f>IFERROR(VLOOKUP($D1446,[1]Balanza!$A$3:$K$852,6,0)-VLOOKUP(D1446,[1]Balanza!$A$3:$K$852,7,0),0)</f>
        <v>0</v>
      </c>
      <c r="F1446" s="6">
        <f>IFERROR(VLOOKUP($D1446,[1]Balanza!$A$3:$K$852,10,0)-VLOOKUP($D1446,[1]Balanza!$A$3:$K$852,11,0),0)</f>
        <v>0</v>
      </c>
    </row>
    <row r="1447" spans="1:6" x14ac:dyDescent="0.3">
      <c r="A1447" s="2" t="s">
        <v>2598</v>
      </c>
      <c r="B1447" s="2" t="s">
        <v>2320</v>
      </c>
      <c r="C1447" t="s">
        <v>3038</v>
      </c>
      <c r="D1447" s="5" t="s">
        <v>4538</v>
      </c>
      <c r="E1447" s="6">
        <f>IFERROR(VLOOKUP($D1447,[1]Balanza!$A$3:$K$852,6,0)-VLOOKUP(D1447,[1]Balanza!$A$3:$K$852,7,0),0)</f>
        <v>0</v>
      </c>
      <c r="F1447" s="6">
        <f>IFERROR(VLOOKUP($D1447,[1]Balanza!$A$3:$K$852,10,0)-VLOOKUP($D1447,[1]Balanza!$A$3:$K$852,11,0),0)</f>
        <v>0</v>
      </c>
    </row>
    <row r="1448" spans="1:6" x14ac:dyDescent="0.3">
      <c r="A1448" s="2" t="s">
        <v>2599</v>
      </c>
      <c r="B1448" s="2" t="s">
        <v>2322</v>
      </c>
      <c r="C1448" t="s">
        <v>3038</v>
      </c>
      <c r="D1448" s="5" t="s">
        <v>4539</v>
      </c>
      <c r="E1448" s="6">
        <f>IFERROR(VLOOKUP($D1448,[1]Balanza!$A$3:$K$852,6,0)-VLOOKUP(D1448,[1]Balanza!$A$3:$K$852,7,0),0)</f>
        <v>0</v>
      </c>
      <c r="F1448" s="6">
        <f>IFERROR(VLOOKUP($D1448,[1]Balanza!$A$3:$K$852,10,0)-VLOOKUP($D1448,[1]Balanza!$A$3:$K$852,11,0),0)</f>
        <v>0</v>
      </c>
    </row>
    <row r="1449" spans="1:6" x14ac:dyDescent="0.3">
      <c r="A1449" s="2" t="s">
        <v>2600</v>
      </c>
      <c r="B1449" s="2" t="s">
        <v>2493</v>
      </c>
      <c r="C1449" t="s">
        <v>3038</v>
      </c>
      <c r="D1449" s="5" t="s">
        <v>4540</v>
      </c>
      <c r="E1449" s="6">
        <f>IFERROR(VLOOKUP($D1449,[1]Balanza!$A$3:$K$852,6,0)-VLOOKUP(D1449,[1]Balanza!$A$3:$K$852,7,0),0)</f>
        <v>0</v>
      </c>
      <c r="F1449" s="6">
        <f>IFERROR(VLOOKUP($D1449,[1]Balanza!$A$3:$K$852,10,0)-VLOOKUP($D1449,[1]Balanza!$A$3:$K$852,11,0),0)</f>
        <v>0</v>
      </c>
    </row>
    <row r="1450" spans="1:6" x14ac:dyDescent="0.3">
      <c r="A1450" s="2" t="s">
        <v>2601</v>
      </c>
      <c r="B1450" s="2" t="s">
        <v>2495</v>
      </c>
      <c r="C1450" t="s">
        <v>3038</v>
      </c>
      <c r="D1450" s="5" t="s">
        <v>4541</v>
      </c>
      <c r="E1450" s="6">
        <f>IFERROR(VLOOKUP($D1450,[1]Balanza!$A$3:$K$852,6,0)-VLOOKUP(D1450,[1]Balanza!$A$3:$K$852,7,0),0)</f>
        <v>0</v>
      </c>
      <c r="F1450" s="6">
        <f>IFERROR(VLOOKUP($D1450,[1]Balanza!$A$3:$K$852,10,0)-VLOOKUP($D1450,[1]Balanza!$A$3:$K$852,11,0),0)</f>
        <v>0</v>
      </c>
    </row>
    <row r="1451" spans="1:6" x14ac:dyDescent="0.3">
      <c r="A1451" s="2" t="s">
        <v>4921</v>
      </c>
      <c r="B1451" s="2" t="s">
        <v>4922</v>
      </c>
      <c r="C1451" t="s">
        <v>3083</v>
      </c>
      <c r="D1451" s="5" t="s">
        <v>4923</v>
      </c>
      <c r="E1451" s="6">
        <f>IFERROR(VLOOKUP($D1451,[1]Balanza!$A$3:$K$852,6,0)-VLOOKUP(D1451,[1]Balanza!$A$3:$K$852,7,0),0)</f>
        <v>15642.11</v>
      </c>
      <c r="F1451" s="6">
        <f>IFERROR(VLOOKUP($D1451,[1]Balanza!$A$3:$K$852,10,0)-VLOOKUP($D1451,[1]Balanza!$A$3:$K$852,11,0),0)</f>
        <v>0</v>
      </c>
    </row>
    <row r="1452" spans="1:6" x14ac:dyDescent="0.3">
      <c r="A1452" s="2" t="s">
        <v>2602</v>
      </c>
      <c r="B1452" s="2" t="s">
        <v>2332</v>
      </c>
      <c r="C1452" t="s">
        <v>3038</v>
      </c>
      <c r="D1452" s="5" t="s">
        <v>4542</v>
      </c>
      <c r="E1452" s="6">
        <f>IFERROR(VLOOKUP($D1452,[1]Balanza!$A$3:$K$852,6,0)-VLOOKUP(D1452,[1]Balanza!$A$3:$K$852,7,0),0)</f>
        <v>0</v>
      </c>
      <c r="F1452" s="6">
        <f>IFERROR(VLOOKUP($D1452,[1]Balanza!$A$3:$K$852,10,0)-VLOOKUP($D1452,[1]Balanza!$A$3:$K$852,11,0),0)</f>
        <v>0</v>
      </c>
    </row>
    <row r="1453" spans="1:6" x14ac:dyDescent="0.3">
      <c r="A1453" s="2" t="s">
        <v>2603</v>
      </c>
      <c r="B1453" s="2" t="s">
        <v>2334</v>
      </c>
      <c r="C1453" t="s">
        <v>3038</v>
      </c>
      <c r="D1453" s="5" t="s">
        <v>4543</v>
      </c>
      <c r="E1453" s="6">
        <f>IFERROR(VLOOKUP($D1453,[1]Balanza!$A$3:$K$852,6,0)-VLOOKUP(D1453,[1]Balanza!$A$3:$K$852,7,0),0)</f>
        <v>0</v>
      </c>
      <c r="F1453" s="6">
        <f>IFERROR(VLOOKUP($D1453,[1]Balanza!$A$3:$K$852,10,0)-VLOOKUP($D1453,[1]Balanza!$A$3:$K$852,11,0),0)</f>
        <v>0</v>
      </c>
    </row>
    <row r="1454" spans="1:6" x14ac:dyDescent="0.3">
      <c r="A1454" s="2" t="s">
        <v>2604</v>
      </c>
      <c r="B1454" s="2" t="s">
        <v>2336</v>
      </c>
      <c r="C1454" t="s">
        <v>3038</v>
      </c>
      <c r="D1454" s="5" t="s">
        <v>4544</v>
      </c>
      <c r="E1454" s="6">
        <f>IFERROR(VLOOKUP($D1454,[1]Balanza!$A$3:$K$852,6,0)-VLOOKUP(D1454,[1]Balanza!$A$3:$K$852,7,0),0)</f>
        <v>0</v>
      </c>
      <c r="F1454" s="6">
        <f>IFERROR(VLOOKUP($D1454,[1]Balanza!$A$3:$K$852,10,0)-VLOOKUP($D1454,[1]Balanza!$A$3:$K$852,11,0),0)</f>
        <v>0</v>
      </c>
    </row>
    <row r="1455" spans="1:6" x14ac:dyDescent="0.3">
      <c r="A1455" s="2" t="s">
        <v>2605</v>
      </c>
      <c r="B1455" s="2" t="s">
        <v>2338</v>
      </c>
      <c r="C1455" t="s">
        <v>3038</v>
      </c>
      <c r="D1455" s="5" t="s">
        <v>4545</v>
      </c>
      <c r="E1455" s="6">
        <f>IFERROR(VLOOKUP($D1455,[1]Balanza!$A$3:$K$852,6,0)-VLOOKUP(D1455,[1]Balanza!$A$3:$K$852,7,0),0)</f>
        <v>0</v>
      </c>
      <c r="F1455" s="6">
        <f>IFERROR(VLOOKUP($D1455,[1]Balanza!$A$3:$K$852,10,0)-VLOOKUP($D1455,[1]Balanza!$A$3:$K$852,11,0),0)</f>
        <v>0</v>
      </c>
    </row>
    <row r="1456" spans="1:6" x14ac:dyDescent="0.3">
      <c r="A1456" s="2" t="s">
        <v>2606</v>
      </c>
      <c r="B1456" s="2" t="s">
        <v>2340</v>
      </c>
      <c r="C1456" t="s">
        <v>3038</v>
      </c>
      <c r="D1456" s="5" t="s">
        <v>4546</v>
      </c>
      <c r="E1456" s="6">
        <f>IFERROR(VLOOKUP($D1456,[1]Balanza!$A$3:$K$852,6,0)-VLOOKUP(D1456,[1]Balanza!$A$3:$K$852,7,0),0)</f>
        <v>0</v>
      </c>
      <c r="F1456" s="6">
        <f>IFERROR(VLOOKUP($D1456,[1]Balanza!$A$3:$K$852,10,0)-VLOOKUP($D1456,[1]Balanza!$A$3:$K$852,11,0),0)</f>
        <v>0</v>
      </c>
    </row>
    <row r="1457" spans="1:6" x14ac:dyDescent="0.3">
      <c r="A1457" s="2" t="s">
        <v>2607</v>
      </c>
      <c r="B1457" s="2" t="s">
        <v>2342</v>
      </c>
      <c r="C1457" t="s">
        <v>3038</v>
      </c>
      <c r="D1457" s="5" t="s">
        <v>4547</v>
      </c>
      <c r="E1457" s="6">
        <f>IFERROR(VLOOKUP($D1457,[1]Balanza!$A$3:$K$852,6,0)-VLOOKUP(D1457,[1]Balanza!$A$3:$K$852,7,0),0)</f>
        <v>0</v>
      </c>
      <c r="F1457" s="6">
        <f>IFERROR(VLOOKUP($D1457,[1]Balanza!$A$3:$K$852,10,0)-VLOOKUP($D1457,[1]Balanza!$A$3:$K$852,11,0),0)</f>
        <v>0</v>
      </c>
    </row>
    <row r="1458" spans="1:6" x14ac:dyDescent="0.3">
      <c r="A1458" s="2" t="s">
        <v>2608</v>
      </c>
      <c r="B1458" s="2" t="s">
        <v>2344</v>
      </c>
      <c r="C1458" t="s">
        <v>3038</v>
      </c>
      <c r="D1458" s="5" t="s">
        <v>4548</v>
      </c>
      <c r="E1458" s="6">
        <f>IFERROR(VLOOKUP($D1458,[1]Balanza!$A$3:$K$852,6,0)-VLOOKUP(D1458,[1]Balanza!$A$3:$K$852,7,0),0)</f>
        <v>0</v>
      </c>
      <c r="F1458" s="6">
        <f>IFERROR(VLOOKUP($D1458,[1]Balanza!$A$3:$K$852,10,0)-VLOOKUP($D1458,[1]Balanza!$A$3:$K$852,11,0),0)</f>
        <v>0</v>
      </c>
    </row>
    <row r="1459" spans="1:6" x14ac:dyDescent="0.3">
      <c r="A1459" s="2" t="s">
        <v>2609</v>
      </c>
      <c r="B1459" s="2" t="s">
        <v>2346</v>
      </c>
      <c r="C1459" t="s">
        <v>3038</v>
      </c>
      <c r="D1459" s="5" t="s">
        <v>4549</v>
      </c>
      <c r="E1459" s="6">
        <f>IFERROR(VLOOKUP($D1459,[1]Balanza!$A$3:$K$852,6,0)-VLOOKUP(D1459,[1]Balanza!$A$3:$K$852,7,0),0)</f>
        <v>0</v>
      </c>
      <c r="F1459" s="6">
        <f>IFERROR(VLOOKUP($D1459,[1]Balanza!$A$3:$K$852,10,0)-VLOOKUP($D1459,[1]Balanza!$A$3:$K$852,11,0),0)</f>
        <v>0</v>
      </c>
    </row>
    <row r="1460" spans="1:6" x14ac:dyDescent="0.3">
      <c r="A1460" s="2" t="s">
        <v>2610</v>
      </c>
      <c r="B1460" s="2" t="s">
        <v>2348</v>
      </c>
      <c r="C1460" t="s">
        <v>4881</v>
      </c>
      <c r="D1460" s="5" t="s">
        <v>4550</v>
      </c>
      <c r="E1460" s="6">
        <f>IFERROR(VLOOKUP($D1460,[1]Balanza!$A$3:$K$852,6,0)-VLOOKUP(D1460,[1]Balanza!$A$3:$K$852,7,0),0)</f>
        <v>0</v>
      </c>
      <c r="F1460" s="6">
        <f>IFERROR(VLOOKUP($D1460,[1]Balanza!$A$3:$K$852,10,0)-VLOOKUP($D1460,[1]Balanza!$A$3:$K$852,11,0),0)</f>
        <v>0</v>
      </c>
    </row>
    <row r="1461" spans="1:6" x14ac:dyDescent="0.3">
      <c r="A1461" s="2" t="s">
        <v>2611</v>
      </c>
      <c r="B1461" s="2" t="s">
        <v>2350</v>
      </c>
      <c r="C1461" t="s">
        <v>3038</v>
      </c>
      <c r="D1461" s="5" t="s">
        <v>4551</v>
      </c>
      <c r="E1461" s="6">
        <f>IFERROR(VLOOKUP($D1461,[1]Balanza!$A$3:$K$852,6,0)-VLOOKUP(D1461,[1]Balanza!$A$3:$K$852,7,0),0)</f>
        <v>0</v>
      </c>
      <c r="F1461" s="6">
        <f>IFERROR(VLOOKUP($D1461,[1]Balanza!$A$3:$K$852,10,0)-VLOOKUP($D1461,[1]Balanza!$A$3:$K$852,11,0),0)</f>
        <v>0</v>
      </c>
    </row>
    <row r="1462" spans="1:6" x14ac:dyDescent="0.3">
      <c r="A1462" s="2" t="s">
        <v>2612</v>
      </c>
      <c r="B1462" s="2" t="s">
        <v>2358</v>
      </c>
      <c r="C1462" t="s">
        <v>3038</v>
      </c>
      <c r="D1462" s="5" t="s">
        <v>4552</v>
      </c>
      <c r="E1462" s="6">
        <f>IFERROR(VLOOKUP($D1462,[1]Balanza!$A$3:$K$852,6,0)-VLOOKUP(D1462,[1]Balanza!$A$3:$K$852,7,0),0)</f>
        <v>0</v>
      </c>
      <c r="F1462" s="6">
        <f>IFERROR(VLOOKUP($D1462,[1]Balanza!$A$3:$K$852,10,0)-VLOOKUP($D1462,[1]Balanza!$A$3:$K$852,11,0),0)</f>
        <v>0</v>
      </c>
    </row>
    <row r="1463" spans="1:6" x14ac:dyDescent="0.3">
      <c r="A1463" s="2" t="s">
        <v>2613</v>
      </c>
      <c r="B1463" s="2" t="s">
        <v>2360</v>
      </c>
      <c r="C1463" t="s">
        <v>3038</v>
      </c>
      <c r="D1463" s="5" t="s">
        <v>4553</v>
      </c>
      <c r="E1463" s="6">
        <f>IFERROR(VLOOKUP($D1463,[1]Balanza!$A$3:$K$852,6,0)-VLOOKUP(D1463,[1]Balanza!$A$3:$K$852,7,0),0)</f>
        <v>0</v>
      </c>
      <c r="F1463" s="6">
        <f>IFERROR(VLOOKUP($D1463,[1]Balanza!$A$3:$K$852,10,0)-VLOOKUP($D1463,[1]Balanza!$A$3:$K$852,11,0),0)</f>
        <v>0</v>
      </c>
    </row>
    <row r="1464" spans="1:6" x14ac:dyDescent="0.3">
      <c r="A1464" s="2" t="s">
        <v>2614</v>
      </c>
      <c r="B1464" s="2" t="s">
        <v>2362</v>
      </c>
      <c r="C1464" t="s">
        <v>3038</v>
      </c>
      <c r="D1464" s="5" t="s">
        <v>4554</v>
      </c>
      <c r="E1464" s="6">
        <f>IFERROR(VLOOKUP($D1464,[1]Balanza!$A$3:$K$852,6,0)-VLOOKUP(D1464,[1]Balanza!$A$3:$K$852,7,0),0)</f>
        <v>0</v>
      </c>
      <c r="F1464" s="6">
        <f>IFERROR(VLOOKUP($D1464,[1]Balanza!$A$3:$K$852,10,0)-VLOOKUP($D1464,[1]Balanza!$A$3:$K$852,11,0),0)</f>
        <v>0</v>
      </c>
    </row>
    <row r="1465" spans="1:6" x14ac:dyDescent="0.3">
      <c r="A1465" s="2" t="s">
        <v>2615</v>
      </c>
      <c r="B1465" s="2" t="s">
        <v>2364</v>
      </c>
      <c r="C1465" t="s">
        <v>4860</v>
      </c>
      <c r="D1465" s="5" t="s">
        <v>4555</v>
      </c>
      <c r="E1465" s="6">
        <f>IFERROR(VLOOKUP($D1465,[1]Balanza!$A$3:$K$852,6,0)-VLOOKUP(D1465,[1]Balanza!$A$3:$K$852,7,0),0)</f>
        <v>0</v>
      </c>
      <c r="F1465" s="6">
        <f>IFERROR(VLOOKUP($D1465,[1]Balanza!$A$3:$K$852,10,0)-VLOOKUP($D1465,[1]Balanza!$A$3:$K$852,11,0),0)</f>
        <v>0</v>
      </c>
    </row>
    <row r="1466" spans="1:6" x14ac:dyDescent="0.3">
      <c r="A1466" s="2" t="s">
        <v>2616</v>
      </c>
      <c r="B1466" s="2" t="s">
        <v>2366</v>
      </c>
      <c r="C1466" t="s">
        <v>3038</v>
      </c>
      <c r="D1466" s="5" t="s">
        <v>4556</v>
      </c>
      <c r="E1466" s="6">
        <f>IFERROR(VLOOKUP($D1466,[1]Balanza!$A$3:$K$852,6,0)-VLOOKUP(D1466,[1]Balanza!$A$3:$K$852,7,0),0)</f>
        <v>0</v>
      </c>
      <c r="F1466" s="6">
        <f>IFERROR(VLOOKUP($D1466,[1]Balanza!$A$3:$K$852,10,0)-VLOOKUP($D1466,[1]Balanza!$A$3:$K$852,11,0),0)</f>
        <v>0</v>
      </c>
    </row>
    <row r="1467" spans="1:6" x14ac:dyDescent="0.3">
      <c r="A1467" s="2" t="s">
        <v>2617</v>
      </c>
      <c r="B1467" s="2" t="s">
        <v>2370</v>
      </c>
      <c r="C1467" t="s">
        <v>3038</v>
      </c>
      <c r="D1467" s="5" t="s">
        <v>4557</v>
      </c>
      <c r="E1467" s="6">
        <f>IFERROR(VLOOKUP($D1467,[1]Balanza!$A$3:$K$852,6,0)-VLOOKUP(D1467,[1]Balanza!$A$3:$K$852,7,0),0)</f>
        <v>0</v>
      </c>
      <c r="F1467" s="6">
        <f>IFERROR(VLOOKUP($D1467,[1]Balanza!$A$3:$K$852,10,0)-VLOOKUP($D1467,[1]Balanza!$A$3:$K$852,11,0),0)</f>
        <v>0</v>
      </c>
    </row>
    <row r="1468" spans="1:6" x14ac:dyDescent="0.3">
      <c r="A1468" s="2" t="s">
        <v>2618</v>
      </c>
      <c r="B1468" s="2" t="s">
        <v>2372</v>
      </c>
      <c r="C1468" t="s">
        <v>3038</v>
      </c>
      <c r="D1468" s="5" t="s">
        <v>4558</v>
      </c>
      <c r="E1468" s="6">
        <f>IFERROR(VLOOKUP($D1468,[1]Balanza!$A$3:$K$852,6,0)-VLOOKUP(D1468,[1]Balanza!$A$3:$K$852,7,0),0)</f>
        <v>0</v>
      </c>
      <c r="F1468" s="6">
        <f>IFERROR(VLOOKUP($D1468,[1]Balanza!$A$3:$K$852,10,0)-VLOOKUP($D1468,[1]Balanza!$A$3:$K$852,11,0),0)</f>
        <v>0</v>
      </c>
    </row>
    <row r="1469" spans="1:6" x14ac:dyDescent="0.3">
      <c r="A1469" s="2" t="s">
        <v>2619</v>
      </c>
      <c r="B1469" s="2" t="s">
        <v>2374</v>
      </c>
      <c r="C1469" t="s">
        <v>3038</v>
      </c>
      <c r="D1469" s="5" t="s">
        <v>4559</v>
      </c>
      <c r="E1469" s="6">
        <f>IFERROR(VLOOKUP($D1469,[1]Balanza!$A$3:$K$852,6,0)-VLOOKUP(D1469,[1]Balanza!$A$3:$K$852,7,0),0)</f>
        <v>0</v>
      </c>
      <c r="F1469" s="6">
        <f>IFERROR(VLOOKUP($D1469,[1]Balanza!$A$3:$K$852,10,0)-VLOOKUP($D1469,[1]Balanza!$A$3:$K$852,11,0),0)</f>
        <v>0</v>
      </c>
    </row>
    <row r="1470" spans="1:6" x14ac:dyDescent="0.3">
      <c r="A1470" s="2" t="s">
        <v>2620</v>
      </c>
      <c r="B1470" s="2" t="s">
        <v>2376</v>
      </c>
      <c r="C1470" t="s">
        <v>3038</v>
      </c>
      <c r="D1470" s="5" t="s">
        <v>4560</v>
      </c>
      <c r="E1470" s="6">
        <f>IFERROR(VLOOKUP($D1470,[1]Balanza!$A$3:$K$852,6,0)-VLOOKUP(D1470,[1]Balanza!$A$3:$K$852,7,0),0)</f>
        <v>0</v>
      </c>
      <c r="F1470" s="6">
        <f>IFERROR(VLOOKUP($D1470,[1]Balanza!$A$3:$K$852,10,0)-VLOOKUP($D1470,[1]Balanza!$A$3:$K$852,11,0),0)</f>
        <v>0</v>
      </c>
    </row>
    <row r="1471" spans="1:6" x14ac:dyDescent="0.3">
      <c r="A1471" s="2" t="s">
        <v>2621</v>
      </c>
      <c r="B1471" s="2" t="s">
        <v>2378</v>
      </c>
      <c r="C1471" t="s">
        <v>3038</v>
      </c>
      <c r="D1471" s="5" t="s">
        <v>4561</v>
      </c>
      <c r="E1471" s="6">
        <f>IFERROR(VLOOKUP($D1471,[1]Balanza!$A$3:$K$852,6,0)-VLOOKUP(D1471,[1]Balanza!$A$3:$K$852,7,0),0)</f>
        <v>0</v>
      </c>
      <c r="F1471" s="6">
        <f>IFERROR(VLOOKUP($D1471,[1]Balanza!$A$3:$K$852,10,0)-VLOOKUP($D1471,[1]Balanza!$A$3:$K$852,11,0),0)</f>
        <v>0</v>
      </c>
    </row>
    <row r="1472" spans="1:6" x14ac:dyDescent="0.3">
      <c r="A1472" s="2" t="s">
        <v>2622</v>
      </c>
      <c r="B1472" s="2" t="s">
        <v>2380</v>
      </c>
      <c r="C1472" t="s">
        <v>3038</v>
      </c>
      <c r="D1472" s="5" t="s">
        <v>4562</v>
      </c>
      <c r="E1472" s="6">
        <f>IFERROR(VLOOKUP($D1472,[1]Balanza!$A$3:$K$852,6,0)-VLOOKUP(D1472,[1]Balanza!$A$3:$K$852,7,0),0)</f>
        <v>0</v>
      </c>
      <c r="F1472" s="6">
        <f>IFERROR(VLOOKUP($D1472,[1]Balanza!$A$3:$K$852,10,0)-VLOOKUP($D1472,[1]Balanza!$A$3:$K$852,11,0),0)</f>
        <v>0</v>
      </c>
    </row>
    <row r="1473" spans="1:6" x14ac:dyDescent="0.3">
      <c r="A1473" s="2" t="s">
        <v>2623</v>
      </c>
      <c r="B1473" s="2" t="s">
        <v>2382</v>
      </c>
      <c r="C1473" t="s">
        <v>3038</v>
      </c>
      <c r="D1473" s="5" t="s">
        <v>4563</v>
      </c>
      <c r="E1473" s="6">
        <f>IFERROR(VLOOKUP($D1473,[1]Balanza!$A$3:$K$852,6,0)-VLOOKUP(D1473,[1]Balanza!$A$3:$K$852,7,0),0)</f>
        <v>0</v>
      </c>
      <c r="F1473" s="6">
        <f>IFERROR(VLOOKUP($D1473,[1]Balanza!$A$3:$K$852,10,0)-VLOOKUP($D1473,[1]Balanza!$A$3:$K$852,11,0),0)</f>
        <v>0</v>
      </c>
    </row>
    <row r="1474" spans="1:6" x14ac:dyDescent="0.3">
      <c r="A1474" s="2" t="s">
        <v>2624</v>
      </c>
      <c r="B1474" s="2" t="s">
        <v>2384</v>
      </c>
      <c r="C1474" t="s">
        <v>3038</v>
      </c>
      <c r="D1474" s="5" t="s">
        <v>4564</v>
      </c>
      <c r="E1474" s="6">
        <f>IFERROR(VLOOKUP($D1474,[1]Balanza!$A$3:$K$852,6,0)-VLOOKUP(D1474,[1]Balanza!$A$3:$K$852,7,0),0)</f>
        <v>0</v>
      </c>
      <c r="F1474" s="6">
        <f>IFERROR(VLOOKUP($D1474,[1]Balanza!$A$3:$K$852,10,0)-VLOOKUP($D1474,[1]Balanza!$A$3:$K$852,11,0),0)</f>
        <v>0</v>
      </c>
    </row>
    <row r="1475" spans="1:6" x14ac:dyDescent="0.3">
      <c r="A1475" s="2" t="s">
        <v>2625</v>
      </c>
      <c r="B1475" s="2" t="s">
        <v>2386</v>
      </c>
      <c r="C1475" t="s">
        <v>3038</v>
      </c>
      <c r="D1475" s="5" t="s">
        <v>4565</v>
      </c>
      <c r="E1475" s="6">
        <f>IFERROR(VLOOKUP($D1475,[1]Balanza!$A$3:$K$852,6,0)-VLOOKUP(D1475,[1]Balanza!$A$3:$K$852,7,0),0)</f>
        <v>0</v>
      </c>
      <c r="F1475" s="6">
        <f>IFERROR(VLOOKUP($D1475,[1]Balanza!$A$3:$K$852,10,0)-VLOOKUP($D1475,[1]Balanza!$A$3:$K$852,11,0),0)</f>
        <v>0</v>
      </c>
    </row>
    <row r="1476" spans="1:6" x14ac:dyDescent="0.3">
      <c r="A1476" s="2" t="s">
        <v>2626</v>
      </c>
      <c r="B1476" s="2" t="s">
        <v>2388</v>
      </c>
      <c r="C1476" t="s">
        <v>3038</v>
      </c>
      <c r="D1476" s="5" t="s">
        <v>4566</v>
      </c>
      <c r="E1476" s="6">
        <f>IFERROR(VLOOKUP($D1476,[1]Balanza!$A$3:$K$852,6,0)-VLOOKUP(D1476,[1]Balanza!$A$3:$K$852,7,0),0)</f>
        <v>0</v>
      </c>
      <c r="F1476" s="6">
        <f>IFERROR(VLOOKUP($D1476,[1]Balanza!$A$3:$K$852,10,0)-VLOOKUP($D1476,[1]Balanza!$A$3:$K$852,11,0),0)</f>
        <v>0</v>
      </c>
    </row>
    <row r="1477" spans="1:6" x14ac:dyDescent="0.3">
      <c r="A1477" s="2" t="s">
        <v>2627</v>
      </c>
      <c r="B1477" s="2" t="s">
        <v>2390</v>
      </c>
      <c r="C1477" t="s">
        <v>3038</v>
      </c>
      <c r="D1477" s="5" t="s">
        <v>4567</v>
      </c>
      <c r="E1477" s="6">
        <f>IFERROR(VLOOKUP($D1477,[1]Balanza!$A$3:$K$852,6,0)-VLOOKUP(D1477,[1]Balanza!$A$3:$K$852,7,0),0)</f>
        <v>0</v>
      </c>
      <c r="F1477" s="6">
        <f>IFERROR(VLOOKUP($D1477,[1]Balanza!$A$3:$K$852,10,0)-VLOOKUP($D1477,[1]Balanza!$A$3:$K$852,11,0),0)</f>
        <v>0</v>
      </c>
    </row>
    <row r="1478" spans="1:6" x14ac:dyDescent="0.3">
      <c r="A1478" s="2" t="s">
        <v>2628</v>
      </c>
      <c r="B1478" s="2" t="s">
        <v>2392</v>
      </c>
      <c r="C1478" t="s">
        <v>3038</v>
      </c>
      <c r="D1478" s="5" t="s">
        <v>4568</v>
      </c>
      <c r="E1478" s="6">
        <f>IFERROR(VLOOKUP($D1478,[1]Balanza!$A$3:$K$852,6,0)-VLOOKUP(D1478,[1]Balanza!$A$3:$K$852,7,0),0)</f>
        <v>0</v>
      </c>
      <c r="F1478" s="6">
        <f>IFERROR(VLOOKUP($D1478,[1]Balanza!$A$3:$K$852,10,0)-VLOOKUP($D1478,[1]Balanza!$A$3:$K$852,11,0),0)</f>
        <v>0</v>
      </c>
    </row>
    <row r="1479" spans="1:6" x14ac:dyDescent="0.3">
      <c r="A1479" s="2" t="s">
        <v>2629</v>
      </c>
      <c r="B1479" s="2" t="s">
        <v>2398</v>
      </c>
      <c r="C1479" t="s">
        <v>3038</v>
      </c>
      <c r="D1479" s="5" t="s">
        <v>4569</v>
      </c>
      <c r="E1479" s="6">
        <f>IFERROR(VLOOKUP($D1479,[1]Balanza!$A$3:$K$852,6,0)-VLOOKUP(D1479,[1]Balanza!$A$3:$K$852,7,0),0)</f>
        <v>0</v>
      </c>
      <c r="F1479" s="6">
        <f>IFERROR(VLOOKUP($D1479,[1]Balanza!$A$3:$K$852,10,0)-VLOOKUP($D1479,[1]Balanza!$A$3:$K$852,11,0),0)</f>
        <v>0</v>
      </c>
    </row>
    <row r="1480" spans="1:6" x14ac:dyDescent="0.3">
      <c r="A1480" s="2" t="s">
        <v>2630</v>
      </c>
      <c r="B1480" s="2" t="s">
        <v>2400</v>
      </c>
      <c r="C1480" t="s">
        <v>3038</v>
      </c>
      <c r="D1480" s="5" t="s">
        <v>4570</v>
      </c>
      <c r="E1480" s="6">
        <f>IFERROR(VLOOKUP($D1480,[1]Balanza!$A$3:$K$852,6,0)-VLOOKUP(D1480,[1]Balanza!$A$3:$K$852,7,0),0)</f>
        <v>0</v>
      </c>
      <c r="F1480" s="6">
        <f>IFERROR(VLOOKUP($D1480,[1]Balanza!$A$3:$K$852,10,0)-VLOOKUP($D1480,[1]Balanza!$A$3:$K$852,11,0),0)</f>
        <v>0</v>
      </c>
    </row>
    <row r="1481" spans="1:6" x14ac:dyDescent="0.3">
      <c r="A1481" s="2" t="s">
        <v>2631</v>
      </c>
      <c r="B1481" s="2" t="s">
        <v>2402</v>
      </c>
      <c r="C1481" t="s">
        <v>3038</v>
      </c>
      <c r="D1481" s="5" t="s">
        <v>4571</v>
      </c>
      <c r="E1481" s="6">
        <f>IFERROR(VLOOKUP($D1481,[1]Balanza!$A$3:$K$852,6,0)-VLOOKUP(D1481,[1]Balanza!$A$3:$K$852,7,0),0)</f>
        <v>0</v>
      </c>
      <c r="F1481" s="6">
        <f>IFERROR(VLOOKUP($D1481,[1]Balanza!$A$3:$K$852,10,0)-VLOOKUP($D1481,[1]Balanza!$A$3:$K$852,11,0),0)</f>
        <v>0</v>
      </c>
    </row>
    <row r="1482" spans="1:6" x14ac:dyDescent="0.3">
      <c r="A1482" s="2" t="s">
        <v>2632</v>
      </c>
      <c r="B1482" s="2" t="s">
        <v>2633</v>
      </c>
      <c r="C1482" t="s">
        <v>3038</v>
      </c>
      <c r="D1482" s="5" t="s">
        <v>4572</v>
      </c>
      <c r="E1482" s="6">
        <f>IFERROR(VLOOKUP($D1482,[1]Balanza!$A$3:$K$852,6,0)-VLOOKUP(D1482,[1]Balanza!$A$3:$K$852,7,0),0)</f>
        <v>0</v>
      </c>
      <c r="F1482" s="6">
        <f>IFERROR(VLOOKUP($D1482,[1]Balanza!$A$3:$K$852,10,0)-VLOOKUP($D1482,[1]Balanza!$A$3:$K$852,11,0),0)</f>
        <v>0</v>
      </c>
    </row>
    <row r="1483" spans="1:6" x14ac:dyDescent="0.3">
      <c r="A1483" s="2" t="s">
        <v>2634</v>
      </c>
      <c r="B1483" s="2" t="s">
        <v>2635</v>
      </c>
      <c r="C1483" t="s">
        <v>3038</v>
      </c>
      <c r="D1483" s="5" t="s">
        <v>4573</v>
      </c>
      <c r="E1483" s="6">
        <f>IFERROR(VLOOKUP($D1483,[1]Balanza!$A$3:$K$852,6,0)-VLOOKUP(D1483,[1]Balanza!$A$3:$K$852,7,0),0)</f>
        <v>0</v>
      </c>
      <c r="F1483" s="6">
        <f>IFERROR(VLOOKUP($D1483,[1]Balanza!$A$3:$K$852,10,0)-VLOOKUP($D1483,[1]Balanza!$A$3:$K$852,11,0),0)</f>
        <v>0</v>
      </c>
    </row>
    <row r="1484" spans="1:6" x14ac:dyDescent="0.3">
      <c r="A1484" s="2" t="s">
        <v>2636</v>
      </c>
      <c r="B1484" s="2" t="s">
        <v>2408</v>
      </c>
      <c r="C1484" t="s">
        <v>3038</v>
      </c>
      <c r="D1484" s="5" t="s">
        <v>4574</v>
      </c>
      <c r="E1484" s="6">
        <f>IFERROR(VLOOKUP($D1484,[1]Balanza!$A$3:$K$852,6,0)-VLOOKUP(D1484,[1]Balanza!$A$3:$K$852,7,0),0)</f>
        <v>0</v>
      </c>
      <c r="F1484" s="6">
        <f>IFERROR(VLOOKUP($D1484,[1]Balanza!$A$3:$K$852,10,0)-VLOOKUP($D1484,[1]Balanza!$A$3:$K$852,11,0),0)</f>
        <v>0</v>
      </c>
    </row>
    <row r="1485" spans="1:6" x14ac:dyDescent="0.3">
      <c r="A1485" s="2" t="s">
        <v>2637</v>
      </c>
      <c r="B1485" s="2" t="s">
        <v>2534</v>
      </c>
      <c r="C1485" t="s">
        <v>3038</v>
      </c>
      <c r="D1485" s="5" t="s">
        <v>4575</v>
      </c>
      <c r="E1485" s="6">
        <f>IFERROR(VLOOKUP($D1485,[1]Balanza!$A$3:$K$852,6,0)-VLOOKUP(D1485,[1]Balanza!$A$3:$K$852,7,0),0)</f>
        <v>0</v>
      </c>
      <c r="F1485" s="6">
        <f>IFERROR(VLOOKUP($D1485,[1]Balanza!$A$3:$K$852,10,0)-VLOOKUP($D1485,[1]Balanza!$A$3:$K$852,11,0),0)</f>
        <v>0</v>
      </c>
    </row>
    <row r="1486" spans="1:6" x14ac:dyDescent="0.3">
      <c r="A1486" s="2" t="s">
        <v>2638</v>
      </c>
      <c r="B1486" s="2" t="s">
        <v>2536</v>
      </c>
      <c r="C1486" t="s">
        <v>3071</v>
      </c>
      <c r="D1486" s="5" t="s">
        <v>4576</v>
      </c>
      <c r="E1486" s="6">
        <f>IFERROR(VLOOKUP($D1486,[1]Balanza!$A$3:$K$852,6,0)-VLOOKUP(D1486,[1]Balanza!$A$3:$K$852,7,0),0)</f>
        <v>0</v>
      </c>
      <c r="F1486" s="6">
        <f>IFERROR(VLOOKUP($D1486,[1]Balanza!$A$3:$K$852,10,0)-VLOOKUP($D1486,[1]Balanza!$A$3:$K$852,11,0),0)</f>
        <v>0</v>
      </c>
    </row>
    <row r="1487" spans="1:6" x14ac:dyDescent="0.3">
      <c r="A1487" s="2" t="s">
        <v>2639</v>
      </c>
      <c r="B1487" s="2" t="s">
        <v>2640</v>
      </c>
      <c r="C1487" t="s">
        <v>4865</v>
      </c>
      <c r="D1487" s="5" t="s">
        <v>4577</v>
      </c>
      <c r="E1487" s="6">
        <f>IFERROR(VLOOKUP($D1487,[1]Balanza!$A$3:$K$852,6,0)-VLOOKUP(D1487,[1]Balanza!$A$3:$K$852,7,0),0)</f>
        <v>6832.21</v>
      </c>
      <c r="F1487" s="6">
        <f>IFERROR(VLOOKUP($D1487,[1]Balanza!$A$3:$K$852,10,0)-VLOOKUP($D1487,[1]Balanza!$A$3:$K$852,11,0),0)</f>
        <v>0</v>
      </c>
    </row>
    <row r="1488" spans="1:6" x14ac:dyDescent="0.3">
      <c r="A1488" s="2" t="s">
        <v>4885</v>
      </c>
      <c r="B1488" s="2"/>
      <c r="C1488" t="s">
        <v>3038</v>
      </c>
      <c r="D1488" s="5" t="s">
        <v>4893</v>
      </c>
      <c r="E1488" s="6">
        <f>IFERROR(VLOOKUP($D1488,[1]Balanza!$A$3:$K$852,6,0)-VLOOKUP(D1488,[1]Balanza!$A$3:$K$852,7,0),0)</f>
        <v>0</v>
      </c>
      <c r="F1488" s="6">
        <f>IFERROR(VLOOKUP($D1488,[1]Balanza!$A$3:$K$852,10,0)-VLOOKUP($D1488,[1]Balanza!$A$3:$K$852,11,0),0)</f>
        <v>0</v>
      </c>
    </row>
    <row r="1489" spans="1:6" x14ac:dyDescent="0.3">
      <c r="A1489" s="2" t="s">
        <v>4886</v>
      </c>
      <c r="B1489" s="2"/>
      <c r="C1489" t="s">
        <v>3038</v>
      </c>
      <c r="D1489" s="5" t="s">
        <v>4894</v>
      </c>
      <c r="E1489" s="6">
        <f>IFERROR(VLOOKUP($D1489,[1]Balanza!$A$3:$K$852,6,0)-VLOOKUP(D1489,[1]Balanza!$A$3:$K$852,7,0),0)</f>
        <v>0</v>
      </c>
      <c r="F1489" s="6">
        <f>IFERROR(VLOOKUP($D1489,[1]Balanza!$A$3:$K$852,10,0)-VLOOKUP($D1489,[1]Balanza!$A$3:$K$852,11,0),0)</f>
        <v>0</v>
      </c>
    </row>
    <row r="1490" spans="1:6" x14ac:dyDescent="0.3">
      <c r="A1490" s="2" t="s">
        <v>4887</v>
      </c>
      <c r="B1490" s="2"/>
      <c r="C1490" t="s">
        <v>3038</v>
      </c>
      <c r="D1490" s="5" t="s">
        <v>4895</v>
      </c>
      <c r="E1490" s="6">
        <f>IFERROR(VLOOKUP($D1490,[1]Balanza!$A$3:$K$852,6,0)-VLOOKUP(D1490,[1]Balanza!$A$3:$K$852,7,0),0)</f>
        <v>0</v>
      </c>
      <c r="F1490" s="6">
        <f>IFERROR(VLOOKUP($D1490,[1]Balanza!$A$3:$K$852,10,0)-VLOOKUP($D1490,[1]Balanza!$A$3:$K$852,11,0),0)</f>
        <v>0</v>
      </c>
    </row>
    <row r="1491" spans="1:6" x14ac:dyDescent="0.3">
      <c r="A1491" s="2" t="s">
        <v>4888</v>
      </c>
      <c r="B1491" s="2"/>
      <c r="C1491" t="s">
        <v>3038</v>
      </c>
      <c r="D1491" s="5" t="s">
        <v>4896</v>
      </c>
      <c r="E1491" s="6">
        <f>IFERROR(VLOOKUP($D1491,[1]Balanza!$A$3:$K$852,6,0)-VLOOKUP(D1491,[1]Balanza!$A$3:$K$852,7,0),0)</f>
        <v>0</v>
      </c>
      <c r="F1491" s="6">
        <f>IFERROR(VLOOKUP($D1491,[1]Balanza!$A$3:$K$852,10,0)-VLOOKUP($D1491,[1]Balanza!$A$3:$K$852,11,0),0)</f>
        <v>0</v>
      </c>
    </row>
    <row r="1492" spans="1:6" x14ac:dyDescent="0.3">
      <c r="A1492" s="2" t="s">
        <v>4889</v>
      </c>
      <c r="B1492" s="2"/>
      <c r="C1492" t="s">
        <v>3038</v>
      </c>
      <c r="D1492" s="5" t="s">
        <v>4897</v>
      </c>
      <c r="E1492" s="6">
        <f>IFERROR(VLOOKUP($D1492,[1]Balanza!$A$3:$K$852,6,0)-VLOOKUP(D1492,[1]Balanza!$A$3:$K$852,7,0),0)</f>
        <v>0</v>
      </c>
      <c r="F1492" s="6">
        <f>IFERROR(VLOOKUP($D1492,[1]Balanza!$A$3:$K$852,10,0)-VLOOKUP($D1492,[1]Balanza!$A$3:$K$852,11,0),0)</f>
        <v>0</v>
      </c>
    </row>
    <row r="1493" spans="1:6" x14ac:dyDescent="0.3">
      <c r="A1493" s="2" t="s">
        <v>4890</v>
      </c>
      <c r="B1493" s="2" t="s">
        <v>4891</v>
      </c>
      <c r="C1493" t="s">
        <v>4892</v>
      </c>
      <c r="D1493" s="5" t="s">
        <v>4898</v>
      </c>
      <c r="E1493" s="6">
        <f>IFERROR(VLOOKUP($D1493,[1]Balanza!$A$3:$K$852,6,0)-VLOOKUP(D1493,[1]Balanza!$A$3:$K$852,7,0),0)</f>
        <v>0</v>
      </c>
      <c r="F1493" s="6">
        <f>IFERROR(VLOOKUP($D1493,[1]Balanza!$A$3:$K$852,10,0)-VLOOKUP($D1493,[1]Balanza!$A$3:$K$852,11,0),0)</f>
        <v>0</v>
      </c>
    </row>
    <row r="1494" spans="1:6" x14ac:dyDescent="0.3">
      <c r="A1494" s="1" t="s">
        <v>2641</v>
      </c>
      <c r="B1494" s="1" t="s">
        <v>2642</v>
      </c>
      <c r="C1494" t="s">
        <v>3029</v>
      </c>
      <c r="D1494" s="5" t="s">
        <v>4578</v>
      </c>
      <c r="E1494" s="6">
        <f>IFERROR(VLOOKUP($D1494,[1]Balanza!$A$3:$K$852,6,0)-VLOOKUP(D1494,[1]Balanza!$A$3:$K$852,7,0),0)</f>
        <v>0</v>
      </c>
      <c r="F1494" s="6">
        <f>IFERROR(VLOOKUP($D1494,[1]Balanza!$A$3:$K$852,10,0)-VLOOKUP($D1494,[1]Balanza!$A$3:$K$852,11,0),0)</f>
        <v>0</v>
      </c>
    </row>
    <row r="1495" spans="1:6" x14ac:dyDescent="0.3">
      <c r="A1495" s="2" t="s">
        <v>2643</v>
      </c>
      <c r="B1495" s="2" t="s">
        <v>2644</v>
      </c>
      <c r="C1495" t="s">
        <v>3084</v>
      </c>
      <c r="D1495" s="5" t="s">
        <v>4579</v>
      </c>
      <c r="E1495" s="6">
        <f>IFERROR(VLOOKUP($D1495,[1]Balanza!$A$3:$K$852,6,0)-VLOOKUP(D1495,[1]Balanza!$A$3:$K$852,7,0),0)</f>
        <v>0</v>
      </c>
      <c r="F1495" s="6">
        <f>IFERROR(VLOOKUP($D1495,[1]Balanza!$A$3:$K$852,10,0)-VLOOKUP($D1495,[1]Balanza!$A$3:$K$852,11,0),0)</f>
        <v>0</v>
      </c>
    </row>
    <row r="1496" spans="1:6" x14ac:dyDescent="0.3">
      <c r="A1496" s="2" t="s">
        <v>2645</v>
      </c>
      <c r="B1496" s="2" t="s">
        <v>2182</v>
      </c>
      <c r="C1496" t="s">
        <v>3084</v>
      </c>
      <c r="D1496" s="5" t="s">
        <v>4580</v>
      </c>
      <c r="E1496" s="6">
        <f>IFERROR(VLOOKUP($D1496,[1]Balanza!$A$3:$K$852,6,0)-VLOOKUP(D1496,[1]Balanza!$A$3:$K$852,7,0),0)</f>
        <v>126266.36</v>
      </c>
      <c r="F1496" s="6">
        <f>IFERROR(VLOOKUP($D1496,[1]Balanza!$A$3:$K$852,10,0)-VLOOKUP($D1496,[1]Balanza!$A$3:$K$852,11,0),0)</f>
        <v>9522</v>
      </c>
    </row>
    <row r="1497" spans="1:6" x14ac:dyDescent="0.3">
      <c r="A1497" s="2" t="s">
        <v>2646</v>
      </c>
      <c r="B1497" s="2" t="s">
        <v>2245</v>
      </c>
      <c r="C1497" t="s">
        <v>3084</v>
      </c>
      <c r="D1497" s="5" t="s">
        <v>4581</v>
      </c>
      <c r="E1497" s="6">
        <f>IFERROR(VLOOKUP($D1497,[1]Balanza!$A$3:$K$852,6,0)-VLOOKUP(D1497,[1]Balanza!$A$3:$K$852,7,0),0)</f>
        <v>0</v>
      </c>
      <c r="F1497" s="6">
        <f>IFERROR(VLOOKUP($D1497,[1]Balanza!$A$3:$K$852,10,0)-VLOOKUP($D1497,[1]Balanza!$A$3:$K$852,11,0),0)</f>
        <v>0</v>
      </c>
    </row>
    <row r="1498" spans="1:6" x14ac:dyDescent="0.3">
      <c r="A1498" s="2" t="s">
        <v>2647</v>
      </c>
      <c r="B1498" s="2" t="s">
        <v>2247</v>
      </c>
      <c r="C1498" t="s">
        <v>3084</v>
      </c>
      <c r="D1498" s="5" t="s">
        <v>4582</v>
      </c>
      <c r="E1498" s="6">
        <f>IFERROR(VLOOKUP($D1498,[1]Balanza!$A$3:$K$852,6,0)-VLOOKUP(D1498,[1]Balanza!$A$3:$K$852,7,0),0)</f>
        <v>0</v>
      </c>
      <c r="F1498" s="6">
        <f>IFERROR(VLOOKUP($D1498,[1]Balanza!$A$3:$K$852,10,0)-VLOOKUP($D1498,[1]Balanza!$A$3:$K$852,11,0),0)</f>
        <v>0</v>
      </c>
    </row>
    <row r="1499" spans="1:6" x14ac:dyDescent="0.3">
      <c r="A1499" s="2" t="s">
        <v>2648</v>
      </c>
      <c r="B1499" s="2" t="s">
        <v>2249</v>
      </c>
      <c r="C1499" t="s">
        <v>3084</v>
      </c>
      <c r="D1499" s="5" t="s">
        <v>4583</v>
      </c>
      <c r="E1499" s="6">
        <f>IFERROR(VLOOKUP($D1499,[1]Balanza!$A$3:$K$852,6,0)-VLOOKUP(D1499,[1]Balanza!$A$3:$K$852,7,0),0)</f>
        <v>12782.68</v>
      </c>
      <c r="F1499" s="6">
        <f>IFERROR(VLOOKUP($D1499,[1]Balanza!$A$3:$K$852,10,0)-VLOOKUP($D1499,[1]Balanza!$A$3:$K$852,11,0),0)</f>
        <v>1159.2</v>
      </c>
    </row>
    <row r="1500" spans="1:6" x14ac:dyDescent="0.3">
      <c r="A1500" s="2" t="s">
        <v>2649</v>
      </c>
      <c r="B1500" s="2" t="s">
        <v>1992</v>
      </c>
      <c r="C1500" t="s">
        <v>3084</v>
      </c>
      <c r="D1500" s="5" t="s">
        <v>4584</v>
      </c>
      <c r="E1500" s="6">
        <f>IFERROR(VLOOKUP($D1500,[1]Balanza!$A$3:$K$852,6,0)-VLOOKUP(D1500,[1]Balanza!$A$3:$K$852,7,0),0)</f>
        <v>12782.68</v>
      </c>
      <c r="F1500" s="6">
        <f>IFERROR(VLOOKUP($D1500,[1]Balanza!$A$3:$K$852,10,0)-VLOOKUP($D1500,[1]Balanza!$A$3:$K$852,11,0),0)</f>
        <v>1159.2</v>
      </c>
    </row>
    <row r="1501" spans="1:6" x14ac:dyDescent="0.3">
      <c r="A1501" s="2" t="s">
        <v>2650</v>
      </c>
      <c r="B1501" s="2" t="s">
        <v>2252</v>
      </c>
      <c r="C1501" t="s">
        <v>3084</v>
      </c>
      <c r="D1501" s="5" t="s">
        <v>4585</v>
      </c>
      <c r="E1501" s="6">
        <f>IFERROR(VLOOKUP($D1501,[1]Balanza!$A$3:$K$852,6,0)-VLOOKUP(D1501,[1]Balanza!$A$3:$K$852,7,0),0)</f>
        <v>1560.24</v>
      </c>
      <c r="F1501" s="6">
        <f>IFERROR(VLOOKUP($D1501,[1]Balanza!$A$3:$K$852,10,0)-VLOOKUP($D1501,[1]Balanza!$A$3:$K$852,11,0),0)</f>
        <v>414</v>
      </c>
    </row>
    <row r="1502" spans="1:6" x14ac:dyDescent="0.3">
      <c r="A1502" s="2" t="s">
        <v>2651</v>
      </c>
      <c r="B1502" s="2" t="s">
        <v>1996</v>
      </c>
      <c r="C1502" t="s">
        <v>3084</v>
      </c>
      <c r="D1502" s="5" t="s">
        <v>4586</v>
      </c>
      <c r="E1502" s="6">
        <f>IFERROR(VLOOKUP($D1502,[1]Balanza!$A$3:$K$852,6,0)-VLOOKUP(D1502,[1]Balanza!$A$3:$K$852,7,0),0)</f>
        <v>0</v>
      </c>
      <c r="F1502" s="6">
        <f>IFERROR(VLOOKUP($D1502,[1]Balanza!$A$3:$K$852,10,0)-VLOOKUP($D1502,[1]Balanza!$A$3:$K$852,11,0),0)</f>
        <v>0</v>
      </c>
    </row>
    <row r="1503" spans="1:6" x14ac:dyDescent="0.3">
      <c r="A1503" s="2" t="s">
        <v>2652</v>
      </c>
      <c r="B1503" s="2" t="s">
        <v>2255</v>
      </c>
      <c r="C1503" t="s">
        <v>3084</v>
      </c>
      <c r="D1503" s="5" t="s">
        <v>4587</v>
      </c>
      <c r="E1503" s="6">
        <f>IFERROR(VLOOKUP($D1503,[1]Balanza!$A$3:$K$852,6,0)-VLOOKUP(D1503,[1]Balanza!$A$3:$K$852,7,0),0)</f>
        <v>0</v>
      </c>
      <c r="F1503" s="6">
        <f>IFERROR(VLOOKUP($D1503,[1]Balanza!$A$3:$K$852,10,0)-VLOOKUP($D1503,[1]Balanza!$A$3:$K$852,11,0),0)</f>
        <v>0</v>
      </c>
    </row>
    <row r="1504" spans="1:6" x14ac:dyDescent="0.3">
      <c r="A1504" s="2" t="s">
        <v>2653</v>
      </c>
      <c r="B1504" s="2" t="s">
        <v>2257</v>
      </c>
      <c r="C1504" t="s">
        <v>3084</v>
      </c>
      <c r="D1504" s="5" t="s">
        <v>4588</v>
      </c>
      <c r="E1504" s="6">
        <f>IFERROR(VLOOKUP($D1504,[1]Balanza!$A$3:$K$852,6,0)-VLOOKUP(D1504,[1]Balanza!$A$3:$K$852,7,0),0)</f>
        <v>0</v>
      </c>
      <c r="F1504" s="6">
        <f>IFERROR(VLOOKUP($D1504,[1]Balanza!$A$3:$K$852,10,0)-VLOOKUP($D1504,[1]Balanza!$A$3:$K$852,11,0),0)</f>
        <v>0</v>
      </c>
    </row>
    <row r="1505" spans="1:6" x14ac:dyDescent="0.3">
      <c r="A1505" s="2" t="s">
        <v>2654</v>
      </c>
      <c r="B1505" s="2" t="s">
        <v>2259</v>
      </c>
      <c r="C1505" t="s">
        <v>3084</v>
      </c>
      <c r="D1505" s="5" t="s">
        <v>4589</v>
      </c>
      <c r="E1505" s="6">
        <f>IFERROR(VLOOKUP($D1505,[1]Balanza!$A$3:$K$852,6,0)-VLOOKUP(D1505,[1]Balanza!$A$3:$K$852,7,0),0)</f>
        <v>0</v>
      </c>
      <c r="F1505" s="6">
        <f>IFERROR(VLOOKUP($D1505,[1]Balanza!$A$3:$K$852,10,0)-VLOOKUP($D1505,[1]Balanza!$A$3:$K$852,11,0),0)</f>
        <v>0</v>
      </c>
    </row>
    <row r="1506" spans="1:6" x14ac:dyDescent="0.3">
      <c r="A1506" s="2" t="s">
        <v>2655</v>
      </c>
      <c r="B1506" s="2" t="s">
        <v>2261</v>
      </c>
      <c r="C1506" t="s">
        <v>3084</v>
      </c>
      <c r="D1506" s="5" t="s">
        <v>4590</v>
      </c>
      <c r="E1506" s="6">
        <f>IFERROR(VLOOKUP($D1506,[1]Balanza!$A$3:$K$852,6,0)-VLOOKUP(D1506,[1]Balanza!$A$3:$K$852,7,0),0)</f>
        <v>0</v>
      </c>
      <c r="F1506" s="6">
        <f>IFERROR(VLOOKUP($D1506,[1]Balanza!$A$3:$K$852,10,0)-VLOOKUP($D1506,[1]Balanza!$A$3:$K$852,11,0),0)</f>
        <v>0</v>
      </c>
    </row>
    <row r="1507" spans="1:6" x14ac:dyDescent="0.3">
      <c r="A1507" s="2" t="s">
        <v>2656</v>
      </c>
      <c r="B1507" s="2" t="s">
        <v>2263</v>
      </c>
      <c r="C1507" t="s">
        <v>3084</v>
      </c>
      <c r="D1507" s="5" t="s">
        <v>4591</v>
      </c>
      <c r="E1507" s="6">
        <f>IFERROR(VLOOKUP($D1507,[1]Balanza!$A$3:$K$852,6,0)-VLOOKUP(D1507,[1]Balanza!$A$3:$K$852,7,0),0)</f>
        <v>5636.89</v>
      </c>
      <c r="F1507" s="6">
        <f>IFERROR(VLOOKUP($D1507,[1]Balanza!$A$3:$K$852,10,0)-VLOOKUP($D1507,[1]Balanza!$A$3:$K$852,11,0),0)</f>
        <v>517.5</v>
      </c>
    </row>
    <row r="1508" spans="1:6" x14ac:dyDescent="0.3">
      <c r="A1508" s="2" t="s">
        <v>2657</v>
      </c>
      <c r="B1508" s="2" t="s">
        <v>2265</v>
      </c>
      <c r="C1508" t="s">
        <v>3084</v>
      </c>
      <c r="D1508" s="5" t="s">
        <v>4592</v>
      </c>
      <c r="E1508" s="6">
        <f>IFERROR(VLOOKUP($D1508,[1]Balanza!$A$3:$K$852,6,0)-VLOOKUP(D1508,[1]Balanza!$A$3:$K$852,7,0),0)</f>
        <v>0</v>
      </c>
      <c r="F1508" s="6">
        <f>IFERROR(VLOOKUP($D1508,[1]Balanza!$A$3:$K$852,10,0)-VLOOKUP($D1508,[1]Balanza!$A$3:$K$852,11,0),0)</f>
        <v>0</v>
      </c>
    </row>
    <row r="1509" spans="1:6" x14ac:dyDescent="0.3">
      <c r="A1509" s="2" t="s">
        <v>2658</v>
      </c>
      <c r="B1509" s="2" t="s">
        <v>2267</v>
      </c>
      <c r="C1509" t="s">
        <v>3084</v>
      </c>
      <c r="D1509" s="5" t="s">
        <v>4593</v>
      </c>
      <c r="E1509" s="6">
        <f>IFERROR(VLOOKUP($D1509,[1]Balanza!$A$3:$K$852,6,0)-VLOOKUP(D1509,[1]Balanza!$A$3:$K$852,7,0),0)</f>
        <v>0</v>
      </c>
      <c r="F1509" s="6">
        <f>IFERROR(VLOOKUP($D1509,[1]Balanza!$A$3:$K$852,10,0)-VLOOKUP($D1509,[1]Balanza!$A$3:$K$852,11,0),0)</f>
        <v>0</v>
      </c>
    </row>
    <row r="1510" spans="1:6" x14ac:dyDescent="0.3">
      <c r="A1510" s="2" t="s">
        <v>2659</v>
      </c>
      <c r="B1510" s="2" t="s">
        <v>2269</v>
      </c>
      <c r="C1510" t="s">
        <v>3084</v>
      </c>
      <c r="D1510" s="5" t="s">
        <v>4594</v>
      </c>
      <c r="E1510" s="6">
        <f>IFERROR(VLOOKUP($D1510,[1]Balanza!$A$3:$K$852,6,0)-VLOOKUP(D1510,[1]Balanza!$A$3:$K$852,7,0),0)</f>
        <v>12782.68</v>
      </c>
      <c r="F1510" s="6">
        <f>IFERROR(VLOOKUP($D1510,[1]Balanza!$A$3:$K$852,10,0)-VLOOKUP($D1510,[1]Balanza!$A$3:$K$852,11,0),0)</f>
        <v>1159.2</v>
      </c>
    </row>
    <row r="1511" spans="1:6" x14ac:dyDescent="0.3">
      <c r="A1511" s="2" t="s">
        <v>2660</v>
      </c>
      <c r="B1511" s="2" t="s">
        <v>2271</v>
      </c>
      <c r="C1511" t="s">
        <v>3084</v>
      </c>
      <c r="D1511" s="5" t="s">
        <v>4595</v>
      </c>
      <c r="E1511" s="6">
        <f>IFERROR(VLOOKUP($D1511,[1]Balanza!$A$3:$K$852,6,0)-VLOOKUP(D1511,[1]Balanza!$A$3:$K$852,7,0),0)</f>
        <v>0</v>
      </c>
      <c r="F1511" s="6">
        <f>IFERROR(VLOOKUP($D1511,[1]Balanza!$A$3:$K$852,10,0)-VLOOKUP($D1511,[1]Balanza!$A$3:$K$852,11,0),0)</f>
        <v>0</v>
      </c>
    </row>
    <row r="1512" spans="1:6" x14ac:dyDescent="0.3">
      <c r="A1512" s="2" t="s">
        <v>2661</v>
      </c>
      <c r="B1512" s="2" t="s">
        <v>2273</v>
      </c>
      <c r="C1512" t="s">
        <v>3084</v>
      </c>
      <c r="D1512" s="5" t="s">
        <v>4596</v>
      </c>
      <c r="E1512" s="6">
        <f>IFERROR(VLOOKUP($D1512,[1]Balanza!$A$3:$K$852,6,0)-VLOOKUP(D1512,[1]Balanza!$A$3:$K$852,7,0),0)</f>
        <v>0</v>
      </c>
      <c r="F1512" s="6">
        <f>IFERROR(VLOOKUP($D1512,[1]Balanza!$A$3:$K$852,10,0)-VLOOKUP($D1512,[1]Balanza!$A$3:$K$852,11,0),0)</f>
        <v>0</v>
      </c>
    </row>
    <row r="1513" spans="1:6" x14ac:dyDescent="0.3">
      <c r="A1513" s="2" t="s">
        <v>2662</v>
      </c>
      <c r="B1513" s="2" t="s">
        <v>2275</v>
      </c>
      <c r="C1513" t="s">
        <v>3084</v>
      </c>
      <c r="D1513" s="5" t="s">
        <v>4597</v>
      </c>
      <c r="E1513" s="6">
        <f>IFERROR(VLOOKUP($D1513,[1]Balanza!$A$3:$K$852,6,0)-VLOOKUP(D1513,[1]Balanza!$A$3:$K$852,7,0),0)</f>
        <v>0</v>
      </c>
      <c r="F1513" s="6">
        <f>IFERROR(VLOOKUP($D1513,[1]Balanza!$A$3:$K$852,10,0)-VLOOKUP($D1513,[1]Balanza!$A$3:$K$852,11,0),0)</f>
        <v>0</v>
      </c>
    </row>
    <row r="1514" spans="1:6" x14ac:dyDescent="0.3">
      <c r="A1514" s="2" t="s">
        <v>2663</v>
      </c>
      <c r="B1514" s="2" t="s">
        <v>2277</v>
      </c>
      <c r="C1514" t="s">
        <v>3084</v>
      </c>
      <c r="D1514" s="5" t="s">
        <v>4598</v>
      </c>
      <c r="E1514" s="6">
        <f>IFERROR(VLOOKUP($D1514,[1]Balanza!$A$3:$K$852,6,0)-VLOOKUP(D1514,[1]Balanza!$A$3:$K$852,7,0),0)</f>
        <v>6391.31</v>
      </c>
      <c r="F1514" s="6">
        <f>IFERROR(VLOOKUP($D1514,[1]Balanza!$A$3:$K$852,10,0)-VLOOKUP($D1514,[1]Balanza!$A$3:$K$852,11,0),0)</f>
        <v>579.6</v>
      </c>
    </row>
    <row r="1515" spans="1:6" x14ac:dyDescent="0.3">
      <c r="A1515" s="2" t="s">
        <v>2664</v>
      </c>
      <c r="B1515" s="2" t="s">
        <v>2279</v>
      </c>
      <c r="C1515" t="s">
        <v>3084</v>
      </c>
      <c r="D1515" s="5" t="s">
        <v>4599</v>
      </c>
      <c r="E1515" s="6">
        <f>IFERROR(VLOOKUP($D1515,[1]Balanza!$A$3:$K$852,6,0)-VLOOKUP(D1515,[1]Balanza!$A$3:$K$852,7,0),0)</f>
        <v>0</v>
      </c>
      <c r="F1515" s="6">
        <f>IFERROR(VLOOKUP($D1515,[1]Balanza!$A$3:$K$852,10,0)-VLOOKUP($D1515,[1]Balanza!$A$3:$K$852,11,0),0)</f>
        <v>0</v>
      </c>
    </row>
    <row r="1516" spans="1:6" x14ac:dyDescent="0.3">
      <c r="A1516" s="2" t="s">
        <v>2665</v>
      </c>
      <c r="B1516" s="2" t="s">
        <v>2281</v>
      </c>
      <c r="C1516" t="s">
        <v>3084</v>
      </c>
      <c r="D1516" s="5" t="s">
        <v>4600</v>
      </c>
      <c r="E1516" s="6">
        <f>IFERROR(VLOOKUP($D1516,[1]Balanza!$A$3:$K$852,6,0)-VLOOKUP(D1516,[1]Balanza!$A$3:$K$852,7,0),0)</f>
        <v>0</v>
      </c>
      <c r="F1516" s="6">
        <f>IFERROR(VLOOKUP($D1516,[1]Balanza!$A$3:$K$852,10,0)-VLOOKUP($D1516,[1]Balanza!$A$3:$K$852,11,0),0)</f>
        <v>0</v>
      </c>
    </row>
    <row r="1517" spans="1:6" x14ac:dyDescent="0.3">
      <c r="A1517" s="2" t="s">
        <v>2666</v>
      </c>
      <c r="B1517" s="2" t="s">
        <v>2283</v>
      </c>
      <c r="C1517" t="s">
        <v>3084</v>
      </c>
      <c r="D1517" s="5" t="s">
        <v>4601</v>
      </c>
      <c r="E1517" s="6">
        <f>IFERROR(VLOOKUP($D1517,[1]Balanza!$A$3:$K$852,6,0)-VLOOKUP(D1517,[1]Balanza!$A$3:$K$852,7,0),0)</f>
        <v>0</v>
      </c>
      <c r="F1517" s="6">
        <f>IFERROR(VLOOKUP($D1517,[1]Balanza!$A$3:$K$852,10,0)-VLOOKUP($D1517,[1]Balanza!$A$3:$K$852,11,0),0)</f>
        <v>0</v>
      </c>
    </row>
    <row r="1518" spans="1:6" x14ac:dyDescent="0.3">
      <c r="A1518" s="2" t="s">
        <v>2667</v>
      </c>
      <c r="B1518" s="2" t="s">
        <v>2285</v>
      </c>
      <c r="C1518" t="s">
        <v>3084</v>
      </c>
      <c r="D1518" s="5" t="s">
        <v>4602</v>
      </c>
      <c r="E1518" s="6">
        <f>IFERROR(VLOOKUP($D1518,[1]Balanza!$A$3:$K$852,6,0)-VLOOKUP(D1518,[1]Balanza!$A$3:$K$852,7,0),0)</f>
        <v>0</v>
      </c>
      <c r="F1518" s="6">
        <f>IFERROR(VLOOKUP($D1518,[1]Balanza!$A$3:$K$852,10,0)-VLOOKUP($D1518,[1]Balanza!$A$3:$K$852,11,0),0)</f>
        <v>0</v>
      </c>
    </row>
    <row r="1519" spans="1:6" x14ac:dyDescent="0.3">
      <c r="A1519" s="2" t="s">
        <v>2668</v>
      </c>
      <c r="B1519" s="2" t="s">
        <v>2454</v>
      </c>
      <c r="C1519" t="s">
        <v>3084</v>
      </c>
      <c r="D1519" s="5" t="s">
        <v>4603</v>
      </c>
      <c r="E1519" s="6">
        <f>IFERROR(VLOOKUP($D1519,[1]Balanza!$A$3:$K$852,6,0)-VLOOKUP(D1519,[1]Balanza!$A$3:$K$852,7,0),0)</f>
        <v>0</v>
      </c>
      <c r="F1519" s="6">
        <f>IFERROR(VLOOKUP($D1519,[1]Balanza!$A$3:$K$852,10,0)-VLOOKUP($D1519,[1]Balanza!$A$3:$K$852,11,0),0)</f>
        <v>1656</v>
      </c>
    </row>
    <row r="1520" spans="1:6" x14ac:dyDescent="0.3">
      <c r="A1520" s="2" t="s">
        <v>2669</v>
      </c>
      <c r="B1520" s="2" t="s">
        <v>2456</v>
      </c>
      <c r="C1520" t="s">
        <v>3084</v>
      </c>
      <c r="D1520" s="5" t="s">
        <v>4604</v>
      </c>
      <c r="E1520" s="6">
        <f>IFERROR(VLOOKUP($D1520,[1]Balanza!$A$3:$K$852,6,0)-VLOOKUP(D1520,[1]Balanza!$A$3:$K$852,7,0),0)</f>
        <v>0</v>
      </c>
      <c r="F1520" s="6">
        <f>IFERROR(VLOOKUP($D1520,[1]Balanza!$A$3:$K$852,10,0)-VLOOKUP($D1520,[1]Balanza!$A$3:$K$852,11,0),0)</f>
        <v>0</v>
      </c>
    </row>
    <row r="1521" spans="1:6" x14ac:dyDescent="0.3">
      <c r="A1521" s="2" t="s">
        <v>2670</v>
      </c>
      <c r="B1521" s="2" t="s">
        <v>2671</v>
      </c>
      <c r="C1521" t="s">
        <v>3084</v>
      </c>
      <c r="D1521" s="5" t="s">
        <v>4605</v>
      </c>
      <c r="E1521" s="6">
        <f>IFERROR(VLOOKUP($D1521,[1]Balanza!$A$3:$K$852,6,0)-VLOOKUP(D1521,[1]Balanza!$A$3:$K$852,7,0),0)</f>
        <v>0</v>
      </c>
      <c r="F1521" s="6">
        <f>IFERROR(VLOOKUP($D1521,[1]Balanza!$A$3:$K$852,10,0)-VLOOKUP($D1521,[1]Balanza!$A$3:$K$852,11,0),0)</f>
        <v>0</v>
      </c>
    </row>
    <row r="1522" spans="1:6" x14ac:dyDescent="0.3">
      <c r="A1522" s="2" t="s">
        <v>2672</v>
      </c>
      <c r="B1522" s="2" t="s">
        <v>2267</v>
      </c>
      <c r="C1522" t="s">
        <v>3084</v>
      </c>
      <c r="D1522" s="5" t="s">
        <v>4606</v>
      </c>
      <c r="E1522" s="6">
        <f>IFERROR(VLOOKUP($D1522,[1]Balanza!$A$3:$K$852,6,0)-VLOOKUP(D1522,[1]Balanza!$A$3:$K$852,7,0),0)</f>
        <v>0</v>
      </c>
      <c r="F1522" s="6">
        <f>IFERROR(VLOOKUP($D1522,[1]Balanza!$A$3:$K$852,10,0)-VLOOKUP($D1522,[1]Balanza!$A$3:$K$852,11,0),0)</f>
        <v>0</v>
      </c>
    </row>
    <row r="1523" spans="1:6" x14ac:dyDescent="0.3">
      <c r="A1523" s="2" t="s">
        <v>2673</v>
      </c>
      <c r="B1523" s="2" t="s">
        <v>2674</v>
      </c>
      <c r="C1523" t="s">
        <v>3084</v>
      </c>
      <c r="D1523" s="5" t="s">
        <v>4607</v>
      </c>
      <c r="E1523" s="6">
        <f>IFERROR(VLOOKUP($D1523,[1]Balanza!$A$3:$K$852,6,0)-VLOOKUP(D1523,[1]Balanza!$A$3:$K$852,7,0),0)</f>
        <v>3040</v>
      </c>
      <c r="F1523" s="6">
        <f>IFERROR(VLOOKUP($D1523,[1]Balanza!$A$3:$K$852,10,0)-VLOOKUP($D1523,[1]Balanza!$A$3:$K$852,11,0),0)</f>
        <v>0</v>
      </c>
    </row>
    <row r="1524" spans="1:6" x14ac:dyDescent="0.3">
      <c r="A1524" s="2" t="s">
        <v>2675</v>
      </c>
      <c r="B1524" s="2" t="s">
        <v>2676</v>
      </c>
      <c r="C1524" t="s">
        <v>3084</v>
      </c>
      <c r="D1524" s="5" t="s">
        <v>4608</v>
      </c>
      <c r="E1524" s="6">
        <f>IFERROR(VLOOKUP($D1524,[1]Balanza!$A$3:$K$852,6,0)-VLOOKUP(D1524,[1]Balanza!$A$3:$K$852,7,0),0)</f>
        <v>6468.4</v>
      </c>
      <c r="F1524" s="6">
        <f>IFERROR(VLOOKUP($D1524,[1]Balanza!$A$3:$K$852,10,0)-VLOOKUP($D1524,[1]Balanza!$A$3:$K$852,11,0),0)</f>
        <v>2604.67</v>
      </c>
    </row>
    <row r="1525" spans="1:6" x14ac:dyDescent="0.3">
      <c r="A1525" s="2" t="s">
        <v>2677</v>
      </c>
      <c r="B1525" s="2" t="s">
        <v>2678</v>
      </c>
      <c r="C1525" t="s">
        <v>3084</v>
      </c>
      <c r="D1525" s="5" t="s">
        <v>4609</v>
      </c>
      <c r="E1525" s="6">
        <f>IFERROR(VLOOKUP($D1525,[1]Balanza!$A$3:$K$852,6,0)-VLOOKUP(D1525,[1]Balanza!$A$3:$K$852,7,0),0)</f>
        <v>0</v>
      </c>
      <c r="F1525" s="6">
        <f>IFERROR(VLOOKUP($D1525,[1]Balanza!$A$3:$K$852,10,0)-VLOOKUP($D1525,[1]Balanza!$A$3:$K$852,11,0),0)</f>
        <v>0</v>
      </c>
    </row>
    <row r="1526" spans="1:6" x14ac:dyDescent="0.3">
      <c r="A1526" s="2" t="s">
        <v>2679</v>
      </c>
      <c r="B1526" s="2" t="s">
        <v>1828</v>
      </c>
      <c r="C1526" t="s">
        <v>3084</v>
      </c>
      <c r="D1526" s="5" t="s">
        <v>4610</v>
      </c>
      <c r="E1526" s="6">
        <f>IFERROR(VLOOKUP($D1526,[1]Balanza!$A$3:$K$852,6,0)-VLOOKUP(D1526,[1]Balanza!$A$3:$K$852,7,0),0)</f>
        <v>0</v>
      </c>
      <c r="F1526" s="6">
        <f>IFERROR(VLOOKUP($D1526,[1]Balanza!$A$3:$K$852,10,0)-VLOOKUP($D1526,[1]Balanza!$A$3:$K$852,11,0),0)</f>
        <v>0</v>
      </c>
    </row>
    <row r="1527" spans="1:6" x14ac:dyDescent="0.3">
      <c r="A1527" s="2" t="s">
        <v>2680</v>
      </c>
      <c r="B1527" s="2" t="s">
        <v>1833</v>
      </c>
      <c r="C1527" t="s">
        <v>3084</v>
      </c>
      <c r="D1527" s="5" t="s">
        <v>4611</v>
      </c>
      <c r="E1527" s="6">
        <f>IFERROR(VLOOKUP($D1527,[1]Balanza!$A$3:$K$852,6,0)-VLOOKUP(D1527,[1]Balanza!$A$3:$K$852,7,0),0)</f>
        <v>16758.8</v>
      </c>
      <c r="F1527" s="6">
        <f>IFERROR(VLOOKUP($D1527,[1]Balanza!$A$3:$K$852,10,0)-VLOOKUP($D1527,[1]Balanza!$A$3:$K$852,11,0),0)</f>
        <v>1520.71</v>
      </c>
    </row>
    <row r="1528" spans="1:6" x14ac:dyDescent="0.3">
      <c r="A1528" s="2" t="s">
        <v>2681</v>
      </c>
      <c r="B1528" s="2" t="s">
        <v>1835</v>
      </c>
      <c r="C1528" t="s">
        <v>3084</v>
      </c>
      <c r="D1528" s="5" t="s">
        <v>4612</v>
      </c>
      <c r="E1528" s="6">
        <f>IFERROR(VLOOKUP($D1528,[1]Balanza!$A$3:$K$852,6,0)-VLOOKUP(D1528,[1]Balanza!$A$3:$K$852,7,0),0)</f>
        <v>13299.02</v>
      </c>
      <c r="F1528" s="6">
        <f>IFERROR(VLOOKUP($D1528,[1]Balanza!$A$3:$K$852,10,0)-VLOOKUP($D1528,[1]Balanza!$A$3:$K$852,11,0),0)</f>
        <v>1333.61</v>
      </c>
    </row>
    <row r="1529" spans="1:6" x14ac:dyDescent="0.3">
      <c r="A1529" s="2" t="s">
        <v>2682</v>
      </c>
      <c r="B1529" s="2" t="s">
        <v>1837</v>
      </c>
      <c r="C1529" t="s">
        <v>3084</v>
      </c>
      <c r="D1529" s="5" t="s">
        <v>4613</v>
      </c>
      <c r="E1529" s="6">
        <f>IFERROR(VLOOKUP($D1529,[1]Balanza!$A$3:$K$852,6,0)-VLOOKUP(D1529,[1]Balanza!$A$3:$K$852,7,0),0)</f>
        <v>21297.9</v>
      </c>
      <c r="F1529" s="6">
        <f>IFERROR(VLOOKUP($D1529,[1]Balanza!$A$3:$K$852,10,0)-VLOOKUP($D1529,[1]Balanza!$A$3:$K$852,11,0),0)</f>
        <v>2066.3000000000002</v>
      </c>
    </row>
    <row r="1530" spans="1:6" x14ac:dyDescent="0.3">
      <c r="A1530" s="2" t="s">
        <v>2683</v>
      </c>
      <c r="B1530" s="2" t="s">
        <v>1839</v>
      </c>
      <c r="C1530" t="s">
        <v>3084</v>
      </c>
      <c r="D1530" s="5" t="s">
        <v>4614</v>
      </c>
      <c r="E1530" s="6">
        <f>IFERROR(VLOOKUP($D1530,[1]Balanza!$A$3:$K$852,6,0)-VLOOKUP(D1530,[1]Balanza!$A$3:$K$852,7,0),0)</f>
        <v>5176.95</v>
      </c>
      <c r="F1530" s="6">
        <f>IFERROR(VLOOKUP($D1530,[1]Balanza!$A$3:$K$852,10,0)-VLOOKUP($D1530,[1]Balanza!$A$3:$K$852,11,0),0)</f>
        <v>469.48</v>
      </c>
    </row>
    <row r="1531" spans="1:6" x14ac:dyDescent="0.3">
      <c r="A1531" s="2" t="s">
        <v>2684</v>
      </c>
      <c r="B1531" s="2" t="s">
        <v>1841</v>
      </c>
      <c r="C1531" t="s">
        <v>3038</v>
      </c>
      <c r="D1531" s="5" t="s">
        <v>4615</v>
      </c>
      <c r="E1531" s="6">
        <f>IFERROR(VLOOKUP($D1531,[1]Balanza!$A$3:$K$852,6,0)-VLOOKUP(D1531,[1]Balanza!$A$3:$K$852,7,0),0)</f>
        <v>0</v>
      </c>
      <c r="F1531" s="6">
        <f>IFERROR(VLOOKUP($D1531,[1]Balanza!$A$3:$K$852,10,0)-VLOOKUP($D1531,[1]Balanza!$A$3:$K$852,11,0),0)</f>
        <v>0</v>
      </c>
    </row>
    <row r="1532" spans="1:6" x14ac:dyDescent="0.3">
      <c r="A1532" s="2" t="s">
        <v>2685</v>
      </c>
      <c r="B1532" s="2" t="s">
        <v>2296</v>
      </c>
      <c r="C1532" t="s">
        <v>3038</v>
      </c>
      <c r="D1532" s="5" t="s">
        <v>4616</v>
      </c>
      <c r="E1532" s="6">
        <f>IFERROR(VLOOKUP($D1532,[1]Balanza!$A$3:$K$852,6,0)-VLOOKUP(D1532,[1]Balanza!$A$3:$K$852,7,0),0)</f>
        <v>0</v>
      </c>
      <c r="F1532" s="6">
        <f>IFERROR(VLOOKUP($D1532,[1]Balanza!$A$3:$K$852,10,0)-VLOOKUP($D1532,[1]Balanza!$A$3:$K$852,11,0),0)</f>
        <v>0</v>
      </c>
    </row>
    <row r="1533" spans="1:6" x14ac:dyDescent="0.3">
      <c r="A1533" s="2" t="s">
        <v>2686</v>
      </c>
      <c r="B1533" s="2" t="s">
        <v>2298</v>
      </c>
      <c r="C1533" t="s">
        <v>3038</v>
      </c>
      <c r="D1533" s="5" t="s">
        <v>4617</v>
      </c>
      <c r="E1533" s="6">
        <f>IFERROR(VLOOKUP($D1533,[1]Balanza!$A$3:$K$852,6,0)-VLOOKUP(D1533,[1]Balanza!$A$3:$K$852,7,0),0)</f>
        <v>0</v>
      </c>
      <c r="F1533" s="6">
        <f>IFERROR(VLOOKUP($D1533,[1]Balanza!$A$3:$K$852,10,0)-VLOOKUP($D1533,[1]Balanza!$A$3:$K$852,11,0),0)</f>
        <v>0</v>
      </c>
    </row>
    <row r="1534" spans="1:6" x14ac:dyDescent="0.3">
      <c r="A1534" s="2" t="s">
        <v>2687</v>
      </c>
      <c r="B1534" s="2" t="s">
        <v>2300</v>
      </c>
      <c r="C1534" t="s">
        <v>3038</v>
      </c>
      <c r="D1534" s="5" t="s">
        <v>4618</v>
      </c>
      <c r="E1534" s="6">
        <f>IFERROR(VLOOKUP($D1534,[1]Balanza!$A$3:$K$852,6,0)-VLOOKUP(D1534,[1]Balanza!$A$3:$K$852,7,0),0)</f>
        <v>0</v>
      </c>
      <c r="F1534" s="6">
        <f>IFERROR(VLOOKUP($D1534,[1]Balanza!$A$3:$K$852,10,0)-VLOOKUP($D1534,[1]Balanza!$A$3:$K$852,11,0),0)</f>
        <v>0</v>
      </c>
    </row>
    <row r="1535" spans="1:6" x14ac:dyDescent="0.3">
      <c r="A1535" s="2" t="s">
        <v>2688</v>
      </c>
      <c r="B1535" s="2" t="s">
        <v>2474</v>
      </c>
      <c r="C1535" t="s">
        <v>3038</v>
      </c>
      <c r="D1535" s="5" t="s">
        <v>4619</v>
      </c>
      <c r="E1535" s="6">
        <f>IFERROR(VLOOKUP($D1535,[1]Balanza!$A$3:$K$852,6,0)-VLOOKUP(D1535,[1]Balanza!$A$3:$K$852,7,0),0)</f>
        <v>0</v>
      </c>
      <c r="F1535" s="6">
        <f>IFERROR(VLOOKUP($D1535,[1]Balanza!$A$3:$K$852,10,0)-VLOOKUP($D1535,[1]Balanza!$A$3:$K$852,11,0),0)</f>
        <v>0</v>
      </c>
    </row>
    <row r="1536" spans="1:6" x14ac:dyDescent="0.3">
      <c r="A1536" s="2" t="s">
        <v>2689</v>
      </c>
      <c r="B1536" s="2" t="s">
        <v>2476</v>
      </c>
      <c r="C1536" t="s">
        <v>3038</v>
      </c>
      <c r="D1536" s="5" t="s">
        <v>4620</v>
      </c>
      <c r="E1536" s="6">
        <f>IFERROR(VLOOKUP($D1536,[1]Balanza!$A$3:$K$852,6,0)-VLOOKUP(D1536,[1]Balanza!$A$3:$K$852,7,0),0)</f>
        <v>0</v>
      </c>
      <c r="F1536" s="6">
        <f>IFERROR(VLOOKUP($D1536,[1]Balanza!$A$3:$K$852,10,0)-VLOOKUP($D1536,[1]Balanza!$A$3:$K$852,11,0),0)</f>
        <v>0</v>
      </c>
    </row>
    <row r="1537" spans="1:6" x14ac:dyDescent="0.3">
      <c r="A1537" s="2" t="s">
        <v>2690</v>
      </c>
      <c r="B1537" s="2" t="s">
        <v>2478</v>
      </c>
      <c r="C1537" t="s">
        <v>3038</v>
      </c>
      <c r="D1537" s="5" t="s">
        <v>4621</v>
      </c>
      <c r="E1537" s="6">
        <f>IFERROR(VLOOKUP($D1537,[1]Balanza!$A$3:$K$852,6,0)-VLOOKUP(D1537,[1]Balanza!$A$3:$K$852,7,0),0)</f>
        <v>0</v>
      </c>
      <c r="F1537" s="6">
        <f>IFERROR(VLOOKUP($D1537,[1]Balanza!$A$3:$K$852,10,0)-VLOOKUP($D1537,[1]Balanza!$A$3:$K$852,11,0),0)</f>
        <v>0</v>
      </c>
    </row>
    <row r="1538" spans="1:6" x14ac:dyDescent="0.3">
      <c r="A1538" s="2" t="s">
        <v>2691</v>
      </c>
      <c r="B1538" s="2" t="s">
        <v>2480</v>
      </c>
      <c r="C1538" t="s">
        <v>3038</v>
      </c>
      <c r="D1538" s="5" t="s">
        <v>4622</v>
      </c>
      <c r="E1538" s="6">
        <f>IFERROR(VLOOKUP($D1538,[1]Balanza!$A$3:$K$852,6,0)-VLOOKUP(D1538,[1]Balanza!$A$3:$K$852,7,0),0)</f>
        <v>0</v>
      </c>
      <c r="F1538" s="6">
        <f>IFERROR(VLOOKUP($D1538,[1]Balanza!$A$3:$K$852,10,0)-VLOOKUP($D1538,[1]Balanza!$A$3:$K$852,11,0),0)</f>
        <v>0</v>
      </c>
    </row>
    <row r="1539" spans="1:6" x14ac:dyDescent="0.3">
      <c r="A1539" s="2" t="s">
        <v>2692</v>
      </c>
      <c r="B1539" s="2" t="s">
        <v>2482</v>
      </c>
      <c r="C1539" t="s">
        <v>3038</v>
      </c>
      <c r="D1539" s="5" t="s">
        <v>4623</v>
      </c>
      <c r="E1539" s="6">
        <f>IFERROR(VLOOKUP($D1539,[1]Balanza!$A$3:$K$852,6,0)-VLOOKUP(D1539,[1]Balanza!$A$3:$K$852,7,0),0)</f>
        <v>0</v>
      </c>
      <c r="F1539" s="6">
        <f>IFERROR(VLOOKUP($D1539,[1]Balanza!$A$3:$K$852,10,0)-VLOOKUP($D1539,[1]Balanza!$A$3:$K$852,11,0),0)</f>
        <v>0</v>
      </c>
    </row>
    <row r="1540" spans="1:6" x14ac:dyDescent="0.3">
      <c r="A1540" s="2" t="s">
        <v>2693</v>
      </c>
      <c r="B1540" s="2" t="s">
        <v>2484</v>
      </c>
      <c r="C1540" t="s">
        <v>3038</v>
      </c>
      <c r="D1540" s="5" t="s">
        <v>4624</v>
      </c>
      <c r="E1540" s="6">
        <f>IFERROR(VLOOKUP($D1540,[1]Balanza!$A$3:$K$852,6,0)-VLOOKUP(D1540,[1]Balanza!$A$3:$K$852,7,0),0)</f>
        <v>0</v>
      </c>
      <c r="F1540" s="6">
        <f>IFERROR(VLOOKUP($D1540,[1]Balanza!$A$3:$K$852,10,0)-VLOOKUP($D1540,[1]Balanza!$A$3:$K$852,11,0),0)</f>
        <v>0</v>
      </c>
    </row>
    <row r="1541" spans="1:6" x14ac:dyDescent="0.3">
      <c r="A1541" s="2" t="s">
        <v>2694</v>
      </c>
      <c r="B1541" s="2" t="s">
        <v>2486</v>
      </c>
      <c r="C1541" t="s">
        <v>3038</v>
      </c>
      <c r="D1541" s="5" t="s">
        <v>4625</v>
      </c>
      <c r="E1541" s="6">
        <f>IFERROR(VLOOKUP($D1541,[1]Balanza!$A$3:$K$852,6,0)-VLOOKUP(D1541,[1]Balanza!$A$3:$K$852,7,0),0)</f>
        <v>0</v>
      </c>
      <c r="F1541" s="6">
        <f>IFERROR(VLOOKUP($D1541,[1]Balanza!$A$3:$K$852,10,0)-VLOOKUP($D1541,[1]Balanza!$A$3:$K$852,11,0),0)</f>
        <v>0</v>
      </c>
    </row>
    <row r="1542" spans="1:6" x14ac:dyDescent="0.3">
      <c r="A1542" s="2" t="s">
        <v>2695</v>
      </c>
      <c r="B1542" s="2" t="s">
        <v>2488</v>
      </c>
      <c r="C1542" t="s">
        <v>3038</v>
      </c>
      <c r="D1542" s="5" t="s">
        <v>4626</v>
      </c>
      <c r="E1542" s="6">
        <f>IFERROR(VLOOKUP($D1542,[1]Balanza!$A$3:$K$852,6,0)-VLOOKUP(D1542,[1]Balanza!$A$3:$K$852,7,0),0)</f>
        <v>0</v>
      </c>
      <c r="F1542" s="6">
        <f>IFERROR(VLOOKUP($D1542,[1]Balanza!$A$3:$K$852,10,0)-VLOOKUP($D1542,[1]Balanza!$A$3:$K$852,11,0),0)</f>
        <v>0</v>
      </c>
    </row>
    <row r="1543" spans="1:6" x14ac:dyDescent="0.3">
      <c r="A1543" s="2" t="s">
        <v>2696</v>
      </c>
      <c r="B1543" s="2" t="s">
        <v>2318</v>
      </c>
      <c r="C1543" t="s">
        <v>3038</v>
      </c>
      <c r="D1543" s="5" t="s">
        <v>4627</v>
      </c>
      <c r="E1543" s="6">
        <f>IFERROR(VLOOKUP($D1543,[1]Balanza!$A$3:$K$852,6,0)-VLOOKUP(D1543,[1]Balanza!$A$3:$K$852,7,0),0)</f>
        <v>0</v>
      </c>
      <c r="F1543" s="6">
        <f>IFERROR(VLOOKUP($D1543,[1]Balanza!$A$3:$K$852,10,0)-VLOOKUP($D1543,[1]Balanza!$A$3:$K$852,11,0),0)</f>
        <v>0</v>
      </c>
    </row>
    <row r="1544" spans="1:6" x14ac:dyDescent="0.3">
      <c r="A1544" s="2" t="s">
        <v>2697</v>
      </c>
      <c r="B1544" s="2" t="s">
        <v>2320</v>
      </c>
      <c r="C1544" t="s">
        <v>3038</v>
      </c>
      <c r="D1544" s="5" t="s">
        <v>4628</v>
      </c>
      <c r="E1544" s="6">
        <f>IFERROR(VLOOKUP($D1544,[1]Balanza!$A$3:$K$852,6,0)-VLOOKUP(D1544,[1]Balanza!$A$3:$K$852,7,0),0)</f>
        <v>0</v>
      </c>
      <c r="F1544" s="6">
        <f>IFERROR(VLOOKUP($D1544,[1]Balanza!$A$3:$K$852,10,0)-VLOOKUP($D1544,[1]Balanza!$A$3:$K$852,11,0),0)</f>
        <v>0</v>
      </c>
    </row>
    <row r="1545" spans="1:6" x14ac:dyDescent="0.3">
      <c r="A1545" s="2" t="s">
        <v>2698</v>
      </c>
      <c r="B1545" s="2" t="s">
        <v>2322</v>
      </c>
      <c r="C1545" t="s">
        <v>3038</v>
      </c>
      <c r="D1545" s="5" t="s">
        <v>4629</v>
      </c>
      <c r="E1545" s="6">
        <f>IFERROR(VLOOKUP($D1545,[1]Balanza!$A$3:$K$852,6,0)-VLOOKUP(D1545,[1]Balanza!$A$3:$K$852,7,0),0)</f>
        <v>0</v>
      </c>
      <c r="F1545" s="6">
        <f>IFERROR(VLOOKUP($D1545,[1]Balanza!$A$3:$K$852,10,0)-VLOOKUP($D1545,[1]Balanza!$A$3:$K$852,11,0),0)</f>
        <v>0</v>
      </c>
    </row>
    <row r="1546" spans="1:6" x14ac:dyDescent="0.3">
      <c r="A1546" s="2" t="s">
        <v>2699</v>
      </c>
      <c r="B1546" s="2" t="s">
        <v>2493</v>
      </c>
      <c r="C1546" t="s">
        <v>3038</v>
      </c>
      <c r="D1546" s="5" t="s">
        <v>4630</v>
      </c>
      <c r="E1546" s="6">
        <f>IFERROR(VLOOKUP($D1546,[1]Balanza!$A$3:$K$852,6,0)-VLOOKUP(D1546,[1]Balanza!$A$3:$K$852,7,0),0)</f>
        <v>0</v>
      </c>
      <c r="F1546" s="6">
        <f>IFERROR(VLOOKUP($D1546,[1]Balanza!$A$3:$K$852,10,0)-VLOOKUP($D1546,[1]Balanza!$A$3:$K$852,11,0),0)</f>
        <v>0</v>
      </c>
    </row>
    <row r="1547" spans="1:6" x14ac:dyDescent="0.3">
      <c r="A1547" s="2" t="s">
        <v>2700</v>
      </c>
      <c r="B1547" s="2" t="s">
        <v>2495</v>
      </c>
      <c r="C1547" t="s">
        <v>3038</v>
      </c>
      <c r="D1547" s="5" t="s">
        <v>4631</v>
      </c>
      <c r="E1547" s="6">
        <f>IFERROR(VLOOKUP($D1547,[1]Balanza!$A$3:$K$852,6,0)-VLOOKUP(D1547,[1]Balanza!$A$3:$K$852,7,0),0)</f>
        <v>0</v>
      </c>
      <c r="F1547" s="6">
        <f>IFERROR(VLOOKUP($D1547,[1]Balanza!$A$3:$K$852,10,0)-VLOOKUP($D1547,[1]Balanza!$A$3:$K$852,11,0),0)</f>
        <v>0</v>
      </c>
    </row>
    <row r="1548" spans="1:6" x14ac:dyDescent="0.3">
      <c r="A1548" s="2" t="s">
        <v>2701</v>
      </c>
      <c r="B1548" s="2" t="s">
        <v>2332</v>
      </c>
      <c r="C1548" t="s">
        <v>3038</v>
      </c>
      <c r="D1548" s="5" t="s">
        <v>4632</v>
      </c>
      <c r="E1548" s="6">
        <f>IFERROR(VLOOKUP($D1548,[1]Balanza!$A$3:$K$852,6,0)-VLOOKUP(D1548,[1]Balanza!$A$3:$K$852,7,0),0)</f>
        <v>0</v>
      </c>
      <c r="F1548" s="6">
        <f>IFERROR(VLOOKUP($D1548,[1]Balanza!$A$3:$K$852,10,0)-VLOOKUP($D1548,[1]Balanza!$A$3:$K$852,11,0),0)</f>
        <v>0</v>
      </c>
    </row>
    <row r="1549" spans="1:6" x14ac:dyDescent="0.3">
      <c r="A1549" s="2" t="s">
        <v>2702</v>
      </c>
      <c r="B1549" s="2" t="s">
        <v>2334</v>
      </c>
      <c r="C1549" t="s">
        <v>3038</v>
      </c>
      <c r="D1549" s="5" t="s">
        <v>4633</v>
      </c>
      <c r="E1549" s="6">
        <f>IFERROR(VLOOKUP($D1549,[1]Balanza!$A$3:$K$852,6,0)-VLOOKUP(D1549,[1]Balanza!$A$3:$K$852,7,0),0)</f>
        <v>0</v>
      </c>
      <c r="F1549" s="6">
        <f>IFERROR(VLOOKUP($D1549,[1]Balanza!$A$3:$K$852,10,0)-VLOOKUP($D1549,[1]Balanza!$A$3:$K$852,11,0),0)</f>
        <v>0</v>
      </c>
    </row>
    <row r="1550" spans="1:6" x14ac:dyDescent="0.3">
      <c r="A1550" s="2" t="s">
        <v>2703</v>
      </c>
      <c r="B1550" s="2" t="s">
        <v>2336</v>
      </c>
      <c r="C1550" t="s">
        <v>4899</v>
      </c>
      <c r="D1550" s="5" t="s">
        <v>4634</v>
      </c>
      <c r="E1550" s="6">
        <f>IFERROR(VLOOKUP($D1550,[1]Balanza!$A$3:$K$852,6,0)-VLOOKUP(D1550,[1]Balanza!$A$3:$K$852,7,0),0)</f>
        <v>5719</v>
      </c>
      <c r="F1550" s="6">
        <f>IFERROR(VLOOKUP($D1550,[1]Balanza!$A$3:$K$852,10,0)-VLOOKUP($D1550,[1]Balanza!$A$3:$K$852,11,0),0)</f>
        <v>0</v>
      </c>
    </row>
    <row r="1551" spans="1:6" x14ac:dyDescent="0.3">
      <c r="A1551" s="2" t="s">
        <v>2704</v>
      </c>
      <c r="B1551" s="2" t="s">
        <v>2338</v>
      </c>
      <c r="C1551" t="s">
        <v>3038</v>
      </c>
      <c r="D1551" s="5" t="s">
        <v>4635</v>
      </c>
      <c r="E1551" s="6">
        <f>IFERROR(VLOOKUP($D1551,[1]Balanza!$A$3:$K$852,6,0)-VLOOKUP(D1551,[1]Balanza!$A$3:$K$852,7,0),0)</f>
        <v>0</v>
      </c>
      <c r="F1551" s="6">
        <f>IFERROR(VLOOKUP($D1551,[1]Balanza!$A$3:$K$852,10,0)-VLOOKUP($D1551,[1]Balanza!$A$3:$K$852,11,0),0)</f>
        <v>0</v>
      </c>
    </row>
    <row r="1552" spans="1:6" x14ac:dyDescent="0.3">
      <c r="A1552" s="2" t="s">
        <v>2705</v>
      </c>
      <c r="B1552" s="2" t="s">
        <v>2340</v>
      </c>
      <c r="C1552" t="s">
        <v>3038</v>
      </c>
      <c r="D1552" s="5" t="s">
        <v>4636</v>
      </c>
      <c r="E1552" s="6">
        <f>IFERROR(VLOOKUP($D1552,[1]Balanza!$A$3:$K$852,6,0)-VLOOKUP(D1552,[1]Balanza!$A$3:$K$852,7,0),0)</f>
        <v>0</v>
      </c>
      <c r="F1552" s="6">
        <f>IFERROR(VLOOKUP($D1552,[1]Balanza!$A$3:$K$852,10,0)-VLOOKUP($D1552,[1]Balanza!$A$3:$K$852,11,0),0)</f>
        <v>0</v>
      </c>
    </row>
    <row r="1553" spans="1:6" x14ac:dyDescent="0.3">
      <c r="A1553" s="2" t="s">
        <v>2706</v>
      </c>
      <c r="B1553" s="2" t="s">
        <v>2342</v>
      </c>
      <c r="C1553" t="s">
        <v>3038</v>
      </c>
      <c r="D1553" s="5" t="s">
        <v>4637</v>
      </c>
      <c r="E1553" s="6">
        <f>IFERROR(VLOOKUP($D1553,[1]Balanza!$A$3:$K$852,6,0)-VLOOKUP(D1553,[1]Balanza!$A$3:$K$852,7,0),0)</f>
        <v>0</v>
      </c>
      <c r="F1553" s="6">
        <f>IFERROR(VLOOKUP($D1553,[1]Balanza!$A$3:$K$852,10,0)-VLOOKUP($D1553,[1]Balanza!$A$3:$K$852,11,0),0)</f>
        <v>0</v>
      </c>
    </row>
    <row r="1554" spans="1:6" x14ac:dyDescent="0.3">
      <c r="A1554" s="2" t="s">
        <v>2707</v>
      </c>
      <c r="B1554" s="2" t="s">
        <v>2344</v>
      </c>
      <c r="C1554" t="s">
        <v>3038</v>
      </c>
      <c r="D1554" s="5" t="s">
        <v>4638</v>
      </c>
      <c r="E1554" s="6">
        <f>IFERROR(VLOOKUP($D1554,[1]Balanza!$A$3:$K$852,6,0)-VLOOKUP(D1554,[1]Balanza!$A$3:$K$852,7,0),0)</f>
        <v>0</v>
      </c>
      <c r="F1554" s="6">
        <f>IFERROR(VLOOKUP($D1554,[1]Balanza!$A$3:$K$852,10,0)-VLOOKUP($D1554,[1]Balanza!$A$3:$K$852,11,0),0)</f>
        <v>0</v>
      </c>
    </row>
    <row r="1555" spans="1:6" x14ac:dyDescent="0.3">
      <c r="A1555" s="2" t="s">
        <v>2708</v>
      </c>
      <c r="B1555" s="2" t="s">
        <v>2346</v>
      </c>
      <c r="C1555" t="s">
        <v>3038</v>
      </c>
      <c r="D1555" s="5" t="s">
        <v>4639</v>
      </c>
      <c r="E1555" s="6">
        <f>IFERROR(VLOOKUP($D1555,[1]Balanza!$A$3:$K$852,6,0)-VLOOKUP(D1555,[1]Balanza!$A$3:$K$852,7,0),0)</f>
        <v>0</v>
      </c>
      <c r="F1555" s="6">
        <f>IFERROR(VLOOKUP($D1555,[1]Balanza!$A$3:$K$852,10,0)-VLOOKUP($D1555,[1]Balanza!$A$3:$K$852,11,0),0)</f>
        <v>0</v>
      </c>
    </row>
    <row r="1556" spans="1:6" x14ac:dyDescent="0.3">
      <c r="A1556" s="2" t="s">
        <v>2709</v>
      </c>
      <c r="B1556" s="2" t="s">
        <v>2348</v>
      </c>
      <c r="C1556" t="s">
        <v>3038</v>
      </c>
      <c r="D1556" s="5" t="s">
        <v>4640</v>
      </c>
      <c r="E1556" s="6">
        <f>IFERROR(VLOOKUP($D1556,[1]Balanza!$A$3:$K$852,6,0)-VLOOKUP(D1556,[1]Balanza!$A$3:$K$852,7,0),0)</f>
        <v>0</v>
      </c>
      <c r="F1556" s="6">
        <f>IFERROR(VLOOKUP($D1556,[1]Balanza!$A$3:$K$852,10,0)-VLOOKUP($D1556,[1]Balanza!$A$3:$K$852,11,0),0)</f>
        <v>0</v>
      </c>
    </row>
    <row r="1557" spans="1:6" x14ac:dyDescent="0.3">
      <c r="A1557" s="2" t="s">
        <v>2710</v>
      </c>
      <c r="B1557" s="2" t="s">
        <v>2350</v>
      </c>
      <c r="C1557" t="s">
        <v>3038</v>
      </c>
      <c r="D1557" s="5" t="s">
        <v>4641</v>
      </c>
      <c r="E1557" s="6">
        <f>IFERROR(VLOOKUP($D1557,[1]Balanza!$A$3:$K$852,6,0)-VLOOKUP(D1557,[1]Balanza!$A$3:$K$852,7,0),0)</f>
        <v>0</v>
      </c>
      <c r="F1557" s="6">
        <f>IFERROR(VLOOKUP($D1557,[1]Balanza!$A$3:$K$852,10,0)-VLOOKUP($D1557,[1]Balanza!$A$3:$K$852,11,0),0)</f>
        <v>0</v>
      </c>
    </row>
    <row r="1558" spans="1:6" x14ac:dyDescent="0.3">
      <c r="A1558" s="2" t="s">
        <v>2711</v>
      </c>
      <c r="B1558" s="2" t="s">
        <v>2358</v>
      </c>
      <c r="C1558" t="s">
        <v>3038</v>
      </c>
      <c r="D1558" s="5" t="s">
        <v>4642</v>
      </c>
      <c r="E1558" s="6">
        <f>IFERROR(VLOOKUP($D1558,[1]Balanza!$A$3:$K$852,6,0)-VLOOKUP(D1558,[1]Balanza!$A$3:$K$852,7,0),0)</f>
        <v>0</v>
      </c>
      <c r="F1558" s="6">
        <f>IFERROR(VLOOKUP($D1558,[1]Balanza!$A$3:$K$852,10,0)-VLOOKUP($D1558,[1]Balanza!$A$3:$K$852,11,0),0)</f>
        <v>0</v>
      </c>
    </row>
    <row r="1559" spans="1:6" x14ac:dyDescent="0.3">
      <c r="A1559" s="2" t="s">
        <v>2712</v>
      </c>
      <c r="B1559" s="2" t="s">
        <v>2360</v>
      </c>
      <c r="C1559" t="s">
        <v>3038</v>
      </c>
      <c r="D1559" s="5" t="s">
        <v>4643</v>
      </c>
      <c r="E1559" s="6">
        <f>IFERROR(VLOOKUP($D1559,[1]Balanza!$A$3:$K$852,6,0)-VLOOKUP(D1559,[1]Balanza!$A$3:$K$852,7,0),0)</f>
        <v>0</v>
      </c>
      <c r="F1559" s="6">
        <f>IFERROR(VLOOKUP($D1559,[1]Balanza!$A$3:$K$852,10,0)-VLOOKUP($D1559,[1]Balanza!$A$3:$K$852,11,0),0)</f>
        <v>0</v>
      </c>
    </row>
    <row r="1560" spans="1:6" x14ac:dyDescent="0.3">
      <c r="A1560" s="2" t="s">
        <v>2713</v>
      </c>
      <c r="B1560" s="2" t="s">
        <v>2362</v>
      </c>
      <c r="C1560" t="s">
        <v>3038</v>
      </c>
      <c r="D1560" s="5" t="s">
        <v>4644</v>
      </c>
      <c r="E1560" s="6">
        <f>IFERROR(VLOOKUP($D1560,[1]Balanza!$A$3:$K$852,6,0)-VLOOKUP(D1560,[1]Balanza!$A$3:$K$852,7,0),0)</f>
        <v>0</v>
      </c>
      <c r="F1560" s="6">
        <f>IFERROR(VLOOKUP($D1560,[1]Balanza!$A$3:$K$852,10,0)-VLOOKUP($D1560,[1]Balanza!$A$3:$K$852,11,0),0)</f>
        <v>0</v>
      </c>
    </row>
    <row r="1561" spans="1:6" x14ac:dyDescent="0.3">
      <c r="A1561" s="2" t="s">
        <v>2714</v>
      </c>
      <c r="B1561" s="2" t="s">
        <v>2364</v>
      </c>
      <c r="C1561" t="s">
        <v>3038</v>
      </c>
      <c r="D1561" s="5" t="s">
        <v>4645</v>
      </c>
      <c r="E1561" s="6">
        <f>IFERROR(VLOOKUP($D1561,[1]Balanza!$A$3:$K$852,6,0)-VLOOKUP(D1561,[1]Balanza!$A$3:$K$852,7,0),0)</f>
        <v>0</v>
      </c>
      <c r="F1561" s="6">
        <f>IFERROR(VLOOKUP($D1561,[1]Balanza!$A$3:$K$852,10,0)-VLOOKUP($D1561,[1]Balanza!$A$3:$K$852,11,0),0)</f>
        <v>0</v>
      </c>
    </row>
    <row r="1562" spans="1:6" x14ac:dyDescent="0.3">
      <c r="A1562" s="2" t="s">
        <v>2715</v>
      </c>
      <c r="B1562" s="2" t="s">
        <v>2366</v>
      </c>
      <c r="C1562" t="s">
        <v>3038</v>
      </c>
      <c r="D1562" s="5" t="s">
        <v>4646</v>
      </c>
      <c r="E1562" s="6">
        <f>IFERROR(VLOOKUP($D1562,[1]Balanza!$A$3:$K$852,6,0)-VLOOKUP(D1562,[1]Balanza!$A$3:$K$852,7,0),0)</f>
        <v>0</v>
      </c>
      <c r="F1562" s="6">
        <f>IFERROR(VLOOKUP($D1562,[1]Balanza!$A$3:$K$852,10,0)-VLOOKUP($D1562,[1]Balanza!$A$3:$K$852,11,0),0)</f>
        <v>0</v>
      </c>
    </row>
    <row r="1563" spans="1:6" x14ac:dyDescent="0.3">
      <c r="A1563" s="2" t="s">
        <v>2716</v>
      </c>
      <c r="B1563" s="2" t="s">
        <v>2370</v>
      </c>
      <c r="C1563" t="s">
        <v>3038</v>
      </c>
      <c r="D1563" s="5" t="s">
        <v>4647</v>
      </c>
      <c r="E1563" s="6">
        <f>IFERROR(VLOOKUP($D1563,[1]Balanza!$A$3:$K$852,6,0)-VLOOKUP(D1563,[1]Balanza!$A$3:$K$852,7,0),0)</f>
        <v>0</v>
      </c>
      <c r="F1563" s="6">
        <f>IFERROR(VLOOKUP($D1563,[1]Balanza!$A$3:$K$852,10,0)-VLOOKUP($D1563,[1]Balanza!$A$3:$K$852,11,0),0)</f>
        <v>0</v>
      </c>
    </row>
    <row r="1564" spans="1:6" x14ac:dyDescent="0.3">
      <c r="A1564" s="2" t="s">
        <v>2717</v>
      </c>
      <c r="B1564" s="2" t="s">
        <v>2372</v>
      </c>
      <c r="C1564" t="s">
        <v>3038</v>
      </c>
      <c r="D1564" s="5" t="s">
        <v>4648</v>
      </c>
      <c r="E1564" s="6">
        <f>IFERROR(VLOOKUP($D1564,[1]Balanza!$A$3:$K$852,6,0)-VLOOKUP(D1564,[1]Balanza!$A$3:$K$852,7,0),0)</f>
        <v>0</v>
      </c>
      <c r="F1564" s="6">
        <f>IFERROR(VLOOKUP($D1564,[1]Balanza!$A$3:$K$852,10,0)-VLOOKUP($D1564,[1]Balanza!$A$3:$K$852,11,0),0)</f>
        <v>0</v>
      </c>
    </row>
    <row r="1565" spans="1:6" x14ac:dyDescent="0.3">
      <c r="A1565" s="2" t="s">
        <v>2718</v>
      </c>
      <c r="B1565" s="2" t="s">
        <v>2374</v>
      </c>
      <c r="C1565" t="s">
        <v>3038</v>
      </c>
      <c r="D1565" s="5" t="s">
        <v>4649</v>
      </c>
      <c r="E1565" s="6">
        <f>IFERROR(VLOOKUP($D1565,[1]Balanza!$A$3:$K$852,6,0)-VLOOKUP(D1565,[1]Balanza!$A$3:$K$852,7,0),0)</f>
        <v>0</v>
      </c>
      <c r="F1565" s="6">
        <f>IFERROR(VLOOKUP($D1565,[1]Balanza!$A$3:$K$852,10,0)-VLOOKUP($D1565,[1]Balanza!$A$3:$K$852,11,0),0)</f>
        <v>0</v>
      </c>
    </row>
    <row r="1566" spans="1:6" x14ac:dyDescent="0.3">
      <c r="A1566" s="2" t="s">
        <v>2719</v>
      </c>
      <c r="B1566" s="2" t="s">
        <v>2376</v>
      </c>
      <c r="C1566" t="s">
        <v>3038</v>
      </c>
      <c r="D1566" s="5" t="s">
        <v>4650</v>
      </c>
      <c r="E1566" s="6">
        <f>IFERROR(VLOOKUP($D1566,[1]Balanza!$A$3:$K$852,6,0)-VLOOKUP(D1566,[1]Balanza!$A$3:$K$852,7,0),0)</f>
        <v>0</v>
      </c>
      <c r="F1566" s="6">
        <f>IFERROR(VLOOKUP($D1566,[1]Balanza!$A$3:$K$852,10,0)-VLOOKUP($D1566,[1]Balanza!$A$3:$K$852,11,0),0)</f>
        <v>0</v>
      </c>
    </row>
    <row r="1567" spans="1:6" x14ac:dyDescent="0.3">
      <c r="A1567" s="2" t="s">
        <v>2720</v>
      </c>
      <c r="B1567" s="2" t="s">
        <v>2378</v>
      </c>
      <c r="C1567" t="s">
        <v>3038</v>
      </c>
      <c r="D1567" s="5" t="s">
        <v>4651</v>
      </c>
      <c r="E1567" s="6">
        <f>IFERROR(VLOOKUP($D1567,[1]Balanza!$A$3:$K$852,6,0)-VLOOKUP(D1567,[1]Balanza!$A$3:$K$852,7,0),0)</f>
        <v>0</v>
      </c>
      <c r="F1567" s="6">
        <f>IFERROR(VLOOKUP($D1567,[1]Balanza!$A$3:$K$852,10,0)-VLOOKUP($D1567,[1]Balanza!$A$3:$K$852,11,0),0)</f>
        <v>0</v>
      </c>
    </row>
    <row r="1568" spans="1:6" x14ac:dyDescent="0.3">
      <c r="A1568" s="2" t="s">
        <v>2721</v>
      </c>
      <c r="B1568" s="2" t="s">
        <v>2380</v>
      </c>
      <c r="C1568" t="s">
        <v>3038</v>
      </c>
      <c r="D1568" s="5" t="s">
        <v>4652</v>
      </c>
      <c r="E1568" s="6">
        <f>IFERROR(VLOOKUP($D1568,[1]Balanza!$A$3:$K$852,6,0)-VLOOKUP(D1568,[1]Balanza!$A$3:$K$852,7,0),0)</f>
        <v>0</v>
      </c>
      <c r="F1568" s="6">
        <f>IFERROR(VLOOKUP($D1568,[1]Balanza!$A$3:$K$852,10,0)-VLOOKUP($D1568,[1]Balanza!$A$3:$K$852,11,0),0)</f>
        <v>0</v>
      </c>
    </row>
    <row r="1569" spans="1:6" x14ac:dyDescent="0.3">
      <c r="A1569" s="2" t="s">
        <v>2722</v>
      </c>
      <c r="B1569" s="2" t="s">
        <v>2382</v>
      </c>
      <c r="C1569" t="s">
        <v>3038</v>
      </c>
      <c r="D1569" s="5" t="s">
        <v>4653</v>
      </c>
      <c r="E1569" s="6">
        <f>IFERROR(VLOOKUP($D1569,[1]Balanza!$A$3:$K$852,6,0)-VLOOKUP(D1569,[1]Balanza!$A$3:$K$852,7,0),0)</f>
        <v>0</v>
      </c>
      <c r="F1569" s="6">
        <f>IFERROR(VLOOKUP($D1569,[1]Balanza!$A$3:$K$852,10,0)-VLOOKUP($D1569,[1]Balanza!$A$3:$K$852,11,0),0)</f>
        <v>0</v>
      </c>
    </row>
    <row r="1570" spans="1:6" x14ac:dyDescent="0.3">
      <c r="A1570" s="2" t="s">
        <v>2723</v>
      </c>
      <c r="B1570" s="2" t="s">
        <v>2384</v>
      </c>
      <c r="C1570" t="s">
        <v>3038</v>
      </c>
      <c r="D1570" s="5" t="s">
        <v>4654</v>
      </c>
      <c r="E1570" s="6">
        <f>IFERROR(VLOOKUP($D1570,[1]Balanza!$A$3:$K$852,6,0)-VLOOKUP(D1570,[1]Balanza!$A$3:$K$852,7,0),0)</f>
        <v>0</v>
      </c>
      <c r="F1570" s="6">
        <f>IFERROR(VLOOKUP($D1570,[1]Balanza!$A$3:$K$852,10,0)-VLOOKUP($D1570,[1]Balanza!$A$3:$K$852,11,0),0)</f>
        <v>0</v>
      </c>
    </row>
    <row r="1571" spans="1:6" x14ac:dyDescent="0.3">
      <c r="A1571" s="2" t="s">
        <v>2724</v>
      </c>
      <c r="B1571" s="2" t="s">
        <v>2386</v>
      </c>
      <c r="C1571" t="s">
        <v>3038</v>
      </c>
      <c r="D1571" s="5" t="s">
        <v>4655</v>
      </c>
      <c r="E1571" s="6">
        <f>IFERROR(VLOOKUP($D1571,[1]Balanza!$A$3:$K$852,6,0)-VLOOKUP(D1571,[1]Balanza!$A$3:$K$852,7,0),0)</f>
        <v>0</v>
      </c>
      <c r="F1571" s="6">
        <f>IFERROR(VLOOKUP($D1571,[1]Balanza!$A$3:$K$852,10,0)-VLOOKUP($D1571,[1]Balanza!$A$3:$K$852,11,0),0)</f>
        <v>0</v>
      </c>
    </row>
    <row r="1572" spans="1:6" x14ac:dyDescent="0.3">
      <c r="A1572" s="2" t="s">
        <v>2725</v>
      </c>
      <c r="B1572" s="2" t="s">
        <v>2388</v>
      </c>
      <c r="C1572" t="s">
        <v>3038</v>
      </c>
      <c r="D1572" s="5" t="s">
        <v>4656</v>
      </c>
      <c r="E1572" s="6">
        <f>IFERROR(VLOOKUP($D1572,[1]Balanza!$A$3:$K$852,6,0)-VLOOKUP(D1572,[1]Balanza!$A$3:$K$852,7,0),0)</f>
        <v>0</v>
      </c>
      <c r="F1572" s="6">
        <f>IFERROR(VLOOKUP($D1572,[1]Balanza!$A$3:$K$852,10,0)-VLOOKUP($D1572,[1]Balanza!$A$3:$K$852,11,0),0)</f>
        <v>0</v>
      </c>
    </row>
    <row r="1573" spans="1:6" x14ac:dyDescent="0.3">
      <c r="A1573" s="2" t="s">
        <v>2726</v>
      </c>
      <c r="B1573" s="2" t="s">
        <v>2390</v>
      </c>
      <c r="C1573" t="s">
        <v>3038</v>
      </c>
      <c r="D1573" s="5" t="s">
        <v>4657</v>
      </c>
      <c r="E1573" s="6">
        <f>IFERROR(VLOOKUP($D1573,[1]Balanza!$A$3:$K$852,6,0)-VLOOKUP(D1573,[1]Balanza!$A$3:$K$852,7,0),0)</f>
        <v>0</v>
      </c>
      <c r="F1573" s="6">
        <f>IFERROR(VLOOKUP($D1573,[1]Balanza!$A$3:$K$852,10,0)-VLOOKUP($D1573,[1]Balanza!$A$3:$K$852,11,0),0)</f>
        <v>0</v>
      </c>
    </row>
    <row r="1574" spans="1:6" x14ac:dyDescent="0.3">
      <c r="A1574" s="2" t="s">
        <v>2727</v>
      </c>
      <c r="B1574" s="2" t="s">
        <v>2392</v>
      </c>
      <c r="C1574" t="s">
        <v>3038</v>
      </c>
      <c r="D1574" s="5" t="s">
        <v>4658</v>
      </c>
      <c r="E1574" s="6">
        <f>IFERROR(VLOOKUP($D1574,[1]Balanza!$A$3:$K$852,6,0)-VLOOKUP(D1574,[1]Balanza!$A$3:$K$852,7,0),0)</f>
        <v>0</v>
      </c>
      <c r="F1574" s="6">
        <f>IFERROR(VLOOKUP($D1574,[1]Balanza!$A$3:$K$852,10,0)-VLOOKUP($D1574,[1]Balanza!$A$3:$K$852,11,0),0)</f>
        <v>0</v>
      </c>
    </row>
    <row r="1575" spans="1:6" x14ac:dyDescent="0.3">
      <c r="A1575" s="2" t="s">
        <v>2728</v>
      </c>
      <c r="B1575" s="2" t="s">
        <v>2398</v>
      </c>
      <c r="C1575" t="s">
        <v>3038</v>
      </c>
      <c r="D1575" s="5" t="s">
        <v>4659</v>
      </c>
      <c r="E1575" s="6">
        <f>IFERROR(VLOOKUP($D1575,[1]Balanza!$A$3:$K$852,6,0)-VLOOKUP(D1575,[1]Balanza!$A$3:$K$852,7,0),0)</f>
        <v>0</v>
      </c>
      <c r="F1575" s="6">
        <f>IFERROR(VLOOKUP($D1575,[1]Balanza!$A$3:$K$852,10,0)-VLOOKUP($D1575,[1]Balanza!$A$3:$K$852,11,0),0)</f>
        <v>0</v>
      </c>
    </row>
    <row r="1576" spans="1:6" x14ac:dyDescent="0.3">
      <c r="A1576" s="2" t="s">
        <v>2729</v>
      </c>
      <c r="B1576" s="2" t="s">
        <v>2400</v>
      </c>
      <c r="C1576" t="s">
        <v>3038</v>
      </c>
      <c r="D1576" s="5" t="s">
        <v>4660</v>
      </c>
      <c r="E1576" s="6">
        <f>IFERROR(VLOOKUP($D1576,[1]Balanza!$A$3:$K$852,6,0)-VLOOKUP(D1576,[1]Balanza!$A$3:$K$852,7,0),0)</f>
        <v>0</v>
      </c>
      <c r="F1576" s="6">
        <f>IFERROR(VLOOKUP($D1576,[1]Balanza!$A$3:$K$852,10,0)-VLOOKUP($D1576,[1]Balanza!$A$3:$K$852,11,0),0)</f>
        <v>0</v>
      </c>
    </row>
    <row r="1577" spans="1:6" x14ac:dyDescent="0.3">
      <c r="A1577" s="2" t="s">
        <v>2730</v>
      </c>
      <c r="B1577" s="2" t="s">
        <v>2402</v>
      </c>
      <c r="C1577" t="s">
        <v>3038</v>
      </c>
      <c r="D1577" s="5" t="s">
        <v>4661</v>
      </c>
      <c r="E1577" s="6">
        <f>IFERROR(VLOOKUP($D1577,[1]Balanza!$A$3:$K$852,6,0)-VLOOKUP(D1577,[1]Balanza!$A$3:$K$852,7,0),0)</f>
        <v>0</v>
      </c>
      <c r="F1577" s="6">
        <f>IFERROR(VLOOKUP($D1577,[1]Balanza!$A$3:$K$852,10,0)-VLOOKUP($D1577,[1]Balanza!$A$3:$K$852,11,0),0)</f>
        <v>0</v>
      </c>
    </row>
    <row r="1578" spans="1:6" x14ac:dyDescent="0.3">
      <c r="A1578" s="2" t="s">
        <v>2731</v>
      </c>
      <c r="B1578" s="2" t="s">
        <v>2732</v>
      </c>
      <c r="C1578" t="s">
        <v>3038</v>
      </c>
      <c r="D1578" s="5" t="s">
        <v>4662</v>
      </c>
      <c r="E1578" s="6">
        <f>IFERROR(VLOOKUP($D1578,[1]Balanza!$A$3:$K$852,6,0)-VLOOKUP(D1578,[1]Balanza!$A$3:$K$852,7,0),0)</f>
        <v>0</v>
      </c>
      <c r="F1578" s="6">
        <f>IFERROR(VLOOKUP($D1578,[1]Balanza!$A$3:$K$852,10,0)-VLOOKUP($D1578,[1]Balanza!$A$3:$K$852,11,0),0)</f>
        <v>0</v>
      </c>
    </row>
    <row r="1579" spans="1:6" x14ac:dyDescent="0.3">
      <c r="A1579" s="2" t="s">
        <v>2733</v>
      </c>
      <c r="B1579" s="2" t="s">
        <v>2734</v>
      </c>
      <c r="C1579" t="s">
        <v>3038</v>
      </c>
      <c r="D1579" s="5" t="s">
        <v>4663</v>
      </c>
      <c r="E1579" s="6">
        <f>IFERROR(VLOOKUP($D1579,[1]Balanza!$A$3:$K$852,6,0)-VLOOKUP(D1579,[1]Balanza!$A$3:$K$852,7,0),0)</f>
        <v>0</v>
      </c>
      <c r="F1579" s="6">
        <f>IFERROR(VLOOKUP($D1579,[1]Balanza!$A$3:$K$852,10,0)-VLOOKUP($D1579,[1]Balanza!$A$3:$K$852,11,0),0)</f>
        <v>0</v>
      </c>
    </row>
    <row r="1580" spans="1:6" x14ac:dyDescent="0.3">
      <c r="A1580" s="2" t="s">
        <v>2735</v>
      </c>
      <c r="B1580" s="2" t="s">
        <v>2408</v>
      </c>
      <c r="C1580" t="s">
        <v>3038</v>
      </c>
      <c r="D1580" s="5" t="s">
        <v>4664</v>
      </c>
      <c r="E1580" s="6">
        <f>IFERROR(VLOOKUP($D1580,[1]Balanza!$A$3:$K$852,6,0)-VLOOKUP(D1580,[1]Balanza!$A$3:$K$852,7,0),0)</f>
        <v>0</v>
      </c>
      <c r="F1580" s="6">
        <f>IFERROR(VLOOKUP($D1580,[1]Balanza!$A$3:$K$852,10,0)-VLOOKUP($D1580,[1]Balanza!$A$3:$K$852,11,0),0)</f>
        <v>0</v>
      </c>
    </row>
    <row r="1581" spans="1:6" x14ac:dyDescent="0.3">
      <c r="A1581" s="2" t="s">
        <v>2736</v>
      </c>
      <c r="B1581" s="2" t="s">
        <v>2534</v>
      </c>
      <c r="C1581" t="s">
        <v>3038</v>
      </c>
      <c r="D1581" s="5" t="s">
        <v>4665</v>
      </c>
      <c r="E1581" s="6">
        <f>IFERROR(VLOOKUP($D1581,[1]Balanza!$A$3:$K$852,6,0)-VLOOKUP(D1581,[1]Balanza!$A$3:$K$852,7,0),0)</f>
        <v>0</v>
      </c>
      <c r="F1581" s="6">
        <f>IFERROR(VLOOKUP($D1581,[1]Balanza!$A$3:$K$852,10,0)-VLOOKUP($D1581,[1]Balanza!$A$3:$K$852,11,0),0)</f>
        <v>0</v>
      </c>
    </row>
    <row r="1582" spans="1:6" x14ac:dyDescent="0.3">
      <c r="A1582" s="2" t="s">
        <v>2737</v>
      </c>
      <c r="B1582" s="2" t="s">
        <v>2536</v>
      </c>
      <c r="C1582" t="s">
        <v>3038</v>
      </c>
      <c r="D1582" s="5" t="s">
        <v>4666</v>
      </c>
      <c r="E1582" s="6">
        <f>IFERROR(VLOOKUP($D1582,[1]Balanza!$A$3:$K$852,6,0)-VLOOKUP(D1582,[1]Balanza!$A$3:$K$852,7,0),0)</f>
        <v>0</v>
      </c>
      <c r="F1582" s="6">
        <f>IFERROR(VLOOKUP($D1582,[1]Balanza!$A$3:$K$852,10,0)-VLOOKUP($D1582,[1]Balanza!$A$3:$K$852,11,0),0)</f>
        <v>0</v>
      </c>
    </row>
    <row r="1583" spans="1:6" x14ac:dyDescent="0.3">
      <c r="A1583" s="2" t="s">
        <v>2738</v>
      </c>
      <c r="B1583" s="2" t="s">
        <v>2739</v>
      </c>
      <c r="C1583" t="s">
        <v>3038</v>
      </c>
      <c r="D1583" s="5" t="s">
        <v>4667</v>
      </c>
      <c r="E1583" s="6">
        <f>IFERROR(VLOOKUP($D1583,[1]Balanza!$A$3:$K$852,6,0)-VLOOKUP(D1583,[1]Balanza!$A$3:$K$852,7,0),0)</f>
        <v>0</v>
      </c>
      <c r="F1583" s="6">
        <f>IFERROR(VLOOKUP($D1583,[1]Balanza!$A$3:$K$852,10,0)-VLOOKUP($D1583,[1]Balanza!$A$3:$K$852,11,0),0)</f>
        <v>0</v>
      </c>
    </row>
    <row r="1584" spans="1:6" x14ac:dyDescent="0.3">
      <c r="A1584" s="1" t="s">
        <v>2740</v>
      </c>
      <c r="B1584" s="1" t="s">
        <v>2741</v>
      </c>
      <c r="C1584" t="s">
        <v>3029</v>
      </c>
      <c r="D1584" s="5" t="s">
        <v>4668</v>
      </c>
      <c r="E1584" s="6">
        <f>IFERROR(VLOOKUP($D1584,[1]Balanza!$A$3:$K$852,6,0)-VLOOKUP(D1584,[1]Balanza!$A$3:$K$852,7,0),0)</f>
        <v>0</v>
      </c>
      <c r="F1584" s="6">
        <f>IFERROR(VLOOKUP($D1584,[1]Balanza!$A$3:$K$852,10,0)-VLOOKUP($D1584,[1]Balanza!$A$3:$K$852,11,0),0)</f>
        <v>0</v>
      </c>
    </row>
    <row r="1585" spans="1:6" x14ac:dyDescent="0.3">
      <c r="A1585" s="2" t="s">
        <v>2742</v>
      </c>
      <c r="B1585" s="2" t="s">
        <v>2743</v>
      </c>
      <c r="C1585" t="s">
        <v>3085</v>
      </c>
      <c r="D1585" s="5" t="s">
        <v>4669</v>
      </c>
      <c r="E1585" s="6">
        <f>IFERROR(VLOOKUP($D1585,[1]Balanza!$A$3:$K$852,6,0)-VLOOKUP(D1585,[1]Balanza!$A$3:$K$852,7,0),0)</f>
        <v>0</v>
      </c>
      <c r="F1585" s="6">
        <f>IFERROR(VLOOKUP($D1585,[1]Balanza!$A$3:$K$852,10,0)-VLOOKUP($D1585,[1]Balanza!$A$3:$K$852,11,0),0)</f>
        <v>0</v>
      </c>
    </row>
    <row r="1586" spans="1:6" x14ac:dyDescent="0.3">
      <c r="A1586" s="2" t="s">
        <v>2744</v>
      </c>
      <c r="B1586" s="2" t="s">
        <v>2745</v>
      </c>
      <c r="C1586" t="s">
        <v>3085</v>
      </c>
      <c r="D1586" s="5" t="s">
        <v>4670</v>
      </c>
      <c r="E1586" s="6">
        <f>IFERROR(VLOOKUP($D1586,[1]Balanza!$A$3:$K$852,6,0)-VLOOKUP(D1586,[1]Balanza!$A$3:$K$852,7,0),0)</f>
        <v>125666.8</v>
      </c>
      <c r="F1586" s="6">
        <f>IFERROR(VLOOKUP($D1586,[1]Balanza!$A$3:$K$852,10,0)-VLOOKUP($D1586,[1]Balanza!$A$3:$K$852,11,0),0)</f>
        <v>0</v>
      </c>
    </row>
    <row r="1587" spans="1:6" x14ac:dyDescent="0.3">
      <c r="A1587" s="2" t="s">
        <v>2746</v>
      </c>
      <c r="B1587" s="2" t="s">
        <v>2245</v>
      </c>
      <c r="C1587" t="s">
        <v>3085</v>
      </c>
      <c r="D1587" s="5" t="s">
        <v>4671</v>
      </c>
      <c r="E1587" s="6">
        <f>IFERROR(VLOOKUP($D1587,[1]Balanza!$A$3:$K$852,6,0)-VLOOKUP(D1587,[1]Balanza!$A$3:$K$852,7,0),0)</f>
        <v>0</v>
      </c>
      <c r="F1587" s="6">
        <f>IFERROR(VLOOKUP($D1587,[1]Balanza!$A$3:$K$852,10,0)-VLOOKUP($D1587,[1]Balanza!$A$3:$K$852,11,0),0)</f>
        <v>0</v>
      </c>
    </row>
    <row r="1588" spans="1:6" x14ac:dyDescent="0.3">
      <c r="A1588" s="2" t="s">
        <v>2747</v>
      </c>
      <c r="B1588" s="2" t="s">
        <v>2247</v>
      </c>
      <c r="C1588" t="s">
        <v>3085</v>
      </c>
      <c r="D1588" s="5" t="s">
        <v>4672</v>
      </c>
      <c r="E1588" s="6">
        <f>IFERROR(VLOOKUP($D1588,[1]Balanza!$A$3:$K$852,6,0)-VLOOKUP(D1588,[1]Balanza!$A$3:$K$852,7,0),0)</f>
        <v>0</v>
      </c>
      <c r="F1588" s="6">
        <f>IFERROR(VLOOKUP($D1588,[1]Balanza!$A$3:$K$852,10,0)-VLOOKUP($D1588,[1]Balanza!$A$3:$K$852,11,0),0)</f>
        <v>0</v>
      </c>
    </row>
    <row r="1589" spans="1:6" x14ac:dyDescent="0.3">
      <c r="A1589" s="2" t="s">
        <v>2748</v>
      </c>
      <c r="B1589" s="2" t="s">
        <v>2249</v>
      </c>
      <c r="C1589" t="s">
        <v>3085</v>
      </c>
      <c r="D1589" s="5" t="s">
        <v>4673</v>
      </c>
      <c r="E1589" s="6">
        <f>IFERROR(VLOOKUP($D1589,[1]Balanza!$A$3:$K$852,6,0)-VLOOKUP(D1589,[1]Balanza!$A$3:$K$852,7,0),0)</f>
        <v>12566.66</v>
      </c>
      <c r="F1589" s="6">
        <f>IFERROR(VLOOKUP($D1589,[1]Balanza!$A$3:$K$852,10,0)-VLOOKUP($D1589,[1]Balanza!$A$3:$K$852,11,0),0)</f>
        <v>0</v>
      </c>
    </row>
    <row r="1590" spans="1:6" x14ac:dyDescent="0.3">
      <c r="A1590" s="2" t="s">
        <v>2749</v>
      </c>
      <c r="B1590" s="2" t="s">
        <v>1992</v>
      </c>
      <c r="C1590" t="s">
        <v>3085</v>
      </c>
      <c r="D1590" s="5" t="s">
        <v>4674</v>
      </c>
      <c r="E1590" s="6">
        <f>IFERROR(VLOOKUP($D1590,[1]Balanza!$A$3:$K$852,6,0)-VLOOKUP(D1590,[1]Balanza!$A$3:$K$852,7,0),0)</f>
        <v>12566.66</v>
      </c>
      <c r="F1590" s="6">
        <f>IFERROR(VLOOKUP($D1590,[1]Balanza!$A$3:$K$852,10,0)-VLOOKUP($D1590,[1]Balanza!$A$3:$K$852,11,0),0)</f>
        <v>0</v>
      </c>
    </row>
    <row r="1591" spans="1:6" x14ac:dyDescent="0.3">
      <c r="A1591" s="2" t="s">
        <v>2750</v>
      </c>
      <c r="B1591" s="2" t="s">
        <v>2252</v>
      </c>
      <c r="C1591" t="s">
        <v>3085</v>
      </c>
      <c r="D1591" s="5" t="s">
        <v>4675</v>
      </c>
      <c r="E1591" s="6">
        <f>IFERROR(VLOOKUP($D1591,[1]Balanza!$A$3:$K$852,6,0)-VLOOKUP(D1591,[1]Balanza!$A$3:$K$852,7,0),0)</f>
        <v>0</v>
      </c>
      <c r="F1591" s="6">
        <f>IFERROR(VLOOKUP($D1591,[1]Balanza!$A$3:$K$852,10,0)-VLOOKUP($D1591,[1]Balanza!$A$3:$K$852,11,0),0)</f>
        <v>0</v>
      </c>
    </row>
    <row r="1592" spans="1:6" x14ac:dyDescent="0.3">
      <c r="A1592" s="2" t="s">
        <v>2751</v>
      </c>
      <c r="B1592" s="2" t="s">
        <v>1996</v>
      </c>
      <c r="C1592" t="s">
        <v>3085</v>
      </c>
      <c r="D1592" s="5" t="s">
        <v>4676</v>
      </c>
      <c r="E1592" s="6">
        <f>IFERROR(VLOOKUP($D1592,[1]Balanza!$A$3:$K$852,6,0)-VLOOKUP(D1592,[1]Balanza!$A$3:$K$852,7,0),0)</f>
        <v>2558.4899999999998</v>
      </c>
      <c r="F1592" s="6">
        <f>IFERROR(VLOOKUP($D1592,[1]Balanza!$A$3:$K$852,10,0)-VLOOKUP($D1592,[1]Balanza!$A$3:$K$852,11,0),0)</f>
        <v>0</v>
      </c>
    </row>
    <row r="1593" spans="1:6" x14ac:dyDescent="0.3">
      <c r="A1593" s="2" t="s">
        <v>2752</v>
      </c>
      <c r="B1593" s="2" t="s">
        <v>2255</v>
      </c>
      <c r="C1593" t="s">
        <v>3085</v>
      </c>
      <c r="D1593" s="5" t="s">
        <v>4677</v>
      </c>
      <c r="E1593" s="6">
        <f>IFERROR(VLOOKUP($D1593,[1]Balanza!$A$3:$K$852,6,0)-VLOOKUP(D1593,[1]Balanza!$A$3:$K$852,7,0),0)</f>
        <v>0</v>
      </c>
      <c r="F1593" s="6">
        <f>IFERROR(VLOOKUP($D1593,[1]Balanza!$A$3:$K$852,10,0)-VLOOKUP($D1593,[1]Balanza!$A$3:$K$852,11,0),0)</f>
        <v>0</v>
      </c>
    </row>
    <row r="1594" spans="1:6" x14ac:dyDescent="0.3">
      <c r="A1594" s="2" t="s">
        <v>2753</v>
      </c>
      <c r="B1594" s="2" t="s">
        <v>2257</v>
      </c>
      <c r="C1594" t="s">
        <v>3085</v>
      </c>
      <c r="D1594" s="5" t="s">
        <v>4678</v>
      </c>
      <c r="E1594" s="6">
        <f>IFERROR(VLOOKUP($D1594,[1]Balanza!$A$3:$K$852,6,0)-VLOOKUP(D1594,[1]Balanza!$A$3:$K$852,7,0),0)</f>
        <v>0</v>
      </c>
      <c r="F1594" s="6">
        <f>IFERROR(VLOOKUP($D1594,[1]Balanza!$A$3:$K$852,10,0)-VLOOKUP($D1594,[1]Balanza!$A$3:$K$852,11,0),0)</f>
        <v>0</v>
      </c>
    </row>
    <row r="1595" spans="1:6" x14ac:dyDescent="0.3">
      <c r="A1595" s="2" t="s">
        <v>2754</v>
      </c>
      <c r="B1595" s="2" t="s">
        <v>2259</v>
      </c>
      <c r="C1595" t="s">
        <v>3085</v>
      </c>
      <c r="D1595" s="5" t="s">
        <v>4679</v>
      </c>
      <c r="E1595" s="6">
        <f>IFERROR(VLOOKUP($D1595,[1]Balanza!$A$3:$K$852,6,0)-VLOOKUP(D1595,[1]Balanza!$A$3:$K$852,7,0),0)</f>
        <v>0</v>
      </c>
      <c r="F1595" s="6">
        <f>IFERROR(VLOOKUP($D1595,[1]Balanza!$A$3:$K$852,10,0)-VLOOKUP($D1595,[1]Balanza!$A$3:$K$852,11,0),0)</f>
        <v>0</v>
      </c>
    </row>
    <row r="1596" spans="1:6" x14ac:dyDescent="0.3">
      <c r="A1596" s="2" t="s">
        <v>2755</v>
      </c>
      <c r="B1596" s="2" t="s">
        <v>2261</v>
      </c>
      <c r="C1596" t="s">
        <v>3085</v>
      </c>
      <c r="D1596" s="5" t="s">
        <v>4680</v>
      </c>
      <c r="E1596" s="6">
        <f>IFERROR(VLOOKUP($D1596,[1]Balanza!$A$3:$K$852,6,0)-VLOOKUP(D1596,[1]Balanza!$A$3:$K$852,7,0),0)</f>
        <v>0</v>
      </c>
      <c r="F1596" s="6">
        <f>IFERROR(VLOOKUP($D1596,[1]Balanza!$A$3:$K$852,10,0)-VLOOKUP($D1596,[1]Balanza!$A$3:$K$852,11,0),0)</f>
        <v>0</v>
      </c>
    </row>
    <row r="1597" spans="1:6" x14ac:dyDescent="0.3">
      <c r="A1597" s="2" t="s">
        <v>2756</v>
      </c>
      <c r="B1597" s="2" t="s">
        <v>2263</v>
      </c>
      <c r="C1597" t="s">
        <v>3085</v>
      </c>
      <c r="D1597" s="5" t="s">
        <v>4681</v>
      </c>
      <c r="E1597" s="6">
        <f>IFERROR(VLOOKUP($D1597,[1]Balanza!$A$3:$K$852,6,0)-VLOOKUP(D1597,[1]Balanza!$A$3:$K$852,7,0),0)</f>
        <v>5610.13</v>
      </c>
      <c r="F1597" s="6">
        <f>IFERROR(VLOOKUP($D1597,[1]Balanza!$A$3:$K$852,10,0)-VLOOKUP($D1597,[1]Balanza!$A$3:$K$852,11,0),0)</f>
        <v>0</v>
      </c>
    </row>
    <row r="1598" spans="1:6" x14ac:dyDescent="0.3">
      <c r="A1598" s="2" t="s">
        <v>2757</v>
      </c>
      <c r="B1598" s="2" t="s">
        <v>2267</v>
      </c>
      <c r="C1598" t="s">
        <v>3085</v>
      </c>
      <c r="D1598" s="5" t="s">
        <v>4682</v>
      </c>
      <c r="E1598" s="6">
        <f>IFERROR(VLOOKUP($D1598,[1]Balanza!$A$3:$K$852,6,0)-VLOOKUP(D1598,[1]Balanza!$A$3:$K$852,7,0),0)</f>
        <v>0</v>
      </c>
      <c r="F1598" s="6">
        <f>IFERROR(VLOOKUP($D1598,[1]Balanza!$A$3:$K$852,10,0)-VLOOKUP($D1598,[1]Balanza!$A$3:$K$852,11,0),0)</f>
        <v>0</v>
      </c>
    </row>
    <row r="1599" spans="1:6" x14ac:dyDescent="0.3">
      <c r="A1599" s="2" t="s">
        <v>2758</v>
      </c>
      <c r="B1599" s="2" t="s">
        <v>2269</v>
      </c>
      <c r="C1599" t="s">
        <v>3085</v>
      </c>
      <c r="D1599" s="5" t="s">
        <v>4683</v>
      </c>
      <c r="E1599" s="6">
        <f>IFERROR(VLOOKUP($D1599,[1]Balanza!$A$3:$K$852,6,0)-VLOOKUP(D1599,[1]Balanza!$A$3:$K$852,7,0),0)</f>
        <v>12566.66</v>
      </c>
      <c r="F1599" s="6">
        <f>IFERROR(VLOOKUP($D1599,[1]Balanza!$A$3:$K$852,10,0)-VLOOKUP($D1599,[1]Balanza!$A$3:$K$852,11,0),0)</f>
        <v>0</v>
      </c>
    </row>
    <row r="1600" spans="1:6" x14ac:dyDescent="0.3">
      <c r="A1600" s="2" t="s">
        <v>2759</v>
      </c>
      <c r="B1600" s="2" t="s">
        <v>2271</v>
      </c>
      <c r="C1600" t="s">
        <v>3085</v>
      </c>
      <c r="D1600" s="5" t="s">
        <v>4684</v>
      </c>
      <c r="E1600" s="6">
        <f>IFERROR(VLOOKUP($D1600,[1]Balanza!$A$3:$K$852,6,0)-VLOOKUP(D1600,[1]Balanza!$A$3:$K$852,7,0),0)</f>
        <v>0</v>
      </c>
      <c r="F1600" s="6">
        <f>IFERROR(VLOOKUP($D1600,[1]Balanza!$A$3:$K$852,10,0)-VLOOKUP($D1600,[1]Balanza!$A$3:$K$852,11,0),0)</f>
        <v>0</v>
      </c>
    </row>
    <row r="1601" spans="1:6" x14ac:dyDescent="0.3">
      <c r="A1601" s="2" t="s">
        <v>2760</v>
      </c>
      <c r="B1601" s="2" t="s">
        <v>2273</v>
      </c>
      <c r="C1601" t="s">
        <v>3085</v>
      </c>
      <c r="D1601" s="5" t="s">
        <v>4685</v>
      </c>
      <c r="E1601" s="6">
        <f>IFERROR(VLOOKUP($D1601,[1]Balanza!$A$3:$K$852,6,0)-VLOOKUP(D1601,[1]Balanza!$A$3:$K$852,7,0),0)</f>
        <v>0</v>
      </c>
      <c r="F1601" s="6">
        <f>IFERROR(VLOOKUP($D1601,[1]Balanza!$A$3:$K$852,10,0)-VLOOKUP($D1601,[1]Balanza!$A$3:$K$852,11,0),0)</f>
        <v>0</v>
      </c>
    </row>
    <row r="1602" spans="1:6" x14ac:dyDescent="0.3">
      <c r="A1602" s="2" t="s">
        <v>2761</v>
      </c>
      <c r="B1602" s="2" t="s">
        <v>2275</v>
      </c>
      <c r="C1602" t="s">
        <v>3085</v>
      </c>
      <c r="D1602" s="5" t="s">
        <v>4686</v>
      </c>
      <c r="E1602" s="6">
        <f>IFERROR(VLOOKUP($D1602,[1]Balanza!$A$3:$K$852,6,0)-VLOOKUP(D1602,[1]Balanza!$A$3:$K$852,7,0),0)</f>
        <v>0</v>
      </c>
      <c r="F1602" s="6">
        <f>IFERROR(VLOOKUP($D1602,[1]Balanza!$A$3:$K$852,10,0)-VLOOKUP($D1602,[1]Balanza!$A$3:$K$852,11,0),0)</f>
        <v>0</v>
      </c>
    </row>
    <row r="1603" spans="1:6" x14ac:dyDescent="0.3">
      <c r="A1603" s="2" t="s">
        <v>2762</v>
      </c>
      <c r="B1603" s="2" t="s">
        <v>2277</v>
      </c>
      <c r="C1603" t="s">
        <v>3085</v>
      </c>
      <c r="D1603" s="5" t="s">
        <v>4687</v>
      </c>
      <c r="E1603" s="6">
        <f>IFERROR(VLOOKUP($D1603,[1]Balanza!$A$3:$K$852,6,0)-VLOOKUP(D1603,[1]Balanza!$A$3:$K$852,7,0),0)</f>
        <v>6283.34</v>
      </c>
      <c r="F1603" s="6">
        <f>IFERROR(VLOOKUP($D1603,[1]Balanza!$A$3:$K$852,10,0)-VLOOKUP($D1603,[1]Balanza!$A$3:$K$852,11,0),0)</f>
        <v>0</v>
      </c>
    </row>
    <row r="1604" spans="1:6" x14ac:dyDescent="0.3">
      <c r="A1604" s="2" t="s">
        <v>2763</v>
      </c>
      <c r="B1604" s="2" t="s">
        <v>2279</v>
      </c>
      <c r="C1604" t="s">
        <v>3085</v>
      </c>
      <c r="D1604" s="5" t="s">
        <v>4688</v>
      </c>
      <c r="E1604" s="6">
        <f>IFERROR(VLOOKUP($D1604,[1]Balanza!$A$3:$K$852,6,0)-VLOOKUP(D1604,[1]Balanza!$A$3:$K$852,7,0),0)</f>
        <v>0</v>
      </c>
      <c r="F1604" s="6">
        <f>IFERROR(VLOOKUP($D1604,[1]Balanza!$A$3:$K$852,10,0)-VLOOKUP($D1604,[1]Balanza!$A$3:$K$852,11,0),0)</f>
        <v>0</v>
      </c>
    </row>
    <row r="1605" spans="1:6" x14ac:dyDescent="0.3">
      <c r="A1605" s="2" t="s">
        <v>2764</v>
      </c>
      <c r="B1605" s="2" t="s">
        <v>2281</v>
      </c>
      <c r="C1605" t="s">
        <v>3085</v>
      </c>
      <c r="D1605" s="5" t="s">
        <v>4689</v>
      </c>
      <c r="E1605" s="6">
        <f>IFERROR(VLOOKUP($D1605,[1]Balanza!$A$3:$K$852,6,0)-VLOOKUP(D1605,[1]Balanza!$A$3:$K$852,7,0),0)</f>
        <v>0</v>
      </c>
      <c r="F1605" s="6">
        <f>IFERROR(VLOOKUP($D1605,[1]Balanza!$A$3:$K$852,10,0)-VLOOKUP($D1605,[1]Balanza!$A$3:$K$852,11,0),0)</f>
        <v>0</v>
      </c>
    </row>
    <row r="1606" spans="1:6" x14ac:dyDescent="0.3">
      <c r="A1606" s="2" t="s">
        <v>2765</v>
      </c>
      <c r="B1606" s="2" t="s">
        <v>2283</v>
      </c>
      <c r="C1606" t="s">
        <v>3085</v>
      </c>
      <c r="D1606" s="5" t="s">
        <v>4690</v>
      </c>
      <c r="E1606" s="6">
        <f>IFERROR(VLOOKUP($D1606,[1]Balanza!$A$3:$K$852,6,0)-VLOOKUP(D1606,[1]Balanza!$A$3:$K$852,7,0),0)</f>
        <v>0</v>
      </c>
      <c r="F1606" s="6">
        <f>IFERROR(VLOOKUP($D1606,[1]Balanza!$A$3:$K$852,10,0)-VLOOKUP($D1606,[1]Balanza!$A$3:$K$852,11,0),0)</f>
        <v>0</v>
      </c>
    </row>
    <row r="1607" spans="1:6" x14ac:dyDescent="0.3">
      <c r="A1607" s="2" t="s">
        <v>2766</v>
      </c>
      <c r="B1607" s="2" t="s">
        <v>2285</v>
      </c>
      <c r="C1607" t="s">
        <v>3085</v>
      </c>
      <c r="D1607" s="5" t="s">
        <v>4691</v>
      </c>
      <c r="E1607" s="6">
        <f>IFERROR(VLOOKUP($D1607,[1]Balanza!$A$3:$K$852,6,0)-VLOOKUP(D1607,[1]Balanza!$A$3:$K$852,7,0),0)</f>
        <v>0</v>
      </c>
      <c r="F1607" s="6">
        <f>IFERROR(VLOOKUP($D1607,[1]Balanza!$A$3:$K$852,10,0)-VLOOKUP($D1607,[1]Balanza!$A$3:$K$852,11,0),0)</f>
        <v>0</v>
      </c>
    </row>
    <row r="1608" spans="1:6" x14ac:dyDescent="0.3">
      <c r="A1608" s="2" t="s">
        <v>2767</v>
      </c>
      <c r="B1608" s="2" t="s">
        <v>2454</v>
      </c>
      <c r="C1608" t="s">
        <v>3085</v>
      </c>
      <c r="D1608" s="5" t="s">
        <v>4692</v>
      </c>
      <c r="E1608" s="6">
        <f>IFERROR(VLOOKUP($D1608,[1]Balanza!$A$3:$K$852,6,0)-VLOOKUP(D1608,[1]Balanza!$A$3:$K$852,7,0),0)</f>
        <v>0</v>
      </c>
      <c r="F1608" s="6">
        <f>IFERROR(VLOOKUP($D1608,[1]Balanza!$A$3:$K$852,10,0)-VLOOKUP($D1608,[1]Balanza!$A$3:$K$852,11,0),0)</f>
        <v>0</v>
      </c>
    </row>
    <row r="1609" spans="1:6" x14ac:dyDescent="0.3">
      <c r="A1609" s="2" t="s">
        <v>2768</v>
      </c>
      <c r="B1609" s="2" t="s">
        <v>2456</v>
      </c>
      <c r="C1609" t="s">
        <v>3085</v>
      </c>
      <c r="D1609" s="5" t="s">
        <v>4693</v>
      </c>
      <c r="E1609" s="6">
        <f>IFERROR(VLOOKUP($D1609,[1]Balanza!$A$3:$K$852,6,0)-VLOOKUP(D1609,[1]Balanza!$A$3:$K$852,7,0),0)</f>
        <v>0</v>
      </c>
      <c r="F1609" s="6">
        <f>IFERROR(VLOOKUP($D1609,[1]Balanza!$A$3:$K$852,10,0)-VLOOKUP($D1609,[1]Balanza!$A$3:$K$852,11,0),0)</f>
        <v>0</v>
      </c>
    </row>
    <row r="1610" spans="1:6" x14ac:dyDescent="0.3">
      <c r="A1610" s="2" t="s">
        <v>2769</v>
      </c>
      <c r="B1610" s="2" t="s">
        <v>2671</v>
      </c>
      <c r="C1610" t="s">
        <v>3085</v>
      </c>
      <c r="D1610" s="5" t="s">
        <v>4694</v>
      </c>
      <c r="E1610" s="6">
        <f>IFERROR(VLOOKUP($D1610,[1]Balanza!$A$3:$K$852,6,0)-VLOOKUP(D1610,[1]Balanza!$A$3:$K$852,7,0),0)</f>
        <v>0</v>
      </c>
      <c r="F1610" s="6">
        <f>IFERROR(VLOOKUP($D1610,[1]Balanza!$A$3:$K$852,10,0)-VLOOKUP($D1610,[1]Balanza!$A$3:$K$852,11,0),0)</f>
        <v>0</v>
      </c>
    </row>
    <row r="1611" spans="1:6" x14ac:dyDescent="0.3">
      <c r="A1611" s="2" t="s">
        <v>2770</v>
      </c>
      <c r="B1611" s="2" t="s">
        <v>2267</v>
      </c>
      <c r="C1611" t="s">
        <v>3085</v>
      </c>
      <c r="D1611" s="5" t="s">
        <v>4695</v>
      </c>
      <c r="E1611" s="6">
        <f>IFERROR(VLOOKUP($D1611,[1]Balanza!$A$3:$K$852,6,0)-VLOOKUP(D1611,[1]Balanza!$A$3:$K$852,7,0),0)</f>
        <v>0</v>
      </c>
      <c r="F1611" s="6">
        <f>IFERROR(VLOOKUP($D1611,[1]Balanza!$A$3:$K$852,10,0)-VLOOKUP($D1611,[1]Balanza!$A$3:$K$852,11,0),0)</f>
        <v>0</v>
      </c>
    </row>
    <row r="1612" spans="1:6" x14ac:dyDescent="0.3">
      <c r="A1612" s="2" t="s">
        <v>2771</v>
      </c>
      <c r="B1612" s="2" t="s">
        <v>2772</v>
      </c>
      <c r="C1612" t="s">
        <v>3085</v>
      </c>
      <c r="D1612" s="5" t="s">
        <v>4696</v>
      </c>
      <c r="E1612" s="6">
        <f>IFERROR(VLOOKUP($D1612,[1]Balanza!$A$3:$K$852,6,0)-VLOOKUP(D1612,[1]Balanza!$A$3:$K$852,7,0),0)</f>
        <v>2171.4299999999998</v>
      </c>
      <c r="F1612" s="6">
        <f>IFERROR(VLOOKUP($D1612,[1]Balanza!$A$3:$K$852,10,0)-VLOOKUP($D1612,[1]Balanza!$A$3:$K$852,11,0),0)</f>
        <v>0</v>
      </c>
    </row>
    <row r="1613" spans="1:6" x14ac:dyDescent="0.3">
      <c r="A1613" s="2" t="s">
        <v>2773</v>
      </c>
      <c r="B1613" s="2" t="s">
        <v>2774</v>
      </c>
      <c r="C1613" t="s">
        <v>3085</v>
      </c>
      <c r="D1613" s="5" t="s">
        <v>4697</v>
      </c>
      <c r="E1613" s="6">
        <f>IFERROR(VLOOKUP($D1613,[1]Balanza!$A$3:$K$852,6,0)-VLOOKUP(D1613,[1]Balanza!$A$3:$K$852,7,0),0)</f>
        <v>17166.669999999998</v>
      </c>
      <c r="F1613" s="6">
        <f>IFERROR(VLOOKUP($D1613,[1]Balanza!$A$3:$K$852,10,0)-VLOOKUP($D1613,[1]Balanza!$A$3:$K$852,11,0),0)</f>
        <v>0</v>
      </c>
    </row>
    <row r="1614" spans="1:6" x14ac:dyDescent="0.3">
      <c r="A1614" s="2" t="s">
        <v>2775</v>
      </c>
      <c r="B1614" s="2" t="s">
        <v>2776</v>
      </c>
      <c r="C1614" t="s">
        <v>3085</v>
      </c>
      <c r="D1614" s="5" t="s">
        <v>4698</v>
      </c>
      <c r="E1614" s="6">
        <f>IFERROR(VLOOKUP($D1614,[1]Balanza!$A$3:$K$852,6,0)-VLOOKUP(D1614,[1]Balanza!$A$3:$K$852,7,0),0)</f>
        <v>0</v>
      </c>
      <c r="F1614" s="6">
        <f>IFERROR(VLOOKUP($D1614,[1]Balanza!$A$3:$K$852,10,0)-VLOOKUP($D1614,[1]Balanza!$A$3:$K$852,11,0),0)</f>
        <v>0</v>
      </c>
    </row>
    <row r="1615" spans="1:6" x14ac:dyDescent="0.3">
      <c r="A1615" s="2" t="s">
        <v>2777</v>
      </c>
      <c r="B1615" s="2" t="s">
        <v>1828</v>
      </c>
      <c r="C1615" t="s">
        <v>3085</v>
      </c>
      <c r="D1615" s="5" t="s">
        <v>4699</v>
      </c>
      <c r="E1615" s="6">
        <f>IFERROR(VLOOKUP($D1615,[1]Balanza!$A$3:$K$852,6,0)-VLOOKUP(D1615,[1]Balanza!$A$3:$K$852,7,0),0)</f>
        <v>0</v>
      </c>
      <c r="F1615" s="6">
        <f>IFERROR(VLOOKUP($D1615,[1]Balanza!$A$3:$K$852,10,0)-VLOOKUP($D1615,[1]Balanza!$A$3:$K$852,11,0),0)</f>
        <v>0</v>
      </c>
    </row>
    <row r="1616" spans="1:6" x14ac:dyDescent="0.3">
      <c r="A1616" s="2" t="s">
        <v>2778</v>
      </c>
      <c r="B1616" s="2" t="s">
        <v>1833</v>
      </c>
      <c r="C1616" t="s">
        <v>3085</v>
      </c>
      <c r="D1616" s="5" t="s">
        <v>4700</v>
      </c>
      <c r="E1616" s="6">
        <f>IFERROR(VLOOKUP($D1616,[1]Balanza!$A$3:$K$852,6,0)-VLOOKUP(D1616,[1]Balanza!$A$3:$K$852,7,0),0)</f>
        <v>10180.48</v>
      </c>
      <c r="F1616" s="6">
        <f>IFERROR(VLOOKUP($D1616,[1]Balanza!$A$3:$K$852,10,0)-VLOOKUP($D1616,[1]Balanza!$A$3:$K$852,11,0),0)</f>
        <v>0</v>
      </c>
    </row>
    <row r="1617" spans="1:6" x14ac:dyDescent="0.3">
      <c r="A1617" s="2" t="s">
        <v>2779</v>
      </c>
      <c r="B1617" s="2" t="s">
        <v>1835</v>
      </c>
      <c r="C1617" t="s">
        <v>3085</v>
      </c>
      <c r="D1617" s="5" t="s">
        <v>4701</v>
      </c>
      <c r="E1617" s="6">
        <f>IFERROR(VLOOKUP($D1617,[1]Balanza!$A$3:$K$852,6,0)-VLOOKUP(D1617,[1]Balanza!$A$3:$K$852,7,0),0)</f>
        <v>14965.74</v>
      </c>
      <c r="F1617" s="6">
        <f>IFERROR(VLOOKUP($D1617,[1]Balanza!$A$3:$K$852,10,0)-VLOOKUP($D1617,[1]Balanza!$A$3:$K$852,11,0),0)</f>
        <v>0</v>
      </c>
    </row>
    <row r="1618" spans="1:6" x14ac:dyDescent="0.3">
      <c r="A1618" s="2" t="s">
        <v>2780</v>
      </c>
      <c r="B1618" s="2" t="s">
        <v>1837</v>
      </c>
      <c r="C1618" t="s">
        <v>3085</v>
      </c>
      <c r="D1618" s="5" t="s">
        <v>4702</v>
      </c>
      <c r="E1618" s="6">
        <f>IFERROR(VLOOKUP($D1618,[1]Balanza!$A$3:$K$852,6,0)-VLOOKUP(D1618,[1]Balanza!$A$3:$K$852,7,0),0)</f>
        <v>25002.17</v>
      </c>
      <c r="F1618" s="6">
        <f>IFERROR(VLOOKUP($D1618,[1]Balanza!$A$3:$K$852,10,0)-VLOOKUP($D1618,[1]Balanza!$A$3:$K$852,11,0),0)</f>
        <v>0</v>
      </c>
    </row>
    <row r="1619" spans="1:6" x14ac:dyDescent="0.3">
      <c r="A1619" s="2" t="s">
        <v>2781</v>
      </c>
      <c r="B1619" s="2" t="s">
        <v>2782</v>
      </c>
      <c r="C1619" t="s">
        <v>3085</v>
      </c>
      <c r="D1619" s="5" t="s">
        <v>4703</v>
      </c>
      <c r="E1619" s="6">
        <f>IFERROR(VLOOKUP($D1619,[1]Balanza!$A$3:$K$852,6,0)-VLOOKUP(D1619,[1]Balanza!$A$3:$K$852,7,0),0)</f>
        <v>5166.24</v>
      </c>
      <c r="F1619" s="6">
        <f>IFERROR(VLOOKUP($D1619,[1]Balanza!$A$3:$K$852,10,0)-VLOOKUP($D1619,[1]Balanza!$A$3:$K$852,11,0),0)</f>
        <v>0</v>
      </c>
    </row>
    <row r="1620" spans="1:6" x14ac:dyDescent="0.3">
      <c r="A1620" s="2" t="s">
        <v>2783</v>
      </c>
      <c r="B1620" s="2" t="s">
        <v>1837</v>
      </c>
      <c r="C1620" t="s">
        <v>3085</v>
      </c>
      <c r="D1620" s="5" t="s">
        <v>4704</v>
      </c>
      <c r="E1620" s="6">
        <f>IFERROR(VLOOKUP($D1620,[1]Balanza!$A$3:$K$852,6,0)-VLOOKUP(D1620,[1]Balanza!$A$3:$K$852,7,0),0)</f>
        <v>0</v>
      </c>
      <c r="F1620" s="6">
        <f>IFERROR(VLOOKUP($D1620,[1]Balanza!$A$3:$K$852,10,0)-VLOOKUP($D1620,[1]Balanza!$A$3:$K$852,11,0),0)</f>
        <v>0</v>
      </c>
    </row>
    <row r="1621" spans="1:6" x14ac:dyDescent="0.3">
      <c r="A1621" s="2" t="s">
        <v>2784</v>
      </c>
      <c r="B1621" s="2" t="s">
        <v>2785</v>
      </c>
      <c r="C1621" t="s">
        <v>3085</v>
      </c>
      <c r="D1621" s="5" t="s">
        <v>4705</v>
      </c>
      <c r="E1621" s="6">
        <f>IFERROR(VLOOKUP($D1621,[1]Balanza!$A$3:$K$852,6,0)-VLOOKUP(D1621,[1]Balanza!$A$3:$K$852,7,0),0)</f>
        <v>0</v>
      </c>
      <c r="F1621" s="6">
        <f>IFERROR(VLOOKUP($D1621,[1]Balanza!$A$3:$K$852,10,0)-VLOOKUP($D1621,[1]Balanza!$A$3:$K$852,11,0),0)</f>
        <v>0</v>
      </c>
    </row>
    <row r="1622" spans="1:6" x14ac:dyDescent="0.3">
      <c r="A1622" s="1" t="s">
        <v>2786</v>
      </c>
      <c r="B1622" s="1" t="s">
        <v>2787</v>
      </c>
      <c r="C1622" t="s">
        <v>3029</v>
      </c>
      <c r="D1622" s="5" t="s">
        <v>4706</v>
      </c>
      <c r="E1622" s="6">
        <f>IFERROR(VLOOKUP($D1622,[1]Balanza!$A$3:$K$852,6,0)-VLOOKUP(D1622,[1]Balanza!$A$3:$K$852,7,0),0)</f>
        <v>0</v>
      </c>
      <c r="F1622" s="6">
        <f>IFERROR(VLOOKUP($D1622,[1]Balanza!$A$3:$K$852,10,0)-VLOOKUP($D1622,[1]Balanza!$A$3:$K$852,11,0),0)</f>
        <v>0</v>
      </c>
    </row>
    <row r="1623" spans="1:6" x14ac:dyDescent="0.3">
      <c r="A1623" s="2" t="s">
        <v>2788</v>
      </c>
      <c r="B1623" s="2" t="s">
        <v>2789</v>
      </c>
      <c r="C1623" t="s">
        <v>3086</v>
      </c>
      <c r="D1623" s="5" t="s">
        <v>4707</v>
      </c>
      <c r="E1623" s="6">
        <f>IFERROR(VLOOKUP($D1623,[1]Balanza!$A$3:$K$852,6,0)-VLOOKUP(D1623,[1]Balanza!$A$3:$K$852,7,0),0)</f>
        <v>0</v>
      </c>
      <c r="F1623" s="6">
        <f>IFERROR(VLOOKUP($D1623,[1]Balanza!$A$3:$K$852,10,0)-VLOOKUP($D1623,[1]Balanza!$A$3:$K$852,11,0),0)</f>
        <v>0</v>
      </c>
    </row>
    <row r="1624" spans="1:6" x14ac:dyDescent="0.3">
      <c r="A1624" s="2" t="s">
        <v>2790</v>
      </c>
      <c r="B1624" s="2" t="s">
        <v>2745</v>
      </c>
      <c r="C1624" t="s">
        <v>3086</v>
      </c>
      <c r="D1624" s="5" t="s">
        <v>4708</v>
      </c>
      <c r="E1624" s="6">
        <f>IFERROR(VLOOKUP($D1624,[1]Balanza!$A$3:$K$852,6,0)-VLOOKUP(D1624,[1]Balanza!$A$3:$K$852,7,0),0)</f>
        <v>64862.400000000001</v>
      </c>
      <c r="F1624" s="6">
        <f>IFERROR(VLOOKUP($D1624,[1]Balanza!$A$3:$K$852,10,0)-VLOOKUP($D1624,[1]Balanza!$A$3:$K$852,11,0),0)</f>
        <v>0</v>
      </c>
    </row>
    <row r="1625" spans="1:6" x14ac:dyDescent="0.3">
      <c r="A1625" s="2" t="s">
        <v>2791</v>
      </c>
      <c r="B1625" s="2" t="s">
        <v>2245</v>
      </c>
      <c r="C1625" t="s">
        <v>3086</v>
      </c>
      <c r="D1625" s="5" t="s">
        <v>4709</v>
      </c>
      <c r="E1625" s="6">
        <f>IFERROR(VLOOKUP($D1625,[1]Balanza!$A$3:$K$852,6,0)-VLOOKUP(D1625,[1]Balanza!$A$3:$K$852,7,0),0)</f>
        <v>0</v>
      </c>
      <c r="F1625" s="6">
        <f>IFERROR(VLOOKUP($D1625,[1]Balanza!$A$3:$K$852,10,0)-VLOOKUP($D1625,[1]Balanza!$A$3:$K$852,11,0),0)</f>
        <v>0</v>
      </c>
    </row>
    <row r="1626" spans="1:6" x14ac:dyDescent="0.3">
      <c r="A1626" s="2" t="s">
        <v>2792</v>
      </c>
      <c r="B1626" s="2" t="s">
        <v>2247</v>
      </c>
      <c r="C1626" t="s">
        <v>3086</v>
      </c>
      <c r="D1626" s="5" t="s">
        <v>4710</v>
      </c>
      <c r="E1626" s="6">
        <f>IFERROR(VLOOKUP($D1626,[1]Balanza!$A$3:$K$852,6,0)-VLOOKUP(D1626,[1]Balanza!$A$3:$K$852,7,0),0)</f>
        <v>0</v>
      </c>
      <c r="F1626" s="6">
        <f>IFERROR(VLOOKUP($D1626,[1]Balanza!$A$3:$K$852,10,0)-VLOOKUP($D1626,[1]Balanza!$A$3:$K$852,11,0),0)</f>
        <v>0</v>
      </c>
    </row>
    <row r="1627" spans="1:6" x14ac:dyDescent="0.3">
      <c r="A1627" s="2" t="s">
        <v>2793</v>
      </c>
      <c r="B1627" s="2" t="s">
        <v>2249</v>
      </c>
      <c r="C1627" t="s">
        <v>3086</v>
      </c>
      <c r="D1627" s="5" t="s">
        <v>4711</v>
      </c>
      <c r="E1627" s="6">
        <f>IFERROR(VLOOKUP($D1627,[1]Balanza!$A$3:$K$852,6,0)-VLOOKUP(D1627,[1]Balanza!$A$3:$K$852,7,0),0)</f>
        <v>7499.28</v>
      </c>
      <c r="F1627" s="6">
        <f>IFERROR(VLOOKUP($D1627,[1]Balanza!$A$3:$K$852,10,0)-VLOOKUP($D1627,[1]Balanza!$A$3:$K$852,11,0),0)</f>
        <v>0</v>
      </c>
    </row>
    <row r="1628" spans="1:6" x14ac:dyDescent="0.3">
      <c r="A1628" s="2" t="s">
        <v>2794</v>
      </c>
      <c r="B1628" s="2" t="s">
        <v>1992</v>
      </c>
      <c r="C1628" t="s">
        <v>3086</v>
      </c>
      <c r="D1628" s="5" t="s">
        <v>4712</v>
      </c>
      <c r="E1628" s="6">
        <f>IFERROR(VLOOKUP($D1628,[1]Balanza!$A$3:$K$852,6,0)-VLOOKUP(D1628,[1]Balanza!$A$3:$K$852,7,0),0)</f>
        <v>7499.28</v>
      </c>
      <c r="F1628" s="6">
        <f>IFERROR(VLOOKUP($D1628,[1]Balanza!$A$3:$K$852,10,0)-VLOOKUP($D1628,[1]Balanza!$A$3:$K$852,11,0),0)</f>
        <v>0</v>
      </c>
    </row>
    <row r="1629" spans="1:6" x14ac:dyDescent="0.3">
      <c r="A1629" s="2" t="s">
        <v>2795</v>
      </c>
      <c r="B1629" s="2" t="s">
        <v>2252</v>
      </c>
      <c r="C1629" t="s">
        <v>3086</v>
      </c>
      <c r="D1629" s="5" t="s">
        <v>4713</v>
      </c>
      <c r="E1629" s="6">
        <f>IFERROR(VLOOKUP($D1629,[1]Balanza!$A$3:$K$852,6,0)-VLOOKUP(D1629,[1]Balanza!$A$3:$K$852,7,0),0)</f>
        <v>2177.2800000000002</v>
      </c>
      <c r="F1629" s="6">
        <f>IFERROR(VLOOKUP($D1629,[1]Balanza!$A$3:$K$852,10,0)-VLOOKUP($D1629,[1]Balanza!$A$3:$K$852,11,0),0)</f>
        <v>0</v>
      </c>
    </row>
    <row r="1630" spans="1:6" x14ac:dyDescent="0.3">
      <c r="A1630" s="2" t="s">
        <v>2796</v>
      </c>
      <c r="B1630" s="2" t="s">
        <v>1996</v>
      </c>
      <c r="C1630" t="s">
        <v>3086</v>
      </c>
      <c r="D1630" s="5" t="s">
        <v>4714</v>
      </c>
      <c r="E1630" s="6">
        <f>IFERROR(VLOOKUP($D1630,[1]Balanza!$A$3:$K$852,6,0)-VLOOKUP(D1630,[1]Balanza!$A$3:$K$852,7,0),0)</f>
        <v>0</v>
      </c>
      <c r="F1630" s="6">
        <f>IFERROR(VLOOKUP($D1630,[1]Balanza!$A$3:$K$852,10,0)-VLOOKUP($D1630,[1]Balanza!$A$3:$K$852,11,0),0)</f>
        <v>0</v>
      </c>
    </row>
    <row r="1631" spans="1:6" x14ac:dyDescent="0.3">
      <c r="A1631" s="2" t="s">
        <v>2797</v>
      </c>
      <c r="B1631" s="2" t="s">
        <v>2255</v>
      </c>
      <c r="C1631" t="s">
        <v>3086</v>
      </c>
      <c r="D1631" s="5" t="s">
        <v>4715</v>
      </c>
      <c r="E1631" s="6">
        <f>IFERROR(VLOOKUP($D1631,[1]Balanza!$A$3:$K$852,6,0)-VLOOKUP(D1631,[1]Balanza!$A$3:$K$852,7,0),0)</f>
        <v>0</v>
      </c>
      <c r="F1631" s="6">
        <f>IFERROR(VLOOKUP($D1631,[1]Balanza!$A$3:$K$852,10,0)-VLOOKUP($D1631,[1]Balanza!$A$3:$K$852,11,0),0)</f>
        <v>0</v>
      </c>
    </row>
    <row r="1632" spans="1:6" x14ac:dyDescent="0.3">
      <c r="A1632" s="2" t="s">
        <v>2798</v>
      </c>
      <c r="B1632" s="2" t="s">
        <v>2257</v>
      </c>
      <c r="C1632" t="s">
        <v>3086</v>
      </c>
      <c r="D1632" s="5" t="s">
        <v>4716</v>
      </c>
      <c r="E1632" s="6">
        <f>IFERROR(VLOOKUP($D1632,[1]Balanza!$A$3:$K$852,6,0)-VLOOKUP(D1632,[1]Balanza!$A$3:$K$852,7,0),0)</f>
        <v>0</v>
      </c>
      <c r="F1632" s="6">
        <f>IFERROR(VLOOKUP($D1632,[1]Balanza!$A$3:$K$852,10,0)-VLOOKUP($D1632,[1]Balanza!$A$3:$K$852,11,0),0)</f>
        <v>0</v>
      </c>
    </row>
    <row r="1633" spans="1:6" x14ac:dyDescent="0.3">
      <c r="A1633" s="2" t="s">
        <v>2799</v>
      </c>
      <c r="B1633" s="2" t="s">
        <v>2259</v>
      </c>
      <c r="C1633" t="s">
        <v>3086</v>
      </c>
      <c r="D1633" s="5" t="s">
        <v>4717</v>
      </c>
      <c r="E1633" s="6">
        <f>IFERROR(VLOOKUP($D1633,[1]Balanza!$A$3:$K$852,6,0)-VLOOKUP(D1633,[1]Balanza!$A$3:$K$852,7,0),0)</f>
        <v>0</v>
      </c>
      <c r="F1633" s="6">
        <f>IFERROR(VLOOKUP($D1633,[1]Balanza!$A$3:$K$852,10,0)-VLOOKUP($D1633,[1]Balanza!$A$3:$K$852,11,0),0)</f>
        <v>0</v>
      </c>
    </row>
    <row r="1634" spans="1:6" x14ac:dyDescent="0.3">
      <c r="A1634" s="2" t="s">
        <v>2800</v>
      </c>
      <c r="B1634" s="2" t="s">
        <v>2801</v>
      </c>
      <c r="C1634" t="s">
        <v>3086</v>
      </c>
      <c r="D1634" s="5" t="s">
        <v>4718</v>
      </c>
      <c r="E1634" s="6">
        <f>IFERROR(VLOOKUP($D1634,[1]Balanza!$A$3:$K$852,6,0)-VLOOKUP(D1634,[1]Balanza!$A$3:$K$852,7,0),0)</f>
        <v>0</v>
      </c>
      <c r="F1634" s="6">
        <f>IFERROR(VLOOKUP($D1634,[1]Balanza!$A$3:$K$852,10,0)-VLOOKUP($D1634,[1]Balanza!$A$3:$K$852,11,0),0)</f>
        <v>0</v>
      </c>
    </row>
    <row r="1635" spans="1:6" x14ac:dyDescent="0.3">
      <c r="A1635" s="2" t="s">
        <v>2802</v>
      </c>
      <c r="B1635" s="2" t="s">
        <v>2263</v>
      </c>
      <c r="C1635" t="s">
        <v>3086</v>
      </c>
      <c r="D1635" s="5" t="s">
        <v>4719</v>
      </c>
      <c r="E1635" s="6">
        <f>IFERROR(VLOOKUP($D1635,[1]Balanza!$A$3:$K$852,6,0)-VLOOKUP(D1635,[1]Balanza!$A$3:$K$852,7,0),0)</f>
        <v>3347.9</v>
      </c>
      <c r="F1635" s="6">
        <f>IFERROR(VLOOKUP($D1635,[1]Balanza!$A$3:$K$852,10,0)-VLOOKUP($D1635,[1]Balanza!$A$3:$K$852,11,0),0)</f>
        <v>0</v>
      </c>
    </row>
    <row r="1636" spans="1:6" x14ac:dyDescent="0.3">
      <c r="A1636" s="2" t="s">
        <v>2803</v>
      </c>
      <c r="B1636" s="2" t="s">
        <v>2263</v>
      </c>
      <c r="C1636" t="s">
        <v>3086</v>
      </c>
      <c r="D1636" s="5" t="s">
        <v>4720</v>
      </c>
      <c r="E1636" s="6">
        <f>IFERROR(VLOOKUP($D1636,[1]Balanza!$A$3:$K$852,6,0)-VLOOKUP(D1636,[1]Balanza!$A$3:$K$852,7,0),0)</f>
        <v>0</v>
      </c>
      <c r="F1636" s="6">
        <f>IFERROR(VLOOKUP($D1636,[1]Balanza!$A$3:$K$852,10,0)-VLOOKUP($D1636,[1]Balanza!$A$3:$K$852,11,0),0)</f>
        <v>0</v>
      </c>
    </row>
    <row r="1637" spans="1:6" x14ac:dyDescent="0.3">
      <c r="A1637" s="2" t="s">
        <v>2804</v>
      </c>
      <c r="B1637" s="2" t="s">
        <v>2267</v>
      </c>
      <c r="C1637" t="s">
        <v>3086</v>
      </c>
      <c r="D1637" s="5" t="s">
        <v>4721</v>
      </c>
      <c r="E1637" s="6">
        <f>IFERROR(VLOOKUP($D1637,[1]Balanza!$A$3:$K$852,6,0)-VLOOKUP(D1637,[1]Balanza!$A$3:$K$852,7,0),0)</f>
        <v>0</v>
      </c>
      <c r="F1637" s="6">
        <f>IFERROR(VLOOKUP($D1637,[1]Balanza!$A$3:$K$852,10,0)-VLOOKUP($D1637,[1]Balanza!$A$3:$K$852,11,0),0)</f>
        <v>0</v>
      </c>
    </row>
    <row r="1638" spans="1:6" x14ac:dyDescent="0.3">
      <c r="A1638" s="2" t="s">
        <v>2805</v>
      </c>
      <c r="B1638" s="2" t="s">
        <v>2269</v>
      </c>
      <c r="C1638" t="s">
        <v>3086</v>
      </c>
      <c r="D1638" s="5" t="s">
        <v>4722</v>
      </c>
      <c r="E1638" s="6">
        <f>IFERROR(VLOOKUP($D1638,[1]Balanza!$A$3:$K$852,6,0)-VLOOKUP(D1638,[1]Balanza!$A$3:$K$852,7,0),0)</f>
        <v>7499.28</v>
      </c>
      <c r="F1638" s="6">
        <f>IFERROR(VLOOKUP($D1638,[1]Balanza!$A$3:$K$852,10,0)-VLOOKUP($D1638,[1]Balanza!$A$3:$K$852,11,0),0)</f>
        <v>0</v>
      </c>
    </row>
    <row r="1639" spans="1:6" x14ac:dyDescent="0.3">
      <c r="A1639" s="2" t="s">
        <v>2806</v>
      </c>
      <c r="B1639" s="2" t="s">
        <v>2271</v>
      </c>
      <c r="C1639" t="s">
        <v>3086</v>
      </c>
      <c r="D1639" s="5" t="s">
        <v>4723</v>
      </c>
      <c r="E1639" s="6">
        <f>IFERROR(VLOOKUP($D1639,[1]Balanza!$A$3:$K$852,6,0)-VLOOKUP(D1639,[1]Balanza!$A$3:$K$852,7,0),0)</f>
        <v>0</v>
      </c>
      <c r="F1639" s="6">
        <f>IFERROR(VLOOKUP($D1639,[1]Balanza!$A$3:$K$852,10,0)-VLOOKUP($D1639,[1]Balanza!$A$3:$K$852,11,0),0)</f>
        <v>0</v>
      </c>
    </row>
    <row r="1640" spans="1:6" x14ac:dyDescent="0.3">
      <c r="A1640" s="2" t="s">
        <v>2807</v>
      </c>
      <c r="B1640" s="2" t="s">
        <v>2271</v>
      </c>
      <c r="C1640" t="s">
        <v>3086</v>
      </c>
      <c r="D1640" s="5" t="s">
        <v>4724</v>
      </c>
      <c r="E1640" s="6">
        <f>IFERROR(VLOOKUP($D1640,[1]Balanza!$A$3:$K$852,6,0)-VLOOKUP(D1640,[1]Balanza!$A$3:$K$852,7,0),0)</f>
        <v>0</v>
      </c>
      <c r="F1640" s="6">
        <f>IFERROR(VLOOKUP($D1640,[1]Balanza!$A$3:$K$852,10,0)-VLOOKUP($D1640,[1]Balanza!$A$3:$K$852,11,0),0)</f>
        <v>0</v>
      </c>
    </row>
    <row r="1641" spans="1:6" x14ac:dyDescent="0.3">
      <c r="A1641" s="2" t="s">
        <v>4869</v>
      </c>
      <c r="B1641" s="2"/>
      <c r="C1641" t="s">
        <v>3086</v>
      </c>
      <c r="D1641" s="5" t="s">
        <v>4871</v>
      </c>
      <c r="E1641" s="6">
        <f>IFERROR(VLOOKUP($D1641,[1]Balanza!$A$3:$K$852,6,0)-VLOOKUP(D1641,[1]Balanza!$A$3:$K$852,7,0),0)</f>
        <v>0</v>
      </c>
      <c r="F1641" s="6">
        <f>IFERROR(VLOOKUP($D1641,[1]Balanza!$A$3:$K$852,10,0)-VLOOKUP($D1641,[1]Balanza!$A$3:$K$852,11,0),0)</f>
        <v>0</v>
      </c>
    </row>
    <row r="1642" spans="1:6" x14ac:dyDescent="0.3">
      <c r="A1642" s="2" t="s">
        <v>4868</v>
      </c>
      <c r="B1642" s="2" t="s">
        <v>4866</v>
      </c>
      <c r="C1642" t="s">
        <v>3086</v>
      </c>
      <c r="D1642" s="5" t="s">
        <v>4872</v>
      </c>
      <c r="E1642" s="6">
        <f>IFERROR(VLOOKUP($D1642,[1]Balanza!$A$3:$K$852,6,0)-VLOOKUP(D1642,[1]Balanza!$A$3:$K$852,7,0),0)</f>
        <v>3749.64</v>
      </c>
      <c r="F1642" s="6">
        <f>IFERROR(VLOOKUP($D1642,[1]Balanza!$A$3:$K$852,10,0)-VLOOKUP($D1642,[1]Balanza!$A$3:$K$852,11,0),0)</f>
        <v>0</v>
      </c>
    </row>
    <row r="1643" spans="1:6" x14ac:dyDescent="0.3">
      <c r="A1643" s="2" t="s">
        <v>2808</v>
      </c>
      <c r="B1643" s="2" t="s">
        <v>4867</v>
      </c>
      <c r="C1643" t="s">
        <v>3086</v>
      </c>
      <c r="D1643" s="5" t="s">
        <v>4725</v>
      </c>
      <c r="E1643" s="6">
        <f>IFERROR(VLOOKUP($D1643,[1]Balanza!$A$3:$K$852,6,0)-VLOOKUP(D1643,[1]Balanza!$A$3:$K$852,7,0),0)</f>
        <v>0</v>
      </c>
      <c r="F1643" s="6">
        <f>IFERROR(VLOOKUP($D1643,[1]Balanza!$A$3:$K$852,10,0)-VLOOKUP($D1643,[1]Balanza!$A$3:$K$852,11,0),0)</f>
        <v>0</v>
      </c>
    </row>
    <row r="1644" spans="1:6" x14ac:dyDescent="0.3">
      <c r="A1644" s="2" t="s">
        <v>4870</v>
      </c>
      <c r="B1644" s="2"/>
      <c r="C1644" t="s">
        <v>3086</v>
      </c>
      <c r="D1644" s="5" t="s">
        <v>4873</v>
      </c>
      <c r="E1644" s="6">
        <f>IFERROR(VLOOKUP($D1644,[1]Balanza!$A$3:$K$852,6,0)-VLOOKUP(D1644,[1]Balanza!$A$3:$K$852,7,0),0)</f>
        <v>0</v>
      </c>
      <c r="F1644" s="6">
        <f>IFERROR(VLOOKUP($D1644,[1]Balanza!$A$3:$K$852,10,0)-VLOOKUP($D1644,[1]Balanza!$A$3:$K$852,11,0),0)</f>
        <v>0</v>
      </c>
    </row>
    <row r="1645" spans="1:6" x14ac:dyDescent="0.3">
      <c r="A1645" s="2" t="s">
        <v>2809</v>
      </c>
      <c r="B1645" s="2" t="s">
        <v>2283</v>
      </c>
      <c r="C1645" t="s">
        <v>3086</v>
      </c>
      <c r="D1645" s="5" t="s">
        <v>4726</v>
      </c>
      <c r="E1645" s="6">
        <f>IFERROR(VLOOKUP($D1645,[1]Balanza!$A$3:$K$852,6,0)-VLOOKUP(D1645,[1]Balanza!$A$3:$K$852,7,0),0)</f>
        <v>0</v>
      </c>
      <c r="F1645" s="6">
        <f>IFERROR(VLOOKUP($D1645,[1]Balanza!$A$3:$K$852,10,0)-VLOOKUP($D1645,[1]Balanza!$A$3:$K$852,11,0),0)</f>
        <v>0</v>
      </c>
    </row>
    <row r="1646" spans="1:6" x14ac:dyDescent="0.3">
      <c r="A1646" s="2" t="s">
        <v>2810</v>
      </c>
      <c r="B1646" s="2" t="s">
        <v>2285</v>
      </c>
      <c r="C1646" t="s">
        <v>3086</v>
      </c>
      <c r="D1646" s="5" t="s">
        <v>4727</v>
      </c>
      <c r="E1646" s="6">
        <f>IFERROR(VLOOKUP($D1646,[1]Balanza!$A$3:$K$852,6,0)-VLOOKUP(D1646,[1]Balanza!$A$3:$K$852,7,0),0)</f>
        <v>0</v>
      </c>
      <c r="F1646" s="6">
        <f>IFERROR(VLOOKUP($D1646,[1]Balanza!$A$3:$K$852,10,0)-VLOOKUP($D1646,[1]Balanza!$A$3:$K$852,11,0),0)</f>
        <v>0</v>
      </c>
    </row>
    <row r="1647" spans="1:6" x14ac:dyDescent="0.3">
      <c r="A1647" s="2" t="s">
        <v>2811</v>
      </c>
      <c r="B1647" s="2" t="s">
        <v>2454</v>
      </c>
      <c r="C1647" t="s">
        <v>3086</v>
      </c>
      <c r="D1647" s="5" t="s">
        <v>4728</v>
      </c>
      <c r="E1647" s="6">
        <f>IFERROR(VLOOKUP($D1647,[1]Balanza!$A$3:$K$852,6,0)-VLOOKUP(D1647,[1]Balanza!$A$3:$K$852,7,0),0)</f>
        <v>7953.28</v>
      </c>
      <c r="F1647" s="6">
        <f>IFERROR(VLOOKUP($D1647,[1]Balanza!$A$3:$K$852,10,0)-VLOOKUP($D1647,[1]Balanza!$A$3:$K$852,11,0),0)</f>
        <v>0</v>
      </c>
    </row>
    <row r="1648" spans="1:6" x14ac:dyDescent="0.3">
      <c r="A1648" s="2" t="s">
        <v>2812</v>
      </c>
      <c r="B1648" s="2" t="s">
        <v>2456</v>
      </c>
      <c r="C1648" t="s">
        <v>3086</v>
      </c>
      <c r="D1648" s="5" t="s">
        <v>4729</v>
      </c>
      <c r="E1648" s="6">
        <f>IFERROR(VLOOKUP($D1648,[1]Balanza!$A$3:$K$852,6,0)-VLOOKUP(D1648,[1]Balanza!$A$3:$K$852,7,0),0)</f>
        <v>0</v>
      </c>
      <c r="F1648" s="6">
        <f>IFERROR(VLOOKUP($D1648,[1]Balanza!$A$3:$K$852,10,0)-VLOOKUP($D1648,[1]Balanza!$A$3:$K$852,11,0),0)</f>
        <v>0</v>
      </c>
    </row>
    <row r="1649" spans="1:6" x14ac:dyDescent="0.3">
      <c r="A1649" s="2" t="s">
        <v>2813</v>
      </c>
      <c r="B1649" s="2" t="s">
        <v>2671</v>
      </c>
      <c r="C1649" t="s">
        <v>3086</v>
      </c>
      <c r="D1649" s="5" t="s">
        <v>4730</v>
      </c>
      <c r="E1649" s="6">
        <f>IFERROR(VLOOKUP($D1649,[1]Balanza!$A$3:$K$852,6,0)-VLOOKUP(D1649,[1]Balanza!$A$3:$K$852,7,0),0)</f>
        <v>0</v>
      </c>
      <c r="F1649" s="6">
        <f>IFERROR(VLOOKUP($D1649,[1]Balanza!$A$3:$K$852,10,0)-VLOOKUP($D1649,[1]Balanza!$A$3:$K$852,11,0),0)</f>
        <v>0</v>
      </c>
    </row>
    <row r="1650" spans="1:6" x14ac:dyDescent="0.3">
      <c r="A1650" s="2" t="s">
        <v>2814</v>
      </c>
      <c r="B1650" s="2" t="s">
        <v>2267</v>
      </c>
      <c r="C1650" t="s">
        <v>3086</v>
      </c>
      <c r="D1650" s="5" t="s">
        <v>4731</v>
      </c>
      <c r="E1650" s="6">
        <f>IFERROR(VLOOKUP($D1650,[1]Balanza!$A$3:$K$852,6,0)-VLOOKUP(D1650,[1]Balanza!$A$3:$K$852,7,0),0)</f>
        <v>0</v>
      </c>
      <c r="F1650" s="6">
        <f>IFERROR(VLOOKUP($D1650,[1]Balanza!$A$3:$K$852,10,0)-VLOOKUP($D1650,[1]Balanza!$A$3:$K$852,11,0),0)</f>
        <v>0</v>
      </c>
    </row>
    <row r="1651" spans="1:6" x14ac:dyDescent="0.3">
      <c r="A1651" s="2" t="s">
        <v>2815</v>
      </c>
      <c r="B1651" s="2" t="s">
        <v>1822</v>
      </c>
      <c r="C1651" t="s">
        <v>3086</v>
      </c>
      <c r="D1651" s="5" t="s">
        <v>4732</v>
      </c>
      <c r="E1651" s="6">
        <f>IFERROR(VLOOKUP($D1651,[1]Balanza!$A$3:$K$852,6,0)-VLOOKUP(D1651,[1]Balanza!$A$3:$K$852,7,0),0)</f>
        <v>0</v>
      </c>
      <c r="F1651" s="6">
        <f>IFERROR(VLOOKUP($D1651,[1]Balanza!$A$3:$K$852,10,0)-VLOOKUP($D1651,[1]Balanza!$A$3:$K$852,11,0),0)</f>
        <v>0</v>
      </c>
    </row>
    <row r="1652" spans="1:6" x14ac:dyDescent="0.3">
      <c r="A1652" s="2" t="s">
        <v>2816</v>
      </c>
      <c r="B1652" s="2" t="s">
        <v>2817</v>
      </c>
      <c r="C1652" t="s">
        <v>3086</v>
      </c>
      <c r="D1652" s="5" t="s">
        <v>4733</v>
      </c>
      <c r="E1652" s="6">
        <f>IFERROR(VLOOKUP($D1652,[1]Balanza!$A$3:$K$852,6,0)-VLOOKUP(D1652,[1]Balanza!$A$3:$K$852,7,0),0)</f>
        <v>0</v>
      </c>
      <c r="F1652" s="6">
        <f>IFERROR(VLOOKUP($D1652,[1]Balanza!$A$3:$K$852,10,0)-VLOOKUP($D1652,[1]Balanza!$A$3:$K$852,11,0),0)</f>
        <v>0</v>
      </c>
    </row>
    <row r="1653" spans="1:6" x14ac:dyDescent="0.3">
      <c r="A1653" s="2" t="s">
        <v>2818</v>
      </c>
      <c r="B1653" s="2" t="s">
        <v>2819</v>
      </c>
      <c r="C1653" t="s">
        <v>3086</v>
      </c>
      <c r="D1653" s="5" t="s">
        <v>4734</v>
      </c>
      <c r="E1653" s="6">
        <f>IFERROR(VLOOKUP($D1653,[1]Balanza!$A$3:$K$852,6,0)-VLOOKUP(D1653,[1]Balanza!$A$3:$K$852,7,0),0)</f>
        <v>446757.83</v>
      </c>
      <c r="F1653" s="6">
        <f>IFERROR(VLOOKUP($D1653,[1]Balanza!$A$3:$K$852,10,0)-VLOOKUP($D1653,[1]Balanza!$A$3:$K$852,11,0),0)</f>
        <v>0</v>
      </c>
    </row>
    <row r="1654" spans="1:6" x14ac:dyDescent="0.3">
      <c r="A1654" s="2" t="s">
        <v>2820</v>
      </c>
      <c r="B1654" s="2" t="s">
        <v>1828</v>
      </c>
      <c r="C1654" t="s">
        <v>3086</v>
      </c>
      <c r="D1654" s="5" t="s">
        <v>4735</v>
      </c>
      <c r="E1654" s="6">
        <f>IFERROR(VLOOKUP($D1654,[1]Balanza!$A$3:$K$852,6,0)-VLOOKUP(D1654,[1]Balanza!$A$3:$K$852,7,0),0)</f>
        <v>0</v>
      </c>
      <c r="F1654" s="6">
        <f>IFERROR(VLOOKUP($D1654,[1]Balanza!$A$3:$K$852,10,0)-VLOOKUP($D1654,[1]Balanza!$A$3:$K$852,11,0),0)</f>
        <v>0</v>
      </c>
    </row>
    <row r="1655" spans="1:6" x14ac:dyDescent="0.3">
      <c r="A1655" s="2" t="s">
        <v>4909</v>
      </c>
      <c r="B1655" s="2" t="s">
        <v>4910</v>
      </c>
      <c r="C1655" t="s">
        <v>3086</v>
      </c>
      <c r="D1655" s="5" t="s">
        <v>4911</v>
      </c>
      <c r="E1655" s="6">
        <f>IFERROR(VLOOKUP($D1655,[1]Balanza!$A$3:$K$852,6,0)-VLOOKUP(D1655,[1]Balanza!$A$3:$K$852,7,0),0)</f>
        <v>0</v>
      </c>
      <c r="F1655" s="6">
        <f>IFERROR(VLOOKUP($D1655,[1]Balanza!$A$3:$K$852,10,0)-VLOOKUP($D1655,[1]Balanza!$A$3:$K$852,11,0),0)</f>
        <v>130000</v>
      </c>
    </row>
    <row r="1656" spans="1:6" x14ac:dyDescent="0.3">
      <c r="A1656" s="2" t="s">
        <v>2821</v>
      </c>
      <c r="B1656" s="2" t="s">
        <v>2822</v>
      </c>
      <c r="C1656" t="s">
        <v>3086</v>
      </c>
      <c r="D1656" s="5" t="s">
        <v>4736</v>
      </c>
      <c r="E1656" s="6">
        <f>IFERROR(VLOOKUP($D1656,[1]Balanza!$A$3:$K$852,6,0)-VLOOKUP(D1656,[1]Balanza!$A$3:$K$852,7,0),0)</f>
        <v>7411.12</v>
      </c>
      <c r="F1656" s="6">
        <f>IFERROR(VLOOKUP($D1656,[1]Balanza!$A$3:$K$852,10,0)-VLOOKUP($D1656,[1]Balanza!$A$3:$K$852,11,0),0)</f>
        <v>0</v>
      </c>
    </row>
    <row r="1657" spans="1:6" x14ac:dyDescent="0.3">
      <c r="A1657" s="2" t="s">
        <v>2823</v>
      </c>
      <c r="B1657" s="2" t="s">
        <v>1835</v>
      </c>
      <c r="C1657" t="s">
        <v>3086</v>
      </c>
      <c r="D1657" s="5" t="s">
        <v>4737</v>
      </c>
      <c r="E1657" s="6">
        <f>IFERROR(VLOOKUP($D1657,[1]Balanza!$A$3:$K$852,6,0)-VLOOKUP(D1657,[1]Balanza!$A$3:$K$852,7,0),0)</f>
        <v>8752.66</v>
      </c>
      <c r="F1657" s="6">
        <f>IFERROR(VLOOKUP($D1657,[1]Balanza!$A$3:$K$852,10,0)-VLOOKUP($D1657,[1]Balanza!$A$3:$K$852,11,0),0)</f>
        <v>0</v>
      </c>
    </row>
    <row r="1658" spans="1:6" x14ac:dyDescent="0.3">
      <c r="A1658" s="2" t="s">
        <v>2824</v>
      </c>
      <c r="B1658" s="2" t="s">
        <v>1837</v>
      </c>
      <c r="C1658" t="s">
        <v>3086</v>
      </c>
      <c r="D1658" s="5" t="s">
        <v>4738</v>
      </c>
      <c r="E1658" s="6">
        <f>IFERROR(VLOOKUP($D1658,[1]Balanza!$A$3:$K$852,6,0)-VLOOKUP(D1658,[1]Balanza!$A$3:$K$852,7,0),0)</f>
        <v>13700.23</v>
      </c>
      <c r="F1658" s="6">
        <f>IFERROR(VLOOKUP($D1658,[1]Balanza!$A$3:$K$852,10,0)-VLOOKUP($D1658,[1]Balanza!$A$3:$K$852,11,0),0)</f>
        <v>0</v>
      </c>
    </row>
    <row r="1659" spans="1:6" x14ac:dyDescent="0.3">
      <c r="A1659" s="2" t="s">
        <v>2825</v>
      </c>
      <c r="B1659" s="2" t="s">
        <v>2782</v>
      </c>
      <c r="C1659" t="s">
        <v>3086</v>
      </c>
      <c r="D1659" s="5" t="s">
        <v>4739</v>
      </c>
      <c r="E1659" s="6">
        <f>IFERROR(VLOOKUP($D1659,[1]Balanza!$A$3:$K$852,6,0)-VLOOKUP(D1659,[1]Balanza!$A$3:$K$852,7,0),0)</f>
        <v>3037.1</v>
      </c>
      <c r="F1659" s="6">
        <f>IFERROR(VLOOKUP($D1659,[1]Balanza!$A$3:$K$852,10,0)-VLOOKUP($D1659,[1]Balanza!$A$3:$K$852,11,0),0)</f>
        <v>0</v>
      </c>
    </row>
    <row r="1660" spans="1:6" x14ac:dyDescent="0.3">
      <c r="A1660" s="1" t="s">
        <v>2826</v>
      </c>
      <c r="B1660" s="1" t="s">
        <v>2827</v>
      </c>
      <c r="C1660" t="s">
        <v>3029</v>
      </c>
      <c r="D1660" s="5" t="s">
        <v>4740</v>
      </c>
      <c r="E1660" s="6">
        <f>IFERROR(VLOOKUP($D1660,[1]Balanza!$A$3:$K$852,6,0)-VLOOKUP(D1660,[1]Balanza!$A$3:$K$852,7,0),0)</f>
        <v>0</v>
      </c>
      <c r="F1660" s="6">
        <f>IFERROR(VLOOKUP($D1660,[1]Balanza!$A$3:$K$852,10,0)-VLOOKUP($D1660,[1]Balanza!$A$3:$K$852,11,0),0)</f>
        <v>0</v>
      </c>
    </row>
    <row r="1661" spans="1:6" x14ac:dyDescent="0.3">
      <c r="A1661" s="2" t="s">
        <v>2828</v>
      </c>
      <c r="B1661" s="2" t="s">
        <v>2827</v>
      </c>
      <c r="C1661" t="s">
        <v>2281</v>
      </c>
      <c r="D1661" s="5" t="s">
        <v>4741</v>
      </c>
      <c r="E1661" s="6">
        <f>IFERROR(VLOOKUP($D1661,[1]Balanza!$A$3:$K$852,6,0)-VLOOKUP(D1661,[1]Balanza!$A$3:$K$852,7,0),0)</f>
        <v>0</v>
      </c>
      <c r="F1661" s="6">
        <f>IFERROR(VLOOKUP($D1661,[1]Balanza!$A$3:$K$852,10,0)-VLOOKUP($D1661,[1]Balanza!$A$3:$K$852,11,0),0)</f>
        <v>0</v>
      </c>
    </row>
    <row r="1662" spans="1:6" x14ac:dyDescent="0.3">
      <c r="A1662" s="2" t="s">
        <v>2829</v>
      </c>
      <c r="B1662" s="2" t="s">
        <v>2830</v>
      </c>
      <c r="C1662" t="s">
        <v>3029</v>
      </c>
      <c r="D1662" s="5" t="s">
        <v>4742</v>
      </c>
      <c r="E1662" s="6">
        <f>IFERROR(VLOOKUP($D1662,[1]Balanza!$A$3:$K$852,6,0)-VLOOKUP(D1662,[1]Balanza!$A$3:$K$852,7,0),0)</f>
        <v>0</v>
      </c>
      <c r="F1662" s="6">
        <f>IFERROR(VLOOKUP($D1662,[1]Balanza!$A$3:$K$852,10,0)-VLOOKUP($D1662,[1]Balanza!$A$3:$K$852,11,0),0)</f>
        <v>0</v>
      </c>
    </row>
    <row r="1663" spans="1:6" x14ac:dyDescent="0.3">
      <c r="A1663" s="1" t="s">
        <v>2831</v>
      </c>
      <c r="B1663" s="1" t="s">
        <v>2832</v>
      </c>
      <c r="C1663" t="s">
        <v>3076</v>
      </c>
      <c r="D1663" s="5" t="s">
        <v>4743</v>
      </c>
      <c r="E1663" s="6">
        <f>IFERROR(VLOOKUP($D1663,[1]Balanza!$A$3:$K$852,6,0)-VLOOKUP(D1663,[1]Balanza!$A$3:$K$852,7,0),0)</f>
        <v>0</v>
      </c>
      <c r="F1663" s="6">
        <f>IFERROR(VLOOKUP($D1663,[1]Balanza!$A$3:$K$852,10,0)-VLOOKUP($D1663,[1]Balanza!$A$3:$K$852,11,0),0)</f>
        <v>2826.5</v>
      </c>
    </row>
    <row r="1664" spans="1:6" x14ac:dyDescent="0.3">
      <c r="A1664" s="1" t="s">
        <v>2833</v>
      </c>
      <c r="B1664" s="1" t="s">
        <v>2834</v>
      </c>
      <c r="C1664" t="s">
        <v>3076</v>
      </c>
      <c r="D1664" s="5" t="s">
        <v>4744</v>
      </c>
      <c r="E1664" s="6">
        <f>IFERROR(VLOOKUP($D1664,[1]Balanza!$A$3:$K$852,6,0)-VLOOKUP(D1664,[1]Balanza!$A$3:$K$852,7,0),0)</f>
        <v>0</v>
      </c>
      <c r="F1664" s="6">
        <f>IFERROR(VLOOKUP($D1664,[1]Balanza!$A$3:$K$852,10,0)-VLOOKUP($D1664,[1]Balanza!$A$3:$K$852,11,0),0)</f>
        <v>0</v>
      </c>
    </row>
    <row r="1665" spans="1:6" x14ac:dyDescent="0.3">
      <c r="A1665" s="1" t="s">
        <v>2835</v>
      </c>
      <c r="B1665" s="1" t="s">
        <v>2836</v>
      </c>
      <c r="C1665" t="s">
        <v>3029</v>
      </c>
      <c r="D1665" s="5" t="s">
        <v>4745</v>
      </c>
      <c r="E1665" s="6">
        <f>IFERROR(VLOOKUP($D1665,[1]Balanza!$A$3:$K$852,6,0)-VLOOKUP(D1665,[1]Balanza!$A$3:$K$852,7,0),0)</f>
        <v>0</v>
      </c>
      <c r="F1665" s="6">
        <f>IFERROR(VLOOKUP($D1665,[1]Balanza!$A$3:$K$852,10,0)-VLOOKUP($D1665,[1]Balanza!$A$3:$K$852,11,0),0)</f>
        <v>0</v>
      </c>
    </row>
    <row r="1666" spans="1:6" x14ac:dyDescent="0.3">
      <c r="A1666" s="2" t="s">
        <v>2837</v>
      </c>
      <c r="B1666" s="2" t="s">
        <v>2836</v>
      </c>
      <c r="C1666" t="s">
        <v>3090</v>
      </c>
      <c r="D1666" s="5" t="s">
        <v>4746</v>
      </c>
      <c r="E1666" s="6">
        <f>IFERROR(VLOOKUP($D1666,[1]Balanza!$A$3:$K$852,6,0)-VLOOKUP(D1666,[1]Balanza!$A$3:$K$852,7,0),0)</f>
        <v>0</v>
      </c>
      <c r="F1666" s="6">
        <f>IFERROR(VLOOKUP($D1666,[1]Balanza!$A$3:$K$852,10,0)-VLOOKUP($D1666,[1]Balanza!$A$3:$K$852,11,0),0)</f>
        <v>0</v>
      </c>
    </row>
    <row r="1667" spans="1:6" x14ac:dyDescent="0.3">
      <c r="A1667" s="1" t="s">
        <v>2838</v>
      </c>
      <c r="B1667" s="1" t="s">
        <v>2839</v>
      </c>
      <c r="C1667" t="s">
        <v>3029</v>
      </c>
      <c r="D1667" s="5" t="s">
        <v>4747</v>
      </c>
      <c r="E1667" s="6">
        <f>IFERROR(VLOOKUP($D1667,[1]Balanza!$A$3:$K$852,6,0)-VLOOKUP(D1667,[1]Balanza!$A$3:$K$852,7,0),0)</f>
        <v>0</v>
      </c>
      <c r="F1667" s="6">
        <f>IFERROR(VLOOKUP($D1667,[1]Balanza!$A$3:$K$852,10,0)-VLOOKUP($D1667,[1]Balanza!$A$3:$K$852,11,0),0)</f>
        <v>0</v>
      </c>
    </row>
    <row r="1668" spans="1:6" x14ac:dyDescent="0.3">
      <c r="A1668" s="2" t="s">
        <v>2840</v>
      </c>
      <c r="B1668" s="2" t="s">
        <v>2839</v>
      </c>
      <c r="C1668" t="s">
        <v>3090</v>
      </c>
      <c r="D1668" s="5" t="s">
        <v>4748</v>
      </c>
      <c r="E1668" s="6">
        <f>IFERROR(VLOOKUP($D1668,[1]Balanza!$A$3:$K$852,6,0)-VLOOKUP(D1668,[1]Balanza!$A$3:$K$852,7,0),0)</f>
        <v>0</v>
      </c>
      <c r="F1668" s="6">
        <f>IFERROR(VLOOKUP($D1668,[1]Balanza!$A$3:$K$852,10,0)-VLOOKUP($D1668,[1]Balanza!$A$3:$K$852,11,0),0)</f>
        <v>0</v>
      </c>
    </row>
    <row r="1669" spans="1:6" x14ac:dyDescent="0.3">
      <c r="A1669" s="1" t="s">
        <v>2841</v>
      </c>
      <c r="B1669" s="1" t="s">
        <v>2842</v>
      </c>
      <c r="C1669" t="s">
        <v>3029</v>
      </c>
      <c r="D1669" s="5" t="s">
        <v>4749</v>
      </c>
      <c r="E1669" s="6">
        <f>IFERROR(VLOOKUP($D1669,[1]Balanza!$A$3:$K$852,6,0)-VLOOKUP(D1669,[1]Balanza!$A$3:$K$852,7,0),0)</f>
        <v>0</v>
      </c>
      <c r="F1669" s="6">
        <f>IFERROR(VLOOKUP($D1669,[1]Balanza!$A$3:$K$852,10,0)-VLOOKUP($D1669,[1]Balanza!$A$3:$K$852,11,0),0)</f>
        <v>0</v>
      </c>
    </row>
    <row r="1670" spans="1:6" x14ac:dyDescent="0.3">
      <c r="A1670" s="2" t="s">
        <v>2843</v>
      </c>
      <c r="B1670" s="2" t="s">
        <v>2842</v>
      </c>
      <c r="C1670" t="s">
        <v>3090</v>
      </c>
      <c r="D1670" s="5" t="s">
        <v>4750</v>
      </c>
      <c r="E1670" s="6">
        <f>IFERROR(VLOOKUP($D1670,[1]Balanza!$A$3:$K$852,6,0)-VLOOKUP(D1670,[1]Balanza!$A$3:$K$852,7,0),0)</f>
        <v>0</v>
      </c>
      <c r="F1670" s="6">
        <f>IFERROR(VLOOKUP($D1670,[1]Balanza!$A$3:$K$852,10,0)-VLOOKUP($D1670,[1]Balanza!$A$3:$K$852,11,0),0)</f>
        <v>0</v>
      </c>
    </row>
    <row r="1671" spans="1:6" x14ac:dyDescent="0.3">
      <c r="A1671" s="2" t="s">
        <v>2844</v>
      </c>
      <c r="B1671" s="2" t="s">
        <v>2845</v>
      </c>
      <c r="C1671" t="s">
        <v>3090</v>
      </c>
      <c r="D1671" s="5" t="s">
        <v>4751</v>
      </c>
      <c r="E1671" s="6">
        <f>IFERROR(VLOOKUP($D1671,[1]Balanza!$A$3:$K$852,6,0)-VLOOKUP(D1671,[1]Balanza!$A$3:$K$852,7,0),0)</f>
        <v>0</v>
      </c>
      <c r="F1671" s="6">
        <f>IFERROR(VLOOKUP($D1671,[1]Balanza!$A$3:$K$852,10,0)-VLOOKUP($D1671,[1]Balanza!$A$3:$K$852,11,0),0)</f>
        <v>0</v>
      </c>
    </row>
    <row r="1672" spans="1:6" x14ac:dyDescent="0.3">
      <c r="A1672" s="1" t="s">
        <v>2846</v>
      </c>
      <c r="B1672" s="1" t="s">
        <v>2847</v>
      </c>
      <c r="C1672" t="s">
        <v>3029</v>
      </c>
      <c r="D1672" s="5" t="s">
        <v>4752</v>
      </c>
      <c r="E1672" s="6">
        <f>IFERROR(VLOOKUP($D1672,[1]Balanza!$A$3:$K$852,6,0)-VLOOKUP(D1672,[1]Balanza!$A$3:$K$852,7,0),0)</f>
        <v>0</v>
      </c>
      <c r="F1672" s="6">
        <f>IFERROR(VLOOKUP($D1672,[1]Balanza!$A$3:$K$852,10,0)-VLOOKUP($D1672,[1]Balanza!$A$3:$K$852,11,0),0)</f>
        <v>0</v>
      </c>
    </row>
    <row r="1673" spans="1:6" x14ac:dyDescent="0.3">
      <c r="A1673" s="2" t="s">
        <v>2848</v>
      </c>
      <c r="B1673" s="2" t="s">
        <v>2847</v>
      </c>
      <c r="C1673" t="s">
        <v>3090</v>
      </c>
      <c r="D1673" s="5" t="s">
        <v>4753</v>
      </c>
      <c r="E1673" s="6">
        <f>IFERROR(VLOOKUP($D1673,[1]Balanza!$A$3:$K$852,6,0)-VLOOKUP(D1673,[1]Balanza!$A$3:$K$852,7,0),0)</f>
        <v>0</v>
      </c>
      <c r="F1673" s="6">
        <f>IFERROR(VLOOKUP($D1673,[1]Balanza!$A$3:$K$852,10,0)-VLOOKUP($D1673,[1]Balanza!$A$3:$K$852,11,0),0)</f>
        <v>0</v>
      </c>
    </row>
    <row r="1674" spans="1:6" x14ac:dyDescent="0.3">
      <c r="A1674" s="1" t="s">
        <v>2849</v>
      </c>
      <c r="B1674" s="1" t="s">
        <v>2850</v>
      </c>
      <c r="C1674" t="s">
        <v>3029</v>
      </c>
      <c r="D1674" s="5" t="s">
        <v>4754</v>
      </c>
      <c r="E1674" s="6">
        <f>IFERROR(VLOOKUP($D1674,[1]Balanza!$A$3:$K$852,6,0)-VLOOKUP(D1674,[1]Balanza!$A$3:$K$852,7,0),0)</f>
        <v>0</v>
      </c>
      <c r="F1674" s="6">
        <f>IFERROR(VLOOKUP($D1674,[1]Balanza!$A$3:$K$852,10,0)-VLOOKUP($D1674,[1]Balanza!$A$3:$K$852,11,0),0)</f>
        <v>0</v>
      </c>
    </row>
    <row r="1675" spans="1:6" x14ac:dyDescent="0.3">
      <c r="A1675" s="2" t="s">
        <v>2851</v>
      </c>
      <c r="B1675" s="2" t="s">
        <v>2852</v>
      </c>
      <c r="C1675" t="s">
        <v>3090</v>
      </c>
      <c r="D1675" s="5" t="s">
        <v>4755</v>
      </c>
      <c r="E1675" s="6">
        <f>IFERROR(VLOOKUP($D1675,[1]Balanza!$A$3:$K$852,6,0)-VLOOKUP(D1675,[1]Balanza!$A$3:$K$852,7,0),0)</f>
        <v>0</v>
      </c>
      <c r="F1675" s="6">
        <f>IFERROR(VLOOKUP($D1675,[1]Balanza!$A$3:$K$852,10,0)-VLOOKUP($D1675,[1]Balanza!$A$3:$K$852,11,0),0)</f>
        <v>0</v>
      </c>
    </row>
    <row r="1676" spans="1:6" x14ac:dyDescent="0.3">
      <c r="A1676" s="2" t="s">
        <v>2853</v>
      </c>
      <c r="B1676" s="2" t="s">
        <v>2136</v>
      </c>
      <c r="C1676" t="s">
        <v>4900</v>
      </c>
      <c r="D1676" s="5" t="s">
        <v>4756</v>
      </c>
      <c r="E1676" s="6">
        <f>IFERROR(VLOOKUP($D1676,[1]Balanza!$A$3:$K$852,6,0)-VLOOKUP(D1676,[1]Balanza!$A$3:$K$852,7,0),0)</f>
        <v>4574.33</v>
      </c>
      <c r="F1676" s="6">
        <f>IFERROR(VLOOKUP($D1676,[1]Balanza!$A$3:$K$852,10,0)-VLOOKUP($D1676,[1]Balanza!$A$3:$K$852,11,0),0)</f>
        <v>55610.02</v>
      </c>
    </row>
    <row r="1677" spans="1:6" x14ac:dyDescent="0.3">
      <c r="A1677" s="2" t="s">
        <v>2854</v>
      </c>
      <c r="B1677" s="2" t="s">
        <v>2138</v>
      </c>
      <c r="C1677" t="s">
        <v>4918</v>
      </c>
      <c r="D1677" s="5" t="s">
        <v>4757</v>
      </c>
      <c r="E1677" s="6">
        <f>IFERROR(VLOOKUP($D1677,[1]Balanza!$A$3:$K$852,6,0)-VLOOKUP(D1677,[1]Balanza!$A$3:$K$852,7,0),0)</f>
        <v>0</v>
      </c>
      <c r="F1677" s="6">
        <f>IFERROR(VLOOKUP($D1677,[1]Balanza!$A$3:$K$852,10,0)-VLOOKUP($D1677,[1]Balanza!$A$3:$K$852,11,0),0)</f>
        <v>1948.89</v>
      </c>
    </row>
    <row r="1678" spans="1:6" x14ac:dyDescent="0.3">
      <c r="A1678" s="2" t="s">
        <v>2855</v>
      </c>
      <c r="B1678" s="2" t="s">
        <v>2140</v>
      </c>
      <c r="C1678" t="s">
        <v>4901</v>
      </c>
      <c r="D1678" s="5" t="s">
        <v>4758</v>
      </c>
      <c r="E1678" s="6">
        <f>IFERROR(VLOOKUP($D1678,[1]Balanza!$A$3:$K$852,6,0)-VLOOKUP(D1678,[1]Balanza!$A$3:$K$852,7,0),0)</f>
        <v>162.08000000000001</v>
      </c>
      <c r="F1678" s="6">
        <f>IFERROR(VLOOKUP($D1678,[1]Balanza!$A$3:$K$852,10,0)-VLOOKUP($D1678,[1]Balanza!$A$3:$K$852,11,0),0)</f>
        <v>124412.59</v>
      </c>
    </row>
    <row r="1679" spans="1:6" x14ac:dyDescent="0.3">
      <c r="A1679" s="2" t="s">
        <v>2856</v>
      </c>
      <c r="B1679" s="2" t="s">
        <v>2142</v>
      </c>
      <c r="C1679" t="s">
        <v>4902</v>
      </c>
      <c r="D1679" s="5" t="s">
        <v>4759</v>
      </c>
      <c r="E1679" s="6">
        <f>IFERROR(VLOOKUP($D1679,[1]Balanza!$A$3:$K$852,6,0)-VLOOKUP(D1679,[1]Balanza!$A$3:$K$852,7,0),0)</f>
        <v>7048.55</v>
      </c>
      <c r="F1679" s="6">
        <f>IFERROR(VLOOKUP($D1679,[1]Balanza!$A$3:$K$852,10,0)-VLOOKUP($D1679,[1]Balanza!$A$3:$K$852,11,0),0)</f>
        <v>490.19</v>
      </c>
    </row>
    <row r="1680" spans="1:6" x14ac:dyDescent="0.3">
      <c r="A1680" s="2" t="s">
        <v>2857</v>
      </c>
      <c r="B1680" s="2" t="s">
        <v>2144</v>
      </c>
      <c r="C1680" t="s">
        <v>3090</v>
      </c>
      <c r="D1680" s="5" t="s">
        <v>4760</v>
      </c>
      <c r="E1680" s="6">
        <f>IFERROR(VLOOKUP($D1680,[1]Balanza!$A$3:$K$852,6,0)-VLOOKUP(D1680,[1]Balanza!$A$3:$K$852,7,0),0)</f>
        <v>0</v>
      </c>
      <c r="F1680" s="6">
        <f>IFERROR(VLOOKUP($D1680,[1]Balanza!$A$3:$K$852,10,0)-VLOOKUP($D1680,[1]Balanza!$A$3:$K$852,11,0),0)</f>
        <v>0</v>
      </c>
    </row>
    <row r="1681" spans="1:6" x14ac:dyDescent="0.3">
      <c r="A1681" s="2" t="s">
        <v>2858</v>
      </c>
      <c r="B1681" s="2" t="s">
        <v>2146</v>
      </c>
      <c r="C1681" t="s">
        <v>3090</v>
      </c>
      <c r="D1681" s="5" t="s">
        <v>4761</v>
      </c>
      <c r="E1681" s="6">
        <f>IFERROR(VLOOKUP($D1681,[1]Balanza!$A$3:$K$852,6,0)-VLOOKUP(D1681,[1]Balanza!$A$3:$K$852,7,0),0)</f>
        <v>0</v>
      </c>
      <c r="F1681" s="6">
        <f>IFERROR(VLOOKUP($D1681,[1]Balanza!$A$3:$K$852,10,0)-VLOOKUP($D1681,[1]Balanza!$A$3:$K$852,11,0),0)</f>
        <v>0</v>
      </c>
    </row>
    <row r="1682" spans="1:6" x14ac:dyDescent="0.3">
      <c r="A1682" s="2" t="s">
        <v>2859</v>
      </c>
      <c r="B1682" s="2" t="s">
        <v>2148</v>
      </c>
      <c r="C1682" t="s">
        <v>3090</v>
      </c>
      <c r="D1682" s="5" t="s">
        <v>4762</v>
      </c>
      <c r="E1682" s="6">
        <f>IFERROR(VLOOKUP($D1682,[1]Balanza!$A$3:$K$852,6,0)-VLOOKUP(D1682,[1]Balanza!$A$3:$K$852,7,0),0)</f>
        <v>0</v>
      </c>
      <c r="F1682" s="6">
        <f>IFERROR(VLOOKUP($D1682,[1]Balanza!$A$3:$K$852,10,0)-VLOOKUP($D1682,[1]Balanza!$A$3:$K$852,11,0),0)</f>
        <v>0</v>
      </c>
    </row>
    <row r="1683" spans="1:6" x14ac:dyDescent="0.3">
      <c r="A1683" s="2" t="s">
        <v>2860</v>
      </c>
      <c r="B1683" s="2" t="s">
        <v>2150</v>
      </c>
      <c r="C1683" t="s">
        <v>3090</v>
      </c>
      <c r="D1683" s="5" t="s">
        <v>4763</v>
      </c>
      <c r="E1683" s="6">
        <f>IFERROR(VLOOKUP($D1683,[1]Balanza!$A$3:$K$852,6,0)-VLOOKUP(D1683,[1]Balanza!$A$3:$K$852,7,0),0)</f>
        <v>0</v>
      </c>
      <c r="F1683" s="6">
        <f>IFERROR(VLOOKUP($D1683,[1]Balanza!$A$3:$K$852,10,0)-VLOOKUP($D1683,[1]Balanza!$A$3:$K$852,11,0),0)</f>
        <v>0</v>
      </c>
    </row>
    <row r="1684" spans="1:6" x14ac:dyDescent="0.3">
      <c r="A1684" s="2" t="s">
        <v>2861</v>
      </c>
      <c r="B1684" s="2" t="s">
        <v>2152</v>
      </c>
      <c r="C1684" t="s">
        <v>3090</v>
      </c>
      <c r="D1684" s="5" t="s">
        <v>4764</v>
      </c>
      <c r="E1684" s="6">
        <f>IFERROR(VLOOKUP($D1684,[1]Balanza!$A$3:$K$852,6,0)-VLOOKUP(D1684,[1]Balanza!$A$3:$K$852,7,0),0)</f>
        <v>0</v>
      </c>
      <c r="F1684" s="6">
        <f>IFERROR(VLOOKUP($D1684,[1]Balanza!$A$3:$K$852,10,0)-VLOOKUP($D1684,[1]Balanza!$A$3:$K$852,11,0),0)</f>
        <v>0</v>
      </c>
    </row>
    <row r="1685" spans="1:6" x14ac:dyDescent="0.3">
      <c r="A1685" s="2" t="s">
        <v>2862</v>
      </c>
      <c r="B1685" s="2" t="s">
        <v>2154</v>
      </c>
      <c r="C1685" t="s">
        <v>3090</v>
      </c>
      <c r="D1685" s="5" t="s">
        <v>4765</v>
      </c>
      <c r="E1685" s="6">
        <f>IFERROR(VLOOKUP($D1685,[1]Balanza!$A$3:$K$852,6,0)-VLOOKUP(D1685,[1]Balanza!$A$3:$K$852,7,0),0)</f>
        <v>0</v>
      </c>
      <c r="F1685" s="6">
        <f>IFERROR(VLOOKUP($D1685,[1]Balanza!$A$3:$K$852,10,0)-VLOOKUP($D1685,[1]Balanza!$A$3:$K$852,11,0),0)</f>
        <v>0</v>
      </c>
    </row>
    <row r="1686" spans="1:6" x14ac:dyDescent="0.3">
      <c r="A1686" s="2" t="s">
        <v>2863</v>
      </c>
      <c r="B1686" s="2" t="s">
        <v>2156</v>
      </c>
      <c r="C1686" t="s">
        <v>3090</v>
      </c>
      <c r="D1686" s="5" t="s">
        <v>4766</v>
      </c>
      <c r="E1686" s="6">
        <f>IFERROR(VLOOKUP($D1686,[1]Balanza!$A$3:$K$852,6,0)-VLOOKUP(D1686,[1]Balanza!$A$3:$K$852,7,0),0)</f>
        <v>0</v>
      </c>
      <c r="F1686" s="6">
        <f>IFERROR(VLOOKUP($D1686,[1]Balanza!$A$3:$K$852,10,0)-VLOOKUP($D1686,[1]Balanza!$A$3:$K$852,11,0),0)</f>
        <v>0</v>
      </c>
    </row>
    <row r="1687" spans="1:6" x14ac:dyDescent="0.3">
      <c r="A1687" s="2" t="s">
        <v>2864</v>
      </c>
      <c r="B1687" s="2" t="s">
        <v>2158</v>
      </c>
      <c r="C1687" t="s">
        <v>3090</v>
      </c>
      <c r="D1687" s="5" t="s">
        <v>4767</v>
      </c>
      <c r="E1687" s="6">
        <f>IFERROR(VLOOKUP($D1687,[1]Balanza!$A$3:$K$852,6,0)-VLOOKUP(D1687,[1]Balanza!$A$3:$K$852,7,0),0)</f>
        <v>0</v>
      </c>
      <c r="F1687" s="6">
        <f>IFERROR(VLOOKUP($D1687,[1]Balanza!$A$3:$K$852,10,0)-VLOOKUP($D1687,[1]Balanza!$A$3:$K$852,11,0),0)</f>
        <v>0</v>
      </c>
    </row>
    <row r="1688" spans="1:6" x14ac:dyDescent="0.3">
      <c r="A1688" s="2" t="s">
        <v>2865</v>
      </c>
      <c r="B1688" s="2" t="s">
        <v>2160</v>
      </c>
      <c r="C1688" t="s">
        <v>3090</v>
      </c>
      <c r="D1688" s="5" t="s">
        <v>4768</v>
      </c>
      <c r="E1688" s="6">
        <f>IFERROR(VLOOKUP($D1688,[1]Balanza!$A$3:$K$852,6,0)-VLOOKUP(D1688,[1]Balanza!$A$3:$K$852,7,0),0)</f>
        <v>0</v>
      </c>
      <c r="F1688" s="6">
        <f>IFERROR(VLOOKUP($D1688,[1]Balanza!$A$3:$K$852,10,0)-VLOOKUP($D1688,[1]Balanza!$A$3:$K$852,11,0),0)</f>
        <v>0</v>
      </c>
    </row>
    <row r="1689" spans="1:6" x14ac:dyDescent="0.3">
      <c r="A1689" s="2" t="s">
        <v>2866</v>
      </c>
      <c r="B1689" s="2" t="s">
        <v>2867</v>
      </c>
      <c r="C1689" t="s">
        <v>3090</v>
      </c>
      <c r="D1689" s="5" t="s">
        <v>4769</v>
      </c>
      <c r="E1689" s="6">
        <f>IFERROR(VLOOKUP($D1689,[1]Balanza!$A$3:$K$852,6,0)-VLOOKUP(D1689,[1]Balanza!$A$3:$K$852,7,0),0)</f>
        <v>0</v>
      </c>
      <c r="F1689" s="6">
        <f>IFERROR(VLOOKUP($D1689,[1]Balanza!$A$3:$K$852,10,0)-VLOOKUP($D1689,[1]Balanza!$A$3:$K$852,11,0),0)</f>
        <v>0</v>
      </c>
    </row>
    <row r="1690" spans="1:6" x14ac:dyDescent="0.3">
      <c r="A1690" s="2" t="s">
        <v>2868</v>
      </c>
      <c r="B1690" s="2" t="s">
        <v>2164</v>
      </c>
      <c r="C1690" t="s">
        <v>3090</v>
      </c>
      <c r="D1690" s="5" t="s">
        <v>4770</v>
      </c>
      <c r="E1690" s="6">
        <f>IFERROR(VLOOKUP($D1690,[1]Balanza!$A$3:$K$852,6,0)-VLOOKUP(D1690,[1]Balanza!$A$3:$K$852,7,0),0)</f>
        <v>0</v>
      </c>
      <c r="F1690" s="6">
        <f>IFERROR(VLOOKUP($D1690,[1]Balanza!$A$3:$K$852,10,0)-VLOOKUP($D1690,[1]Balanza!$A$3:$K$852,11,0),0)</f>
        <v>0</v>
      </c>
    </row>
    <row r="1691" spans="1:6" x14ac:dyDescent="0.3">
      <c r="A1691" s="2" t="s">
        <v>2869</v>
      </c>
      <c r="B1691" s="2" t="s">
        <v>2166</v>
      </c>
      <c r="C1691" t="s">
        <v>4903</v>
      </c>
      <c r="D1691" s="5" t="s">
        <v>4771</v>
      </c>
      <c r="E1691" s="6">
        <f>IFERROR(VLOOKUP($D1691,[1]Balanza!$A$3:$K$852,6,0)-VLOOKUP(D1691,[1]Balanza!$A$3:$K$852,7,0),0)</f>
        <v>12535.01</v>
      </c>
      <c r="F1691" s="6">
        <f>IFERROR(VLOOKUP($D1691,[1]Balanza!$A$3:$K$852,10,0)-VLOOKUP($D1691,[1]Balanza!$A$3:$K$852,11,0),0)</f>
        <v>6177.12</v>
      </c>
    </row>
    <row r="1692" spans="1:6" x14ac:dyDescent="0.3">
      <c r="A1692" s="2" t="s">
        <v>2870</v>
      </c>
      <c r="B1692" s="2" t="s">
        <v>2168</v>
      </c>
      <c r="C1692" t="s">
        <v>4904</v>
      </c>
      <c r="D1692" s="5" t="s">
        <v>4772</v>
      </c>
      <c r="E1692" s="6">
        <f>IFERROR(VLOOKUP($D1692,[1]Balanza!$A$3:$K$852,6,0)-VLOOKUP(D1692,[1]Balanza!$A$3:$K$852,7,0),0)</f>
        <v>394.13</v>
      </c>
      <c r="F1692" s="6">
        <f>IFERROR(VLOOKUP($D1692,[1]Balanza!$A$3:$K$852,10,0)-VLOOKUP($D1692,[1]Balanza!$A$3:$K$852,11,0),0)</f>
        <v>0</v>
      </c>
    </row>
    <row r="1693" spans="1:6" x14ac:dyDescent="0.3">
      <c r="A1693" s="1" t="s">
        <v>2871</v>
      </c>
      <c r="B1693" s="1" t="s">
        <v>2872</v>
      </c>
      <c r="C1693" t="s">
        <v>3029</v>
      </c>
      <c r="D1693" s="5" t="s">
        <v>4773</v>
      </c>
      <c r="E1693" s="6">
        <f>IFERROR(VLOOKUP($D1693,[1]Balanza!$A$3:$K$852,6,0)-VLOOKUP(D1693,[1]Balanza!$A$3:$K$852,7,0),0)</f>
        <v>0</v>
      </c>
      <c r="F1693" s="6">
        <f>IFERROR(VLOOKUP($D1693,[1]Balanza!$A$3:$K$852,10,0)-VLOOKUP($D1693,[1]Balanza!$A$3:$K$852,11,0),0)</f>
        <v>0</v>
      </c>
    </row>
    <row r="1694" spans="1:6" x14ac:dyDescent="0.3">
      <c r="A1694" s="2" t="s">
        <v>2873</v>
      </c>
      <c r="B1694" s="2" t="s">
        <v>722</v>
      </c>
      <c r="C1694" t="s">
        <v>3090</v>
      </c>
      <c r="D1694" s="5" t="s">
        <v>4774</v>
      </c>
      <c r="E1694" s="6">
        <f>IFERROR(VLOOKUP($D1694,[1]Balanza!$A$3:$K$852,6,0)-VLOOKUP(D1694,[1]Balanza!$A$3:$K$852,7,0),0)</f>
        <v>0</v>
      </c>
      <c r="F1694" s="6">
        <f>IFERROR(VLOOKUP($D1694,[1]Balanza!$A$3:$K$852,10,0)-VLOOKUP($D1694,[1]Balanza!$A$3:$K$852,11,0),0)</f>
        <v>0</v>
      </c>
    </row>
    <row r="1695" spans="1:6" x14ac:dyDescent="0.3">
      <c r="A1695" s="2" t="s">
        <v>2874</v>
      </c>
      <c r="B1695" s="2" t="s">
        <v>724</v>
      </c>
      <c r="C1695" t="s">
        <v>3090</v>
      </c>
      <c r="D1695" s="5" t="s">
        <v>4775</v>
      </c>
      <c r="E1695" s="6">
        <f>IFERROR(VLOOKUP($D1695,[1]Balanza!$A$3:$K$852,6,0)-VLOOKUP(D1695,[1]Balanza!$A$3:$K$852,7,0),0)</f>
        <v>0</v>
      </c>
      <c r="F1695" s="6">
        <f>IFERROR(VLOOKUP($D1695,[1]Balanza!$A$3:$K$852,10,0)-VLOOKUP($D1695,[1]Balanza!$A$3:$K$852,11,0),0)</f>
        <v>0</v>
      </c>
    </row>
    <row r="1696" spans="1:6" x14ac:dyDescent="0.3">
      <c r="A1696" s="2" t="s">
        <v>2875</v>
      </c>
      <c r="B1696" s="2" t="s">
        <v>726</v>
      </c>
      <c r="C1696" t="s">
        <v>3090</v>
      </c>
      <c r="D1696" s="5" t="s">
        <v>4776</v>
      </c>
      <c r="E1696" s="6">
        <f>IFERROR(VLOOKUP($D1696,[1]Balanza!$A$3:$K$852,6,0)-VLOOKUP(D1696,[1]Balanza!$A$3:$K$852,7,0),0)</f>
        <v>0</v>
      </c>
      <c r="F1696" s="6">
        <f>IFERROR(VLOOKUP($D1696,[1]Balanza!$A$3:$K$852,10,0)-VLOOKUP($D1696,[1]Balanza!$A$3:$K$852,11,0),0)</f>
        <v>0</v>
      </c>
    </row>
    <row r="1697" spans="1:6" x14ac:dyDescent="0.3">
      <c r="A1697" s="2" t="s">
        <v>2876</v>
      </c>
      <c r="B1697" s="2" t="s">
        <v>728</v>
      </c>
      <c r="C1697" t="s">
        <v>3090</v>
      </c>
      <c r="D1697" s="5" t="s">
        <v>4777</v>
      </c>
      <c r="E1697" s="6">
        <f>IFERROR(VLOOKUP($D1697,[1]Balanza!$A$3:$K$852,6,0)-VLOOKUP(D1697,[1]Balanza!$A$3:$K$852,7,0),0)</f>
        <v>0</v>
      </c>
      <c r="F1697" s="6">
        <f>IFERROR(VLOOKUP($D1697,[1]Balanza!$A$3:$K$852,10,0)-VLOOKUP($D1697,[1]Balanza!$A$3:$K$852,11,0),0)</f>
        <v>0</v>
      </c>
    </row>
    <row r="1698" spans="1:6" x14ac:dyDescent="0.3">
      <c r="A1698" s="2" t="s">
        <v>2877</v>
      </c>
      <c r="B1698" s="2" t="s">
        <v>730</v>
      </c>
      <c r="C1698" t="s">
        <v>3090</v>
      </c>
      <c r="D1698" s="5" t="s">
        <v>4778</v>
      </c>
      <c r="E1698" s="6">
        <f>IFERROR(VLOOKUP($D1698,[1]Balanza!$A$3:$K$852,6,0)-VLOOKUP(D1698,[1]Balanza!$A$3:$K$852,7,0),0)</f>
        <v>0</v>
      </c>
      <c r="F1698" s="6">
        <f>IFERROR(VLOOKUP($D1698,[1]Balanza!$A$3:$K$852,10,0)-VLOOKUP($D1698,[1]Balanza!$A$3:$K$852,11,0),0)</f>
        <v>0</v>
      </c>
    </row>
    <row r="1699" spans="1:6" x14ac:dyDescent="0.3">
      <c r="A1699" s="2" t="s">
        <v>2878</v>
      </c>
      <c r="B1699" s="2" t="s">
        <v>732</v>
      </c>
      <c r="C1699" t="s">
        <v>3090</v>
      </c>
      <c r="D1699" s="5" t="s">
        <v>4779</v>
      </c>
      <c r="E1699" s="6">
        <f>IFERROR(VLOOKUP($D1699,[1]Balanza!$A$3:$K$852,6,0)-VLOOKUP(D1699,[1]Balanza!$A$3:$K$852,7,0),0)</f>
        <v>0</v>
      </c>
      <c r="F1699" s="6">
        <f>IFERROR(VLOOKUP($D1699,[1]Balanza!$A$3:$K$852,10,0)-VLOOKUP($D1699,[1]Balanza!$A$3:$K$852,11,0),0)</f>
        <v>0</v>
      </c>
    </row>
    <row r="1700" spans="1:6" x14ac:dyDescent="0.3">
      <c r="A1700" s="2" t="s">
        <v>2879</v>
      </c>
      <c r="B1700" s="2" t="s">
        <v>734</v>
      </c>
      <c r="C1700" t="s">
        <v>3090</v>
      </c>
      <c r="D1700" s="5" t="s">
        <v>4780</v>
      </c>
      <c r="E1700" s="6">
        <f>IFERROR(VLOOKUP($D1700,[1]Balanza!$A$3:$K$852,6,0)-VLOOKUP(D1700,[1]Balanza!$A$3:$K$852,7,0),0)</f>
        <v>0</v>
      </c>
      <c r="F1700" s="6">
        <f>IFERROR(VLOOKUP($D1700,[1]Balanza!$A$3:$K$852,10,0)-VLOOKUP($D1700,[1]Balanza!$A$3:$K$852,11,0),0)</f>
        <v>0</v>
      </c>
    </row>
    <row r="1701" spans="1:6" x14ac:dyDescent="0.3">
      <c r="A1701" s="2" t="s">
        <v>2880</v>
      </c>
      <c r="B1701" s="2" t="s">
        <v>736</v>
      </c>
      <c r="C1701" t="s">
        <v>3090</v>
      </c>
      <c r="D1701" s="5" t="s">
        <v>4781</v>
      </c>
      <c r="E1701" s="6">
        <f>IFERROR(VLOOKUP($D1701,[1]Balanza!$A$3:$K$852,6,0)-VLOOKUP(D1701,[1]Balanza!$A$3:$K$852,7,0),0)</f>
        <v>0</v>
      </c>
      <c r="F1701" s="6">
        <f>IFERROR(VLOOKUP($D1701,[1]Balanza!$A$3:$K$852,10,0)-VLOOKUP($D1701,[1]Balanza!$A$3:$K$852,11,0),0)</f>
        <v>0</v>
      </c>
    </row>
    <row r="1702" spans="1:6" x14ac:dyDescent="0.3">
      <c r="A1702" s="2" t="s">
        <v>2881</v>
      </c>
      <c r="B1702" s="2" t="s">
        <v>738</v>
      </c>
      <c r="C1702" t="s">
        <v>3090</v>
      </c>
      <c r="D1702" s="5" t="s">
        <v>4782</v>
      </c>
      <c r="E1702" s="6">
        <f>IFERROR(VLOOKUP($D1702,[1]Balanza!$A$3:$K$852,6,0)-VLOOKUP(D1702,[1]Balanza!$A$3:$K$852,7,0),0)</f>
        <v>0</v>
      </c>
      <c r="F1702" s="6">
        <f>IFERROR(VLOOKUP($D1702,[1]Balanza!$A$3:$K$852,10,0)-VLOOKUP($D1702,[1]Balanza!$A$3:$K$852,11,0),0)</f>
        <v>0</v>
      </c>
    </row>
    <row r="1703" spans="1:6" x14ac:dyDescent="0.3">
      <c r="A1703" s="2" t="s">
        <v>2882</v>
      </c>
      <c r="B1703" s="2" t="s">
        <v>740</v>
      </c>
      <c r="C1703" t="s">
        <v>3074</v>
      </c>
      <c r="D1703" s="5" t="s">
        <v>4783</v>
      </c>
      <c r="E1703" s="6">
        <f>IFERROR(VLOOKUP($D1703,[1]Balanza!$A$3:$K$852,6,0)-VLOOKUP(D1703,[1]Balanza!$A$3:$K$852,7,0),0)</f>
        <v>0</v>
      </c>
      <c r="F1703" s="6">
        <f>IFERROR(VLOOKUP($D1703,[1]Balanza!$A$3:$K$852,10,0)-VLOOKUP($D1703,[1]Balanza!$A$3:$K$852,11,0),0)</f>
        <v>0</v>
      </c>
    </row>
    <row r="1704" spans="1:6" x14ac:dyDescent="0.3">
      <c r="A1704" s="2" t="s">
        <v>2883</v>
      </c>
      <c r="B1704" s="2" t="s">
        <v>2884</v>
      </c>
      <c r="C1704" t="s">
        <v>3074</v>
      </c>
      <c r="D1704" s="5" t="s">
        <v>4784</v>
      </c>
      <c r="E1704" s="6">
        <f>IFERROR(VLOOKUP($D1704,[1]Balanza!$A$3:$K$852,6,0)-VLOOKUP(D1704,[1]Balanza!$A$3:$K$852,7,0),0)</f>
        <v>457208.16</v>
      </c>
      <c r="F1704" s="6">
        <f>IFERROR(VLOOKUP($D1704,[1]Balanza!$A$3:$K$852,10,0)-VLOOKUP($D1704,[1]Balanza!$A$3:$K$852,11,0),0)</f>
        <v>299327.2</v>
      </c>
    </row>
    <row r="1705" spans="1:6" x14ac:dyDescent="0.3">
      <c r="A1705" s="2" t="s">
        <v>2885</v>
      </c>
      <c r="B1705" s="2" t="s">
        <v>2886</v>
      </c>
      <c r="C1705" t="s">
        <v>3029</v>
      </c>
      <c r="D1705" s="5" t="s">
        <v>4785</v>
      </c>
      <c r="E1705" s="6">
        <f>IFERROR(VLOOKUP($D1705,[1]Balanza!$A$3:$K$852,6,0)-VLOOKUP(D1705,[1]Balanza!$A$3:$K$852,7,0),0)</f>
        <v>0</v>
      </c>
      <c r="F1705" s="6">
        <f>IFERROR(VLOOKUP($D1705,[1]Balanza!$A$3:$K$852,10,0)-VLOOKUP($D1705,[1]Balanza!$A$3:$K$852,11,0),0)</f>
        <v>0</v>
      </c>
    </row>
    <row r="1706" spans="1:6" x14ac:dyDescent="0.3">
      <c r="A1706" s="1" t="s">
        <v>2887</v>
      </c>
      <c r="B1706" s="1" t="s">
        <v>2888</v>
      </c>
      <c r="C1706" t="s">
        <v>3029</v>
      </c>
      <c r="D1706" s="5" t="s">
        <v>4786</v>
      </c>
      <c r="E1706" s="6">
        <f>IFERROR(VLOOKUP($D1706,[1]Balanza!$A$3:$K$852,6,0)-VLOOKUP(D1706,[1]Balanza!$A$3:$K$852,7,0),0)</f>
        <v>0</v>
      </c>
      <c r="F1706" s="6">
        <f>IFERROR(VLOOKUP($D1706,[1]Balanza!$A$3:$K$852,10,0)-VLOOKUP($D1706,[1]Balanza!$A$3:$K$852,11,0),0)</f>
        <v>0</v>
      </c>
    </row>
    <row r="1707" spans="1:6" x14ac:dyDescent="0.3">
      <c r="A1707" s="2" t="s">
        <v>2889</v>
      </c>
      <c r="B1707" s="2" t="s">
        <v>2890</v>
      </c>
      <c r="C1707" t="s">
        <v>3029</v>
      </c>
      <c r="D1707" s="5" t="s">
        <v>4787</v>
      </c>
      <c r="E1707" s="6">
        <f>IFERROR(VLOOKUP($D1707,[1]Balanza!$A$3:$K$852,6,0)-VLOOKUP(D1707,[1]Balanza!$A$3:$K$852,7,0),0)</f>
        <v>1726.64</v>
      </c>
      <c r="F1707" s="6">
        <f>IFERROR(VLOOKUP($D1707,[1]Balanza!$A$3:$K$852,10,0)-VLOOKUP($D1707,[1]Balanza!$A$3:$K$852,11,0),0)</f>
        <v>0</v>
      </c>
    </row>
    <row r="1708" spans="1:6" x14ac:dyDescent="0.3">
      <c r="A1708" s="2" t="s">
        <v>2891</v>
      </c>
      <c r="B1708" s="2" t="s">
        <v>2892</v>
      </c>
      <c r="C1708" t="s">
        <v>3038</v>
      </c>
      <c r="D1708" s="5" t="s">
        <v>4788</v>
      </c>
      <c r="E1708" s="6">
        <f>IFERROR(VLOOKUP($D1708,[1]Balanza!$A$3:$K$852,6,0)-VLOOKUP(D1708,[1]Balanza!$A$3:$K$852,7,0),0)</f>
        <v>0</v>
      </c>
      <c r="F1708" s="6">
        <f>IFERROR(VLOOKUP($D1708,[1]Balanza!$A$3:$K$852,10,0)-VLOOKUP($D1708,[1]Balanza!$A$3:$K$852,11,0),0)</f>
        <v>0</v>
      </c>
    </row>
    <row r="1709" spans="1:6" x14ac:dyDescent="0.3">
      <c r="A1709" s="2" t="s">
        <v>2893</v>
      </c>
      <c r="B1709" s="2" t="s">
        <v>2894</v>
      </c>
      <c r="C1709" t="s">
        <v>3038</v>
      </c>
      <c r="D1709" s="5" t="s">
        <v>4789</v>
      </c>
      <c r="E1709" s="6">
        <f>IFERROR(VLOOKUP($D1709,[1]Balanza!$A$3:$K$852,6,0)-VLOOKUP(D1709,[1]Balanza!$A$3:$K$852,7,0),0)</f>
        <v>0</v>
      </c>
      <c r="F1709" s="6">
        <f>IFERROR(VLOOKUP($D1709,[1]Balanza!$A$3:$K$852,10,0)-VLOOKUP($D1709,[1]Balanza!$A$3:$K$852,11,0),0)</f>
        <v>0</v>
      </c>
    </row>
    <row r="1710" spans="1:6" x14ac:dyDescent="0.3">
      <c r="A1710" s="2" t="s">
        <v>2895</v>
      </c>
      <c r="B1710" s="2" t="s">
        <v>2896</v>
      </c>
      <c r="C1710" t="s">
        <v>3088</v>
      </c>
      <c r="D1710" s="5" t="s">
        <v>4790</v>
      </c>
      <c r="E1710" s="6">
        <f>IFERROR(VLOOKUP($D1710,[1]Balanza!$A$3:$K$852,6,0)-VLOOKUP(D1710,[1]Balanza!$A$3:$K$852,7,0),0)</f>
        <v>0</v>
      </c>
      <c r="F1710" s="6">
        <f>IFERROR(VLOOKUP($D1710,[1]Balanza!$A$3:$K$852,10,0)-VLOOKUP($D1710,[1]Balanza!$A$3:$K$852,11,0),0)</f>
        <v>46633.53</v>
      </c>
    </row>
    <row r="1711" spans="1:6" x14ac:dyDescent="0.3">
      <c r="A1711" s="2" t="s">
        <v>2897</v>
      </c>
      <c r="B1711" s="2" t="s">
        <v>2898</v>
      </c>
      <c r="C1711" t="s">
        <v>3088</v>
      </c>
      <c r="D1711" s="5" t="s">
        <v>4791</v>
      </c>
      <c r="E1711" s="6">
        <f>IFERROR(VLOOKUP($D1711,[1]Balanza!$A$3:$K$852,6,0)-VLOOKUP(D1711,[1]Balanza!$A$3:$K$852,7,0),0)</f>
        <v>0</v>
      </c>
      <c r="F1711" s="6">
        <f>IFERROR(VLOOKUP($D1711,[1]Balanza!$A$3:$K$852,10,0)-VLOOKUP($D1711,[1]Balanza!$A$3:$K$852,11,0),0)</f>
        <v>0</v>
      </c>
    </row>
    <row r="1712" spans="1:6" x14ac:dyDescent="0.3">
      <c r="A1712" s="2" t="s">
        <v>2899</v>
      </c>
      <c r="B1712" s="2" t="s">
        <v>2900</v>
      </c>
      <c r="C1712" t="s">
        <v>3088</v>
      </c>
      <c r="D1712" s="5" t="s">
        <v>4792</v>
      </c>
      <c r="E1712" s="6">
        <f>IFERROR(VLOOKUP($D1712,[1]Balanza!$A$3:$K$852,6,0)-VLOOKUP(D1712,[1]Balanza!$A$3:$K$852,7,0),0)</f>
        <v>0</v>
      </c>
      <c r="F1712" s="6">
        <f>IFERROR(VLOOKUP($D1712,[1]Balanza!$A$3:$K$852,10,0)-VLOOKUP($D1712,[1]Balanza!$A$3:$K$852,11,0),0)</f>
        <v>0</v>
      </c>
    </row>
    <row r="1713" spans="1:6" x14ac:dyDescent="0.3">
      <c r="A1713" s="2" t="s">
        <v>2901</v>
      </c>
      <c r="B1713" s="2" t="s">
        <v>2902</v>
      </c>
      <c r="C1713" t="s">
        <v>3088</v>
      </c>
      <c r="D1713" s="5" t="s">
        <v>4793</v>
      </c>
      <c r="E1713" s="6">
        <f>IFERROR(VLOOKUP($D1713,[1]Balanza!$A$3:$K$852,6,0)-VLOOKUP(D1713,[1]Balanza!$A$3:$K$852,7,0),0)</f>
        <v>0</v>
      </c>
      <c r="F1713" s="6">
        <f>IFERROR(VLOOKUP($D1713,[1]Balanza!$A$3:$K$852,10,0)-VLOOKUP($D1713,[1]Balanza!$A$3:$K$852,11,0),0)</f>
        <v>0</v>
      </c>
    </row>
    <row r="1714" spans="1:6" x14ac:dyDescent="0.3">
      <c r="A1714" s="2" t="s">
        <v>2903</v>
      </c>
      <c r="B1714" s="2" t="s">
        <v>2904</v>
      </c>
      <c r="C1714" t="s">
        <v>3088</v>
      </c>
      <c r="D1714" s="5" t="s">
        <v>4794</v>
      </c>
      <c r="E1714" s="6">
        <f>IFERROR(VLOOKUP($D1714,[1]Balanza!$A$3:$K$852,6,0)-VLOOKUP(D1714,[1]Balanza!$A$3:$K$852,7,0),0)</f>
        <v>666774.98</v>
      </c>
      <c r="F1714" s="6">
        <f>IFERROR(VLOOKUP($D1714,[1]Balanza!$A$3:$K$852,10,0)-VLOOKUP($D1714,[1]Balanza!$A$3:$K$852,11,0),0)</f>
        <v>232977.42</v>
      </c>
    </row>
    <row r="1715" spans="1:6" x14ac:dyDescent="0.3">
      <c r="A1715" s="2" t="s">
        <v>2905</v>
      </c>
      <c r="B1715" s="2" t="s">
        <v>2906</v>
      </c>
      <c r="C1715" t="s">
        <v>3088</v>
      </c>
      <c r="D1715" s="5" t="s">
        <v>4795</v>
      </c>
      <c r="E1715" s="6">
        <f>IFERROR(VLOOKUP($D1715,[1]Balanza!$A$3:$K$852,6,0)-VLOOKUP(D1715,[1]Balanza!$A$3:$K$852,7,0),0)</f>
        <v>0</v>
      </c>
      <c r="F1715" s="6">
        <f>IFERROR(VLOOKUP($D1715,[1]Balanza!$A$3:$K$852,10,0)-VLOOKUP($D1715,[1]Balanza!$A$3:$K$852,11,0),0)</f>
        <v>0</v>
      </c>
    </row>
    <row r="1716" spans="1:6" x14ac:dyDescent="0.3">
      <c r="A1716" s="2" t="s">
        <v>2907</v>
      </c>
      <c r="B1716" s="2" t="s">
        <v>2908</v>
      </c>
      <c r="C1716" t="s">
        <v>3067</v>
      </c>
      <c r="D1716" s="5" t="s">
        <v>4796</v>
      </c>
      <c r="E1716" s="6">
        <f>IFERROR(VLOOKUP($D1716,[1]Balanza!$A$3:$K$852,6,0)-VLOOKUP(D1716,[1]Balanza!$A$3:$K$852,7,0),0)</f>
        <v>3609.41</v>
      </c>
      <c r="F1716" s="6">
        <f>IFERROR(VLOOKUP($D1716,[1]Balanza!$A$3:$K$852,10,0)-VLOOKUP($D1716,[1]Balanza!$A$3:$K$852,11,0),0)</f>
        <v>7080.76</v>
      </c>
    </row>
    <row r="1717" spans="1:6" x14ac:dyDescent="0.3">
      <c r="A1717" s="2" t="s">
        <v>2909</v>
      </c>
      <c r="B1717" s="2" t="s">
        <v>2910</v>
      </c>
      <c r="C1717" t="s">
        <v>3067</v>
      </c>
      <c r="D1717" s="5" t="s">
        <v>4797</v>
      </c>
      <c r="E1717" s="6">
        <f>IFERROR(VLOOKUP($D1717,[1]Balanza!$A$3:$K$852,6,0)-VLOOKUP(D1717,[1]Balanza!$A$3:$K$852,7,0),0)</f>
        <v>0</v>
      </c>
      <c r="F1717" s="6">
        <f>IFERROR(VLOOKUP($D1717,[1]Balanza!$A$3:$K$852,10,0)-VLOOKUP($D1717,[1]Balanza!$A$3:$K$852,11,0),0)</f>
        <v>0</v>
      </c>
    </row>
    <row r="1718" spans="1:6" x14ac:dyDescent="0.3">
      <c r="A1718" s="2" t="s">
        <v>2911</v>
      </c>
      <c r="B1718" s="2" t="s">
        <v>2912</v>
      </c>
      <c r="C1718" t="s">
        <v>3038</v>
      </c>
      <c r="D1718" s="5" t="s">
        <v>4798</v>
      </c>
      <c r="E1718" s="6">
        <f>IFERROR(VLOOKUP($D1718,[1]Balanza!$A$3:$K$852,6,0)-VLOOKUP(D1718,[1]Balanza!$A$3:$K$852,7,0),0)</f>
        <v>0</v>
      </c>
      <c r="F1718" s="6">
        <f>IFERROR(VLOOKUP($D1718,[1]Balanza!$A$3:$K$852,10,0)-VLOOKUP($D1718,[1]Balanza!$A$3:$K$852,11,0),0)</f>
        <v>0</v>
      </c>
    </row>
    <row r="1719" spans="1:6" x14ac:dyDescent="0.3">
      <c r="A1719" s="2" t="s">
        <v>2913</v>
      </c>
      <c r="B1719" s="2" t="s">
        <v>2914</v>
      </c>
      <c r="C1719" t="s">
        <v>3089</v>
      </c>
      <c r="D1719" s="5" t="s">
        <v>4799</v>
      </c>
      <c r="E1719" s="6">
        <f>IFERROR(VLOOKUP($D1719,[1]Balanza!$A$3:$K$852,6,0)-VLOOKUP(D1719,[1]Balanza!$A$3:$K$852,7,0),0)</f>
        <v>0</v>
      </c>
      <c r="F1719" s="6">
        <f>IFERROR(VLOOKUP($D1719,[1]Balanza!$A$3:$K$852,10,0)-VLOOKUP($D1719,[1]Balanza!$A$3:$K$852,11,0),0)</f>
        <v>0</v>
      </c>
    </row>
    <row r="1720" spans="1:6" x14ac:dyDescent="0.3">
      <c r="A1720" s="1" t="s">
        <v>2915</v>
      </c>
      <c r="B1720" s="1" t="s">
        <v>2916</v>
      </c>
      <c r="C1720" t="s">
        <v>3029</v>
      </c>
      <c r="D1720" s="5" t="s">
        <v>4800</v>
      </c>
      <c r="E1720" s="6">
        <f>IFERROR(VLOOKUP($D1720,[1]Balanza!$A$3:$K$852,6,0)-VLOOKUP(D1720,[1]Balanza!$A$3:$K$852,7,0),0)</f>
        <v>0</v>
      </c>
      <c r="F1720" s="6">
        <f>IFERROR(VLOOKUP($D1720,[1]Balanza!$A$3:$K$852,10,0)-VLOOKUP($D1720,[1]Balanza!$A$3:$K$852,11,0),0)</f>
        <v>0</v>
      </c>
    </row>
    <row r="1721" spans="1:6" x14ac:dyDescent="0.3">
      <c r="A1721" s="2" t="s">
        <v>2917</v>
      </c>
      <c r="B1721" s="2" t="s">
        <v>2918</v>
      </c>
      <c r="C1721" t="s">
        <v>3029</v>
      </c>
      <c r="D1721" s="5" t="s">
        <v>4801</v>
      </c>
      <c r="E1721" s="6">
        <f>IFERROR(VLOOKUP($D1721,[1]Balanza!$A$3:$K$852,6,0)-VLOOKUP(D1721,[1]Balanza!$A$3:$K$852,7,0),0)</f>
        <v>0</v>
      </c>
      <c r="F1721" s="6">
        <f>IFERROR(VLOOKUP($D1721,[1]Balanza!$A$3:$K$852,10,0)-VLOOKUP($D1721,[1]Balanza!$A$3:$K$852,11,0),0)</f>
        <v>0</v>
      </c>
    </row>
    <row r="1722" spans="1:6" x14ac:dyDescent="0.3">
      <c r="A1722" s="2" t="s">
        <v>4905</v>
      </c>
      <c r="B1722" s="2" t="s">
        <v>2918</v>
      </c>
      <c r="C1722" t="s">
        <v>3087</v>
      </c>
      <c r="D1722" s="5" t="s">
        <v>4907</v>
      </c>
      <c r="E1722" s="6">
        <f>IFERROR(VLOOKUP($D1722,[1]Balanza!$A$3:$K$852,6,0)-VLOOKUP(D1722,[1]Balanza!$A$3:$K$852,7,0),0)</f>
        <v>-117319.75</v>
      </c>
      <c r="F1722" s="6">
        <f>IFERROR(VLOOKUP($D1722,[1]Balanza!$A$3:$K$852,10,0)-VLOOKUP($D1722,[1]Balanza!$A$3:$K$852,11,0),0)</f>
        <v>-50094.86</v>
      </c>
    </row>
    <row r="1723" spans="1:6" x14ac:dyDescent="0.3">
      <c r="A1723" s="2" t="s">
        <v>4906</v>
      </c>
      <c r="B1723" s="2" t="s">
        <v>2938</v>
      </c>
      <c r="C1723" t="s">
        <v>3087</v>
      </c>
      <c r="D1723" s="5" t="s">
        <v>4908</v>
      </c>
      <c r="E1723" s="6">
        <f>IFERROR(VLOOKUP($D1723,[1]Balanza!$A$3:$K$852,6,0)-VLOOKUP(D1723,[1]Balanza!$A$3:$K$852,7,0),0)</f>
        <v>-7740.5</v>
      </c>
      <c r="F1723" s="6">
        <f>IFERROR(VLOOKUP($D1723,[1]Balanza!$A$3:$K$852,10,0)-VLOOKUP($D1723,[1]Balanza!$A$3:$K$852,11,0),0)</f>
        <v>-448.97</v>
      </c>
    </row>
    <row r="1724" spans="1:6" x14ac:dyDescent="0.3">
      <c r="A1724" s="2" t="s">
        <v>2919</v>
      </c>
      <c r="B1724" s="2" t="s">
        <v>2920</v>
      </c>
      <c r="C1724" t="s">
        <v>3090</v>
      </c>
      <c r="D1724" s="5" t="s">
        <v>4802</v>
      </c>
      <c r="E1724" s="6">
        <f>IFERROR(VLOOKUP($D1724,[1]Balanza!$A$3:$K$852,6,0)-VLOOKUP(D1724,[1]Balanza!$A$3:$K$852,7,0),0)</f>
        <v>0</v>
      </c>
      <c r="F1724" s="6">
        <f>IFERROR(VLOOKUP($D1724,[1]Balanza!$A$3:$K$852,10,0)-VLOOKUP($D1724,[1]Balanza!$A$3:$K$852,11,0),0)</f>
        <v>0</v>
      </c>
    </row>
    <row r="1725" spans="1:6" x14ac:dyDescent="0.3">
      <c r="A1725" s="2" t="s">
        <v>2921</v>
      </c>
      <c r="B1725" s="2" t="s">
        <v>2922</v>
      </c>
      <c r="C1725" t="s">
        <v>3090</v>
      </c>
      <c r="D1725" s="5" t="s">
        <v>4803</v>
      </c>
      <c r="E1725" s="6">
        <f>IFERROR(VLOOKUP($D1725,[1]Balanza!$A$3:$K$852,6,0)-VLOOKUP(D1725,[1]Balanza!$A$3:$K$852,7,0),0)</f>
        <v>0</v>
      </c>
      <c r="F1725" s="6">
        <f>IFERROR(VLOOKUP($D1725,[1]Balanza!$A$3:$K$852,10,0)-VLOOKUP($D1725,[1]Balanza!$A$3:$K$852,11,0),0)</f>
        <v>0</v>
      </c>
    </row>
    <row r="1726" spans="1:6" x14ac:dyDescent="0.3">
      <c r="A1726" s="2" t="s">
        <v>2923</v>
      </c>
      <c r="B1726" s="2" t="s">
        <v>2924</v>
      </c>
      <c r="C1726" t="s">
        <v>3090</v>
      </c>
      <c r="D1726" s="5" t="s">
        <v>4804</v>
      </c>
      <c r="E1726" s="6">
        <f>IFERROR(VLOOKUP($D1726,[1]Balanza!$A$3:$K$852,6,0)-VLOOKUP(D1726,[1]Balanza!$A$3:$K$852,7,0),0)</f>
        <v>0</v>
      </c>
      <c r="F1726" s="6">
        <f>IFERROR(VLOOKUP($D1726,[1]Balanza!$A$3:$K$852,10,0)-VLOOKUP($D1726,[1]Balanza!$A$3:$K$852,11,0),0)</f>
        <v>0</v>
      </c>
    </row>
    <row r="1727" spans="1:6" x14ac:dyDescent="0.3">
      <c r="A1727" s="2" t="s">
        <v>2925</v>
      </c>
      <c r="B1727" s="2" t="s">
        <v>2926</v>
      </c>
      <c r="C1727" t="s">
        <v>3090</v>
      </c>
      <c r="D1727" s="5" t="s">
        <v>4805</v>
      </c>
      <c r="E1727" s="6">
        <f>IFERROR(VLOOKUP($D1727,[1]Balanza!$A$3:$K$852,6,0)-VLOOKUP(D1727,[1]Balanza!$A$3:$K$852,7,0),0)</f>
        <v>0</v>
      </c>
      <c r="F1727" s="6">
        <f>IFERROR(VLOOKUP($D1727,[1]Balanza!$A$3:$K$852,10,0)-VLOOKUP($D1727,[1]Balanza!$A$3:$K$852,11,0),0)</f>
        <v>0</v>
      </c>
    </row>
    <row r="1728" spans="1:6" x14ac:dyDescent="0.3">
      <c r="A1728" s="2" t="s">
        <v>2927</v>
      </c>
      <c r="B1728" s="2" t="s">
        <v>2928</v>
      </c>
      <c r="C1728" t="s">
        <v>3090</v>
      </c>
      <c r="D1728" s="5" t="s">
        <v>4806</v>
      </c>
      <c r="E1728" s="6">
        <f>IFERROR(VLOOKUP($D1728,[1]Balanza!$A$3:$K$852,6,0)-VLOOKUP(D1728,[1]Balanza!$A$3:$K$852,7,0),0)</f>
        <v>0</v>
      </c>
      <c r="F1728" s="6">
        <f>IFERROR(VLOOKUP($D1728,[1]Balanza!$A$3:$K$852,10,0)-VLOOKUP($D1728,[1]Balanza!$A$3:$K$852,11,0),0)</f>
        <v>0</v>
      </c>
    </row>
    <row r="1729" spans="1:6" x14ac:dyDescent="0.3">
      <c r="A1729" s="2" t="s">
        <v>2929</v>
      </c>
      <c r="B1729" s="2" t="s">
        <v>2930</v>
      </c>
      <c r="C1729" t="s">
        <v>3090</v>
      </c>
      <c r="D1729" s="5" t="s">
        <v>4807</v>
      </c>
      <c r="E1729" s="6">
        <f>IFERROR(VLOOKUP($D1729,[1]Balanza!$A$3:$K$852,6,0)-VLOOKUP(D1729,[1]Balanza!$A$3:$K$852,7,0),0)</f>
        <v>0</v>
      </c>
      <c r="F1729" s="6">
        <f>IFERROR(VLOOKUP($D1729,[1]Balanza!$A$3:$K$852,10,0)-VLOOKUP($D1729,[1]Balanza!$A$3:$K$852,11,0),0)</f>
        <v>0</v>
      </c>
    </row>
    <row r="1730" spans="1:6" x14ac:dyDescent="0.3">
      <c r="A1730" s="2" t="s">
        <v>2931</v>
      </c>
      <c r="B1730" s="2" t="s">
        <v>2932</v>
      </c>
      <c r="C1730" t="s">
        <v>3090</v>
      </c>
      <c r="D1730" s="5" t="s">
        <v>4808</v>
      </c>
      <c r="E1730" s="6">
        <f>IFERROR(VLOOKUP($D1730,[1]Balanza!$A$3:$K$852,6,0)-VLOOKUP(D1730,[1]Balanza!$A$3:$K$852,7,0),0)</f>
        <v>0</v>
      </c>
      <c r="F1730" s="6">
        <f>IFERROR(VLOOKUP($D1730,[1]Balanza!$A$3:$K$852,10,0)-VLOOKUP($D1730,[1]Balanza!$A$3:$K$852,11,0),0)</f>
        <v>0</v>
      </c>
    </row>
    <row r="1731" spans="1:6" x14ac:dyDescent="0.3">
      <c r="A1731" s="2" t="s">
        <v>2933</v>
      </c>
      <c r="B1731" s="2" t="s">
        <v>2934</v>
      </c>
      <c r="C1731" t="s">
        <v>3090</v>
      </c>
      <c r="D1731" s="5" t="s">
        <v>4809</v>
      </c>
      <c r="E1731" s="6">
        <f>IFERROR(VLOOKUP($D1731,[1]Balanza!$A$3:$K$852,6,0)-VLOOKUP(D1731,[1]Balanza!$A$3:$K$852,7,0),0)</f>
        <v>0</v>
      </c>
      <c r="F1731" s="6">
        <f>IFERROR(VLOOKUP($D1731,[1]Balanza!$A$3:$K$852,10,0)-VLOOKUP($D1731,[1]Balanza!$A$3:$K$852,11,0),0)</f>
        <v>0</v>
      </c>
    </row>
    <row r="1732" spans="1:6" x14ac:dyDescent="0.3">
      <c r="A1732" s="2" t="s">
        <v>2935</v>
      </c>
      <c r="B1732" s="2" t="s">
        <v>2936</v>
      </c>
      <c r="C1732" t="s">
        <v>3090</v>
      </c>
      <c r="D1732" s="5" t="s">
        <v>4810</v>
      </c>
      <c r="E1732" s="6">
        <f>IFERROR(VLOOKUP($D1732,[1]Balanza!$A$3:$K$852,6,0)-VLOOKUP(D1732,[1]Balanza!$A$3:$K$852,7,0),0)</f>
        <v>0</v>
      </c>
      <c r="F1732" s="6">
        <f>IFERROR(VLOOKUP($D1732,[1]Balanza!$A$3:$K$852,10,0)-VLOOKUP($D1732,[1]Balanza!$A$3:$K$852,11,0),0)</f>
        <v>0</v>
      </c>
    </row>
    <row r="1733" spans="1:6" x14ac:dyDescent="0.3">
      <c r="A1733" s="2" t="s">
        <v>2937</v>
      </c>
      <c r="B1733" s="2" t="s">
        <v>2938</v>
      </c>
      <c r="C1733" t="s">
        <v>3090</v>
      </c>
      <c r="D1733" s="5" t="s">
        <v>4811</v>
      </c>
      <c r="E1733" s="6">
        <f>IFERROR(VLOOKUP($D1733,[1]Balanza!$A$3:$K$852,6,0)-VLOOKUP(D1733,[1]Balanza!$A$3:$K$852,7,0),0)</f>
        <v>0</v>
      </c>
      <c r="F1733" s="6">
        <f>IFERROR(VLOOKUP($D1733,[1]Balanza!$A$3:$K$852,10,0)-VLOOKUP($D1733,[1]Balanza!$A$3:$K$852,11,0),0)</f>
        <v>0</v>
      </c>
    </row>
    <row r="1734" spans="1:6" x14ac:dyDescent="0.3">
      <c r="A1734" s="1" t="s">
        <v>2939</v>
      </c>
      <c r="B1734" s="1" t="s">
        <v>2940</v>
      </c>
      <c r="C1734" t="s">
        <v>3029</v>
      </c>
      <c r="D1734" s="5" t="s">
        <v>4812</v>
      </c>
      <c r="E1734" s="6">
        <f>IFERROR(VLOOKUP($D1734,[1]Balanza!$A$3:$K$852,6,0)-VLOOKUP(D1734,[1]Balanza!$A$3:$K$852,7,0),0)</f>
        <v>0</v>
      </c>
      <c r="F1734" s="6">
        <f>IFERROR(VLOOKUP($D1734,[1]Balanza!$A$3:$K$852,10,0)-VLOOKUP($D1734,[1]Balanza!$A$3:$K$852,11,0),0)</f>
        <v>0</v>
      </c>
    </row>
    <row r="1735" spans="1:6" x14ac:dyDescent="0.3">
      <c r="A1735" s="2" t="s">
        <v>2941</v>
      </c>
      <c r="B1735" s="2" t="s">
        <v>2942</v>
      </c>
      <c r="C1735" t="s">
        <v>3090</v>
      </c>
      <c r="D1735" s="5" t="s">
        <v>4813</v>
      </c>
      <c r="E1735" s="6">
        <f>IFERROR(VLOOKUP($D1735,[1]Balanza!$A$3:$K$852,6,0)-VLOOKUP(D1735,[1]Balanza!$A$3:$K$852,7,0),0)</f>
        <v>0</v>
      </c>
      <c r="F1735" s="6">
        <f>IFERROR(VLOOKUP($D1735,[1]Balanza!$A$3:$K$852,10,0)-VLOOKUP($D1735,[1]Balanza!$A$3:$K$852,11,0),0)</f>
        <v>0</v>
      </c>
    </row>
    <row r="1736" spans="1:6" x14ac:dyDescent="0.3">
      <c r="A1736" s="2" t="s">
        <v>2943</v>
      </c>
      <c r="B1736" s="2" t="s">
        <v>2944</v>
      </c>
      <c r="C1736" t="s">
        <v>3090</v>
      </c>
      <c r="D1736" s="5" t="s">
        <v>4814</v>
      </c>
      <c r="E1736" s="6">
        <f>IFERROR(VLOOKUP($D1736,[1]Balanza!$A$3:$K$852,6,0)-VLOOKUP(D1736,[1]Balanza!$A$3:$K$852,7,0),0)</f>
        <v>0</v>
      </c>
      <c r="F1736" s="6">
        <f>IFERROR(VLOOKUP($D1736,[1]Balanza!$A$3:$K$852,10,0)-VLOOKUP($D1736,[1]Balanza!$A$3:$K$852,11,0),0)</f>
        <v>0</v>
      </c>
    </row>
    <row r="1737" spans="1:6" x14ac:dyDescent="0.3">
      <c r="A1737" s="2" t="s">
        <v>2945</v>
      </c>
      <c r="B1737" s="2" t="s">
        <v>2946</v>
      </c>
      <c r="C1737" t="s">
        <v>3090</v>
      </c>
      <c r="D1737" s="5" t="s">
        <v>4815</v>
      </c>
      <c r="E1737" s="6">
        <f>IFERROR(VLOOKUP($D1737,[1]Balanza!$A$3:$K$852,6,0)-VLOOKUP(D1737,[1]Balanza!$A$3:$K$852,7,0),0)</f>
        <v>0</v>
      </c>
      <c r="F1737" s="6">
        <f>IFERROR(VLOOKUP($D1737,[1]Balanza!$A$3:$K$852,10,0)-VLOOKUP($D1737,[1]Balanza!$A$3:$K$852,11,0),0)</f>
        <v>0</v>
      </c>
    </row>
    <row r="1738" spans="1:6" x14ac:dyDescent="0.3">
      <c r="A1738" s="2" t="s">
        <v>2947</v>
      </c>
      <c r="B1738" s="2" t="s">
        <v>2948</v>
      </c>
      <c r="C1738" t="s">
        <v>3090</v>
      </c>
      <c r="D1738" s="5" t="s">
        <v>4816</v>
      </c>
      <c r="E1738" s="6">
        <f>IFERROR(VLOOKUP($D1738,[1]Balanza!$A$3:$K$852,6,0)-VLOOKUP(D1738,[1]Balanza!$A$3:$K$852,7,0),0)</f>
        <v>0</v>
      </c>
      <c r="F1738" s="6">
        <f>IFERROR(VLOOKUP($D1738,[1]Balanza!$A$3:$K$852,10,0)-VLOOKUP($D1738,[1]Balanza!$A$3:$K$852,11,0),0)</f>
        <v>0</v>
      </c>
    </row>
    <row r="1739" spans="1:6" x14ac:dyDescent="0.3">
      <c r="A1739" s="2" t="s">
        <v>2949</v>
      </c>
      <c r="B1739" s="2" t="s">
        <v>2950</v>
      </c>
      <c r="C1739" t="s">
        <v>3090</v>
      </c>
      <c r="D1739" s="5" t="s">
        <v>4817</v>
      </c>
      <c r="E1739" s="6">
        <f>IFERROR(VLOOKUP($D1739,[1]Balanza!$A$3:$K$852,6,0)-VLOOKUP(D1739,[1]Balanza!$A$3:$K$852,7,0),0)</f>
        <v>0</v>
      </c>
      <c r="F1739" s="6">
        <f>IFERROR(VLOOKUP($D1739,[1]Balanza!$A$3:$K$852,10,0)-VLOOKUP($D1739,[1]Balanza!$A$3:$K$852,11,0),0)</f>
        <v>0</v>
      </c>
    </row>
    <row r="1740" spans="1:6" x14ac:dyDescent="0.3">
      <c r="A1740" s="2" t="s">
        <v>2951</v>
      </c>
      <c r="B1740" s="2" t="s">
        <v>2952</v>
      </c>
      <c r="C1740" t="s">
        <v>3090</v>
      </c>
      <c r="D1740" s="5" t="s">
        <v>4818</v>
      </c>
      <c r="E1740" s="6">
        <f>IFERROR(VLOOKUP($D1740,[1]Balanza!$A$3:$K$852,6,0)-VLOOKUP(D1740,[1]Balanza!$A$3:$K$852,7,0),0)</f>
        <v>0</v>
      </c>
      <c r="F1740" s="6">
        <f>IFERROR(VLOOKUP($D1740,[1]Balanza!$A$3:$K$852,10,0)-VLOOKUP($D1740,[1]Balanza!$A$3:$K$852,11,0),0)</f>
        <v>0</v>
      </c>
    </row>
    <row r="1741" spans="1:6" x14ac:dyDescent="0.3">
      <c r="A1741" s="2" t="s">
        <v>2953</v>
      </c>
      <c r="B1741" s="2" t="s">
        <v>2954</v>
      </c>
      <c r="C1741" t="s">
        <v>3090</v>
      </c>
      <c r="D1741" s="5" t="s">
        <v>4819</v>
      </c>
      <c r="E1741" s="6">
        <f>IFERROR(VLOOKUP($D1741,[1]Balanza!$A$3:$K$852,6,0)-VLOOKUP(D1741,[1]Balanza!$A$3:$K$852,7,0),0)</f>
        <v>0</v>
      </c>
      <c r="F1741" s="6">
        <f>IFERROR(VLOOKUP($D1741,[1]Balanza!$A$3:$K$852,10,0)-VLOOKUP($D1741,[1]Balanza!$A$3:$K$852,11,0),0)</f>
        <v>0</v>
      </c>
    </row>
    <row r="1742" spans="1:6" x14ac:dyDescent="0.3">
      <c r="A1742" s="2" t="s">
        <v>2955</v>
      </c>
      <c r="B1742" s="2" t="s">
        <v>2956</v>
      </c>
      <c r="C1742" t="s">
        <v>3090</v>
      </c>
      <c r="D1742" s="5" t="s">
        <v>4820</v>
      </c>
      <c r="E1742" s="6">
        <f>IFERROR(VLOOKUP($D1742,[1]Balanza!$A$3:$K$852,6,0)-VLOOKUP(D1742,[1]Balanza!$A$3:$K$852,7,0),0)</f>
        <v>0</v>
      </c>
      <c r="F1742" s="6">
        <f>IFERROR(VLOOKUP($D1742,[1]Balanza!$A$3:$K$852,10,0)-VLOOKUP($D1742,[1]Balanza!$A$3:$K$852,11,0),0)</f>
        <v>0</v>
      </c>
    </row>
    <row r="1743" spans="1:6" x14ac:dyDescent="0.3">
      <c r="A1743" s="2" t="s">
        <v>2957</v>
      </c>
      <c r="B1743" s="2" t="s">
        <v>2958</v>
      </c>
      <c r="C1743" t="s">
        <v>3090</v>
      </c>
      <c r="D1743" s="5" t="s">
        <v>4821</v>
      </c>
      <c r="E1743" s="6">
        <f>IFERROR(VLOOKUP($D1743,[1]Balanza!$A$3:$K$852,6,0)-VLOOKUP(D1743,[1]Balanza!$A$3:$K$852,7,0),0)</f>
        <v>0</v>
      </c>
      <c r="F1743" s="6">
        <f>IFERROR(VLOOKUP($D1743,[1]Balanza!$A$3:$K$852,10,0)-VLOOKUP($D1743,[1]Balanza!$A$3:$K$852,11,0),0)</f>
        <v>0</v>
      </c>
    </row>
    <row r="1744" spans="1:6" x14ac:dyDescent="0.3">
      <c r="A1744" s="2" t="s">
        <v>2959</v>
      </c>
      <c r="B1744" s="2" t="s">
        <v>2960</v>
      </c>
      <c r="C1744" t="s">
        <v>3090</v>
      </c>
      <c r="D1744" s="5" t="s">
        <v>4822</v>
      </c>
      <c r="E1744" s="6">
        <f>IFERROR(VLOOKUP($D1744,[1]Balanza!$A$3:$K$852,6,0)-VLOOKUP(D1744,[1]Balanza!$A$3:$K$852,7,0),0)</f>
        <v>0</v>
      </c>
      <c r="F1744" s="6">
        <f>IFERROR(VLOOKUP($D1744,[1]Balanza!$A$3:$K$852,10,0)-VLOOKUP($D1744,[1]Balanza!$A$3:$K$852,11,0),0)</f>
        <v>0</v>
      </c>
    </row>
    <row r="1745" spans="1:6" x14ac:dyDescent="0.3">
      <c r="A1745" s="2" t="s">
        <v>2961</v>
      </c>
      <c r="B1745" s="2" t="s">
        <v>2962</v>
      </c>
      <c r="C1745" t="s">
        <v>3090</v>
      </c>
      <c r="D1745" s="5" t="s">
        <v>4823</v>
      </c>
      <c r="E1745" s="6">
        <f>IFERROR(VLOOKUP($D1745,[1]Balanza!$A$3:$K$852,6,0)-VLOOKUP(D1745,[1]Balanza!$A$3:$K$852,7,0),0)</f>
        <v>0</v>
      </c>
      <c r="F1745" s="6">
        <f>IFERROR(VLOOKUP($D1745,[1]Balanza!$A$3:$K$852,10,0)-VLOOKUP($D1745,[1]Balanza!$A$3:$K$852,11,0),0)</f>
        <v>0</v>
      </c>
    </row>
    <row r="1746" spans="1:6" x14ac:dyDescent="0.3">
      <c r="A1746" s="2" t="s">
        <v>2963</v>
      </c>
      <c r="B1746" s="2" t="s">
        <v>2964</v>
      </c>
      <c r="C1746" t="s">
        <v>3090</v>
      </c>
      <c r="D1746" s="5" t="s">
        <v>4824</v>
      </c>
      <c r="E1746" s="6">
        <f>IFERROR(VLOOKUP($D1746,[1]Balanza!$A$3:$K$852,6,0)-VLOOKUP(D1746,[1]Balanza!$A$3:$K$852,7,0),0)</f>
        <v>0</v>
      </c>
      <c r="F1746" s="6">
        <f>IFERROR(VLOOKUP($D1746,[1]Balanza!$A$3:$K$852,10,0)-VLOOKUP($D1746,[1]Balanza!$A$3:$K$852,11,0),0)</f>
        <v>0</v>
      </c>
    </row>
    <row r="1747" spans="1:6" x14ac:dyDescent="0.3">
      <c r="A1747" s="2" t="s">
        <v>2965</v>
      </c>
      <c r="B1747" s="2" t="s">
        <v>2966</v>
      </c>
      <c r="C1747" t="s">
        <v>3090</v>
      </c>
      <c r="D1747" s="5" t="s">
        <v>4825</v>
      </c>
      <c r="E1747" s="6">
        <f>IFERROR(VLOOKUP($D1747,[1]Balanza!$A$3:$K$852,6,0)-VLOOKUP(D1747,[1]Balanza!$A$3:$K$852,7,0),0)</f>
        <v>0</v>
      </c>
      <c r="F1747" s="6">
        <f>IFERROR(VLOOKUP($D1747,[1]Balanza!$A$3:$K$852,10,0)-VLOOKUP($D1747,[1]Balanza!$A$3:$K$852,11,0),0)</f>
        <v>0</v>
      </c>
    </row>
    <row r="1748" spans="1:6" x14ac:dyDescent="0.3">
      <c r="A1748" s="2" t="s">
        <v>2967</v>
      </c>
      <c r="B1748" s="2" t="s">
        <v>2968</v>
      </c>
      <c r="C1748" t="s">
        <v>3090</v>
      </c>
      <c r="D1748" s="5" t="s">
        <v>4826</v>
      </c>
      <c r="E1748" s="6">
        <f>IFERROR(VLOOKUP($D1748,[1]Balanza!$A$3:$K$852,6,0)-VLOOKUP(D1748,[1]Balanza!$A$3:$K$852,7,0),0)</f>
        <v>0</v>
      </c>
      <c r="F1748" s="6">
        <f>IFERROR(VLOOKUP($D1748,[1]Balanza!$A$3:$K$852,10,0)-VLOOKUP($D1748,[1]Balanza!$A$3:$K$852,11,0),0)</f>
        <v>0</v>
      </c>
    </row>
    <row r="1749" spans="1:6" x14ac:dyDescent="0.3">
      <c r="A1749" s="2" t="s">
        <v>2969</v>
      </c>
      <c r="B1749" s="2" t="s">
        <v>2970</v>
      </c>
      <c r="C1749" t="s">
        <v>3090</v>
      </c>
      <c r="D1749" s="5" t="s">
        <v>4827</v>
      </c>
      <c r="E1749" s="6">
        <f>IFERROR(VLOOKUP($D1749,[1]Balanza!$A$3:$K$852,6,0)-VLOOKUP(D1749,[1]Balanza!$A$3:$K$852,7,0),0)</f>
        <v>0</v>
      </c>
      <c r="F1749" s="6">
        <f>IFERROR(VLOOKUP($D1749,[1]Balanza!$A$3:$K$852,10,0)-VLOOKUP($D1749,[1]Balanza!$A$3:$K$852,11,0),0)</f>
        <v>0</v>
      </c>
    </row>
    <row r="1750" spans="1:6" x14ac:dyDescent="0.3">
      <c r="A1750" s="2" t="s">
        <v>2971</v>
      </c>
      <c r="B1750" s="2" t="s">
        <v>2972</v>
      </c>
      <c r="C1750" t="s">
        <v>3090</v>
      </c>
      <c r="D1750" s="5" t="s">
        <v>4828</v>
      </c>
      <c r="E1750" s="6">
        <f>IFERROR(VLOOKUP($D1750,[1]Balanza!$A$3:$K$852,6,0)-VLOOKUP(D1750,[1]Balanza!$A$3:$K$852,7,0),0)</f>
        <v>0</v>
      </c>
      <c r="F1750" s="6">
        <f>IFERROR(VLOOKUP($D1750,[1]Balanza!$A$3:$K$852,10,0)-VLOOKUP($D1750,[1]Balanza!$A$3:$K$852,11,0),0)</f>
        <v>0</v>
      </c>
    </row>
    <row r="1751" spans="1:6" x14ac:dyDescent="0.3">
      <c r="A1751" s="2" t="s">
        <v>2973</v>
      </c>
      <c r="B1751" s="2" t="s">
        <v>2974</v>
      </c>
      <c r="C1751" t="s">
        <v>3090</v>
      </c>
      <c r="D1751" s="5" t="s">
        <v>4829</v>
      </c>
      <c r="E1751" s="6">
        <f>IFERROR(VLOOKUP($D1751,[1]Balanza!$A$3:$K$852,6,0)-VLOOKUP(D1751,[1]Balanza!$A$3:$K$852,7,0),0)</f>
        <v>0</v>
      </c>
      <c r="F1751" s="6">
        <f>IFERROR(VLOOKUP($D1751,[1]Balanza!$A$3:$K$852,10,0)-VLOOKUP($D1751,[1]Balanza!$A$3:$K$852,11,0),0)</f>
        <v>0</v>
      </c>
    </row>
    <row r="1752" spans="1:6" x14ac:dyDescent="0.3">
      <c r="A1752" s="2" t="s">
        <v>2975</v>
      </c>
      <c r="B1752" s="2" t="s">
        <v>2976</v>
      </c>
      <c r="C1752" t="s">
        <v>3090</v>
      </c>
      <c r="D1752" s="5" t="s">
        <v>4830</v>
      </c>
      <c r="E1752" s="6">
        <f>IFERROR(VLOOKUP($D1752,[1]Balanza!$A$3:$K$852,6,0)-VLOOKUP(D1752,[1]Balanza!$A$3:$K$852,7,0),0)</f>
        <v>0</v>
      </c>
      <c r="F1752" s="6">
        <f>IFERROR(VLOOKUP($D1752,[1]Balanza!$A$3:$K$852,10,0)-VLOOKUP($D1752,[1]Balanza!$A$3:$K$852,11,0),0)</f>
        <v>0</v>
      </c>
    </row>
    <row r="1753" spans="1:6" x14ac:dyDescent="0.3">
      <c r="A1753" s="2" t="s">
        <v>2977</v>
      </c>
      <c r="B1753" s="2" t="s">
        <v>2978</v>
      </c>
      <c r="C1753" t="s">
        <v>3090</v>
      </c>
      <c r="D1753" s="5" t="s">
        <v>4831</v>
      </c>
      <c r="E1753" s="6">
        <f>IFERROR(VLOOKUP($D1753,[1]Balanza!$A$3:$K$852,6,0)-VLOOKUP(D1753,[1]Balanza!$A$3:$K$852,7,0),0)</f>
        <v>0</v>
      </c>
      <c r="F1753" s="6">
        <f>IFERROR(VLOOKUP($D1753,[1]Balanza!$A$3:$K$852,10,0)-VLOOKUP($D1753,[1]Balanza!$A$3:$K$852,11,0),0)</f>
        <v>0</v>
      </c>
    </row>
    <row r="1754" spans="1:6" x14ac:dyDescent="0.3">
      <c r="A1754" s="2" t="s">
        <v>2979</v>
      </c>
      <c r="B1754" s="2" t="s">
        <v>2980</v>
      </c>
      <c r="C1754" t="s">
        <v>3090</v>
      </c>
      <c r="D1754" s="5" t="s">
        <v>4832</v>
      </c>
      <c r="E1754" s="6">
        <f>IFERROR(VLOOKUP($D1754,[1]Balanza!$A$3:$K$852,6,0)-VLOOKUP(D1754,[1]Balanza!$A$3:$K$852,7,0),0)</f>
        <v>0</v>
      </c>
      <c r="F1754" s="6">
        <f>IFERROR(VLOOKUP($D1754,[1]Balanza!$A$3:$K$852,10,0)-VLOOKUP($D1754,[1]Balanza!$A$3:$K$852,11,0),0)</f>
        <v>0</v>
      </c>
    </row>
    <row r="1755" spans="1:6" x14ac:dyDescent="0.3">
      <c r="A1755" s="2" t="s">
        <v>2981</v>
      </c>
      <c r="B1755" s="2" t="s">
        <v>2940</v>
      </c>
      <c r="C1755" t="s">
        <v>3090</v>
      </c>
      <c r="D1755" s="5" t="s">
        <v>4833</v>
      </c>
      <c r="E1755" s="6">
        <f>IFERROR(VLOOKUP($D1755,[1]Balanza!$A$3:$K$852,6,0)-VLOOKUP(D1755,[1]Balanza!$A$3:$K$852,7,0),0)</f>
        <v>0</v>
      </c>
      <c r="F1755" s="6">
        <f>IFERROR(VLOOKUP($D1755,[1]Balanza!$A$3:$K$852,10,0)-VLOOKUP($D1755,[1]Balanza!$A$3:$K$852,11,0),0)</f>
        <v>0</v>
      </c>
    </row>
    <row r="1756" spans="1:6" x14ac:dyDescent="0.3">
      <c r="A1756" s="1" t="s">
        <v>2982</v>
      </c>
      <c r="B1756" s="1" t="s">
        <v>2983</v>
      </c>
      <c r="C1756" t="s">
        <v>3090</v>
      </c>
      <c r="D1756" s="5" t="s">
        <v>4834</v>
      </c>
      <c r="E1756" s="6">
        <f>IFERROR(VLOOKUP($D1756,[1]Balanza!$A$3:$K$852,6,0)-VLOOKUP(D1756,[1]Balanza!$A$3:$K$852,7,0),0)</f>
        <v>0</v>
      </c>
      <c r="F1756" s="6">
        <f>IFERROR(VLOOKUP($D1756,[1]Balanza!$A$3:$K$852,10,0)-VLOOKUP($D1756,[1]Balanza!$A$3:$K$852,11,0),0)</f>
        <v>0</v>
      </c>
    </row>
    <row r="1757" spans="1:6" x14ac:dyDescent="0.3">
      <c r="A1757" s="2" t="s">
        <v>2984</v>
      </c>
      <c r="B1757" s="2" t="s">
        <v>2985</v>
      </c>
      <c r="C1757" t="s">
        <v>3090</v>
      </c>
      <c r="D1757" s="5" t="s">
        <v>4835</v>
      </c>
      <c r="E1757" s="6">
        <f>IFERROR(VLOOKUP($D1757,[1]Balanza!$A$3:$K$852,6,0)-VLOOKUP(D1757,[1]Balanza!$A$3:$K$852,7,0),0)</f>
        <v>0</v>
      </c>
      <c r="F1757" s="6">
        <f>IFERROR(VLOOKUP($D1757,[1]Balanza!$A$3:$K$852,10,0)-VLOOKUP($D1757,[1]Balanza!$A$3:$K$852,11,0),0)</f>
        <v>0</v>
      </c>
    </row>
    <row r="1758" spans="1:6" x14ac:dyDescent="0.3">
      <c r="A1758" s="2" t="s">
        <v>2986</v>
      </c>
      <c r="B1758" s="2" t="s">
        <v>2987</v>
      </c>
      <c r="C1758" t="s">
        <v>3090</v>
      </c>
      <c r="D1758" s="5" t="s">
        <v>4836</v>
      </c>
      <c r="E1758" s="6">
        <f>IFERROR(VLOOKUP($D1758,[1]Balanza!$A$3:$K$852,6,0)-VLOOKUP(D1758,[1]Balanza!$A$3:$K$852,7,0),0)</f>
        <v>0</v>
      </c>
      <c r="F1758" s="6">
        <f>IFERROR(VLOOKUP($D1758,[1]Balanza!$A$3:$K$852,10,0)-VLOOKUP($D1758,[1]Balanza!$A$3:$K$852,11,0),0)</f>
        <v>0</v>
      </c>
    </row>
    <row r="1759" spans="1:6" x14ac:dyDescent="0.3">
      <c r="A1759" s="2" t="s">
        <v>2988</v>
      </c>
      <c r="B1759" s="2" t="s">
        <v>2989</v>
      </c>
      <c r="C1759" t="s">
        <v>3090</v>
      </c>
      <c r="D1759" s="5" t="s">
        <v>4837</v>
      </c>
      <c r="E1759" s="6">
        <f>IFERROR(VLOOKUP($D1759,[1]Balanza!$A$3:$K$852,6,0)-VLOOKUP(D1759,[1]Balanza!$A$3:$K$852,7,0),0)</f>
        <v>0</v>
      </c>
      <c r="F1759" s="6">
        <f>IFERROR(VLOOKUP($D1759,[1]Balanza!$A$3:$K$852,10,0)-VLOOKUP($D1759,[1]Balanza!$A$3:$K$852,11,0),0)</f>
        <v>0</v>
      </c>
    </row>
    <row r="1760" spans="1:6" x14ac:dyDescent="0.3">
      <c r="A1760" s="2" t="s">
        <v>2990</v>
      </c>
      <c r="B1760" s="2" t="s">
        <v>2991</v>
      </c>
      <c r="C1760" t="s">
        <v>3090</v>
      </c>
      <c r="D1760" s="5" t="s">
        <v>4838</v>
      </c>
      <c r="E1760" s="6">
        <f>IFERROR(VLOOKUP($D1760,[1]Balanza!$A$3:$K$852,6,0)-VLOOKUP(D1760,[1]Balanza!$A$3:$K$852,7,0),0)</f>
        <v>0</v>
      </c>
      <c r="F1760" s="6">
        <f>IFERROR(VLOOKUP($D1760,[1]Balanza!$A$3:$K$852,10,0)-VLOOKUP($D1760,[1]Balanza!$A$3:$K$852,11,0),0)</f>
        <v>0</v>
      </c>
    </row>
    <row r="1761" spans="1:6" x14ac:dyDescent="0.3">
      <c r="A1761" s="2" t="s">
        <v>2992</v>
      </c>
      <c r="B1761" s="2" t="s">
        <v>2993</v>
      </c>
      <c r="C1761" t="s">
        <v>3090</v>
      </c>
      <c r="D1761" s="5" t="s">
        <v>4839</v>
      </c>
      <c r="E1761" s="6">
        <f>IFERROR(VLOOKUP($D1761,[1]Balanza!$A$3:$K$852,6,0)-VLOOKUP(D1761,[1]Balanza!$A$3:$K$852,7,0),0)</f>
        <v>0</v>
      </c>
      <c r="F1761" s="6">
        <f>IFERROR(VLOOKUP($D1761,[1]Balanza!$A$3:$K$852,10,0)-VLOOKUP($D1761,[1]Balanza!$A$3:$K$852,11,0),0)</f>
        <v>0</v>
      </c>
    </row>
    <row r="1762" spans="1:6" x14ac:dyDescent="0.3">
      <c r="A1762" s="2" t="s">
        <v>2994</v>
      </c>
      <c r="B1762" s="2" t="s">
        <v>2995</v>
      </c>
      <c r="C1762" t="s">
        <v>3090</v>
      </c>
      <c r="D1762" s="5" t="s">
        <v>4840</v>
      </c>
      <c r="E1762" s="6">
        <f>IFERROR(VLOOKUP($D1762,[1]Balanza!$A$3:$K$852,6,0)-VLOOKUP(D1762,[1]Balanza!$A$3:$K$852,7,0),0)</f>
        <v>0</v>
      </c>
      <c r="F1762" s="6">
        <f>IFERROR(VLOOKUP($D1762,[1]Balanza!$A$3:$K$852,10,0)-VLOOKUP($D1762,[1]Balanza!$A$3:$K$852,11,0),0)</f>
        <v>0</v>
      </c>
    </row>
    <row r="1763" spans="1:6" x14ac:dyDescent="0.3">
      <c r="A1763" s="2" t="s">
        <v>2996</v>
      </c>
      <c r="B1763" s="2" t="s">
        <v>2997</v>
      </c>
      <c r="C1763" t="s">
        <v>3090</v>
      </c>
      <c r="D1763" s="5" t="s">
        <v>4841</v>
      </c>
      <c r="E1763" s="6">
        <f>IFERROR(VLOOKUP($D1763,[1]Balanza!$A$3:$K$852,6,0)-VLOOKUP(D1763,[1]Balanza!$A$3:$K$852,7,0),0)</f>
        <v>0</v>
      </c>
      <c r="F1763" s="6">
        <f>IFERROR(VLOOKUP($D1763,[1]Balanza!$A$3:$K$852,10,0)-VLOOKUP($D1763,[1]Balanza!$A$3:$K$852,11,0),0)</f>
        <v>0</v>
      </c>
    </row>
    <row r="1764" spans="1:6" x14ac:dyDescent="0.3">
      <c r="A1764" s="2" t="s">
        <v>2998</v>
      </c>
      <c r="B1764" s="2" t="s">
        <v>2999</v>
      </c>
      <c r="C1764" t="s">
        <v>3090</v>
      </c>
      <c r="D1764" s="5" t="s">
        <v>4842</v>
      </c>
      <c r="E1764" s="6">
        <f>IFERROR(VLOOKUP($D1764,[1]Balanza!$A$3:$K$852,6,0)-VLOOKUP(D1764,[1]Balanza!$A$3:$K$852,7,0),0)</f>
        <v>0</v>
      </c>
      <c r="F1764" s="6">
        <f>IFERROR(VLOOKUP($D1764,[1]Balanza!$A$3:$K$852,10,0)-VLOOKUP($D1764,[1]Balanza!$A$3:$K$852,11,0),0)</f>
        <v>0</v>
      </c>
    </row>
    <row r="1765" spans="1:6" x14ac:dyDescent="0.3">
      <c r="A1765" s="2" t="s">
        <v>3000</v>
      </c>
      <c r="B1765" s="2" t="s">
        <v>3001</v>
      </c>
      <c r="C1765" t="s">
        <v>3090</v>
      </c>
      <c r="D1765" s="5" t="s">
        <v>4843</v>
      </c>
      <c r="E1765" s="6">
        <f>IFERROR(VLOOKUP($D1765,[1]Balanza!$A$3:$K$852,6,0)-VLOOKUP(D1765,[1]Balanza!$A$3:$K$852,7,0),0)</f>
        <v>0</v>
      </c>
      <c r="F1765" s="6">
        <f>IFERROR(VLOOKUP($D1765,[1]Balanza!$A$3:$K$852,10,0)-VLOOKUP($D1765,[1]Balanza!$A$3:$K$852,11,0),0)</f>
        <v>0</v>
      </c>
    </row>
    <row r="1766" spans="1:6" x14ac:dyDescent="0.3">
      <c r="A1766" s="2" t="s">
        <v>3002</v>
      </c>
      <c r="B1766" s="2" t="s">
        <v>3003</v>
      </c>
      <c r="C1766" t="s">
        <v>3090</v>
      </c>
      <c r="D1766" s="5" t="s">
        <v>4844</v>
      </c>
      <c r="E1766" s="6">
        <f>IFERROR(VLOOKUP($D1766,[1]Balanza!$A$3:$K$852,6,0)-VLOOKUP(D1766,[1]Balanza!$A$3:$K$852,7,0),0)</f>
        <v>0</v>
      </c>
      <c r="F1766" s="6">
        <f>IFERROR(VLOOKUP($D1766,[1]Balanza!$A$3:$K$852,10,0)-VLOOKUP($D1766,[1]Balanza!$A$3:$K$852,11,0),0)</f>
        <v>0</v>
      </c>
    </row>
    <row r="1767" spans="1:6" x14ac:dyDescent="0.3">
      <c r="A1767" s="2" t="s">
        <v>3004</v>
      </c>
      <c r="B1767" s="2" t="s">
        <v>3005</v>
      </c>
      <c r="C1767" t="s">
        <v>3090</v>
      </c>
      <c r="D1767" s="5" t="s">
        <v>4845</v>
      </c>
      <c r="E1767" s="6">
        <f>IFERROR(VLOOKUP($D1767,[1]Balanza!$A$3:$K$852,6,0)-VLOOKUP(D1767,[1]Balanza!$A$3:$K$852,7,0),0)</f>
        <v>0</v>
      </c>
      <c r="F1767" s="6">
        <f>IFERROR(VLOOKUP($D1767,[1]Balanza!$A$3:$K$852,10,0)-VLOOKUP($D1767,[1]Balanza!$A$3:$K$852,11,0),0)</f>
        <v>0</v>
      </c>
    </row>
    <row r="1768" spans="1:6" x14ac:dyDescent="0.3">
      <c r="A1768" s="2" t="s">
        <v>3006</v>
      </c>
      <c r="B1768" s="2" t="s">
        <v>3007</v>
      </c>
      <c r="C1768" t="s">
        <v>3090</v>
      </c>
      <c r="D1768" s="5" t="s">
        <v>4846</v>
      </c>
      <c r="E1768" s="6">
        <f>IFERROR(VLOOKUP($D1768,[1]Balanza!$A$3:$K$852,6,0)-VLOOKUP(D1768,[1]Balanza!$A$3:$K$852,7,0),0)</f>
        <v>0</v>
      </c>
      <c r="F1768" s="6">
        <f>IFERROR(VLOOKUP($D1768,[1]Balanza!$A$3:$K$852,10,0)-VLOOKUP($D1768,[1]Balanza!$A$3:$K$852,11,0),0)</f>
        <v>0</v>
      </c>
    </row>
    <row r="1769" spans="1:6" x14ac:dyDescent="0.3">
      <c r="A1769" s="2" t="s">
        <v>3008</v>
      </c>
      <c r="B1769" s="2" t="s">
        <v>3009</v>
      </c>
      <c r="C1769" t="s">
        <v>3090</v>
      </c>
      <c r="D1769" s="5" t="s">
        <v>4847</v>
      </c>
      <c r="E1769" s="6">
        <f>IFERROR(VLOOKUP($D1769,[1]Balanza!$A$3:$K$852,6,0)-VLOOKUP(D1769,[1]Balanza!$A$3:$K$852,7,0),0)</f>
        <v>0</v>
      </c>
      <c r="F1769" s="6">
        <f>IFERROR(VLOOKUP($D1769,[1]Balanza!$A$3:$K$852,10,0)-VLOOKUP($D1769,[1]Balanza!$A$3:$K$852,11,0),0)</f>
        <v>0</v>
      </c>
    </row>
    <row r="1770" spans="1:6" x14ac:dyDescent="0.3">
      <c r="A1770" s="2" t="s">
        <v>3010</v>
      </c>
      <c r="B1770" s="2" t="s">
        <v>3011</v>
      </c>
      <c r="C1770" t="s">
        <v>3090</v>
      </c>
      <c r="D1770" s="5" t="s">
        <v>4848</v>
      </c>
      <c r="E1770" s="6">
        <f>IFERROR(VLOOKUP($D1770,[1]Balanza!$A$3:$K$852,6,0)-VLOOKUP(D1770,[1]Balanza!$A$3:$K$852,7,0),0)</f>
        <v>0</v>
      </c>
      <c r="F1770" s="6">
        <f>IFERROR(VLOOKUP($D1770,[1]Balanza!$A$3:$K$852,10,0)-VLOOKUP($D1770,[1]Balanza!$A$3:$K$852,11,0),0)</f>
        <v>0</v>
      </c>
    </row>
    <row r="1771" spans="1:6" x14ac:dyDescent="0.3">
      <c r="A1771" s="2" t="s">
        <v>3012</v>
      </c>
      <c r="B1771" s="2" t="s">
        <v>3013</v>
      </c>
      <c r="C1771" t="s">
        <v>3090</v>
      </c>
      <c r="D1771" s="5" t="s">
        <v>4849</v>
      </c>
      <c r="E1771" s="6">
        <f>IFERROR(VLOOKUP($D1771,[1]Balanza!$A$3:$K$852,6,0)-VLOOKUP(D1771,[1]Balanza!$A$3:$K$852,7,0),0)</f>
        <v>0</v>
      </c>
      <c r="F1771" s="6">
        <f>IFERROR(VLOOKUP($D1771,[1]Balanza!$A$3:$K$852,10,0)-VLOOKUP($D1771,[1]Balanza!$A$3:$K$852,11,0),0)</f>
        <v>0</v>
      </c>
    </row>
    <row r="1772" spans="1:6" x14ac:dyDescent="0.3">
      <c r="A1772" s="2" t="s">
        <v>3014</v>
      </c>
      <c r="B1772" s="2" t="s">
        <v>3015</v>
      </c>
      <c r="C1772" t="s">
        <v>3090</v>
      </c>
      <c r="D1772" s="5" t="s">
        <v>4850</v>
      </c>
      <c r="E1772" s="6">
        <f>IFERROR(VLOOKUP($D1772,[1]Balanza!$A$3:$K$852,6,0)-VLOOKUP(D1772,[1]Balanza!$A$3:$K$852,7,0),0)</f>
        <v>0</v>
      </c>
      <c r="F1772" s="6">
        <f>IFERROR(VLOOKUP($D1772,[1]Balanza!$A$3:$K$852,10,0)-VLOOKUP($D1772,[1]Balanza!$A$3:$K$852,11,0),0)</f>
        <v>0</v>
      </c>
    </row>
    <row r="1773" spans="1:6" x14ac:dyDescent="0.3">
      <c r="A1773" s="2" t="s">
        <v>3016</v>
      </c>
      <c r="B1773" s="2" t="s">
        <v>3017</v>
      </c>
      <c r="C1773" t="s">
        <v>3090</v>
      </c>
      <c r="D1773" s="5" t="s">
        <v>4851</v>
      </c>
      <c r="E1773" s="6">
        <f>IFERROR(VLOOKUP($D1773,[1]Balanza!$A$3:$K$852,6,0)-VLOOKUP(D1773,[1]Balanza!$A$3:$K$852,7,0),0)</f>
        <v>0</v>
      </c>
      <c r="F1773" s="6">
        <f>IFERROR(VLOOKUP($D1773,[1]Balanza!$A$3:$K$852,10,0)-VLOOKUP($D1773,[1]Balanza!$A$3:$K$852,11,0),0)</f>
        <v>0</v>
      </c>
    </row>
    <row r="1774" spans="1:6" x14ac:dyDescent="0.3">
      <c r="A1774" s="2" t="s">
        <v>3018</v>
      </c>
      <c r="B1774" s="2" t="s">
        <v>3019</v>
      </c>
      <c r="C1774" t="s">
        <v>3090</v>
      </c>
      <c r="D1774" s="5" t="s">
        <v>4852</v>
      </c>
      <c r="E1774" s="6">
        <f>IFERROR(VLOOKUP($D1774,[1]Balanza!$A$3:$K$852,6,0)-VLOOKUP(D1774,[1]Balanza!$A$3:$K$852,7,0),0)</f>
        <v>0</v>
      </c>
      <c r="F1774" s="6">
        <f>IFERROR(VLOOKUP($D1774,[1]Balanza!$A$3:$K$852,10,0)-VLOOKUP($D1774,[1]Balanza!$A$3:$K$852,11,0),0)</f>
        <v>0</v>
      </c>
    </row>
    <row r="1775" spans="1:6" x14ac:dyDescent="0.3">
      <c r="A1775" s="2" t="s">
        <v>3020</v>
      </c>
      <c r="B1775" s="2" t="s">
        <v>3021</v>
      </c>
      <c r="C1775" t="s">
        <v>3090</v>
      </c>
      <c r="D1775" s="5" t="s">
        <v>4853</v>
      </c>
      <c r="E1775" s="6">
        <f>IFERROR(VLOOKUP($D1775,[1]Balanza!$A$3:$K$852,6,0)-VLOOKUP(D1775,[1]Balanza!$A$3:$K$852,7,0),0)</f>
        <v>0</v>
      </c>
      <c r="F1775" s="6">
        <f>IFERROR(VLOOKUP($D1775,[1]Balanza!$A$3:$K$852,10,0)-VLOOKUP($D1775,[1]Balanza!$A$3:$K$852,11,0),0)</f>
        <v>0</v>
      </c>
    </row>
    <row r="1776" spans="1:6" x14ac:dyDescent="0.3">
      <c r="A1776" s="2" t="s">
        <v>3022</v>
      </c>
      <c r="B1776" s="2" t="s">
        <v>3023</v>
      </c>
      <c r="C1776" t="s">
        <v>3090</v>
      </c>
      <c r="D1776" s="5" t="s">
        <v>4854</v>
      </c>
      <c r="E1776" s="6">
        <f>IFERROR(VLOOKUP($D1776,[1]Balanza!$A$3:$K$852,6,0)-VLOOKUP(D1776,[1]Balanza!$A$3:$K$852,7,0),0)</f>
        <v>0</v>
      </c>
      <c r="F1776" s="6">
        <f>IFERROR(VLOOKUP($D1776,[1]Balanza!$A$3:$K$852,10,0)-VLOOKUP($D1776,[1]Balanza!$A$3:$K$852,11,0),0)</f>
        <v>0</v>
      </c>
    </row>
    <row r="1777" spans="1:6" x14ac:dyDescent="0.3">
      <c r="A1777" s="2" t="s">
        <v>3024</v>
      </c>
      <c r="B1777" s="2" t="s">
        <v>3025</v>
      </c>
      <c r="C1777" t="s">
        <v>3090</v>
      </c>
      <c r="D1777" s="5" t="s">
        <v>4855</v>
      </c>
      <c r="E1777" s="6">
        <f>IFERROR(VLOOKUP($D1777,[1]Balanza!$A$3:$K$852,6,0)-VLOOKUP(D1777,[1]Balanza!$A$3:$K$852,7,0),0)</f>
        <v>0</v>
      </c>
      <c r="F1777" s="6">
        <f>IFERROR(VLOOKUP($D1777,[1]Balanza!$A$3:$K$852,10,0)-VLOOKUP($D1777,[1]Balanza!$A$3:$K$852,11,0),0)</f>
        <v>0</v>
      </c>
    </row>
    <row r="1778" spans="1:6" x14ac:dyDescent="0.3">
      <c r="A1778" s="2" t="s">
        <v>3026</v>
      </c>
      <c r="B1778" s="2" t="s">
        <v>1748</v>
      </c>
      <c r="C1778" t="s">
        <v>3090</v>
      </c>
      <c r="D1778" s="5" t="s">
        <v>4856</v>
      </c>
      <c r="E1778" s="6">
        <f>IFERROR(VLOOKUP($D1778,[1]Balanza!$A$3:$K$852,6,0)-VLOOKUP(D1778,[1]Balanza!$A$3:$K$852,7,0),0)</f>
        <v>0</v>
      </c>
      <c r="F1778" s="6">
        <f>IFERROR(VLOOKUP($D1778,[1]Balanza!$A$3:$K$852,10,0)-VLOOKUP($D1778,[1]Balanza!$A$3:$K$852,11,0),0)</f>
        <v>0</v>
      </c>
    </row>
    <row r="1779" spans="1:6" x14ac:dyDescent="0.3">
      <c r="A1779" s="2" t="s">
        <v>3027</v>
      </c>
      <c r="B1779" s="2" t="s">
        <v>2983</v>
      </c>
      <c r="C1779" t="s">
        <v>3090</v>
      </c>
      <c r="D1779" s="5" t="s">
        <v>4857</v>
      </c>
      <c r="E1779" s="6">
        <f>IFERROR(VLOOKUP($D1779,[1]Balanza!$A$3:$K$852,6,0)-VLOOKUP(D1779,[1]Balanza!$A$3:$K$852,7,0),0)</f>
        <v>0</v>
      </c>
      <c r="F1779" s="6">
        <f>IFERROR(VLOOKUP($D1779,[1]Balanza!$A$3:$K$852,10,0)-VLOOKUP($D1779,[1]Balanza!$A$3:$K$852,11,0),0)</f>
        <v>0</v>
      </c>
    </row>
    <row r="1780" spans="1:6" x14ac:dyDescent="0.3">
      <c r="A1780" s="2" t="s">
        <v>3093</v>
      </c>
      <c r="B1780" t="s">
        <v>3095</v>
      </c>
      <c r="C1780" t="s">
        <v>3046</v>
      </c>
      <c r="D1780" s="5" t="s">
        <v>4858</v>
      </c>
      <c r="E1780" s="6">
        <f>IFERROR(VLOOKUP($D1780,[1]Balanza!$A$3:$K$852,6,0)-VLOOKUP(D1780,[1]Balanza!$A$3:$K$852,7,0),0)</f>
        <v>0</v>
      </c>
      <c r="F1780" s="6">
        <f>IFERROR(VLOOKUP($D1780,[1]Balanza!$A$3:$K$852,10,0)-VLOOKUP($D1780,[1]Balanza!$A$3:$K$852,11,0),0)</f>
        <v>0</v>
      </c>
    </row>
    <row r="1781" spans="1:6" x14ac:dyDescent="0.3">
      <c r="A1781" s="2" t="s">
        <v>3094</v>
      </c>
      <c r="B1781" t="s">
        <v>3096</v>
      </c>
      <c r="C1781" t="s">
        <v>3045</v>
      </c>
      <c r="D1781" s="5" t="s">
        <v>4859</v>
      </c>
      <c r="E1781" s="6">
        <f>IFERROR(VLOOKUP($D1781,[1]Balanza!$A$3:$K$852,6,0)-VLOOKUP(D1781,[1]Balanza!$A$3:$K$852,7,0),0)</f>
        <v>0</v>
      </c>
      <c r="F1781" s="6">
        <f>IFERROR(VLOOKUP($D1781,[1]Balanza!$A$3:$K$852,10,0)-VLOOKUP($D1781,[1]Balanza!$A$3:$K$852,11,0),0)</f>
        <v>0</v>
      </c>
    </row>
  </sheetData>
  <autoFilter ref="A1:J1781" xr:uid="{9039B41B-B27E-471F-B9D5-B491BC1A1B5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Fuentes</dc:creator>
  <cp:lastModifiedBy>Gerardo Fuentes</cp:lastModifiedBy>
  <dcterms:created xsi:type="dcterms:W3CDTF">2025-06-19T14:54:27Z</dcterms:created>
  <dcterms:modified xsi:type="dcterms:W3CDTF">2025-08-07T16:17:55Z</dcterms:modified>
</cp:coreProperties>
</file>