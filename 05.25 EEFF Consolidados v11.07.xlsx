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miral53\Desktop\Farmiral\"/>
    </mc:Choice>
  </mc:AlternateContent>
  <xr:revisionPtr revIDLastSave="0" documentId="13_ncr:1_{A7456060-B69B-4B5F-B633-27F5B75B4073}" xr6:coauthVersionLast="47" xr6:coauthVersionMax="47" xr10:uidLastSave="{00000000-0000-0000-0000-000000000000}"/>
  <bookViews>
    <workbookView xWindow="-96" yWindow="0" windowWidth="11712" windowHeight="12336" activeTab="1" xr2:uid="{B3F80055-3A20-4CC9-AC92-785707E82E75}"/>
  </bookViews>
  <sheets>
    <sheet name="Balance" sheetId="2" r:id="rId1"/>
    <sheet name="Estado de Resultados" sheetId="3" r:id="rId2"/>
    <sheet name="Balanza" sheetId="1" r:id="rId3"/>
    <sheet name="Hoja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7" i="3" l="1"/>
  <c r="N75" i="3"/>
  <c r="N77" i="3" s="1"/>
  <c r="M75" i="3"/>
  <c r="M77" i="3" s="1"/>
  <c r="L75" i="3"/>
  <c r="L77" i="3" s="1"/>
  <c r="K75" i="3"/>
  <c r="K77" i="3" s="1"/>
  <c r="J75" i="3"/>
  <c r="J77" i="3" s="1"/>
  <c r="I75" i="3"/>
  <c r="H75" i="3"/>
  <c r="H77" i="3" s="1"/>
  <c r="G75" i="3"/>
  <c r="G77" i="3" s="1"/>
  <c r="F75" i="3"/>
  <c r="F77" i="3" s="1"/>
  <c r="E75" i="3"/>
  <c r="E77" i="3" s="1"/>
  <c r="D75" i="3"/>
  <c r="D77" i="3" s="1"/>
  <c r="C75" i="3"/>
  <c r="C77" i="3" s="1"/>
</calcChain>
</file>

<file path=xl/sharedStrings.xml><?xml version="1.0" encoding="utf-8"?>
<sst xmlns="http://schemas.openxmlformats.org/spreadsheetml/2006/main" count="2353" uniqueCount="1995">
  <si>
    <t>Xana Lab SA de CV 2025</t>
  </si>
  <si>
    <t>Farmiral S.A. de C.V. 2025</t>
  </si>
  <si>
    <t>T O T A L</t>
  </si>
  <si>
    <t>Saldos Iniciales  Deudor - Acreedor</t>
  </si>
  <si>
    <t>Cargos</t>
  </si>
  <si>
    <t>Abonos</t>
  </si>
  <si>
    <t>Saldos Actuales  Deudor - Acreedor</t>
  </si>
  <si>
    <t>1000000000</t>
  </si>
  <si>
    <t>Activo</t>
  </si>
  <si>
    <t>1000100000</t>
  </si>
  <si>
    <t>Activo a corto plazo</t>
  </si>
  <si>
    <t>1010000000</t>
  </si>
  <si>
    <t>Caja</t>
  </si>
  <si>
    <t>1010100000</t>
  </si>
  <si>
    <t>Caja y Efectivo</t>
  </si>
  <si>
    <t>1010100001</t>
  </si>
  <si>
    <t>Caja Tesistan</t>
  </si>
  <si>
    <t>1010100002</t>
  </si>
  <si>
    <t>Caja Cheques</t>
  </si>
  <si>
    <t>1010100003</t>
  </si>
  <si>
    <t>Caja Argentina</t>
  </si>
  <si>
    <t>1010100004</t>
  </si>
  <si>
    <t>Despensa EyF ALMZ</t>
  </si>
  <si>
    <t>1020000000</t>
  </si>
  <si>
    <t>Bancos</t>
  </si>
  <si>
    <t>1020100000</t>
  </si>
  <si>
    <t>Bancos Nacionales</t>
  </si>
  <si>
    <t>1020101000</t>
  </si>
  <si>
    <t>Bancos MNX</t>
  </si>
  <si>
    <t>1020101001</t>
  </si>
  <si>
    <t>Santander MXN</t>
  </si>
  <si>
    <t>1020101002</t>
  </si>
  <si>
    <t>Banorte MXN</t>
  </si>
  <si>
    <t>1020101004</t>
  </si>
  <si>
    <t>STP Capital X MXN</t>
  </si>
  <si>
    <t>1020101005</t>
  </si>
  <si>
    <t>STP Farmiral MXN</t>
  </si>
  <si>
    <t>1020101006</t>
  </si>
  <si>
    <t>STP ICM Farmiral</t>
  </si>
  <si>
    <t>1020101008</t>
  </si>
  <si>
    <t>Base 1017 MXN</t>
  </si>
  <si>
    <t>1020101010</t>
  </si>
  <si>
    <t>Mifel MXN</t>
  </si>
  <si>
    <t>1020101011</t>
  </si>
  <si>
    <t>STP Higo</t>
  </si>
  <si>
    <t>1020101012</t>
  </si>
  <si>
    <t>Santander X</t>
  </si>
  <si>
    <t>1020101013</t>
  </si>
  <si>
    <t>Banregio X</t>
  </si>
  <si>
    <t>1020101014</t>
  </si>
  <si>
    <t>Base X</t>
  </si>
  <si>
    <t>1020101015</t>
  </si>
  <si>
    <t>Mifel X</t>
  </si>
  <si>
    <t>1020101016</t>
  </si>
  <si>
    <t>STP X</t>
  </si>
  <si>
    <t>1020101017</t>
  </si>
  <si>
    <t>Higo STP X</t>
  </si>
  <si>
    <t>1020102000</t>
  </si>
  <si>
    <t>Bancos USD a MN</t>
  </si>
  <si>
    <t>1020102100</t>
  </si>
  <si>
    <t>Bancos USD</t>
  </si>
  <si>
    <t>1020102101</t>
  </si>
  <si>
    <t>Base USD</t>
  </si>
  <si>
    <t>1020102102</t>
  </si>
  <si>
    <t>Banorte USD</t>
  </si>
  <si>
    <t>1020102103</t>
  </si>
  <si>
    <t>Banregio USD</t>
  </si>
  <si>
    <t>1020102104</t>
  </si>
  <si>
    <t>Base USD X</t>
  </si>
  <si>
    <t>1020102200</t>
  </si>
  <si>
    <t>Bancos USD Complementaria</t>
  </si>
  <si>
    <t>1020102202</t>
  </si>
  <si>
    <t>Banorte USD Complementaria</t>
  </si>
  <si>
    <t>1020102203</t>
  </si>
  <si>
    <t>Banregio USD Complementaria</t>
  </si>
  <si>
    <t>1020102204</t>
  </si>
  <si>
    <t>Base USD X Complementaria</t>
  </si>
  <si>
    <t>1050000000</t>
  </si>
  <si>
    <t>Clientes</t>
  </si>
  <si>
    <t>1050100000</t>
  </si>
  <si>
    <t>Clientes nacionales</t>
  </si>
  <si>
    <t>1050101000</t>
  </si>
  <si>
    <t>Maquila</t>
  </si>
  <si>
    <t>1050101001</t>
  </si>
  <si>
    <t>Aspen Labs</t>
  </si>
  <si>
    <t>1050101002</t>
  </si>
  <si>
    <t>Grisi Hnos</t>
  </si>
  <si>
    <t>1050101003</t>
  </si>
  <si>
    <t>Laboratorio Elmor Mexico</t>
  </si>
  <si>
    <t>1050101004</t>
  </si>
  <si>
    <t>Farmacias De Similares</t>
  </si>
  <si>
    <t>1050101005</t>
  </si>
  <si>
    <t>Kps Comercializadora</t>
  </si>
  <si>
    <t>1050101006</t>
  </si>
  <si>
    <t>Farmacias Benavides</t>
  </si>
  <si>
    <t>1050101009</t>
  </si>
  <si>
    <t>Boreal Farmaceutica</t>
  </si>
  <si>
    <t>1050101012</t>
  </si>
  <si>
    <t>DUMO LABS</t>
  </si>
  <si>
    <t>1050102000</t>
  </si>
  <si>
    <t>Distribuidores</t>
  </si>
  <si>
    <t>1050102001</t>
  </si>
  <si>
    <t>Levic</t>
  </si>
  <si>
    <t>1050102002</t>
  </si>
  <si>
    <t>Pharma Amigo</t>
  </si>
  <si>
    <t>1050102003</t>
  </si>
  <si>
    <t>Comercial Gfc</t>
  </si>
  <si>
    <t>1050102004</t>
  </si>
  <si>
    <t>Distribuidora Sevi</t>
  </si>
  <si>
    <t>1050102006</t>
  </si>
  <si>
    <t>Lifoods</t>
  </si>
  <si>
    <t>1050102010</t>
  </si>
  <si>
    <t>Reinvex</t>
  </si>
  <si>
    <t>1050102011</t>
  </si>
  <si>
    <t>Alma Gabriela Burgos Jaurena</t>
  </si>
  <si>
    <t>1050102013</t>
  </si>
  <si>
    <t>Medicamentos nacionales y mas</t>
  </si>
  <si>
    <t>1050102014</t>
  </si>
  <si>
    <t>Super Mayoreo Naturista</t>
  </si>
  <si>
    <t>1050102015</t>
  </si>
  <si>
    <t>Difarmer</t>
  </si>
  <si>
    <t>1050102016</t>
  </si>
  <si>
    <t>Rosario Mendoza Macedo</t>
  </si>
  <si>
    <t>1050102017</t>
  </si>
  <si>
    <t>Brudifarma</t>
  </si>
  <si>
    <t>1050102019</t>
  </si>
  <si>
    <t>Proveedora Farmaceutica Race</t>
  </si>
  <si>
    <t>1050102020</t>
  </si>
  <si>
    <t>Distribuidora Farmaceutica Calderon</t>
  </si>
  <si>
    <t>1050102021</t>
  </si>
  <si>
    <t>Promotora Saludanat</t>
  </si>
  <si>
    <t>1050102022</t>
  </si>
  <si>
    <t>Farmaceuticos Tenorio</t>
  </si>
  <si>
    <t>1050102023</t>
  </si>
  <si>
    <t>Pharma Life</t>
  </si>
  <si>
    <t>1050102024</t>
  </si>
  <si>
    <t>Xana Lab</t>
  </si>
  <si>
    <t>1050102026</t>
  </si>
  <si>
    <t>Disag Farmaceutica</t>
  </si>
  <si>
    <t>1050102027</t>
  </si>
  <si>
    <t>Distribuidora Naturista de Occidente</t>
  </si>
  <si>
    <t>1050102028</t>
  </si>
  <si>
    <t>Farmatotal</t>
  </si>
  <si>
    <t>1050102029</t>
  </si>
  <si>
    <t>Comercializadora Naturista de Mexico</t>
  </si>
  <si>
    <t>1050102030</t>
  </si>
  <si>
    <t>Farmaceutica Delta</t>
  </si>
  <si>
    <t>1050102031</t>
  </si>
  <si>
    <t>Nutraceuticos Gamez</t>
  </si>
  <si>
    <t>1050102032</t>
  </si>
  <si>
    <t>La Milpa Central Naturista</t>
  </si>
  <si>
    <t>1050102033</t>
  </si>
  <si>
    <t>Grupo Farmaceutico  LYM</t>
  </si>
  <si>
    <t>1050102034</t>
  </si>
  <si>
    <t>Operadora Super Soya</t>
  </si>
  <si>
    <t>1050102035</t>
  </si>
  <si>
    <t>Hilda Adriana Mercado Alvarez</t>
  </si>
  <si>
    <t>1050102036</t>
  </si>
  <si>
    <t>SERVICIOS EN PUERTOS Y TERMINALES</t>
  </si>
  <si>
    <t>1050102037</t>
  </si>
  <si>
    <t>GRUPO SOYANATURA</t>
  </si>
  <si>
    <t>1050102038</t>
  </si>
  <si>
    <t>FARMIRAL SA DE CV</t>
  </si>
  <si>
    <t>1050103000</t>
  </si>
  <si>
    <t>Retail</t>
  </si>
  <si>
    <t>1050103001</t>
  </si>
  <si>
    <t>Pharma Plus</t>
  </si>
  <si>
    <t>1050103003</t>
  </si>
  <si>
    <t>Farmacia Guadalajara</t>
  </si>
  <si>
    <t>1050103004</t>
  </si>
  <si>
    <t>Farmacos Nacionales</t>
  </si>
  <si>
    <t>1050103006</t>
  </si>
  <si>
    <t>Supermercados Internacionales H E B</t>
  </si>
  <si>
    <t>1050103008</t>
  </si>
  <si>
    <t>Empleados</t>
  </si>
  <si>
    <t>1050103010</t>
  </si>
  <si>
    <t>VENTA DE ECOMERCE</t>
  </si>
  <si>
    <t>1050103011</t>
  </si>
  <si>
    <t>Otros Retail</t>
  </si>
  <si>
    <t>1070000000</t>
  </si>
  <si>
    <t>Deudores diversos</t>
  </si>
  <si>
    <t>1070100000</t>
  </si>
  <si>
    <t>Funcionarios y empleados</t>
  </si>
  <si>
    <t>1070101000</t>
  </si>
  <si>
    <t>Viaticos</t>
  </si>
  <si>
    <t>1070101001</t>
  </si>
  <si>
    <t>Empleados cta provisional</t>
  </si>
  <si>
    <t>1070101002</t>
  </si>
  <si>
    <t>Christian Sotelo</t>
  </si>
  <si>
    <t>1070101004</t>
  </si>
  <si>
    <t>DIEGO IVAN MURGUIA SALAS</t>
  </si>
  <si>
    <t>1070101005</t>
  </si>
  <si>
    <t>ARACELI IBARRA TLAHUEL</t>
  </si>
  <si>
    <t>1070101006</t>
  </si>
  <si>
    <t>EDUARDO MATILDEL CARAPIA</t>
  </si>
  <si>
    <t>1070101007</t>
  </si>
  <si>
    <t>MIRIAM ALEJANDRA MARMOLEJO BELTRAN</t>
  </si>
  <si>
    <t>1070101008</t>
  </si>
  <si>
    <t>LUIS FERNANDO CORREA MIRAMONTES</t>
  </si>
  <si>
    <t>1070101009</t>
  </si>
  <si>
    <t>AXEL CORREA MIRAMONTES</t>
  </si>
  <si>
    <t>1070101010</t>
  </si>
  <si>
    <t>ANA LUISA MIRAMONTES ZEPEDA</t>
  </si>
  <si>
    <t>1070101011</t>
  </si>
  <si>
    <t>ALFREDO FRAUSTO PUGA</t>
  </si>
  <si>
    <t>1070101012</t>
  </si>
  <si>
    <t>MARIA CRISTINA AGUILAR GOMEZ</t>
  </si>
  <si>
    <t>1070101013</t>
  </si>
  <si>
    <t>MARIA GUADALUPE CARMONA</t>
  </si>
  <si>
    <t>1070200000</t>
  </si>
  <si>
    <t>Socios y accionistas</t>
  </si>
  <si>
    <t>1070200001</t>
  </si>
  <si>
    <t>Luis Fernando Correa Miramontes</t>
  </si>
  <si>
    <t>1070200002</t>
  </si>
  <si>
    <t>Ana Luisa Miramontes Zepeda</t>
  </si>
  <si>
    <t>1070500000</t>
  </si>
  <si>
    <t>Otros deudores diversos</t>
  </si>
  <si>
    <t>1070500001</t>
  </si>
  <si>
    <t>Farmiral</t>
  </si>
  <si>
    <t>1070500002</t>
  </si>
  <si>
    <t>1070500004</t>
  </si>
  <si>
    <t>1070500006</t>
  </si>
  <si>
    <t>Cuenta puente deposito por mercado en Farmiral</t>
  </si>
  <si>
    <t>1070500009</t>
  </si>
  <si>
    <t>XIOMARA GONZALEZ LOPEZ</t>
  </si>
  <si>
    <t>1070500010</t>
  </si>
  <si>
    <t>IMSS</t>
  </si>
  <si>
    <t>1070500011</t>
  </si>
  <si>
    <t>Otros deudores</t>
  </si>
  <si>
    <t>1070500012</t>
  </si>
  <si>
    <t>INFONAVIT</t>
  </si>
  <si>
    <t>1070500013</t>
  </si>
  <si>
    <t>IMPRENTA COMERCIAL EL DEBATE (DEV MCIA MAL)</t>
  </si>
  <si>
    <t>1070500014</t>
  </si>
  <si>
    <t>Cuenta puente deposito por mercado en Xanalab</t>
  </si>
  <si>
    <t>1070500017</t>
  </si>
  <si>
    <t>TECNOLOGIAS APLICADAS LEBEN</t>
  </si>
  <si>
    <t>1090000000</t>
  </si>
  <si>
    <t>Pagos anticipados</t>
  </si>
  <si>
    <t>1090100000</t>
  </si>
  <si>
    <t>Seg y fianzas pagados x anticipado nal</t>
  </si>
  <si>
    <t>1090100001</t>
  </si>
  <si>
    <t>Seguros pagados por anticipado</t>
  </si>
  <si>
    <t>1092300000</t>
  </si>
  <si>
    <t>Otros pagos anticipados</t>
  </si>
  <si>
    <t>1092301000</t>
  </si>
  <si>
    <t>Licencias pagadas por anticipado</t>
  </si>
  <si>
    <t>1092302000</t>
  </si>
  <si>
    <t>Dividendos pagados por anticipado</t>
  </si>
  <si>
    <t>1130000000</t>
  </si>
  <si>
    <t>Impuestos a favor</t>
  </si>
  <si>
    <t>1130100000</t>
  </si>
  <si>
    <t>IVA a favor</t>
  </si>
  <si>
    <t>1130200000</t>
  </si>
  <si>
    <t>ISR a favor</t>
  </si>
  <si>
    <t>1130700000</t>
  </si>
  <si>
    <t>Pago de lo indebido</t>
  </si>
  <si>
    <t>1140000000</t>
  </si>
  <si>
    <t>Pagos provisionales</t>
  </si>
  <si>
    <t>1140100000</t>
  </si>
  <si>
    <t>Pagos provisionales de ISR</t>
  </si>
  <si>
    <t>1150000000</t>
  </si>
  <si>
    <t>Inventario</t>
  </si>
  <si>
    <t>1150100000</t>
  </si>
  <si>
    <t>1150200000</t>
  </si>
  <si>
    <t>Materia prima y materiales</t>
  </si>
  <si>
    <t>1150201000</t>
  </si>
  <si>
    <t>Materia prima</t>
  </si>
  <si>
    <t>1150202000</t>
  </si>
  <si>
    <t>Material de empaque</t>
  </si>
  <si>
    <t>1150203000</t>
  </si>
  <si>
    <t>Fletes y Logistica</t>
  </si>
  <si>
    <t>1150400000</t>
  </si>
  <si>
    <t>Productos terminados</t>
  </si>
  <si>
    <t>1150500000</t>
  </si>
  <si>
    <t>Mercancías en tránsito</t>
  </si>
  <si>
    <t>1150800000</t>
  </si>
  <si>
    <t>Almacen Varios</t>
  </si>
  <si>
    <t>1180000000</t>
  </si>
  <si>
    <t>Impuestos acreditables pagados</t>
  </si>
  <si>
    <t>1180100000</t>
  </si>
  <si>
    <t>IVA acreditable pagado</t>
  </si>
  <si>
    <t>1190000000</t>
  </si>
  <si>
    <t>Impuestos acreditables por pagar</t>
  </si>
  <si>
    <t>1190100000</t>
  </si>
  <si>
    <t>IVA pendiente de pago</t>
  </si>
  <si>
    <t>1190200000</t>
  </si>
  <si>
    <t>IVA de importación pendiente de pago</t>
  </si>
  <si>
    <t>1200000000</t>
  </si>
  <si>
    <t>Anticipo a proveedores</t>
  </si>
  <si>
    <t>1200100000</t>
  </si>
  <si>
    <t>Anticipo a proveedores nacional</t>
  </si>
  <si>
    <t>1200101000</t>
  </si>
  <si>
    <t>Anticipo a proveedores MXN</t>
  </si>
  <si>
    <t>1200101002</t>
  </si>
  <si>
    <t>REGINA MINAKATA PONCE</t>
  </si>
  <si>
    <t>1200101005</t>
  </si>
  <si>
    <t>INDUSTRIAS BOGRI</t>
  </si>
  <si>
    <t>1200101010</t>
  </si>
  <si>
    <t>CHEMICO ESPECIALIDADES QUIMICAS</t>
  </si>
  <si>
    <t>1200101012</t>
  </si>
  <si>
    <t>SANTANDER MN F</t>
  </si>
  <si>
    <t>1200101013</t>
  </si>
  <si>
    <t>BANORTE MN</t>
  </si>
  <si>
    <t>1200101014</t>
  </si>
  <si>
    <t>STP FARMIRAL</t>
  </si>
  <si>
    <t>1200101015</t>
  </si>
  <si>
    <t>UNIFIN FINANCIERA</t>
  </si>
  <si>
    <t>1200101016</t>
  </si>
  <si>
    <t>BASTION CAPITAL</t>
  </si>
  <si>
    <t>1200101019</t>
  </si>
  <si>
    <t>LATIN PACIFIC</t>
  </si>
  <si>
    <t>1200101024</t>
  </si>
  <si>
    <t>SI VALE</t>
  </si>
  <si>
    <t>1200101028</t>
  </si>
  <si>
    <t>INTEGRADORA LOGISTICA FERNANDEZ DE ALBA Y LOPEZ</t>
  </si>
  <si>
    <t>1200101029</t>
  </si>
  <si>
    <t>QUALITAS COMPAÑIA DE SEGUROS</t>
  </si>
  <si>
    <t>1200101030</t>
  </si>
  <si>
    <t>LEASY ARRENDAMIENTOS</t>
  </si>
  <si>
    <t>1200101032</t>
  </si>
  <si>
    <t>EDITORIAL MATRO</t>
  </si>
  <si>
    <t>1200101035</t>
  </si>
  <si>
    <t>UNIVERSIDAD AUTONOMA DE GUADALAJARA</t>
  </si>
  <si>
    <t>1200101038</t>
  </si>
  <si>
    <t>TELEVISION INTERNACIONAL</t>
  </si>
  <si>
    <t>1200101039</t>
  </si>
  <si>
    <t>COPALU INSUMOS</t>
  </si>
  <si>
    <t>1200101041</t>
  </si>
  <si>
    <t>SERVICIO DE MENSAJERIA DE PREPAGO</t>
  </si>
  <si>
    <t>1200101042</t>
  </si>
  <si>
    <t>SERVICIOS ESPECIALIZADOS DE GRAFICACION</t>
  </si>
  <si>
    <t>1200101043</t>
  </si>
  <si>
    <t>SINDICATO</t>
  </si>
  <si>
    <t>1200101044</t>
  </si>
  <si>
    <t>PRODUCTOS QUIMICOS MRC</t>
  </si>
  <si>
    <t>1200101045</t>
  </si>
  <si>
    <t>AUTOTRANSPORTES DE CARGA TRESGUERRAS</t>
  </si>
  <si>
    <t>1200101046</t>
  </si>
  <si>
    <t>ANDREA ACEVES NAVARRO</t>
  </si>
  <si>
    <t>1200101047</t>
  </si>
  <si>
    <t>CAPSUTEC DE MEXICO</t>
  </si>
  <si>
    <t>1200101049</t>
  </si>
  <si>
    <t>Banregio</t>
  </si>
  <si>
    <t>1200101050</t>
  </si>
  <si>
    <t>1200101052</t>
  </si>
  <si>
    <t>1200101054</t>
  </si>
  <si>
    <t>1200101057</t>
  </si>
  <si>
    <t>GIBBORADIO SOLUTIONS</t>
  </si>
  <si>
    <t>1200101058</t>
  </si>
  <si>
    <t>SUMINISTROS HERBOLARIOS Y QUIMICOS</t>
  </si>
  <si>
    <t>1200101062</t>
  </si>
  <si>
    <t>SISTEMAS DE CODIFICACION Y MARCAJE S.A DE C.V</t>
  </si>
  <si>
    <t>1200101100</t>
  </si>
  <si>
    <t>Anticipo a proveedores saldo 2024</t>
  </si>
  <si>
    <t>1200102000</t>
  </si>
  <si>
    <t>Anticipo a proveedores USD a MN</t>
  </si>
  <si>
    <t>1200102100</t>
  </si>
  <si>
    <t>Anticipo a proveedores USD</t>
  </si>
  <si>
    <t>1200102102</t>
  </si>
  <si>
    <t>1200102104</t>
  </si>
  <si>
    <t>1200102200</t>
  </si>
  <si>
    <t>Anticipo a proveedores USD Complementaria</t>
  </si>
  <si>
    <t>1200102202</t>
  </si>
  <si>
    <t>1200102204</t>
  </si>
  <si>
    <t>1210000000</t>
  </si>
  <si>
    <t>Otros activos a corto plazo</t>
  </si>
  <si>
    <t>1210100000</t>
  </si>
  <si>
    <t>1210101000</t>
  </si>
  <si>
    <t>Leasy Arrendamientos</t>
  </si>
  <si>
    <t>1210101001</t>
  </si>
  <si>
    <t>Contrato 0505-001 CAMIONETA JEEP SA</t>
  </si>
  <si>
    <t>1210102000</t>
  </si>
  <si>
    <t>Hewlett Packard Operations Mexico</t>
  </si>
  <si>
    <t>1210102001</t>
  </si>
  <si>
    <t>Arrendamiento eq computo 4</t>
  </si>
  <si>
    <t>1210102002</t>
  </si>
  <si>
    <t>Arrendamiento eq computo 5</t>
  </si>
  <si>
    <t>1210102003</t>
  </si>
  <si>
    <t>Arrendamiento eq computo 6</t>
  </si>
  <si>
    <t>1000200000</t>
  </si>
  <si>
    <t>Activo a largo plazo</t>
  </si>
  <si>
    <t>1530000000</t>
  </si>
  <si>
    <t>Maquinaria y equipo</t>
  </si>
  <si>
    <t>1530100000</t>
  </si>
  <si>
    <t>1530100001</t>
  </si>
  <si>
    <t>LOTE DE MAQUINARIA Y EQUIPO DE EJ ANTERIORES</t>
  </si>
  <si>
    <t>1530100002</t>
  </si>
  <si>
    <t>RACKS PARA ALMACENAMIENTO CON 368 POSICIONES</t>
  </si>
  <si>
    <t>1530100004</t>
  </si>
  <si>
    <t>BALANZA ANALITICA 220G RES 0.1MG PX224</t>
  </si>
  <si>
    <t>1530100005</t>
  </si>
  <si>
    <t>BANCOS DE ACERO INOXIDABLE 11 PZS</t>
  </si>
  <si>
    <t>1530100006</t>
  </si>
  <si>
    <t>CARRITO PLATAFORMA DE ACERO + 2 BANCOS DE ACERO IN</t>
  </si>
  <si>
    <t>1530100007</t>
  </si>
  <si>
    <t>ETIQUETADORA SEMI AUTOMATICA</t>
  </si>
  <si>
    <t>1530100008</t>
  </si>
  <si>
    <t>ETIQUETADORA. MARCA-SHANGHAI</t>
  </si>
  <si>
    <t>1540000000</t>
  </si>
  <si>
    <t>Automóviles, autobuses, camiones de carga</t>
  </si>
  <si>
    <t>1540100000</t>
  </si>
  <si>
    <t>1550000000</t>
  </si>
  <si>
    <t>Mobiliario y equipo de oficina</t>
  </si>
  <si>
    <t>1550100000</t>
  </si>
  <si>
    <t>1550100001</t>
  </si>
  <si>
    <t>LOCKER DEPORTIVO 5 PUERTAS</t>
  </si>
  <si>
    <t>1550100002</t>
  </si>
  <si>
    <t>LOTE DE ACTIVOS EJ ANTERIORES</t>
  </si>
  <si>
    <t>1550100003</t>
  </si>
  <si>
    <t>LOCKER UNIVERSAL 2PZAS</t>
  </si>
  <si>
    <t>1560000000</t>
  </si>
  <si>
    <t>Equipo de cómputo</t>
  </si>
  <si>
    <t>1560100000</t>
  </si>
  <si>
    <t>1560100001</t>
  </si>
  <si>
    <t>PAQHPZ6STM PAQUETE HP Z6 24 CORTADOR STM</t>
  </si>
  <si>
    <t>1560100002</t>
  </si>
  <si>
    <t>Servidor Lenovo ThinkSystem SR250</t>
  </si>
  <si>
    <t>1560100003</t>
  </si>
  <si>
    <t>UPS-1103 3KVA IND-RP RACK 1F</t>
  </si>
  <si>
    <t>1560100004</t>
  </si>
  <si>
    <t>HP Lote de computadoras mayo 25</t>
  </si>
  <si>
    <t>1560100005</t>
  </si>
  <si>
    <t>HP Lote de computadoras abril 25</t>
  </si>
  <si>
    <t>1600000000</t>
  </si>
  <si>
    <t>Otros activos fijos</t>
  </si>
  <si>
    <t>1600100000</t>
  </si>
  <si>
    <t>1600101000</t>
  </si>
  <si>
    <t>1600101001</t>
  </si>
  <si>
    <t>Contrato 0505-008 JOURNEY DODGE  (DIEGO CORREA )</t>
  </si>
  <si>
    <t>1600101002</t>
  </si>
  <si>
    <t>Contrato 0505-009 JOURNEY DODGE BLANCA  (JESUS)</t>
  </si>
  <si>
    <t>1600101003</t>
  </si>
  <si>
    <t>Contrato 0505-010 JETTA (JORGE CORREA)</t>
  </si>
  <si>
    <t>1600102000</t>
  </si>
  <si>
    <t>Arrendamientos y Soluciones en Activos</t>
  </si>
  <si>
    <t>1600102001</t>
  </si>
  <si>
    <t>A2010017 MAQUINA EMPAC PEDIMENTO 20483</t>
  </si>
  <si>
    <t>1600102002</t>
  </si>
  <si>
    <t>A2012015 Vehículo Utilitario Isuzu Elf 500H 2021</t>
  </si>
  <si>
    <t>1600102003</t>
  </si>
  <si>
    <t>A2012016 1 CAMIONETA NP300 NISSAN</t>
  </si>
  <si>
    <t>1600102004</t>
  </si>
  <si>
    <t>A2211006 MF 2 MAQUINA EMPACADORA-SELLADORA MODEL</t>
  </si>
  <si>
    <t>1600102005</t>
  </si>
  <si>
    <t>A2107045 1 MAQUINA MF PACKAGING 1</t>
  </si>
  <si>
    <t>1600102006</t>
  </si>
  <si>
    <t>A2203002 1 MAQUINA MEZCLADORA HARVILL INTERNACIONA</t>
  </si>
  <si>
    <t>1600102007</t>
  </si>
  <si>
    <t>A2203032 Racks Industriales</t>
  </si>
  <si>
    <t>1600102008</t>
  </si>
  <si>
    <t>A2211005 TABLETEADORA MANESTY MODELO EXPRESS SERIE</t>
  </si>
  <si>
    <t>1600102009</t>
  </si>
  <si>
    <t>A2211004 UNIDAD MANEJADORA DE AIRE UMA-01 MODELO C</t>
  </si>
  <si>
    <t>1600102010</t>
  </si>
  <si>
    <t>A2307022 INFINITI TIPOM56 MOD 2012 SERIE:JN1AY11E0</t>
  </si>
  <si>
    <t>1600102011</t>
  </si>
  <si>
    <t>A2307021 INFINITI QX80 MOD 2015 SERIE:JN1AZ28C2F90</t>
  </si>
  <si>
    <t>1600102012</t>
  </si>
  <si>
    <t>A2307020 VOLKSWAGEN JETTA TREND LINE 1.4 MOD 2019</t>
  </si>
  <si>
    <t>1600102013</t>
  </si>
  <si>
    <t>A2307018 NISSAN VERSA ADVANCE CVT 20 MOD 2020 SERI</t>
  </si>
  <si>
    <t>1600102014</t>
  </si>
  <si>
    <t>A2307019 NISSAN VERSA SENSE CVT 20 MOD 2020 SERIE:</t>
  </si>
  <si>
    <t>1600102015</t>
  </si>
  <si>
    <t>A2307017 MAQUINA ELECTRONIC COUNTINGMACHINE MOD CP</t>
  </si>
  <si>
    <t>1600102016</t>
  </si>
  <si>
    <t>A2211015 MAQUINA EMPAC PEDIMENTO 224834702001382 S</t>
  </si>
  <si>
    <t>1600103000</t>
  </si>
  <si>
    <t>Unifin Financiera</t>
  </si>
  <si>
    <t>1600103001</t>
  </si>
  <si>
    <t>CONTRATO 9945 MAQUINA ETIQUETADORA MT200 GRUPO 3R</t>
  </si>
  <si>
    <t>1600104000</t>
  </si>
  <si>
    <t>Grupo Optima GDL</t>
  </si>
  <si>
    <t>1600104001</t>
  </si>
  <si>
    <t>AO2208001 TORNADO VAN B 2023 (MARIO CHOFER)</t>
  </si>
  <si>
    <t>1700000000</t>
  </si>
  <si>
    <t>Adaptaciones y mejoras</t>
  </si>
  <si>
    <t>1700100000</t>
  </si>
  <si>
    <t>1700100001</t>
  </si>
  <si>
    <t>Instalaciones mejoras</t>
  </si>
  <si>
    <t>1710000000</t>
  </si>
  <si>
    <t>Depreciación acumulada de activos fijos</t>
  </si>
  <si>
    <t>1710100000</t>
  </si>
  <si>
    <t>Depreciación acumulada de edificios</t>
  </si>
  <si>
    <t>1710200000</t>
  </si>
  <si>
    <t>Depreciación acumulada de maquinaria y equipo</t>
  </si>
  <si>
    <t>1710200001</t>
  </si>
  <si>
    <t>1710300000</t>
  </si>
  <si>
    <t>Depr acum de automóviles, autobuses, camiones</t>
  </si>
  <si>
    <t>1710400000</t>
  </si>
  <si>
    <t>Depr acum de mobiliario y equipo de oficina</t>
  </si>
  <si>
    <t>1710400001</t>
  </si>
  <si>
    <t>1710500000</t>
  </si>
  <si>
    <t>Depreciación acumulada de eq de cómputo</t>
  </si>
  <si>
    <t>1710500004</t>
  </si>
  <si>
    <t>1711700000</t>
  </si>
  <si>
    <t>Depr acumulada de adaptaciones y mejoras</t>
  </si>
  <si>
    <t>1760000000</t>
  </si>
  <si>
    <t>Activos intangibles</t>
  </si>
  <si>
    <t>1760100000</t>
  </si>
  <si>
    <t>1760101000</t>
  </si>
  <si>
    <t>Marcas</t>
  </si>
  <si>
    <t>1760101001</t>
  </si>
  <si>
    <t>Marca</t>
  </si>
  <si>
    <t>1830000000</t>
  </si>
  <si>
    <t>Amortización acumulada de activos diferidos</t>
  </si>
  <si>
    <t>1831000000</t>
  </si>
  <si>
    <t>Amortización acumulada de otros activos diferidos</t>
  </si>
  <si>
    <t>1831001000</t>
  </si>
  <si>
    <t>1831002000</t>
  </si>
  <si>
    <t>1831003000</t>
  </si>
  <si>
    <t>1831004000</t>
  </si>
  <si>
    <t>1831005000</t>
  </si>
  <si>
    <t>1840000000</t>
  </si>
  <si>
    <t>Depósitos en garantía</t>
  </si>
  <si>
    <t>1840200000</t>
  </si>
  <si>
    <t>Depósitos de arrendamiento de bienes inmuebles</t>
  </si>
  <si>
    <t>1840200001</t>
  </si>
  <si>
    <t>PROMOTORA TESISTAN</t>
  </si>
  <si>
    <t>1910000000</t>
  </si>
  <si>
    <t>Otros activos a largo plazo</t>
  </si>
  <si>
    <t>1910100000</t>
  </si>
  <si>
    <t>1910100001</t>
  </si>
  <si>
    <t>Arrendamiento y Soluciones</t>
  </si>
  <si>
    <t>2000000000</t>
  </si>
  <si>
    <t>Pasivo</t>
  </si>
  <si>
    <t>2000100000</t>
  </si>
  <si>
    <t>Pasivo a corto plazo</t>
  </si>
  <si>
    <t>2010000000</t>
  </si>
  <si>
    <t>Proveedores</t>
  </si>
  <si>
    <t>2010100000</t>
  </si>
  <si>
    <t>Proveedores nacionales</t>
  </si>
  <si>
    <t>2010101000</t>
  </si>
  <si>
    <t>Proveedores MN</t>
  </si>
  <si>
    <t>2010101001</t>
  </si>
  <si>
    <t>MOTI PRINTS</t>
  </si>
  <si>
    <t>2010101002</t>
  </si>
  <si>
    <t>POLIMEROS ENVASES Y TAPAS TAPATIOS</t>
  </si>
  <si>
    <t>2010101003</t>
  </si>
  <si>
    <t>2010101004</t>
  </si>
  <si>
    <t>GEMETYTEC DE GUADALAJARA</t>
  </si>
  <si>
    <t>2010101005</t>
  </si>
  <si>
    <t>FORMFLEX</t>
  </si>
  <si>
    <t>2010101006</t>
  </si>
  <si>
    <t>ETIPRESS DE MEXICO</t>
  </si>
  <si>
    <t>2010101007</t>
  </si>
  <si>
    <t>GRUPO MAYAPACK</t>
  </si>
  <si>
    <t>2010101008</t>
  </si>
  <si>
    <t>IMPRENTA COMERCIAL EL DEBATE</t>
  </si>
  <si>
    <t>2010101009</t>
  </si>
  <si>
    <t>EMPAQUES MPK</t>
  </si>
  <si>
    <t>2010101010</t>
  </si>
  <si>
    <t>2010101011</t>
  </si>
  <si>
    <t>EXTRUPACK</t>
  </si>
  <si>
    <t>2010101012</t>
  </si>
  <si>
    <t>YADIRA TERRONES MENDOZA</t>
  </si>
  <si>
    <t>2010101013</t>
  </si>
  <si>
    <t>ARTE GCA</t>
  </si>
  <si>
    <t>2010101014</t>
  </si>
  <si>
    <t>CAROLINA PEREZ GOMEZ</t>
  </si>
  <si>
    <t>2010101015</t>
  </si>
  <si>
    <t>COMERCIAL DE MERCANCIAS SELECTAS</t>
  </si>
  <si>
    <t>2010101016</t>
  </si>
  <si>
    <t>INDUPLAS DE OCCIDENTE</t>
  </si>
  <si>
    <t>2010101017</t>
  </si>
  <si>
    <t>JOSE GALLARDO JIMENEZ</t>
  </si>
  <si>
    <t>2010101018</t>
  </si>
  <si>
    <t>SANITIZADO MEZCLAS Y MOLIENDAS</t>
  </si>
  <si>
    <t>2010101021</t>
  </si>
  <si>
    <t>DAVID ROMERO PIMIENTA</t>
  </si>
  <si>
    <t>2010101022</t>
  </si>
  <si>
    <t>SR RODAMIENTO</t>
  </si>
  <si>
    <t>2010101030</t>
  </si>
  <si>
    <t>RICARDO MARTINEZ GALLARDO MENDOZA</t>
  </si>
  <si>
    <t>2010101034</t>
  </si>
  <si>
    <t>ETIQUETAS ELECTRONICAS DE OCCIDENTE SA DE CV</t>
  </si>
  <si>
    <t>2010101036</t>
  </si>
  <si>
    <t>HUGO EDUARDO REMUS CORBY</t>
  </si>
  <si>
    <t>2010101037</t>
  </si>
  <si>
    <t>MTEX MEXICO S. DE R.L. DE C.V.</t>
  </si>
  <si>
    <t>2010101038</t>
  </si>
  <si>
    <t>GRUPO ARCO IRIS PLASTICOS, S.A. DE C.V.</t>
  </si>
  <si>
    <t>2010101039</t>
  </si>
  <si>
    <t>RENATA VITAL NIETO</t>
  </si>
  <si>
    <t>2010101040</t>
  </si>
  <si>
    <t>ROTA IMPRESOS NUEVA GALICIA, S.A. de C.V.</t>
  </si>
  <si>
    <t>2010101044</t>
  </si>
  <si>
    <t>SANITY INTERNACIONAL SA DE CV</t>
  </si>
  <si>
    <t>2010101045</t>
  </si>
  <si>
    <t>Xana Lab SA de CV</t>
  </si>
  <si>
    <t>2010101054</t>
  </si>
  <si>
    <t>JUAN ANGEL FLORES CASTRO</t>
  </si>
  <si>
    <t>2010101056</t>
  </si>
  <si>
    <t>JESUS ALEJANDRO HERNANDEZ BERMUDES</t>
  </si>
  <si>
    <t>2010101059</t>
  </si>
  <si>
    <t>GLOBAL FUENTES SA DE CV</t>
  </si>
  <si>
    <t>2010101062</t>
  </si>
  <si>
    <t>CINTHYA ELIZABETH SALCEDO REYES (EJ2023)</t>
  </si>
  <si>
    <t>2010101064</t>
  </si>
  <si>
    <t>BIONUTRIENTES GLOBAL</t>
  </si>
  <si>
    <t>2010101065</t>
  </si>
  <si>
    <t>Industrias Bogri</t>
  </si>
  <si>
    <t>2010101066</t>
  </si>
  <si>
    <t>CONVERTIDORA GMV</t>
  </si>
  <si>
    <t>2010101067</t>
  </si>
  <si>
    <t>LINDY PHARMA</t>
  </si>
  <si>
    <t>2010101068</t>
  </si>
  <si>
    <t>2010101069</t>
  </si>
  <si>
    <t>DISPROQUIMEX</t>
  </si>
  <si>
    <t>2010101071</t>
  </si>
  <si>
    <t>MARIA FERNANDA DE LAS FUENTES</t>
  </si>
  <si>
    <t>2010101072</t>
  </si>
  <si>
    <t>RICARDO MARTIN CADENA</t>
  </si>
  <si>
    <t>2010101074</t>
  </si>
  <si>
    <t>Farmiral SA de CV</t>
  </si>
  <si>
    <t>2010101075</t>
  </si>
  <si>
    <t>HCQ INGREDIENTES PARA LA INDUSTRIA ALIMENTICIA</t>
  </si>
  <si>
    <t>2010102000</t>
  </si>
  <si>
    <t>Proveedores USD</t>
  </si>
  <si>
    <t>2010102100</t>
  </si>
  <si>
    <t>2010102101</t>
  </si>
  <si>
    <t>FTF INOVATIV</t>
  </si>
  <si>
    <t>2010102102</t>
  </si>
  <si>
    <t>MOLECULAS FINAS DE MEXICO</t>
  </si>
  <si>
    <t>2010102103</t>
  </si>
  <si>
    <t>FLAVORS CGV INTERNACIONAL</t>
  </si>
  <si>
    <t>2010102104</t>
  </si>
  <si>
    <t>CORPORATIVO MEXINGREDIENT INTERNACIONAL</t>
  </si>
  <si>
    <t>2010102105</t>
  </si>
  <si>
    <t>BEMIS PACKAGING MEXICO</t>
  </si>
  <si>
    <t>2010102106</t>
  </si>
  <si>
    <t>ALFAMEX INDUSTRIAL</t>
  </si>
  <si>
    <t>2010102107</t>
  </si>
  <si>
    <t>GO D'GHUSTAN</t>
  </si>
  <si>
    <t>2010102108</t>
  </si>
  <si>
    <t>ENZIMAS Y PRODUCTOS QUIMICOS</t>
  </si>
  <si>
    <t>2010102109</t>
  </si>
  <si>
    <t>PKR INDUSTRIAL</t>
  </si>
  <si>
    <t>2010102110</t>
  </si>
  <si>
    <t>PRONAQUIM</t>
  </si>
  <si>
    <t>2010102111</t>
  </si>
  <si>
    <t>ADYCHEM</t>
  </si>
  <si>
    <t>2010102112</t>
  </si>
  <si>
    <t>CENTRAL DE PRODUCTOS QUIMICOS</t>
  </si>
  <si>
    <t>2010102113</t>
  </si>
  <si>
    <t>NEXIRA</t>
  </si>
  <si>
    <t>2010102114</t>
  </si>
  <si>
    <t>MASTERSENSE</t>
  </si>
  <si>
    <t>2010102115</t>
  </si>
  <si>
    <t>ASTROQUIM</t>
  </si>
  <si>
    <t>2010102116</t>
  </si>
  <si>
    <t>COMERCIALIZADORA NEFUR</t>
  </si>
  <si>
    <t>2010102117</t>
  </si>
  <si>
    <t>GIVAUDAN DE MEXICO</t>
  </si>
  <si>
    <t>2010102124</t>
  </si>
  <si>
    <t>QUANTUM NATURA</t>
  </si>
  <si>
    <t>2010102125</t>
  </si>
  <si>
    <t>DSM NUTRITIONAL PRODUCTS MEXICO</t>
  </si>
  <si>
    <t>2010102126</t>
  </si>
  <si>
    <t>MEXALC</t>
  </si>
  <si>
    <t>2010102127</t>
  </si>
  <si>
    <t>DANISCO MEXICANA</t>
  </si>
  <si>
    <t>2010102131</t>
  </si>
  <si>
    <t>2010102132</t>
  </si>
  <si>
    <t>2010102133</t>
  </si>
  <si>
    <t>2010102200</t>
  </si>
  <si>
    <t>Proveedores USD Complementaria</t>
  </si>
  <si>
    <t>2010102201</t>
  </si>
  <si>
    <t>2010102202</t>
  </si>
  <si>
    <t>2010102203</t>
  </si>
  <si>
    <t>2010102204</t>
  </si>
  <si>
    <t>2010102205</t>
  </si>
  <si>
    <t>2010102206</t>
  </si>
  <si>
    <t>2010102207</t>
  </si>
  <si>
    <t>2010102208</t>
  </si>
  <si>
    <t>2010102209</t>
  </si>
  <si>
    <t>2010102210</t>
  </si>
  <si>
    <t>2010102211</t>
  </si>
  <si>
    <t>2010102212</t>
  </si>
  <si>
    <t>2010102213</t>
  </si>
  <si>
    <t>2010102214</t>
  </si>
  <si>
    <t>2010102215</t>
  </si>
  <si>
    <t>2010102216</t>
  </si>
  <si>
    <t>2010102217</t>
  </si>
  <si>
    <t>2010102224</t>
  </si>
  <si>
    <t>2010102225</t>
  </si>
  <si>
    <t>2010102226</t>
  </si>
  <si>
    <t>2010102227</t>
  </si>
  <si>
    <t>2010102231</t>
  </si>
  <si>
    <t>2010102232</t>
  </si>
  <si>
    <t>2010102233</t>
  </si>
  <si>
    <t>2010103000</t>
  </si>
  <si>
    <t>Proveedores No Activos MN</t>
  </si>
  <si>
    <t>2010103001</t>
  </si>
  <si>
    <t>DURONCO SA DE CV</t>
  </si>
  <si>
    <t>2010103002</t>
  </si>
  <si>
    <t>FUTURE FOODS S.A DE C.V.</t>
  </si>
  <si>
    <t>2010103003</t>
  </si>
  <si>
    <t>NOVAPRINT S.A DE CV.</t>
  </si>
  <si>
    <t>2010103004</t>
  </si>
  <si>
    <t>PRINOVA MEXICO S DE RL DE CV</t>
  </si>
  <si>
    <t>2010103006</t>
  </si>
  <si>
    <t>SG FLEXO SA DE CV</t>
  </si>
  <si>
    <t>2010103007</t>
  </si>
  <si>
    <t>TRIANA NUTRITION SA DE CV</t>
  </si>
  <si>
    <t>2010103008</t>
  </si>
  <si>
    <t>Proveedores generales saldo 2024</t>
  </si>
  <si>
    <t>2010103009</t>
  </si>
  <si>
    <t>PROVEEDORES GENERALES 2023</t>
  </si>
  <si>
    <t>2010103010</t>
  </si>
  <si>
    <t>GELPHARMA S.A. DE C.V.</t>
  </si>
  <si>
    <t>2010103011</t>
  </si>
  <si>
    <t>NUTRIPROTEOMICS SA DE CV</t>
  </si>
  <si>
    <t>2010103012</t>
  </si>
  <si>
    <t>MOVA PRINTING SOLUTIONS SA DE CV</t>
  </si>
  <si>
    <t>2010103013</t>
  </si>
  <si>
    <t>CENTRAL DE DROGAS S. A DE C.V.</t>
  </si>
  <si>
    <t>2010103014</t>
  </si>
  <si>
    <t>INPAMEX PLANTA HUEHUETOCA SA DE CV</t>
  </si>
  <si>
    <t>2010103015</t>
  </si>
  <si>
    <t>PAPELES ESPECIALES DE MEXICO SA DE CV</t>
  </si>
  <si>
    <t>2010103016</t>
  </si>
  <si>
    <t>SUAN FARMA MEXICO SA DE CV</t>
  </si>
  <si>
    <t>2010103017</t>
  </si>
  <si>
    <t>UYEDA INDUSTRIAL DE MÉXICO S.A. C.V.</t>
  </si>
  <si>
    <t>2010103018</t>
  </si>
  <si>
    <t>TECSA ALIMENTOS SA DE CV</t>
  </si>
  <si>
    <t>2010103019</t>
  </si>
  <si>
    <t>EXCELFORM SA DE CV</t>
  </si>
  <si>
    <t>2010103020</t>
  </si>
  <si>
    <t>GLICERINAS INDUSTRIALES S.A DE C.V.</t>
  </si>
  <si>
    <t>2010103021</t>
  </si>
  <si>
    <t>BIOEMPAK MEXICO SA DE CV</t>
  </si>
  <si>
    <t>2010103023</t>
  </si>
  <si>
    <t>ROTATIVAS Y TALLERES GRAFICOS, SA DE CV</t>
  </si>
  <si>
    <t>2010103024</t>
  </si>
  <si>
    <t>LOGISTICA ACTITUD Y RESPONSABILIDAD EN EL TRANSPOR</t>
  </si>
  <si>
    <t>2010103025</t>
  </si>
  <si>
    <t>Regus Management México SA de CV</t>
  </si>
  <si>
    <t>2010103026</t>
  </si>
  <si>
    <t>AGI MOLDES, S.A. DE C.V.</t>
  </si>
  <si>
    <t>2010103027</t>
  </si>
  <si>
    <t>EXECUTIVE FORUMS MEXICO SA DE CV</t>
  </si>
  <si>
    <t>2010103028</t>
  </si>
  <si>
    <t>FWCG SERVICIOS EN SEGURIDAD ALIMENTARIA</t>
  </si>
  <si>
    <t>2010103029</t>
  </si>
  <si>
    <t>ADSORBENTES Y ANTICORROSIVOS INDUSTRIALES SA DE CV</t>
  </si>
  <si>
    <t>2010103030</t>
  </si>
  <si>
    <t>FULL GRAPHICS S DE RL DE CV</t>
  </si>
  <si>
    <t>2010103031</t>
  </si>
  <si>
    <t>INGRAPHOS, S.A. DE C.V.</t>
  </si>
  <si>
    <t>2010103032</t>
  </si>
  <si>
    <t>MELINATURA SA DE CV</t>
  </si>
  <si>
    <t>2010103033</t>
  </si>
  <si>
    <t>CONSULTORIA Y DISTRIBUIDORA GRUPO OMEGA INDUSTRIAL</t>
  </si>
  <si>
    <t>2010103034</t>
  </si>
  <si>
    <t>GUSTAVO BUSTAMANTE LOPEZ</t>
  </si>
  <si>
    <t>2010103035</t>
  </si>
  <si>
    <t>UL RESPONSIBLE SOURCING MEXICO SA DE CV</t>
  </si>
  <si>
    <t>2010103036</t>
  </si>
  <si>
    <t>ROSA ELENA DUEÑAS</t>
  </si>
  <si>
    <t>2010103037</t>
  </si>
  <si>
    <t>DISEÑOS LEATHERMOON SA DE CV</t>
  </si>
  <si>
    <t>2010103038</t>
  </si>
  <si>
    <t>Almacenadora GWTC, SA de CV</t>
  </si>
  <si>
    <t>2010103039</t>
  </si>
  <si>
    <t>SISTEMAS DE VALIDACION Y CALIBRACION, SA DE CV</t>
  </si>
  <si>
    <t>2010103040</t>
  </si>
  <si>
    <t>INEZA SA DE CV</t>
  </si>
  <si>
    <t>2010103041</t>
  </si>
  <si>
    <t>SOLUCIONCP IDEAS EMPRESARIALES</t>
  </si>
  <si>
    <t>2010103042</t>
  </si>
  <si>
    <t>Magnocentro Ferretero, S.A. de C.V.</t>
  </si>
  <si>
    <t>2010103043</t>
  </si>
  <si>
    <t>ISIDRO TRUJILLO MORALES</t>
  </si>
  <si>
    <t>2010103044</t>
  </si>
  <si>
    <t>GRUPO FERRETERIA CALZADA SA DE CV</t>
  </si>
  <si>
    <t>2010103045</t>
  </si>
  <si>
    <t>RENE VALDERRAMA CASTRO</t>
  </si>
  <si>
    <t>2010103046</t>
  </si>
  <si>
    <t>VICENTE ALANIS PEREZ</t>
  </si>
  <si>
    <t>2010103047</t>
  </si>
  <si>
    <t>GRUPO EMPAC SA DE CV</t>
  </si>
  <si>
    <t>2010103048</t>
  </si>
  <si>
    <t>JORGE ENRIQUE MARTINEZ GONZALEZ</t>
  </si>
  <si>
    <t>2010103049</t>
  </si>
  <si>
    <t>UBUNTU DESARROLLO INMOBILIARIO S A P I DE CV</t>
  </si>
  <si>
    <t>2010103050</t>
  </si>
  <si>
    <t>2G NUTRITION SAS DE CV</t>
  </si>
  <si>
    <t>2010103051</t>
  </si>
  <si>
    <t>GRUPO JGJ LUAN SA DE CV</t>
  </si>
  <si>
    <t>2020000000</t>
  </si>
  <si>
    <t>Cuentas por pagar a corto plazo</t>
  </si>
  <si>
    <t>2020100000</t>
  </si>
  <si>
    <t>Doctos x pagar bancario y financiero nal</t>
  </si>
  <si>
    <t>2020101000</t>
  </si>
  <si>
    <t>Tarjetas</t>
  </si>
  <si>
    <t>2020101001</t>
  </si>
  <si>
    <t>TC American Express Company Mexico</t>
  </si>
  <si>
    <t>2020101002</t>
  </si>
  <si>
    <t>TC Banregio</t>
  </si>
  <si>
    <t>2020101003</t>
  </si>
  <si>
    <t>TC Clara</t>
  </si>
  <si>
    <t>2020101004</t>
  </si>
  <si>
    <t>TC Tribal</t>
  </si>
  <si>
    <t>2020101005</t>
  </si>
  <si>
    <t>TC Amex pagos diferidos</t>
  </si>
  <si>
    <t>2020300000</t>
  </si>
  <si>
    <t>Doctos y ctas x pagar a corto plazo nal</t>
  </si>
  <si>
    <t>2020300001</t>
  </si>
  <si>
    <t>2020300002</t>
  </si>
  <si>
    <t>Nuvari SA de CV</t>
  </si>
  <si>
    <t>2020300003</t>
  </si>
  <si>
    <t>Paloma Martinez Gonzalez</t>
  </si>
  <si>
    <t>2040000000</t>
  </si>
  <si>
    <t>Instrumentos financieros a corto plazo</t>
  </si>
  <si>
    <t>2040100000</t>
  </si>
  <si>
    <t>2040101000</t>
  </si>
  <si>
    <t>Factoraje Financiero a corto plazo</t>
  </si>
  <si>
    <t>2040101001</t>
  </si>
  <si>
    <t>Capital X S.A. de C.V.</t>
  </si>
  <si>
    <t>2050000000</t>
  </si>
  <si>
    <t>Acreedores diversos a corto plazo</t>
  </si>
  <si>
    <t>2050200000</t>
  </si>
  <si>
    <t>Acreedores diversos a corto plazo nal</t>
  </si>
  <si>
    <t>2050201000</t>
  </si>
  <si>
    <t>Acreedores MXN</t>
  </si>
  <si>
    <t>2050201002</t>
  </si>
  <si>
    <t>TELEFONOS DE MEXICO</t>
  </si>
  <si>
    <t>2050201003</t>
  </si>
  <si>
    <t>AXA SEGUROS</t>
  </si>
  <si>
    <t>2050201004</t>
  </si>
  <si>
    <t>ANC RECOLECTORA</t>
  </si>
  <si>
    <t>2050201005</t>
  </si>
  <si>
    <t>GEN INDUSTRIAL</t>
  </si>
  <si>
    <t>2050201006</t>
  </si>
  <si>
    <t>MARIA DEL ROCIO MELGOZA CAÑEDO</t>
  </si>
  <si>
    <t>2050201007</t>
  </si>
  <si>
    <t>ENTERPRISE SOURCE CAPITAL DE MEXICO</t>
  </si>
  <si>
    <t>2050201009</t>
  </si>
  <si>
    <t>AUTOLINEAS JR</t>
  </si>
  <si>
    <t>2050201011</t>
  </si>
  <si>
    <t>TRANSPORTES MON-RO</t>
  </si>
  <si>
    <t>2050201013</t>
  </si>
  <si>
    <t>FUMYLIM</t>
  </si>
  <si>
    <t>2050201014</t>
  </si>
  <si>
    <t>AUTOTRANSPORTES VILLARREAL</t>
  </si>
  <si>
    <t>2050201015</t>
  </si>
  <si>
    <t>AT&amp;T COMUNICACIONES DIGITALES</t>
  </si>
  <si>
    <t>2050201016</t>
  </si>
  <si>
    <t>DHL EXPRESS MEXICO</t>
  </si>
  <si>
    <t>2050201017</t>
  </si>
  <si>
    <t>IDT TELECOM MEXICO</t>
  </si>
  <si>
    <t>2050201018</t>
  </si>
  <si>
    <t>TOTAL PLAY TELECOMUNICACIONES</t>
  </si>
  <si>
    <t>2050201019</t>
  </si>
  <si>
    <t>SEGUROS SURA</t>
  </si>
  <si>
    <t>2050201020</t>
  </si>
  <si>
    <t>ENTREGAS PUNTUALES</t>
  </si>
  <si>
    <t>2050201021</t>
  </si>
  <si>
    <t>MAPFRE MEXICO</t>
  </si>
  <si>
    <t>2050201022</t>
  </si>
  <si>
    <t>TRANSPADEX LOGISTICS</t>
  </si>
  <si>
    <t>2050201023</t>
  </si>
  <si>
    <t>ADT PRIVATE SECURITY SERVICES DE MEXICO</t>
  </si>
  <si>
    <t>2050201025</t>
  </si>
  <si>
    <t>SUPER MAYOREO NATURISTA</t>
  </si>
  <si>
    <t>2050201026</t>
  </si>
  <si>
    <t>ADVANTECH SERVICIOS FINANCIEROS</t>
  </si>
  <si>
    <t>2050201027</t>
  </si>
  <si>
    <t>G2M ASESORIA &amp; REPRESENTACION</t>
  </si>
  <si>
    <t>2050201028</t>
  </si>
  <si>
    <t>CFE SUMINISTRADOR DE SERVICIOS BASICOS</t>
  </si>
  <si>
    <t>2050201029</t>
  </si>
  <si>
    <t>GRUPO NACIONAL PROVINCIAL</t>
  </si>
  <si>
    <t>2050201030</t>
  </si>
  <si>
    <t>LOGISTICA Y SEGURIDAD FARMACEUTICA</t>
  </si>
  <si>
    <t>2050201031</t>
  </si>
  <si>
    <t>2050201032</t>
  </si>
  <si>
    <t>JUAN PABLO HERNANDEZ MEDINA</t>
  </si>
  <si>
    <t>2050201033</t>
  </si>
  <si>
    <t>FARMACIAS BENAVIDES</t>
  </si>
  <si>
    <t>2050201035</t>
  </si>
  <si>
    <t>INGENIERIA EPAO</t>
  </si>
  <si>
    <t>2050201037</t>
  </si>
  <si>
    <t>Leticia Ramirez Luna</t>
  </si>
  <si>
    <t>2050201038</t>
  </si>
  <si>
    <t>Ricardo de Alba Estrada</t>
  </si>
  <si>
    <t>2050201039</t>
  </si>
  <si>
    <t>CAPACITACION PARA EL DESARROLLO TURISTICO</t>
  </si>
  <si>
    <t>2050201040</t>
  </si>
  <si>
    <t>HERNANDEZ GOMEZ ABOGADOS SC</t>
  </si>
  <si>
    <t>2050201041</t>
  </si>
  <si>
    <t>TIERRA DE IDEAS</t>
  </si>
  <si>
    <t>2050201043</t>
  </si>
  <si>
    <t>CONCETRADORA FINANCIERA HIGO</t>
  </si>
  <si>
    <t>2050201046</t>
  </si>
  <si>
    <t>2050201047</t>
  </si>
  <si>
    <t>UNISAT MEXICANA</t>
  </si>
  <si>
    <t>2050201048</t>
  </si>
  <si>
    <t>CABLEVISION RED</t>
  </si>
  <si>
    <t>2050201049</t>
  </si>
  <si>
    <t>SISTEMA DE TRANSFERENCIAS Y PAGOS STP</t>
  </si>
  <si>
    <t>2050201050</t>
  </si>
  <si>
    <t>CM EQUIPOS Y SOPORTE</t>
  </si>
  <si>
    <t>2050201051</t>
  </si>
  <si>
    <t>SOLUCIONES CAPITAL X</t>
  </si>
  <si>
    <t>2050201053</t>
  </si>
  <si>
    <t>ARRENDAMIENTO Y SOLUCIONES</t>
  </si>
  <si>
    <t>2050201054</t>
  </si>
  <si>
    <t>Servicio Autopista</t>
  </si>
  <si>
    <t>2050201055</t>
  </si>
  <si>
    <t>Servicios Logisticos Occiexpress</t>
  </si>
  <si>
    <t>2050201056</t>
  </si>
  <si>
    <t>GML SERVICIOS EMPRESARIALES</t>
  </si>
  <si>
    <t>2050201057</t>
  </si>
  <si>
    <t>PROYECTOS SIT</t>
  </si>
  <si>
    <t>2050201062</t>
  </si>
  <si>
    <t>PROVISIONES COMERCIALES PLANTELA</t>
  </si>
  <si>
    <t>2050201063</t>
  </si>
  <si>
    <t>MA LUISA LLAMAS LARES</t>
  </si>
  <si>
    <t>2050201064</t>
  </si>
  <si>
    <t>SESAJAL</t>
  </si>
  <si>
    <t>2050201067</t>
  </si>
  <si>
    <t>INGENIERIA EN TELECOMUNICACIONES E INFORMATICA</t>
  </si>
  <si>
    <t>2050201070</t>
  </si>
  <si>
    <t>ASOCIACION NACIONAL DE DISTIBUIDORES Y LABORATORIO</t>
  </si>
  <si>
    <t>2050201071</t>
  </si>
  <si>
    <t>ANDREA ORTIZ GARCIA</t>
  </si>
  <si>
    <t>2050201072</t>
  </si>
  <si>
    <t>2050201073</t>
  </si>
  <si>
    <t>LILIANA VAZQUEZ HERNANDEZ</t>
  </si>
  <si>
    <t>2050201075</t>
  </si>
  <si>
    <t>CAPIX LEASING</t>
  </si>
  <si>
    <t>2050201076</t>
  </si>
  <si>
    <t>SERVICIOS HANGAR TRADING</t>
  </si>
  <si>
    <t>2050201077</t>
  </si>
  <si>
    <t>GRUPO 3R INGENIERIA</t>
  </si>
  <si>
    <t>2050201078</t>
  </si>
  <si>
    <t>XIREC CONSULTORES</t>
  </si>
  <si>
    <t>2050201079</t>
  </si>
  <si>
    <t>VILLASEÑOR CASTILLEJOS Y ASOCIADOS</t>
  </si>
  <si>
    <t>2050201080</t>
  </si>
  <si>
    <t>MAAT ADVISORY</t>
  </si>
  <si>
    <t>2050201081</t>
  </si>
  <si>
    <t>IBERCHEM MEXICO</t>
  </si>
  <si>
    <t>2050201082</t>
  </si>
  <si>
    <t>MUEBLES METALICOS RAMIREZ GUADALAJARA</t>
  </si>
  <si>
    <t>2050201083</t>
  </si>
  <si>
    <t>CONSULTORES JURIDICOS GONZALEZ LUNA</t>
  </si>
  <si>
    <t>2050201084</t>
  </si>
  <si>
    <t>PAQMEX</t>
  </si>
  <si>
    <t>2050201085</t>
  </si>
  <si>
    <t>GRUPO TRAMANDO</t>
  </si>
  <si>
    <t>2050201086</t>
  </si>
  <si>
    <t>EVOLUCIONES GRAFICAS PIXEL</t>
  </si>
  <si>
    <t>2050201087</t>
  </si>
  <si>
    <t>GRUPO PUBLICITARIO PS</t>
  </si>
  <si>
    <t>2050201088</t>
  </si>
  <si>
    <t>VOLTZ MEXICO</t>
  </si>
  <si>
    <t>2050201089</t>
  </si>
  <si>
    <t>RICARDO AVILES RIOS</t>
  </si>
  <si>
    <t>2050201097</t>
  </si>
  <si>
    <t>CORONA NEPOTE</t>
  </si>
  <si>
    <t>2050201098</t>
  </si>
  <si>
    <t>HELEN LILY ALCAZAR</t>
  </si>
  <si>
    <t>2050201099</t>
  </si>
  <si>
    <t>2050201100</t>
  </si>
  <si>
    <t>Otros acreedores saldo 2024</t>
  </si>
  <si>
    <t>2050201101</t>
  </si>
  <si>
    <t>2050201103</t>
  </si>
  <si>
    <t>2050201105</t>
  </si>
  <si>
    <t>2050201106</t>
  </si>
  <si>
    <t>2050201107</t>
  </si>
  <si>
    <t>PHARMA PLUS</t>
  </si>
  <si>
    <t>2050201108</t>
  </si>
  <si>
    <t>ALFONSO GIL ALVAREZ</t>
  </si>
  <si>
    <t>2050201109</t>
  </si>
  <si>
    <t>AUTOTRANSPORTES DE CARGA TRES GUERRAS</t>
  </si>
  <si>
    <t>2050201111</t>
  </si>
  <si>
    <t>CECILIA MANZANO LUNA</t>
  </si>
  <si>
    <t>2050201113</t>
  </si>
  <si>
    <t>2050201114</t>
  </si>
  <si>
    <t>HEWLETT PACKARD</t>
  </si>
  <si>
    <t>2050201119</t>
  </si>
  <si>
    <t>CENTRO EMPRESARIAL DE JALISCO</t>
  </si>
  <si>
    <t>2050201200</t>
  </si>
  <si>
    <t>OTROS ACREEDORES SALDO 2023</t>
  </si>
  <si>
    <t>2050201300</t>
  </si>
  <si>
    <t>Mercado pago cobranza de Farmiral</t>
  </si>
  <si>
    <t>2050202000</t>
  </si>
  <si>
    <t>Acreedores USD</t>
  </si>
  <si>
    <t>2050202100</t>
  </si>
  <si>
    <t>2050202101</t>
  </si>
  <si>
    <t>SINERGY INGENIERIA</t>
  </si>
  <si>
    <t>2050202102</t>
  </si>
  <si>
    <t>HDI Seguros</t>
  </si>
  <si>
    <t>2050202200</t>
  </si>
  <si>
    <t>Acreedores USD Complementaria</t>
  </si>
  <si>
    <t>2050202201</t>
  </si>
  <si>
    <t>2050202202</t>
  </si>
  <si>
    <t>2050202203</t>
  </si>
  <si>
    <t>2060000000</t>
  </si>
  <si>
    <t>Anticipo de cliente</t>
  </si>
  <si>
    <t>2060100000</t>
  </si>
  <si>
    <t>Anticipo de cliente nacional</t>
  </si>
  <si>
    <t>2060101000</t>
  </si>
  <si>
    <t>Anticipo de clientes MN</t>
  </si>
  <si>
    <t>2060101001</t>
  </si>
  <si>
    <t>KPS Comercializadora</t>
  </si>
  <si>
    <t>2060101002</t>
  </si>
  <si>
    <t>Laboratorio Elmor</t>
  </si>
  <si>
    <t>2060101003</t>
  </si>
  <si>
    <t>Clientes en general</t>
  </si>
  <si>
    <t>2060102000</t>
  </si>
  <si>
    <t>Anticipo de clientes USD en MN</t>
  </si>
  <si>
    <t>2060102100</t>
  </si>
  <si>
    <t>Anticipo de clientes USD</t>
  </si>
  <si>
    <t>2060102101</t>
  </si>
  <si>
    <t>KPS Comercializadora USD</t>
  </si>
  <si>
    <t>2060102200</t>
  </si>
  <si>
    <t>Anticipo de clientes USD Complementaria</t>
  </si>
  <si>
    <t>2060102201</t>
  </si>
  <si>
    <t>KPS Comercializadora USD Comp</t>
  </si>
  <si>
    <t>2080000000</t>
  </si>
  <si>
    <t>Impuestos trasladados cobrados</t>
  </si>
  <si>
    <t>2080100000</t>
  </si>
  <si>
    <t>IVA trasladado cobrado</t>
  </si>
  <si>
    <t>2090000000</t>
  </si>
  <si>
    <t>Impuestos trasladados no cobrados</t>
  </si>
  <si>
    <t>2090100000</t>
  </si>
  <si>
    <t>IVA trasladado no cobrado</t>
  </si>
  <si>
    <t>2100000000</t>
  </si>
  <si>
    <t>Provisión de sueldos y salarios x pagar</t>
  </si>
  <si>
    <t>2100100000</t>
  </si>
  <si>
    <t>2100300000</t>
  </si>
  <si>
    <t>Provisión de aguinaldo por pagar</t>
  </si>
  <si>
    <t>2110000000</t>
  </si>
  <si>
    <t>Provisión de contribuciones segsocial x pagar</t>
  </si>
  <si>
    <t>2110100000</t>
  </si>
  <si>
    <t>Provisión de IMSS patronal por pagar</t>
  </si>
  <si>
    <t>2110200000</t>
  </si>
  <si>
    <t>Provisión de SAR por pagar</t>
  </si>
  <si>
    <t>2110300000</t>
  </si>
  <si>
    <t>Provisión de infonavit por pagar</t>
  </si>
  <si>
    <t>2130000000</t>
  </si>
  <si>
    <t>Impuestos y derechos por pagar</t>
  </si>
  <si>
    <t>2130100000</t>
  </si>
  <si>
    <t>IVA por pagar</t>
  </si>
  <si>
    <t>2130300000</t>
  </si>
  <si>
    <t>ISR por pagar</t>
  </si>
  <si>
    <t>2130400000</t>
  </si>
  <si>
    <t>Impuesto estatal sobre nómina por pagar</t>
  </si>
  <si>
    <t>2130700000</t>
  </si>
  <si>
    <t>Otros impuestos por pagar</t>
  </si>
  <si>
    <t>2150000000</t>
  </si>
  <si>
    <t>PTU por pagar</t>
  </si>
  <si>
    <t>2150100000</t>
  </si>
  <si>
    <t>2160000000</t>
  </si>
  <si>
    <t>Impuestos retenidos</t>
  </si>
  <si>
    <t>2160100000</t>
  </si>
  <si>
    <t>Impuestos ret de ISR x sdos y salarios</t>
  </si>
  <si>
    <t>2160300000</t>
  </si>
  <si>
    <t>Impuestos ret a credito</t>
  </si>
  <si>
    <t>2160301000</t>
  </si>
  <si>
    <t>Iva ret a credito</t>
  </si>
  <si>
    <t>2160301001</t>
  </si>
  <si>
    <t>Iva ret cred fletes 4%</t>
  </si>
  <si>
    <t>2160301002</t>
  </si>
  <si>
    <t>Iva ret cred Honorario</t>
  </si>
  <si>
    <t>2160301003</t>
  </si>
  <si>
    <t>Iva ret cred arrendamiento</t>
  </si>
  <si>
    <t>2160302000</t>
  </si>
  <si>
    <t>ISR ret a credito</t>
  </si>
  <si>
    <t>2160302002</t>
  </si>
  <si>
    <t>ISR ret 10% arrendamiento credito</t>
  </si>
  <si>
    <t>2160302003</t>
  </si>
  <si>
    <t>ISR ret reg simpl credito</t>
  </si>
  <si>
    <t>2160400000</t>
  </si>
  <si>
    <t>Impuestos ret pagados</t>
  </si>
  <si>
    <t>2160401000</t>
  </si>
  <si>
    <t>Iva ret pagado</t>
  </si>
  <si>
    <t>2160401001</t>
  </si>
  <si>
    <t>Iva ret pagado fletes 4%</t>
  </si>
  <si>
    <t>2160401002</t>
  </si>
  <si>
    <t>Iva ret pagado Honorario</t>
  </si>
  <si>
    <t>2160401003</t>
  </si>
  <si>
    <t>Iva ret pagado arrendamiento</t>
  </si>
  <si>
    <t>2160402000</t>
  </si>
  <si>
    <t>ISR ret pagado</t>
  </si>
  <si>
    <t>2160402001</t>
  </si>
  <si>
    <t>ISR ret 10% honorario pagado</t>
  </si>
  <si>
    <t>2160402002</t>
  </si>
  <si>
    <t>ISR ret 10% arrendamiento pagado</t>
  </si>
  <si>
    <t>2160402003</t>
  </si>
  <si>
    <t>ISR ret reg simpl contado</t>
  </si>
  <si>
    <t>2161100000</t>
  </si>
  <si>
    <t>Retenciones de IMSS a los trabaj</t>
  </si>
  <si>
    <t>2161200000</t>
  </si>
  <si>
    <t>Retenciones empleados</t>
  </si>
  <si>
    <t>2161201000</t>
  </si>
  <si>
    <t>Comedor</t>
  </si>
  <si>
    <t>2161300000</t>
  </si>
  <si>
    <t>Credito Infonavit empleados</t>
  </si>
  <si>
    <t>2161300001</t>
  </si>
  <si>
    <t>Martinez Lopez Socorro</t>
  </si>
  <si>
    <t>2161300002</t>
  </si>
  <si>
    <t>LOMELI OROPEZA JUAN MANUEL</t>
  </si>
  <si>
    <t>2161300003</t>
  </si>
  <si>
    <t>MURILLO LEDESMA NANCY LILIANA</t>
  </si>
  <si>
    <t>2161300004</t>
  </si>
  <si>
    <t>CARO VALERIO JUAN LUIS SEBASTIAN</t>
  </si>
  <si>
    <t>2161300005</t>
  </si>
  <si>
    <t>MEZA REYNOSO MARISOL</t>
  </si>
  <si>
    <t>2161300006</t>
  </si>
  <si>
    <t>MORENO BASTIAN MARIA DE JESUS</t>
  </si>
  <si>
    <t>2161300007</t>
  </si>
  <si>
    <t>GUZMAN RODRIGUEZ NANCY NALLELY</t>
  </si>
  <si>
    <t>2161300008</t>
  </si>
  <si>
    <t>RENTERIA PONCE MARIA ELIZABETH</t>
  </si>
  <si>
    <t>2161300009</t>
  </si>
  <si>
    <t>LOPEZ CERVERA MARIA DEL CARMEN</t>
  </si>
  <si>
    <t>2161300010</t>
  </si>
  <si>
    <t>MURO ARJON MA DEL ROSARIO</t>
  </si>
  <si>
    <t>2161300011</t>
  </si>
  <si>
    <t>MAYORGA PULIDO GERARDO DANIEL</t>
  </si>
  <si>
    <t>2161300012</t>
  </si>
  <si>
    <t>RODRIGUEZ CONTRERAS JESUS GUADALUPE</t>
  </si>
  <si>
    <t>2161300013</t>
  </si>
  <si>
    <t>RENTERIA LAMAS GABRIELA</t>
  </si>
  <si>
    <t>2161300014</t>
  </si>
  <si>
    <t>CHIMAL HERNANDEZ GABRIELA</t>
  </si>
  <si>
    <t>2161300015</t>
  </si>
  <si>
    <t>LOPEZ GAMIÑO NANCY AGLADET</t>
  </si>
  <si>
    <t>2161300016</t>
  </si>
  <si>
    <t>RAMIREZ DAVALOS MIGUEL ANGEL</t>
  </si>
  <si>
    <t>2161300017</t>
  </si>
  <si>
    <t>LOZANO ROMERO SONIA VERONICA</t>
  </si>
  <si>
    <t>2161300018</t>
  </si>
  <si>
    <t>ROQUE MERCADO JUAN LUIS</t>
  </si>
  <si>
    <t>2161300019</t>
  </si>
  <si>
    <t>APECECHEA SOTO ROSA ORALIA</t>
  </si>
  <si>
    <t>2161300020</t>
  </si>
  <si>
    <t>FLORES SALAMANCA ADRIAN DE JESUS</t>
  </si>
  <si>
    <t>2161300021</t>
  </si>
  <si>
    <t>CASTRO MOLINA JESUS ORLANDO</t>
  </si>
  <si>
    <t>2161300022</t>
  </si>
  <si>
    <t>RODRIGUEZ BARAJAS SANTIAGO</t>
  </si>
  <si>
    <t>2161300023</t>
  </si>
  <si>
    <t>TREJO SALAS NICTE-JA</t>
  </si>
  <si>
    <t>2161300024</t>
  </si>
  <si>
    <t>FONSECA ROBLEDO JESSICA ANGELINA</t>
  </si>
  <si>
    <t>2161300025</t>
  </si>
  <si>
    <t>MARTINEZ CORTES JULIA</t>
  </si>
  <si>
    <t>2161300026</t>
  </si>
  <si>
    <t>CARMONA CORTES MARIA GUADALUPE</t>
  </si>
  <si>
    <t>2161300027</t>
  </si>
  <si>
    <t>IBARRA TLAHUEL ARACELI</t>
  </si>
  <si>
    <t>2161300028</t>
  </si>
  <si>
    <t>MARTINEZ BECERRA JESSICA CELINA</t>
  </si>
  <si>
    <t>2161300029</t>
  </si>
  <si>
    <t>HERNANDEZ FLORES JESUS SALVADOR</t>
  </si>
  <si>
    <t>2170000000</t>
  </si>
  <si>
    <t>Pagos realizados x cta de terceros</t>
  </si>
  <si>
    <t>2170100000</t>
  </si>
  <si>
    <t>2170101000</t>
  </si>
  <si>
    <t>Tercero no identificado</t>
  </si>
  <si>
    <t>2170101001</t>
  </si>
  <si>
    <t>Tercero NI CFDI 03 transferencia</t>
  </si>
  <si>
    <t>2170101002</t>
  </si>
  <si>
    <t>Tercero NI CFDI 04 tarjeta de credito</t>
  </si>
  <si>
    <t>2170101003</t>
  </si>
  <si>
    <t>Tercero NI CFDI 28 tarjeta debito</t>
  </si>
  <si>
    <t>2170101004</t>
  </si>
  <si>
    <t>Tercero NI CFDI 01 Efectivo</t>
  </si>
  <si>
    <t>2180000000</t>
  </si>
  <si>
    <t>Otros pasivos a corto plazo</t>
  </si>
  <si>
    <t>2180100000</t>
  </si>
  <si>
    <t>2180100001</t>
  </si>
  <si>
    <t>Despensa por pagar</t>
  </si>
  <si>
    <t>2180100002</t>
  </si>
  <si>
    <t>Neto nomina</t>
  </si>
  <si>
    <t>2180100003</t>
  </si>
  <si>
    <t>Fondo de ahorro empleados</t>
  </si>
  <si>
    <t>2180100004</t>
  </si>
  <si>
    <t>Fondo de ahorro empresa</t>
  </si>
  <si>
    <t>2180100005</t>
  </si>
  <si>
    <t>Difarmer (pago indebido)</t>
  </si>
  <si>
    <t>2180101000</t>
  </si>
  <si>
    <t>2180101001</t>
  </si>
  <si>
    <t>2180102000</t>
  </si>
  <si>
    <t>2180102001</t>
  </si>
  <si>
    <t>2180102002</t>
  </si>
  <si>
    <t>2180102003</t>
  </si>
  <si>
    <t>2000200000</t>
  </si>
  <si>
    <t>Pasivo a largo plazo</t>
  </si>
  <si>
    <t>2520000000</t>
  </si>
  <si>
    <t>Cuentas por pagar a largo plazo</t>
  </si>
  <si>
    <t>2520100000</t>
  </si>
  <si>
    <t>Dtos banc y fin x pagar lgo pzo nal</t>
  </si>
  <si>
    <t>2520101000</t>
  </si>
  <si>
    <t>Creditos</t>
  </si>
  <si>
    <t>2520101001</t>
  </si>
  <si>
    <t>Credito Arrendamas</t>
  </si>
  <si>
    <t>2520101003</t>
  </si>
  <si>
    <t>Credito Banregio</t>
  </si>
  <si>
    <t>2520101005</t>
  </si>
  <si>
    <t>Credito Konfio</t>
  </si>
  <si>
    <t>2520101006</t>
  </si>
  <si>
    <t>Credito Santander</t>
  </si>
  <si>
    <t>2520101007</t>
  </si>
  <si>
    <t>Banorte credito 1</t>
  </si>
  <si>
    <t>2520101008</t>
  </si>
  <si>
    <t>Banorte credito 91775</t>
  </si>
  <si>
    <t>2520101009</t>
  </si>
  <si>
    <t>Banorte credito 57362</t>
  </si>
  <si>
    <t>2520101010</t>
  </si>
  <si>
    <t>Capix MX</t>
  </si>
  <si>
    <t>2520101011</t>
  </si>
  <si>
    <t>Ixhua Tech</t>
  </si>
  <si>
    <t>2521700000</t>
  </si>
  <si>
    <t>Otras cuentas y dtos x pagar largo plazo</t>
  </si>
  <si>
    <t>2521701000</t>
  </si>
  <si>
    <t>2521701001</t>
  </si>
  <si>
    <t>2521701002</t>
  </si>
  <si>
    <t>2521701003</t>
  </si>
  <si>
    <t>2521702000</t>
  </si>
  <si>
    <t>2521702001</t>
  </si>
  <si>
    <t>2521702002</t>
  </si>
  <si>
    <t>2521702003</t>
  </si>
  <si>
    <t>2521702004</t>
  </si>
  <si>
    <t>2521702005</t>
  </si>
  <si>
    <t>2521702006</t>
  </si>
  <si>
    <t>2521702007</t>
  </si>
  <si>
    <t>2521702008</t>
  </si>
  <si>
    <t>2521702009</t>
  </si>
  <si>
    <t>2521702010</t>
  </si>
  <si>
    <t>2521702011</t>
  </si>
  <si>
    <t>2521702012</t>
  </si>
  <si>
    <t>2521702013</t>
  </si>
  <si>
    <t>2521702014</t>
  </si>
  <si>
    <t>2521702015</t>
  </si>
  <si>
    <t>2521702016</t>
  </si>
  <si>
    <t>2521703000</t>
  </si>
  <si>
    <t>2521703001</t>
  </si>
  <si>
    <t>2521704000</t>
  </si>
  <si>
    <t>2521704001</t>
  </si>
  <si>
    <t>3000000000</t>
  </si>
  <si>
    <t>Capital</t>
  </si>
  <si>
    <t>3010000000</t>
  </si>
  <si>
    <t>Capital Social</t>
  </si>
  <si>
    <t>3010100000</t>
  </si>
  <si>
    <t>Capital fijo</t>
  </si>
  <si>
    <t>3010100001</t>
  </si>
  <si>
    <t>3010100002</t>
  </si>
  <si>
    <t>Jorge Axel Correa Miramontes</t>
  </si>
  <si>
    <t>3010100003</t>
  </si>
  <si>
    <t>Diego Alejandro Correa Miramontes</t>
  </si>
  <si>
    <t>3010100004</t>
  </si>
  <si>
    <t>3010100005</t>
  </si>
  <si>
    <t>3010200000</t>
  </si>
  <si>
    <t>Capital variable</t>
  </si>
  <si>
    <t>3010200001</t>
  </si>
  <si>
    <t>3010200002</t>
  </si>
  <si>
    <t>3010200003</t>
  </si>
  <si>
    <t>3010300000</t>
  </si>
  <si>
    <t>Aportaciones p fut aumentos de capital</t>
  </si>
  <si>
    <t>3040000000</t>
  </si>
  <si>
    <t>Resultado de ejercicios anteriores</t>
  </si>
  <si>
    <t>3040200000</t>
  </si>
  <si>
    <t>Pérdida de ejercicios anteriores</t>
  </si>
  <si>
    <t>3040201000</t>
  </si>
  <si>
    <t>Perdida de ejercicios anteriores</t>
  </si>
  <si>
    <t>3040202000</t>
  </si>
  <si>
    <t>Perdida del ejercicio 2024</t>
  </si>
  <si>
    <t>4000000000</t>
  </si>
  <si>
    <t>Ingresos</t>
  </si>
  <si>
    <t>4010000000</t>
  </si>
  <si>
    <t>4010100000</t>
  </si>
  <si>
    <t>Ventas de producto grav a tasa gral</t>
  </si>
  <si>
    <t>4010101000</t>
  </si>
  <si>
    <t>4010102000</t>
  </si>
  <si>
    <t>Marca Propia</t>
  </si>
  <si>
    <t>4010103000</t>
  </si>
  <si>
    <t>Biomiral</t>
  </si>
  <si>
    <t>4010103001</t>
  </si>
  <si>
    <t>Biomiral Distribuidores</t>
  </si>
  <si>
    <t>4010103002</t>
  </si>
  <si>
    <t>Biomiral Retail</t>
  </si>
  <si>
    <t>4020000000</t>
  </si>
  <si>
    <t>Devoluciones, descuentos o bonif sobre ingresos</t>
  </si>
  <si>
    <t>4020100000</t>
  </si>
  <si>
    <t>Dev, desctos o bonifi s vtas y/o serv tasa gral</t>
  </si>
  <si>
    <t>4020100001</t>
  </si>
  <si>
    <t>Devoluciones s/venta</t>
  </si>
  <si>
    <t>4020100002</t>
  </si>
  <si>
    <t>Descuento por MKT</t>
  </si>
  <si>
    <t>4020100003</t>
  </si>
  <si>
    <t>Descuento relacion comercial</t>
  </si>
  <si>
    <t>4020100004</t>
  </si>
  <si>
    <t>Descuento por piezas faltantes</t>
  </si>
  <si>
    <t>4020100005</t>
  </si>
  <si>
    <t>Descuento por piezas dañadas</t>
  </si>
  <si>
    <t>4020100006</t>
  </si>
  <si>
    <t>Descuento por pago anticipado</t>
  </si>
  <si>
    <t>4020100007</t>
  </si>
  <si>
    <t>Descuento por error en precio</t>
  </si>
  <si>
    <t>4020100008</t>
  </si>
  <si>
    <t>Descuento por penalizacion</t>
  </si>
  <si>
    <t>4020100009</t>
  </si>
  <si>
    <t>Descuento por caducidad del producto</t>
  </si>
  <si>
    <t>4030000000</t>
  </si>
  <si>
    <t>Otros ingresos</t>
  </si>
  <si>
    <t>4030100000</t>
  </si>
  <si>
    <t>Otros Ingresos</t>
  </si>
  <si>
    <t>4030102000</t>
  </si>
  <si>
    <t>Otros ingresos varios</t>
  </si>
  <si>
    <t>4030500000</t>
  </si>
  <si>
    <t>Ingresos por condonación de adeudo</t>
  </si>
  <si>
    <t>5000000000</t>
  </si>
  <si>
    <t>Costos</t>
  </si>
  <si>
    <t>5010000000</t>
  </si>
  <si>
    <t>Costos Directos</t>
  </si>
  <si>
    <t>5010100000</t>
  </si>
  <si>
    <t>Materia prima directa utilizada para la prod</t>
  </si>
  <si>
    <t>5010101000</t>
  </si>
  <si>
    <t>Materia Prima</t>
  </si>
  <si>
    <t>5010102000</t>
  </si>
  <si>
    <t>Material Empaque</t>
  </si>
  <si>
    <t>5010200000</t>
  </si>
  <si>
    <t>Fletes y logistica</t>
  </si>
  <si>
    <t>5010400000</t>
  </si>
  <si>
    <t>Mano de obra directa</t>
  </si>
  <si>
    <t>5010401000</t>
  </si>
  <si>
    <t>Sueldos y Salarios Produccion</t>
  </si>
  <si>
    <t>5010403000</t>
  </si>
  <si>
    <t>Tiempos extras Produccion</t>
  </si>
  <si>
    <t>5010404000</t>
  </si>
  <si>
    <t>Premios de asistencia Produccion</t>
  </si>
  <si>
    <t>5010405000</t>
  </si>
  <si>
    <t>Premios de puntualidad Produccion</t>
  </si>
  <si>
    <t>5010406000</t>
  </si>
  <si>
    <t>Vacaciones Produccion</t>
  </si>
  <si>
    <t>5010407000</t>
  </si>
  <si>
    <t>Prima vacacional Produccion</t>
  </si>
  <si>
    <t>5010408000</t>
  </si>
  <si>
    <t>Prima dominical Produccion</t>
  </si>
  <si>
    <t>5010409000</t>
  </si>
  <si>
    <t>Días festivos Produccion</t>
  </si>
  <si>
    <t>5010410000</t>
  </si>
  <si>
    <t>Gratificaciones Produccion</t>
  </si>
  <si>
    <t>5010412000</t>
  </si>
  <si>
    <t>Aguinaldo Produccion</t>
  </si>
  <si>
    <t>5010415000</t>
  </si>
  <si>
    <t>Despensa Produccion</t>
  </si>
  <si>
    <t>5010416000</t>
  </si>
  <si>
    <t>Transporte Produccion</t>
  </si>
  <si>
    <t>5010419000</t>
  </si>
  <si>
    <t>Fondo de ahorro Produccion</t>
  </si>
  <si>
    <t>5010424000</t>
  </si>
  <si>
    <t>Septimo día Produccion</t>
  </si>
  <si>
    <t>5010425000</t>
  </si>
  <si>
    <t>Bono cumpleaños Produccion</t>
  </si>
  <si>
    <t>5010426000</t>
  </si>
  <si>
    <t>Bono de productividad Produccion</t>
  </si>
  <si>
    <t>5010427000</t>
  </si>
  <si>
    <t>Bono E Produccion</t>
  </si>
  <si>
    <t>5010428000</t>
  </si>
  <si>
    <t>Vales de gasolina Produccion</t>
  </si>
  <si>
    <t>5010429000</t>
  </si>
  <si>
    <t>Tarjeta azul Produccion</t>
  </si>
  <si>
    <t>5010430000</t>
  </si>
  <si>
    <t>Otras prestaciones Produccion</t>
  </si>
  <si>
    <t>5010500000</t>
  </si>
  <si>
    <t>Seguridad social Produccion</t>
  </si>
  <si>
    <t>5010502000</t>
  </si>
  <si>
    <t>Cuotas al IMSS</t>
  </si>
  <si>
    <t>5010503000</t>
  </si>
  <si>
    <t>Aportaciones al infonavit</t>
  </si>
  <si>
    <t>5010504000</t>
  </si>
  <si>
    <t>Aportaciones al SAR</t>
  </si>
  <si>
    <t>5010505000</t>
  </si>
  <si>
    <t>Impuesto estatal sobre nóminas</t>
  </si>
  <si>
    <t>5010600000</t>
  </si>
  <si>
    <t>Gastos Generales de Produccion</t>
  </si>
  <si>
    <t>5010602000</t>
  </si>
  <si>
    <t>Pruebas de Calidad</t>
  </si>
  <si>
    <t>5040000000</t>
  </si>
  <si>
    <t>Costos Indirectos</t>
  </si>
  <si>
    <t>5040100000</t>
  </si>
  <si>
    <t>Nomina Soporte a la Operacion</t>
  </si>
  <si>
    <t>5040101000</t>
  </si>
  <si>
    <t>Sueldos y Salarios SO</t>
  </si>
  <si>
    <t>5040103000</t>
  </si>
  <si>
    <t>Tiempos extras SO</t>
  </si>
  <si>
    <t>5040104000</t>
  </si>
  <si>
    <t>Premios de asistencia SO</t>
  </si>
  <si>
    <t>5040105000</t>
  </si>
  <si>
    <t>Premios de puntualidad SO</t>
  </si>
  <si>
    <t>5040106000</t>
  </si>
  <si>
    <t>Vacaciones SO</t>
  </si>
  <si>
    <t>5040107000</t>
  </si>
  <si>
    <t>Prima vacacional SO</t>
  </si>
  <si>
    <t>5040110000</t>
  </si>
  <si>
    <t>Gratificaciones SO</t>
  </si>
  <si>
    <t>5040112000</t>
  </si>
  <si>
    <t>Aguinaldo SO</t>
  </si>
  <si>
    <t>5040115000</t>
  </si>
  <si>
    <t>Despensa SO</t>
  </si>
  <si>
    <t>5040119000</t>
  </si>
  <si>
    <t>Fondo de ahorro SO</t>
  </si>
  <si>
    <t>5040124000</t>
  </si>
  <si>
    <t>Septimo día SO</t>
  </si>
  <si>
    <t>5040128000</t>
  </si>
  <si>
    <t>Vales de gasolina SO</t>
  </si>
  <si>
    <t>5040129000</t>
  </si>
  <si>
    <t>Tarjeta azul SO</t>
  </si>
  <si>
    <t>5040130000</t>
  </si>
  <si>
    <t>Otros conceptos SO</t>
  </si>
  <si>
    <t>5040200000</t>
  </si>
  <si>
    <t>Seguridad Social Soporte a la Operacion</t>
  </si>
  <si>
    <t>5040200002</t>
  </si>
  <si>
    <t>Cuotas al IMSS SO</t>
  </si>
  <si>
    <t>5040200003</t>
  </si>
  <si>
    <t>Aportaciones al infonavit SO</t>
  </si>
  <si>
    <t>5040200004</t>
  </si>
  <si>
    <t>Aportaciones al SAR SO</t>
  </si>
  <si>
    <t>5040200005</t>
  </si>
  <si>
    <t>Impuesto estatal sobre nóminas SO</t>
  </si>
  <si>
    <t>5040300000</t>
  </si>
  <si>
    <t>Gastos Indirectos de Fabricacion</t>
  </si>
  <si>
    <t>5040301000</t>
  </si>
  <si>
    <t>Arrendamiento Nave</t>
  </si>
  <si>
    <t>5040302000</t>
  </si>
  <si>
    <t>Luz</t>
  </si>
  <si>
    <t>5040303000</t>
  </si>
  <si>
    <t>Renta de Equipos</t>
  </si>
  <si>
    <t>5040304000</t>
  </si>
  <si>
    <t>Seguridad e Higiene</t>
  </si>
  <si>
    <t>5040305000</t>
  </si>
  <si>
    <t>Tarimas de madera</t>
  </si>
  <si>
    <t>5040306000</t>
  </si>
  <si>
    <t>Mantenimiento a instalaciones</t>
  </si>
  <si>
    <t>5040306001</t>
  </si>
  <si>
    <t>Preventivo</t>
  </si>
  <si>
    <t>5040306002</t>
  </si>
  <si>
    <t>Correctivo</t>
  </si>
  <si>
    <t>5040306003</t>
  </si>
  <si>
    <t>Refacciones y Consumibles</t>
  </si>
  <si>
    <t>5040306004</t>
  </si>
  <si>
    <t>Herramienta e Instrumentacion</t>
  </si>
  <si>
    <t>5040308000</t>
  </si>
  <si>
    <t>Gas licuado</t>
  </si>
  <si>
    <t>5040309000</t>
  </si>
  <si>
    <t>Pruebas de Desarrollo</t>
  </si>
  <si>
    <t>5040310000</t>
  </si>
  <si>
    <t>Consumibles para produccion</t>
  </si>
  <si>
    <t>5040312000</t>
  </si>
  <si>
    <t>Señaletica</t>
  </si>
  <si>
    <t>5040314000</t>
  </si>
  <si>
    <t>Grabados de impresion (MP)</t>
  </si>
  <si>
    <t>5040400000</t>
  </si>
  <si>
    <t>Nomina Cadena de Suministros/Almacen</t>
  </si>
  <si>
    <t>5040401000</t>
  </si>
  <si>
    <t>Sueldos y Salarios CS/Almacen</t>
  </si>
  <si>
    <t>5040403000</t>
  </si>
  <si>
    <t>Tiempos extras CS</t>
  </si>
  <si>
    <t>5040404000</t>
  </si>
  <si>
    <t>Premios de asistencia CS/Almacen</t>
  </si>
  <si>
    <t>5040405000</t>
  </si>
  <si>
    <t>Premios de puntualidad CS/Almacen</t>
  </si>
  <si>
    <t>5040406000</t>
  </si>
  <si>
    <t>Vacaciones CS/Almacen</t>
  </si>
  <si>
    <t>5040412000</t>
  </si>
  <si>
    <t>Aguinaldo CS/Almacen</t>
  </si>
  <si>
    <t>5040415000</t>
  </si>
  <si>
    <t>Despensa CS/Almacen</t>
  </si>
  <si>
    <t>5040419000</t>
  </si>
  <si>
    <t>Fondo de ahorro CS/Almacen</t>
  </si>
  <si>
    <t>5040424000</t>
  </si>
  <si>
    <t>Septimo día CS/Almacen</t>
  </si>
  <si>
    <t>5040429000</t>
  </si>
  <si>
    <t>Tarjetas azules CS/Almacen</t>
  </si>
  <si>
    <t>5040430000</t>
  </si>
  <si>
    <t>Otros conceptos CS/Almacen</t>
  </si>
  <si>
    <t>5040500000</t>
  </si>
  <si>
    <t>Seguridad Social CS/Almacen</t>
  </si>
  <si>
    <t>5040502000</t>
  </si>
  <si>
    <t>Cuotas al IMSS CS/Almacen</t>
  </si>
  <si>
    <t>5040503000</t>
  </si>
  <si>
    <t>Aportaciones al infonavit CS/Almacen</t>
  </si>
  <si>
    <t>5040504000</t>
  </si>
  <si>
    <t>Aportaciones al SAR CS/Almacen</t>
  </si>
  <si>
    <t>5040505000</t>
  </si>
  <si>
    <t>Impuesto estatal sobre nóminas CS/Almacen</t>
  </si>
  <si>
    <t>5040600000</t>
  </si>
  <si>
    <t>Nomina Mantenimiento</t>
  </si>
  <si>
    <t>5040601000</t>
  </si>
  <si>
    <t>Sueldos y Salarios Mtto</t>
  </si>
  <si>
    <t>5040603000</t>
  </si>
  <si>
    <t>Tiempos extras Mtto</t>
  </si>
  <si>
    <t>5040604000</t>
  </si>
  <si>
    <t>Premios de asistencia Mtto</t>
  </si>
  <si>
    <t>5040605000</t>
  </si>
  <si>
    <t>Premios de puntualidad Mtto</t>
  </si>
  <si>
    <t>5040606000</t>
  </si>
  <si>
    <t>Vacaciones Mtto</t>
  </si>
  <si>
    <t>5040607000</t>
  </si>
  <si>
    <t>Prima vacacional Mtto</t>
  </si>
  <si>
    <t>5040612000</t>
  </si>
  <si>
    <t>Aguinaldo Mtto</t>
  </si>
  <si>
    <t>5040615000</t>
  </si>
  <si>
    <t>Despensa Mtto</t>
  </si>
  <si>
    <t>5040619000</t>
  </si>
  <si>
    <t>Fondo de ahorro Mtto</t>
  </si>
  <si>
    <t>5040624000</t>
  </si>
  <si>
    <t>Septimo día Mtto</t>
  </si>
  <si>
    <t>5040629000</t>
  </si>
  <si>
    <t>Tarjeta azul Mtto</t>
  </si>
  <si>
    <t>5040700000</t>
  </si>
  <si>
    <t>Seguridad Social Mtto</t>
  </si>
  <si>
    <t>5040700002</t>
  </si>
  <si>
    <t>Cuotas al IMSS Mtto</t>
  </si>
  <si>
    <t>5040700003</t>
  </si>
  <si>
    <t>Aportaciones al infonavit Mtto</t>
  </si>
  <si>
    <t>5040700004</t>
  </si>
  <si>
    <t>Aportaciones al SAR Mtto</t>
  </si>
  <si>
    <t>5040700005</t>
  </si>
  <si>
    <t>Impuesto estatal sobre nóminas Mtto</t>
  </si>
  <si>
    <t>6000000000</t>
  </si>
  <si>
    <t>Gastos</t>
  </si>
  <si>
    <t>6010000000</t>
  </si>
  <si>
    <t>Gastos generales</t>
  </si>
  <si>
    <t>6010100000</t>
  </si>
  <si>
    <t>Sueldos y salarios SG</t>
  </si>
  <si>
    <t>6010101000</t>
  </si>
  <si>
    <t>6010103000</t>
  </si>
  <si>
    <t>Tiempos extras SG</t>
  </si>
  <si>
    <t>6010104000</t>
  </si>
  <si>
    <t>Premios de asistencia SG</t>
  </si>
  <si>
    <t>6010105000</t>
  </si>
  <si>
    <t>Premios de puntualidad SG</t>
  </si>
  <si>
    <t>6010106000</t>
  </si>
  <si>
    <t>Vacaciones SG</t>
  </si>
  <si>
    <t>6010107000</t>
  </si>
  <si>
    <t>Prima vacacional SG</t>
  </si>
  <si>
    <t>6010108000</t>
  </si>
  <si>
    <t>Prima dominical SG</t>
  </si>
  <si>
    <t>6010109000</t>
  </si>
  <si>
    <t>Días festivos SG</t>
  </si>
  <si>
    <t>6010112000</t>
  </si>
  <si>
    <t>Aguinaldo SG</t>
  </si>
  <si>
    <t>6010115000</t>
  </si>
  <si>
    <t>Despensa SG</t>
  </si>
  <si>
    <t>6010119000</t>
  </si>
  <si>
    <t>Fondo de ahorro SG</t>
  </si>
  <si>
    <t>6010124000</t>
  </si>
  <si>
    <t>Septimo dia SG</t>
  </si>
  <si>
    <t>6010129000</t>
  </si>
  <si>
    <t>Tarjeta azul SG</t>
  </si>
  <si>
    <t>6011600000</t>
  </si>
  <si>
    <t>Transporte</t>
  </si>
  <si>
    <t>6012600000</t>
  </si>
  <si>
    <t>Cuotas al IMSS SG</t>
  </si>
  <si>
    <t>6012700000</t>
  </si>
  <si>
    <t>Aportaciones al infonavit SG</t>
  </si>
  <si>
    <t>6012800000</t>
  </si>
  <si>
    <t>Aportaciones al SAR SG</t>
  </si>
  <si>
    <t>6012900000</t>
  </si>
  <si>
    <t>Impuesto estatal sobre nóminas SG</t>
  </si>
  <si>
    <t>6013200000</t>
  </si>
  <si>
    <t>Servicios administrativos</t>
  </si>
  <si>
    <t>6013400000</t>
  </si>
  <si>
    <t>Honorarios a personas fís residentes nal</t>
  </si>
  <si>
    <t>6013800000</t>
  </si>
  <si>
    <t>Honorarios a personas morales residtes nal</t>
  </si>
  <si>
    <t>6014500000</t>
  </si>
  <si>
    <t>Arrendamiento a pers físicas residtes nal</t>
  </si>
  <si>
    <t>6014502000</t>
  </si>
  <si>
    <t>Arrendamiento de inmuebles</t>
  </si>
  <si>
    <t>6014800000</t>
  </si>
  <si>
    <t>Combustibles y lubricantes</t>
  </si>
  <si>
    <t>6014900000</t>
  </si>
  <si>
    <t>Viáticos y gastos de viaje</t>
  </si>
  <si>
    <t>6015000000</t>
  </si>
  <si>
    <t>Teléfono, internet</t>
  </si>
  <si>
    <t>6015100000</t>
  </si>
  <si>
    <t>Agua</t>
  </si>
  <si>
    <t>6015300000</t>
  </si>
  <si>
    <t>Vigilancia y seguridad</t>
  </si>
  <si>
    <t>6015400000</t>
  </si>
  <si>
    <t>Limpieza</t>
  </si>
  <si>
    <t>6015500000</t>
  </si>
  <si>
    <t>Papelería y artículos de oficina</t>
  </si>
  <si>
    <t>6015600000</t>
  </si>
  <si>
    <t>Mantenimiento y conservación</t>
  </si>
  <si>
    <t>6015601000</t>
  </si>
  <si>
    <t>Edificio e Instalaciones</t>
  </si>
  <si>
    <t>6015602000</t>
  </si>
  <si>
    <t>Equipo de Transporte</t>
  </si>
  <si>
    <t>6015700000</t>
  </si>
  <si>
    <t>Seguros y fianzas</t>
  </si>
  <si>
    <t>6015800000</t>
  </si>
  <si>
    <t>Otros impuestos y derechos</t>
  </si>
  <si>
    <t>6015900000</t>
  </si>
  <si>
    <t>Recargos fiscales</t>
  </si>
  <si>
    <t>6016000000</t>
  </si>
  <si>
    <t>Cuotas y suscripciones</t>
  </si>
  <si>
    <t>6016200000</t>
  </si>
  <si>
    <t>Capacitación al personal</t>
  </si>
  <si>
    <t>6016300000</t>
  </si>
  <si>
    <t>Donativos y ayudas</t>
  </si>
  <si>
    <t>6017200000</t>
  </si>
  <si>
    <t>Fletes y acarreos</t>
  </si>
  <si>
    <t>6017300000</t>
  </si>
  <si>
    <t>Gastos de importación</t>
  </si>
  <si>
    <t>6018300000</t>
  </si>
  <si>
    <t>Gastos no deduc (sin requisitos fiscales)</t>
  </si>
  <si>
    <t>6018400000</t>
  </si>
  <si>
    <t>Otros gastos generales</t>
  </si>
  <si>
    <t>6018600000</t>
  </si>
  <si>
    <t>Otros gastos por arrendamiento financiero</t>
  </si>
  <si>
    <t>6018800000</t>
  </si>
  <si>
    <t>Programas</t>
  </si>
  <si>
    <t>6018900000</t>
  </si>
  <si>
    <t>Mensajeria</t>
  </si>
  <si>
    <t>6020000000</t>
  </si>
  <si>
    <t>Gastos de venta y marketing</t>
  </si>
  <si>
    <t>6020100000</t>
  </si>
  <si>
    <t>Nomina de Venta y Marketing</t>
  </si>
  <si>
    <t>6020101000</t>
  </si>
  <si>
    <t>Sueldos y salarios Vtas</t>
  </si>
  <si>
    <t>6020102000</t>
  </si>
  <si>
    <t>Compensaciones Vtas</t>
  </si>
  <si>
    <t>6020104000</t>
  </si>
  <si>
    <t>Premios de asistencia Vtas</t>
  </si>
  <si>
    <t>6020105000</t>
  </si>
  <si>
    <t>Premios de puntualidad Vtas</t>
  </si>
  <si>
    <t>6020106000</t>
  </si>
  <si>
    <t>Vacaciones Vtas</t>
  </si>
  <si>
    <t>6020107000</t>
  </si>
  <si>
    <t>Prima vacacional Vtas</t>
  </si>
  <si>
    <t>6020110000</t>
  </si>
  <si>
    <t>Gratificaciones Vtas</t>
  </si>
  <si>
    <t>6020112000</t>
  </si>
  <si>
    <t>Aguinaldo Vtas</t>
  </si>
  <si>
    <t>6020115000</t>
  </si>
  <si>
    <t>Despensa Vtas</t>
  </si>
  <si>
    <t>6020116000</t>
  </si>
  <si>
    <t>Transporte Vtas</t>
  </si>
  <si>
    <t>6020119000</t>
  </si>
  <si>
    <t>Fondo de ahorro Vtas</t>
  </si>
  <si>
    <t>6020124000</t>
  </si>
  <si>
    <t>Septimo día Vtas</t>
  </si>
  <si>
    <t>6020128000</t>
  </si>
  <si>
    <t>Vales de gasolina Ventas Vtas</t>
  </si>
  <si>
    <t>6020129000</t>
  </si>
  <si>
    <t>Tarjeta azul ventas Vtas</t>
  </si>
  <si>
    <t>6020130000</t>
  </si>
  <si>
    <t>Otros conceptos ventas Vtas</t>
  </si>
  <si>
    <t>6020132000</t>
  </si>
  <si>
    <t>Nomina LFCM</t>
  </si>
  <si>
    <t>6022600000</t>
  </si>
  <si>
    <t>Cuotas al IMSS Vtas</t>
  </si>
  <si>
    <t>6022700000</t>
  </si>
  <si>
    <t>Aportaciones al infonavit Vtas</t>
  </si>
  <si>
    <t>6022800000</t>
  </si>
  <si>
    <t>Aportaciones al SAR Vtas</t>
  </si>
  <si>
    <t>6022900000</t>
  </si>
  <si>
    <t>Impuesto estatal sobre nóminas Vtas</t>
  </si>
  <si>
    <t>6023400000</t>
  </si>
  <si>
    <t>Honorarios a pers físicas residtes nal</t>
  </si>
  <si>
    <t>6023800000</t>
  </si>
  <si>
    <t>Honorarios a pers morales residtes nal</t>
  </si>
  <si>
    <t>6024800000</t>
  </si>
  <si>
    <t>6024900000</t>
  </si>
  <si>
    <t>6025500000</t>
  </si>
  <si>
    <t>6025600000</t>
  </si>
  <si>
    <t>6025700000</t>
  </si>
  <si>
    <t>6026000000</t>
  </si>
  <si>
    <t>6026100000</t>
  </si>
  <si>
    <t>Propaganda y publicidad</t>
  </si>
  <si>
    <t>6026100001</t>
  </si>
  <si>
    <t>Publicidad</t>
  </si>
  <si>
    <t>6026200000</t>
  </si>
  <si>
    <t>6027200000</t>
  </si>
  <si>
    <t>6027700000</t>
  </si>
  <si>
    <t>Uniformes</t>
  </si>
  <si>
    <t>6028100000</t>
  </si>
  <si>
    <t>Fletes del extranjero</t>
  </si>
  <si>
    <t>6028400000</t>
  </si>
  <si>
    <t>Otros gastos de venta</t>
  </si>
  <si>
    <t>6028500000</t>
  </si>
  <si>
    <t>Atencion al cliente MKT</t>
  </si>
  <si>
    <t>6030000000</t>
  </si>
  <si>
    <t>Gastos de administración</t>
  </si>
  <si>
    <t>6030100000</t>
  </si>
  <si>
    <t>Nomina de Administracion</t>
  </si>
  <si>
    <t>6030101000</t>
  </si>
  <si>
    <t>Sueldos y salarios Admon</t>
  </si>
  <si>
    <t>6030102000</t>
  </si>
  <si>
    <t>Compensaciones Admon</t>
  </si>
  <si>
    <t>6030103000</t>
  </si>
  <si>
    <t>Tiempos extras Admon</t>
  </si>
  <si>
    <t>6030104000</t>
  </si>
  <si>
    <t>Premios de asistencia Admon</t>
  </si>
  <si>
    <t>6030105000</t>
  </si>
  <si>
    <t>Premios de puntualidad Admon</t>
  </si>
  <si>
    <t>6030106000</t>
  </si>
  <si>
    <t>Vacaciones Admon</t>
  </si>
  <si>
    <t>6030107000</t>
  </si>
  <si>
    <t>Prima vacacional Admon</t>
  </si>
  <si>
    <t>6030108000</t>
  </si>
  <si>
    <t>Prima dominical Admon</t>
  </si>
  <si>
    <t>6030109000</t>
  </si>
  <si>
    <t>Días festivos Admon</t>
  </si>
  <si>
    <t>6030110000</t>
  </si>
  <si>
    <t>Gratificaciones Admon</t>
  </si>
  <si>
    <t>6030112000</t>
  </si>
  <si>
    <t>Aguinaldo Admon</t>
  </si>
  <si>
    <t>6030114000</t>
  </si>
  <si>
    <t>Bono E Admon</t>
  </si>
  <si>
    <t>6030115000</t>
  </si>
  <si>
    <t>Despensa Admon</t>
  </si>
  <si>
    <t>6030116000</t>
  </si>
  <si>
    <t>Transporte Admon</t>
  </si>
  <si>
    <t>6030119000</t>
  </si>
  <si>
    <t>Fondo de ahorro Admon</t>
  </si>
  <si>
    <t>6030124000</t>
  </si>
  <si>
    <t>Septimo día Admon</t>
  </si>
  <si>
    <t>6030128000</t>
  </si>
  <si>
    <t>Vales de gasolina Admon</t>
  </si>
  <si>
    <t>6030129000</t>
  </si>
  <si>
    <t>Tarjeta azul Admon</t>
  </si>
  <si>
    <t>6030130000</t>
  </si>
  <si>
    <t>Otras conceptos Admon</t>
  </si>
  <si>
    <t>6032600000</t>
  </si>
  <si>
    <t>Cuotas al IMSS Admon</t>
  </si>
  <si>
    <t>6032700000</t>
  </si>
  <si>
    <t>Aportaciones al infonavit Admon</t>
  </si>
  <si>
    <t>6032800000</t>
  </si>
  <si>
    <t>Aportaciones al SAR Admon</t>
  </si>
  <si>
    <t>6032900000</t>
  </si>
  <si>
    <t>Impuesto estatal sobre nóminas Admon</t>
  </si>
  <si>
    <t>6033200000</t>
  </si>
  <si>
    <t>6033400000</t>
  </si>
  <si>
    <t>6033800000</t>
  </si>
  <si>
    <t>6035400000</t>
  </si>
  <si>
    <t>6035500000</t>
  </si>
  <si>
    <t>6036000000</t>
  </si>
  <si>
    <t>6038100000</t>
  </si>
  <si>
    <t>Gastos no deducibles (sin requisitos fiscales)</t>
  </si>
  <si>
    <t>6038200000</t>
  </si>
  <si>
    <t>Otros gastos de administración</t>
  </si>
  <si>
    <t>6040000000</t>
  </si>
  <si>
    <t>Gastos de calidad</t>
  </si>
  <si>
    <t>6040100000</t>
  </si>
  <si>
    <t>Nomina Calidad</t>
  </si>
  <si>
    <t>6040101000</t>
  </si>
  <si>
    <t>Sueldos y salarios Calidad</t>
  </si>
  <si>
    <t>6040103000</t>
  </si>
  <si>
    <t>Tiempos extras Calidad</t>
  </si>
  <si>
    <t>6040104000</t>
  </si>
  <si>
    <t>Premios de asistencia Calidad</t>
  </si>
  <si>
    <t>6040105000</t>
  </si>
  <si>
    <t>Premios de puntualidad Calidad</t>
  </si>
  <si>
    <t>6040106000</t>
  </si>
  <si>
    <t>Vacaciones Calidad</t>
  </si>
  <si>
    <t>6040107000</t>
  </si>
  <si>
    <t>Prima vacacional Calidad</t>
  </si>
  <si>
    <t>6040109000</t>
  </si>
  <si>
    <t>Días festivos Calidad</t>
  </si>
  <si>
    <t>6040110000</t>
  </si>
  <si>
    <t>Gratificaciones Calidad</t>
  </si>
  <si>
    <t>6040112000</t>
  </si>
  <si>
    <t>Aguinaldo Calidad</t>
  </si>
  <si>
    <t>6040114000</t>
  </si>
  <si>
    <t>Bono E Calidad</t>
  </si>
  <si>
    <t>6040115000</t>
  </si>
  <si>
    <t>Despensa Calidad</t>
  </si>
  <si>
    <t>6040119000</t>
  </si>
  <si>
    <t>Fondo de ahorro Calidad</t>
  </si>
  <si>
    <t>6040124000</t>
  </si>
  <si>
    <t>Septimo día Calidad</t>
  </si>
  <si>
    <t>6040128000</t>
  </si>
  <si>
    <t>Vales de gasolina Calidad</t>
  </si>
  <si>
    <t>6040129000</t>
  </si>
  <si>
    <t>Tarjeta azul Calidad</t>
  </si>
  <si>
    <t>6042600000</t>
  </si>
  <si>
    <t>Cuotas al IMSS Calidad</t>
  </si>
  <si>
    <t>6042700000</t>
  </si>
  <si>
    <t>Aportaciones al infonavit Calidad</t>
  </si>
  <si>
    <t>6042800000</t>
  </si>
  <si>
    <t>Aportaciones al SAR Calidad</t>
  </si>
  <si>
    <t>6042900000</t>
  </si>
  <si>
    <t>Impuesto estatal sobre nóminas Calidad</t>
  </si>
  <si>
    <t>6045800000</t>
  </si>
  <si>
    <t>6048200000</t>
  </si>
  <si>
    <t>Otros gastos de fabricación</t>
  </si>
  <si>
    <t>6050000000</t>
  </si>
  <si>
    <t>Gastos de desarrollo</t>
  </si>
  <si>
    <t>6050100000</t>
  </si>
  <si>
    <t>Nomina Desarrollo</t>
  </si>
  <si>
    <t>6050101000</t>
  </si>
  <si>
    <t>Sueldos y Salarios Desarrollo</t>
  </si>
  <si>
    <t>6050104000</t>
  </si>
  <si>
    <t>Premios de asistencia Desarrollo</t>
  </si>
  <si>
    <t>6050105000</t>
  </si>
  <si>
    <t>Premios de puntualidad Desarrollo</t>
  </si>
  <si>
    <t>6050106000</t>
  </si>
  <si>
    <t>Vacaciones Desarrollo</t>
  </si>
  <si>
    <t>6050107000</t>
  </si>
  <si>
    <t>Prima vacacional Desarrollo</t>
  </si>
  <si>
    <t>6050112000</t>
  </si>
  <si>
    <t>Aguinaldo Desarrollo</t>
  </si>
  <si>
    <t>6050115000</t>
  </si>
  <si>
    <t>Despensa Desarrollo</t>
  </si>
  <si>
    <t>6050119000</t>
  </si>
  <si>
    <t>Fondo de ahorro Desarrollo</t>
  </si>
  <si>
    <t>6050124000</t>
  </si>
  <si>
    <t>Septimo día Desarrollo</t>
  </si>
  <si>
    <t>6050128000</t>
  </si>
  <si>
    <t>Vales de gasolina Desarrollo</t>
  </si>
  <si>
    <t>6050129000</t>
  </si>
  <si>
    <t>Tarjeta azul Desarrollo</t>
  </si>
  <si>
    <t>6050130000</t>
  </si>
  <si>
    <t>Otros conceptos Desarrollo</t>
  </si>
  <si>
    <t>6052600000</t>
  </si>
  <si>
    <t>Cuotas al IMSS Desarrollo</t>
  </si>
  <si>
    <t>6052700000</t>
  </si>
  <si>
    <t>Aportaciones al infonavit Desarrollo</t>
  </si>
  <si>
    <t>6052800000</t>
  </si>
  <si>
    <t>Aportaciones al SAR Desarrollo</t>
  </si>
  <si>
    <t>6052900000</t>
  </si>
  <si>
    <t>Impuesto sobre nomina Desarrollo</t>
  </si>
  <si>
    <t>6060000000</t>
  </si>
  <si>
    <t>Gastos de direccion</t>
  </si>
  <si>
    <t>6060100000</t>
  </si>
  <si>
    <t>Nomina Direccion</t>
  </si>
  <si>
    <t>6060101000</t>
  </si>
  <si>
    <t>Sueldos y Salarios Direccion</t>
  </si>
  <si>
    <t>6060103000</t>
  </si>
  <si>
    <t>Tiempos extrasDireccion</t>
  </si>
  <si>
    <t>6060104000</t>
  </si>
  <si>
    <t>Premios de asistencia Direccion</t>
  </si>
  <si>
    <t>6060105000</t>
  </si>
  <si>
    <t>Premios de puntualidad Direccion</t>
  </si>
  <si>
    <t>6060106000</t>
  </si>
  <si>
    <t>Vacaciones Direccion</t>
  </si>
  <si>
    <t>6060107000</t>
  </si>
  <si>
    <t>Prima vacacional Direccion</t>
  </si>
  <si>
    <t>6060112000</t>
  </si>
  <si>
    <t>Aguinaldo Direccion</t>
  </si>
  <si>
    <t>6060115000</t>
  </si>
  <si>
    <t>Despensa Direccion</t>
  </si>
  <si>
    <t>6060119000</t>
  </si>
  <si>
    <t>Fondo de ahorro Direccion</t>
  </si>
  <si>
    <t>6060120000</t>
  </si>
  <si>
    <t>Cuotas sindicales Direccion</t>
  </si>
  <si>
    <t>6060124000</t>
  </si>
  <si>
    <t>Septimo día Direccion</t>
  </si>
  <si>
    <t>6060130000</t>
  </si>
  <si>
    <t>Otros conceptos Direccion</t>
  </si>
  <si>
    <t>6062600000</t>
  </si>
  <si>
    <t>Cuotas IMSS Direccion</t>
  </si>
  <si>
    <t>6062700000</t>
  </si>
  <si>
    <t>Aportaciones al infonavit Direccion</t>
  </si>
  <si>
    <t>6062800000</t>
  </si>
  <si>
    <t>Aportaciones al SAR Direccion</t>
  </si>
  <si>
    <t>6062900000</t>
  </si>
  <si>
    <t>Impuesto sobre nomina Direccion</t>
  </si>
  <si>
    <t>6080000000</t>
  </si>
  <si>
    <t>Gastos de Ejercicios anteriores</t>
  </si>
  <si>
    <t>6080100000</t>
  </si>
  <si>
    <t>Gastos financieros de ejercicios anteriores</t>
  </si>
  <si>
    <t>6080200000</t>
  </si>
  <si>
    <t>Gastos operativos de ejercicios anteriores</t>
  </si>
  <si>
    <t>6130000000</t>
  </si>
  <si>
    <t>Depreciacion Contable</t>
  </si>
  <si>
    <t>6130200000</t>
  </si>
  <si>
    <t>Depreciación de maquinaria y equipo</t>
  </si>
  <si>
    <t>6130300000</t>
  </si>
  <si>
    <t>Depr de autom, autob, camiones, tractoc</t>
  </si>
  <si>
    <t>6130400000</t>
  </si>
  <si>
    <t>Depreciación de mobiliario y eq de ofic</t>
  </si>
  <si>
    <t>6130500000</t>
  </si>
  <si>
    <t>Depreciación de equipo de cómputo</t>
  </si>
  <si>
    <t>6131700000</t>
  </si>
  <si>
    <t>Depreciación de adaptaciones y mejoras</t>
  </si>
  <si>
    <t>6140000000</t>
  </si>
  <si>
    <t>Amortización contable</t>
  </si>
  <si>
    <t>6141000000</t>
  </si>
  <si>
    <t>6141001000</t>
  </si>
  <si>
    <t>Arrendamientos</t>
  </si>
  <si>
    <t>7000000000</t>
  </si>
  <si>
    <t>Resultado integral de financiamiento</t>
  </si>
  <si>
    <t>7010000000</t>
  </si>
  <si>
    <t>Gastos financieros</t>
  </si>
  <si>
    <t>7010100000</t>
  </si>
  <si>
    <t>Pérdida cambiaria</t>
  </si>
  <si>
    <t>7010400000</t>
  </si>
  <si>
    <t>Intereses a cargo bancario nacional</t>
  </si>
  <si>
    <t>7010600000</t>
  </si>
  <si>
    <t>Intereses a cargo de personas físicas nacional</t>
  </si>
  <si>
    <t>7010800000</t>
  </si>
  <si>
    <t>Intereses a cargo de personas morales nacional</t>
  </si>
  <si>
    <t>7011000000</t>
  </si>
  <si>
    <t>Comisiones bancarias</t>
  </si>
  <si>
    <t>7011100000</t>
  </si>
  <si>
    <t>Comisiones por financiamiento</t>
  </si>
  <si>
    <t>7011300000</t>
  </si>
  <si>
    <t>Otros gastos financieros</t>
  </si>
  <si>
    <t>7020000000</t>
  </si>
  <si>
    <t>Productos financieros</t>
  </si>
  <si>
    <t>7020100000</t>
  </si>
  <si>
    <t>Utilidad cambiaria</t>
  </si>
  <si>
    <t>7020101000</t>
  </si>
  <si>
    <t>Uilidad cambiaria efectiva</t>
  </si>
  <si>
    <t>7020102000</t>
  </si>
  <si>
    <t>Utilidad cambiaria cierre mensual</t>
  </si>
  <si>
    <t/>
  </si>
  <si>
    <t>_ACTIVO</t>
  </si>
  <si>
    <t xml:space="preserve">   A C T I V O</t>
  </si>
  <si>
    <t xml:space="preserve">   Activo a corto plazo</t>
  </si>
  <si>
    <t>TOT_1000100000</t>
  </si>
  <si>
    <t xml:space="preserve">   Total Activo a corto plazo</t>
  </si>
  <si>
    <t xml:space="preserve">   Activo a largo plazo</t>
  </si>
  <si>
    <t>TOT_1000200000</t>
  </si>
  <si>
    <t xml:space="preserve">   Total Activo a largo plazo</t>
  </si>
  <si>
    <t>TOT_ACTIVO</t>
  </si>
  <si>
    <t xml:space="preserve">   SUMA DEL ACTIVO</t>
  </si>
  <si>
    <t>_BPASIVO</t>
  </si>
  <si>
    <t xml:space="preserve">   P A S I V O</t>
  </si>
  <si>
    <t xml:space="preserve">   Pasivo a corto plazo</t>
  </si>
  <si>
    <t>TOT_2000100000</t>
  </si>
  <si>
    <t xml:space="preserve">   Total Pasivo a corto plazo</t>
  </si>
  <si>
    <t xml:space="preserve">   Pasivo a largo plazo</t>
  </si>
  <si>
    <t>TOT_2000200000</t>
  </si>
  <si>
    <t xml:space="preserve">   Total Pasivo a largo plazo</t>
  </si>
  <si>
    <t>TOT_BPASIVO</t>
  </si>
  <si>
    <t xml:space="preserve">   SUMA DEL PASIVO</t>
  </si>
  <si>
    <t>_CAPITAL</t>
  </si>
  <si>
    <t xml:space="preserve">   C A P I T A L</t>
  </si>
  <si>
    <t>_UTILIDAD</t>
  </si>
  <si>
    <t>Utilidad o Pérdida del Ejercicio</t>
  </si>
  <si>
    <t>TOT_CAPITAL</t>
  </si>
  <si>
    <t xml:space="preserve">   SUMA DEL CAPITAL</t>
  </si>
  <si>
    <t>TOT_PASIVO_CAPITAL</t>
  </si>
  <si>
    <t xml:space="preserve">   SUMA DEL PASIVO Y CAPITAL</t>
  </si>
  <si>
    <t>Periodo</t>
  </si>
  <si>
    <t>%</t>
  </si>
  <si>
    <t>Acumulado</t>
  </si>
  <si>
    <t>_RACREEDOR</t>
  </si>
  <si>
    <t xml:space="preserve">   I n g r e s o s</t>
  </si>
  <si>
    <t xml:space="preserve">   Ventas de producto grav a tasa gral</t>
  </si>
  <si>
    <t xml:space="preserve">   Biomiral</t>
  </si>
  <si>
    <t>TOT_4010103000</t>
  </si>
  <si>
    <t xml:space="preserve">   Total Biomiral</t>
  </si>
  <si>
    <t>TOT_4010100000</t>
  </si>
  <si>
    <t xml:space="preserve">   Total Ventas de producto grav a tasa gral</t>
  </si>
  <si>
    <t xml:space="preserve">   Dev, desctos o bonifi s vtas y/o serv tasa gral</t>
  </si>
  <si>
    <t>TOT_4020100000</t>
  </si>
  <si>
    <t xml:space="preserve">   Total Dev, desctos o bonifi s vtas y/o serv tasa gral</t>
  </si>
  <si>
    <t>TOT_RACREEDOR</t>
  </si>
  <si>
    <t xml:space="preserve">   Total de Ingresos</t>
  </si>
  <si>
    <t>_RDEUDOR</t>
  </si>
  <si>
    <t xml:space="preserve">   E g r e s o s</t>
  </si>
  <si>
    <t xml:space="preserve">   Costos Directos</t>
  </si>
  <si>
    <t>TOT_5010000000</t>
  </si>
  <si>
    <t xml:space="preserve">   Total Costos Directos</t>
  </si>
  <si>
    <t xml:space="preserve">   Costos Indirectos</t>
  </si>
  <si>
    <t>TOT_5040000000</t>
  </si>
  <si>
    <t xml:space="preserve">   Total Costos Indirectos</t>
  </si>
  <si>
    <t xml:space="preserve">   Gastos</t>
  </si>
  <si>
    <t>TOT_6000000000</t>
  </si>
  <si>
    <t xml:space="preserve">   Total Gastos</t>
  </si>
  <si>
    <t xml:space="preserve">   Resultado integral de financiamiento</t>
  </si>
  <si>
    <t>TOT_7000000000</t>
  </si>
  <si>
    <t xml:space="preserve">   Total Resultado integral de financiamiento</t>
  </si>
  <si>
    <t>TOT_RDEUDOR</t>
  </si>
  <si>
    <t xml:space="preserve">   Total Egresos</t>
  </si>
  <si>
    <t>TOT_UTILIDAD</t>
  </si>
  <si>
    <t xml:space="preserve">   Utilidad (o Pérdida)</t>
  </si>
  <si>
    <t>Suma operaciones de ejercicios anteriores</t>
  </si>
  <si>
    <t xml:space="preserve">   Utilidad (o Pérdida) sin operaciones anteriores</t>
  </si>
  <si>
    <t>Activo empieza con "1"</t>
  </si>
  <si>
    <t>Cargo - abono</t>
  </si>
  <si>
    <t xml:space="preserve">Pasivo empieza con "2" </t>
  </si>
  <si>
    <t>abono - cargo</t>
  </si>
  <si>
    <t>Capital empiza con "3"</t>
  </si>
  <si>
    <t>Resultados acreedora "4"</t>
  </si>
  <si>
    <t>Resultado deudora "5" y "6"</t>
  </si>
  <si>
    <t>Resultados deudora "7"</t>
  </si>
  <si>
    <r>
      <t xml:space="preserve">== </t>
    </r>
    <r>
      <rPr>
        <sz val="7"/>
        <color rgb="FFA31515"/>
        <rFont val="Consolas"/>
        <family val="3"/>
      </rPr>
      <t>"1"</t>
    </r>
    <r>
      <rPr>
        <sz val="7"/>
        <color rgb="FF000000"/>
        <rFont val="Consolas"/>
        <family val="3"/>
      </rPr>
      <t xml:space="preserve"> || </t>
    </r>
    <r>
      <rPr>
        <sz val="7"/>
        <color rgb="FF3165BB"/>
        <rFont val="Consolas"/>
        <family val="3"/>
      </rPr>
      <t>LEFT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'Balanza'[Cuenta]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 xml:space="preserve">) == </t>
    </r>
    <r>
      <rPr>
        <sz val="7"/>
        <color rgb="FFA31515"/>
        <rFont val="Consolas"/>
        <family val="3"/>
      </rPr>
      <t>"5"</t>
    </r>
    <r>
      <rPr>
        <sz val="7"/>
        <color rgb="FF000000"/>
        <rFont val="Consolas"/>
        <family val="3"/>
      </rPr>
      <t xml:space="preserve"> || </t>
    </r>
    <r>
      <rPr>
        <sz val="7"/>
        <color rgb="FF3165BB"/>
        <rFont val="Consolas"/>
        <family val="3"/>
      </rPr>
      <t>LEFT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'Balanza'[Cuenta]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 xml:space="preserve">) == </t>
    </r>
    <r>
      <rPr>
        <sz val="7"/>
        <color rgb="FFA31515"/>
        <rFont val="Consolas"/>
        <family val="3"/>
      </rPr>
      <t>"6"</t>
    </r>
    <r>
      <rPr>
        <sz val="7"/>
        <color rgb="FF000000"/>
        <rFont val="Consolas"/>
        <family val="3"/>
      </rPr>
      <t xml:space="preserve"> || </t>
    </r>
    <r>
      <rPr>
        <sz val="7"/>
        <color rgb="FF3165BB"/>
        <rFont val="Consolas"/>
        <family val="3"/>
      </rPr>
      <t>LEFT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'Balanza'[Cuenta]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 xml:space="preserve">) == </t>
    </r>
    <r>
      <rPr>
        <sz val="7"/>
        <color rgb="FFA31515"/>
        <rFont val="Consolas"/>
        <family val="3"/>
      </rPr>
      <t>"7"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</si>
</sst>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##,###,##0.00"/>
  </numFmts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7"/>
      <color rgb="FF000000"/>
      <name val="Consolas"/>
      <family val="3"/>
    </font>
    <font>
      <sz val="7"/>
      <color rgb="FFA31515"/>
      <name val="Consolas"/>
      <family val="3"/>
    </font>
    <font>
      <sz val="7"/>
      <color rgb="FF3165BB"/>
      <name val="Consolas"/>
      <family val="3"/>
    </font>
    <font>
      <sz val="7"/>
      <color rgb="FF001080"/>
      <name val="Consolas"/>
      <family val="3"/>
    </font>
    <font>
      <sz val="7"/>
      <color rgb="FF098658"/>
      <name val="Consolas"/>
      <family val="3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71">
    <xf numFmtId="0" fontId="0" fillId="0" borderId="0"/>
    <xf numFmtId="0" fontId="1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2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13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21" fillId="22" borderId="1" applyNumberFormat="0" applyAlignment="0" applyProtection="0"/>
    <xf numFmtId="0" fontId="8" fillId="23" borderId="1" applyNumberFormat="0" applyAlignment="0" applyProtection="0"/>
    <xf numFmtId="0" fontId="8" fillId="23" borderId="1" applyNumberFormat="0" applyAlignment="0" applyProtection="0"/>
    <xf numFmtId="0" fontId="8" fillId="23" borderId="1" applyNumberFormat="0" applyAlignment="0" applyProtection="0"/>
    <xf numFmtId="0" fontId="9" fillId="24" borderId="2" applyNumberFormat="0" applyAlignment="0" applyProtection="0"/>
    <xf numFmtId="0" fontId="9" fillId="24" borderId="2" applyNumberFormat="0" applyAlignment="0" applyProtection="0"/>
    <xf numFmtId="0" fontId="9" fillId="24" borderId="2" applyNumberFormat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9" fillId="24" borderId="2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2" fillId="13" borderId="1" applyNumberFormat="0" applyAlignment="0" applyProtection="0"/>
    <xf numFmtId="0" fontId="12" fillId="13" borderId="1" applyNumberFormat="0" applyAlignment="0" applyProtection="0"/>
    <xf numFmtId="0" fontId="12" fillId="13" borderId="1" applyNumberFormat="0" applyAlignment="0" applyProtection="0"/>
    <xf numFmtId="0" fontId="1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4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2" fillId="7" borderId="1" applyNumberFormat="0" applyAlignment="0" applyProtection="0"/>
    <xf numFmtId="0" fontId="25" fillId="0" borderId="8" applyNumberFormat="0" applyFill="0" applyAlignment="0" applyProtection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5" fillId="0" borderId="0"/>
    <xf numFmtId="0" fontId="4" fillId="10" borderId="9" applyNumberFormat="0" applyFont="0" applyAlignment="0" applyProtection="0"/>
    <xf numFmtId="0" fontId="4" fillId="10" borderId="9" applyNumberFormat="0" applyFont="0" applyAlignment="0" applyProtection="0"/>
    <xf numFmtId="0" fontId="4" fillId="10" borderId="9" applyNumberFormat="0" applyFont="0" applyAlignment="0" applyProtection="0"/>
    <xf numFmtId="0" fontId="4" fillId="10" borderId="9" applyNumberFormat="0" applyFont="0" applyAlignment="0" applyProtection="0"/>
    <xf numFmtId="0" fontId="15" fillId="22" borderId="10" applyNumberFormat="0" applyAlignment="0" applyProtection="0"/>
    <xf numFmtId="9" fontId="1" fillId="0" borderId="0" applyFont="0" applyFill="0" applyBorder="0" applyAlignment="0" applyProtection="0"/>
    <xf numFmtId="0" fontId="15" fillId="23" borderId="10" applyNumberFormat="0" applyAlignment="0" applyProtection="0"/>
    <xf numFmtId="0" fontId="15" fillId="23" borderId="10" applyNumberFormat="0" applyAlignment="0" applyProtection="0"/>
    <xf numFmtId="0" fontId="15" fillId="23" borderId="10" applyNumberFormat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1" fillId="0" borderId="12" applyNumberFormat="0" applyFill="0" applyAlignment="0" applyProtection="0"/>
    <xf numFmtId="0" fontId="11" fillId="0" borderId="12" applyNumberFormat="0" applyFill="0" applyAlignment="0" applyProtection="0"/>
    <xf numFmtId="0" fontId="11" fillId="0" borderId="12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10" fillId="0" borderId="0" applyNumberFormat="0" applyFill="0" applyBorder="0" applyAlignment="0" applyProtection="0"/>
    <xf numFmtId="0" fontId="1" fillId="0" borderId="0"/>
    <xf numFmtId="0" fontId="1" fillId="0" borderId="0"/>
    <xf numFmtId="0" fontId="4" fillId="0" borderId="0"/>
  </cellStyleXfs>
  <cellXfs count="71">
    <xf numFmtId="0" fontId="0" fillId="0" borderId="0" xfId="0"/>
    <xf numFmtId="0" fontId="1" fillId="0" borderId="0" xfId="1"/>
    <xf numFmtId="0" fontId="3" fillId="0" borderId="0" xfId="1" applyFont="1"/>
    <xf numFmtId="0" fontId="1" fillId="0" borderId="0" xfId="1" quotePrefix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 wrapText="1"/>
    </xf>
    <xf numFmtId="0" fontId="3" fillId="0" borderId="0" xfId="1" applyFont="1" applyAlignment="1">
      <alignment horizontal="center"/>
    </xf>
    <xf numFmtId="0" fontId="4" fillId="0" borderId="18" xfId="1" quotePrefix="1" applyFont="1" applyBorder="1" applyAlignment="1">
      <alignment horizontal="left"/>
    </xf>
    <xf numFmtId="0" fontId="1" fillId="0" borderId="19" xfId="1" applyBorder="1"/>
    <xf numFmtId="0" fontId="1" fillId="0" borderId="17" xfId="1" applyBorder="1"/>
    <xf numFmtId="0" fontId="3" fillId="0" borderId="16" xfId="1" applyFont="1" applyBorder="1" applyAlignment="1">
      <alignment horizontal="center" wrapText="1"/>
    </xf>
    <xf numFmtId="0" fontId="3" fillId="0" borderId="16" xfId="1" applyFont="1" applyBorder="1" applyAlignment="1">
      <alignment horizontal="center"/>
    </xf>
    <xf numFmtId="164" fontId="1" fillId="0" borderId="0" xfId="1" applyNumberFormat="1"/>
    <xf numFmtId="164" fontId="1" fillId="0" borderId="0" xfId="1" applyNumberFormat="1" applyAlignment="1">
      <alignment horizontal="right" indent="2"/>
    </xf>
    <xf numFmtId="0" fontId="3" fillId="0" borderId="0" xfId="1" quotePrefix="1" applyFont="1"/>
    <xf numFmtId="164" fontId="3" fillId="0" borderId="0" xfId="1" applyNumberFormat="1" applyFont="1" applyAlignment="1">
      <alignment horizontal="right" indent="2"/>
    </xf>
    <xf numFmtId="164" fontId="3" fillId="0" borderId="0" xfId="1" applyNumberFormat="1" applyFont="1"/>
    <xf numFmtId="164" fontId="27" fillId="0" borderId="0" xfId="1" applyNumberFormat="1" applyFont="1"/>
    <xf numFmtId="164" fontId="27" fillId="0" borderId="0" xfId="1" applyNumberFormat="1" applyFont="1" applyAlignment="1">
      <alignment horizontal="right" indent="2"/>
    </xf>
    <xf numFmtId="164" fontId="28" fillId="0" borderId="0" xfId="1" applyNumberFormat="1" applyFont="1"/>
    <xf numFmtId="164" fontId="28" fillId="0" borderId="0" xfId="1" applyNumberFormat="1" applyFont="1" applyAlignment="1">
      <alignment horizontal="right" indent="2"/>
    </xf>
    <xf numFmtId="0" fontId="3" fillId="0" borderId="18" xfId="1" quotePrefix="1" applyFont="1" applyBorder="1" applyAlignment="1">
      <alignment horizontal="left"/>
    </xf>
    <xf numFmtId="164" fontId="4" fillId="0" borderId="0" xfId="1" applyNumberFormat="1" applyFont="1" applyAlignment="1">
      <alignment horizontal="right" indent="2"/>
    </xf>
    <xf numFmtId="164" fontId="4" fillId="0" borderId="0" xfId="1" applyNumberFormat="1" applyFont="1"/>
    <xf numFmtId="164" fontId="4" fillId="0" borderId="0" xfId="1" applyNumberFormat="1" applyFont="1" applyAlignment="1">
      <alignment horizontal="right"/>
    </xf>
    <xf numFmtId="164" fontId="3" fillId="0" borderId="0" xfId="1" applyNumberFormat="1" applyFont="1" applyAlignment="1">
      <alignment horizontal="right"/>
    </xf>
    <xf numFmtId="164" fontId="4" fillId="0" borderId="0" xfId="170" applyNumberFormat="1"/>
    <xf numFmtId="0" fontId="0" fillId="0" borderId="15" xfId="0" applyBorder="1"/>
    <xf numFmtId="164" fontId="28" fillId="0" borderId="0" xfId="170" applyNumberFormat="1" applyFont="1"/>
    <xf numFmtId="164" fontId="3" fillId="0" borderId="0" xfId="170" applyNumberFormat="1" applyFont="1"/>
    <xf numFmtId="164" fontId="4" fillId="0" borderId="15" xfId="169" applyNumberFormat="1" applyFont="1" applyBorder="1"/>
    <xf numFmtId="164" fontId="1" fillId="0" borderId="15" xfId="169" applyNumberFormat="1" applyBorder="1"/>
    <xf numFmtId="0" fontId="1" fillId="0" borderId="0" xfId="168"/>
    <xf numFmtId="0" fontId="4" fillId="0" borderId="0" xfId="168" quotePrefix="1" applyFont="1" applyAlignment="1">
      <alignment horizontal="left"/>
    </xf>
    <xf numFmtId="0" fontId="3" fillId="0" borderId="0" xfId="168" applyFont="1" applyAlignment="1">
      <alignment horizontal="left"/>
    </xf>
    <xf numFmtId="0" fontId="3" fillId="0" borderId="0" xfId="168" applyFont="1" applyAlignment="1">
      <alignment horizontal="center"/>
    </xf>
    <xf numFmtId="0" fontId="3" fillId="0" borderId="0" xfId="168" quotePrefix="1" applyFont="1" applyAlignment="1">
      <alignment horizontal="right" wrapText="1"/>
    </xf>
    <xf numFmtId="0" fontId="4" fillId="0" borderId="16" xfId="168" quotePrefix="1" applyFont="1" applyBorder="1" applyAlignment="1">
      <alignment horizontal="center" wrapText="1"/>
    </xf>
    <xf numFmtId="0" fontId="1" fillId="0" borderId="0" xfId="168" quotePrefix="1"/>
    <xf numFmtId="0" fontId="3" fillId="0" borderId="0" xfId="168" quotePrefix="1" applyFont="1" applyAlignment="1">
      <alignment horizontal="center"/>
    </xf>
    <xf numFmtId="0" fontId="3" fillId="0" borderId="0" xfId="168" quotePrefix="1" applyFont="1"/>
    <xf numFmtId="164" fontId="4" fillId="0" borderId="0" xfId="168" applyNumberFormat="1" applyFont="1"/>
    <xf numFmtId="164" fontId="3" fillId="0" borderId="0" xfId="168" applyNumberFormat="1" applyFont="1"/>
    <xf numFmtId="164" fontId="3" fillId="0" borderId="14" xfId="168" applyNumberFormat="1" applyFont="1" applyBorder="1"/>
    <xf numFmtId="164" fontId="27" fillId="0" borderId="0" xfId="168" applyNumberFormat="1" applyFont="1"/>
    <xf numFmtId="164" fontId="28" fillId="0" borderId="0" xfId="168" applyNumberFormat="1" applyFont="1"/>
    <xf numFmtId="164" fontId="28" fillId="0" borderId="14" xfId="168" applyNumberFormat="1" applyFont="1" applyBorder="1"/>
    <xf numFmtId="0" fontId="3" fillId="0" borderId="16" xfId="168" quotePrefix="1" applyFont="1" applyBorder="1" applyAlignment="1">
      <alignment horizontal="right" wrapText="1"/>
    </xf>
    <xf numFmtId="0" fontId="3" fillId="0" borderId="0" xfId="170" quotePrefix="1" applyFont="1"/>
    <xf numFmtId="0" fontId="4" fillId="0" borderId="0" xfId="170" quotePrefix="1"/>
    <xf numFmtId="0" fontId="1" fillId="0" borderId="0" xfId="169"/>
    <xf numFmtId="0" fontId="4" fillId="0" borderId="0" xfId="169" quotePrefix="1" applyFont="1" applyAlignment="1">
      <alignment horizontal="left"/>
    </xf>
    <xf numFmtId="0" fontId="3" fillId="0" borderId="0" xfId="169" applyFont="1" applyAlignment="1">
      <alignment horizontal="left"/>
    </xf>
    <xf numFmtId="0" fontId="3" fillId="0" borderId="0" xfId="169" applyFont="1" applyAlignment="1">
      <alignment horizontal="center"/>
    </xf>
    <xf numFmtId="0" fontId="3" fillId="0" borderId="0" xfId="169" quotePrefix="1" applyFont="1" applyAlignment="1">
      <alignment horizontal="center"/>
    </xf>
    <xf numFmtId="0" fontId="1" fillId="0" borderId="0" xfId="169" quotePrefix="1"/>
    <xf numFmtId="0" fontId="3" fillId="0" borderId="0" xfId="169" quotePrefix="1" applyFont="1"/>
    <xf numFmtId="164" fontId="1" fillId="0" borderId="0" xfId="169" applyNumberFormat="1"/>
    <xf numFmtId="164" fontId="4" fillId="0" borderId="0" xfId="169" applyNumberFormat="1" applyFont="1"/>
    <xf numFmtId="164" fontId="3" fillId="0" borderId="14" xfId="169" applyNumberFormat="1" applyFont="1" applyBorder="1"/>
    <xf numFmtId="164" fontId="27" fillId="0" borderId="0" xfId="169" applyNumberFormat="1" applyFont="1"/>
    <xf numFmtId="164" fontId="28" fillId="0" borderId="14" xfId="169" applyNumberFormat="1" applyFont="1" applyBorder="1"/>
    <xf numFmtId="0" fontId="4" fillId="0" borderId="18" xfId="169" quotePrefix="1" applyFont="1" applyBorder="1" applyAlignment="1">
      <alignment horizontal="left"/>
    </xf>
    <xf numFmtId="0" fontId="1" fillId="0" borderId="19" xfId="169" applyBorder="1"/>
    <xf numFmtId="0" fontId="1" fillId="0" borderId="17" xfId="169" applyBorder="1"/>
    <xf numFmtId="0" fontId="3" fillId="0" borderId="16" xfId="169" applyFont="1" applyBorder="1" applyAlignment="1">
      <alignment horizontal="center"/>
    </xf>
    <xf numFmtId="0" fontId="3" fillId="0" borderId="16" xfId="169" quotePrefix="1" applyFont="1" applyBorder="1" applyAlignment="1">
      <alignment horizontal="center"/>
    </xf>
    <xf numFmtId="0" fontId="4" fillId="0" borderId="19" xfId="169" quotePrefix="1" applyFont="1" applyBorder="1" applyAlignment="1">
      <alignment horizontal="left"/>
    </xf>
    <xf numFmtId="0" fontId="3" fillId="0" borderId="18" xfId="169" applyFont="1" applyBorder="1" applyAlignment="1">
      <alignment horizontal="left"/>
    </xf>
    <xf numFmtId="0" fontId="29" fillId="0" borderId="0" xfId="0" applyFont="1" applyAlignment="1">
      <alignment vertical="center"/>
    </xf>
    <xf numFmtId="164" fontId="4" fillId="27" borderId="0" xfId="169" applyNumberFormat="1" applyFont="1" applyFill="1"/>
  </cellXfs>
  <cellStyles count="171">
    <cellStyle name="20% - Accent1" xfId="2" xr:uid="{00000000-0005-0000-0000-00002F000000}"/>
    <cellStyle name="20% - Accent2" xfId="3" xr:uid="{00000000-0005-0000-0000-000030000000}"/>
    <cellStyle name="20% - Accent3" xfId="4" xr:uid="{00000000-0005-0000-0000-000031000000}"/>
    <cellStyle name="20% - Accent4" xfId="5" xr:uid="{00000000-0005-0000-0000-000032000000}"/>
    <cellStyle name="20% - Accent5" xfId="6" xr:uid="{00000000-0005-0000-0000-000033000000}"/>
    <cellStyle name="20% - Accent6" xfId="7" xr:uid="{00000000-0005-0000-0000-000034000000}"/>
    <cellStyle name="20% - Énfasis1 2" xfId="9" xr:uid="{00000000-0005-0000-0000-000036000000}"/>
    <cellStyle name="20% - Énfasis1 3" xfId="10" xr:uid="{00000000-0005-0000-0000-000037000000}"/>
    <cellStyle name="20% - Énfasis1 4" xfId="8" xr:uid="{00000000-0005-0000-0000-000035000000}"/>
    <cellStyle name="20% - Énfasis2 2" xfId="12" xr:uid="{00000000-0005-0000-0000-000039000000}"/>
    <cellStyle name="20% - Énfasis2 3" xfId="13" xr:uid="{00000000-0005-0000-0000-00003A000000}"/>
    <cellStyle name="20% - Énfasis2 4" xfId="11" xr:uid="{00000000-0005-0000-0000-000038000000}"/>
    <cellStyle name="20% - Énfasis3 2" xfId="15" xr:uid="{00000000-0005-0000-0000-00003C000000}"/>
    <cellStyle name="20% - Énfasis3 3" xfId="16" xr:uid="{00000000-0005-0000-0000-00003D000000}"/>
    <cellStyle name="20% - Énfasis3 4" xfId="14" xr:uid="{00000000-0005-0000-0000-00003B000000}"/>
    <cellStyle name="20% - Énfasis4 2" xfId="18" xr:uid="{00000000-0005-0000-0000-00003F000000}"/>
    <cellStyle name="20% - Énfasis4 3" xfId="19" xr:uid="{00000000-0005-0000-0000-000040000000}"/>
    <cellStyle name="20% - Énfasis4 4" xfId="17" xr:uid="{00000000-0005-0000-0000-00003E000000}"/>
    <cellStyle name="20% - Énfasis5 2" xfId="21" xr:uid="{00000000-0005-0000-0000-000042000000}"/>
    <cellStyle name="20% - Énfasis5 3" xfId="22" xr:uid="{00000000-0005-0000-0000-000043000000}"/>
    <cellStyle name="20% - Énfasis5 4" xfId="20" xr:uid="{00000000-0005-0000-0000-000041000000}"/>
    <cellStyle name="20% - Énfasis6 2" xfId="24" xr:uid="{00000000-0005-0000-0000-000045000000}"/>
    <cellStyle name="20% - Énfasis6 3" xfId="25" xr:uid="{00000000-0005-0000-0000-000046000000}"/>
    <cellStyle name="20% - Énfasis6 4" xfId="23" xr:uid="{00000000-0005-0000-0000-000044000000}"/>
    <cellStyle name="40% - Accent1" xfId="26" xr:uid="{00000000-0005-0000-0000-000047000000}"/>
    <cellStyle name="40% - Accent2" xfId="27" xr:uid="{00000000-0005-0000-0000-000048000000}"/>
    <cellStyle name="40% - Accent3" xfId="28" xr:uid="{00000000-0005-0000-0000-000049000000}"/>
    <cellStyle name="40% - Accent4" xfId="29" xr:uid="{00000000-0005-0000-0000-00004A000000}"/>
    <cellStyle name="40% - Accent5" xfId="30" xr:uid="{00000000-0005-0000-0000-00004B000000}"/>
    <cellStyle name="40% - Accent6" xfId="31" xr:uid="{00000000-0005-0000-0000-00004C000000}"/>
    <cellStyle name="40% - Énfasis1 2" xfId="33" xr:uid="{00000000-0005-0000-0000-00004E000000}"/>
    <cellStyle name="40% - Énfasis1 3" xfId="34" xr:uid="{00000000-0005-0000-0000-00004F000000}"/>
    <cellStyle name="40% - Énfasis1 4" xfId="32" xr:uid="{00000000-0005-0000-0000-00004D000000}"/>
    <cellStyle name="40% - Énfasis2 2" xfId="36" xr:uid="{00000000-0005-0000-0000-000051000000}"/>
    <cellStyle name="40% - Énfasis2 3" xfId="37" xr:uid="{00000000-0005-0000-0000-000052000000}"/>
    <cellStyle name="40% - Énfasis2 4" xfId="35" xr:uid="{00000000-0005-0000-0000-000050000000}"/>
    <cellStyle name="40% - Énfasis3 2" xfId="39" xr:uid="{00000000-0005-0000-0000-000054000000}"/>
    <cellStyle name="40% - Énfasis3 3" xfId="40" xr:uid="{00000000-0005-0000-0000-000055000000}"/>
    <cellStyle name="40% - Énfasis3 4" xfId="38" xr:uid="{00000000-0005-0000-0000-000053000000}"/>
    <cellStyle name="40% - Énfasis4 2" xfId="42" xr:uid="{00000000-0005-0000-0000-000057000000}"/>
    <cellStyle name="40% - Énfasis4 3" xfId="43" xr:uid="{00000000-0005-0000-0000-000058000000}"/>
    <cellStyle name="40% - Énfasis4 4" xfId="41" xr:uid="{00000000-0005-0000-0000-000056000000}"/>
    <cellStyle name="40% - Énfasis5 2" xfId="45" xr:uid="{00000000-0005-0000-0000-00005A000000}"/>
    <cellStyle name="40% - Énfasis5 3" xfId="46" xr:uid="{00000000-0005-0000-0000-00005B000000}"/>
    <cellStyle name="40% - Énfasis5 4" xfId="44" xr:uid="{00000000-0005-0000-0000-000059000000}"/>
    <cellStyle name="40% - Énfasis6 2" xfId="48" xr:uid="{00000000-0005-0000-0000-00005D000000}"/>
    <cellStyle name="40% - Énfasis6 3" xfId="49" xr:uid="{00000000-0005-0000-0000-00005E000000}"/>
    <cellStyle name="40% - Énfasis6 4" xfId="47" xr:uid="{00000000-0005-0000-0000-00005C000000}"/>
    <cellStyle name="60% - Accent1" xfId="50" xr:uid="{00000000-0005-0000-0000-00005F000000}"/>
    <cellStyle name="60% - Accent2" xfId="51" xr:uid="{00000000-0005-0000-0000-000060000000}"/>
    <cellStyle name="60% - Accent3" xfId="52" xr:uid="{00000000-0005-0000-0000-000061000000}"/>
    <cellStyle name="60% - Accent4" xfId="53" xr:uid="{00000000-0005-0000-0000-000062000000}"/>
    <cellStyle name="60% - Accent5" xfId="54" xr:uid="{00000000-0005-0000-0000-000063000000}"/>
    <cellStyle name="60% - Accent6" xfId="55" xr:uid="{00000000-0005-0000-0000-000064000000}"/>
    <cellStyle name="60% - Énfasis1 2" xfId="57" xr:uid="{00000000-0005-0000-0000-000066000000}"/>
    <cellStyle name="60% - Énfasis1 3" xfId="58" xr:uid="{00000000-0005-0000-0000-000067000000}"/>
    <cellStyle name="60% - Énfasis1 4" xfId="56" xr:uid="{00000000-0005-0000-0000-000065000000}"/>
    <cellStyle name="60% - Énfasis2 2" xfId="60" xr:uid="{00000000-0005-0000-0000-000069000000}"/>
    <cellStyle name="60% - Énfasis2 3" xfId="61" xr:uid="{00000000-0005-0000-0000-00006A000000}"/>
    <cellStyle name="60% - Énfasis2 4" xfId="59" xr:uid="{00000000-0005-0000-0000-000068000000}"/>
    <cellStyle name="60% - Énfasis3 2" xfId="63" xr:uid="{00000000-0005-0000-0000-00006C000000}"/>
    <cellStyle name="60% - Énfasis3 3" xfId="64" xr:uid="{00000000-0005-0000-0000-00006D000000}"/>
    <cellStyle name="60% - Énfasis3 4" xfId="62" xr:uid="{00000000-0005-0000-0000-00006B000000}"/>
    <cellStyle name="60% - Énfasis4 2" xfId="66" xr:uid="{00000000-0005-0000-0000-00006F000000}"/>
    <cellStyle name="60% - Énfasis4 3" xfId="67" xr:uid="{00000000-0005-0000-0000-000070000000}"/>
    <cellStyle name="60% - Énfasis4 4" xfId="65" xr:uid="{00000000-0005-0000-0000-00006E000000}"/>
    <cellStyle name="60% - Énfasis5 2" xfId="69" xr:uid="{00000000-0005-0000-0000-000072000000}"/>
    <cellStyle name="60% - Énfasis5 3" xfId="70" xr:uid="{00000000-0005-0000-0000-000073000000}"/>
    <cellStyle name="60% - Énfasis5 4" xfId="68" xr:uid="{00000000-0005-0000-0000-000071000000}"/>
    <cellStyle name="60% - Énfasis6 2" xfId="72" xr:uid="{00000000-0005-0000-0000-000075000000}"/>
    <cellStyle name="60% - Énfasis6 3" xfId="73" xr:uid="{00000000-0005-0000-0000-000076000000}"/>
    <cellStyle name="60% - Énfasis6 4" xfId="71" xr:uid="{00000000-0005-0000-0000-000074000000}"/>
    <cellStyle name="Accent1" xfId="74" xr:uid="{00000000-0005-0000-0000-000077000000}"/>
    <cellStyle name="Accent2" xfId="75" xr:uid="{00000000-0005-0000-0000-000078000000}"/>
    <cellStyle name="Accent3" xfId="76" xr:uid="{00000000-0005-0000-0000-000079000000}"/>
    <cellStyle name="Accent4" xfId="77" xr:uid="{00000000-0005-0000-0000-00007A000000}"/>
    <cellStyle name="Accent5" xfId="78" xr:uid="{00000000-0005-0000-0000-00007B000000}"/>
    <cellStyle name="Accent6" xfId="79" xr:uid="{00000000-0005-0000-0000-00007C000000}"/>
    <cellStyle name="Bad" xfId="80" xr:uid="{00000000-0005-0000-0000-00007D000000}"/>
    <cellStyle name="Buena 2" xfId="81" xr:uid="{00000000-0005-0000-0000-00007E000000}"/>
    <cellStyle name="Buena 3" xfId="82" xr:uid="{00000000-0005-0000-0000-00007F000000}"/>
    <cellStyle name="Calculation" xfId="83" xr:uid="{00000000-0005-0000-0000-000080000000}"/>
    <cellStyle name="Cálculo 2" xfId="85" xr:uid="{00000000-0005-0000-0000-000082000000}"/>
    <cellStyle name="Cálculo 3" xfId="86" xr:uid="{00000000-0005-0000-0000-000083000000}"/>
    <cellStyle name="Cálculo 4" xfId="84" xr:uid="{00000000-0005-0000-0000-000081000000}"/>
    <cellStyle name="Celda de comprobación 2" xfId="88" xr:uid="{00000000-0005-0000-0000-000085000000}"/>
    <cellStyle name="Celda de comprobación 3" xfId="89" xr:uid="{00000000-0005-0000-0000-000086000000}"/>
    <cellStyle name="Celda de comprobación 4" xfId="87" xr:uid="{00000000-0005-0000-0000-000084000000}"/>
    <cellStyle name="Celda vinculada 2" xfId="91" xr:uid="{00000000-0005-0000-0000-000088000000}"/>
    <cellStyle name="Celda vinculada 3" xfId="92" xr:uid="{00000000-0005-0000-0000-000089000000}"/>
    <cellStyle name="Celda vinculada 4" xfId="90" xr:uid="{00000000-0005-0000-0000-000087000000}"/>
    <cellStyle name="Check Cell" xfId="93" xr:uid="{00000000-0005-0000-0000-00008A000000}"/>
    <cellStyle name="Encabezado 4 2" xfId="95" xr:uid="{00000000-0005-0000-0000-00008C000000}"/>
    <cellStyle name="Encabezado 4 3" xfId="96" xr:uid="{00000000-0005-0000-0000-00008D000000}"/>
    <cellStyle name="Encabezado 4 4" xfId="94" xr:uid="{00000000-0005-0000-0000-00008B000000}"/>
    <cellStyle name="Énfasis1 2" xfId="98" xr:uid="{00000000-0005-0000-0000-00008F000000}"/>
    <cellStyle name="Énfasis1 3" xfId="99" xr:uid="{00000000-0005-0000-0000-000090000000}"/>
    <cellStyle name="Énfasis1 4" xfId="97" xr:uid="{00000000-0005-0000-0000-00008E000000}"/>
    <cellStyle name="Énfasis2 2" xfId="101" xr:uid="{00000000-0005-0000-0000-000092000000}"/>
    <cellStyle name="Énfasis2 3" xfId="102" xr:uid="{00000000-0005-0000-0000-000093000000}"/>
    <cellStyle name="Énfasis2 4" xfId="100" xr:uid="{00000000-0005-0000-0000-000091000000}"/>
    <cellStyle name="Énfasis3 2" xfId="104" xr:uid="{00000000-0005-0000-0000-000095000000}"/>
    <cellStyle name="Énfasis3 3" xfId="105" xr:uid="{00000000-0005-0000-0000-000096000000}"/>
    <cellStyle name="Énfasis3 4" xfId="103" xr:uid="{00000000-0005-0000-0000-000094000000}"/>
    <cellStyle name="Énfasis4 2" xfId="107" xr:uid="{00000000-0005-0000-0000-000098000000}"/>
    <cellStyle name="Énfasis4 3" xfId="108" xr:uid="{00000000-0005-0000-0000-000099000000}"/>
    <cellStyle name="Énfasis4 4" xfId="106" xr:uid="{00000000-0005-0000-0000-000097000000}"/>
    <cellStyle name="Énfasis5 2" xfId="110" xr:uid="{00000000-0005-0000-0000-00009B000000}"/>
    <cellStyle name="Énfasis5 3" xfId="111" xr:uid="{00000000-0005-0000-0000-00009C000000}"/>
    <cellStyle name="Énfasis5 4" xfId="109" xr:uid="{00000000-0005-0000-0000-00009A000000}"/>
    <cellStyle name="Énfasis6 2" xfId="113" xr:uid="{00000000-0005-0000-0000-00009E000000}"/>
    <cellStyle name="Énfasis6 3" xfId="114" xr:uid="{00000000-0005-0000-0000-00009F000000}"/>
    <cellStyle name="Énfasis6 4" xfId="112" xr:uid="{00000000-0005-0000-0000-00009D000000}"/>
    <cellStyle name="Entrada 2" xfId="116" xr:uid="{00000000-0005-0000-0000-0000A1000000}"/>
    <cellStyle name="Entrada 3" xfId="117" xr:uid="{00000000-0005-0000-0000-0000A2000000}"/>
    <cellStyle name="Entrada 4" xfId="115" xr:uid="{00000000-0005-0000-0000-0000A0000000}"/>
    <cellStyle name="Explanatory Text" xfId="118" xr:uid="{00000000-0005-0000-0000-0000A3000000}"/>
    <cellStyle name="Good" xfId="119" xr:uid="{00000000-0005-0000-0000-0000A4000000}"/>
    <cellStyle name="Heading 1" xfId="120" xr:uid="{00000000-0005-0000-0000-0000A5000000}"/>
    <cellStyle name="Heading 2" xfId="121" xr:uid="{00000000-0005-0000-0000-0000A6000000}"/>
    <cellStyle name="Heading 3" xfId="122" xr:uid="{00000000-0005-0000-0000-0000A7000000}"/>
    <cellStyle name="Heading 4" xfId="123" xr:uid="{00000000-0005-0000-0000-0000A8000000}"/>
    <cellStyle name="Hipervínculo 2" xfId="124" xr:uid="{00000000-0005-0000-0000-0000A9000000}"/>
    <cellStyle name="Incorrecto 2" xfId="126" xr:uid="{00000000-0005-0000-0000-0000AD000000}"/>
    <cellStyle name="Incorrecto 3" xfId="127" xr:uid="{00000000-0005-0000-0000-0000AE000000}"/>
    <cellStyle name="Incorrecto 4" xfId="125" xr:uid="{00000000-0005-0000-0000-0000AC000000}"/>
    <cellStyle name="Input" xfId="128" xr:uid="{00000000-0005-0000-0000-0000AF000000}"/>
    <cellStyle name="Linked Cell" xfId="129" xr:uid="{00000000-0005-0000-0000-0000B0000000}"/>
    <cellStyle name="Millares 2" xfId="130" xr:uid="{00000000-0005-0000-0000-0000B1000000}"/>
    <cellStyle name="Moneda 2" xfId="131" xr:uid="{00000000-0005-0000-0000-0000B2000000}"/>
    <cellStyle name="Moneda 3" xfId="132" xr:uid="{00000000-0005-0000-0000-0000B3000000}"/>
    <cellStyle name="Neutral 2" xfId="134" xr:uid="{00000000-0005-0000-0000-0000B5000000}"/>
    <cellStyle name="Neutral 3" xfId="135" xr:uid="{00000000-0005-0000-0000-0000B6000000}"/>
    <cellStyle name="Neutral 4" xfId="133" xr:uid="{00000000-0005-0000-0000-0000B4000000}"/>
    <cellStyle name="Normal" xfId="0" builtinId="0"/>
    <cellStyle name="Normal 2" xfId="136" xr:uid="{00000000-0005-0000-0000-0000B8000000}"/>
    <cellStyle name="Normal 3" xfId="1" xr:uid="{00000000-0005-0000-0000-0000B7000000}"/>
    <cellStyle name="Normal 4" xfId="168" xr:uid="{00000000-0005-0000-0000-0000DA000000}"/>
    <cellStyle name="Normal 5" xfId="169" xr:uid="{00000000-0005-0000-0000-0000DB000000}"/>
    <cellStyle name="Normal 7" xfId="170" xr:uid="{B9CFE765-1735-424A-B045-980997BCC4CE}"/>
    <cellStyle name="Notas 2" xfId="138" xr:uid="{00000000-0005-0000-0000-0000BC000000}"/>
    <cellStyle name="Notas 3" xfId="139" xr:uid="{00000000-0005-0000-0000-0000BD000000}"/>
    <cellStyle name="Notas 4" xfId="137" xr:uid="{00000000-0005-0000-0000-0000BB000000}"/>
    <cellStyle name="Note" xfId="140" xr:uid="{00000000-0005-0000-0000-0000BE000000}"/>
    <cellStyle name="Output" xfId="141" xr:uid="{00000000-0005-0000-0000-0000BF000000}"/>
    <cellStyle name="Porcentual 2" xfId="142" xr:uid="{00000000-0005-0000-0000-0000C0000000}"/>
    <cellStyle name="Salida 2" xfId="144" xr:uid="{00000000-0005-0000-0000-0000C2000000}"/>
    <cellStyle name="Salida 3" xfId="145" xr:uid="{00000000-0005-0000-0000-0000C3000000}"/>
    <cellStyle name="Salida 4" xfId="143" xr:uid="{00000000-0005-0000-0000-0000C1000000}"/>
    <cellStyle name="Texto de advertencia 2" xfId="147" xr:uid="{00000000-0005-0000-0000-0000C5000000}"/>
    <cellStyle name="Texto de advertencia 3" xfId="148" xr:uid="{00000000-0005-0000-0000-0000C6000000}"/>
    <cellStyle name="Texto de advertencia 4" xfId="146" xr:uid="{00000000-0005-0000-0000-0000C4000000}"/>
    <cellStyle name="Texto explicativo 2" xfId="150" xr:uid="{00000000-0005-0000-0000-0000C8000000}"/>
    <cellStyle name="Texto explicativo 3" xfId="151" xr:uid="{00000000-0005-0000-0000-0000C9000000}"/>
    <cellStyle name="Texto explicativo 4" xfId="149" xr:uid="{00000000-0005-0000-0000-0000C7000000}"/>
    <cellStyle name="Title" xfId="152" xr:uid="{00000000-0005-0000-0000-0000CA000000}"/>
    <cellStyle name="Título 1 2" xfId="154" xr:uid="{00000000-0005-0000-0000-0000CC000000}"/>
    <cellStyle name="Título 1 3" xfId="155" xr:uid="{00000000-0005-0000-0000-0000CD000000}"/>
    <cellStyle name="Título 2 2" xfId="157" xr:uid="{00000000-0005-0000-0000-0000CF000000}"/>
    <cellStyle name="Título 2 3" xfId="158" xr:uid="{00000000-0005-0000-0000-0000D0000000}"/>
    <cellStyle name="Título 2 4" xfId="156" xr:uid="{00000000-0005-0000-0000-0000CE000000}"/>
    <cellStyle name="Título 3 2" xfId="160" xr:uid="{00000000-0005-0000-0000-0000D2000000}"/>
    <cellStyle name="Título 3 3" xfId="161" xr:uid="{00000000-0005-0000-0000-0000D3000000}"/>
    <cellStyle name="Título 3 4" xfId="159" xr:uid="{00000000-0005-0000-0000-0000D1000000}"/>
    <cellStyle name="Título 4" xfId="162" xr:uid="{00000000-0005-0000-0000-0000D4000000}"/>
    <cellStyle name="Título 5" xfId="163" xr:uid="{00000000-0005-0000-0000-0000D5000000}"/>
    <cellStyle name="Título 6" xfId="153" xr:uid="{00000000-0005-0000-0000-0000CB000000}"/>
    <cellStyle name="Total 2" xfId="165" xr:uid="{00000000-0005-0000-0000-0000D7000000}"/>
    <cellStyle name="Total 3" xfId="166" xr:uid="{00000000-0005-0000-0000-0000D8000000}"/>
    <cellStyle name="Total 4" xfId="164" xr:uid="{00000000-0005-0000-0000-0000D6000000}"/>
    <cellStyle name="Warning Text" xfId="167" xr:uid="{00000000-0005-0000-0000-0000D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31EF-B647-49CF-AAD7-525A120E8C48}">
  <dimension ref="A1:R69"/>
  <sheetViews>
    <sheetView topLeftCell="A33" workbookViewId="0">
      <selection activeCell="E6" sqref="E6"/>
    </sheetView>
  </sheetViews>
  <sheetFormatPr baseColWidth="10" defaultRowHeight="14.4" x14ac:dyDescent="0.3"/>
  <cols>
    <col min="2" max="2" width="39.44140625" bestFit="1" customWidth="1"/>
    <col min="3" max="5" width="13.6640625" bestFit="1" customWidth="1"/>
  </cols>
  <sheetData>
    <row r="1" spans="1:18" x14ac:dyDescent="0.3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27" x14ac:dyDescent="0.3">
      <c r="A2" s="32"/>
      <c r="B2" s="32"/>
      <c r="C2" s="37" t="s">
        <v>0</v>
      </c>
      <c r="D2" s="37" t="s">
        <v>1</v>
      </c>
      <c r="E2" s="47" t="s">
        <v>2</v>
      </c>
      <c r="F2" s="36"/>
      <c r="G2" s="33"/>
      <c r="H2" s="32"/>
      <c r="I2" s="32"/>
      <c r="J2" s="32"/>
      <c r="K2" s="33"/>
      <c r="L2" s="32"/>
      <c r="M2" s="32"/>
      <c r="N2" s="32"/>
      <c r="O2" s="34"/>
      <c r="P2" s="32"/>
      <c r="Q2" s="32"/>
      <c r="R2" s="32"/>
    </row>
    <row r="3" spans="1:18" x14ac:dyDescent="0.3">
      <c r="A3" s="32"/>
      <c r="B3" s="32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</row>
    <row r="4" spans="1:18" x14ac:dyDescent="0.3">
      <c r="A4" s="38" t="s">
        <v>1922</v>
      </c>
      <c r="B4" s="39" t="s">
        <v>1923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x14ac:dyDescent="0.3">
      <c r="A5" s="38" t="s">
        <v>9</v>
      </c>
      <c r="B5" s="40" t="s">
        <v>1924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x14ac:dyDescent="0.3">
      <c r="A6" s="38" t="s">
        <v>11</v>
      </c>
      <c r="B6" s="38" t="s">
        <v>12</v>
      </c>
      <c r="C6" s="41">
        <v>25403.759999999998</v>
      </c>
      <c r="D6" s="41">
        <v>344802.59</v>
      </c>
      <c r="E6" s="42">
        <v>370206.35000000003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</row>
    <row r="7" spans="1:18" x14ac:dyDescent="0.3">
      <c r="A7" s="38" t="s">
        <v>23</v>
      </c>
      <c r="B7" s="38" t="s">
        <v>24</v>
      </c>
      <c r="C7" s="41">
        <v>73077.100000000006</v>
      </c>
      <c r="D7" s="41">
        <v>76613.740000000005</v>
      </c>
      <c r="E7" s="42">
        <v>149690.84000000003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</row>
    <row r="8" spans="1:18" x14ac:dyDescent="0.3">
      <c r="A8" s="38" t="s">
        <v>77</v>
      </c>
      <c r="B8" s="38" t="s">
        <v>78</v>
      </c>
      <c r="C8" s="41">
        <v>19911599.969999999</v>
      </c>
      <c r="D8" s="41">
        <v>22488653.280000001</v>
      </c>
      <c r="E8" s="42">
        <v>42400253.25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</row>
    <row r="9" spans="1:18" x14ac:dyDescent="0.3">
      <c r="A9" s="38" t="s">
        <v>179</v>
      </c>
      <c r="B9" s="38" t="s">
        <v>180</v>
      </c>
      <c r="C9" s="41">
        <v>59236406.439999998</v>
      </c>
      <c r="D9" s="41">
        <v>768861.12</v>
      </c>
      <c r="E9" s="42">
        <v>60005267.559999995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</row>
    <row r="10" spans="1:18" x14ac:dyDescent="0.3">
      <c r="A10" s="38" t="s">
        <v>237</v>
      </c>
      <c r="B10" s="38" t="s">
        <v>238</v>
      </c>
      <c r="C10" s="41">
        <v>0</v>
      </c>
      <c r="D10" s="41">
        <v>448094.32</v>
      </c>
      <c r="E10" s="42">
        <v>448094.32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</row>
    <row r="11" spans="1:18" x14ac:dyDescent="0.3">
      <c r="A11" s="38" t="s">
        <v>249</v>
      </c>
      <c r="B11" s="38" t="s">
        <v>250</v>
      </c>
      <c r="C11" s="41">
        <v>610141.27</v>
      </c>
      <c r="D11" s="41">
        <v>7599242.3499999996</v>
      </c>
      <c r="E11" s="42">
        <v>8209383.6199999992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2" spans="1:18" x14ac:dyDescent="0.3">
      <c r="A12" s="38" t="s">
        <v>257</v>
      </c>
      <c r="B12" s="38" t="s">
        <v>258</v>
      </c>
      <c r="C12" s="41">
        <v>151161</v>
      </c>
      <c r="D12" s="41">
        <v>0</v>
      </c>
      <c r="E12" s="42">
        <v>151161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</row>
    <row r="13" spans="1:18" x14ac:dyDescent="0.3">
      <c r="A13" s="38" t="s">
        <v>261</v>
      </c>
      <c r="B13" s="38" t="s">
        <v>262</v>
      </c>
      <c r="C13" s="41">
        <v>37486499.289999999</v>
      </c>
      <c r="D13" s="41">
        <v>21022227.010000002</v>
      </c>
      <c r="E13" s="42">
        <v>58508726.299999997</v>
      </c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</row>
    <row r="14" spans="1:18" x14ac:dyDescent="0.3">
      <c r="A14" s="38" t="s">
        <v>278</v>
      </c>
      <c r="B14" s="38" t="s">
        <v>279</v>
      </c>
      <c r="C14" s="41">
        <v>36279.46</v>
      </c>
      <c r="D14" s="41">
        <v>5223049.3600000003</v>
      </c>
      <c r="E14" s="42">
        <v>5259328.82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</row>
    <row r="15" spans="1:18" x14ac:dyDescent="0.3">
      <c r="A15" s="38" t="s">
        <v>282</v>
      </c>
      <c r="B15" s="38" t="s">
        <v>283</v>
      </c>
      <c r="C15" s="41">
        <v>3865851.88</v>
      </c>
      <c r="D15" s="41">
        <v>5420997.46</v>
      </c>
      <c r="E15" s="42">
        <v>9286849.3399999999</v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</row>
    <row r="16" spans="1:18" x14ac:dyDescent="0.3">
      <c r="A16" s="38" t="s">
        <v>288</v>
      </c>
      <c r="B16" s="38" t="s">
        <v>289</v>
      </c>
      <c r="C16" s="41">
        <v>248443.82</v>
      </c>
      <c r="D16" s="41">
        <v>5244418.9000000004</v>
      </c>
      <c r="E16" s="42">
        <v>5492862.7200000007</v>
      </c>
    </row>
    <row r="17" spans="1:5" x14ac:dyDescent="0.3">
      <c r="A17" s="38" t="s">
        <v>365</v>
      </c>
      <c r="B17" s="38" t="s">
        <v>366</v>
      </c>
      <c r="C17" s="41">
        <v>0</v>
      </c>
      <c r="D17" s="41">
        <v>403041.11</v>
      </c>
      <c r="E17" s="42">
        <v>403041.11</v>
      </c>
    </row>
    <row r="18" spans="1:5" x14ac:dyDescent="0.3">
      <c r="A18" s="38" t="s">
        <v>1925</v>
      </c>
      <c r="B18" s="40" t="s">
        <v>1926</v>
      </c>
      <c r="C18" s="43">
        <v>121644863.98999999</v>
      </c>
      <c r="D18" s="43">
        <v>69040001.239999995</v>
      </c>
      <c r="E18" s="43">
        <v>190684865.22999999</v>
      </c>
    </row>
    <row r="19" spans="1:5" x14ac:dyDescent="0.3">
      <c r="A19" s="38" t="s">
        <v>1921</v>
      </c>
      <c r="B19" s="32"/>
      <c r="C19" s="32"/>
      <c r="D19" s="32"/>
      <c r="E19" s="32"/>
    </row>
    <row r="20" spans="1:5" x14ac:dyDescent="0.3">
      <c r="A20" s="38" t="s">
        <v>380</v>
      </c>
      <c r="B20" s="40" t="s">
        <v>1927</v>
      </c>
      <c r="C20" s="32"/>
      <c r="D20" s="32"/>
      <c r="E20" s="32"/>
    </row>
    <row r="21" spans="1:5" x14ac:dyDescent="0.3">
      <c r="A21" s="38" t="s">
        <v>382</v>
      </c>
      <c r="B21" s="38" t="s">
        <v>383</v>
      </c>
      <c r="C21" s="41">
        <v>539398.67000000004</v>
      </c>
      <c r="D21" s="41">
        <v>10570466.689999999</v>
      </c>
      <c r="E21" s="42">
        <v>11109865.359999999</v>
      </c>
    </row>
    <row r="22" spans="1:5" x14ac:dyDescent="0.3">
      <c r="A22" s="38" t="s">
        <v>399</v>
      </c>
      <c r="B22" s="38" t="s">
        <v>400</v>
      </c>
      <c r="C22" s="41">
        <v>0</v>
      </c>
      <c r="D22" s="41">
        <v>1456491.4</v>
      </c>
      <c r="E22" s="42">
        <v>1456491.4</v>
      </c>
    </row>
    <row r="23" spans="1:5" x14ac:dyDescent="0.3">
      <c r="A23" s="38" t="s">
        <v>402</v>
      </c>
      <c r="B23" s="38" t="s">
        <v>403</v>
      </c>
      <c r="C23" s="41">
        <v>19450</v>
      </c>
      <c r="D23" s="41">
        <v>2284951.2799999998</v>
      </c>
      <c r="E23" s="42">
        <v>2304401.2799999998</v>
      </c>
    </row>
    <row r="24" spans="1:5" x14ac:dyDescent="0.3">
      <c r="A24" s="38" t="s">
        <v>411</v>
      </c>
      <c r="B24" s="38" t="s">
        <v>412</v>
      </c>
      <c r="C24" s="41">
        <v>281941.68</v>
      </c>
      <c r="D24" s="41">
        <v>573052.1</v>
      </c>
      <c r="E24" s="42">
        <v>854993.78</v>
      </c>
    </row>
    <row r="25" spans="1:5" x14ac:dyDescent="0.3">
      <c r="A25" s="38" t="s">
        <v>424</v>
      </c>
      <c r="B25" s="38" t="s">
        <v>425</v>
      </c>
      <c r="C25" s="41">
        <v>0</v>
      </c>
      <c r="D25" s="41">
        <v>15067024.279999999</v>
      </c>
      <c r="E25" s="42">
        <v>15067024.279999999</v>
      </c>
    </row>
    <row r="26" spans="1:5" x14ac:dyDescent="0.3">
      <c r="A26" s="38" t="s">
        <v>476</v>
      </c>
      <c r="B26" s="38" t="s">
        <v>477</v>
      </c>
      <c r="C26" s="41">
        <v>1504201.75</v>
      </c>
      <c r="D26" s="41">
        <v>14057839.23</v>
      </c>
      <c r="E26" s="42">
        <v>15562040.98</v>
      </c>
    </row>
    <row r="27" spans="1:5" x14ac:dyDescent="0.3">
      <c r="A27" s="38" t="s">
        <v>481</v>
      </c>
      <c r="B27" s="38" t="s">
        <v>482</v>
      </c>
      <c r="C27" s="44">
        <v>-21611.52</v>
      </c>
      <c r="D27" s="44">
        <v>-11060423.02</v>
      </c>
      <c r="E27" s="45">
        <v>-11082034.539999999</v>
      </c>
    </row>
    <row r="28" spans="1:5" x14ac:dyDescent="0.3">
      <c r="A28" s="38" t="s">
        <v>498</v>
      </c>
      <c r="B28" s="38" t="s">
        <v>499</v>
      </c>
      <c r="C28" s="41">
        <v>0</v>
      </c>
      <c r="D28" s="41">
        <v>15000000</v>
      </c>
      <c r="E28" s="42">
        <v>15000000</v>
      </c>
    </row>
    <row r="29" spans="1:5" x14ac:dyDescent="0.3">
      <c r="A29" s="38" t="s">
        <v>505</v>
      </c>
      <c r="B29" s="38" t="s">
        <v>506</v>
      </c>
      <c r="C29" s="41">
        <v>0</v>
      </c>
      <c r="D29" s="44">
        <v>-1189504.8799999999</v>
      </c>
      <c r="E29" s="45">
        <v>-1189504.8799999999</v>
      </c>
    </row>
    <row r="30" spans="1:5" x14ac:dyDescent="0.3">
      <c r="A30" s="38" t="s">
        <v>514</v>
      </c>
      <c r="B30" s="38" t="s">
        <v>515</v>
      </c>
      <c r="C30" s="41">
        <v>24403.03</v>
      </c>
      <c r="D30" s="41">
        <v>537569</v>
      </c>
      <c r="E30" s="42">
        <v>561972.03</v>
      </c>
    </row>
    <row r="31" spans="1:5" x14ac:dyDescent="0.3">
      <c r="A31" s="38" t="s">
        <v>520</v>
      </c>
      <c r="B31" s="38" t="s">
        <v>521</v>
      </c>
      <c r="C31" s="41">
        <v>2757156</v>
      </c>
      <c r="D31" s="41">
        <v>0</v>
      </c>
      <c r="E31" s="42">
        <v>2757156</v>
      </c>
    </row>
    <row r="32" spans="1:5" x14ac:dyDescent="0.3">
      <c r="A32" s="38" t="s">
        <v>1928</v>
      </c>
      <c r="B32" s="40" t="s">
        <v>1929</v>
      </c>
      <c r="C32" s="43">
        <v>5104939.6100000003</v>
      </c>
      <c r="D32" s="43">
        <v>47297466.079999998</v>
      </c>
      <c r="E32" s="43">
        <v>52402405.689999998</v>
      </c>
    </row>
    <row r="33" spans="1:5" x14ac:dyDescent="0.3">
      <c r="A33" s="38" t="s">
        <v>1921</v>
      </c>
      <c r="B33" s="32"/>
      <c r="C33" s="32"/>
      <c r="D33" s="32"/>
      <c r="E33" s="32"/>
    </row>
    <row r="34" spans="1:5" x14ac:dyDescent="0.3">
      <c r="A34" s="38" t="s">
        <v>1930</v>
      </c>
      <c r="B34" s="40" t="s">
        <v>1931</v>
      </c>
      <c r="C34" s="43">
        <v>126749803.59999999</v>
      </c>
      <c r="D34" s="43">
        <v>116337467.31999999</v>
      </c>
      <c r="E34" s="43">
        <v>243087270.91999999</v>
      </c>
    </row>
    <row r="35" spans="1:5" x14ac:dyDescent="0.3">
      <c r="A35" s="38" t="s">
        <v>1921</v>
      </c>
      <c r="B35" s="32"/>
      <c r="C35" s="32"/>
      <c r="D35" s="32"/>
      <c r="E35" s="32"/>
    </row>
    <row r="36" spans="1:5" x14ac:dyDescent="0.3">
      <c r="A36" s="38" t="s">
        <v>1921</v>
      </c>
      <c r="B36" s="32"/>
      <c r="C36" s="32"/>
      <c r="D36" s="32"/>
      <c r="E36" s="32"/>
    </row>
    <row r="37" spans="1:5" x14ac:dyDescent="0.3">
      <c r="A37" s="38" t="s">
        <v>1932</v>
      </c>
      <c r="B37" s="39" t="s">
        <v>1933</v>
      </c>
      <c r="C37" s="32"/>
      <c r="D37" s="32"/>
      <c r="E37" s="32"/>
    </row>
    <row r="38" spans="1:5" x14ac:dyDescent="0.3">
      <c r="A38" s="38" t="s">
        <v>527</v>
      </c>
      <c r="B38" s="40" t="s">
        <v>1934</v>
      </c>
      <c r="C38" s="32"/>
      <c r="D38" s="32"/>
      <c r="E38" s="32"/>
    </row>
    <row r="39" spans="1:5" x14ac:dyDescent="0.3">
      <c r="A39" s="38" t="s">
        <v>529</v>
      </c>
      <c r="B39" s="38" t="s">
        <v>530</v>
      </c>
      <c r="C39" s="41">
        <v>24049582.809999999</v>
      </c>
      <c r="D39" s="41">
        <v>12474413.26</v>
      </c>
      <c r="E39" s="42">
        <v>36523996.07</v>
      </c>
    </row>
    <row r="40" spans="1:5" x14ac:dyDescent="0.3">
      <c r="A40" s="38" t="s">
        <v>792</v>
      </c>
      <c r="B40" s="38" t="s">
        <v>793</v>
      </c>
      <c r="C40" s="41">
        <v>21700000</v>
      </c>
      <c r="D40" s="41">
        <v>60162728.560000002</v>
      </c>
      <c r="E40" s="42">
        <v>81862728.560000002</v>
      </c>
    </row>
    <row r="41" spans="1:5" x14ac:dyDescent="0.3">
      <c r="A41" s="38" t="s">
        <v>815</v>
      </c>
      <c r="B41" s="38" t="s">
        <v>816</v>
      </c>
      <c r="C41" s="41">
        <v>1187655.29</v>
      </c>
      <c r="D41" s="41">
        <v>6511058.46</v>
      </c>
      <c r="E41" s="42">
        <v>7698713.75</v>
      </c>
    </row>
    <row r="42" spans="1:5" x14ac:dyDescent="0.3">
      <c r="A42" s="38" t="s">
        <v>822</v>
      </c>
      <c r="B42" s="38" t="s">
        <v>823</v>
      </c>
      <c r="C42" s="41">
        <v>4513471.13</v>
      </c>
      <c r="D42" s="41">
        <v>4934344.09</v>
      </c>
      <c r="E42" s="42">
        <v>9447815.2199999988</v>
      </c>
    </row>
    <row r="43" spans="1:5" x14ac:dyDescent="0.3">
      <c r="A43" s="38" t="s">
        <v>1003</v>
      </c>
      <c r="B43" s="38" t="s">
        <v>1004</v>
      </c>
      <c r="C43" s="41">
        <v>0</v>
      </c>
      <c r="D43" s="41">
        <v>6585373.04</v>
      </c>
      <c r="E43" s="42">
        <v>6585373.04</v>
      </c>
    </row>
    <row r="44" spans="1:5" x14ac:dyDescent="0.3">
      <c r="A44" s="38" t="s">
        <v>1029</v>
      </c>
      <c r="B44" s="38" t="s">
        <v>1030</v>
      </c>
      <c r="C44" s="41">
        <v>2958837.53</v>
      </c>
      <c r="D44" s="41">
        <v>4317253.3</v>
      </c>
      <c r="E44" s="42">
        <v>7276090.8300000001</v>
      </c>
    </row>
    <row r="45" spans="1:5" x14ac:dyDescent="0.3">
      <c r="A45" s="38" t="s">
        <v>1033</v>
      </c>
      <c r="B45" s="38" t="s">
        <v>1034</v>
      </c>
      <c r="C45" s="41">
        <v>620722.04</v>
      </c>
      <c r="D45" s="41">
        <v>411658.92</v>
      </c>
      <c r="E45" s="42">
        <v>1032380.96</v>
      </c>
    </row>
    <row r="46" spans="1:5" x14ac:dyDescent="0.3">
      <c r="A46" s="38" t="s">
        <v>1038</v>
      </c>
      <c r="B46" s="38" t="s">
        <v>1039</v>
      </c>
      <c r="C46" s="41">
        <v>269296.28999999998</v>
      </c>
      <c r="D46" s="41">
        <v>157572.47</v>
      </c>
      <c r="E46" s="42">
        <v>426868.76</v>
      </c>
    </row>
    <row r="47" spans="1:5" x14ac:dyDescent="0.3">
      <c r="A47" s="38" t="s">
        <v>1046</v>
      </c>
      <c r="B47" s="38" t="s">
        <v>1047</v>
      </c>
      <c r="C47" s="41">
        <v>845984.42</v>
      </c>
      <c r="D47" s="41">
        <v>16598628.26</v>
      </c>
      <c r="E47" s="42">
        <v>17444612.68</v>
      </c>
    </row>
    <row r="48" spans="1:5" x14ac:dyDescent="0.3">
      <c r="A48" s="38" t="s">
        <v>1059</v>
      </c>
      <c r="B48" s="38" t="s">
        <v>1060</v>
      </c>
      <c r="C48" s="41">
        <v>612767.14</v>
      </c>
      <c r="D48" s="41">
        <v>527763.85</v>
      </c>
      <c r="E48" s="42">
        <v>1140530.99</v>
      </c>
    </row>
    <row r="49" spans="1:5" x14ac:dyDescent="0.3">
      <c r="A49" s="38" t="s">
        <v>1163</v>
      </c>
      <c r="B49" s="38" t="s">
        <v>1164</v>
      </c>
      <c r="C49" s="41">
        <v>800471.53</v>
      </c>
      <c r="D49" s="41">
        <v>365820.31</v>
      </c>
      <c r="E49" s="42">
        <v>1166291.8400000001</v>
      </c>
    </row>
    <row r="50" spans="1:5" x14ac:dyDescent="0.3">
      <c r="A50" s="38" t="s">
        <v>1176</v>
      </c>
      <c r="B50" s="38" t="s">
        <v>1177</v>
      </c>
      <c r="C50" s="41">
        <v>688161.82</v>
      </c>
      <c r="D50" s="41">
        <v>555668.68000000005</v>
      </c>
      <c r="E50" s="42">
        <v>1243830.5</v>
      </c>
    </row>
    <row r="51" spans="1:5" x14ac:dyDescent="0.3">
      <c r="A51" s="38" t="s">
        <v>1935</v>
      </c>
      <c r="B51" s="40" t="s">
        <v>1936</v>
      </c>
      <c r="C51" s="43">
        <v>58246950</v>
      </c>
      <c r="D51" s="43">
        <v>113602283.2</v>
      </c>
      <c r="E51" s="43">
        <v>171849233.19999999</v>
      </c>
    </row>
    <row r="52" spans="1:5" x14ac:dyDescent="0.3">
      <c r="A52" s="38" t="s">
        <v>1921</v>
      </c>
      <c r="B52" s="32"/>
      <c r="C52" s="32"/>
      <c r="D52" s="32"/>
      <c r="E52" s="32"/>
    </row>
    <row r="53" spans="1:5" x14ac:dyDescent="0.3">
      <c r="A53" s="38" t="s">
        <v>1195</v>
      </c>
      <c r="B53" s="40" t="s">
        <v>1937</v>
      </c>
      <c r="C53" s="32"/>
      <c r="D53" s="32"/>
      <c r="E53" s="32"/>
    </row>
    <row r="54" spans="1:5" x14ac:dyDescent="0.3">
      <c r="A54" s="38" t="s">
        <v>1197</v>
      </c>
      <c r="B54" s="38" t="s">
        <v>1198</v>
      </c>
      <c r="C54" s="41">
        <v>23451076.219999999</v>
      </c>
      <c r="D54" s="41">
        <v>19520150.68</v>
      </c>
      <c r="E54" s="42">
        <v>42971226.899999999</v>
      </c>
    </row>
    <row r="55" spans="1:5" x14ac:dyDescent="0.3">
      <c r="A55" s="38" t="s">
        <v>1938</v>
      </c>
      <c r="B55" s="40" t="s">
        <v>1939</v>
      </c>
      <c r="C55" s="43">
        <v>23451076.219999999</v>
      </c>
      <c r="D55" s="43">
        <v>19520150.68</v>
      </c>
      <c r="E55" s="43">
        <v>42971226.899999999</v>
      </c>
    </row>
    <row r="56" spans="1:5" x14ac:dyDescent="0.3">
      <c r="A56" s="38" t="s">
        <v>1921</v>
      </c>
      <c r="B56" s="32"/>
      <c r="C56" s="32"/>
      <c r="D56" s="32"/>
      <c r="E56" s="32"/>
    </row>
    <row r="57" spans="1:5" x14ac:dyDescent="0.3">
      <c r="A57" s="38" t="s">
        <v>1940</v>
      </c>
      <c r="B57" s="40" t="s">
        <v>1941</v>
      </c>
      <c r="C57" s="43">
        <v>81698026.219999999</v>
      </c>
      <c r="D57" s="43">
        <v>133122433.88</v>
      </c>
      <c r="E57" s="43">
        <v>214820460.09999999</v>
      </c>
    </row>
    <row r="58" spans="1:5" x14ac:dyDescent="0.3">
      <c r="A58" s="38" t="s">
        <v>1921</v>
      </c>
      <c r="B58" s="32"/>
      <c r="C58" s="32"/>
      <c r="D58" s="32"/>
      <c r="E58" s="32"/>
    </row>
    <row r="59" spans="1:5" x14ac:dyDescent="0.3">
      <c r="A59" s="38" t="s">
        <v>1921</v>
      </c>
      <c r="B59" s="32"/>
      <c r="C59" s="32"/>
      <c r="D59" s="32"/>
      <c r="E59" s="32"/>
    </row>
    <row r="60" spans="1:5" x14ac:dyDescent="0.3">
      <c r="A60" s="38" t="s">
        <v>1942</v>
      </c>
      <c r="B60" s="39" t="s">
        <v>1943</v>
      </c>
      <c r="C60" s="32"/>
      <c r="D60" s="32"/>
      <c r="E60" s="32"/>
    </row>
    <row r="61" spans="1:5" x14ac:dyDescent="0.3">
      <c r="A61" s="38" t="s">
        <v>1250</v>
      </c>
      <c r="B61" s="38" t="s">
        <v>1251</v>
      </c>
      <c r="C61" s="41">
        <v>50050000</v>
      </c>
      <c r="D61" s="41">
        <v>23606995</v>
      </c>
      <c r="E61" s="42">
        <v>73656995</v>
      </c>
    </row>
    <row r="62" spans="1:5" x14ac:dyDescent="0.3">
      <c r="A62" s="38" t="s">
        <v>1268</v>
      </c>
      <c r="B62" s="38" t="s">
        <v>1269</v>
      </c>
      <c r="C62" s="44">
        <v>-962681.88</v>
      </c>
      <c r="D62" s="44">
        <v>-34163817.07</v>
      </c>
      <c r="E62" s="45">
        <v>-35126498.950000003</v>
      </c>
    </row>
    <row r="63" spans="1:5" x14ac:dyDescent="0.3">
      <c r="A63" s="38" t="s">
        <v>1944</v>
      </c>
      <c r="B63" s="38" t="s">
        <v>1945</v>
      </c>
      <c r="C63" s="44">
        <v>-4053156.72</v>
      </c>
      <c r="D63" s="44">
        <v>-6228144.4900000002</v>
      </c>
      <c r="E63" s="45">
        <v>-10281301.210000001</v>
      </c>
    </row>
    <row r="64" spans="1:5" x14ac:dyDescent="0.3">
      <c r="A64" s="38" t="s">
        <v>1946</v>
      </c>
      <c r="B64" s="40" t="s">
        <v>1947</v>
      </c>
      <c r="C64" s="43">
        <v>45034161.399999999</v>
      </c>
      <c r="D64" s="46">
        <v>-16784966.559999999</v>
      </c>
      <c r="E64" s="43">
        <v>28249194.84</v>
      </c>
    </row>
    <row r="65" spans="1:5" x14ac:dyDescent="0.3">
      <c r="A65" s="38" t="s">
        <v>1921</v>
      </c>
      <c r="B65" s="32"/>
      <c r="C65" s="32"/>
      <c r="D65" s="32"/>
      <c r="E65" s="32"/>
    </row>
    <row r="66" spans="1:5" x14ac:dyDescent="0.3">
      <c r="A66" s="38" t="s">
        <v>1948</v>
      </c>
      <c r="B66" s="40" t="s">
        <v>1949</v>
      </c>
      <c r="C66" s="43">
        <v>126732187.62</v>
      </c>
      <c r="D66" s="43">
        <v>116337467.31999999</v>
      </c>
      <c r="E66" s="43">
        <v>243069654.94</v>
      </c>
    </row>
    <row r="67" spans="1:5" x14ac:dyDescent="0.3">
      <c r="A67" s="38" t="s">
        <v>1921</v>
      </c>
      <c r="B67" s="32"/>
      <c r="C67" s="32"/>
      <c r="D67" s="32"/>
      <c r="E67" s="32"/>
    </row>
    <row r="68" spans="1:5" x14ac:dyDescent="0.3">
      <c r="A68" s="38" t="s">
        <v>1921</v>
      </c>
      <c r="B68" s="32"/>
      <c r="C68" s="32"/>
      <c r="D68" s="32"/>
      <c r="E68" s="32"/>
    </row>
    <row r="69" spans="1:5" x14ac:dyDescent="0.3">
      <c r="A69" s="38" t="s">
        <v>1921</v>
      </c>
      <c r="B69" s="32"/>
      <c r="C69" s="32"/>
      <c r="D69" s="32"/>
      <c r="E69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3EBC-C141-4404-8CC1-ADF33675786F}">
  <dimension ref="A1:Z77"/>
  <sheetViews>
    <sheetView tabSelected="1" topLeftCell="A22" workbookViewId="0">
      <selection activeCell="C33" sqref="C33"/>
    </sheetView>
  </sheetViews>
  <sheetFormatPr baseColWidth="10" defaultRowHeight="14.4" x14ac:dyDescent="0.3"/>
  <cols>
    <col min="2" max="2" width="49.109375" bestFit="1" customWidth="1"/>
    <col min="3" max="3" width="22.33203125" bestFit="1" customWidth="1"/>
    <col min="4" max="4" width="6.5546875" bestFit="1" customWidth="1"/>
    <col min="5" max="5" width="12.6640625" bestFit="1" customWidth="1"/>
    <col min="6" max="6" width="6.5546875" bestFit="1" customWidth="1"/>
    <col min="7" max="7" width="23.6640625" bestFit="1" customWidth="1"/>
    <col min="8" max="8" width="6.5546875" bestFit="1" customWidth="1"/>
    <col min="9" max="9" width="12.6640625" bestFit="1" customWidth="1"/>
    <col min="10" max="10" width="6.5546875" bestFit="1" customWidth="1"/>
    <col min="11" max="11" width="12.6640625" bestFit="1" customWidth="1"/>
    <col min="12" max="12" width="6.5546875" bestFit="1" customWidth="1"/>
    <col min="13" max="13" width="13.33203125" bestFit="1" customWidth="1"/>
    <col min="14" max="14" width="6.5546875" bestFit="1" customWidth="1"/>
  </cols>
  <sheetData>
    <row r="1" spans="1:26" x14ac:dyDescent="0.3">
      <c r="B1" s="50"/>
      <c r="C1" s="50"/>
      <c r="D1" s="50"/>
      <c r="E1" s="50"/>
      <c r="F1" s="50"/>
    </row>
    <row r="2" spans="1:26" x14ac:dyDescent="0.3">
      <c r="A2" s="50"/>
      <c r="B2" s="50"/>
      <c r="C2" s="62" t="s">
        <v>0</v>
      </c>
      <c r="D2" s="63"/>
      <c r="E2" s="63"/>
      <c r="F2" s="64"/>
      <c r="G2" s="62" t="s">
        <v>1</v>
      </c>
      <c r="H2" s="63"/>
      <c r="I2" s="67"/>
      <c r="J2" s="64"/>
      <c r="K2" s="68" t="s">
        <v>2</v>
      </c>
      <c r="L2" s="63"/>
      <c r="M2" s="63"/>
      <c r="N2" s="64"/>
      <c r="O2" s="51"/>
      <c r="P2" s="50"/>
      <c r="Q2" s="50"/>
      <c r="R2" s="50"/>
      <c r="S2" s="50"/>
      <c r="T2" s="50"/>
      <c r="U2" s="52"/>
      <c r="V2" s="50"/>
      <c r="W2" s="50"/>
      <c r="X2" s="50"/>
      <c r="Y2" s="50"/>
      <c r="Z2" s="50"/>
    </row>
    <row r="3" spans="1:26" x14ac:dyDescent="0.3">
      <c r="A3" s="50"/>
      <c r="B3" s="50"/>
      <c r="C3" s="65" t="s">
        <v>1950</v>
      </c>
      <c r="D3" s="66" t="s">
        <v>1951</v>
      </c>
      <c r="E3" s="65" t="s">
        <v>1952</v>
      </c>
      <c r="F3" s="66" t="s">
        <v>1951</v>
      </c>
      <c r="G3" s="65" t="s">
        <v>1950</v>
      </c>
      <c r="H3" s="66" t="s">
        <v>1951</v>
      </c>
      <c r="I3" s="65" t="s">
        <v>1952</v>
      </c>
      <c r="J3" s="66" t="s">
        <v>1951</v>
      </c>
      <c r="K3" s="65" t="s">
        <v>1950</v>
      </c>
      <c r="L3" s="66" t="s">
        <v>1951</v>
      </c>
      <c r="M3" s="65" t="s">
        <v>1952</v>
      </c>
      <c r="N3" s="66" t="s">
        <v>1951</v>
      </c>
      <c r="O3" s="53"/>
      <c r="P3" s="54"/>
      <c r="Q3" s="53"/>
      <c r="R3" s="54"/>
      <c r="S3" s="53"/>
      <c r="T3" s="54"/>
      <c r="U3" s="53"/>
      <c r="V3" s="54"/>
      <c r="W3" s="53"/>
      <c r="X3" s="54"/>
      <c r="Y3" s="53"/>
      <c r="Z3" s="53"/>
    </row>
    <row r="4" spans="1:26" x14ac:dyDescent="0.3">
      <c r="A4" s="55" t="s">
        <v>1953</v>
      </c>
      <c r="B4" s="54" t="s">
        <v>1954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x14ac:dyDescent="0.3">
      <c r="A5" s="55" t="s">
        <v>1279</v>
      </c>
      <c r="B5" s="56" t="s">
        <v>1955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x14ac:dyDescent="0.3">
      <c r="A6" s="55" t="s">
        <v>1281</v>
      </c>
      <c r="B6" s="55" t="s">
        <v>82</v>
      </c>
      <c r="C6" s="70">
        <v>7939970</v>
      </c>
      <c r="D6" s="57">
        <v>54.657805923640581</v>
      </c>
      <c r="E6" s="58">
        <v>16875301.5</v>
      </c>
      <c r="F6" s="57">
        <v>48.388225035632892</v>
      </c>
      <c r="G6" s="58">
        <v>3681553.46</v>
      </c>
      <c r="H6" s="57">
        <v>60.947636210178132</v>
      </c>
      <c r="I6" s="58">
        <v>37686962.100000001</v>
      </c>
      <c r="J6" s="57">
        <v>81.155005758422561</v>
      </c>
      <c r="K6" s="57">
        <v>11621523.460000001</v>
      </c>
      <c r="L6" s="57">
        <v>56.505107559123388</v>
      </c>
      <c r="M6" s="57">
        <v>54562263.600000001</v>
      </c>
      <c r="N6" s="57">
        <v>67.101478671500445</v>
      </c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x14ac:dyDescent="0.3">
      <c r="A7" s="55" t="s">
        <v>1282</v>
      </c>
      <c r="B7" s="55" t="s">
        <v>1283</v>
      </c>
      <c r="C7" s="70">
        <v>395791.62</v>
      </c>
      <c r="D7" s="57">
        <v>2.7245822782911393</v>
      </c>
      <c r="E7" s="58">
        <v>1803056.91</v>
      </c>
      <c r="F7" s="57">
        <v>5.1700838360211154</v>
      </c>
      <c r="G7" s="58">
        <v>562189.99</v>
      </c>
      <c r="H7" s="57">
        <v>9.3069817846740399</v>
      </c>
      <c r="I7" s="58">
        <v>562189.99</v>
      </c>
      <c r="J7" s="57">
        <v>1.2106184561842812</v>
      </c>
      <c r="K7" s="57">
        <v>957981.61</v>
      </c>
      <c r="L7" s="57">
        <v>4.6578104926625681</v>
      </c>
      <c r="M7" s="57">
        <v>2365246.9</v>
      </c>
      <c r="N7" s="57">
        <v>2.9088156161685079</v>
      </c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x14ac:dyDescent="0.3">
      <c r="A8" s="55" t="s">
        <v>1284</v>
      </c>
      <c r="B8" s="56" t="s">
        <v>1956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x14ac:dyDescent="0.3">
      <c r="A9" s="55" t="s">
        <v>1286</v>
      </c>
      <c r="B9" s="55" t="s">
        <v>1287</v>
      </c>
      <c r="C9" s="70">
        <v>6466395.9500000002</v>
      </c>
      <c r="D9" s="57">
        <v>44.513898019830734</v>
      </c>
      <c r="E9" s="58">
        <v>16331153.189999999</v>
      </c>
      <c r="F9" s="57">
        <v>46.827934638626395</v>
      </c>
      <c r="G9" s="58">
        <v>1979738.64</v>
      </c>
      <c r="H9" s="57">
        <v>32.774314357492131</v>
      </c>
      <c r="I9" s="58">
        <v>9274298.5</v>
      </c>
      <c r="J9" s="57">
        <v>19.971250168047629</v>
      </c>
      <c r="K9" s="57">
        <v>8446134.5899999999</v>
      </c>
      <c r="L9" s="57">
        <v>41.066022463356319</v>
      </c>
      <c r="M9" s="57">
        <v>25605451.689999998</v>
      </c>
      <c r="N9" s="57">
        <v>31.4899631556098</v>
      </c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x14ac:dyDescent="0.3">
      <c r="A10" s="55" t="s">
        <v>1288</v>
      </c>
      <c r="B10" s="55" t="s">
        <v>1289</v>
      </c>
      <c r="C10" s="70">
        <v>32718.78</v>
      </c>
      <c r="D10" s="57">
        <v>0.22523217685939526</v>
      </c>
      <c r="E10" s="58">
        <v>703084.1</v>
      </c>
      <c r="F10" s="57">
        <v>2.0160227448247618</v>
      </c>
      <c r="G10" s="58">
        <v>179214.91</v>
      </c>
      <c r="H10" s="57">
        <v>2.9668794047933824</v>
      </c>
      <c r="I10" s="58">
        <v>2367168.6</v>
      </c>
      <c r="J10" s="57">
        <v>5.097454680863148</v>
      </c>
      <c r="K10" s="57">
        <v>211933.69</v>
      </c>
      <c r="L10" s="57">
        <v>1.0304445875852417</v>
      </c>
      <c r="M10" s="57">
        <v>3070252.7</v>
      </c>
      <c r="N10" s="57">
        <v>3.7758421750150166</v>
      </c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x14ac:dyDescent="0.3">
      <c r="A11" s="55" t="s">
        <v>1957</v>
      </c>
      <c r="B11" s="56" t="s">
        <v>1958</v>
      </c>
      <c r="C11" s="59">
        <v>6499114.7300000004</v>
      </c>
      <c r="D11" s="57">
        <v>44.739130196690134</v>
      </c>
      <c r="E11" s="59">
        <v>17034237.289999999</v>
      </c>
      <c r="F11" s="57">
        <v>48.843957383451162</v>
      </c>
      <c r="G11" s="59">
        <v>2158953.5499999998</v>
      </c>
      <c r="H11" s="57">
        <v>35.741193762285505</v>
      </c>
      <c r="I11" s="59">
        <v>11641467.1</v>
      </c>
      <c r="J11" s="57">
        <v>25.068704848910777</v>
      </c>
      <c r="K11" s="59">
        <v>8658068.2800000012</v>
      </c>
      <c r="L11" s="57">
        <v>42.09646705094157</v>
      </c>
      <c r="M11" s="59">
        <v>28675704.390000001</v>
      </c>
      <c r="N11" s="57">
        <v>35.265805330624822</v>
      </c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x14ac:dyDescent="0.3">
      <c r="A12" s="55" t="s">
        <v>1921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x14ac:dyDescent="0.3">
      <c r="A13" s="55" t="s">
        <v>1959</v>
      </c>
      <c r="B13" s="56" t="s">
        <v>1960</v>
      </c>
      <c r="C13" s="59">
        <v>14834876.35</v>
      </c>
      <c r="D13" s="57">
        <v>102.12151839862184</v>
      </c>
      <c r="E13" s="59">
        <v>35712595.700000003</v>
      </c>
      <c r="F13" s="57">
        <v>102.40226625510518</v>
      </c>
      <c r="G13" s="59">
        <v>6402697</v>
      </c>
      <c r="H13" s="57">
        <v>105.99581175713769</v>
      </c>
      <c r="I13" s="59">
        <v>49890619.189999998</v>
      </c>
      <c r="J13" s="57">
        <v>107.43432906351762</v>
      </c>
      <c r="K13" s="59">
        <v>21237573.350000001</v>
      </c>
      <c r="L13" s="57">
        <v>103.25938510272752</v>
      </c>
      <c r="M13" s="59">
        <v>85603214.890000001</v>
      </c>
      <c r="N13" s="57">
        <v>105.27609961829378</v>
      </c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x14ac:dyDescent="0.3">
      <c r="A14" s="55" t="s">
        <v>1921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x14ac:dyDescent="0.3">
      <c r="A15" s="55" t="s">
        <v>1292</v>
      </c>
      <c r="B15" s="56" t="s">
        <v>1961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x14ac:dyDescent="0.3">
      <c r="A16" s="55" t="s">
        <v>1294</v>
      </c>
      <c r="B16" s="55" t="s">
        <v>1295</v>
      </c>
      <c r="C16" s="70">
        <v>15254.85</v>
      </c>
      <c r="D16" s="57">
        <v>0.1050125668855485</v>
      </c>
      <c r="E16" s="58">
        <v>36074.68</v>
      </c>
      <c r="F16" s="57">
        <v>0.10344050646611826</v>
      </c>
      <c r="G16" s="58">
        <v>4976.25</v>
      </c>
      <c r="H16" s="57">
        <v>8.2381168163424945E-2</v>
      </c>
      <c r="I16" s="58">
        <v>961731.5</v>
      </c>
      <c r="J16" s="57">
        <v>2.0709901003285265</v>
      </c>
      <c r="K16" s="57">
        <v>20231.099999999999</v>
      </c>
      <c r="L16" s="57">
        <v>9.8365802510661626E-2</v>
      </c>
      <c r="M16" s="57">
        <v>997806.18</v>
      </c>
      <c r="N16" s="57">
        <v>1.2271167962606548</v>
      </c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x14ac:dyDescent="0.3">
      <c r="A17" s="55" t="s">
        <v>1296</v>
      </c>
      <c r="B17" s="55" t="s">
        <v>1297</v>
      </c>
      <c r="C17" s="70">
        <v>223157.92</v>
      </c>
      <c r="D17" s="57">
        <v>1.536192489604282</v>
      </c>
      <c r="E17" s="58">
        <v>674065.61</v>
      </c>
      <c r="F17" s="57">
        <v>1.9328151515077319</v>
      </c>
      <c r="G17" s="58">
        <v>259074.8</v>
      </c>
      <c r="H17" s="57">
        <v>4.2889494429953645</v>
      </c>
      <c r="I17" s="58">
        <v>1114071.81</v>
      </c>
      <c r="J17" s="57">
        <v>2.3990393260125962</v>
      </c>
      <c r="K17" s="57">
        <v>482232.72</v>
      </c>
      <c r="L17" s="57">
        <v>2.3446677886866847</v>
      </c>
      <c r="M17" s="57">
        <v>1788137.42</v>
      </c>
      <c r="N17" s="57">
        <v>2.1990778430578497</v>
      </c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x14ac:dyDescent="0.3">
      <c r="A18" s="55" t="s">
        <v>1298</v>
      </c>
      <c r="B18" s="55" t="s">
        <v>1299</v>
      </c>
      <c r="C18" s="70">
        <v>71056.009999999995</v>
      </c>
      <c r="D18" s="57">
        <v>0.48914109301272723</v>
      </c>
      <c r="E18" s="58">
        <v>118686.58</v>
      </c>
      <c r="F18" s="57">
        <v>0.34032179761349135</v>
      </c>
      <c r="G18" s="58">
        <v>202702.52</v>
      </c>
      <c r="H18" s="57">
        <v>3.3557137176126619</v>
      </c>
      <c r="I18" s="58">
        <v>1191909.45</v>
      </c>
      <c r="J18" s="57">
        <v>2.5666546966986297</v>
      </c>
      <c r="K18" s="57">
        <v>273758.52999999997</v>
      </c>
      <c r="L18" s="57">
        <v>1.3310436653266029</v>
      </c>
      <c r="M18" s="57">
        <v>1310596.03</v>
      </c>
      <c r="N18" s="57">
        <v>1.6117903794958786</v>
      </c>
    </row>
    <row r="19" spans="1:26" x14ac:dyDescent="0.3">
      <c r="A19" s="55" t="s">
        <v>1300</v>
      </c>
      <c r="B19" s="55" t="s">
        <v>1301</v>
      </c>
      <c r="C19" s="70">
        <v>3668.57</v>
      </c>
      <c r="D19" s="57">
        <v>2.525399807269928E-2</v>
      </c>
      <c r="E19" s="58">
        <v>5415.54</v>
      </c>
      <c r="F19" s="57">
        <v>1.5528514747394076E-2</v>
      </c>
      <c r="G19" s="58">
        <v>24125.58</v>
      </c>
      <c r="H19" s="57">
        <v>0.39939582276215263</v>
      </c>
      <c r="I19" s="58">
        <v>51864.12</v>
      </c>
      <c r="J19" s="57">
        <v>0.11168406055354405</v>
      </c>
      <c r="K19" s="57">
        <v>27794.15</v>
      </c>
      <c r="L19" s="57">
        <v>0.13513817191609484</v>
      </c>
      <c r="M19" s="57">
        <v>57279.66</v>
      </c>
      <c r="N19" s="57">
        <v>7.0443372950545938E-2</v>
      </c>
    </row>
    <row r="20" spans="1:26" x14ac:dyDescent="0.3">
      <c r="A20" s="55" t="s">
        <v>1302</v>
      </c>
      <c r="B20" s="55" t="s">
        <v>1303</v>
      </c>
      <c r="C20" s="70">
        <v>1130.3800000000001</v>
      </c>
      <c r="D20" s="57">
        <v>7.78140102040245E-3</v>
      </c>
      <c r="E20" s="58">
        <v>1206.04</v>
      </c>
      <c r="F20" s="57">
        <v>3.4581980607561115E-3</v>
      </c>
      <c r="G20" s="58">
        <v>0</v>
      </c>
      <c r="H20" s="50"/>
      <c r="I20" s="58">
        <v>260802.49</v>
      </c>
      <c r="J20" s="57">
        <v>0.5616114008234413</v>
      </c>
      <c r="K20" s="57">
        <v>1130.3800000000001</v>
      </c>
      <c r="L20" s="57">
        <v>5.4960301635601479E-3</v>
      </c>
      <c r="M20" s="57">
        <v>262008.53</v>
      </c>
      <c r="N20" s="57">
        <v>0.32222196491763927</v>
      </c>
    </row>
    <row r="21" spans="1:26" x14ac:dyDescent="0.3">
      <c r="A21" s="55" t="s">
        <v>1304</v>
      </c>
      <c r="B21" s="55" t="s">
        <v>1305</v>
      </c>
      <c r="C21" s="70">
        <v>0</v>
      </c>
      <c r="D21" s="50"/>
      <c r="E21" s="58">
        <v>4396.55</v>
      </c>
      <c r="F21" s="57">
        <v>1.2606663696077477E-2</v>
      </c>
      <c r="G21" s="58">
        <v>0</v>
      </c>
      <c r="H21" s="50"/>
      <c r="I21" s="58">
        <v>113928.55</v>
      </c>
      <c r="J21" s="57">
        <v>0.24533344202075477</v>
      </c>
      <c r="K21" s="57">
        <v>0</v>
      </c>
      <c r="L21" s="50"/>
      <c r="M21" s="57">
        <v>118325.1</v>
      </c>
      <c r="N21" s="57">
        <v>0.14551795783548022</v>
      </c>
    </row>
    <row r="22" spans="1:26" x14ac:dyDescent="0.3">
      <c r="A22" s="55" t="s">
        <v>1306</v>
      </c>
      <c r="B22" s="55" t="s">
        <v>1307</v>
      </c>
      <c r="C22" s="70">
        <v>5105.3999999999996</v>
      </c>
      <c r="D22" s="57">
        <v>3.5144964321345624E-2</v>
      </c>
      <c r="E22" s="58">
        <v>8641.0499999999993</v>
      </c>
      <c r="F22" s="57">
        <v>2.4777339352672043E-2</v>
      </c>
      <c r="G22" s="58">
        <v>908.51</v>
      </c>
      <c r="H22" s="57">
        <v>1.5040264272927045E-2</v>
      </c>
      <c r="I22" s="58">
        <v>10693.41</v>
      </c>
      <c r="J22" s="57">
        <v>2.3027161165828574E-2</v>
      </c>
      <c r="K22" s="57">
        <v>6013.91</v>
      </c>
      <c r="L22" s="57">
        <v>2.92402827022205E-2</v>
      </c>
      <c r="M22" s="57">
        <v>19334.46</v>
      </c>
      <c r="N22" s="57">
        <v>2.3777804836436045E-2</v>
      </c>
    </row>
    <row r="23" spans="1:26" x14ac:dyDescent="0.3">
      <c r="A23" s="55" t="s">
        <v>1308</v>
      </c>
      <c r="B23" s="55" t="s">
        <v>1309</v>
      </c>
      <c r="C23" s="70">
        <v>0</v>
      </c>
      <c r="D23" s="50"/>
      <c r="E23" s="58">
        <v>0</v>
      </c>
      <c r="F23" s="50"/>
      <c r="G23" s="58">
        <v>20914.09</v>
      </c>
      <c r="H23" s="57">
        <v>0.34623002567696642</v>
      </c>
      <c r="I23" s="58">
        <v>173857.78</v>
      </c>
      <c r="J23" s="57">
        <v>0.37438488938450581</v>
      </c>
      <c r="K23" s="57">
        <v>20914.09</v>
      </c>
      <c r="L23" s="57">
        <v>0.10168657396929498</v>
      </c>
      <c r="M23" s="57">
        <v>173857.78</v>
      </c>
      <c r="N23" s="57">
        <v>0.21381286894674245</v>
      </c>
    </row>
    <row r="24" spans="1:26" x14ac:dyDescent="0.3">
      <c r="A24" s="55" t="s">
        <v>1310</v>
      </c>
      <c r="B24" s="55" t="s">
        <v>1311</v>
      </c>
      <c r="C24" s="70">
        <v>0</v>
      </c>
      <c r="D24" s="50"/>
      <c r="E24" s="58">
        <v>659.47</v>
      </c>
      <c r="F24" s="57">
        <v>1.8909637119223516E-3</v>
      </c>
      <c r="G24" s="58">
        <v>0</v>
      </c>
      <c r="H24" s="50"/>
      <c r="I24" s="58">
        <v>9757.91</v>
      </c>
      <c r="J24" s="57">
        <v>2.1012657909090768E-2</v>
      </c>
      <c r="K24" s="57">
        <v>0</v>
      </c>
      <c r="L24" s="50"/>
      <c r="M24" s="57">
        <v>10417.379999999999</v>
      </c>
      <c r="N24" s="57">
        <v>1.2811447981841341E-2</v>
      </c>
    </row>
    <row r="25" spans="1:26" x14ac:dyDescent="0.3">
      <c r="A25" s="55" t="s">
        <v>1962</v>
      </c>
      <c r="B25" s="56" t="s">
        <v>1963</v>
      </c>
      <c r="C25" s="61">
        <v>-319373.13</v>
      </c>
      <c r="D25" s="57">
        <v>-2.1985265129170051</v>
      </c>
      <c r="E25" s="61">
        <v>-849145.52</v>
      </c>
      <c r="F25" s="57">
        <v>-2.4348391351561638</v>
      </c>
      <c r="G25" s="61">
        <v>-512701.75</v>
      </c>
      <c r="H25" s="57">
        <v>-8.4877104414834985</v>
      </c>
      <c r="I25" s="61">
        <v>-3888617.02</v>
      </c>
      <c r="J25" s="57">
        <v>-8.3737377348969169</v>
      </c>
      <c r="K25" s="59">
        <v>-832074.88</v>
      </c>
      <c r="L25" s="57">
        <v>-4.0456383152751201</v>
      </c>
      <c r="M25" s="59">
        <v>-4737762.54</v>
      </c>
      <c r="N25" s="57">
        <v>-5.8265704362830686</v>
      </c>
    </row>
    <row r="26" spans="1:26" x14ac:dyDescent="0.3">
      <c r="A26" s="55" t="s">
        <v>1921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</row>
    <row r="27" spans="1:26" x14ac:dyDescent="0.3">
      <c r="A27" s="55" t="s">
        <v>1312</v>
      </c>
      <c r="B27" s="55" t="s">
        <v>1313</v>
      </c>
      <c r="C27" s="70">
        <v>11186.73</v>
      </c>
      <c r="D27" s="57">
        <v>7.7008114295163299E-2</v>
      </c>
      <c r="E27" s="58">
        <v>11359.73</v>
      </c>
      <c r="F27" s="57">
        <v>3.257288005100413E-2</v>
      </c>
      <c r="G27" s="58">
        <v>150523.60999999999</v>
      </c>
      <c r="H27" s="57">
        <v>2.4918986843458009</v>
      </c>
      <c r="I27" s="58">
        <v>436244.92</v>
      </c>
      <c r="J27" s="57">
        <v>0.93940867137928818</v>
      </c>
      <c r="K27" s="57">
        <v>161710.34</v>
      </c>
      <c r="L27" s="57">
        <v>0.78625321254760971</v>
      </c>
      <c r="M27" s="57">
        <v>447604.64999999997</v>
      </c>
      <c r="N27" s="57">
        <v>0.55047081798929287</v>
      </c>
    </row>
    <row r="28" spans="1:26" x14ac:dyDescent="0.3">
      <c r="A28" s="55" t="s">
        <v>1964</v>
      </c>
      <c r="B28" s="56" t="s">
        <v>1965</v>
      </c>
      <c r="C28" s="59">
        <v>14526689.949999999</v>
      </c>
      <c r="D28" s="57">
        <v>100</v>
      </c>
      <c r="E28" s="59">
        <v>34874809.909999996</v>
      </c>
      <c r="F28" s="57">
        <v>100</v>
      </c>
      <c r="G28" s="59">
        <v>6040518.8600000003</v>
      </c>
      <c r="H28" s="57">
        <v>100</v>
      </c>
      <c r="I28" s="59">
        <v>46438247.090000004</v>
      </c>
      <c r="J28" s="57">
        <v>100</v>
      </c>
      <c r="K28" s="59">
        <v>20567208.809999999</v>
      </c>
      <c r="L28" s="57">
        <v>100</v>
      </c>
      <c r="M28" s="59">
        <v>81313057</v>
      </c>
      <c r="N28" s="57">
        <v>100</v>
      </c>
    </row>
    <row r="29" spans="1:26" x14ac:dyDescent="0.3">
      <c r="A29" s="55" t="s">
        <v>1921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</row>
    <row r="30" spans="1:26" x14ac:dyDescent="0.3">
      <c r="A30" s="55" t="s">
        <v>1921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</row>
    <row r="31" spans="1:26" x14ac:dyDescent="0.3">
      <c r="A31" s="55" t="s">
        <v>1966</v>
      </c>
      <c r="B31" s="54" t="s">
        <v>1967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</row>
    <row r="32" spans="1:26" x14ac:dyDescent="0.3">
      <c r="A32" s="55" t="s">
        <v>1322</v>
      </c>
      <c r="B32" s="56" t="s">
        <v>1968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</row>
    <row r="33" spans="1:14" x14ac:dyDescent="0.3">
      <c r="A33" s="55" t="s">
        <v>1326</v>
      </c>
      <c r="B33" s="55" t="s">
        <v>1327</v>
      </c>
      <c r="C33" s="70">
        <v>6211437.0999999996</v>
      </c>
      <c r="D33" s="57">
        <v>42.7587917232308</v>
      </c>
      <c r="E33" s="58">
        <v>12568134.74</v>
      </c>
      <c r="F33" s="57">
        <v>36.037858765206387</v>
      </c>
      <c r="G33" s="58">
        <v>2659130.35</v>
      </c>
      <c r="H33" s="57">
        <v>44.021555294009957</v>
      </c>
      <c r="I33" s="58">
        <v>20754768.780000001</v>
      </c>
      <c r="J33" s="57">
        <v>44.693264885248709</v>
      </c>
      <c r="K33" s="57">
        <v>8870567.4499999993</v>
      </c>
      <c r="L33" s="57">
        <v>43.129661063620034</v>
      </c>
      <c r="M33" s="57">
        <v>33322903.520000003</v>
      </c>
      <c r="N33" s="57">
        <v>40.980999545989278</v>
      </c>
    </row>
    <row r="34" spans="1:14" x14ac:dyDescent="0.3">
      <c r="A34" s="55" t="s">
        <v>1328</v>
      </c>
      <c r="B34" s="55" t="s">
        <v>1329</v>
      </c>
      <c r="C34" s="70">
        <v>15517.18</v>
      </c>
      <c r="D34" s="57">
        <v>0.10681841529907507</v>
      </c>
      <c r="E34" s="58">
        <v>15517.18</v>
      </c>
      <c r="F34" s="57">
        <v>4.4493948612320915E-2</v>
      </c>
      <c r="G34" s="58">
        <v>0</v>
      </c>
      <c r="H34" s="50"/>
      <c r="I34" s="58">
        <v>0</v>
      </c>
      <c r="J34" s="50"/>
      <c r="K34" s="57">
        <v>15517.18</v>
      </c>
      <c r="L34" s="57">
        <v>7.5446212188283804E-2</v>
      </c>
      <c r="M34" s="57">
        <v>15517.18</v>
      </c>
      <c r="N34" s="57">
        <v>1.9083257440437887E-2</v>
      </c>
    </row>
    <row r="35" spans="1:14" x14ac:dyDescent="0.3">
      <c r="A35" s="55" t="s">
        <v>1330</v>
      </c>
      <c r="B35" s="55" t="s">
        <v>1331</v>
      </c>
      <c r="C35" s="70">
        <v>428.26</v>
      </c>
      <c r="D35" s="57">
        <v>2.9480907314332816E-3</v>
      </c>
      <c r="E35" s="58">
        <v>32928.71</v>
      </c>
      <c r="F35" s="57">
        <v>9.4419754788564528E-2</v>
      </c>
      <c r="G35" s="58">
        <v>0</v>
      </c>
      <c r="H35" s="50"/>
      <c r="I35" s="58">
        <v>0</v>
      </c>
      <c r="J35" s="50"/>
      <c r="K35" s="57">
        <v>428.26</v>
      </c>
      <c r="L35" s="57">
        <v>2.0822465700439398E-3</v>
      </c>
      <c r="M35" s="57">
        <v>32928.71</v>
      </c>
      <c r="N35" s="57">
        <v>4.0496214525546616E-2</v>
      </c>
    </row>
    <row r="36" spans="1:14" x14ac:dyDescent="0.3">
      <c r="A36" s="55" t="s">
        <v>1332</v>
      </c>
      <c r="B36" s="55" t="s">
        <v>1333</v>
      </c>
      <c r="C36" s="70">
        <v>1446387.71</v>
      </c>
      <c r="D36" s="57">
        <v>9.9567603836688203</v>
      </c>
      <c r="E36" s="58">
        <v>4559261.8</v>
      </c>
      <c r="F36" s="57">
        <v>13.073223371728481</v>
      </c>
      <c r="G36" s="58">
        <v>437983.06</v>
      </c>
      <c r="H36" s="57">
        <v>7.2507522971296536</v>
      </c>
      <c r="I36" s="58">
        <v>5005625.7699999996</v>
      </c>
      <c r="J36" s="57">
        <v>10.779101459835053</v>
      </c>
      <c r="K36" s="57">
        <v>1884370.77</v>
      </c>
      <c r="L36" s="57">
        <v>9.1620150668368705</v>
      </c>
      <c r="M36" s="57">
        <v>9564887.5700000003</v>
      </c>
      <c r="N36" s="57">
        <v>11.763040184308899</v>
      </c>
    </row>
    <row r="37" spans="1:14" x14ac:dyDescent="0.3">
      <c r="A37" s="55" t="s">
        <v>1374</v>
      </c>
      <c r="B37" s="55" t="s">
        <v>1375</v>
      </c>
      <c r="C37" s="70">
        <v>152574.29999999999</v>
      </c>
      <c r="D37" s="57">
        <v>1.0503032729765116</v>
      </c>
      <c r="E37" s="58">
        <v>860574.56</v>
      </c>
      <c r="F37" s="57">
        <v>2.4676107546416732</v>
      </c>
      <c r="G37" s="58">
        <v>44672.39</v>
      </c>
      <c r="H37" s="57">
        <v>0.73954557605668991</v>
      </c>
      <c r="I37" s="58">
        <v>1027606.26</v>
      </c>
      <c r="J37" s="57">
        <v>2.2128446364662295</v>
      </c>
      <c r="K37" s="57">
        <v>197246.69</v>
      </c>
      <c r="L37" s="57">
        <v>0.95903480060015012</v>
      </c>
      <c r="M37" s="57">
        <v>1888180.82</v>
      </c>
      <c r="N37" s="57">
        <v>2.3221126958736775</v>
      </c>
    </row>
    <row r="38" spans="1:14" x14ac:dyDescent="0.3">
      <c r="A38" s="55" t="s">
        <v>1384</v>
      </c>
      <c r="B38" s="55" t="s">
        <v>1385</v>
      </c>
      <c r="C38" s="70">
        <v>124125</v>
      </c>
      <c r="D38" s="57">
        <v>0.85446168691719082</v>
      </c>
      <c r="E38" s="58">
        <v>259760</v>
      </c>
      <c r="F38" s="57">
        <v>0.74483560102650614</v>
      </c>
      <c r="G38" s="58">
        <v>0</v>
      </c>
      <c r="H38" s="50"/>
      <c r="I38" s="58">
        <v>182135</v>
      </c>
      <c r="J38" s="57">
        <v>0.39220903331474127</v>
      </c>
      <c r="K38" s="57">
        <v>124125</v>
      </c>
      <c r="L38" s="57">
        <v>0.6035092128770001</v>
      </c>
      <c r="M38" s="57">
        <v>441895</v>
      </c>
      <c r="N38" s="57">
        <v>0.54344900598190515</v>
      </c>
    </row>
    <row r="39" spans="1:14" x14ac:dyDescent="0.3">
      <c r="A39" s="55" t="s">
        <v>1969</v>
      </c>
      <c r="B39" s="56" t="s">
        <v>1970</v>
      </c>
      <c r="C39" s="59">
        <v>7950469.5499999998</v>
      </c>
      <c r="D39" s="57">
        <v>54.73008357282383</v>
      </c>
      <c r="E39" s="59">
        <v>18296176.989999998</v>
      </c>
      <c r="F39" s="57">
        <v>52.462442196003934</v>
      </c>
      <c r="G39" s="59">
        <v>3141785.8</v>
      </c>
      <c r="H39" s="57">
        <v>52.0118531671963</v>
      </c>
      <c r="I39" s="59">
        <v>26970135.809999999</v>
      </c>
      <c r="J39" s="57">
        <v>58.077420014864721</v>
      </c>
      <c r="K39" s="59">
        <v>11092255.35</v>
      </c>
      <c r="L39" s="57">
        <v>53.931748602692387</v>
      </c>
      <c r="M39" s="59">
        <v>45266312.799999997</v>
      </c>
      <c r="N39" s="57">
        <v>55.669180904119742</v>
      </c>
    </row>
    <row r="40" spans="1:14" x14ac:dyDescent="0.3">
      <c r="A40" s="55" t="s">
        <v>1921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</row>
    <row r="41" spans="1:14" x14ac:dyDescent="0.3">
      <c r="A41" s="55" t="s">
        <v>1388</v>
      </c>
      <c r="B41" s="56" t="s">
        <v>1971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</row>
    <row r="42" spans="1:14" x14ac:dyDescent="0.3">
      <c r="A42" s="55" t="s">
        <v>1390</v>
      </c>
      <c r="B42" s="55" t="s">
        <v>1391</v>
      </c>
      <c r="C42" s="70">
        <v>308433.46999999997</v>
      </c>
      <c r="D42" s="57">
        <v>2.1232191990164972</v>
      </c>
      <c r="E42" s="58">
        <v>1130115.8700000001</v>
      </c>
      <c r="F42" s="57">
        <v>3.2404932755660725</v>
      </c>
      <c r="G42" s="58">
        <v>26480.38</v>
      </c>
      <c r="H42" s="57">
        <v>0.43837922889955183</v>
      </c>
      <c r="I42" s="58">
        <v>614976.46</v>
      </c>
      <c r="J42" s="57">
        <v>1.3242887028189072</v>
      </c>
      <c r="K42" s="57">
        <v>334913.84999999998</v>
      </c>
      <c r="L42" s="57">
        <v>1.6283874642103173</v>
      </c>
      <c r="M42" s="57">
        <v>1745092.33</v>
      </c>
      <c r="N42" s="57">
        <v>2.1461403548018123</v>
      </c>
    </row>
    <row r="43" spans="1:14" x14ac:dyDescent="0.3">
      <c r="A43" s="55" t="s">
        <v>1420</v>
      </c>
      <c r="B43" s="55" t="s">
        <v>1421</v>
      </c>
      <c r="C43" s="70">
        <v>26801.16</v>
      </c>
      <c r="D43" s="57">
        <v>0.18449598698841921</v>
      </c>
      <c r="E43" s="58">
        <v>184696.87</v>
      </c>
      <c r="F43" s="57">
        <v>0.52959964649739943</v>
      </c>
      <c r="G43" s="58">
        <v>0</v>
      </c>
      <c r="H43" s="50"/>
      <c r="I43" s="58">
        <v>76160.289999999994</v>
      </c>
      <c r="J43" s="57">
        <v>0.1640033695767994</v>
      </c>
      <c r="K43" s="57">
        <v>26801.16</v>
      </c>
      <c r="L43" s="57">
        <v>0.13031014683416345</v>
      </c>
      <c r="M43" s="57">
        <v>260857.15999999997</v>
      </c>
      <c r="N43" s="57">
        <v>0.32080599306455787</v>
      </c>
    </row>
    <row r="44" spans="1:14" x14ac:dyDescent="0.3">
      <c r="A44" s="55" t="s">
        <v>1430</v>
      </c>
      <c r="B44" s="55" t="s">
        <v>1431</v>
      </c>
      <c r="C44" s="70">
        <v>885338.7</v>
      </c>
      <c r="D44" s="57">
        <v>6.0945659544416726</v>
      </c>
      <c r="E44" s="58">
        <v>2129372.5499999998</v>
      </c>
      <c r="F44" s="57">
        <v>6.10576102205341</v>
      </c>
      <c r="G44" s="58">
        <v>142388.01</v>
      </c>
      <c r="H44" s="57">
        <v>2.3572148899804946</v>
      </c>
      <c r="I44" s="58">
        <v>2557479.0099999998</v>
      </c>
      <c r="J44" s="57">
        <v>5.5072686207200237</v>
      </c>
      <c r="K44" s="57">
        <v>1027726.71</v>
      </c>
      <c r="L44" s="57">
        <v>4.9969187335731631</v>
      </c>
      <c r="M44" s="57">
        <v>4686851.5599999996</v>
      </c>
      <c r="N44" s="57">
        <v>5.7639593601800012</v>
      </c>
    </row>
    <row r="45" spans="1:14" x14ac:dyDescent="0.3">
      <c r="A45" s="55" t="s">
        <v>1462</v>
      </c>
      <c r="B45" s="55" t="s">
        <v>1463</v>
      </c>
      <c r="C45" s="58">
        <v>210215.94</v>
      </c>
      <c r="D45" s="57">
        <v>1.4471014437807286</v>
      </c>
      <c r="E45" s="58">
        <v>615996.12</v>
      </c>
      <c r="F45" s="57">
        <v>1.7663067457275785</v>
      </c>
      <c r="G45" s="58">
        <v>0</v>
      </c>
      <c r="H45" s="50"/>
      <c r="I45" s="58">
        <v>9695.85</v>
      </c>
      <c r="J45" s="57">
        <v>2.0879018067173991E-2</v>
      </c>
      <c r="K45" s="57">
        <v>210215.94</v>
      </c>
      <c r="L45" s="57">
        <v>1.0220927007742087</v>
      </c>
      <c r="M45" s="57">
        <v>625691.97</v>
      </c>
      <c r="N45" s="57">
        <v>0.76948523777675704</v>
      </c>
    </row>
    <row r="46" spans="1:14" x14ac:dyDescent="0.3">
      <c r="A46" s="55" t="s">
        <v>1486</v>
      </c>
      <c r="B46" s="55" t="s">
        <v>1487</v>
      </c>
      <c r="C46" s="58">
        <v>15519.1</v>
      </c>
      <c r="D46" s="57">
        <v>0.10683163234994218</v>
      </c>
      <c r="E46" s="58">
        <v>89146.23</v>
      </c>
      <c r="F46" s="57">
        <v>0.25561782338041711</v>
      </c>
      <c r="G46" s="58">
        <v>0</v>
      </c>
      <c r="H46" s="50"/>
      <c r="I46" s="58">
        <v>3379.96</v>
      </c>
      <c r="J46" s="57">
        <v>7.2783970364976138E-3</v>
      </c>
      <c r="K46" s="57">
        <v>15519.1</v>
      </c>
      <c r="L46" s="57">
        <v>7.5455547436531337E-2</v>
      </c>
      <c r="M46" s="57">
        <v>92526.19</v>
      </c>
      <c r="N46" s="57">
        <v>0.11379007678926645</v>
      </c>
    </row>
    <row r="47" spans="1:14" x14ac:dyDescent="0.3">
      <c r="A47" s="55" t="s">
        <v>1496</v>
      </c>
      <c r="B47" s="55" t="s">
        <v>1497</v>
      </c>
      <c r="C47" s="58">
        <v>86955.7</v>
      </c>
      <c r="D47" s="57">
        <v>0.59859266150304258</v>
      </c>
      <c r="E47" s="58">
        <v>269537</v>
      </c>
      <c r="F47" s="57">
        <v>0.77287016243409834</v>
      </c>
      <c r="G47" s="58">
        <v>2157</v>
      </c>
      <c r="H47" s="57">
        <v>3.570885299743936E-2</v>
      </c>
      <c r="I47" s="58">
        <v>4314</v>
      </c>
      <c r="J47" s="57">
        <v>9.2897563330485294E-3</v>
      </c>
      <c r="K47" s="57">
        <v>89112.7</v>
      </c>
      <c r="L47" s="57">
        <v>0.43327561276410265</v>
      </c>
      <c r="M47" s="57">
        <v>273851</v>
      </c>
      <c r="N47" s="57">
        <v>0.33678600965648109</v>
      </c>
    </row>
    <row r="48" spans="1:14" x14ac:dyDescent="0.3">
      <c r="A48" s="55" t="s">
        <v>1520</v>
      </c>
      <c r="B48" s="55" t="s">
        <v>1521</v>
      </c>
      <c r="C48" s="58">
        <v>7843.61</v>
      </c>
      <c r="D48" s="57">
        <v>5.3994475183247098E-2</v>
      </c>
      <c r="E48" s="58">
        <v>45224.73</v>
      </c>
      <c r="F48" s="57">
        <v>0.12967735198187352</v>
      </c>
      <c r="G48" s="58">
        <v>0</v>
      </c>
      <c r="H48" s="50"/>
      <c r="I48" s="58">
        <v>0</v>
      </c>
      <c r="J48" s="50"/>
      <c r="K48" s="57">
        <v>7843.61</v>
      </c>
      <c r="L48" s="57">
        <v>3.8136482555602549E-2</v>
      </c>
      <c r="M48" s="57">
        <v>45224.73</v>
      </c>
      <c r="N48" s="57">
        <v>5.5618041761730845E-2</v>
      </c>
    </row>
    <row r="49" spans="1:14" x14ac:dyDescent="0.3">
      <c r="A49" s="55" t="s">
        <v>1972</v>
      </c>
      <c r="B49" s="56" t="s">
        <v>1973</v>
      </c>
      <c r="C49" s="59">
        <v>1541107.68</v>
      </c>
      <c r="D49" s="57">
        <v>10.608801353263548</v>
      </c>
      <c r="E49" s="59">
        <v>4464089.37</v>
      </c>
      <c r="F49" s="57">
        <v>12.800326027640851</v>
      </c>
      <c r="G49" s="59">
        <v>171025.39</v>
      </c>
      <c r="H49" s="57">
        <v>2.8313029718774856</v>
      </c>
      <c r="I49" s="59">
        <v>3266005.57</v>
      </c>
      <c r="J49" s="57">
        <v>7.0330078645524514</v>
      </c>
      <c r="K49" s="59">
        <v>1712133.0699999998</v>
      </c>
      <c r="L49" s="57">
        <v>8.3245766881480883</v>
      </c>
      <c r="M49" s="59">
        <v>7730094.9399999995</v>
      </c>
      <c r="N49" s="57">
        <v>9.5065850740306068</v>
      </c>
    </row>
    <row r="50" spans="1:14" x14ac:dyDescent="0.3">
      <c r="A50" s="55" t="s">
        <v>1921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x14ac:dyDescent="0.3">
      <c r="A51" s="55" t="s">
        <v>1530</v>
      </c>
      <c r="B51" s="56" t="s">
        <v>1974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</row>
    <row r="52" spans="1:14" x14ac:dyDescent="0.3">
      <c r="A52" s="55" t="s">
        <v>1532</v>
      </c>
      <c r="B52" s="55" t="s">
        <v>1533</v>
      </c>
      <c r="C52" s="58">
        <v>1182405.67</v>
      </c>
      <c r="D52" s="57">
        <v>8.1395395239367652</v>
      </c>
      <c r="E52" s="58">
        <v>2183258.31</v>
      </c>
      <c r="F52" s="57">
        <v>6.2602730040228067</v>
      </c>
      <c r="G52" s="58">
        <v>286194.64</v>
      </c>
      <c r="H52" s="57">
        <v>4.7379148485929896</v>
      </c>
      <c r="I52" s="58">
        <v>2740163.6</v>
      </c>
      <c r="J52" s="57">
        <v>5.9006611397053916</v>
      </c>
      <c r="K52" s="57">
        <v>1468600.31</v>
      </c>
      <c r="L52" s="57">
        <v>7.1404939949165618</v>
      </c>
      <c r="M52" s="57">
        <v>4923421.91</v>
      </c>
      <c r="N52" s="57">
        <v>6.0548970751400972</v>
      </c>
    </row>
    <row r="53" spans="1:14" x14ac:dyDescent="0.3">
      <c r="A53" s="55" t="s">
        <v>1627</v>
      </c>
      <c r="B53" s="55" t="s">
        <v>1628</v>
      </c>
      <c r="C53" s="58">
        <v>1618682.42</v>
      </c>
      <c r="D53" s="57">
        <v>11.14281660565076</v>
      </c>
      <c r="E53" s="58">
        <v>4469177.1500000004</v>
      </c>
      <c r="F53" s="57">
        <v>12.814914723645588</v>
      </c>
      <c r="G53" s="58">
        <v>696473.01</v>
      </c>
      <c r="H53" s="57">
        <v>11.530019624837328</v>
      </c>
      <c r="I53" s="58">
        <v>4070885.4</v>
      </c>
      <c r="J53" s="57">
        <v>8.7662339883553066</v>
      </c>
      <c r="K53" s="57">
        <v>2315155.4299999997</v>
      </c>
      <c r="L53" s="57">
        <v>11.256536807631116</v>
      </c>
      <c r="M53" s="57">
        <v>8540062.5500000007</v>
      </c>
      <c r="N53" s="57">
        <v>10.502695219047048</v>
      </c>
    </row>
    <row r="54" spans="1:14" x14ac:dyDescent="0.3">
      <c r="A54" s="55" t="s">
        <v>1695</v>
      </c>
      <c r="B54" s="55" t="s">
        <v>1696</v>
      </c>
      <c r="C54" s="58">
        <v>366384.12</v>
      </c>
      <c r="D54" s="57">
        <v>2.5221445577834478</v>
      </c>
      <c r="E54" s="58">
        <v>1372804.67</v>
      </c>
      <c r="F54" s="57">
        <v>3.9363789323662011</v>
      </c>
      <c r="G54" s="58">
        <v>25279.75</v>
      </c>
      <c r="H54" s="57">
        <v>0.4185029562179034</v>
      </c>
      <c r="I54" s="58">
        <v>1017023.45</v>
      </c>
      <c r="J54" s="57">
        <v>2.1900556410515448</v>
      </c>
      <c r="K54" s="57">
        <v>391663.87</v>
      </c>
      <c r="L54" s="57">
        <v>1.9043122166852742</v>
      </c>
      <c r="M54" s="57">
        <v>2389828.12</v>
      </c>
      <c r="N54" s="57">
        <v>2.9390459640448641</v>
      </c>
    </row>
    <row r="55" spans="1:14" x14ac:dyDescent="0.3">
      <c r="A55" s="55" t="s">
        <v>1755</v>
      </c>
      <c r="B55" s="55" t="s">
        <v>1756</v>
      </c>
      <c r="C55" s="58">
        <v>201538.09</v>
      </c>
      <c r="D55" s="57">
        <v>1.3873641599957189</v>
      </c>
      <c r="E55" s="58">
        <v>743460.03</v>
      </c>
      <c r="F55" s="57">
        <v>2.1317966518487617</v>
      </c>
      <c r="G55" s="58">
        <v>22413.040000000001</v>
      </c>
      <c r="H55" s="57">
        <v>0.3710449469567586</v>
      </c>
      <c r="I55" s="58">
        <v>317073.15999999997</v>
      </c>
      <c r="J55" s="57">
        <v>0.68278451463831935</v>
      </c>
      <c r="K55" s="57">
        <v>223951.13</v>
      </c>
      <c r="L55" s="57">
        <v>1.0888746843038446</v>
      </c>
      <c r="M55" s="57">
        <v>1060533.19</v>
      </c>
      <c r="N55" s="57">
        <v>1.304259400799554</v>
      </c>
    </row>
    <row r="56" spans="1:14" x14ac:dyDescent="0.3">
      <c r="A56" s="55" t="s">
        <v>1800</v>
      </c>
      <c r="B56" s="55" t="s">
        <v>1801</v>
      </c>
      <c r="C56" s="58">
        <v>213980.06</v>
      </c>
      <c r="D56" s="57">
        <v>1.4730131966504867</v>
      </c>
      <c r="E56" s="58">
        <v>818451.57</v>
      </c>
      <c r="F56" s="57">
        <v>2.3468273292733195</v>
      </c>
      <c r="G56" s="58">
        <v>0</v>
      </c>
      <c r="H56" s="50"/>
      <c r="I56" s="58">
        <v>329959.34000000003</v>
      </c>
      <c r="J56" s="57">
        <v>0.7105335809952511</v>
      </c>
      <c r="K56" s="57">
        <v>213980.06</v>
      </c>
      <c r="L56" s="57">
        <v>1.0403942604791399</v>
      </c>
      <c r="M56" s="57">
        <v>1148410.9099999999</v>
      </c>
      <c r="N56" s="57">
        <v>1.4123327204387357</v>
      </c>
    </row>
    <row r="57" spans="1:14" x14ac:dyDescent="0.3">
      <c r="A57" s="55" t="s">
        <v>1836</v>
      </c>
      <c r="B57" s="55" t="s">
        <v>1837</v>
      </c>
      <c r="C57" s="58">
        <v>487496.56</v>
      </c>
      <c r="D57" s="57">
        <v>3.3558681411796778</v>
      </c>
      <c r="E57" s="58">
        <v>1665775.45</v>
      </c>
      <c r="F57" s="57">
        <v>4.7764430954571484</v>
      </c>
      <c r="G57" s="58">
        <v>0</v>
      </c>
      <c r="H57" s="50"/>
      <c r="I57" s="58">
        <v>650837.06999999995</v>
      </c>
      <c r="J57" s="57">
        <v>1.4015108467351065</v>
      </c>
      <c r="K57" s="57">
        <v>487496.56</v>
      </c>
      <c r="L57" s="57">
        <v>2.3702611496946244</v>
      </c>
      <c r="M57" s="57">
        <v>2316612.52</v>
      </c>
      <c r="N57" s="57">
        <v>2.8490043364130315</v>
      </c>
    </row>
    <row r="58" spans="1:14" x14ac:dyDescent="0.3">
      <c r="A58" s="55" t="s">
        <v>1874</v>
      </c>
      <c r="B58" s="55" t="s">
        <v>1875</v>
      </c>
      <c r="C58" s="58">
        <v>0</v>
      </c>
      <c r="D58" s="50"/>
      <c r="E58" s="58">
        <v>0</v>
      </c>
      <c r="F58" s="50"/>
      <c r="G58" s="58">
        <v>508733.75</v>
      </c>
      <c r="H58" s="57">
        <v>8.4220207202531601</v>
      </c>
      <c r="I58" s="58">
        <v>6577194.6699999999</v>
      </c>
      <c r="J58" s="57">
        <v>14.163313824600262</v>
      </c>
      <c r="K58" s="57">
        <v>508733.75</v>
      </c>
      <c r="L58" s="57">
        <v>2.4735186709080725</v>
      </c>
      <c r="M58" s="57">
        <v>6577194.6699999999</v>
      </c>
      <c r="N58" s="57">
        <v>8.0887312722727902</v>
      </c>
    </row>
    <row r="59" spans="1:14" x14ac:dyDescent="0.3">
      <c r="A59" s="55" t="s">
        <v>1876</v>
      </c>
      <c r="B59" s="55" t="s">
        <v>1877</v>
      </c>
      <c r="C59" s="58">
        <v>857008.34</v>
      </c>
      <c r="D59" s="57">
        <v>5.8995431371480462</v>
      </c>
      <c r="E59" s="58">
        <v>1447332.09</v>
      </c>
      <c r="F59" s="57">
        <v>4.1500787925011524</v>
      </c>
      <c r="G59" s="58">
        <v>0</v>
      </c>
      <c r="H59" s="50"/>
      <c r="I59" s="58">
        <v>1101246.05</v>
      </c>
      <c r="J59" s="57">
        <v>2.3714203679258641</v>
      </c>
      <c r="K59" s="57">
        <v>857008.34</v>
      </c>
      <c r="L59" s="57">
        <v>4.1668675021343358</v>
      </c>
      <c r="M59" s="57">
        <v>2548578.14</v>
      </c>
      <c r="N59" s="57">
        <v>3.134279086321893</v>
      </c>
    </row>
    <row r="60" spans="1:14" x14ac:dyDescent="0.3">
      <c r="A60" s="55" t="s">
        <v>1878</v>
      </c>
      <c r="B60" s="55" t="s">
        <v>1879</v>
      </c>
      <c r="C60" s="58">
        <v>12535.01</v>
      </c>
      <c r="D60" s="57">
        <v>8.6289512911370436E-2</v>
      </c>
      <c r="E60" s="58">
        <v>21611.52</v>
      </c>
      <c r="F60" s="57">
        <v>6.1968853897044797E-2</v>
      </c>
      <c r="G60" s="58">
        <v>188217.45</v>
      </c>
      <c r="H60" s="57">
        <v>3.1159152775164083</v>
      </c>
      <c r="I60" s="58">
        <v>931708.02</v>
      </c>
      <c r="J60" s="57">
        <v>2.0063376169093896</v>
      </c>
      <c r="K60" s="57">
        <v>200752.46000000002</v>
      </c>
      <c r="L60" s="57">
        <v>0.97608023458385862</v>
      </c>
      <c r="M60" s="57">
        <v>953319.54</v>
      </c>
      <c r="N60" s="57">
        <v>1.1724064684961975</v>
      </c>
    </row>
    <row r="61" spans="1:14" x14ac:dyDescent="0.3">
      <c r="A61" s="55" t="s">
        <v>1893</v>
      </c>
      <c r="B61" s="55" t="s">
        <v>1894</v>
      </c>
      <c r="C61" s="58">
        <v>69987.740000000005</v>
      </c>
      <c r="D61" s="57">
        <v>0.48178724982011478</v>
      </c>
      <c r="E61" s="58">
        <v>328829.76</v>
      </c>
      <c r="F61" s="57">
        <v>0.9428861715622181</v>
      </c>
      <c r="G61" s="58">
        <v>187828.69</v>
      </c>
      <c r="H61" s="57">
        <v>3.1094794065422384</v>
      </c>
      <c r="I61" s="58">
        <v>2275235.34</v>
      </c>
      <c r="J61" s="57">
        <v>4.8994858388828986</v>
      </c>
      <c r="K61" s="57">
        <v>257816.43</v>
      </c>
      <c r="L61" s="57">
        <v>1.2535314460105391</v>
      </c>
      <c r="M61" s="57">
        <v>2604065.0999999996</v>
      </c>
      <c r="N61" s="57">
        <v>3.2025177703010228</v>
      </c>
    </row>
    <row r="62" spans="1:14" x14ac:dyDescent="0.3">
      <c r="A62" s="55" t="s">
        <v>1975</v>
      </c>
      <c r="B62" s="56" t="s">
        <v>1976</v>
      </c>
      <c r="C62" s="59">
        <v>5010018.01</v>
      </c>
      <c r="D62" s="57">
        <v>34.488366085076386</v>
      </c>
      <c r="E62" s="59">
        <v>13050700.550000001</v>
      </c>
      <c r="F62" s="57">
        <v>37.421567554574239</v>
      </c>
      <c r="G62" s="59">
        <v>1915140.33</v>
      </c>
      <c r="H62" s="57">
        <v>31.704897780916784</v>
      </c>
      <c r="I62" s="59">
        <v>20011326.100000001</v>
      </c>
      <c r="J62" s="57">
        <v>43.092337359799338</v>
      </c>
      <c r="K62" s="59">
        <v>6925158.3399999999</v>
      </c>
      <c r="L62" s="57">
        <v>33.670870967347369</v>
      </c>
      <c r="M62" s="59">
        <v>33062026.650000002</v>
      </c>
      <c r="N62" s="57">
        <v>40.660169313275233</v>
      </c>
    </row>
    <row r="63" spans="1:14" x14ac:dyDescent="0.3">
      <c r="A63" s="55" t="s">
        <v>1921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</row>
    <row r="64" spans="1:14" x14ac:dyDescent="0.3">
      <c r="A64" s="55" t="s">
        <v>1895</v>
      </c>
      <c r="B64" s="56" t="s">
        <v>1977</v>
      </c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</row>
    <row r="65" spans="1:14" x14ac:dyDescent="0.3">
      <c r="A65" s="55" t="s">
        <v>1897</v>
      </c>
      <c r="B65" s="55" t="s">
        <v>1898</v>
      </c>
      <c r="C65" s="58">
        <v>1166674.72</v>
      </c>
      <c r="D65" s="57">
        <v>8.0312495414690108</v>
      </c>
      <c r="E65" s="58">
        <v>3262246.46</v>
      </c>
      <c r="F65" s="57">
        <v>9.3541626991480289</v>
      </c>
      <c r="G65" s="60">
        <v>-80296.94</v>
      </c>
      <c r="H65" s="57">
        <v>-1.3293053438127995</v>
      </c>
      <c r="I65" s="58">
        <v>2756730.8</v>
      </c>
      <c r="J65" s="57">
        <v>5.9363369049165362</v>
      </c>
      <c r="K65" s="57">
        <v>1086377.78</v>
      </c>
      <c r="L65" s="57">
        <v>5.2820865973402835</v>
      </c>
      <c r="M65" s="57">
        <v>6018977.2599999998</v>
      </c>
      <c r="N65" s="57">
        <v>7.4022272462342666</v>
      </c>
    </row>
    <row r="66" spans="1:14" x14ac:dyDescent="0.3">
      <c r="A66" s="55" t="s">
        <v>1913</v>
      </c>
      <c r="B66" s="55" t="s">
        <v>1914</v>
      </c>
      <c r="C66" s="60">
        <v>-118377.87</v>
      </c>
      <c r="D66" s="57">
        <v>-0.81489912985993063</v>
      </c>
      <c r="E66" s="60">
        <v>-145246.74</v>
      </c>
      <c r="F66" s="57">
        <v>-0.41648037759870904</v>
      </c>
      <c r="G66" s="60">
        <v>-92863.03</v>
      </c>
      <c r="H66" s="57">
        <v>-1.5373353208932783</v>
      </c>
      <c r="I66" s="60">
        <v>-337806.7</v>
      </c>
      <c r="J66" s="57">
        <v>-0.72743206552415973</v>
      </c>
      <c r="K66" s="57">
        <v>-211240.9</v>
      </c>
      <c r="L66" s="57">
        <v>-1.0270761674636784</v>
      </c>
      <c r="M66" s="57">
        <v>-483053.44</v>
      </c>
      <c r="N66" s="57">
        <v>-0.59406626416714359</v>
      </c>
    </row>
    <row r="67" spans="1:14" x14ac:dyDescent="0.3">
      <c r="A67" s="55" t="s">
        <v>1978</v>
      </c>
      <c r="B67" s="56" t="s">
        <v>1979</v>
      </c>
      <c r="C67" s="59">
        <v>1048296.85</v>
      </c>
      <c r="D67" s="57">
        <v>7.2163504116090804</v>
      </c>
      <c r="E67" s="59">
        <v>3116999.72</v>
      </c>
      <c r="F67" s="57">
        <v>8.9376823215493193</v>
      </c>
      <c r="G67" s="61">
        <v>-173159.97</v>
      </c>
      <c r="H67" s="57">
        <v>-2.866640664706078</v>
      </c>
      <c r="I67" s="59">
        <v>2418924.1</v>
      </c>
      <c r="J67" s="57">
        <v>5.2089048393923774</v>
      </c>
      <c r="K67" s="59">
        <v>875136.88</v>
      </c>
      <c r="L67" s="57">
        <v>4.2550104298766049</v>
      </c>
      <c r="M67" s="59">
        <v>5535923.8200000003</v>
      </c>
      <c r="N67" s="57">
        <v>6.8081609820671236</v>
      </c>
    </row>
    <row r="68" spans="1:14" x14ac:dyDescent="0.3">
      <c r="A68" s="55" t="s">
        <v>1921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</row>
    <row r="69" spans="1:14" x14ac:dyDescent="0.3">
      <c r="A69" s="55" t="s">
        <v>1980</v>
      </c>
      <c r="B69" s="56" t="s">
        <v>1981</v>
      </c>
      <c r="C69" s="59">
        <v>15549892.09</v>
      </c>
      <c r="D69" s="57">
        <v>107.04360142277285</v>
      </c>
      <c r="E69" s="59">
        <v>38927966.630000003</v>
      </c>
      <c r="F69" s="57">
        <v>111.62201809976835</v>
      </c>
      <c r="G69" s="59">
        <v>5054791.55</v>
      </c>
      <c r="H69" s="57">
        <v>83.681413255284482</v>
      </c>
      <c r="I69" s="59">
        <v>52666391.579999998</v>
      </c>
      <c r="J69" s="57">
        <v>113.41167007860888</v>
      </c>
      <c r="K69" s="59">
        <v>20604683.640000001</v>
      </c>
      <c r="L69" s="57">
        <v>100.18220668806445</v>
      </c>
      <c r="M69" s="59">
        <v>91594358.210000008</v>
      </c>
      <c r="N69" s="57">
        <v>112.64409627349272</v>
      </c>
    </row>
    <row r="70" spans="1:14" x14ac:dyDescent="0.3">
      <c r="A70" s="55" t="s">
        <v>1921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</row>
    <row r="71" spans="1:14" x14ac:dyDescent="0.3">
      <c r="A71" s="55" t="s">
        <v>1982</v>
      </c>
      <c r="B71" s="56" t="s">
        <v>1983</v>
      </c>
      <c r="C71" s="61">
        <v>-1023202.14</v>
      </c>
      <c r="D71" s="57">
        <v>-7.0436014227728467</v>
      </c>
      <c r="E71" s="61">
        <v>-4053156.72</v>
      </c>
      <c r="F71" s="57">
        <v>-11.622018099768335</v>
      </c>
      <c r="G71" s="59">
        <v>985727.31</v>
      </c>
      <c r="H71" s="57">
        <v>16.318586744715503</v>
      </c>
      <c r="I71" s="61">
        <v>-6228144.4900000002</v>
      </c>
      <c r="J71" s="57">
        <v>-13.411670078608903</v>
      </c>
      <c r="K71" s="59">
        <v>-37474.829999999958</v>
      </c>
      <c r="L71" s="57">
        <v>-0.18220668806444601</v>
      </c>
      <c r="M71" s="59">
        <v>-10281301.210000001</v>
      </c>
      <c r="N71" s="57">
        <v>-12.644096273492709</v>
      </c>
    </row>
    <row r="72" spans="1:14" x14ac:dyDescent="0.3">
      <c r="A72" s="55" t="s">
        <v>1921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</row>
    <row r="73" spans="1:14" x14ac:dyDescent="0.3">
      <c r="A73" s="55" t="s">
        <v>1874</v>
      </c>
      <c r="B73" s="55" t="s">
        <v>1875</v>
      </c>
      <c r="C73" s="58">
        <v>0</v>
      </c>
      <c r="D73" s="50"/>
      <c r="E73" s="58">
        <v>0</v>
      </c>
      <c r="F73" s="50"/>
      <c r="G73" s="58">
        <v>508733.75</v>
      </c>
      <c r="H73" s="57">
        <v>8.4220207202531601</v>
      </c>
      <c r="I73" s="58">
        <v>6577194.6699999999</v>
      </c>
      <c r="J73" s="57">
        <v>14.163313824600262</v>
      </c>
      <c r="K73" s="57">
        <v>508733.75</v>
      </c>
      <c r="L73" s="57">
        <v>2.4735186709080725</v>
      </c>
      <c r="M73" s="57">
        <v>6577194.6699999999</v>
      </c>
      <c r="N73" s="57">
        <v>8.0887312722727902</v>
      </c>
    </row>
    <row r="74" spans="1:14" x14ac:dyDescent="0.3">
      <c r="A74" s="55" t="s">
        <v>1876</v>
      </c>
      <c r="B74" s="55" t="s">
        <v>1877</v>
      </c>
      <c r="C74" s="30">
        <v>857008.34</v>
      </c>
      <c r="D74" s="57">
        <v>5.8995431371480462</v>
      </c>
      <c r="E74" s="30">
        <v>1447332.09</v>
      </c>
      <c r="F74" s="57">
        <v>4.1500787925011524</v>
      </c>
      <c r="G74" s="30">
        <v>0</v>
      </c>
      <c r="H74" s="50"/>
      <c r="I74" s="30">
        <v>1101246.05</v>
      </c>
      <c r="J74" s="57">
        <v>2.3714203679258641</v>
      </c>
      <c r="K74" s="31">
        <v>857008.34</v>
      </c>
      <c r="L74" s="57">
        <v>4.1668675021343358</v>
      </c>
      <c r="M74" s="31">
        <v>2548578.14</v>
      </c>
      <c r="N74" s="57">
        <v>3.134279086321893</v>
      </c>
    </row>
    <row r="75" spans="1:14" x14ac:dyDescent="0.3">
      <c r="A75" s="49"/>
      <c r="B75" s="48" t="s">
        <v>1984</v>
      </c>
      <c r="C75" s="26">
        <f>SUM(C73:C74)</f>
        <v>857008.34</v>
      </c>
      <c r="D75" s="26">
        <f t="shared" ref="D75:N75" si="0">SUM(D73:D74)</f>
        <v>5.8995431371480462</v>
      </c>
      <c r="E75" s="26">
        <f t="shared" si="0"/>
        <v>1447332.09</v>
      </c>
      <c r="F75" s="26">
        <f t="shared" si="0"/>
        <v>4.1500787925011524</v>
      </c>
      <c r="G75" s="26">
        <f t="shared" si="0"/>
        <v>508733.75</v>
      </c>
      <c r="H75" s="26">
        <f t="shared" si="0"/>
        <v>8.4220207202531601</v>
      </c>
      <c r="I75" s="26">
        <f t="shared" si="0"/>
        <v>7678440.7199999997</v>
      </c>
      <c r="J75" s="26">
        <f t="shared" si="0"/>
        <v>16.534734192526127</v>
      </c>
      <c r="K75" s="26">
        <f t="shared" si="0"/>
        <v>1365742.0899999999</v>
      </c>
      <c r="L75" s="26">
        <f t="shared" si="0"/>
        <v>6.6403861730424083</v>
      </c>
      <c r="M75" s="26">
        <f t="shared" si="0"/>
        <v>9125772.8100000005</v>
      </c>
      <c r="N75" s="26">
        <f t="shared" si="0"/>
        <v>11.223010358594683</v>
      </c>
    </row>
    <row r="76" spans="1:14" x14ac:dyDescent="0.3">
      <c r="C76" s="27"/>
      <c r="E76" s="27"/>
      <c r="G76" s="27"/>
      <c r="I76" s="27"/>
      <c r="K76" s="27"/>
      <c r="M76" s="27"/>
    </row>
    <row r="77" spans="1:14" x14ac:dyDescent="0.3">
      <c r="A77" s="49"/>
      <c r="B77" s="48" t="s">
        <v>1985</v>
      </c>
      <c r="C77" s="28">
        <f>C71+C75</f>
        <v>-166193.80000000005</v>
      </c>
      <c r="D77" s="28">
        <f t="shared" ref="D77:N77" si="1">D71+D75</f>
        <v>-1.1440582856248005</v>
      </c>
      <c r="E77" s="28">
        <f t="shared" si="1"/>
        <v>-2605824.63</v>
      </c>
      <c r="F77" s="28">
        <f t="shared" si="1"/>
        <v>-7.4719393072671823</v>
      </c>
      <c r="G77" s="29">
        <f t="shared" si="1"/>
        <v>1494461.06</v>
      </c>
      <c r="H77" s="29">
        <f t="shared" si="1"/>
        <v>24.740607464968662</v>
      </c>
      <c r="I77" s="29">
        <f t="shared" si="1"/>
        <v>1450296.2299999995</v>
      </c>
      <c r="J77" s="29">
        <f t="shared" si="1"/>
        <v>3.1230641139172235</v>
      </c>
      <c r="K77" s="29">
        <f t="shared" si="1"/>
        <v>1328267.2599999998</v>
      </c>
      <c r="L77" s="29">
        <f t="shared" si="1"/>
        <v>6.4581794849779621</v>
      </c>
      <c r="M77" s="29">
        <f t="shared" si="1"/>
        <v>-1155528.4000000004</v>
      </c>
      <c r="N77" s="29">
        <f t="shared" si="1"/>
        <v>-1.4210859148980255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5C60-3E51-4CDB-AEE1-6A7D9D9C9F2F}">
  <dimension ref="A1:T1033"/>
  <sheetViews>
    <sheetView topLeftCell="A834" workbookViewId="0">
      <selection activeCell="F857" sqref="F857"/>
    </sheetView>
  </sheetViews>
  <sheetFormatPr baseColWidth="10" defaultRowHeight="14.4" x14ac:dyDescent="0.3"/>
  <cols>
    <col min="4" max="4" width="59.44140625" bestFit="1" customWidth="1"/>
    <col min="5" max="5" width="22.33203125" bestFit="1" customWidth="1"/>
    <col min="6" max="7" width="13.6640625" bestFit="1" customWidth="1"/>
    <col min="8" max="8" width="16.44140625" bestFit="1" customWidth="1"/>
    <col min="9" max="9" width="23.6640625" bestFit="1" customWidth="1"/>
    <col min="10" max="11" width="12.6640625" bestFit="1" customWidth="1"/>
    <col min="12" max="13" width="16.44140625" bestFit="1" customWidth="1"/>
    <col min="14" max="15" width="13.6640625" bestFit="1" customWidth="1"/>
    <col min="16" max="16" width="16.44140625" bestFit="1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/>
      <c r="B2" s="1"/>
      <c r="C2" s="1"/>
      <c r="D2" s="1"/>
      <c r="E2" s="7" t="s">
        <v>0</v>
      </c>
      <c r="F2" s="8"/>
      <c r="G2" s="8"/>
      <c r="H2" s="9"/>
      <c r="I2" s="7" t="s">
        <v>1</v>
      </c>
      <c r="J2" s="8"/>
      <c r="K2" s="8"/>
      <c r="L2" s="9"/>
      <c r="M2" s="21" t="s">
        <v>2</v>
      </c>
      <c r="N2" s="8"/>
      <c r="O2" s="8"/>
      <c r="P2" s="9"/>
      <c r="Q2" s="4"/>
      <c r="R2" s="1"/>
      <c r="S2" s="1"/>
      <c r="T2" s="1"/>
    </row>
    <row r="3" spans="1:20" ht="40.200000000000003" x14ac:dyDescent="0.3">
      <c r="A3" s="3"/>
      <c r="B3" s="3"/>
      <c r="C3" s="3"/>
      <c r="D3" s="3"/>
      <c r="E3" s="10" t="s">
        <v>3</v>
      </c>
      <c r="F3" s="11" t="s">
        <v>4</v>
      </c>
      <c r="G3" s="11" t="s">
        <v>5</v>
      </c>
      <c r="H3" s="10" t="s">
        <v>6</v>
      </c>
      <c r="I3" s="10" t="s">
        <v>3</v>
      </c>
      <c r="J3" s="11" t="s">
        <v>4</v>
      </c>
      <c r="K3" s="11" t="s">
        <v>5</v>
      </c>
      <c r="L3" s="10" t="s">
        <v>6</v>
      </c>
      <c r="M3" s="10" t="s">
        <v>3</v>
      </c>
      <c r="N3" s="11" t="s">
        <v>4</v>
      </c>
      <c r="O3" s="11" t="s">
        <v>5</v>
      </c>
      <c r="P3" s="10" t="s">
        <v>6</v>
      </c>
      <c r="Q3" s="5"/>
      <c r="R3" s="6"/>
      <c r="S3" s="6"/>
      <c r="T3" s="5"/>
    </row>
    <row r="4" spans="1:20" x14ac:dyDescent="0.3">
      <c r="A4" s="3" t="s">
        <v>7</v>
      </c>
      <c r="B4" s="1">
        <v>2</v>
      </c>
      <c r="C4" s="1">
        <v>0</v>
      </c>
      <c r="D4" s="3" t="s">
        <v>8</v>
      </c>
      <c r="E4" s="13">
        <v>116055080.70999999</v>
      </c>
      <c r="F4" s="12">
        <v>88972025.540000007</v>
      </c>
      <c r="G4" s="12">
        <v>78277302.650000006</v>
      </c>
      <c r="H4" s="13">
        <v>126749803.59999999</v>
      </c>
      <c r="I4" s="13">
        <v>121765232.98</v>
      </c>
      <c r="J4" s="12">
        <v>24531017.059999999</v>
      </c>
      <c r="K4" s="12">
        <v>29958782.719999999</v>
      </c>
      <c r="L4" s="13">
        <v>116337467.31999999</v>
      </c>
      <c r="M4" s="22">
        <v>237820313.69</v>
      </c>
      <c r="N4" s="23">
        <v>113503042.60000001</v>
      </c>
      <c r="O4" s="23">
        <v>108236085.37</v>
      </c>
      <c r="P4" s="22">
        <v>243087270.91999999</v>
      </c>
      <c r="Q4" s="1"/>
      <c r="R4" s="1"/>
      <c r="S4" s="1"/>
      <c r="T4" s="1"/>
    </row>
    <row r="5" spans="1:20" x14ac:dyDescent="0.3">
      <c r="A5" s="3" t="s">
        <v>9</v>
      </c>
      <c r="B5" s="1">
        <v>3</v>
      </c>
      <c r="C5" s="1">
        <v>0</v>
      </c>
      <c r="D5" s="3" t="s">
        <v>10</v>
      </c>
      <c r="E5" s="13">
        <v>111052991.54000001</v>
      </c>
      <c r="F5" s="12">
        <v>88856640.090000004</v>
      </c>
      <c r="G5" s="12">
        <v>78264767.640000001</v>
      </c>
      <c r="H5" s="13">
        <v>121644863.98999999</v>
      </c>
      <c r="I5" s="13">
        <v>72955946.819999993</v>
      </c>
      <c r="J5" s="12">
        <v>24314781.329999998</v>
      </c>
      <c r="K5" s="12">
        <v>28230726.91</v>
      </c>
      <c r="L5" s="13">
        <v>69040001.239999995</v>
      </c>
      <c r="M5" s="22">
        <v>184008938.36000001</v>
      </c>
      <c r="N5" s="23">
        <v>113171421.42</v>
      </c>
      <c r="O5" s="23">
        <v>106495494.55</v>
      </c>
      <c r="P5" s="22">
        <v>190684865.22999999</v>
      </c>
      <c r="Q5" s="1"/>
      <c r="R5" s="1"/>
      <c r="S5" s="1"/>
      <c r="T5" s="1"/>
    </row>
    <row r="6" spans="1:20" x14ac:dyDescent="0.3">
      <c r="A6" s="3" t="s">
        <v>11</v>
      </c>
      <c r="B6" s="2">
        <v>1</v>
      </c>
      <c r="C6" s="2">
        <v>0</v>
      </c>
      <c r="D6" s="14" t="s">
        <v>12</v>
      </c>
      <c r="E6" s="15">
        <v>25954.080000000002</v>
      </c>
      <c r="F6" s="16">
        <v>0</v>
      </c>
      <c r="G6" s="16">
        <v>550.32000000000005</v>
      </c>
      <c r="H6" s="15">
        <v>25403.759999999998</v>
      </c>
      <c r="I6" s="15">
        <v>367544.53</v>
      </c>
      <c r="J6" s="16">
        <v>1549.64</v>
      </c>
      <c r="K6" s="16">
        <v>24291.58</v>
      </c>
      <c r="L6" s="15">
        <v>344802.59</v>
      </c>
      <c r="M6" s="15">
        <v>393498.61000000004</v>
      </c>
      <c r="N6" s="16">
        <v>1549.64</v>
      </c>
      <c r="O6" s="16">
        <v>24841.9</v>
      </c>
      <c r="P6" s="15">
        <v>370206.35000000003</v>
      </c>
      <c r="Q6" s="1"/>
      <c r="R6" s="1"/>
      <c r="S6" s="1"/>
      <c r="T6" s="1"/>
    </row>
    <row r="7" spans="1:20" x14ac:dyDescent="0.3">
      <c r="A7" s="3" t="s">
        <v>13</v>
      </c>
      <c r="B7" s="1">
        <v>2</v>
      </c>
      <c r="C7" s="1">
        <v>0</v>
      </c>
      <c r="D7" s="3" t="s">
        <v>14</v>
      </c>
      <c r="E7" s="13">
        <v>25954.080000000002</v>
      </c>
      <c r="F7" s="12">
        <v>0</v>
      </c>
      <c r="G7" s="12">
        <v>550.32000000000005</v>
      </c>
      <c r="H7" s="13">
        <v>25403.759999999998</v>
      </c>
      <c r="I7" s="13">
        <v>367544.53</v>
      </c>
      <c r="J7" s="12">
        <v>1549.64</v>
      </c>
      <c r="K7" s="12">
        <v>24291.58</v>
      </c>
      <c r="L7" s="13">
        <v>344802.59</v>
      </c>
      <c r="M7" s="22">
        <v>393498.61000000004</v>
      </c>
      <c r="N7" s="23">
        <v>1549.64</v>
      </c>
      <c r="O7" s="23">
        <v>24841.9</v>
      </c>
      <c r="P7" s="22">
        <v>370206.35000000003</v>
      </c>
      <c r="Q7" s="1"/>
      <c r="R7" s="1"/>
      <c r="S7" s="1"/>
      <c r="T7" s="1"/>
    </row>
    <row r="8" spans="1:20" x14ac:dyDescent="0.3">
      <c r="A8" s="3" t="s">
        <v>15</v>
      </c>
      <c r="B8" s="1">
        <v>2</v>
      </c>
      <c r="C8" s="1">
        <v>1</v>
      </c>
      <c r="D8" s="3" t="s">
        <v>16</v>
      </c>
      <c r="E8" s="13">
        <v>22766.12</v>
      </c>
      <c r="F8" s="12">
        <v>0</v>
      </c>
      <c r="G8" s="12">
        <v>550.32000000000005</v>
      </c>
      <c r="H8" s="13">
        <v>22215.8</v>
      </c>
      <c r="I8" s="13">
        <v>35290.57</v>
      </c>
      <c r="J8" s="12">
        <v>1549.64</v>
      </c>
      <c r="K8" s="12">
        <v>24291.58</v>
      </c>
      <c r="L8" s="13">
        <v>12548.63</v>
      </c>
      <c r="M8" s="22">
        <v>58056.69</v>
      </c>
      <c r="N8" s="23">
        <v>1549.64</v>
      </c>
      <c r="O8" s="23">
        <v>24841.9</v>
      </c>
      <c r="P8" s="22">
        <v>34764.43</v>
      </c>
      <c r="Q8" s="1"/>
      <c r="R8" s="1"/>
      <c r="S8" s="1"/>
      <c r="T8" s="1"/>
    </row>
    <row r="9" spans="1:20" x14ac:dyDescent="0.3">
      <c r="A9" s="3" t="s">
        <v>17</v>
      </c>
      <c r="B9" s="1">
        <v>2</v>
      </c>
      <c r="C9" s="1">
        <v>1</v>
      </c>
      <c r="D9" s="3" t="s">
        <v>18</v>
      </c>
      <c r="E9" s="13">
        <v>0</v>
      </c>
      <c r="F9" s="12">
        <v>0</v>
      </c>
      <c r="G9" s="12">
        <v>0</v>
      </c>
      <c r="H9" s="13">
        <v>0</v>
      </c>
      <c r="I9" s="13">
        <v>312168.21999999997</v>
      </c>
      <c r="J9" s="12">
        <v>0</v>
      </c>
      <c r="K9" s="12">
        <v>0</v>
      </c>
      <c r="L9" s="13">
        <v>312168.21999999997</v>
      </c>
      <c r="M9" s="22">
        <v>312168.21999999997</v>
      </c>
      <c r="N9" s="23">
        <v>0</v>
      </c>
      <c r="O9" s="23">
        <v>0</v>
      </c>
      <c r="P9" s="22">
        <v>312168.21999999997</v>
      </c>
      <c r="Q9" s="1"/>
      <c r="R9" s="1"/>
      <c r="S9" s="1"/>
      <c r="T9" s="1"/>
    </row>
    <row r="10" spans="1:20" x14ac:dyDescent="0.3">
      <c r="A10" s="3" t="s">
        <v>19</v>
      </c>
      <c r="B10" s="1">
        <v>2</v>
      </c>
      <c r="C10" s="1">
        <v>1</v>
      </c>
      <c r="D10" s="3" t="s">
        <v>20</v>
      </c>
      <c r="E10" s="13">
        <v>0</v>
      </c>
      <c r="F10" s="12">
        <v>0</v>
      </c>
      <c r="G10" s="12">
        <v>0</v>
      </c>
      <c r="H10" s="13">
        <v>0</v>
      </c>
      <c r="I10" s="13">
        <v>9116.84</v>
      </c>
      <c r="J10" s="12">
        <v>0</v>
      </c>
      <c r="K10" s="12">
        <v>0</v>
      </c>
      <c r="L10" s="13">
        <v>9116.84</v>
      </c>
      <c r="M10" s="22">
        <v>9116.84</v>
      </c>
      <c r="N10" s="23">
        <v>0</v>
      </c>
      <c r="O10" s="23">
        <v>0</v>
      </c>
      <c r="P10" s="22">
        <v>9116.84</v>
      </c>
      <c r="Q10" s="1"/>
      <c r="R10" s="1"/>
      <c r="S10" s="1"/>
      <c r="T10" s="1"/>
    </row>
    <row r="11" spans="1:20" x14ac:dyDescent="0.3">
      <c r="A11" s="3" t="s">
        <v>21</v>
      </c>
      <c r="B11" s="1">
        <v>2</v>
      </c>
      <c r="C11" s="1">
        <v>1</v>
      </c>
      <c r="D11" s="3" t="s">
        <v>22</v>
      </c>
      <c r="E11" s="13">
        <v>3187.96</v>
      </c>
      <c r="F11" s="12">
        <v>0</v>
      </c>
      <c r="G11" s="12">
        <v>0</v>
      </c>
      <c r="H11" s="13">
        <v>3187.96</v>
      </c>
      <c r="I11" s="13">
        <v>10968.9</v>
      </c>
      <c r="J11" s="12">
        <v>0</v>
      </c>
      <c r="K11" s="12">
        <v>0</v>
      </c>
      <c r="L11" s="13">
        <v>10968.9</v>
      </c>
      <c r="M11" s="22">
        <v>14156.86</v>
      </c>
      <c r="N11" s="23">
        <v>0</v>
      </c>
      <c r="O11" s="23">
        <v>0</v>
      </c>
      <c r="P11" s="22">
        <v>14156.86</v>
      </c>
      <c r="Q11" s="1"/>
      <c r="R11" s="1"/>
      <c r="S11" s="1"/>
      <c r="T11" s="1"/>
    </row>
    <row r="12" spans="1:20" x14ac:dyDescent="0.3">
      <c r="A12" s="3" t="s">
        <v>23</v>
      </c>
      <c r="B12" s="2">
        <v>1</v>
      </c>
      <c r="C12" s="2">
        <v>0</v>
      </c>
      <c r="D12" s="14" t="s">
        <v>24</v>
      </c>
      <c r="E12" s="15">
        <v>735405.44</v>
      </c>
      <c r="F12" s="16">
        <v>45241833.259999998</v>
      </c>
      <c r="G12" s="16">
        <v>45904161.600000001</v>
      </c>
      <c r="H12" s="15">
        <v>73077.100000000006</v>
      </c>
      <c r="I12" s="15">
        <v>194761.25</v>
      </c>
      <c r="J12" s="16">
        <v>10355030.699999999</v>
      </c>
      <c r="K12" s="16">
        <v>10473178.210000001</v>
      </c>
      <c r="L12" s="15">
        <v>76613.740000000005</v>
      </c>
      <c r="M12" s="15">
        <v>930166.69</v>
      </c>
      <c r="N12" s="16">
        <v>55596863.959999993</v>
      </c>
      <c r="O12" s="16">
        <v>56377339.810000002</v>
      </c>
      <c r="P12" s="15">
        <v>149690.84000000003</v>
      </c>
      <c r="Q12" s="1"/>
      <c r="R12" s="1"/>
      <c r="S12" s="1"/>
      <c r="T12" s="1"/>
    </row>
    <row r="13" spans="1:20" x14ac:dyDescent="0.3">
      <c r="A13" s="3" t="s">
        <v>25</v>
      </c>
      <c r="B13" s="1">
        <v>2</v>
      </c>
      <c r="C13" s="1">
        <v>0</v>
      </c>
      <c r="D13" s="3" t="s">
        <v>26</v>
      </c>
      <c r="E13" s="13">
        <v>735405.44</v>
      </c>
      <c r="F13" s="12">
        <v>45241833.259999998</v>
      </c>
      <c r="G13" s="12">
        <v>45904161.600000001</v>
      </c>
      <c r="H13" s="13">
        <v>73077.100000000006</v>
      </c>
      <c r="I13" s="13">
        <v>194761.25</v>
      </c>
      <c r="J13" s="12">
        <v>10355030.699999999</v>
      </c>
      <c r="K13" s="12">
        <v>10473178.210000001</v>
      </c>
      <c r="L13" s="13">
        <v>76613.740000000005</v>
      </c>
      <c r="M13" s="22">
        <v>930166.69</v>
      </c>
      <c r="N13" s="23">
        <v>55596863.959999993</v>
      </c>
      <c r="O13" s="23">
        <v>56377339.810000002</v>
      </c>
      <c r="P13" s="22">
        <v>149690.84000000003</v>
      </c>
      <c r="Q13" s="1"/>
      <c r="R13" s="1"/>
      <c r="S13" s="1"/>
      <c r="T13" s="1"/>
    </row>
    <row r="14" spans="1:20" x14ac:dyDescent="0.3">
      <c r="A14" s="3" t="s">
        <v>27</v>
      </c>
      <c r="B14" s="1">
        <v>2</v>
      </c>
      <c r="C14" s="1">
        <v>0</v>
      </c>
      <c r="D14" s="3" t="s">
        <v>28</v>
      </c>
      <c r="E14" s="13">
        <v>728649.07</v>
      </c>
      <c r="F14" s="12">
        <v>45241833.259999998</v>
      </c>
      <c r="G14" s="12">
        <v>45904161.600000001</v>
      </c>
      <c r="H14" s="13">
        <v>66320.73</v>
      </c>
      <c r="I14" s="13">
        <v>182203.99</v>
      </c>
      <c r="J14" s="12">
        <v>10355030.699999999</v>
      </c>
      <c r="K14" s="12">
        <v>10473036.9</v>
      </c>
      <c r="L14" s="13">
        <v>64197.79</v>
      </c>
      <c r="M14" s="22">
        <v>910853.05999999994</v>
      </c>
      <c r="N14" s="23">
        <v>55596863.959999993</v>
      </c>
      <c r="O14" s="23">
        <v>56377198.5</v>
      </c>
      <c r="P14" s="22">
        <v>130518.51999999999</v>
      </c>
      <c r="Q14" s="1"/>
      <c r="R14" s="1"/>
      <c r="S14" s="1"/>
      <c r="T14" s="1"/>
    </row>
    <row r="15" spans="1:20" x14ac:dyDescent="0.3">
      <c r="A15" s="3" t="s">
        <v>29</v>
      </c>
      <c r="B15" s="1">
        <v>2</v>
      </c>
      <c r="C15" s="1">
        <v>1</v>
      </c>
      <c r="D15" s="3" t="s">
        <v>30</v>
      </c>
      <c r="E15" s="13">
        <v>0</v>
      </c>
      <c r="F15" s="12">
        <v>0</v>
      </c>
      <c r="G15" s="12">
        <v>0</v>
      </c>
      <c r="H15" s="13">
        <v>0</v>
      </c>
      <c r="I15" s="13">
        <v>0</v>
      </c>
      <c r="J15" s="12">
        <v>124000.01</v>
      </c>
      <c r="K15" s="12">
        <v>114262.99</v>
      </c>
      <c r="L15" s="13">
        <v>9737.02</v>
      </c>
      <c r="M15" s="22">
        <v>0</v>
      </c>
      <c r="N15" s="23">
        <v>124000.01</v>
      </c>
      <c r="O15" s="23">
        <v>114262.99</v>
      </c>
      <c r="P15" s="22">
        <v>9737.02</v>
      </c>
      <c r="Q15" s="1"/>
      <c r="R15" s="1"/>
      <c r="S15" s="1"/>
      <c r="T15" s="1"/>
    </row>
    <row r="16" spans="1:20" x14ac:dyDescent="0.3">
      <c r="A16" s="3" t="s">
        <v>31</v>
      </c>
      <c r="B16" s="1">
        <v>2</v>
      </c>
      <c r="C16" s="1">
        <v>1</v>
      </c>
      <c r="D16" s="3" t="s">
        <v>32</v>
      </c>
      <c r="E16" s="13">
        <v>0</v>
      </c>
      <c r="F16" s="12">
        <v>0</v>
      </c>
      <c r="G16" s="12">
        <v>0</v>
      </c>
      <c r="H16" s="13">
        <v>0</v>
      </c>
      <c r="I16" s="13">
        <v>0</v>
      </c>
      <c r="J16" s="12">
        <v>191000</v>
      </c>
      <c r="K16" s="12">
        <v>190963.89</v>
      </c>
      <c r="L16" s="13">
        <v>36.11</v>
      </c>
      <c r="M16" s="22">
        <v>0</v>
      </c>
      <c r="N16" s="23">
        <v>191000</v>
      </c>
      <c r="O16" s="23">
        <v>190963.89</v>
      </c>
      <c r="P16" s="22">
        <v>36.11</v>
      </c>
    </row>
    <row r="17" spans="1:16" x14ac:dyDescent="0.3">
      <c r="A17" s="3" t="s">
        <v>33</v>
      </c>
      <c r="B17" s="1">
        <v>2</v>
      </c>
      <c r="C17" s="1">
        <v>1</v>
      </c>
      <c r="D17" s="3" t="s">
        <v>34</v>
      </c>
      <c r="E17" s="13">
        <v>0</v>
      </c>
      <c r="F17" s="12">
        <v>0</v>
      </c>
      <c r="G17" s="12">
        <v>0</v>
      </c>
      <c r="H17" s="13">
        <v>0</v>
      </c>
      <c r="I17" s="13">
        <v>33231.29</v>
      </c>
      <c r="J17" s="12">
        <v>0</v>
      </c>
      <c r="K17" s="12">
        <v>0</v>
      </c>
      <c r="L17" s="13">
        <v>33231.29</v>
      </c>
      <c r="M17" s="22">
        <v>33231.29</v>
      </c>
      <c r="N17" s="23">
        <v>0</v>
      </c>
      <c r="O17" s="23">
        <v>0</v>
      </c>
      <c r="P17" s="22">
        <v>33231.29</v>
      </c>
    </row>
    <row r="18" spans="1:16" x14ac:dyDescent="0.3">
      <c r="A18" s="3" t="s">
        <v>35</v>
      </c>
      <c r="B18" s="1">
        <v>2</v>
      </c>
      <c r="C18" s="1">
        <v>1</v>
      </c>
      <c r="D18" s="3" t="s">
        <v>36</v>
      </c>
      <c r="E18" s="13">
        <v>0</v>
      </c>
      <c r="F18" s="12">
        <v>0</v>
      </c>
      <c r="G18" s="12">
        <v>0</v>
      </c>
      <c r="H18" s="13">
        <v>0</v>
      </c>
      <c r="I18" s="13">
        <v>0</v>
      </c>
      <c r="J18" s="12">
        <v>2674899.16</v>
      </c>
      <c r="K18" s="12">
        <v>2674899.16</v>
      </c>
      <c r="L18" s="13">
        <v>0</v>
      </c>
      <c r="M18" s="22">
        <v>0</v>
      </c>
      <c r="N18" s="23">
        <v>2674899.16</v>
      </c>
      <c r="O18" s="23">
        <v>2674899.16</v>
      </c>
      <c r="P18" s="22">
        <v>0</v>
      </c>
    </row>
    <row r="19" spans="1:16" x14ac:dyDescent="0.3">
      <c r="A19" s="3" t="s">
        <v>37</v>
      </c>
      <c r="B19" s="1">
        <v>2</v>
      </c>
      <c r="C19" s="1">
        <v>1</v>
      </c>
      <c r="D19" s="3" t="s">
        <v>38</v>
      </c>
      <c r="E19" s="13">
        <v>0</v>
      </c>
      <c r="F19" s="12">
        <v>0</v>
      </c>
      <c r="G19" s="12">
        <v>0</v>
      </c>
      <c r="H19" s="13">
        <v>0</v>
      </c>
      <c r="I19" s="13">
        <v>0</v>
      </c>
      <c r="J19" s="12">
        <v>1894999.57</v>
      </c>
      <c r="K19" s="12">
        <v>1894999.57</v>
      </c>
      <c r="L19" s="13">
        <v>0</v>
      </c>
      <c r="M19" s="22">
        <v>0</v>
      </c>
      <c r="N19" s="23">
        <v>1894999.57</v>
      </c>
      <c r="O19" s="23">
        <v>1894999.57</v>
      </c>
      <c r="P19" s="22">
        <v>0</v>
      </c>
    </row>
    <row r="20" spans="1:16" x14ac:dyDescent="0.3">
      <c r="A20" s="3" t="s">
        <v>39</v>
      </c>
      <c r="B20" s="1">
        <v>2</v>
      </c>
      <c r="C20" s="1">
        <v>1</v>
      </c>
      <c r="D20" s="3" t="s">
        <v>40</v>
      </c>
      <c r="E20" s="13">
        <v>0</v>
      </c>
      <c r="F20" s="12">
        <v>0</v>
      </c>
      <c r="G20" s="12">
        <v>0</v>
      </c>
      <c r="H20" s="13">
        <v>0</v>
      </c>
      <c r="I20" s="13">
        <v>1116.52</v>
      </c>
      <c r="J20" s="12">
        <v>0</v>
      </c>
      <c r="K20" s="12">
        <v>0</v>
      </c>
      <c r="L20" s="13">
        <v>1116.52</v>
      </c>
      <c r="M20" s="22">
        <v>1116.52</v>
      </c>
      <c r="N20" s="23">
        <v>0</v>
      </c>
      <c r="O20" s="23">
        <v>0</v>
      </c>
      <c r="P20" s="22">
        <v>1116.52</v>
      </c>
    </row>
    <row r="21" spans="1:16" x14ac:dyDescent="0.3">
      <c r="A21" s="3" t="s">
        <v>41</v>
      </c>
      <c r="B21" s="1">
        <v>2</v>
      </c>
      <c r="C21" s="1">
        <v>1</v>
      </c>
      <c r="D21" s="3" t="s">
        <v>42</v>
      </c>
      <c r="E21" s="13">
        <v>0</v>
      </c>
      <c r="F21" s="12">
        <v>0</v>
      </c>
      <c r="G21" s="12">
        <v>0</v>
      </c>
      <c r="H21" s="13">
        <v>0</v>
      </c>
      <c r="I21" s="13">
        <v>10.029999999999999</v>
      </c>
      <c r="J21" s="12">
        <v>0</v>
      </c>
      <c r="K21" s="12">
        <v>0</v>
      </c>
      <c r="L21" s="13">
        <v>10.029999999999999</v>
      </c>
      <c r="M21" s="22">
        <v>10.029999999999999</v>
      </c>
      <c r="N21" s="23">
        <v>0</v>
      </c>
      <c r="O21" s="23">
        <v>0</v>
      </c>
      <c r="P21" s="22">
        <v>10.029999999999999</v>
      </c>
    </row>
    <row r="22" spans="1:16" x14ac:dyDescent="0.3">
      <c r="A22" s="3" t="s">
        <v>43</v>
      </c>
      <c r="B22" s="1">
        <v>2</v>
      </c>
      <c r="C22" s="1">
        <v>1</v>
      </c>
      <c r="D22" s="3" t="s">
        <v>44</v>
      </c>
      <c r="E22" s="13">
        <v>0</v>
      </c>
      <c r="F22" s="12">
        <v>0</v>
      </c>
      <c r="G22" s="12">
        <v>0</v>
      </c>
      <c r="H22" s="13">
        <v>0</v>
      </c>
      <c r="I22" s="13">
        <v>147846.15</v>
      </c>
      <c r="J22" s="12">
        <v>5470131.96</v>
      </c>
      <c r="K22" s="12">
        <v>5597911.29</v>
      </c>
      <c r="L22" s="13">
        <v>20066.82</v>
      </c>
      <c r="M22" s="22">
        <v>147846.15</v>
      </c>
      <c r="N22" s="23">
        <v>5470131.96</v>
      </c>
      <c r="O22" s="23">
        <v>5597911.29</v>
      </c>
      <c r="P22" s="22">
        <v>20066.82</v>
      </c>
    </row>
    <row r="23" spans="1:16" x14ac:dyDescent="0.3">
      <c r="A23" s="3" t="s">
        <v>45</v>
      </c>
      <c r="B23" s="1">
        <v>2</v>
      </c>
      <c r="C23" s="1">
        <v>1</v>
      </c>
      <c r="D23" s="3" t="s">
        <v>46</v>
      </c>
      <c r="E23" s="13">
        <v>0</v>
      </c>
      <c r="F23" s="12">
        <v>4450520.1500000004</v>
      </c>
      <c r="G23" s="12">
        <v>4450035.3</v>
      </c>
      <c r="H23" s="13">
        <v>484.85</v>
      </c>
      <c r="I23" s="13">
        <v>0</v>
      </c>
      <c r="J23" s="12">
        <v>0</v>
      </c>
      <c r="K23" s="12">
        <v>0</v>
      </c>
      <c r="L23" s="13">
        <v>0</v>
      </c>
      <c r="M23" s="22">
        <v>0</v>
      </c>
      <c r="N23" s="23">
        <v>4450520.1500000004</v>
      </c>
      <c r="O23" s="23">
        <v>4450035.3</v>
      </c>
      <c r="P23" s="22">
        <v>484.85</v>
      </c>
    </row>
    <row r="24" spans="1:16" x14ac:dyDescent="0.3">
      <c r="A24" s="3" t="s">
        <v>47</v>
      </c>
      <c r="B24" s="1">
        <v>2</v>
      </c>
      <c r="C24" s="1">
        <v>1</v>
      </c>
      <c r="D24" s="3" t="s">
        <v>48</v>
      </c>
      <c r="E24" s="13">
        <v>6232.43</v>
      </c>
      <c r="F24" s="12">
        <v>2656830.65</v>
      </c>
      <c r="G24" s="12">
        <v>2658422.91</v>
      </c>
      <c r="H24" s="13">
        <v>4640.17</v>
      </c>
      <c r="I24" s="13">
        <v>0</v>
      </c>
      <c r="J24" s="12">
        <v>0</v>
      </c>
      <c r="K24" s="12">
        <v>0</v>
      </c>
      <c r="L24" s="13">
        <v>0</v>
      </c>
      <c r="M24" s="22">
        <v>6232.43</v>
      </c>
      <c r="N24" s="23">
        <v>2656830.65</v>
      </c>
      <c r="O24" s="23">
        <v>2658422.91</v>
      </c>
      <c r="P24" s="22">
        <v>4640.17</v>
      </c>
    </row>
    <row r="25" spans="1:16" x14ac:dyDescent="0.3">
      <c r="A25" s="3" t="s">
        <v>49</v>
      </c>
      <c r="B25" s="1">
        <v>2</v>
      </c>
      <c r="C25" s="1">
        <v>1</v>
      </c>
      <c r="D25" s="3" t="s">
        <v>50</v>
      </c>
      <c r="E25" s="13">
        <v>528779.32999999996</v>
      </c>
      <c r="F25" s="12">
        <v>20718154.920000002</v>
      </c>
      <c r="G25" s="12">
        <v>21246934.25</v>
      </c>
      <c r="H25" s="13">
        <v>0</v>
      </c>
      <c r="I25" s="13">
        <v>0</v>
      </c>
      <c r="J25" s="12">
        <v>0</v>
      </c>
      <c r="K25" s="12">
        <v>0</v>
      </c>
      <c r="L25" s="13">
        <v>0</v>
      </c>
      <c r="M25" s="22">
        <v>528779.32999999996</v>
      </c>
      <c r="N25" s="23">
        <v>20718154.920000002</v>
      </c>
      <c r="O25" s="23">
        <v>21246934.25</v>
      </c>
      <c r="P25" s="22">
        <v>0</v>
      </c>
    </row>
    <row r="26" spans="1:16" x14ac:dyDescent="0.3">
      <c r="A26" s="3" t="s">
        <v>51</v>
      </c>
      <c r="B26" s="1">
        <v>2</v>
      </c>
      <c r="C26" s="1">
        <v>1</v>
      </c>
      <c r="D26" s="3" t="s">
        <v>52</v>
      </c>
      <c r="E26" s="13">
        <v>44810.37</v>
      </c>
      <c r="F26" s="12">
        <v>6034541.3200000003</v>
      </c>
      <c r="G26" s="12">
        <v>6064218.5499999998</v>
      </c>
      <c r="H26" s="13">
        <v>15133.14</v>
      </c>
      <c r="I26" s="13">
        <v>0</v>
      </c>
      <c r="J26" s="12">
        <v>0</v>
      </c>
      <c r="K26" s="12">
        <v>0</v>
      </c>
      <c r="L26" s="13">
        <v>0</v>
      </c>
      <c r="M26" s="22">
        <v>44810.37</v>
      </c>
      <c r="N26" s="23">
        <v>6034541.3200000003</v>
      </c>
      <c r="O26" s="23">
        <v>6064218.5499999998</v>
      </c>
      <c r="P26" s="22">
        <v>15133.14</v>
      </c>
    </row>
    <row r="27" spans="1:16" x14ac:dyDescent="0.3">
      <c r="A27" s="3" t="s">
        <v>53</v>
      </c>
      <c r="B27" s="1">
        <v>2</v>
      </c>
      <c r="C27" s="1">
        <v>1</v>
      </c>
      <c r="D27" s="3" t="s">
        <v>54</v>
      </c>
      <c r="E27" s="13">
        <v>0</v>
      </c>
      <c r="F27" s="12">
        <v>390167.59</v>
      </c>
      <c r="G27" s="12">
        <v>390167.59</v>
      </c>
      <c r="H27" s="13">
        <v>0</v>
      </c>
      <c r="I27" s="13">
        <v>0</v>
      </c>
      <c r="J27" s="12">
        <v>0</v>
      </c>
      <c r="K27" s="12">
        <v>0</v>
      </c>
      <c r="L27" s="13">
        <v>0</v>
      </c>
      <c r="M27" s="22">
        <v>0</v>
      </c>
      <c r="N27" s="23">
        <v>390167.59</v>
      </c>
      <c r="O27" s="23">
        <v>390167.59</v>
      </c>
      <c r="P27" s="22">
        <v>0</v>
      </c>
    </row>
    <row r="28" spans="1:16" x14ac:dyDescent="0.3">
      <c r="A28" s="3" t="s">
        <v>55</v>
      </c>
      <c r="B28" s="1">
        <v>2</v>
      </c>
      <c r="C28" s="1">
        <v>1</v>
      </c>
      <c r="D28" s="3" t="s">
        <v>56</v>
      </c>
      <c r="E28" s="13">
        <v>148826.94</v>
      </c>
      <c r="F28" s="12">
        <v>10991618.630000001</v>
      </c>
      <c r="G28" s="12">
        <v>11094383</v>
      </c>
      <c r="H28" s="13">
        <v>46062.57</v>
      </c>
      <c r="I28" s="13">
        <v>0</v>
      </c>
      <c r="J28" s="12">
        <v>0</v>
      </c>
      <c r="K28" s="12">
        <v>0</v>
      </c>
      <c r="L28" s="13">
        <v>0</v>
      </c>
      <c r="M28" s="22">
        <v>148826.94</v>
      </c>
      <c r="N28" s="23">
        <v>10991618.630000001</v>
      </c>
      <c r="O28" s="23">
        <v>11094383</v>
      </c>
      <c r="P28" s="22">
        <v>46062.57</v>
      </c>
    </row>
    <row r="29" spans="1:16" x14ac:dyDescent="0.3">
      <c r="A29" s="3" t="s">
        <v>57</v>
      </c>
      <c r="B29" s="1">
        <v>2</v>
      </c>
      <c r="C29" s="1">
        <v>0</v>
      </c>
      <c r="D29" s="3" t="s">
        <v>58</v>
      </c>
      <c r="E29" s="13">
        <v>6756.37</v>
      </c>
      <c r="F29" s="12">
        <v>0</v>
      </c>
      <c r="G29" s="12">
        <v>0</v>
      </c>
      <c r="H29" s="13">
        <v>6756.37</v>
      </c>
      <c r="I29" s="13">
        <v>12557.26</v>
      </c>
      <c r="J29" s="12">
        <v>0</v>
      </c>
      <c r="K29" s="12">
        <v>141.31</v>
      </c>
      <c r="L29" s="13">
        <v>12415.95</v>
      </c>
      <c r="M29" s="22">
        <v>19313.63</v>
      </c>
      <c r="N29" s="23">
        <v>0</v>
      </c>
      <c r="O29" s="23">
        <v>141.31</v>
      </c>
      <c r="P29" s="22">
        <v>19172.32</v>
      </c>
    </row>
    <row r="30" spans="1:16" x14ac:dyDescent="0.3">
      <c r="A30" s="3" t="s">
        <v>59</v>
      </c>
      <c r="B30" s="1">
        <v>2</v>
      </c>
      <c r="C30" s="1">
        <v>0</v>
      </c>
      <c r="D30" s="3" t="s">
        <v>60</v>
      </c>
      <c r="E30" s="13">
        <v>330</v>
      </c>
      <c r="F30" s="12">
        <v>0</v>
      </c>
      <c r="G30" s="12">
        <v>0</v>
      </c>
      <c r="H30" s="13">
        <v>330</v>
      </c>
      <c r="I30" s="13">
        <v>603.70000000000005</v>
      </c>
      <c r="J30" s="12">
        <v>0</v>
      </c>
      <c r="K30" s="12">
        <v>0</v>
      </c>
      <c r="L30" s="13">
        <v>603.70000000000005</v>
      </c>
      <c r="M30" s="22">
        <v>933.7</v>
      </c>
      <c r="N30" s="23">
        <v>0</v>
      </c>
      <c r="O30" s="23">
        <v>0</v>
      </c>
      <c r="P30" s="22">
        <v>933.7</v>
      </c>
    </row>
    <row r="31" spans="1:16" x14ac:dyDescent="0.3">
      <c r="A31" s="3" t="s">
        <v>61</v>
      </c>
      <c r="B31" s="1">
        <v>2</v>
      </c>
      <c r="C31" s="1">
        <v>1</v>
      </c>
      <c r="D31" s="3" t="s">
        <v>62</v>
      </c>
      <c r="E31" s="13">
        <v>0</v>
      </c>
      <c r="F31" s="12">
        <v>0</v>
      </c>
      <c r="G31" s="12">
        <v>0</v>
      </c>
      <c r="H31" s="13">
        <v>0</v>
      </c>
      <c r="I31" s="13">
        <v>0.08</v>
      </c>
      <c r="J31" s="12">
        <v>0</v>
      </c>
      <c r="K31" s="12">
        <v>0</v>
      </c>
      <c r="L31" s="13">
        <v>0.08</v>
      </c>
      <c r="M31" s="22">
        <v>0.08</v>
      </c>
      <c r="N31" s="23">
        <v>0</v>
      </c>
      <c r="O31" s="23">
        <v>0</v>
      </c>
      <c r="P31" s="22">
        <v>0.08</v>
      </c>
    </row>
    <row r="32" spans="1:16" x14ac:dyDescent="0.3">
      <c r="A32" s="3" t="s">
        <v>63</v>
      </c>
      <c r="B32" s="1">
        <v>2</v>
      </c>
      <c r="C32" s="1">
        <v>1</v>
      </c>
      <c r="D32" s="3" t="s">
        <v>64</v>
      </c>
      <c r="E32" s="13">
        <v>0</v>
      </c>
      <c r="F32" s="12">
        <v>0</v>
      </c>
      <c r="G32" s="12">
        <v>0</v>
      </c>
      <c r="H32" s="13">
        <v>0</v>
      </c>
      <c r="I32" s="13">
        <v>0.01</v>
      </c>
      <c r="J32" s="12">
        <v>0</v>
      </c>
      <c r="K32" s="12">
        <v>0</v>
      </c>
      <c r="L32" s="13">
        <v>0.01</v>
      </c>
      <c r="M32" s="22">
        <v>0.01</v>
      </c>
      <c r="N32" s="23">
        <v>0</v>
      </c>
      <c r="O32" s="23">
        <v>0</v>
      </c>
      <c r="P32" s="22">
        <v>0.01</v>
      </c>
    </row>
    <row r="33" spans="1:16" x14ac:dyDescent="0.3">
      <c r="A33" s="3" t="s">
        <v>65</v>
      </c>
      <c r="B33" s="1">
        <v>2</v>
      </c>
      <c r="C33" s="1">
        <v>1</v>
      </c>
      <c r="D33" s="3" t="s">
        <v>66</v>
      </c>
      <c r="E33" s="13">
        <v>0</v>
      </c>
      <c r="F33" s="12">
        <v>0</v>
      </c>
      <c r="G33" s="12">
        <v>0</v>
      </c>
      <c r="H33" s="13">
        <v>0</v>
      </c>
      <c r="I33" s="13">
        <v>603.61</v>
      </c>
      <c r="J33" s="12">
        <v>0</v>
      </c>
      <c r="K33" s="12">
        <v>0</v>
      </c>
      <c r="L33" s="13">
        <v>603.61</v>
      </c>
      <c r="M33" s="22">
        <v>603.61</v>
      </c>
      <c r="N33" s="23">
        <v>0</v>
      </c>
      <c r="O33" s="23">
        <v>0</v>
      </c>
      <c r="P33" s="22">
        <v>603.61</v>
      </c>
    </row>
    <row r="34" spans="1:16" x14ac:dyDescent="0.3">
      <c r="A34" s="3" t="s">
        <v>67</v>
      </c>
      <c r="B34" s="1">
        <v>2</v>
      </c>
      <c r="C34" s="1">
        <v>1</v>
      </c>
      <c r="D34" s="3" t="s">
        <v>68</v>
      </c>
      <c r="E34" s="13">
        <v>330</v>
      </c>
      <c r="F34" s="12">
        <v>0</v>
      </c>
      <c r="G34" s="12">
        <v>0</v>
      </c>
      <c r="H34" s="13">
        <v>330</v>
      </c>
      <c r="I34" s="13">
        <v>0</v>
      </c>
      <c r="J34" s="12">
        <v>0</v>
      </c>
      <c r="K34" s="12">
        <v>0</v>
      </c>
      <c r="L34" s="13">
        <v>0</v>
      </c>
      <c r="M34" s="22">
        <v>330</v>
      </c>
      <c r="N34" s="23">
        <v>0</v>
      </c>
      <c r="O34" s="23">
        <v>0</v>
      </c>
      <c r="P34" s="22">
        <v>330</v>
      </c>
    </row>
    <row r="35" spans="1:16" x14ac:dyDescent="0.3">
      <c r="A35" s="3" t="s">
        <v>69</v>
      </c>
      <c r="B35" s="1">
        <v>2</v>
      </c>
      <c r="C35" s="1">
        <v>0</v>
      </c>
      <c r="D35" s="3" t="s">
        <v>70</v>
      </c>
      <c r="E35" s="13">
        <v>6426.37</v>
      </c>
      <c r="F35" s="12">
        <v>0</v>
      </c>
      <c r="G35" s="12">
        <v>0</v>
      </c>
      <c r="H35" s="13">
        <v>6426.37</v>
      </c>
      <c r="I35" s="13">
        <v>11953.56</v>
      </c>
      <c r="J35" s="12">
        <v>0</v>
      </c>
      <c r="K35" s="12">
        <v>141.31</v>
      </c>
      <c r="L35" s="13">
        <v>11812.25</v>
      </c>
      <c r="M35" s="22">
        <v>18379.93</v>
      </c>
      <c r="N35" s="23">
        <v>0</v>
      </c>
      <c r="O35" s="23">
        <v>141.31</v>
      </c>
      <c r="P35" s="22">
        <v>18238.62</v>
      </c>
    </row>
    <row r="36" spans="1:16" x14ac:dyDescent="0.3">
      <c r="A36" s="3" t="s">
        <v>71</v>
      </c>
      <c r="B36" s="1">
        <v>2</v>
      </c>
      <c r="C36" s="1">
        <v>1</v>
      </c>
      <c r="D36" s="3" t="s">
        <v>72</v>
      </c>
      <c r="E36" s="13">
        <v>0</v>
      </c>
      <c r="F36" s="12">
        <v>0</v>
      </c>
      <c r="G36" s="12">
        <v>0</v>
      </c>
      <c r="H36" s="13">
        <v>0</v>
      </c>
      <c r="I36" s="13">
        <v>141.31</v>
      </c>
      <c r="J36" s="12">
        <v>0</v>
      </c>
      <c r="K36" s="12">
        <v>141.31</v>
      </c>
      <c r="L36" s="13">
        <v>0</v>
      </c>
      <c r="M36" s="22">
        <v>141.31</v>
      </c>
      <c r="N36" s="23">
        <v>0</v>
      </c>
      <c r="O36" s="23">
        <v>141.31</v>
      </c>
      <c r="P36" s="22">
        <v>0</v>
      </c>
    </row>
    <row r="37" spans="1:16" x14ac:dyDescent="0.3">
      <c r="A37" s="3" t="s">
        <v>73</v>
      </c>
      <c r="B37" s="1">
        <v>2</v>
      </c>
      <c r="C37" s="1">
        <v>1</v>
      </c>
      <c r="D37" s="3" t="s">
        <v>74</v>
      </c>
      <c r="E37" s="13">
        <v>0</v>
      </c>
      <c r="F37" s="12">
        <v>0</v>
      </c>
      <c r="G37" s="12">
        <v>0</v>
      </c>
      <c r="H37" s="13">
        <v>0</v>
      </c>
      <c r="I37" s="13">
        <v>11812.25</v>
      </c>
      <c r="J37" s="12">
        <v>0</v>
      </c>
      <c r="K37" s="12">
        <v>0</v>
      </c>
      <c r="L37" s="13">
        <v>11812.25</v>
      </c>
      <c r="M37" s="22">
        <v>11812.25</v>
      </c>
      <c r="N37" s="23">
        <v>0</v>
      </c>
      <c r="O37" s="23">
        <v>0</v>
      </c>
      <c r="P37" s="22">
        <v>11812.25</v>
      </c>
    </row>
    <row r="38" spans="1:16" x14ac:dyDescent="0.3">
      <c r="A38" s="3" t="s">
        <v>75</v>
      </c>
      <c r="B38" s="1">
        <v>2</v>
      </c>
      <c r="C38" s="1">
        <v>1</v>
      </c>
      <c r="D38" s="3" t="s">
        <v>76</v>
      </c>
      <c r="E38" s="13">
        <v>6426.37</v>
      </c>
      <c r="F38" s="12">
        <v>0</v>
      </c>
      <c r="G38" s="12">
        <v>0</v>
      </c>
      <c r="H38" s="13">
        <v>6426.37</v>
      </c>
      <c r="I38" s="13">
        <v>0</v>
      </c>
      <c r="J38" s="12">
        <v>0</v>
      </c>
      <c r="K38" s="12">
        <v>0</v>
      </c>
      <c r="L38" s="13">
        <v>0</v>
      </c>
      <c r="M38" s="22">
        <v>6426.37</v>
      </c>
      <c r="N38" s="23">
        <v>0</v>
      </c>
      <c r="O38" s="23">
        <v>0</v>
      </c>
      <c r="P38" s="22">
        <v>6426.37</v>
      </c>
    </row>
    <row r="39" spans="1:16" x14ac:dyDescent="0.3">
      <c r="A39" s="3" t="s">
        <v>77</v>
      </c>
      <c r="B39" s="2">
        <v>1</v>
      </c>
      <c r="C39" s="2">
        <v>0</v>
      </c>
      <c r="D39" s="14" t="s">
        <v>78</v>
      </c>
      <c r="E39" s="15">
        <v>15067159.939999999</v>
      </c>
      <c r="F39" s="16">
        <v>17216204.039999999</v>
      </c>
      <c r="G39" s="16">
        <v>12371764.01</v>
      </c>
      <c r="H39" s="15">
        <v>19911599.969999999</v>
      </c>
      <c r="I39" s="15">
        <v>22538921.609999999</v>
      </c>
      <c r="J39" s="16">
        <v>10277686.52</v>
      </c>
      <c r="K39" s="16">
        <v>10327954.85</v>
      </c>
      <c r="L39" s="15">
        <v>22488653.280000001</v>
      </c>
      <c r="M39" s="15">
        <v>37606081.549999997</v>
      </c>
      <c r="N39" s="16">
        <v>27493890.559999999</v>
      </c>
      <c r="O39" s="16">
        <v>22699718.859999999</v>
      </c>
      <c r="P39" s="15">
        <v>42400253.25</v>
      </c>
    </row>
    <row r="40" spans="1:16" x14ac:dyDescent="0.3">
      <c r="A40" s="3" t="s">
        <v>79</v>
      </c>
      <c r="B40" s="1">
        <v>2</v>
      </c>
      <c r="C40" s="1">
        <v>0</v>
      </c>
      <c r="D40" s="3" t="s">
        <v>80</v>
      </c>
      <c r="E40" s="13">
        <v>15067159.939999999</v>
      </c>
      <c r="F40" s="12">
        <v>17216204.039999999</v>
      </c>
      <c r="G40" s="12">
        <v>12371764.01</v>
      </c>
      <c r="H40" s="13">
        <v>19911599.969999999</v>
      </c>
      <c r="I40" s="13">
        <v>22538921.609999999</v>
      </c>
      <c r="J40" s="12">
        <v>10277686.52</v>
      </c>
      <c r="K40" s="12">
        <v>10327954.85</v>
      </c>
      <c r="L40" s="13">
        <v>22488653.280000001</v>
      </c>
      <c r="M40" s="22">
        <v>37606081.549999997</v>
      </c>
      <c r="N40" s="23">
        <v>27493890.559999999</v>
      </c>
      <c r="O40" s="23">
        <v>22699718.859999999</v>
      </c>
      <c r="P40" s="22">
        <v>42400253.25</v>
      </c>
    </row>
    <row r="41" spans="1:16" x14ac:dyDescent="0.3">
      <c r="A41" s="3" t="s">
        <v>81</v>
      </c>
      <c r="B41" s="1">
        <v>4</v>
      </c>
      <c r="C41" s="1">
        <v>0</v>
      </c>
      <c r="D41" s="3" t="s">
        <v>82</v>
      </c>
      <c r="E41" s="13">
        <v>3133579.48</v>
      </c>
      <c r="F41" s="12">
        <v>9210365.1999999993</v>
      </c>
      <c r="G41" s="12">
        <v>9307700.8000000007</v>
      </c>
      <c r="H41" s="13">
        <v>3036243.88</v>
      </c>
      <c r="I41" s="13">
        <v>14206200.039999999</v>
      </c>
      <c r="J41" s="12">
        <v>4723220.1500000004</v>
      </c>
      <c r="K41" s="12">
        <v>3925427.49</v>
      </c>
      <c r="L41" s="13">
        <v>15003992.699999999</v>
      </c>
      <c r="M41" s="22">
        <v>17339779.52</v>
      </c>
      <c r="N41" s="23">
        <v>13933585.35</v>
      </c>
      <c r="O41" s="23">
        <v>13233128.290000001</v>
      </c>
      <c r="P41" s="22">
        <v>18040236.579999998</v>
      </c>
    </row>
    <row r="42" spans="1:16" x14ac:dyDescent="0.3">
      <c r="A42" s="3" t="s">
        <v>83</v>
      </c>
      <c r="B42" s="1">
        <v>2</v>
      </c>
      <c r="C42" s="1">
        <v>1</v>
      </c>
      <c r="D42" s="3" t="s">
        <v>84</v>
      </c>
      <c r="E42" s="13">
        <v>0</v>
      </c>
      <c r="F42" s="12">
        <v>0</v>
      </c>
      <c r="G42" s="12">
        <v>0</v>
      </c>
      <c r="H42" s="13">
        <v>0</v>
      </c>
      <c r="I42" s="13">
        <v>0</v>
      </c>
      <c r="J42" s="12">
        <v>1317916.96</v>
      </c>
      <c r="K42" s="12">
        <v>107615.36</v>
      </c>
      <c r="L42" s="13">
        <v>1210301.6000000001</v>
      </c>
      <c r="M42" s="22">
        <v>0</v>
      </c>
      <c r="N42" s="23">
        <v>1317916.96</v>
      </c>
      <c r="O42" s="23">
        <v>107615.36</v>
      </c>
      <c r="P42" s="22">
        <v>1210301.6000000001</v>
      </c>
    </row>
    <row r="43" spans="1:16" x14ac:dyDescent="0.3">
      <c r="A43" s="3" t="s">
        <v>85</v>
      </c>
      <c r="B43" s="1">
        <v>2</v>
      </c>
      <c r="C43" s="1">
        <v>1</v>
      </c>
      <c r="D43" s="3" t="s">
        <v>86</v>
      </c>
      <c r="E43" s="13">
        <v>0</v>
      </c>
      <c r="F43" s="12">
        <v>0</v>
      </c>
      <c r="G43" s="12">
        <v>0</v>
      </c>
      <c r="H43" s="13">
        <v>0</v>
      </c>
      <c r="I43" s="13">
        <v>0</v>
      </c>
      <c r="J43" s="12">
        <v>732281.09</v>
      </c>
      <c r="K43" s="12">
        <v>0</v>
      </c>
      <c r="L43" s="13">
        <v>732281.09</v>
      </c>
      <c r="M43" s="22">
        <v>0</v>
      </c>
      <c r="N43" s="23">
        <v>732281.09</v>
      </c>
      <c r="O43" s="23">
        <v>0</v>
      </c>
      <c r="P43" s="22">
        <v>732281.09</v>
      </c>
    </row>
    <row r="44" spans="1:16" x14ac:dyDescent="0.3">
      <c r="A44" s="3" t="s">
        <v>87</v>
      </c>
      <c r="B44" s="1">
        <v>2</v>
      </c>
      <c r="C44" s="1">
        <v>1</v>
      </c>
      <c r="D44" s="3" t="s">
        <v>88</v>
      </c>
      <c r="E44" s="13">
        <v>0</v>
      </c>
      <c r="F44" s="12">
        <v>0</v>
      </c>
      <c r="G44" s="12">
        <v>0</v>
      </c>
      <c r="H44" s="13">
        <v>0</v>
      </c>
      <c r="I44" s="13">
        <v>3326525.77</v>
      </c>
      <c r="J44" s="12">
        <v>842719.58</v>
      </c>
      <c r="K44" s="12">
        <v>1312068.25</v>
      </c>
      <c r="L44" s="13">
        <v>2857177.1</v>
      </c>
      <c r="M44" s="22">
        <v>3326525.77</v>
      </c>
      <c r="N44" s="23">
        <v>842719.58</v>
      </c>
      <c r="O44" s="23">
        <v>1312068.25</v>
      </c>
      <c r="P44" s="22">
        <v>2857177.1</v>
      </c>
    </row>
    <row r="45" spans="1:16" x14ac:dyDescent="0.3">
      <c r="A45" s="3" t="s">
        <v>89</v>
      </c>
      <c r="B45" s="1">
        <v>2</v>
      </c>
      <c r="C45" s="1">
        <v>1</v>
      </c>
      <c r="D45" s="3" t="s">
        <v>90</v>
      </c>
      <c r="E45" s="13">
        <v>0</v>
      </c>
      <c r="F45" s="12">
        <v>0</v>
      </c>
      <c r="G45" s="12">
        <v>0</v>
      </c>
      <c r="H45" s="13">
        <v>0</v>
      </c>
      <c r="I45" s="13">
        <v>1517498.57</v>
      </c>
      <c r="J45" s="12">
        <v>188546.4</v>
      </c>
      <c r="K45" s="12">
        <v>201943.99</v>
      </c>
      <c r="L45" s="13">
        <v>1504100.98</v>
      </c>
      <c r="M45" s="22">
        <v>1517498.57</v>
      </c>
      <c r="N45" s="23">
        <v>188546.4</v>
      </c>
      <c r="O45" s="23">
        <v>201943.99</v>
      </c>
      <c r="P45" s="22">
        <v>1504100.98</v>
      </c>
    </row>
    <row r="46" spans="1:16" x14ac:dyDescent="0.3">
      <c r="A46" s="3" t="s">
        <v>91</v>
      </c>
      <c r="B46" s="1">
        <v>2</v>
      </c>
      <c r="C46" s="1">
        <v>1</v>
      </c>
      <c r="D46" s="3" t="s">
        <v>92</v>
      </c>
      <c r="E46" s="13">
        <v>3133579.48</v>
      </c>
      <c r="F46" s="12">
        <v>9200203.5999999996</v>
      </c>
      <c r="G46" s="12">
        <v>9297539.1999999993</v>
      </c>
      <c r="H46" s="13">
        <v>3036243.88</v>
      </c>
      <c r="I46" s="13">
        <v>6398069.6799999997</v>
      </c>
      <c r="J46" s="12">
        <v>1233892</v>
      </c>
      <c r="K46" s="12">
        <v>874823.02</v>
      </c>
      <c r="L46" s="13">
        <v>6757138.6600000001</v>
      </c>
      <c r="M46" s="22">
        <v>9531649.1600000001</v>
      </c>
      <c r="N46" s="23">
        <v>10434095.6</v>
      </c>
      <c r="O46" s="23">
        <v>10172362.219999999</v>
      </c>
      <c r="P46" s="22">
        <v>9793382.5399999991</v>
      </c>
    </row>
    <row r="47" spans="1:16" x14ac:dyDescent="0.3">
      <c r="A47" s="3" t="s">
        <v>93</v>
      </c>
      <c r="B47" s="1">
        <v>2</v>
      </c>
      <c r="C47" s="1">
        <v>1</v>
      </c>
      <c r="D47" s="3" t="s">
        <v>94</v>
      </c>
      <c r="E47" s="13">
        <v>0</v>
      </c>
      <c r="F47" s="12">
        <v>0</v>
      </c>
      <c r="G47" s="12">
        <v>0</v>
      </c>
      <c r="H47" s="13">
        <v>0</v>
      </c>
      <c r="I47" s="13">
        <v>2665100.94</v>
      </c>
      <c r="J47" s="12">
        <v>407864.12</v>
      </c>
      <c r="K47" s="12">
        <v>1428976.87</v>
      </c>
      <c r="L47" s="13">
        <v>1643988.19</v>
      </c>
      <c r="M47" s="22">
        <v>2665100.94</v>
      </c>
      <c r="N47" s="23">
        <v>407864.12</v>
      </c>
      <c r="O47" s="23">
        <v>1428976.87</v>
      </c>
      <c r="P47" s="22">
        <v>1643988.19</v>
      </c>
    </row>
    <row r="48" spans="1:16" x14ac:dyDescent="0.3">
      <c r="A48" s="3" t="s">
        <v>95</v>
      </c>
      <c r="B48" s="1">
        <v>2</v>
      </c>
      <c r="C48" s="1">
        <v>1</v>
      </c>
      <c r="D48" s="3" t="s">
        <v>96</v>
      </c>
      <c r="E48" s="13">
        <v>0</v>
      </c>
      <c r="F48" s="12">
        <v>0</v>
      </c>
      <c r="G48" s="12">
        <v>0</v>
      </c>
      <c r="H48" s="13">
        <v>0</v>
      </c>
      <c r="I48" s="13">
        <v>299005.08</v>
      </c>
      <c r="J48" s="12">
        <v>0</v>
      </c>
      <c r="K48" s="12">
        <v>0</v>
      </c>
      <c r="L48" s="13">
        <v>299005.08</v>
      </c>
      <c r="M48" s="22">
        <v>299005.08</v>
      </c>
      <c r="N48" s="23">
        <v>0</v>
      </c>
      <c r="O48" s="23">
        <v>0</v>
      </c>
      <c r="P48" s="22">
        <v>299005.08</v>
      </c>
    </row>
    <row r="49" spans="1:16" x14ac:dyDescent="0.3">
      <c r="A49" s="3" t="s">
        <v>97</v>
      </c>
      <c r="B49" s="1">
        <v>2</v>
      </c>
      <c r="C49" s="1">
        <v>1</v>
      </c>
      <c r="D49" s="3" t="s">
        <v>98</v>
      </c>
      <c r="E49" s="13">
        <v>0</v>
      </c>
      <c r="F49" s="12">
        <v>10161.6</v>
      </c>
      <c r="G49" s="12">
        <v>10161.6</v>
      </c>
      <c r="H49" s="13">
        <v>0</v>
      </c>
      <c r="I49" s="13">
        <v>0</v>
      </c>
      <c r="J49" s="12">
        <v>0</v>
      </c>
      <c r="K49" s="12">
        <v>0</v>
      </c>
      <c r="L49" s="13">
        <v>0</v>
      </c>
      <c r="M49" s="22">
        <v>0</v>
      </c>
      <c r="N49" s="23">
        <v>10161.6</v>
      </c>
      <c r="O49" s="23">
        <v>10161.6</v>
      </c>
      <c r="P49" s="22">
        <v>0</v>
      </c>
    </row>
    <row r="50" spans="1:16" x14ac:dyDescent="0.3">
      <c r="A50" s="3" t="s">
        <v>99</v>
      </c>
      <c r="B50" s="1">
        <v>2</v>
      </c>
      <c r="C50" s="1">
        <v>0</v>
      </c>
      <c r="D50" s="3" t="s">
        <v>100</v>
      </c>
      <c r="E50" s="13">
        <v>9233586.7300000004</v>
      </c>
      <c r="F50" s="12">
        <v>7943552.1699999999</v>
      </c>
      <c r="G50" s="12">
        <v>3064063.21</v>
      </c>
      <c r="H50" s="13">
        <v>14113075.689999999</v>
      </c>
      <c r="I50" s="13">
        <v>4633397.72</v>
      </c>
      <c r="J50" s="12">
        <v>4086183.76</v>
      </c>
      <c r="K50" s="12">
        <v>5755474.2599999998</v>
      </c>
      <c r="L50" s="13">
        <v>2964107.22</v>
      </c>
      <c r="M50" s="22">
        <v>13866984.449999999</v>
      </c>
      <c r="N50" s="23">
        <v>12029735.93</v>
      </c>
      <c r="O50" s="23">
        <v>8819537.4699999988</v>
      </c>
      <c r="P50" s="22">
        <v>17077182.91</v>
      </c>
    </row>
    <row r="51" spans="1:16" x14ac:dyDescent="0.3">
      <c r="A51" s="3" t="s">
        <v>101</v>
      </c>
      <c r="B51" s="1">
        <v>2</v>
      </c>
      <c r="C51" s="1">
        <v>1</v>
      </c>
      <c r="D51" s="3" t="s">
        <v>102</v>
      </c>
      <c r="E51" s="13">
        <v>4504792.3099999996</v>
      </c>
      <c r="F51" s="12">
        <v>2350139.4900000002</v>
      </c>
      <c r="G51" s="12">
        <v>1156837.83</v>
      </c>
      <c r="H51" s="13">
        <v>5698093.9699999997</v>
      </c>
      <c r="I51" s="13">
        <v>0</v>
      </c>
      <c r="J51" s="12">
        <v>0</v>
      </c>
      <c r="K51" s="12">
        <v>0</v>
      </c>
      <c r="L51" s="13">
        <v>0</v>
      </c>
      <c r="M51" s="22">
        <v>4504792.3099999996</v>
      </c>
      <c r="N51" s="23">
        <v>2350139.4900000002</v>
      </c>
      <c r="O51" s="23">
        <v>1156837.83</v>
      </c>
      <c r="P51" s="22">
        <v>5698093.9699999997</v>
      </c>
    </row>
    <row r="52" spans="1:16" x14ac:dyDescent="0.3">
      <c r="A52" s="3" t="s">
        <v>103</v>
      </c>
      <c r="B52" s="1">
        <v>2</v>
      </c>
      <c r="C52" s="1">
        <v>1</v>
      </c>
      <c r="D52" s="3" t="s">
        <v>104</v>
      </c>
      <c r="E52" s="13">
        <v>240137.63</v>
      </c>
      <c r="F52" s="12">
        <v>1033966.61</v>
      </c>
      <c r="G52" s="12">
        <v>290137.63</v>
      </c>
      <c r="H52" s="13">
        <v>983966.61</v>
      </c>
      <c r="I52" s="13">
        <v>0</v>
      </c>
      <c r="J52" s="12">
        <v>0</v>
      </c>
      <c r="K52" s="12">
        <v>0</v>
      </c>
      <c r="L52" s="13">
        <v>0</v>
      </c>
      <c r="M52" s="22">
        <v>240137.63</v>
      </c>
      <c r="N52" s="23">
        <v>1033966.61</v>
      </c>
      <c r="O52" s="23">
        <v>290137.63</v>
      </c>
      <c r="P52" s="22">
        <v>983966.61</v>
      </c>
    </row>
    <row r="53" spans="1:16" x14ac:dyDescent="0.3">
      <c r="A53" s="3" t="s">
        <v>105</v>
      </c>
      <c r="B53" s="1">
        <v>2</v>
      </c>
      <c r="C53" s="1">
        <v>1</v>
      </c>
      <c r="D53" s="3" t="s">
        <v>106</v>
      </c>
      <c r="E53" s="13">
        <v>776813.75</v>
      </c>
      <c r="F53" s="12">
        <v>271729.90000000002</v>
      </c>
      <c r="G53" s="12">
        <v>414658.33</v>
      </c>
      <c r="H53" s="13">
        <v>633885.31999999995</v>
      </c>
      <c r="I53" s="13">
        <v>0</v>
      </c>
      <c r="J53" s="12">
        <v>0</v>
      </c>
      <c r="K53" s="12">
        <v>0</v>
      </c>
      <c r="L53" s="13">
        <v>0</v>
      </c>
      <c r="M53" s="22">
        <v>776813.75</v>
      </c>
      <c r="N53" s="23">
        <v>271729.90000000002</v>
      </c>
      <c r="O53" s="23">
        <v>414658.33</v>
      </c>
      <c r="P53" s="22">
        <v>633885.31999999995</v>
      </c>
    </row>
    <row r="54" spans="1:16" x14ac:dyDescent="0.3">
      <c r="A54" s="3" t="s">
        <v>107</v>
      </c>
      <c r="B54" s="1">
        <v>2</v>
      </c>
      <c r="C54" s="1">
        <v>1</v>
      </c>
      <c r="D54" s="3" t="s">
        <v>108</v>
      </c>
      <c r="E54" s="13">
        <v>221321.26</v>
      </c>
      <c r="F54" s="12">
        <v>227757.01</v>
      </c>
      <c r="G54" s="12">
        <v>113547.27</v>
      </c>
      <c r="H54" s="13">
        <v>335531</v>
      </c>
      <c r="I54" s="13">
        <v>0</v>
      </c>
      <c r="J54" s="12">
        <v>0</v>
      </c>
      <c r="K54" s="12">
        <v>0</v>
      </c>
      <c r="L54" s="13">
        <v>0</v>
      </c>
      <c r="M54" s="22">
        <v>221321.26</v>
      </c>
      <c r="N54" s="23">
        <v>227757.01</v>
      </c>
      <c r="O54" s="23">
        <v>113547.27</v>
      </c>
      <c r="P54" s="22">
        <v>335531</v>
      </c>
    </row>
    <row r="55" spans="1:16" x14ac:dyDescent="0.3">
      <c r="A55" s="3" t="s">
        <v>109</v>
      </c>
      <c r="B55" s="1">
        <v>2</v>
      </c>
      <c r="C55" s="1">
        <v>1</v>
      </c>
      <c r="D55" s="3" t="s">
        <v>110</v>
      </c>
      <c r="E55" s="13">
        <v>51333.48</v>
      </c>
      <c r="F55" s="12">
        <v>159668.43</v>
      </c>
      <c r="G55" s="12">
        <v>51333.48</v>
      </c>
      <c r="H55" s="13">
        <v>159668.43</v>
      </c>
      <c r="I55" s="13">
        <v>0</v>
      </c>
      <c r="J55" s="12">
        <v>0</v>
      </c>
      <c r="K55" s="12">
        <v>0</v>
      </c>
      <c r="L55" s="13">
        <v>0</v>
      </c>
      <c r="M55" s="22">
        <v>51333.48</v>
      </c>
      <c r="N55" s="23">
        <v>159668.43</v>
      </c>
      <c r="O55" s="23">
        <v>51333.48</v>
      </c>
      <c r="P55" s="22">
        <v>159668.43</v>
      </c>
    </row>
    <row r="56" spans="1:16" x14ac:dyDescent="0.3">
      <c r="A56" s="3" t="s">
        <v>111</v>
      </c>
      <c r="B56" s="1">
        <v>2</v>
      </c>
      <c r="C56" s="1">
        <v>1</v>
      </c>
      <c r="D56" s="3" t="s">
        <v>112</v>
      </c>
      <c r="E56" s="13">
        <v>1674160.01</v>
      </c>
      <c r="F56" s="12">
        <v>474885.07</v>
      </c>
      <c r="G56" s="12">
        <v>552347.49</v>
      </c>
      <c r="H56" s="13">
        <v>1596697.59</v>
      </c>
      <c r="I56" s="13">
        <v>479294</v>
      </c>
      <c r="J56" s="12">
        <v>0</v>
      </c>
      <c r="K56" s="12">
        <v>0</v>
      </c>
      <c r="L56" s="13">
        <v>479294</v>
      </c>
      <c r="M56" s="22">
        <v>2153454.0099999998</v>
      </c>
      <c r="N56" s="23">
        <v>474885.07</v>
      </c>
      <c r="O56" s="23">
        <v>552347.49</v>
      </c>
      <c r="P56" s="22">
        <v>2075991.59</v>
      </c>
    </row>
    <row r="57" spans="1:16" x14ac:dyDescent="0.3">
      <c r="A57" s="3" t="s">
        <v>113</v>
      </c>
      <c r="B57" s="1">
        <v>2</v>
      </c>
      <c r="C57" s="1">
        <v>1</v>
      </c>
      <c r="D57" s="3" t="s">
        <v>114</v>
      </c>
      <c r="E57" s="13">
        <v>0</v>
      </c>
      <c r="F57" s="12">
        <v>17994.82</v>
      </c>
      <c r="G57" s="12">
        <v>0</v>
      </c>
      <c r="H57" s="13">
        <v>17994.82</v>
      </c>
      <c r="I57" s="13">
        <v>0</v>
      </c>
      <c r="J57" s="12">
        <v>0</v>
      </c>
      <c r="K57" s="12">
        <v>0</v>
      </c>
      <c r="L57" s="13">
        <v>0</v>
      </c>
      <c r="M57" s="22">
        <v>0</v>
      </c>
      <c r="N57" s="23">
        <v>17994.82</v>
      </c>
      <c r="O57" s="23">
        <v>0</v>
      </c>
      <c r="P57" s="22">
        <v>17994.82</v>
      </c>
    </row>
    <row r="58" spans="1:16" x14ac:dyDescent="0.3">
      <c r="A58" s="3" t="s">
        <v>115</v>
      </c>
      <c r="B58" s="1">
        <v>2</v>
      </c>
      <c r="C58" s="1">
        <v>1</v>
      </c>
      <c r="D58" s="3" t="s">
        <v>116</v>
      </c>
      <c r="E58" s="13">
        <v>0</v>
      </c>
      <c r="F58" s="12">
        <v>0</v>
      </c>
      <c r="G58" s="12">
        <v>0</v>
      </c>
      <c r="H58" s="13">
        <v>0</v>
      </c>
      <c r="I58" s="13">
        <v>3222.14</v>
      </c>
      <c r="J58" s="12">
        <v>0</v>
      </c>
      <c r="K58" s="12">
        <v>0</v>
      </c>
      <c r="L58" s="13">
        <v>3222.14</v>
      </c>
      <c r="M58" s="22">
        <v>3222.14</v>
      </c>
      <c r="N58" s="23">
        <v>0</v>
      </c>
      <c r="O58" s="23">
        <v>0</v>
      </c>
      <c r="P58" s="22">
        <v>3222.14</v>
      </c>
    </row>
    <row r="59" spans="1:16" x14ac:dyDescent="0.3">
      <c r="A59" s="3" t="s">
        <v>117</v>
      </c>
      <c r="B59" s="1">
        <v>2</v>
      </c>
      <c r="C59" s="1">
        <v>1</v>
      </c>
      <c r="D59" s="3" t="s">
        <v>118</v>
      </c>
      <c r="E59" s="13">
        <v>0</v>
      </c>
      <c r="F59" s="12">
        <v>0</v>
      </c>
      <c r="G59" s="12">
        <v>0</v>
      </c>
      <c r="H59" s="13">
        <v>0</v>
      </c>
      <c r="I59" s="13">
        <v>735487.53</v>
      </c>
      <c r="J59" s="12">
        <v>170952.68</v>
      </c>
      <c r="K59" s="12">
        <v>208472.54</v>
      </c>
      <c r="L59" s="13">
        <v>697967.67</v>
      </c>
      <c r="M59" s="22">
        <v>735487.53</v>
      </c>
      <c r="N59" s="23">
        <v>170952.68</v>
      </c>
      <c r="O59" s="23">
        <v>208472.54</v>
      </c>
      <c r="P59" s="22">
        <v>697967.67</v>
      </c>
    </row>
    <row r="60" spans="1:16" x14ac:dyDescent="0.3">
      <c r="A60" s="3" t="s">
        <v>119</v>
      </c>
      <c r="B60" s="1">
        <v>2</v>
      </c>
      <c r="C60" s="1">
        <v>1</v>
      </c>
      <c r="D60" s="3" t="s">
        <v>120</v>
      </c>
      <c r="E60" s="13">
        <v>0</v>
      </c>
      <c r="F60" s="12">
        <v>434540.37</v>
      </c>
      <c r="G60" s="12">
        <v>165818.47</v>
      </c>
      <c r="H60" s="13">
        <v>268721.90000000002</v>
      </c>
      <c r="I60" s="13">
        <v>964928.71</v>
      </c>
      <c r="J60" s="12">
        <v>0</v>
      </c>
      <c r="K60" s="12">
        <v>964928.71</v>
      </c>
      <c r="L60" s="13">
        <v>0</v>
      </c>
      <c r="M60" s="22">
        <v>964928.71</v>
      </c>
      <c r="N60" s="23">
        <v>434540.37</v>
      </c>
      <c r="O60" s="23">
        <v>1130747.18</v>
      </c>
      <c r="P60" s="22">
        <v>268721.90000000002</v>
      </c>
    </row>
    <row r="61" spans="1:16" x14ac:dyDescent="0.3">
      <c r="A61" s="3" t="s">
        <v>121</v>
      </c>
      <c r="B61" s="1">
        <v>2</v>
      </c>
      <c r="C61" s="1">
        <v>1</v>
      </c>
      <c r="D61" s="3" t="s">
        <v>122</v>
      </c>
      <c r="E61" s="13">
        <v>0</v>
      </c>
      <c r="F61" s="12">
        <v>0</v>
      </c>
      <c r="G61" s="12">
        <v>0</v>
      </c>
      <c r="H61" s="13">
        <v>0</v>
      </c>
      <c r="I61" s="13">
        <v>534800.36</v>
      </c>
      <c r="J61" s="12">
        <v>262711.32</v>
      </c>
      <c r="K61" s="12">
        <v>169999.98</v>
      </c>
      <c r="L61" s="13">
        <v>627511.69999999995</v>
      </c>
      <c r="M61" s="22">
        <v>534800.36</v>
      </c>
      <c r="N61" s="23">
        <v>262711.32</v>
      </c>
      <c r="O61" s="23">
        <v>169999.98</v>
      </c>
      <c r="P61" s="22">
        <v>627511.69999999995</v>
      </c>
    </row>
    <row r="62" spans="1:16" x14ac:dyDescent="0.3">
      <c r="A62" s="3" t="s">
        <v>123</v>
      </c>
      <c r="B62" s="1">
        <v>2</v>
      </c>
      <c r="C62" s="1">
        <v>1</v>
      </c>
      <c r="D62" s="3" t="s">
        <v>124</v>
      </c>
      <c r="E62" s="13">
        <v>0</v>
      </c>
      <c r="F62" s="12">
        <v>237551.01</v>
      </c>
      <c r="G62" s="12">
        <v>0</v>
      </c>
      <c r="H62" s="13">
        <v>237551.01</v>
      </c>
      <c r="I62" s="13">
        <v>346332.5</v>
      </c>
      <c r="J62" s="12">
        <v>0</v>
      </c>
      <c r="K62" s="12">
        <v>346332.5</v>
      </c>
      <c r="L62" s="13">
        <v>0</v>
      </c>
      <c r="M62" s="22">
        <v>346332.5</v>
      </c>
      <c r="N62" s="23">
        <v>237551.01</v>
      </c>
      <c r="O62" s="23">
        <v>346332.5</v>
      </c>
      <c r="P62" s="22">
        <v>237551.01</v>
      </c>
    </row>
    <row r="63" spans="1:16" x14ac:dyDescent="0.3">
      <c r="A63" s="3" t="s">
        <v>125</v>
      </c>
      <c r="B63" s="1">
        <v>2</v>
      </c>
      <c r="C63" s="1">
        <v>1</v>
      </c>
      <c r="D63" s="3" t="s">
        <v>126</v>
      </c>
      <c r="E63" s="13">
        <v>44415.45</v>
      </c>
      <c r="F63" s="12">
        <v>56879.56</v>
      </c>
      <c r="G63" s="12">
        <v>44415.45</v>
      </c>
      <c r="H63" s="13">
        <v>56879.56</v>
      </c>
      <c r="I63" s="13">
        <v>190041.32</v>
      </c>
      <c r="J63" s="12">
        <v>0</v>
      </c>
      <c r="K63" s="12">
        <v>190041.32</v>
      </c>
      <c r="L63" s="13">
        <v>0</v>
      </c>
      <c r="M63" s="22">
        <v>234456.77000000002</v>
      </c>
      <c r="N63" s="23">
        <v>56879.56</v>
      </c>
      <c r="O63" s="23">
        <v>234456.77000000002</v>
      </c>
      <c r="P63" s="22">
        <v>56879.56</v>
      </c>
    </row>
    <row r="64" spans="1:16" x14ac:dyDescent="0.3">
      <c r="A64" s="3" t="s">
        <v>127</v>
      </c>
      <c r="B64" s="1">
        <v>2</v>
      </c>
      <c r="C64" s="1">
        <v>1</v>
      </c>
      <c r="D64" s="3" t="s">
        <v>128</v>
      </c>
      <c r="E64" s="13">
        <v>192390.27</v>
      </c>
      <c r="F64" s="12">
        <v>93151.38</v>
      </c>
      <c r="G64" s="12">
        <v>0</v>
      </c>
      <c r="H64" s="13">
        <v>285541.65000000002</v>
      </c>
      <c r="I64" s="13">
        <v>0</v>
      </c>
      <c r="J64" s="12">
        <v>0</v>
      </c>
      <c r="K64" s="12">
        <v>0</v>
      </c>
      <c r="L64" s="13">
        <v>0</v>
      </c>
      <c r="M64" s="22">
        <v>192390.27</v>
      </c>
      <c r="N64" s="23">
        <v>93151.38</v>
      </c>
      <c r="O64" s="23">
        <v>0</v>
      </c>
      <c r="P64" s="22">
        <v>285541.65000000002</v>
      </c>
    </row>
    <row r="65" spans="1:16" x14ac:dyDescent="0.3">
      <c r="A65" s="3" t="s">
        <v>129</v>
      </c>
      <c r="B65" s="1">
        <v>2</v>
      </c>
      <c r="C65" s="1">
        <v>1</v>
      </c>
      <c r="D65" s="3" t="s">
        <v>130</v>
      </c>
      <c r="E65" s="13">
        <v>0</v>
      </c>
      <c r="F65" s="12">
        <v>0</v>
      </c>
      <c r="G65" s="12">
        <v>0</v>
      </c>
      <c r="H65" s="13">
        <v>0</v>
      </c>
      <c r="I65" s="13">
        <v>640948.65</v>
      </c>
      <c r="J65" s="12">
        <v>135058.41</v>
      </c>
      <c r="K65" s="12">
        <v>392769.04</v>
      </c>
      <c r="L65" s="13">
        <v>383238.02</v>
      </c>
      <c r="M65" s="22">
        <v>640948.65</v>
      </c>
      <c r="N65" s="23">
        <v>135058.41</v>
      </c>
      <c r="O65" s="23">
        <v>392769.04</v>
      </c>
      <c r="P65" s="22">
        <v>383238.02</v>
      </c>
    </row>
    <row r="66" spans="1:16" x14ac:dyDescent="0.3">
      <c r="A66" s="3" t="s">
        <v>131</v>
      </c>
      <c r="B66" s="1">
        <v>2</v>
      </c>
      <c r="C66" s="1">
        <v>1</v>
      </c>
      <c r="D66" s="3" t="s">
        <v>132</v>
      </c>
      <c r="E66" s="13">
        <v>127800.39</v>
      </c>
      <c r="F66" s="12">
        <v>580483.51</v>
      </c>
      <c r="G66" s="12">
        <v>287.33</v>
      </c>
      <c r="H66" s="13">
        <v>707996.57</v>
      </c>
      <c r="I66" s="13">
        <v>244332.31</v>
      </c>
      <c r="J66" s="12">
        <v>0</v>
      </c>
      <c r="K66" s="12">
        <v>244332.31</v>
      </c>
      <c r="L66" s="13">
        <v>0</v>
      </c>
      <c r="M66" s="22">
        <v>372132.7</v>
      </c>
      <c r="N66" s="23">
        <v>580483.51</v>
      </c>
      <c r="O66" s="23">
        <v>244619.63999999998</v>
      </c>
      <c r="P66" s="22">
        <v>707996.57</v>
      </c>
    </row>
    <row r="67" spans="1:16" x14ac:dyDescent="0.3">
      <c r="A67" s="3" t="s">
        <v>133</v>
      </c>
      <c r="B67" s="1">
        <v>2</v>
      </c>
      <c r="C67" s="1">
        <v>1</v>
      </c>
      <c r="D67" s="3" t="s">
        <v>134</v>
      </c>
      <c r="E67" s="13">
        <v>32816.400000000001</v>
      </c>
      <c r="F67" s="12">
        <v>48343.93</v>
      </c>
      <c r="G67" s="12">
        <v>32816.400000000001</v>
      </c>
      <c r="H67" s="13">
        <v>48343.93</v>
      </c>
      <c r="I67" s="13">
        <v>55094.78</v>
      </c>
      <c r="J67" s="12">
        <v>0</v>
      </c>
      <c r="K67" s="12">
        <v>55094.78</v>
      </c>
      <c r="L67" s="13">
        <v>0</v>
      </c>
      <c r="M67" s="22">
        <v>87911.18</v>
      </c>
      <c r="N67" s="23">
        <v>48343.93</v>
      </c>
      <c r="O67" s="23">
        <v>87911.18</v>
      </c>
      <c r="P67" s="22">
        <v>48343.93</v>
      </c>
    </row>
    <row r="68" spans="1:16" x14ac:dyDescent="0.3">
      <c r="A68" s="3" t="s">
        <v>135</v>
      </c>
      <c r="B68" s="1">
        <v>2</v>
      </c>
      <c r="C68" s="1">
        <v>1</v>
      </c>
      <c r="D68" s="3" t="s">
        <v>136</v>
      </c>
      <c r="E68" s="13">
        <v>0</v>
      </c>
      <c r="F68" s="12">
        <v>0</v>
      </c>
      <c r="G68" s="12">
        <v>0</v>
      </c>
      <c r="H68" s="13">
        <v>0</v>
      </c>
      <c r="I68" s="13">
        <v>252876.54</v>
      </c>
      <c r="J68" s="12">
        <v>3517461.35</v>
      </c>
      <c r="K68" s="12">
        <v>3032294.27</v>
      </c>
      <c r="L68" s="13">
        <v>738043.62</v>
      </c>
      <c r="M68" s="22">
        <v>252876.54</v>
      </c>
      <c r="N68" s="23">
        <v>3517461.35</v>
      </c>
      <c r="O68" s="23">
        <v>3032294.27</v>
      </c>
      <c r="P68" s="22">
        <v>738043.62</v>
      </c>
    </row>
    <row r="69" spans="1:16" x14ac:dyDescent="0.3">
      <c r="A69" s="3" t="s">
        <v>137</v>
      </c>
      <c r="B69" s="1">
        <v>2</v>
      </c>
      <c r="C69" s="1">
        <v>1</v>
      </c>
      <c r="D69" s="3" t="s">
        <v>138</v>
      </c>
      <c r="E69" s="13">
        <v>0</v>
      </c>
      <c r="F69" s="12">
        <v>68420.92</v>
      </c>
      <c r="G69" s="12">
        <v>0</v>
      </c>
      <c r="H69" s="13">
        <v>68420.92</v>
      </c>
      <c r="I69" s="13">
        <v>76480.539999999994</v>
      </c>
      <c r="J69" s="12">
        <v>0</v>
      </c>
      <c r="K69" s="12">
        <v>76480.539999999994</v>
      </c>
      <c r="L69" s="13">
        <v>0</v>
      </c>
      <c r="M69" s="22">
        <v>76480.539999999994</v>
      </c>
      <c r="N69" s="23">
        <v>68420.92</v>
      </c>
      <c r="O69" s="23">
        <v>76480.539999999994</v>
      </c>
      <c r="P69" s="22">
        <v>68420.92</v>
      </c>
    </row>
    <row r="70" spans="1:16" x14ac:dyDescent="0.3">
      <c r="A70" s="3" t="s">
        <v>139</v>
      </c>
      <c r="B70" s="1">
        <v>2</v>
      </c>
      <c r="C70" s="1">
        <v>1</v>
      </c>
      <c r="D70" s="3" t="s">
        <v>140</v>
      </c>
      <c r="E70" s="13">
        <v>0</v>
      </c>
      <c r="F70" s="12">
        <v>15518.14</v>
      </c>
      <c r="G70" s="12">
        <v>0</v>
      </c>
      <c r="H70" s="13">
        <v>15518.14</v>
      </c>
      <c r="I70" s="13">
        <v>0</v>
      </c>
      <c r="J70" s="12">
        <v>0</v>
      </c>
      <c r="K70" s="12">
        <v>0</v>
      </c>
      <c r="L70" s="13">
        <v>0</v>
      </c>
      <c r="M70" s="22">
        <v>0</v>
      </c>
      <c r="N70" s="23">
        <v>15518.14</v>
      </c>
      <c r="O70" s="23">
        <v>0</v>
      </c>
      <c r="P70" s="22">
        <v>15518.14</v>
      </c>
    </row>
    <row r="71" spans="1:16" x14ac:dyDescent="0.3">
      <c r="A71" s="3" t="s">
        <v>141</v>
      </c>
      <c r="B71" s="1">
        <v>2</v>
      </c>
      <c r="C71" s="1">
        <v>1</v>
      </c>
      <c r="D71" s="3" t="s">
        <v>142</v>
      </c>
      <c r="E71" s="13">
        <v>99743.76</v>
      </c>
      <c r="F71" s="12">
        <v>0</v>
      </c>
      <c r="G71" s="12">
        <v>99743.76</v>
      </c>
      <c r="H71" s="13">
        <v>0</v>
      </c>
      <c r="I71" s="13">
        <v>0</v>
      </c>
      <c r="J71" s="12">
        <v>0</v>
      </c>
      <c r="K71" s="12">
        <v>0</v>
      </c>
      <c r="L71" s="13">
        <v>0</v>
      </c>
      <c r="M71" s="22">
        <v>99743.76</v>
      </c>
      <c r="N71" s="23">
        <v>0</v>
      </c>
      <c r="O71" s="23">
        <v>99743.76</v>
      </c>
      <c r="P71" s="22">
        <v>0</v>
      </c>
    </row>
    <row r="72" spans="1:16" x14ac:dyDescent="0.3">
      <c r="A72" s="3" t="s">
        <v>143</v>
      </c>
      <c r="B72" s="1">
        <v>2</v>
      </c>
      <c r="C72" s="1">
        <v>1</v>
      </c>
      <c r="D72" s="3" t="s">
        <v>144</v>
      </c>
      <c r="E72" s="13">
        <v>0</v>
      </c>
      <c r="F72" s="12">
        <v>0</v>
      </c>
      <c r="G72" s="12">
        <v>0</v>
      </c>
      <c r="H72" s="13">
        <v>0</v>
      </c>
      <c r="I72" s="13">
        <v>35883.94</v>
      </c>
      <c r="J72" s="12">
        <v>0</v>
      </c>
      <c r="K72" s="12">
        <v>1053.8699999999999</v>
      </c>
      <c r="L72" s="13">
        <v>34830.07</v>
      </c>
      <c r="M72" s="22">
        <v>35883.94</v>
      </c>
      <c r="N72" s="23">
        <v>0</v>
      </c>
      <c r="O72" s="23">
        <v>1053.8699999999999</v>
      </c>
      <c r="P72" s="22">
        <v>34830.07</v>
      </c>
    </row>
    <row r="73" spans="1:16" x14ac:dyDescent="0.3">
      <c r="A73" s="3" t="s">
        <v>145</v>
      </c>
      <c r="B73" s="1">
        <v>2</v>
      </c>
      <c r="C73" s="1">
        <v>1</v>
      </c>
      <c r="D73" s="3" t="s">
        <v>146</v>
      </c>
      <c r="E73" s="13">
        <v>0</v>
      </c>
      <c r="F73" s="12">
        <v>80406.039999999994</v>
      </c>
      <c r="G73" s="12">
        <v>0</v>
      </c>
      <c r="H73" s="13">
        <v>80406.039999999994</v>
      </c>
      <c r="I73" s="13">
        <v>73674.399999999994</v>
      </c>
      <c r="J73" s="12">
        <v>0</v>
      </c>
      <c r="K73" s="12">
        <v>73674.399999999994</v>
      </c>
      <c r="L73" s="13">
        <v>0</v>
      </c>
      <c r="M73" s="22">
        <v>73674.399999999994</v>
      </c>
      <c r="N73" s="23">
        <v>80406.039999999994</v>
      </c>
      <c r="O73" s="23">
        <v>73674.399999999994</v>
      </c>
      <c r="P73" s="22">
        <v>80406.039999999994</v>
      </c>
    </row>
    <row r="74" spans="1:16" x14ac:dyDescent="0.3">
      <c r="A74" s="3" t="s">
        <v>147</v>
      </c>
      <c r="B74" s="1">
        <v>2</v>
      </c>
      <c r="C74" s="1">
        <v>1</v>
      </c>
      <c r="D74" s="3" t="s">
        <v>148</v>
      </c>
      <c r="E74" s="13">
        <v>3292.71</v>
      </c>
      <c r="F74" s="12">
        <v>6585.42</v>
      </c>
      <c r="G74" s="12">
        <v>3292.71</v>
      </c>
      <c r="H74" s="13">
        <v>6585.42</v>
      </c>
      <c r="I74" s="13">
        <v>0</v>
      </c>
      <c r="J74" s="12">
        <v>0</v>
      </c>
      <c r="K74" s="12">
        <v>0</v>
      </c>
      <c r="L74" s="13">
        <v>0</v>
      </c>
      <c r="M74" s="22">
        <v>3292.71</v>
      </c>
      <c r="N74" s="23">
        <v>6585.42</v>
      </c>
      <c r="O74" s="23">
        <v>3292.71</v>
      </c>
      <c r="P74" s="22">
        <v>6585.42</v>
      </c>
    </row>
    <row r="75" spans="1:16" x14ac:dyDescent="0.3">
      <c r="A75" s="3" t="s">
        <v>149</v>
      </c>
      <c r="B75" s="1">
        <v>2</v>
      </c>
      <c r="C75" s="1">
        <v>1</v>
      </c>
      <c r="D75" s="3" t="s">
        <v>150</v>
      </c>
      <c r="E75" s="13">
        <v>7894.39</v>
      </c>
      <c r="F75" s="12">
        <v>14317.38</v>
      </c>
      <c r="G75" s="12">
        <v>14317.38</v>
      </c>
      <c r="H75" s="13">
        <v>7894.39</v>
      </c>
      <c r="I75" s="13">
        <v>0</v>
      </c>
      <c r="J75" s="12">
        <v>0</v>
      </c>
      <c r="K75" s="12">
        <v>0</v>
      </c>
      <c r="L75" s="13">
        <v>0</v>
      </c>
      <c r="M75" s="22">
        <v>7894.39</v>
      </c>
      <c r="N75" s="23">
        <v>14317.38</v>
      </c>
      <c r="O75" s="23">
        <v>14317.38</v>
      </c>
      <c r="P75" s="22">
        <v>7894.39</v>
      </c>
    </row>
    <row r="76" spans="1:16" x14ac:dyDescent="0.3">
      <c r="A76" s="3" t="s">
        <v>151</v>
      </c>
      <c r="B76" s="1">
        <v>2</v>
      </c>
      <c r="C76" s="1">
        <v>1</v>
      </c>
      <c r="D76" s="3" t="s">
        <v>152</v>
      </c>
      <c r="E76" s="13">
        <v>0</v>
      </c>
      <c r="F76" s="12">
        <v>23660.880000000001</v>
      </c>
      <c r="G76" s="12">
        <v>23660.880000000001</v>
      </c>
      <c r="H76" s="13">
        <v>0</v>
      </c>
      <c r="I76" s="13">
        <v>0</v>
      </c>
      <c r="J76" s="12">
        <v>0</v>
      </c>
      <c r="K76" s="12">
        <v>0</v>
      </c>
      <c r="L76" s="13">
        <v>0</v>
      </c>
      <c r="M76" s="22">
        <v>0</v>
      </c>
      <c r="N76" s="23">
        <v>23660.880000000001</v>
      </c>
      <c r="O76" s="23">
        <v>23660.880000000001</v>
      </c>
      <c r="P76" s="22">
        <v>0</v>
      </c>
    </row>
    <row r="77" spans="1:16" x14ac:dyDescent="0.3">
      <c r="A77" s="3" t="s">
        <v>153</v>
      </c>
      <c r="B77" s="1">
        <v>2</v>
      </c>
      <c r="C77" s="1">
        <v>1</v>
      </c>
      <c r="D77" s="3" t="s">
        <v>154</v>
      </c>
      <c r="E77" s="13">
        <v>9104.84</v>
      </c>
      <c r="F77" s="12">
        <v>20464.72</v>
      </c>
      <c r="G77" s="12">
        <v>9196.6200000000008</v>
      </c>
      <c r="H77" s="13">
        <v>20372.939999999999</v>
      </c>
      <c r="I77" s="13">
        <v>0</v>
      </c>
      <c r="J77" s="12">
        <v>0</v>
      </c>
      <c r="K77" s="12">
        <v>0</v>
      </c>
      <c r="L77" s="13">
        <v>0</v>
      </c>
      <c r="M77" s="22">
        <v>9104.84</v>
      </c>
      <c r="N77" s="23">
        <v>20464.72</v>
      </c>
      <c r="O77" s="23">
        <v>9196.6200000000008</v>
      </c>
      <c r="P77" s="22">
        <v>20372.939999999999</v>
      </c>
    </row>
    <row r="78" spans="1:16" x14ac:dyDescent="0.3">
      <c r="A78" s="3" t="s">
        <v>155</v>
      </c>
      <c r="B78" s="1">
        <v>2</v>
      </c>
      <c r="C78" s="1">
        <v>1</v>
      </c>
      <c r="D78" s="3" t="s">
        <v>156</v>
      </c>
      <c r="E78" s="13">
        <v>0</v>
      </c>
      <c r="F78" s="12">
        <v>1345.29</v>
      </c>
      <c r="G78" s="12">
        <v>1345.29</v>
      </c>
      <c r="H78" s="13">
        <v>0</v>
      </c>
      <c r="I78" s="13">
        <v>0</v>
      </c>
      <c r="J78" s="12">
        <v>0</v>
      </c>
      <c r="K78" s="12">
        <v>0</v>
      </c>
      <c r="L78" s="13">
        <v>0</v>
      </c>
      <c r="M78" s="22">
        <v>0</v>
      </c>
      <c r="N78" s="23">
        <v>1345.29</v>
      </c>
      <c r="O78" s="23">
        <v>1345.29</v>
      </c>
      <c r="P78" s="22">
        <v>0</v>
      </c>
    </row>
    <row r="79" spans="1:16" x14ac:dyDescent="0.3">
      <c r="A79" s="3" t="s">
        <v>157</v>
      </c>
      <c r="B79" s="1">
        <v>2</v>
      </c>
      <c r="C79" s="1">
        <v>1</v>
      </c>
      <c r="D79" s="3" t="s">
        <v>158</v>
      </c>
      <c r="E79" s="13">
        <v>116239.67999999999</v>
      </c>
      <c r="F79" s="12">
        <v>1631107.45</v>
      </c>
      <c r="G79" s="12">
        <v>134.44</v>
      </c>
      <c r="H79" s="13">
        <v>1747212.69</v>
      </c>
      <c r="I79" s="13">
        <v>0</v>
      </c>
      <c r="J79" s="12">
        <v>0</v>
      </c>
      <c r="K79" s="12">
        <v>0</v>
      </c>
      <c r="L79" s="13">
        <v>0</v>
      </c>
      <c r="M79" s="22">
        <v>116239.67999999999</v>
      </c>
      <c r="N79" s="23">
        <v>1631107.45</v>
      </c>
      <c r="O79" s="23">
        <v>134.44</v>
      </c>
      <c r="P79" s="22">
        <v>1747212.69</v>
      </c>
    </row>
    <row r="80" spans="1:16" x14ac:dyDescent="0.3">
      <c r="A80" s="3" t="s">
        <v>159</v>
      </c>
      <c r="B80" s="1">
        <v>2</v>
      </c>
      <c r="C80" s="1">
        <v>1</v>
      </c>
      <c r="D80" s="3" t="s">
        <v>160</v>
      </c>
      <c r="E80" s="13">
        <v>0</v>
      </c>
      <c r="F80" s="12">
        <v>4462.3900000000003</v>
      </c>
      <c r="G80" s="12">
        <v>0</v>
      </c>
      <c r="H80" s="13">
        <v>4462.3900000000003</v>
      </c>
      <c r="I80" s="13">
        <v>0</v>
      </c>
      <c r="J80" s="12">
        <v>0</v>
      </c>
      <c r="K80" s="12">
        <v>0</v>
      </c>
      <c r="L80" s="13">
        <v>0</v>
      </c>
      <c r="M80" s="22">
        <v>0</v>
      </c>
      <c r="N80" s="23">
        <v>4462.3900000000003</v>
      </c>
      <c r="O80" s="23">
        <v>0</v>
      </c>
      <c r="P80" s="22">
        <v>4462.3900000000003</v>
      </c>
    </row>
    <row r="81" spans="1:16" x14ac:dyDescent="0.3">
      <c r="A81" s="3" t="s">
        <v>161</v>
      </c>
      <c r="B81" s="1">
        <v>2</v>
      </c>
      <c r="C81" s="1">
        <v>1</v>
      </c>
      <c r="D81" s="3" t="s">
        <v>162</v>
      </c>
      <c r="E81" s="13">
        <v>1131330.3999999999</v>
      </c>
      <c r="F81" s="12">
        <v>90172.45</v>
      </c>
      <c r="G81" s="12">
        <v>90172.45</v>
      </c>
      <c r="H81" s="13">
        <v>1131330.3999999999</v>
      </c>
      <c r="I81" s="13">
        <v>0</v>
      </c>
      <c r="J81" s="12">
        <v>0</v>
      </c>
      <c r="K81" s="12">
        <v>0</v>
      </c>
      <c r="L81" s="13">
        <v>0</v>
      </c>
      <c r="M81" s="22">
        <v>1131330.3999999999</v>
      </c>
      <c r="N81" s="23">
        <v>90172.45</v>
      </c>
      <c r="O81" s="23">
        <v>90172.45</v>
      </c>
      <c r="P81" s="22">
        <v>1131330.3999999999</v>
      </c>
    </row>
    <row r="82" spans="1:16" x14ac:dyDescent="0.3">
      <c r="A82" s="3" t="s">
        <v>163</v>
      </c>
      <c r="B82" s="1">
        <v>4</v>
      </c>
      <c r="C82" s="1">
        <v>0</v>
      </c>
      <c r="D82" s="3" t="s">
        <v>164</v>
      </c>
      <c r="E82" s="13">
        <v>2699993.73</v>
      </c>
      <c r="F82" s="12">
        <v>62286.67</v>
      </c>
      <c r="G82" s="12">
        <v>0</v>
      </c>
      <c r="H82" s="13">
        <v>2762280.4</v>
      </c>
      <c r="I82" s="13">
        <v>3699323.85</v>
      </c>
      <c r="J82" s="12">
        <v>1468282.61</v>
      </c>
      <c r="K82" s="12">
        <v>647053.1</v>
      </c>
      <c r="L82" s="13">
        <v>4520553.3600000003</v>
      </c>
      <c r="M82" s="22">
        <v>6399317.5800000001</v>
      </c>
      <c r="N82" s="23">
        <v>1530569.28</v>
      </c>
      <c r="O82" s="23">
        <v>647053.1</v>
      </c>
      <c r="P82" s="22">
        <v>7282833.7599999998</v>
      </c>
    </row>
    <row r="83" spans="1:16" x14ac:dyDescent="0.3">
      <c r="A83" s="3" t="s">
        <v>165</v>
      </c>
      <c r="B83" s="1">
        <v>2</v>
      </c>
      <c r="C83" s="1">
        <v>1</v>
      </c>
      <c r="D83" s="3" t="s">
        <v>166</v>
      </c>
      <c r="E83" s="13">
        <v>0</v>
      </c>
      <c r="F83" s="12">
        <v>0</v>
      </c>
      <c r="G83" s="12">
        <v>0</v>
      </c>
      <c r="H83" s="13">
        <v>0</v>
      </c>
      <c r="I83" s="13">
        <v>3118969.91</v>
      </c>
      <c r="J83" s="12">
        <v>1425846.51</v>
      </c>
      <c r="K83" s="12">
        <v>643155.37</v>
      </c>
      <c r="L83" s="13">
        <v>3901661.05</v>
      </c>
      <c r="M83" s="22">
        <v>3118969.91</v>
      </c>
      <c r="N83" s="23">
        <v>1425846.51</v>
      </c>
      <c r="O83" s="23">
        <v>643155.37</v>
      </c>
      <c r="P83" s="22">
        <v>3901661.05</v>
      </c>
    </row>
    <row r="84" spans="1:16" x14ac:dyDescent="0.3">
      <c r="A84" s="3" t="s">
        <v>167</v>
      </c>
      <c r="B84" s="1">
        <v>2</v>
      </c>
      <c r="C84" s="1">
        <v>1</v>
      </c>
      <c r="D84" s="3" t="s">
        <v>168</v>
      </c>
      <c r="E84" s="13">
        <v>2601143.48</v>
      </c>
      <c r="F84" s="12">
        <v>34661.06</v>
      </c>
      <c r="G84" s="12">
        <v>0</v>
      </c>
      <c r="H84" s="13">
        <v>2635804.54</v>
      </c>
      <c r="I84" s="13">
        <v>370538.74</v>
      </c>
      <c r="J84" s="12">
        <v>0</v>
      </c>
      <c r="K84" s="12">
        <v>0</v>
      </c>
      <c r="L84" s="13">
        <v>370538.74</v>
      </c>
      <c r="M84" s="22">
        <v>2971682.2199999997</v>
      </c>
      <c r="N84" s="23">
        <v>34661.06</v>
      </c>
      <c r="O84" s="23">
        <v>0</v>
      </c>
      <c r="P84" s="22">
        <v>3006343.2800000003</v>
      </c>
    </row>
    <row r="85" spans="1:16" x14ac:dyDescent="0.3">
      <c r="A85" s="3" t="s">
        <v>169</v>
      </c>
      <c r="B85" s="1">
        <v>2</v>
      </c>
      <c r="C85" s="1">
        <v>1</v>
      </c>
      <c r="D85" s="3" t="s">
        <v>170</v>
      </c>
      <c r="E85" s="13">
        <v>0</v>
      </c>
      <c r="F85" s="12">
        <v>0</v>
      </c>
      <c r="G85" s="12">
        <v>0</v>
      </c>
      <c r="H85" s="13">
        <v>0</v>
      </c>
      <c r="I85" s="13">
        <v>136540.46</v>
      </c>
      <c r="J85" s="12">
        <v>0</v>
      </c>
      <c r="K85" s="12">
        <v>0</v>
      </c>
      <c r="L85" s="13">
        <v>136540.46</v>
      </c>
      <c r="M85" s="22">
        <v>136540.46</v>
      </c>
      <c r="N85" s="23">
        <v>0</v>
      </c>
      <c r="O85" s="23">
        <v>0</v>
      </c>
      <c r="P85" s="22">
        <v>136540.46</v>
      </c>
    </row>
    <row r="86" spans="1:16" x14ac:dyDescent="0.3">
      <c r="A86" s="3" t="s">
        <v>171</v>
      </c>
      <c r="B86" s="1">
        <v>2</v>
      </c>
      <c r="C86" s="1">
        <v>1</v>
      </c>
      <c r="D86" s="3" t="s">
        <v>172</v>
      </c>
      <c r="E86" s="13">
        <v>0</v>
      </c>
      <c r="F86" s="12">
        <v>0</v>
      </c>
      <c r="G86" s="12">
        <v>0</v>
      </c>
      <c r="H86" s="13">
        <v>0</v>
      </c>
      <c r="I86" s="13">
        <v>71549.78</v>
      </c>
      <c r="J86" s="12">
        <v>33064.730000000003</v>
      </c>
      <c r="K86" s="12">
        <v>0</v>
      </c>
      <c r="L86" s="13">
        <v>104614.51</v>
      </c>
      <c r="M86" s="22">
        <v>71549.78</v>
      </c>
      <c r="N86" s="23">
        <v>33064.730000000003</v>
      </c>
      <c r="O86" s="23">
        <v>0</v>
      </c>
      <c r="P86" s="22">
        <v>104614.51</v>
      </c>
    </row>
    <row r="87" spans="1:16" x14ac:dyDescent="0.3">
      <c r="A87" s="3" t="s">
        <v>173</v>
      </c>
      <c r="B87" s="1">
        <v>2</v>
      </c>
      <c r="C87" s="1">
        <v>1</v>
      </c>
      <c r="D87" s="3" t="s">
        <v>174</v>
      </c>
      <c r="E87" s="13">
        <v>6286.5</v>
      </c>
      <c r="F87" s="12">
        <v>0</v>
      </c>
      <c r="G87" s="12">
        <v>0</v>
      </c>
      <c r="H87" s="13">
        <v>6286.5</v>
      </c>
      <c r="I87" s="13">
        <v>0</v>
      </c>
      <c r="J87" s="12">
        <v>0</v>
      </c>
      <c r="K87" s="12">
        <v>0</v>
      </c>
      <c r="L87" s="13">
        <v>0</v>
      </c>
      <c r="M87" s="22">
        <v>6286.5</v>
      </c>
      <c r="N87" s="23">
        <v>0</v>
      </c>
      <c r="O87" s="23">
        <v>0</v>
      </c>
      <c r="P87" s="22">
        <v>6286.5</v>
      </c>
    </row>
    <row r="88" spans="1:16" x14ac:dyDescent="0.3">
      <c r="A88" s="3" t="s">
        <v>175</v>
      </c>
      <c r="B88" s="1">
        <v>2</v>
      </c>
      <c r="C88" s="1">
        <v>1</v>
      </c>
      <c r="D88" s="3" t="s">
        <v>176</v>
      </c>
      <c r="E88" s="13">
        <v>0</v>
      </c>
      <c r="F88" s="12">
        <v>27625.61</v>
      </c>
      <c r="G88" s="12">
        <v>0</v>
      </c>
      <c r="H88" s="13">
        <v>27625.61</v>
      </c>
      <c r="I88" s="13">
        <v>1724.96</v>
      </c>
      <c r="J88" s="12">
        <v>9371.3700000000008</v>
      </c>
      <c r="K88" s="12">
        <v>3897.73</v>
      </c>
      <c r="L88" s="13">
        <v>7198.6</v>
      </c>
      <c r="M88" s="22">
        <v>1724.96</v>
      </c>
      <c r="N88" s="23">
        <v>36996.980000000003</v>
      </c>
      <c r="O88" s="23">
        <v>3897.73</v>
      </c>
      <c r="P88" s="22">
        <v>34824.21</v>
      </c>
    </row>
    <row r="89" spans="1:16" x14ac:dyDescent="0.3">
      <c r="A89" s="3" t="s">
        <v>177</v>
      </c>
      <c r="B89" s="1">
        <v>2</v>
      </c>
      <c r="C89" s="1">
        <v>1</v>
      </c>
      <c r="D89" s="3" t="s">
        <v>178</v>
      </c>
      <c r="E89" s="13">
        <v>92563.75</v>
      </c>
      <c r="F89" s="12">
        <v>0</v>
      </c>
      <c r="G89" s="12">
        <v>0</v>
      </c>
      <c r="H89" s="13">
        <v>92563.75</v>
      </c>
      <c r="I89" s="13">
        <v>0</v>
      </c>
      <c r="J89" s="12">
        <v>0</v>
      </c>
      <c r="K89" s="12">
        <v>0</v>
      </c>
      <c r="L89" s="13">
        <v>0</v>
      </c>
      <c r="M89" s="22">
        <v>92563.75</v>
      </c>
      <c r="N89" s="23">
        <v>0</v>
      </c>
      <c r="O89" s="23">
        <v>0</v>
      </c>
      <c r="P89" s="22">
        <v>92563.75</v>
      </c>
    </row>
    <row r="90" spans="1:16" x14ac:dyDescent="0.3">
      <c r="A90" s="3" t="s">
        <v>179</v>
      </c>
      <c r="B90" s="2">
        <v>1</v>
      </c>
      <c r="C90" s="2">
        <v>0</v>
      </c>
      <c r="D90" s="14" t="s">
        <v>180</v>
      </c>
      <c r="E90" s="15">
        <v>59803122.689999998</v>
      </c>
      <c r="F90" s="16">
        <v>9359457.4600000009</v>
      </c>
      <c r="G90" s="16">
        <v>9926173.7100000009</v>
      </c>
      <c r="H90" s="15">
        <v>59236406.439999998</v>
      </c>
      <c r="I90" s="15">
        <v>768511.12</v>
      </c>
      <c r="J90" s="16">
        <v>6255.18</v>
      </c>
      <c r="K90" s="16">
        <v>5905.18</v>
      </c>
      <c r="L90" s="15">
        <v>768861.12</v>
      </c>
      <c r="M90" s="15">
        <v>60571633.809999995</v>
      </c>
      <c r="N90" s="16">
        <v>9365712.6400000006</v>
      </c>
      <c r="O90" s="16">
        <v>9932078.8900000006</v>
      </c>
      <c r="P90" s="15">
        <v>60005267.559999995</v>
      </c>
    </row>
    <row r="91" spans="1:16" x14ac:dyDescent="0.3">
      <c r="A91" s="3" t="s">
        <v>181</v>
      </c>
      <c r="B91" s="1">
        <v>2</v>
      </c>
      <c r="C91" s="1">
        <v>0</v>
      </c>
      <c r="D91" s="3" t="s">
        <v>182</v>
      </c>
      <c r="E91" s="13">
        <v>27497.34</v>
      </c>
      <c r="F91" s="12">
        <v>36682.42</v>
      </c>
      <c r="G91" s="12">
        <v>2254.9499999999998</v>
      </c>
      <c r="H91" s="13">
        <v>61924.81</v>
      </c>
      <c r="I91" s="13">
        <v>35471.870000000003</v>
      </c>
      <c r="J91" s="12">
        <v>0</v>
      </c>
      <c r="K91" s="12">
        <v>0</v>
      </c>
      <c r="L91" s="13">
        <v>35471.870000000003</v>
      </c>
      <c r="M91" s="22">
        <v>62969.210000000006</v>
      </c>
      <c r="N91" s="23">
        <v>36682.42</v>
      </c>
      <c r="O91" s="23">
        <v>2254.9499999999998</v>
      </c>
      <c r="P91" s="22">
        <v>97396.68</v>
      </c>
    </row>
    <row r="92" spans="1:16" x14ac:dyDescent="0.3">
      <c r="A92" s="3" t="s">
        <v>183</v>
      </c>
      <c r="B92" s="1">
        <v>2</v>
      </c>
      <c r="C92" s="1">
        <v>0</v>
      </c>
      <c r="D92" s="3" t="s">
        <v>184</v>
      </c>
      <c r="E92" s="13">
        <v>27497.34</v>
      </c>
      <c r="F92" s="12">
        <v>36682.42</v>
      </c>
      <c r="G92" s="12">
        <v>2254.9499999999998</v>
      </c>
      <c r="H92" s="13">
        <v>61924.81</v>
      </c>
      <c r="I92" s="13">
        <v>35471.870000000003</v>
      </c>
      <c r="J92" s="12">
        <v>0</v>
      </c>
      <c r="K92" s="12">
        <v>0</v>
      </c>
      <c r="L92" s="13">
        <v>35471.870000000003</v>
      </c>
      <c r="M92" s="22">
        <v>62969.210000000006</v>
      </c>
      <c r="N92" s="23">
        <v>36682.42</v>
      </c>
      <c r="O92" s="23">
        <v>2254.9499999999998</v>
      </c>
      <c r="P92" s="22">
        <v>97396.68</v>
      </c>
    </row>
    <row r="93" spans="1:16" x14ac:dyDescent="0.3">
      <c r="A93" s="3" t="s">
        <v>185</v>
      </c>
      <c r="B93" s="1">
        <v>2</v>
      </c>
      <c r="C93" s="1">
        <v>1</v>
      </c>
      <c r="D93" s="3" t="s">
        <v>186</v>
      </c>
      <c r="E93" s="13">
        <v>0</v>
      </c>
      <c r="F93" s="12">
        <v>0</v>
      </c>
      <c r="G93" s="12">
        <v>0</v>
      </c>
      <c r="H93" s="13">
        <v>0</v>
      </c>
      <c r="I93" s="13">
        <v>31358.39</v>
      </c>
      <c r="J93" s="12">
        <v>0</v>
      </c>
      <c r="K93" s="12">
        <v>0</v>
      </c>
      <c r="L93" s="13">
        <v>31358.39</v>
      </c>
      <c r="M93" s="22">
        <v>31358.39</v>
      </c>
      <c r="N93" s="23">
        <v>0</v>
      </c>
      <c r="O93" s="23">
        <v>0</v>
      </c>
      <c r="P93" s="22">
        <v>31358.39</v>
      </c>
    </row>
    <row r="94" spans="1:16" x14ac:dyDescent="0.3">
      <c r="A94" s="3" t="s">
        <v>187</v>
      </c>
      <c r="B94" s="1">
        <v>2</v>
      </c>
      <c r="C94" s="1">
        <v>1</v>
      </c>
      <c r="D94" s="3" t="s">
        <v>188</v>
      </c>
      <c r="E94" s="13">
        <v>0</v>
      </c>
      <c r="F94" s="12">
        <v>0</v>
      </c>
      <c r="G94" s="12">
        <v>0</v>
      </c>
      <c r="H94" s="13">
        <v>0</v>
      </c>
      <c r="I94" s="13">
        <v>4113.4799999999996</v>
      </c>
      <c r="J94" s="12">
        <v>0</v>
      </c>
      <c r="K94" s="12">
        <v>0</v>
      </c>
      <c r="L94" s="13">
        <v>4113.4799999999996</v>
      </c>
      <c r="M94" s="22">
        <v>4113.4799999999996</v>
      </c>
      <c r="N94" s="23">
        <v>0</v>
      </c>
      <c r="O94" s="23">
        <v>0</v>
      </c>
      <c r="P94" s="22">
        <v>4113.4799999999996</v>
      </c>
    </row>
    <row r="95" spans="1:16" x14ac:dyDescent="0.3">
      <c r="A95" s="3" t="s">
        <v>189</v>
      </c>
      <c r="B95" s="1">
        <v>2</v>
      </c>
      <c r="C95" s="1">
        <v>1</v>
      </c>
      <c r="D95" s="3" t="s">
        <v>190</v>
      </c>
      <c r="E95" s="13">
        <v>21877</v>
      </c>
      <c r="F95" s="12">
        <v>3000</v>
      </c>
      <c r="G95" s="12">
        <v>2254.9499999999998</v>
      </c>
      <c r="H95" s="13">
        <v>22622.05</v>
      </c>
      <c r="I95" s="13">
        <v>0</v>
      </c>
      <c r="J95" s="12">
        <v>0</v>
      </c>
      <c r="K95" s="12">
        <v>0</v>
      </c>
      <c r="L95" s="13">
        <v>0</v>
      </c>
      <c r="M95" s="22">
        <v>21877</v>
      </c>
      <c r="N95" s="23">
        <v>3000</v>
      </c>
      <c r="O95" s="23">
        <v>2254.9499999999998</v>
      </c>
      <c r="P95" s="22">
        <v>22622.05</v>
      </c>
    </row>
    <row r="96" spans="1:16" x14ac:dyDescent="0.3">
      <c r="A96" s="3" t="s">
        <v>191</v>
      </c>
      <c r="B96" s="1">
        <v>2</v>
      </c>
      <c r="C96" s="1">
        <v>1</v>
      </c>
      <c r="D96" s="3" t="s">
        <v>192</v>
      </c>
      <c r="E96" s="13">
        <v>2881</v>
      </c>
      <c r="F96" s="12">
        <v>1937.5</v>
      </c>
      <c r="G96" s="12">
        <v>0</v>
      </c>
      <c r="H96" s="13">
        <v>4818.5</v>
      </c>
      <c r="I96" s="13">
        <v>0</v>
      </c>
      <c r="J96" s="12">
        <v>0</v>
      </c>
      <c r="K96" s="12">
        <v>0</v>
      </c>
      <c r="L96" s="13">
        <v>0</v>
      </c>
      <c r="M96" s="22">
        <v>2881</v>
      </c>
      <c r="N96" s="23">
        <v>1937.5</v>
      </c>
      <c r="O96" s="23">
        <v>0</v>
      </c>
      <c r="P96" s="22">
        <v>4818.5</v>
      </c>
    </row>
    <row r="97" spans="1:16" x14ac:dyDescent="0.3">
      <c r="A97" s="3" t="s">
        <v>193</v>
      </c>
      <c r="B97" s="1">
        <v>2</v>
      </c>
      <c r="C97" s="1">
        <v>1</v>
      </c>
      <c r="D97" s="3" t="s">
        <v>194</v>
      </c>
      <c r="E97" s="13">
        <v>959.6</v>
      </c>
      <c r="F97" s="12">
        <v>0</v>
      </c>
      <c r="G97" s="12">
        <v>0</v>
      </c>
      <c r="H97" s="13">
        <v>959.6</v>
      </c>
      <c r="I97" s="13">
        <v>0</v>
      </c>
      <c r="J97" s="12">
        <v>0</v>
      </c>
      <c r="K97" s="12">
        <v>0</v>
      </c>
      <c r="L97" s="13">
        <v>0</v>
      </c>
      <c r="M97" s="22">
        <v>959.6</v>
      </c>
      <c r="N97" s="23">
        <v>0</v>
      </c>
      <c r="O97" s="23">
        <v>0</v>
      </c>
      <c r="P97" s="22">
        <v>959.6</v>
      </c>
    </row>
    <row r="98" spans="1:16" x14ac:dyDescent="0.3">
      <c r="A98" s="3" t="s">
        <v>195</v>
      </c>
      <c r="B98" s="1">
        <v>2</v>
      </c>
      <c r="C98" s="1">
        <v>1</v>
      </c>
      <c r="D98" s="3" t="s">
        <v>196</v>
      </c>
      <c r="E98" s="13">
        <v>0</v>
      </c>
      <c r="F98" s="12">
        <v>423.48</v>
      </c>
      <c r="G98" s="12">
        <v>0</v>
      </c>
      <c r="H98" s="13">
        <v>423.48</v>
      </c>
      <c r="I98" s="13">
        <v>0</v>
      </c>
      <c r="J98" s="12">
        <v>0</v>
      </c>
      <c r="K98" s="12">
        <v>0</v>
      </c>
      <c r="L98" s="13">
        <v>0</v>
      </c>
      <c r="M98" s="22">
        <v>0</v>
      </c>
      <c r="N98" s="23">
        <v>423.48</v>
      </c>
      <c r="O98" s="23">
        <v>0</v>
      </c>
      <c r="P98" s="22">
        <v>423.48</v>
      </c>
    </row>
    <row r="99" spans="1:16" x14ac:dyDescent="0.3">
      <c r="A99" s="3" t="s">
        <v>197</v>
      </c>
      <c r="B99" s="1">
        <v>2</v>
      </c>
      <c r="C99" s="1">
        <v>1</v>
      </c>
      <c r="D99" s="3" t="s">
        <v>198</v>
      </c>
      <c r="E99" s="18">
        <v>-1165</v>
      </c>
      <c r="F99" s="12">
        <v>3863.35</v>
      </c>
      <c r="G99" s="12">
        <v>0</v>
      </c>
      <c r="H99" s="13">
        <v>2698.35</v>
      </c>
      <c r="I99" s="13">
        <v>0</v>
      </c>
      <c r="J99" s="12">
        <v>0</v>
      </c>
      <c r="K99" s="12">
        <v>0</v>
      </c>
      <c r="L99" s="13">
        <v>0</v>
      </c>
      <c r="M99" s="22">
        <v>-1165</v>
      </c>
      <c r="N99" s="23">
        <v>3863.35</v>
      </c>
      <c r="O99" s="23">
        <v>0</v>
      </c>
      <c r="P99" s="22">
        <v>2698.35</v>
      </c>
    </row>
    <row r="100" spans="1:16" x14ac:dyDescent="0.3">
      <c r="A100" s="3" t="s">
        <v>199</v>
      </c>
      <c r="B100" s="1">
        <v>2</v>
      </c>
      <c r="C100" s="1">
        <v>1</v>
      </c>
      <c r="D100" s="3" t="s">
        <v>200</v>
      </c>
      <c r="E100" s="18">
        <v>-4461.2</v>
      </c>
      <c r="F100" s="12">
        <v>9565.2000000000007</v>
      </c>
      <c r="G100" s="12">
        <v>0</v>
      </c>
      <c r="H100" s="13">
        <v>5104</v>
      </c>
      <c r="I100" s="13">
        <v>0</v>
      </c>
      <c r="J100" s="12">
        <v>0</v>
      </c>
      <c r="K100" s="12">
        <v>0</v>
      </c>
      <c r="L100" s="13">
        <v>0</v>
      </c>
      <c r="M100" s="22">
        <v>-4461.2</v>
      </c>
      <c r="N100" s="23">
        <v>9565.2000000000007</v>
      </c>
      <c r="O100" s="23">
        <v>0</v>
      </c>
      <c r="P100" s="22">
        <v>5104</v>
      </c>
    </row>
    <row r="101" spans="1:16" x14ac:dyDescent="0.3">
      <c r="A101" s="3" t="s">
        <v>201</v>
      </c>
      <c r="B101" s="1">
        <v>2</v>
      </c>
      <c r="C101" s="1">
        <v>1</v>
      </c>
      <c r="D101" s="3" t="s">
        <v>202</v>
      </c>
      <c r="E101" s="13">
        <v>0</v>
      </c>
      <c r="F101" s="12">
        <v>6775.15</v>
      </c>
      <c r="G101" s="12">
        <v>0</v>
      </c>
      <c r="H101" s="13">
        <v>6775.15</v>
      </c>
      <c r="I101" s="13">
        <v>0</v>
      </c>
      <c r="J101" s="12">
        <v>0</v>
      </c>
      <c r="K101" s="12">
        <v>0</v>
      </c>
      <c r="L101" s="13">
        <v>0</v>
      </c>
      <c r="M101" s="22">
        <v>0</v>
      </c>
      <c r="N101" s="23">
        <v>6775.15</v>
      </c>
      <c r="O101" s="23">
        <v>0</v>
      </c>
      <c r="P101" s="22">
        <v>6775.15</v>
      </c>
    </row>
    <row r="102" spans="1:16" x14ac:dyDescent="0.3">
      <c r="A102" s="3" t="s">
        <v>203</v>
      </c>
      <c r="B102" s="1">
        <v>2</v>
      </c>
      <c r="C102" s="1">
        <v>1</v>
      </c>
      <c r="D102" s="3" t="s">
        <v>204</v>
      </c>
      <c r="E102" s="13">
        <v>0</v>
      </c>
      <c r="F102" s="12">
        <v>10000</v>
      </c>
      <c r="G102" s="12">
        <v>0</v>
      </c>
      <c r="H102" s="13">
        <v>10000</v>
      </c>
      <c r="I102" s="13">
        <v>0</v>
      </c>
      <c r="J102" s="12">
        <v>0</v>
      </c>
      <c r="K102" s="12">
        <v>0</v>
      </c>
      <c r="L102" s="13">
        <v>0</v>
      </c>
      <c r="M102" s="22">
        <v>0</v>
      </c>
      <c r="N102" s="23">
        <v>10000</v>
      </c>
      <c r="O102" s="23">
        <v>0</v>
      </c>
      <c r="P102" s="22">
        <v>10000</v>
      </c>
    </row>
    <row r="103" spans="1:16" x14ac:dyDescent="0.3">
      <c r="A103" s="3" t="s">
        <v>205</v>
      </c>
      <c r="B103" s="1">
        <v>2</v>
      </c>
      <c r="C103" s="1">
        <v>1</v>
      </c>
      <c r="D103" s="3" t="s">
        <v>206</v>
      </c>
      <c r="E103" s="13">
        <v>1650</v>
      </c>
      <c r="F103" s="12">
        <v>1117.74</v>
      </c>
      <c r="G103" s="12">
        <v>0</v>
      </c>
      <c r="H103" s="13">
        <v>2767.74</v>
      </c>
      <c r="I103" s="13">
        <v>0</v>
      </c>
      <c r="J103" s="12">
        <v>0</v>
      </c>
      <c r="K103" s="12">
        <v>0</v>
      </c>
      <c r="L103" s="13">
        <v>0</v>
      </c>
      <c r="M103" s="22">
        <v>1650</v>
      </c>
      <c r="N103" s="23">
        <v>1117.74</v>
      </c>
      <c r="O103" s="23">
        <v>0</v>
      </c>
      <c r="P103" s="22">
        <v>2767.74</v>
      </c>
    </row>
    <row r="104" spans="1:16" x14ac:dyDescent="0.3">
      <c r="A104" s="3" t="s">
        <v>207</v>
      </c>
      <c r="B104" s="1">
        <v>2</v>
      </c>
      <c r="C104" s="1">
        <v>1</v>
      </c>
      <c r="D104" s="3" t="s">
        <v>208</v>
      </c>
      <c r="E104" s="13">
        <v>5755.94</v>
      </c>
      <c r="F104" s="12">
        <v>0</v>
      </c>
      <c r="G104" s="12">
        <v>0</v>
      </c>
      <c r="H104" s="13">
        <v>5755.94</v>
      </c>
      <c r="I104" s="13">
        <v>0</v>
      </c>
      <c r="J104" s="12">
        <v>0</v>
      </c>
      <c r="K104" s="12">
        <v>0</v>
      </c>
      <c r="L104" s="13">
        <v>0</v>
      </c>
      <c r="M104" s="22">
        <v>5755.94</v>
      </c>
      <c r="N104" s="23">
        <v>0</v>
      </c>
      <c r="O104" s="23">
        <v>0</v>
      </c>
      <c r="P104" s="22">
        <v>5755.94</v>
      </c>
    </row>
    <row r="105" spans="1:16" x14ac:dyDescent="0.3">
      <c r="A105" s="3" t="s">
        <v>209</v>
      </c>
      <c r="B105" s="1">
        <v>2</v>
      </c>
      <c r="C105" s="1">
        <v>0</v>
      </c>
      <c r="D105" s="3" t="s">
        <v>210</v>
      </c>
      <c r="E105" s="13">
        <v>17038</v>
      </c>
      <c r="F105" s="12">
        <v>0</v>
      </c>
      <c r="G105" s="12">
        <v>0</v>
      </c>
      <c r="H105" s="13">
        <v>17038</v>
      </c>
      <c r="I105" s="13">
        <v>322686.53999999998</v>
      </c>
      <c r="J105" s="12">
        <v>6255.18</v>
      </c>
      <c r="K105" s="12">
        <v>5905.18</v>
      </c>
      <c r="L105" s="13">
        <v>323036.53999999998</v>
      </c>
      <c r="M105" s="22">
        <v>339724.54</v>
      </c>
      <c r="N105" s="23">
        <v>6255.18</v>
      </c>
      <c r="O105" s="23">
        <v>5905.18</v>
      </c>
      <c r="P105" s="22">
        <v>340074.54</v>
      </c>
    </row>
    <row r="106" spans="1:16" x14ac:dyDescent="0.3">
      <c r="A106" s="3" t="s">
        <v>211</v>
      </c>
      <c r="B106" s="1">
        <v>2</v>
      </c>
      <c r="C106" s="1">
        <v>1</v>
      </c>
      <c r="D106" s="3" t="s">
        <v>212</v>
      </c>
      <c r="E106" s="13">
        <v>0</v>
      </c>
      <c r="F106" s="12">
        <v>0</v>
      </c>
      <c r="G106" s="12">
        <v>0</v>
      </c>
      <c r="H106" s="13">
        <v>0</v>
      </c>
      <c r="I106" s="13">
        <v>196763.44</v>
      </c>
      <c r="J106" s="12">
        <v>6255.18</v>
      </c>
      <c r="K106" s="12">
        <v>5905.18</v>
      </c>
      <c r="L106" s="13">
        <v>197113.44</v>
      </c>
      <c r="M106" s="22">
        <v>196763.44</v>
      </c>
      <c r="N106" s="23">
        <v>6255.18</v>
      </c>
      <c r="O106" s="23">
        <v>5905.18</v>
      </c>
      <c r="P106" s="22">
        <v>197113.44</v>
      </c>
    </row>
    <row r="107" spans="1:16" x14ac:dyDescent="0.3">
      <c r="A107" s="3" t="s">
        <v>213</v>
      </c>
      <c r="B107" s="1">
        <v>2</v>
      </c>
      <c r="C107" s="1">
        <v>1</v>
      </c>
      <c r="D107" s="3" t="s">
        <v>214</v>
      </c>
      <c r="E107" s="13">
        <v>17038</v>
      </c>
      <c r="F107" s="12">
        <v>0</v>
      </c>
      <c r="G107" s="12">
        <v>0</v>
      </c>
      <c r="H107" s="13">
        <v>17038</v>
      </c>
      <c r="I107" s="13">
        <v>125923.1</v>
      </c>
      <c r="J107" s="12">
        <v>0</v>
      </c>
      <c r="K107" s="12">
        <v>0</v>
      </c>
      <c r="L107" s="13">
        <v>125923.1</v>
      </c>
      <c r="M107" s="22">
        <v>142961.1</v>
      </c>
      <c r="N107" s="23">
        <v>0</v>
      </c>
      <c r="O107" s="23">
        <v>0</v>
      </c>
      <c r="P107" s="22">
        <v>142961.1</v>
      </c>
    </row>
    <row r="108" spans="1:16" x14ac:dyDescent="0.3">
      <c r="A108" s="3" t="s">
        <v>215</v>
      </c>
      <c r="B108" s="1">
        <v>2</v>
      </c>
      <c r="C108" s="1">
        <v>0</v>
      </c>
      <c r="D108" s="3" t="s">
        <v>216</v>
      </c>
      <c r="E108" s="13">
        <v>59758587.350000001</v>
      </c>
      <c r="F108" s="12">
        <v>9322775.0399999991</v>
      </c>
      <c r="G108" s="12">
        <v>9923918.7599999998</v>
      </c>
      <c r="H108" s="13">
        <v>59157443.630000003</v>
      </c>
      <c r="I108" s="13">
        <v>410352.71</v>
      </c>
      <c r="J108" s="12">
        <v>0</v>
      </c>
      <c r="K108" s="12">
        <v>0</v>
      </c>
      <c r="L108" s="13">
        <v>410352.71</v>
      </c>
      <c r="M108" s="22">
        <v>60168940.060000002</v>
      </c>
      <c r="N108" s="23">
        <v>9322775.0399999991</v>
      </c>
      <c r="O108" s="23">
        <v>9923918.7599999998</v>
      </c>
      <c r="P108" s="22">
        <v>59567796.340000004</v>
      </c>
    </row>
    <row r="109" spans="1:16" x14ac:dyDescent="0.3">
      <c r="A109" s="3" t="s">
        <v>217</v>
      </c>
      <c r="B109" s="1">
        <v>2</v>
      </c>
      <c r="C109" s="1">
        <v>1</v>
      </c>
      <c r="D109" s="3" t="s">
        <v>218</v>
      </c>
      <c r="E109" s="13">
        <v>59489502.18</v>
      </c>
      <c r="F109" s="12">
        <v>9286582.9800000004</v>
      </c>
      <c r="G109" s="12">
        <v>9923918.7599999998</v>
      </c>
      <c r="H109" s="13">
        <v>58852166.399999999</v>
      </c>
      <c r="I109" s="13">
        <v>0</v>
      </c>
      <c r="J109" s="12">
        <v>0</v>
      </c>
      <c r="K109" s="12">
        <v>0</v>
      </c>
      <c r="L109" s="13">
        <v>0</v>
      </c>
      <c r="M109" s="22">
        <v>59489502.18</v>
      </c>
      <c r="N109" s="23">
        <v>9286582.9800000004</v>
      </c>
      <c r="O109" s="23">
        <v>9923918.7599999998</v>
      </c>
      <c r="P109" s="22">
        <v>58852166.399999999</v>
      </c>
    </row>
    <row r="110" spans="1:16" x14ac:dyDescent="0.3">
      <c r="A110" s="3" t="s">
        <v>219</v>
      </c>
      <c r="B110" s="1">
        <v>2</v>
      </c>
      <c r="C110" s="1">
        <v>1</v>
      </c>
      <c r="D110" s="3" t="s">
        <v>136</v>
      </c>
      <c r="E110" s="13">
        <v>0</v>
      </c>
      <c r="F110" s="12">
        <v>0</v>
      </c>
      <c r="G110" s="12">
        <v>0</v>
      </c>
      <c r="H110" s="13">
        <v>0</v>
      </c>
      <c r="I110" s="13">
        <v>11449.2</v>
      </c>
      <c r="J110" s="12">
        <v>0</v>
      </c>
      <c r="K110" s="12">
        <v>0</v>
      </c>
      <c r="L110" s="13">
        <v>11449.2</v>
      </c>
      <c r="M110" s="22">
        <v>11449.2</v>
      </c>
      <c r="N110" s="23">
        <v>0</v>
      </c>
      <c r="O110" s="23">
        <v>0</v>
      </c>
      <c r="P110" s="22">
        <v>11449.2</v>
      </c>
    </row>
    <row r="111" spans="1:16" x14ac:dyDescent="0.3">
      <c r="A111" s="3" t="s">
        <v>220</v>
      </c>
      <c r="B111" s="1">
        <v>2</v>
      </c>
      <c r="C111" s="1">
        <v>1</v>
      </c>
      <c r="D111" s="3" t="s">
        <v>212</v>
      </c>
      <c r="E111" s="13">
        <v>62444</v>
      </c>
      <c r="F111" s="12">
        <v>0</v>
      </c>
      <c r="G111" s="12">
        <v>0</v>
      </c>
      <c r="H111" s="13">
        <v>62444</v>
      </c>
      <c r="I111" s="13">
        <v>0</v>
      </c>
      <c r="J111" s="12">
        <v>0</v>
      </c>
      <c r="K111" s="12">
        <v>0</v>
      </c>
      <c r="L111" s="13">
        <v>0</v>
      </c>
      <c r="M111" s="22">
        <v>62444</v>
      </c>
      <c r="N111" s="23">
        <v>0</v>
      </c>
      <c r="O111" s="23">
        <v>0</v>
      </c>
      <c r="P111" s="22">
        <v>62444</v>
      </c>
    </row>
    <row r="112" spans="1:16" x14ac:dyDescent="0.3">
      <c r="A112" s="3" t="s">
        <v>221</v>
      </c>
      <c r="B112" s="1">
        <v>2</v>
      </c>
      <c r="C112" s="1">
        <v>1</v>
      </c>
      <c r="D112" s="3" t="s">
        <v>222</v>
      </c>
      <c r="E112" s="13">
        <v>22661.57</v>
      </c>
      <c r="F112" s="12">
        <v>0</v>
      </c>
      <c r="G112" s="12">
        <v>0</v>
      </c>
      <c r="H112" s="13">
        <v>22661.57</v>
      </c>
      <c r="I112" s="13">
        <v>0</v>
      </c>
      <c r="J112" s="12">
        <v>0</v>
      </c>
      <c r="K112" s="12">
        <v>0</v>
      </c>
      <c r="L112" s="13">
        <v>0</v>
      </c>
      <c r="M112" s="22">
        <v>22661.57</v>
      </c>
      <c r="N112" s="23">
        <v>0</v>
      </c>
      <c r="O112" s="23">
        <v>0</v>
      </c>
      <c r="P112" s="22">
        <v>22661.57</v>
      </c>
    </row>
    <row r="113" spans="1:16" x14ac:dyDescent="0.3">
      <c r="A113" s="3" t="s">
        <v>223</v>
      </c>
      <c r="B113" s="1">
        <v>2</v>
      </c>
      <c r="C113" s="1">
        <v>1</v>
      </c>
      <c r="D113" s="3" t="s">
        <v>224</v>
      </c>
      <c r="E113" s="13">
        <v>8668.4500000000007</v>
      </c>
      <c r="F113" s="12">
        <v>0</v>
      </c>
      <c r="G113" s="12">
        <v>0</v>
      </c>
      <c r="H113" s="13">
        <v>8668.4500000000007</v>
      </c>
      <c r="I113" s="13">
        <v>0</v>
      </c>
      <c r="J113" s="12">
        <v>0</v>
      </c>
      <c r="K113" s="12">
        <v>0</v>
      </c>
      <c r="L113" s="13">
        <v>0</v>
      </c>
      <c r="M113" s="22">
        <v>8668.4500000000007</v>
      </c>
      <c r="N113" s="23">
        <v>0</v>
      </c>
      <c r="O113" s="23">
        <v>0</v>
      </c>
      <c r="P113" s="22">
        <v>8668.4500000000007</v>
      </c>
    </row>
    <row r="114" spans="1:16" x14ac:dyDescent="0.3">
      <c r="A114" s="3" t="s">
        <v>225</v>
      </c>
      <c r="B114" s="1">
        <v>2</v>
      </c>
      <c r="C114" s="1">
        <v>1</v>
      </c>
      <c r="D114" s="3" t="s">
        <v>226</v>
      </c>
      <c r="E114" s="13">
        <v>99832.2</v>
      </c>
      <c r="F114" s="12">
        <v>0</v>
      </c>
      <c r="G114" s="12">
        <v>0</v>
      </c>
      <c r="H114" s="13">
        <v>99832.2</v>
      </c>
      <c r="I114" s="13">
        <v>0</v>
      </c>
      <c r="J114" s="12">
        <v>0</v>
      </c>
      <c r="K114" s="12">
        <v>0</v>
      </c>
      <c r="L114" s="13">
        <v>0</v>
      </c>
      <c r="M114" s="22">
        <v>99832.2</v>
      </c>
      <c r="N114" s="23">
        <v>0</v>
      </c>
      <c r="O114" s="23">
        <v>0</v>
      </c>
      <c r="P114" s="22">
        <v>99832.2</v>
      </c>
    </row>
    <row r="115" spans="1:16" x14ac:dyDescent="0.3">
      <c r="A115" s="3" t="s">
        <v>227</v>
      </c>
      <c r="B115" s="1">
        <v>2</v>
      </c>
      <c r="C115" s="1">
        <v>1</v>
      </c>
      <c r="D115" s="3" t="s">
        <v>228</v>
      </c>
      <c r="E115" s="13">
        <v>0</v>
      </c>
      <c r="F115" s="12">
        <v>0</v>
      </c>
      <c r="G115" s="12">
        <v>0</v>
      </c>
      <c r="H115" s="13">
        <v>0</v>
      </c>
      <c r="I115" s="13">
        <v>277737.26</v>
      </c>
      <c r="J115" s="12">
        <v>0</v>
      </c>
      <c r="K115" s="12">
        <v>0</v>
      </c>
      <c r="L115" s="13">
        <v>277737.26</v>
      </c>
      <c r="M115" s="22">
        <v>277737.26</v>
      </c>
      <c r="N115" s="23">
        <v>0</v>
      </c>
      <c r="O115" s="23">
        <v>0</v>
      </c>
      <c r="P115" s="22">
        <v>277737.26</v>
      </c>
    </row>
    <row r="116" spans="1:16" x14ac:dyDescent="0.3">
      <c r="A116" s="3" t="s">
        <v>229</v>
      </c>
      <c r="B116" s="1">
        <v>2</v>
      </c>
      <c r="C116" s="1">
        <v>1</v>
      </c>
      <c r="D116" s="3" t="s">
        <v>230</v>
      </c>
      <c r="E116" s="13">
        <v>27478.95</v>
      </c>
      <c r="F116" s="12">
        <v>0</v>
      </c>
      <c r="G116" s="12">
        <v>0</v>
      </c>
      <c r="H116" s="13">
        <v>27478.95</v>
      </c>
      <c r="I116" s="13">
        <v>0</v>
      </c>
      <c r="J116" s="12">
        <v>0</v>
      </c>
      <c r="K116" s="12">
        <v>0</v>
      </c>
      <c r="L116" s="13">
        <v>0</v>
      </c>
      <c r="M116" s="22">
        <v>27478.95</v>
      </c>
      <c r="N116" s="23">
        <v>0</v>
      </c>
      <c r="O116" s="23">
        <v>0</v>
      </c>
      <c r="P116" s="22">
        <v>27478.95</v>
      </c>
    </row>
    <row r="117" spans="1:16" x14ac:dyDescent="0.3">
      <c r="A117" s="3" t="s">
        <v>231</v>
      </c>
      <c r="B117" s="1">
        <v>2</v>
      </c>
      <c r="C117" s="1">
        <v>1</v>
      </c>
      <c r="D117" s="3" t="s">
        <v>232</v>
      </c>
      <c r="E117" s="13">
        <v>0</v>
      </c>
      <c r="F117" s="12">
        <v>0</v>
      </c>
      <c r="G117" s="12">
        <v>0</v>
      </c>
      <c r="H117" s="13">
        <v>0</v>
      </c>
      <c r="I117" s="13">
        <v>84291.199999999997</v>
      </c>
      <c r="J117" s="12">
        <v>0</v>
      </c>
      <c r="K117" s="12">
        <v>0</v>
      </c>
      <c r="L117" s="13">
        <v>84291.199999999997</v>
      </c>
      <c r="M117" s="22">
        <v>84291.199999999997</v>
      </c>
      <c r="N117" s="23">
        <v>0</v>
      </c>
      <c r="O117" s="23">
        <v>0</v>
      </c>
      <c r="P117" s="22">
        <v>84291.199999999997</v>
      </c>
    </row>
    <row r="118" spans="1:16" x14ac:dyDescent="0.3">
      <c r="A118" s="3" t="s">
        <v>233</v>
      </c>
      <c r="B118" s="1">
        <v>2</v>
      </c>
      <c r="C118" s="1">
        <v>1</v>
      </c>
      <c r="D118" s="3" t="s">
        <v>234</v>
      </c>
      <c r="E118" s="13">
        <v>0</v>
      </c>
      <c r="F118" s="12">
        <v>0</v>
      </c>
      <c r="G118" s="12">
        <v>0</v>
      </c>
      <c r="H118" s="13">
        <v>0</v>
      </c>
      <c r="I118" s="13">
        <v>36875.050000000003</v>
      </c>
      <c r="J118" s="12">
        <v>0</v>
      </c>
      <c r="K118" s="12">
        <v>0</v>
      </c>
      <c r="L118" s="13">
        <v>36875.050000000003</v>
      </c>
      <c r="M118" s="22">
        <v>36875.050000000003</v>
      </c>
      <c r="N118" s="23">
        <v>0</v>
      </c>
      <c r="O118" s="23">
        <v>0</v>
      </c>
      <c r="P118" s="22">
        <v>36875.050000000003</v>
      </c>
    </row>
    <row r="119" spans="1:16" x14ac:dyDescent="0.3">
      <c r="A119" s="3" t="s">
        <v>235</v>
      </c>
      <c r="B119" s="1">
        <v>2</v>
      </c>
      <c r="C119" s="1">
        <v>1</v>
      </c>
      <c r="D119" s="3" t="s">
        <v>236</v>
      </c>
      <c r="E119" s="13">
        <v>48000</v>
      </c>
      <c r="F119" s="12">
        <v>36192.06</v>
      </c>
      <c r="G119" s="12">
        <v>0</v>
      </c>
      <c r="H119" s="13">
        <v>84192.06</v>
      </c>
      <c r="I119" s="13">
        <v>0</v>
      </c>
      <c r="J119" s="12">
        <v>0</v>
      </c>
      <c r="K119" s="12">
        <v>0</v>
      </c>
      <c r="L119" s="13">
        <v>0</v>
      </c>
      <c r="M119" s="22">
        <v>48000</v>
      </c>
      <c r="N119" s="23">
        <v>36192.06</v>
      </c>
      <c r="O119" s="23">
        <v>0</v>
      </c>
      <c r="P119" s="22">
        <v>84192.06</v>
      </c>
    </row>
    <row r="120" spans="1:16" x14ac:dyDescent="0.3">
      <c r="A120" s="3" t="s">
        <v>237</v>
      </c>
      <c r="B120" s="2">
        <v>1</v>
      </c>
      <c r="C120" s="2">
        <v>0</v>
      </c>
      <c r="D120" s="14" t="s">
        <v>238</v>
      </c>
      <c r="E120" s="15">
        <v>0</v>
      </c>
      <c r="F120" s="16">
        <v>0</v>
      </c>
      <c r="G120" s="16">
        <v>0</v>
      </c>
      <c r="H120" s="15">
        <v>0</v>
      </c>
      <c r="I120" s="15">
        <v>448094.32</v>
      </c>
      <c r="J120" s="16">
        <v>0</v>
      </c>
      <c r="K120" s="16">
        <v>0</v>
      </c>
      <c r="L120" s="15">
        <v>448094.32</v>
      </c>
      <c r="M120" s="15">
        <v>448094.32</v>
      </c>
      <c r="N120" s="16">
        <v>0</v>
      </c>
      <c r="O120" s="16">
        <v>0</v>
      </c>
      <c r="P120" s="15">
        <v>448094.32</v>
      </c>
    </row>
    <row r="121" spans="1:16" x14ac:dyDescent="0.3">
      <c r="A121" s="3" t="s">
        <v>239</v>
      </c>
      <c r="B121" s="1">
        <v>2</v>
      </c>
      <c r="C121" s="1">
        <v>0</v>
      </c>
      <c r="D121" s="3" t="s">
        <v>240</v>
      </c>
      <c r="E121" s="13">
        <v>0</v>
      </c>
      <c r="F121" s="12">
        <v>0</v>
      </c>
      <c r="G121" s="12">
        <v>0</v>
      </c>
      <c r="H121" s="13">
        <v>0</v>
      </c>
      <c r="I121" s="13">
        <v>270041.32</v>
      </c>
      <c r="J121" s="12">
        <v>0</v>
      </c>
      <c r="K121" s="12">
        <v>0</v>
      </c>
      <c r="L121" s="13">
        <v>270041.32</v>
      </c>
      <c r="M121" s="22">
        <v>270041.32</v>
      </c>
      <c r="N121" s="23">
        <v>0</v>
      </c>
      <c r="O121" s="23">
        <v>0</v>
      </c>
      <c r="P121" s="22">
        <v>270041.32</v>
      </c>
    </row>
    <row r="122" spans="1:16" x14ac:dyDescent="0.3">
      <c r="A122" s="3" t="s">
        <v>241</v>
      </c>
      <c r="B122" s="1">
        <v>2</v>
      </c>
      <c r="C122" s="1">
        <v>1</v>
      </c>
      <c r="D122" s="3" t="s">
        <v>242</v>
      </c>
      <c r="E122" s="13">
        <v>0</v>
      </c>
      <c r="F122" s="12">
        <v>0</v>
      </c>
      <c r="G122" s="12">
        <v>0</v>
      </c>
      <c r="H122" s="13">
        <v>0</v>
      </c>
      <c r="I122" s="13">
        <v>270041.32</v>
      </c>
      <c r="J122" s="12">
        <v>0</v>
      </c>
      <c r="K122" s="12">
        <v>0</v>
      </c>
      <c r="L122" s="13">
        <v>270041.32</v>
      </c>
      <c r="M122" s="22">
        <v>270041.32</v>
      </c>
      <c r="N122" s="23">
        <v>0</v>
      </c>
      <c r="O122" s="23">
        <v>0</v>
      </c>
      <c r="P122" s="22">
        <v>270041.32</v>
      </c>
    </row>
    <row r="123" spans="1:16" x14ac:dyDescent="0.3">
      <c r="A123" s="3" t="s">
        <v>243</v>
      </c>
      <c r="B123" s="1">
        <v>2</v>
      </c>
      <c r="C123" s="1">
        <v>0</v>
      </c>
      <c r="D123" s="3" t="s">
        <v>244</v>
      </c>
      <c r="E123" s="13">
        <v>0</v>
      </c>
      <c r="F123" s="12">
        <v>0</v>
      </c>
      <c r="G123" s="12">
        <v>0</v>
      </c>
      <c r="H123" s="13">
        <v>0</v>
      </c>
      <c r="I123" s="13">
        <v>178053</v>
      </c>
      <c r="J123" s="12">
        <v>0</v>
      </c>
      <c r="K123" s="12">
        <v>0</v>
      </c>
      <c r="L123" s="13">
        <v>178053</v>
      </c>
      <c r="M123" s="22">
        <v>178053</v>
      </c>
      <c r="N123" s="23">
        <v>0</v>
      </c>
      <c r="O123" s="23">
        <v>0</v>
      </c>
      <c r="P123" s="22">
        <v>178053</v>
      </c>
    </row>
    <row r="124" spans="1:16" x14ac:dyDescent="0.3">
      <c r="A124" s="3" t="s">
        <v>245</v>
      </c>
      <c r="B124" s="1">
        <v>2</v>
      </c>
      <c r="C124" s="1">
        <v>1</v>
      </c>
      <c r="D124" s="3" t="s">
        <v>246</v>
      </c>
      <c r="E124" s="13">
        <v>0</v>
      </c>
      <c r="F124" s="12">
        <v>0</v>
      </c>
      <c r="G124" s="12">
        <v>0</v>
      </c>
      <c r="H124" s="13">
        <v>0</v>
      </c>
      <c r="I124" s="13">
        <v>58053</v>
      </c>
      <c r="J124" s="12">
        <v>0</v>
      </c>
      <c r="K124" s="12">
        <v>0</v>
      </c>
      <c r="L124" s="13">
        <v>58053</v>
      </c>
      <c r="M124" s="22">
        <v>58053</v>
      </c>
      <c r="N124" s="23">
        <v>0</v>
      </c>
      <c r="O124" s="23">
        <v>0</v>
      </c>
      <c r="P124" s="22">
        <v>58053</v>
      </c>
    </row>
    <row r="125" spans="1:16" x14ac:dyDescent="0.3">
      <c r="A125" s="3" t="s">
        <v>247</v>
      </c>
      <c r="B125" s="1">
        <v>2</v>
      </c>
      <c r="C125" s="1">
        <v>1</v>
      </c>
      <c r="D125" s="3" t="s">
        <v>248</v>
      </c>
      <c r="E125" s="13">
        <v>0</v>
      </c>
      <c r="F125" s="12">
        <v>0</v>
      </c>
      <c r="G125" s="12">
        <v>0</v>
      </c>
      <c r="H125" s="13">
        <v>0</v>
      </c>
      <c r="I125" s="13">
        <v>120000</v>
      </c>
      <c r="J125" s="12">
        <v>0</v>
      </c>
      <c r="K125" s="12">
        <v>0</v>
      </c>
      <c r="L125" s="13">
        <v>120000</v>
      </c>
      <c r="M125" s="22">
        <v>120000</v>
      </c>
      <c r="N125" s="23">
        <v>0</v>
      </c>
      <c r="O125" s="23">
        <v>0</v>
      </c>
      <c r="P125" s="22">
        <v>120000</v>
      </c>
    </row>
    <row r="126" spans="1:16" x14ac:dyDescent="0.3">
      <c r="A126" s="3" t="s">
        <v>249</v>
      </c>
      <c r="B126" s="2">
        <v>1</v>
      </c>
      <c r="C126" s="2">
        <v>0</v>
      </c>
      <c r="D126" s="14" t="s">
        <v>250</v>
      </c>
      <c r="E126" s="15">
        <v>261255.59</v>
      </c>
      <c r="F126" s="16">
        <v>348885.68</v>
      </c>
      <c r="G126" s="16">
        <v>0</v>
      </c>
      <c r="H126" s="15">
        <v>610141.27</v>
      </c>
      <c r="I126" s="15">
        <v>7599242.3499999996</v>
      </c>
      <c r="J126" s="16">
        <v>0</v>
      </c>
      <c r="K126" s="16">
        <v>0</v>
      </c>
      <c r="L126" s="15">
        <v>7599242.3499999996</v>
      </c>
      <c r="M126" s="15">
        <v>7860497.9399999995</v>
      </c>
      <c r="N126" s="16">
        <v>348885.68</v>
      </c>
      <c r="O126" s="16">
        <v>0</v>
      </c>
      <c r="P126" s="15">
        <v>8209383.6199999992</v>
      </c>
    </row>
    <row r="127" spans="1:16" x14ac:dyDescent="0.3">
      <c r="A127" s="3" t="s">
        <v>251</v>
      </c>
      <c r="B127" s="1">
        <v>2</v>
      </c>
      <c r="C127" s="1">
        <v>1</v>
      </c>
      <c r="D127" s="3" t="s">
        <v>252</v>
      </c>
      <c r="E127" s="13">
        <v>259895.59</v>
      </c>
      <c r="F127" s="12">
        <v>348885.68</v>
      </c>
      <c r="G127" s="12">
        <v>0</v>
      </c>
      <c r="H127" s="13">
        <v>608781.27</v>
      </c>
      <c r="I127" s="13">
        <v>1050021.1399999999</v>
      </c>
      <c r="J127" s="12">
        <v>0</v>
      </c>
      <c r="K127" s="12">
        <v>0</v>
      </c>
      <c r="L127" s="13">
        <v>1050021.1399999999</v>
      </c>
      <c r="M127" s="22">
        <v>1309916.73</v>
      </c>
      <c r="N127" s="23">
        <v>348885.68</v>
      </c>
      <c r="O127" s="23">
        <v>0</v>
      </c>
      <c r="P127" s="22">
        <v>1658802.41</v>
      </c>
    </row>
    <row r="128" spans="1:16" x14ac:dyDescent="0.3">
      <c r="A128" s="3" t="s">
        <v>253</v>
      </c>
      <c r="B128" s="1">
        <v>2</v>
      </c>
      <c r="C128" s="1">
        <v>1</v>
      </c>
      <c r="D128" s="3" t="s">
        <v>254</v>
      </c>
      <c r="E128" s="13">
        <v>0</v>
      </c>
      <c r="F128" s="12">
        <v>0</v>
      </c>
      <c r="G128" s="12">
        <v>0</v>
      </c>
      <c r="H128" s="13">
        <v>0</v>
      </c>
      <c r="I128" s="13">
        <v>6549221.21</v>
      </c>
      <c r="J128" s="12">
        <v>0</v>
      </c>
      <c r="K128" s="12">
        <v>0</v>
      </c>
      <c r="L128" s="13">
        <v>6549221.21</v>
      </c>
      <c r="M128" s="22">
        <v>6549221.21</v>
      </c>
      <c r="N128" s="23">
        <v>0</v>
      </c>
      <c r="O128" s="23">
        <v>0</v>
      </c>
      <c r="P128" s="22">
        <v>6549221.21</v>
      </c>
    </row>
    <row r="129" spans="1:16" x14ac:dyDescent="0.3">
      <c r="A129" s="3" t="s">
        <v>255</v>
      </c>
      <c r="B129" s="1">
        <v>2</v>
      </c>
      <c r="C129" s="1">
        <v>1</v>
      </c>
      <c r="D129" s="3" t="s">
        <v>256</v>
      </c>
      <c r="E129" s="13">
        <v>1360</v>
      </c>
      <c r="F129" s="12">
        <v>0</v>
      </c>
      <c r="G129" s="12">
        <v>0</v>
      </c>
      <c r="H129" s="13">
        <v>1360</v>
      </c>
      <c r="I129" s="13">
        <v>0</v>
      </c>
      <c r="J129" s="12">
        <v>0</v>
      </c>
      <c r="K129" s="12">
        <v>0</v>
      </c>
      <c r="L129" s="13">
        <v>0</v>
      </c>
      <c r="M129" s="22">
        <v>1360</v>
      </c>
      <c r="N129" s="23">
        <v>0</v>
      </c>
      <c r="O129" s="23">
        <v>0</v>
      </c>
      <c r="P129" s="22">
        <v>1360</v>
      </c>
    </row>
    <row r="130" spans="1:16" x14ac:dyDescent="0.3">
      <c r="A130" s="3" t="s">
        <v>257</v>
      </c>
      <c r="B130" s="2">
        <v>1</v>
      </c>
      <c r="C130" s="2">
        <v>0</v>
      </c>
      <c r="D130" s="14" t="s">
        <v>258</v>
      </c>
      <c r="E130" s="15">
        <v>151161</v>
      </c>
      <c r="F130" s="16">
        <v>0</v>
      </c>
      <c r="G130" s="16">
        <v>0</v>
      </c>
      <c r="H130" s="15">
        <v>151161</v>
      </c>
      <c r="I130" s="15">
        <v>0</v>
      </c>
      <c r="J130" s="16">
        <v>0</v>
      </c>
      <c r="K130" s="16">
        <v>0</v>
      </c>
      <c r="L130" s="15">
        <v>0</v>
      </c>
      <c r="M130" s="15">
        <v>151161</v>
      </c>
      <c r="N130" s="16">
        <v>0</v>
      </c>
      <c r="O130" s="16">
        <v>0</v>
      </c>
      <c r="P130" s="15">
        <v>151161</v>
      </c>
    </row>
    <row r="131" spans="1:16" x14ac:dyDescent="0.3">
      <c r="A131" s="3" t="s">
        <v>259</v>
      </c>
      <c r="B131" s="1">
        <v>2</v>
      </c>
      <c r="C131" s="1">
        <v>1</v>
      </c>
      <c r="D131" s="3" t="s">
        <v>260</v>
      </c>
      <c r="E131" s="13">
        <v>151161</v>
      </c>
      <c r="F131" s="12">
        <v>0</v>
      </c>
      <c r="G131" s="12">
        <v>0</v>
      </c>
      <c r="H131" s="13">
        <v>151161</v>
      </c>
      <c r="I131" s="13">
        <v>0</v>
      </c>
      <c r="J131" s="12">
        <v>0</v>
      </c>
      <c r="K131" s="12">
        <v>0</v>
      </c>
      <c r="L131" s="13">
        <v>0</v>
      </c>
      <c r="M131" s="22">
        <v>151161</v>
      </c>
      <c r="N131" s="23">
        <v>0</v>
      </c>
      <c r="O131" s="23">
        <v>0</v>
      </c>
      <c r="P131" s="22">
        <v>151161</v>
      </c>
    </row>
    <row r="132" spans="1:16" x14ac:dyDescent="0.3">
      <c r="A132" s="3" t="s">
        <v>261</v>
      </c>
      <c r="B132" s="2">
        <v>1</v>
      </c>
      <c r="C132" s="2">
        <v>0</v>
      </c>
      <c r="D132" s="14" t="s">
        <v>262</v>
      </c>
      <c r="E132" s="15">
        <v>31561606.780000001</v>
      </c>
      <c r="F132" s="16">
        <v>12212893.75</v>
      </c>
      <c r="G132" s="16">
        <v>6288001.2400000002</v>
      </c>
      <c r="H132" s="15">
        <v>37486499.289999999</v>
      </c>
      <c r="I132" s="15">
        <v>23532921.059999999</v>
      </c>
      <c r="J132" s="16">
        <v>2202702.98</v>
      </c>
      <c r="K132" s="16">
        <v>4713397.03</v>
      </c>
      <c r="L132" s="15">
        <v>21022227.010000002</v>
      </c>
      <c r="M132" s="15">
        <v>55094527.840000004</v>
      </c>
      <c r="N132" s="16">
        <v>14415596.73</v>
      </c>
      <c r="O132" s="16">
        <v>11001398.27</v>
      </c>
      <c r="P132" s="15">
        <v>58508726.299999997</v>
      </c>
    </row>
    <row r="133" spans="1:16" x14ac:dyDescent="0.3">
      <c r="A133" s="3" t="s">
        <v>263</v>
      </c>
      <c r="B133" s="1">
        <v>2</v>
      </c>
      <c r="C133" s="1">
        <v>1</v>
      </c>
      <c r="D133" s="3" t="s">
        <v>262</v>
      </c>
      <c r="E133" s="18">
        <v>-283623.36</v>
      </c>
      <c r="F133" s="12">
        <v>1873992.1</v>
      </c>
      <c r="G133" s="12">
        <v>0</v>
      </c>
      <c r="H133" s="13">
        <v>1590368.74</v>
      </c>
      <c r="I133" s="13">
        <v>2641552.0499999998</v>
      </c>
      <c r="J133" s="12">
        <v>77734.87</v>
      </c>
      <c r="K133" s="12">
        <v>0</v>
      </c>
      <c r="L133" s="13">
        <v>2719286.92</v>
      </c>
      <c r="M133" s="22">
        <v>2357928.69</v>
      </c>
      <c r="N133" s="23">
        <v>1951726.9700000002</v>
      </c>
      <c r="O133" s="23">
        <v>0</v>
      </c>
      <c r="P133" s="22">
        <v>4309655.66</v>
      </c>
    </row>
    <row r="134" spans="1:16" x14ac:dyDescent="0.3">
      <c r="A134" s="3" t="s">
        <v>264</v>
      </c>
      <c r="B134" s="1">
        <v>2</v>
      </c>
      <c r="C134" s="1">
        <v>0</v>
      </c>
      <c r="D134" s="3" t="s">
        <v>265</v>
      </c>
      <c r="E134" s="13">
        <v>31845230.140000001</v>
      </c>
      <c r="F134" s="12">
        <v>10338901.65</v>
      </c>
      <c r="G134" s="12">
        <v>6288001.2400000002</v>
      </c>
      <c r="H134" s="13">
        <v>35896130.549999997</v>
      </c>
      <c r="I134" s="13">
        <v>6740782.5300000003</v>
      </c>
      <c r="J134" s="12">
        <v>2124968.11</v>
      </c>
      <c r="K134" s="12">
        <v>4713397.03</v>
      </c>
      <c r="L134" s="13">
        <v>4152353.61</v>
      </c>
      <c r="M134" s="22">
        <v>38586012.670000002</v>
      </c>
      <c r="N134" s="23">
        <v>12463869.76</v>
      </c>
      <c r="O134" s="23">
        <v>11001398.27</v>
      </c>
      <c r="P134" s="22">
        <v>40048484.159999996</v>
      </c>
    </row>
    <row r="135" spans="1:16" x14ac:dyDescent="0.3">
      <c r="A135" s="3" t="s">
        <v>266</v>
      </c>
      <c r="B135" s="1">
        <v>2</v>
      </c>
      <c r="C135" s="1">
        <v>1</v>
      </c>
      <c r="D135" s="3" t="s">
        <v>267</v>
      </c>
      <c r="E135" s="13">
        <v>22458083.84</v>
      </c>
      <c r="F135" s="12">
        <v>6932907.2199999997</v>
      </c>
      <c r="G135" s="12">
        <v>6288001.2400000002</v>
      </c>
      <c r="H135" s="13">
        <v>23102989.82</v>
      </c>
      <c r="I135" s="13">
        <v>8391138.4000000004</v>
      </c>
      <c r="J135" s="12">
        <v>2101959.11</v>
      </c>
      <c r="K135" s="12">
        <v>4713397.03</v>
      </c>
      <c r="L135" s="13">
        <v>5779700.4800000004</v>
      </c>
      <c r="M135" s="22">
        <v>30849222.240000002</v>
      </c>
      <c r="N135" s="23">
        <v>9034866.3300000001</v>
      </c>
      <c r="O135" s="23">
        <v>11001398.27</v>
      </c>
      <c r="P135" s="22">
        <v>28882690.300000001</v>
      </c>
    </row>
    <row r="136" spans="1:16" x14ac:dyDescent="0.3">
      <c r="A136" s="3" t="s">
        <v>268</v>
      </c>
      <c r="B136" s="1">
        <v>2</v>
      </c>
      <c r="C136" s="1">
        <v>1</v>
      </c>
      <c r="D136" s="3" t="s">
        <v>269</v>
      </c>
      <c r="E136" s="13">
        <v>9387146.3000000007</v>
      </c>
      <c r="F136" s="12">
        <v>3405994.43</v>
      </c>
      <c r="G136" s="12">
        <v>0</v>
      </c>
      <c r="H136" s="13">
        <v>12793140.73</v>
      </c>
      <c r="I136" s="18">
        <v>-1653246.95</v>
      </c>
      <c r="J136" s="12">
        <v>23009</v>
      </c>
      <c r="K136" s="12">
        <v>0</v>
      </c>
      <c r="L136" s="18">
        <v>-1630237.95</v>
      </c>
      <c r="M136" s="22">
        <v>7733899.3500000006</v>
      </c>
      <c r="N136" s="23">
        <v>3429003.43</v>
      </c>
      <c r="O136" s="23">
        <v>0</v>
      </c>
      <c r="P136" s="22">
        <v>11162902.780000001</v>
      </c>
    </row>
    <row r="137" spans="1:16" x14ac:dyDescent="0.3">
      <c r="A137" s="3" t="s">
        <v>270</v>
      </c>
      <c r="B137" s="1">
        <v>2</v>
      </c>
      <c r="C137" s="1">
        <v>1</v>
      </c>
      <c r="D137" s="3" t="s">
        <v>271</v>
      </c>
      <c r="E137" s="13">
        <v>0</v>
      </c>
      <c r="F137" s="12">
        <v>0</v>
      </c>
      <c r="G137" s="12">
        <v>0</v>
      </c>
      <c r="H137" s="13">
        <v>0</v>
      </c>
      <c r="I137" s="13">
        <v>2891.08</v>
      </c>
      <c r="J137" s="12">
        <v>0</v>
      </c>
      <c r="K137" s="12">
        <v>0</v>
      </c>
      <c r="L137" s="13">
        <v>2891.08</v>
      </c>
      <c r="M137" s="22">
        <v>2891.08</v>
      </c>
      <c r="N137" s="23">
        <v>0</v>
      </c>
      <c r="O137" s="23">
        <v>0</v>
      </c>
      <c r="P137" s="22">
        <v>2891.08</v>
      </c>
    </row>
    <row r="138" spans="1:16" x14ac:dyDescent="0.3">
      <c r="A138" s="3" t="s">
        <v>272</v>
      </c>
      <c r="B138" s="1">
        <v>2</v>
      </c>
      <c r="C138" s="1">
        <v>1</v>
      </c>
      <c r="D138" s="3" t="s">
        <v>273</v>
      </c>
      <c r="E138" s="13">
        <v>0</v>
      </c>
      <c r="F138" s="12">
        <v>0</v>
      </c>
      <c r="G138" s="12">
        <v>0</v>
      </c>
      <c r="H138" s="13">
        <v>0</v>
      </c>
      <c r="I138" s="13">
        <v>13341686.76</v>
      </c>
      <c r="J138" s="12">
        <v>0</v>
      </c>
      <c r="K138" s="12">
        <v>0</v>
      </c>
      <c r="L138" s="13">
        <v>13341686.76</v>
      </c>
      <c r="M138" s="22">
        <v>13341686.76</v>
      </c>
      <c r="N138" s="23">
        <v>0</v>
      </c>
      <c r="O138" s="23">
        <v>0</v>
      </c>
      <c r="P138" s="22">
        <v>13341686.76</v>
      </c>
    </row>
    <row r="139" spans="1:16" x14ac:dyDescent="0.3">
      <c r="A139" s="3" t="s">
        <v>274</v>
      </c>
      <c r="B139" s="1">
        <v>2</v>
      </c>
      <c r="C139" s="1">
        <v>1</v>
      </c>
      <c r="D139" s="3" t="s">
        <v>275</v>
      </c>
      <c r="E139" s="13">
        <v>0</v>
      </c>
      <c r="F139" s="12">
        <v>0</v>
      </c>
      <c r="G139" s="12">
        <v>0</v>
      </c>
      <c r="H139" s="13">
        <v>0</v>
      </c>
      <c r="I139" s="13">
        <v>78219.98</v>
      </c>
      <c r="J139" s="12">
        <v>0</v>
      </c>
      <c r="K139" s="12">
        <v>0</v>
      </c>
      <c r="L139" s="13">
        <v>78219.98</v>
      </c>
      <c r="M139" s="22">
        <v>78219.98</v>
      </c>
      <c r="N139" s="23">
        <v>0</v>
      </c>
      <c r="O139" s="23">
        <v>0</v>
      </c>
      <c r="P139" s="22">
        <v>78219.98</v>
      </c>
    </row>
    <row r="140" spans="1:16" x14ac:dyDescent="0.3">
      <c r="A140" s="3" t="s">
        <v>276</v>
      </c>
      <c r="B140" s="1">
        <v>2</v>
      </c>
      <c r="C140" s="1">
        <v>1</v>
      </c>
      <c r="D140" s="3" t="s">
        <v>277</v>
      </c>
      <c r="E140" s="13">
        <v>0</v>
      </c>
      <c r="F140" s="12">
        <v>0</v>
      </c>
      <c r="G140" s="12">
        <v>0</v>
      </c>
      <c r="H140" s="13">
        <v>0</v>
      </c>
      <c r="I140" s="13">
        <v>730679.74</v>
      </c>
      <c r="J140" s="12">
        <v>0</v>
      </c>
      <c r="K140" s="12">
        <v>0</v>
      </c>
      <c r="L140" s="13">
        <v>730679.74</v>
      </c>
      <c r="M140" s="22">
        <v>730679.74</v>
      </c>
      <c r="N140" s="23">
        <v>0</v>
      </c>
      <c r="O140" s="23">
        <v>0</v>
      </c>
      <c r="P140" s="22">
        <v>730679.74</v>
      </c>
    </row>
    <row r="141" spans="1:16" x14ac:dyDescent="0.3">
      <c r="A141" s="3" t="s">
        <v>278</v>
      </c>
      <c r="B141" s="2">
        <v>1</v>
      </c>
      <c r="C141" s="2">
        <v>0</v>
      </c>
      <c r="D141" s="14" t="s">
        <v>279</v>
      </c>
      <c r="E141" s="15">
        <v>33914.14</v>
      </c>
      <c r="F141" s="16">
        <v>1987215.39</v>
      </c>
      <c r="G141" s="16">
        <v>1984850.07</v>
      </c>
      <c r="H141" s="15">
        <v>36279.46</v>
      </c>
      <c r="I141" s="15">
        <v>5223049.3600000003</v>
      </c>
      <c r="J141" s="16">
        <v>743598.2</v>
      </c>
      <c r="K141" s="16">
        <v>743598.2</v>
      </c>
      <c r="L141" s="15">
        <v>5223049.3600000003</v>
      </c>
      <c r="M141" s="15">
        <v>5256963.5</v>
      </c>
      <c r="N141" s="16">
        <v>2730813.59</v>
      </c>
      <c r="O141" s="16">
        <v>2728448.27</v>
      </c>
      <c r="P141" s="15">
        <v>5259328.82</v>
      </c>
    </row>
    <row r="142" spans="1:16" x14ac:dyDescent="0.3">
      <c r="A142" s="3" t="s">
        <v>280</v>
      </c>
      <c r="B142" s="1">
        <v>2</v>
      </c>
      <c r="C142" s="1">
        <v>1</v>
      </c>
      <c r="D142" s="3" t="s">
        <v>281</v>
      </c>
      <c r="E142" s="13">
        <v>33914.14</v>
      </c>
      <c r="F142" s="12">
        <v>1987215.39</v>
      </c>
      <c r="G142" s="12">
        <v>1984850.07</v>
      </c>
      <c r="H142" s="13">
        <v>36279.46</v>
      </c>
      <c r="I142" s="13">
        <v>5223049.3600000003</v>
      </c>
      <c r="J142" s="12">
        <v>743598.2</v>
      </c>
      <c r="K142" s="12">
        <v>743598.2</v>
      </c>
      <c r="L142" s="13">
        <v>5223049.3600000003</v>
      </c>
      <c r="M142" s="22">
        <v>5256963.5</v>
      </c>
      <c r="N142" s="23">
        <v>2730813.59</v>
      </c>
      <c r="O142" s="23">
        <v>2728448.27</v>
      </c>
      <c r="P142" s="22">
        <v>5259328.82</v>
      </c>
    </row>
    <row r="143" spans="1:16" x14ac:dyDescent="0.3">
      <c r="A143" s="3" t="s">
        <v>282</v>
      </c>
      <c r="B143" s="2">
        <v>1</v>
      </c>
      <c r="C143" s="2">
        <v>0</v>
      </c>
      <c r="D143" s="14" t="s">
        <v>283</v>
      </c>
      <c r="E143" s="15">
        <v>3121168.17</v>
      </c>
      <c r="F143" s="16">
        <v>2134586.44</v>
      </c>
      <c r="G143" s="16">
        <v>1389902.73</v>
      </c>
      <c r="H143" s="15">
        <v>3865851.88</v>
      </c>
      <c r="I143" s="15">
        <v>5944925.4699999997</v>
      </c>
      <c r="J143" s="16">
        <v>204220.85</v>
      </c>
      <c r="K143" s="16">
        <v>728148.86</v>
      </c>
      <c r="L143" s="15">
        <v>5420997.46</v>
      </c>
      <c r="M143" s="15">
        <v>9066093.6400000006</v>
      </c>
      <c r="N143" s="16">
        <v>2338807.29</v>
      </c>
      <c r="O143" s="16">
        <v>2118051.59</v>
      </c>
      <c r="P143" s="15">
        <v>9286849.3399999999</v>
      </c>
    </row>
    <row r="144" spans="1:16" x14ac:dyDescent="0.3">
      <c r="A144" s="3" t="s">
        <v>284</v>
      </c>
      <c r="B144" s="1">
        <v>2</v>
      </c>
      <c r="C144" s="1">
        <v>1</v>
      </c>
      <c r="D144" s="3" t="s">
        <v>285</v>
      </c>
      <c r="E144" s="13">
        <v>3121168.17</v>
      </c>
      <c r="F144" s="12">
        <v>2134586.44</v>
      </c>
      <c r="G144" s="12">
        <v>1389902.73</v>
      </c>
      <c r="H144" s="13">
        <v>3865851.88</v>
      </c>
      <c r="I144" s="13">
        <v>5944925.4699999997</v>
      </c>
      <c r="J144" s="12">
        <v>203576.03</v>
      </c>
      <c r="K144" s="12">
        <v>728148.86</v>
      </c>
      <c r="L144" s="13">
        <v>5420352.6399999997</v>
      </c>
      <c r="M144" s="22">
        <v>9066093.6400000006</v>
      </c>
      <c r="N144" s="23">
        <v>2338162.4699999997</v>
      </c>
      <c r="O144" s="23">
        <v>2118051.59</v>
      </c>
      <c r="P144" s="22">
        <v>9286204.5199999996</v>
      </c>
    </row>
    <row r="145" spans="1:16" x14ac:dyDescent="0.3">
      <c r="A145" s="3" t="s">
        <v>286</v>
      </c>
      <c r="B145" s="1">
        <v>2</v>
      </c>
      <c r="C145" s="1">
        <v>1</v>
      </c>
      <c r="D145" s="3" t="s">
        <v>287</v>
      </c>
      <c r="E145" s="13">
        <v>0</v>
      </c>
      <c r="F145" s="12">
        <v>0</v>
      </c>
      <c r="G145" s="12">
        <v>0</v>
      </c>
      <c r="H145" s="13">
        <v>0</v>
      </c>
      <c r="I145" s="13">
        <v>0</v>
      </c>
      <c r="J145" s="12">
        <v>644.82000000000005</v>
      </c>
      <c r="K145" s="12">
        <v>0</v>
      </c>
      <c r="L145" s="13">
        <v>644.82000000000005</v>
      </c>
      <c r="M145" s="22">
        <v>0</v>
      </c>
      <c r="N145" s="23">
        <v>644.82000000000005</v>
      </c>
      <c r="O145" s="23">
        <v>0</v>
      </c>
      <c r="P145" s="22">
        <v>644.82000000000005</v>
      </c>
    </row>
    <row r="146" spans="1:16" x14ac:dyDescent="0.3">
      <c r="A146" s="3" t="s">
        <v>288</v>
      </c>
      <c r="B146" s="2">
        <v>1</v>
      </c>
      <c r="C146" s="2">
        <v>0</v>
      </c>
      <c r="D146" s="14" t="s">
        <v>289</v>
      </c>
      <c r="E146" s="15">
        <v>292243.71000000002</v>
      </c>
      <c r="F146" s="16">
        <v>355564.07</v>
      </c>
      <c r="G146" s="16">
        <v>399363.96</v>
      </c>
      <c r="H146" s="15">
        <v>248443.82</v>
      </c>
      <c r="I146" s="15">
        <v>5934934.6399999997</v>
      </c>
      <c r="J146" s="16">
        <v>523737.26</v>
      </c>
      <c r="K146" s="16">
        <v>1214253</v>
      </c>
      <c r="L146" s="15">
        <v>5244418.9000000004</v>
      </c>
      <c r="M146" s="15">
        <v>6227178.3499999996</v>
      </c>
      <c r="N146" s="16">
        <v>879301.33000000007</v>
      </c>
      <c r="O146" s="16">
        <v>1613616.96</v>
      </c>
      <c r="P146" s="15">
        <v>5492862.7200000007</v>
      </c>
    </row>
    <row r="147" spans="1:16" x14ac:dyDescent="0.3">
      <c r="A147" s="3" t="s">
        <v>290</v>
      </c>
      <c r="B147" s="1">
        <v>2</v>
      </c>
      <c r="C147" s="1">
        <v>0</v>
      </c>
      <c r="D147" s="3" t="s">
        <v>291</v>
      </c>
      <c r="E147" s="13">
        <v>292243.71000000002</v>
      </c>
      <c r="F147" s="12">
        <v>355564.07</v>
      </c>
      <c r="G147" s="12">
        <v>399363.96</v>
      </c>
      <c r="H147" s="13">
        <v>248443.82</v>
      </c>
      <c r="I147" s="13">
        <v>5934934.6399999997</v>
      </c>
      <c r="J147" s="12">
        <v>523737.26</v>
      </c>
      <c r="K147" s="12">
        <v>1214253</v>
      </c>
      <c r="L147" s="13">
        <v>5244418.9000000004</v>
      </c>
      <c r="M147" s="22">
        <v>6227178.3499999996</v>
      </c>
      <c r="N147" s="23">
        <v>879301.33000000007</v>
      </c>
      <c r="O147" s="23">
        <v>1613616.96</v>
      </c>
      <c r="P147" s="22">
        <v>5492862.7200000007</v>
      </c>
    </row>
    <row r="148" spans="1:16" x14ac:dyDescent="0.3">
      <c r="A148" s="3" t="s">
        <v>292</v>
      </c>
      <c r="B148" s="1">
        <v>2</v>
      </c>
      <c r="C148" s="1">
        <v>0</v>
      </c>
      <c r="D148" s="3" t="s">
        <v>293</v>
      </c>
      <c r="E148" s="13">
        <v>292243.71000000002</v>
      </c>
      <c r="F148" s="12">
        <v>355564.07</v>
      </c>
      <c r="G148" s="12">
        <v>399363.96</v>
      </c>
      <c r="H148" s="13">
        <v>248443.82</v>
      </c>
      <c r="I148" s="13">
        <v>5933681.7000000002</v>
      </c>
      <c r="J148" s="12">
        <v>523737.26</v>
      </c>
      <c r="K148" s="12">
        <v>1214253</v>
      </c>
      <c r="L148" s="13">
        <v>5243165.96</v>
      </c>
      <c r="M148" s="22">
        <v>6225925.4100000001</v>
      </c>
      <c r="N148" s="23">
        <v>879301.33000000007</v>
      </c>
      <c r="O148" s="23">
        <v>1613616.96</v>
      </c>
      <c r="P148" s="22">
        <v>5491609.7800000003</v>
      </c>
    </row>
    <row r="149" spans="1:16" x14ac:dyDescent="0.3">
      <c r="A149" s="3" t="s">
        <v>294</v>
      </c>
      <c r="B149" s="1">
        <v>2</v>
      </c>
      <c r="C149" s="1">
        <v>1</v>
      </c>
      <c r="D149" s="3" t="s">
        <v>295</v>
      </c>
      <c r="E149" s="13">
        <v>0</v>
      </c>
      <c r="F149" s="12">
        <v>0</v>
      </c>
      <c r="G149" s="12">
        <v>0</v>
      </c>
      <c r="H149" s="13">
        <v>0</v>
      </c>
      <c r="I149" s="13">
        <v>276931.81</v>
      </c>
      <c r="J149" s="12">
        <v>0</v>
      </c>
      <c r="K149" s="12">
        <v>0</v>
      </c>
      <c r="L149" s="13">
        <v>276931.81</v>
      </c>
      <c r="M149" s="22">
        <v>276931.81</v>
      </c>
      <c r="N149" s="23">
        <v>0</v>
      </c>
      <c r="O149" s="23">
        <v>0</v>
      </c>
      <c r="P149" s="22">
        <v>276931.81</v>
      </c>
    </row>
    <row r="150" spans="1:16" x14ac:dyDescent="0.3">
      <c r="A150" s="3" t="s">
        <v>296</v>
      </c>
      <c r="B150" s="1">
        <v>2</v>
      </c>
      <c r="C150" s="1">
        <v>1</v>
      </c>
      <c r="D150" s="3" t="s">
        <v>297</v>
      </c>
      <c r="E150" s="13">
        <v>107548</v>
      </c>
      <c r="F150" s="17">
        <v>-107548</v>
      </c>
      <c r="G150" s="12">
        <v>0</v>
      </c>
      <c r="H150" s="13">
        <v>0</v>
      </c>
      <c r="I150" s="13">
        <v>0</v>
      </c>
      <c r="J150" s="12">
        <v>0</v>
      </c>
      <c r="K150" s="12">
        <v>0</v>
      </c>
      <c r="L150" s="13">
        <v>0</v>
      </c>
      <c r="M150" s="22">
        <v>107548</v>
      </c>
      <c r="N150" s="23">
        <v>-107548</v>
      </c>
      <c r="O150" s="23">
        <v>0</v>
      </c>
      <c r="P150" s="22">
        <v>0</v>
      </c>
    </row>
    <row r="151" spans="1:16" x14ac:dyDescent="0.3">
      <c r="A151" s="3" t="s">
        <v>298</v>
      </c>
      <c r="B151" s="1">
        <v>2</v>
      </c>
      <c r="C151" s="1">
        <v>1</v>
      </c>
      <c r="D151" s="3" t="s">
        <v>299</v>
      </c>
      <c r="E151" s="13">
        <v>0</v>
      </c>
      <c r="F151" s="12">
        <v>0</v>
      </c>
      <c r="G151" s="12">
        <v>0</v>
      </c>
      <c r="H151" s="13">
        <v>0</v>
      </c>
      <c r="I151" s="13">
        <v>1001.87</v>
      </c>
      <c r="J151" s="12">
        <v>0</v>
      </c>
      <c r="K151" s="12">
        <v>0</v>
      </c>
      <c r="L151" s="13">
        <v>1001.87</v>
      </c>
      <c r="M151" s="22">
        <v>1001.87</v>
      </c>
      <c r="N151" s="23">
        <v>0</v>
      </c>
      <c r="O151" s="23">
        <v>0</v>
      </c>
      <c r="P151" s="22">
        <v>1001.87</v>
      </c>
    </row>
    <row r="152" spans="1:16" x14ac:dyDescent="0.3">
      <c r="A152" s="3" t="s">
        <v>300</v>
      </c>
      <c r="B152" s="1">
        <v>2</v>
      </c>
      <c r="C152" s="1">
        <v>1</v>
      </c>
      <c r="D152" s="3" t="s">
        <v>301</v>
      </c>
      <c r="E152" s="13">
        <v>0</v>
      </c>
      <c r="F152" s="12">
        <v>0</v>
      </c>
      <c r="G152" s="12">
        <v>0</v>
      </c>
      <c r="H152" s="13">
        <v>0</v>
      </c>
      <c r="I152" s="13">
        <v>311.52</v>
      </c>
      <c r="J152" s="12">
        <v>13252.98</v>
      </c>
      <c r="K152" s="12">
        <v>13253</v>
      </c>
      <c r="L152" s="13">
        <v>311.5</v>
      </c>
      <c r="M152" s="22">
        <v>311.52</v>
      </c>
      <c r="N152" s="23">
        <v>13252.98</v>
      </c>
      <c r="O152" s="23">
        <v>13253</v>
      </c>
      <c r="P152" s="22">
        <v>311.5</v>
      </c>
    </row>
    <row r="153" spans="1:16" x14ac:dyDescent="0.3">
      <c r="A153" s="3" t="s">
        <v>302</v>
      </c>
      <c r="B153" s="1">
        <v>2</v>
      </c>
      <c r="C153" s="1">
        <v>1</v>
      </c>
      <c r="D153" s="3" t="s">
        <v>303</v>
      </c>
      <c r="E153" s="13">
        <v>0</v>
      </c>
      <c r="F153" s="12">
        <v>0</v>
      </c>
      <c r="G153" s="12">
        <v>0</v>
      </c>
      <c r="H153" s="13">
        <v>0</v>
      </c>
      <c r="I153" s="13">
        <v>1654.08</v>
      </c>
      <c r="J153" s="12">
        <v>464</v>
      </c>
      <c r="K153" s="12">
        <v>0</v>
      </c>
      <c r="L153" s="13">
        <v>2118.08</v>
      </c>
      <c r="M153" s="22">
        <v>1654.08</v>
      </c>
      <c r="N153" s="23">
        <v>464</v>
      </c>
      <c r="O153" s="23">
        <v>0</v>
      </c>
      <c r="P153" s="22">
        <v>2118.08</v>
      </c>
    </row>
    <row r="154" spans="1:16" x14ac:dyDescent="0.3">
      <c r="A154" s="3" t="s">
        <v>304</v>
      </c>
      <c r="B154" s="1">
        <v>2</v>
      </c>
      <c r="C154" s="1">
        <v>1</v>
      </c>
      <c r="D154" s="3" t="s">
        <v>305</v>
      </c>
      <c r="E154" s="13">
        <v>0</v>
      </c>
      <c r="F154" s="12">
        <v>0</v>
      </c>
      <c r="G154" s="12">
        <v>0</v>
      </c>
      <c r="H154" s="13">
        <v>0</v>
      </c>
      <c r="I154" s="13">
        <v>668.93</v>
      </c>
      <c r="J154" s="12">
        <v>0</v>
      </c>
      <c r="K154" s="12">
        <v>0</v>
      </c>
      <c r="L154" s="13">
        <v>668.93</v>
      </c>
      <c r="M154" s="22">
        <v>668.93</v>
      </c>
      <c r="N154" s="23">
        <v>0</v>
      </c>
      <c r="O154" s="23">
        <v>0</v>
      </c>
      <c r="P154" s="22">
        <v>668.93</v>
      </c>
    </row>
    <row r="155" spans="1:16" x14ac:dyDescent="0.3">
      <c r="A155" s="3" t="s">
        <v>306</v>
      </c>
      <c r="B155" s="1">
        <v>2</v>
      </c>
      <c r="C155" s="1">
        <v>1</v>
      </c>
      <c r="D155" s="3" t="s">
        <v>307</v>
      </c>
      <c r="E155" s="13">
        <v>0</v>
      </c>
      <c r="F155" s="12">
        <v>0</v>
      </c>
      <c r="G155" s="12">
        <v>0</v>
      </c>
      <c r="H155" s="13">
        <v>0</v>
      </c>
      <c r="I155" s="13">
        <v>506.22</v>
      </c>
      <c r="J155" s="12">
        <v>506.22</v>
      </c>
      <c r="K155" s="12">
        <v>0</v>
      </c>
      <c r="L155" s="13">
        <v>1012.44</v>
      </c>
      <c r="M155" s="22">
        <v>506.22</v>
      </c>
      <c r="N155" s="23">
        <v>506.22</v>
      </c>
      <c r="O155" s="23">
        <v>0</v>
      </c>
      <c r="P155" s="22">
        <v>1012.44</v>
      </c>
    </row>
    <row r="156" spans="1:16" x14ac:dyDescent="0.3">
      <c r="A156" s="3" t="s">
        <v>308</v>
      </c>
      <c r="B156" s="1">
        <v>2</v>
      </c>
      <c r="C156" s="1">
        <v>1</v>
      </c>
      <c r="D156" s="3" t="s">
        <v>309</v>
      </c>
      <c r="E156" s="13">
        <v>0</v>
      </c>
      <c r="F156" s="12">
        <v>0</v>
      </c>
      <c r="G156" s="12">
        <v>0</v>
      </c>
      <c r="H156" s="13">
        <v>0</v>
      </c>
      <c r="I156" s="13">
        <v>1201000</v>
      </c>
      <c r="J156" s="12">
        <v>0</v>
      </c>
      <c r="K156" s="12">
        <v>1201000</v>
      </c>
      <c r="L156" s="13">
        <v>0</v>
      </c>
      <c r="M156" s="22">
        <v>1201000</v>
      </c>
      <c r="N156" s="23">
        <v>0</v>
      </c>
      <c r="O156" s="23">
        <v>1201000</v>
      </c>
      <c r="P156" s="22">
        <v>0</v>
      </c>
    </row>
    <row r="157" spans="1:16" x14ac:dyDescent="0.3">
      <c r="A157" s="3" t="s">
        <v>310</v>
      </c>
      <c r="B157" s="1">
        <v>2</v>
      </c>
      <c r="C157" s="1">
        <v>1</v>
      </c>
      <c r="D157" s="3" t="s">
        <v>311</v>
      </c>
      <c r="E157" s="13">
        <v>0</v>
      </c>
      <c r="F157" s="12">
        <v>0</v>
      </c>
      <c r="G157" s="12">
        <v>0</v>
      </c>
      <c r="H157" s="13">
        <v>0</v>
      </c>
      <c r="I157" s="13">
        <v>10232.620000000001</v>
      </c>
      <c r="J157" s="12">
        <v>0</v>
      </c>
      <c r="K157" s="12">
        <v>0</v>
      </c>
      <c r="L157" s="13">
        <v>10232.620000000001</v>
      </c>
      <c r="M157" s="22">
        <v>10232.620000000001</v>
      </c>
      <c r="N157" s="23">
        <v>0</v>
      </c>
      <c r="O157" s="23">
        <v>0</v>
      </c>
      <c r="P157" s="22">
        <v>10232.620000000001</v>
      </c>
    </row>
    <row r="158" spans="1:16" x14ac:dyDescent="0.3">
      <c r="A158" s="3" t="s">
        <v>312</v>
      </c>
      <c r="B158" s="1">
        <v>2</v>
      </c>
      <c r="C158" s="1">
        <v>1</v>
      </c>
      <c r="D158" s="3" t="s">
        <v>313</v>
      </c>
      <c r="E158" s="13">
        <v>0</v>
      </c>
      <c r="F158" s="12">
        <v>0</v>
      </c>
      <c r="G158" s="12">
        <v>0</v>
      </c>
      <c r="H158" s="13">
        <v>0</v>
      </c>
      <c r="I158" s="13">
        <v>180</v>
      </c>
      <c r="J158" s="12">
        <v>0</v>
      </c>
      <c r="K158" s="12">
        <v>0</v>
      </c>
      <c r="L158" s="13">
        <v>180</v>
      </c>
      <c r="M158" s="22">
        <v>180</v>
      </c>
      <c r="N158" s="23">
        <v>0</v>
      </c>
      <c r="O158" s="23">
        <v>0</v>
      </c>
      <c r="P158" s="22">
        <v>180</v>
      </c>
    </row>
    <row r="159" spans="1:16" x14ac:dyDescent="0.3">
      <c r="A159" s="3" t="s">
        <v>314</v>
      </c>
      <c r="B159" s="1">
        <v>2</v>
      </c>
      <c r="C159" s="1">
        <v>1</v>
      </c>
      <c r="D159" s="3" t="s">
        <v>315</v>
      </c>
      <c r="E159" s="13">
        <v>0</v>
      </c>
      <c r="F159" s="12">
        <v>0</v>
      </c>
      <c r="G159" s="12">
        <v>0</v>
      </c>
      <c r="H159" s="13">
        <v>0</v>
      </c>
      <c r="I159" s="13">
        <v>1910.47</v>
      </c>
      <c r="J159" s="12">
        <v>0</v>
      </c>
      <c r="K159" s="12">
        <v>0</v>
      </c>
      <c r="L159" s="13">
        <v>1910.47</v>
      </c>
      <c r="M159" s="22">
        <v>1910.47</v>
      </c>
      <c r="N159" s="23">
        <v>0</v>
      </c>
      <c r="O159" s="23">
        <v>0</v>
      </c>
      <c r="P159" s="22">
        <v>1910.47</v>
      </c>
    </row>
    <row r="160" spans="1:16" x14ac:dyDescent="0.3">
      <c r="A160" s="3" t="s">
        <v>316</v>
      </c>
      <c r="B160" s="1">
        <v>2</v>
      </c>
      <c r="C160" s="1">
        <v>1</v>
      </c>
      <c r="D160" s="3" t="s">
        <v>317</v>
      </c>
      <c r="E160" s="13">
        <v>0</v>
      </c>
      <c r="F160" s="12">
        <v>0</v>
      </c>
      <c r="G160" s="12">
        <v>0</v>
      </c>
      <c r="H160" s="13">
        <v>0</v>
      </c>
      <c r="I160" s="13">
        <v>12504.86</v>
      </c>
      <c r="J160" s="12">
        <v>1000</v>
      </c>
      <c r="K160" s="12">
        <v>0</v>
      </c>
      <c r="L160" s="13">
        <v>13504.86</v>
      </c>
      <c r="M160" s="22">
        <v>12504.86</v>
      </c>
      <c r="N160" s="23">
        <v>1000</v>
      </c>
      <c r="O160" s="23">
        <v>0</v>
      </c>
      <c r="P160" s="22">
        <v>13504.86</v>
      </c>
    </row>
    <row r="161" spans="1:16" x14ac:dyDescent="0.3">
      <c r="A161" s="3" t="s">
        <v>318</v>
      </c>
      <c r="B161" s="1">
        <v>2</v>
      </c>
      <c r="C161" s="1">
        <v>1</v>
      </c>
      <c r="D161" s="3" t="s">
        <v>319</v>
      </c>
      <c r="E161" s="13">
        <v>0</v>
      </c>
      <c r="F161" s="12">
        <v>0</v>
      </c>
      <c r="G161" s="12">
        <v>0</v>
      </c>
      <c r="H161" s="13">
        <v>0</v>
      </c>
      <c r="I161" s="13">
        <v>131907.07</v>
      </c>
      <c r="J161" s="12">
        <v>0</v>
      </c>
      <c r="K161" s="12">
        <v>0</v>
      </c>
      <c r="L161" s="13">
        <v>131907.07</v>
      </c>
      <c r="M161" s="22">
        <v>131907.07</v>
      </c>
      <c r="N161" s="23">
        <v>0</v>
      </c>
      <c r="O161" s="23">
        <v>0</v>
      </c>
      <c r="P161" s="22">
        <v>131907.07</v>
      </c>
    </row>
    <row r="162" spans="1:16" x14ac:dyDescent="0.3">
      <c r="A162" s="3" t="s">
        <v>320</v>
      </c>
      <c r="B162" s="1">
        <v>2</v>
      </c>
      <c r="C162" s="1">
        <v>1</v>
      </c>
      <c r="D162" s="3" t="s">
        <v>321</v>
      </c>
      <c r="E162" s="13">
        <v>0</v>
      </c>
      <c r="F162" s="12">
        <v>0</v>
      </c>
      <c r="G162" s="12">
        <v>0</v>
      </c>
      <c r="H162" s="13">
        <v>0</v>
      </c>
      <c r="I162" s="13">
        <v>0</v>
      </c>
      <c r="J162" s="12">
        <v>17719</v>
      </c>
      <c r="K162" s="12">
        <v>0</v>
      </c>
      <c r="L162" s="13">
        <v>17719</v>
      </c>
      <c r="M162" s="22">
        <v>0</v>
      </c>
      <c r="N162" s="23">
        <v>17719</v>
      </c>
      <c r="O162" s="23">
        <v>0</v>
      </c>
      <c r="P162" s="22">
        <v>17719</v>
      </c>
    </row>
    <row r="163" spans="1:16" x14ac:dyDescent="0.3">
      <c r="A163" s="3" t="s">
        <v>322</v>
      </c>
      <c r="B163" s="1">
        <v>2</v>
      </c>
      <c r="C163" s="1">
        <v>1</v>
      </c>
      <c r="D163" s="3" t="s">
        <v>323</v>
      </c>
      <c r="E163" s="13">
        <v>50000</v>
      </c>
      <c r="F163" s="12">
        <v>0</v>
      </c>
      <c r="G163" s="12">
        <v>50000</v>
      </c>
      <c r="H163" s="13">
        <v>0</v>
      </c>
      <c r="I163" s="13">
        <v>0</v>
      </c>
      <c r="J163" s="12">
        <v>0</v>
      </c>
      <c r="K163" s="12">
        <v>0</v>
      </c>
      <c r="L163" s="13">
        <v>0</v>
      </c>
      <c r="M163" s="22">
        <v>50000</v>
      </c>
      <c r="N163" s="23">
        <v>0</v>
      </c>
      <c r="O163" s="23">
        <v>50000</v>
      </c>
      <c r="P163" s="22">
        <v>0</v>
      </c>
    </row>
    <row r="164" spans="1:16" x14ac:dyDescent="0.3">
      <c r="A164" s="3" t="s">
        <v>324</v>
      </c>
      <c r="B164" s="1">
        <v>2</v>
      </c>
      <c r="C164" s="1">
        <v>1</v>
      </c>
      <c r="D164" s="3" t="s">
        <v>325</v>
      </c>
      <c r="E164" s="13">
        <v>0</v>
      </c>
      <c r="F164" s="12">
        <v>80.010000000000005</v>
      </c>
      <c r="G164" s="12">
        <v>0</v>
      </c>
      <c r="H164" s="13">
        <v>80.010000000000005</v>
      </c>
      <c r="I164" s="13">
        <v>0</v>
      </c>
      <c r="J164" s="12">
        <v>0</v>
      </c>
      <c r="K164" s="12">
        <v>0</v>
      </c>
      <c r="L164" s="13">
        <v>0</v>
      </c>
      <c r="M164" s="22">
        <v>0</v>
      </c>
      <c r="N164" s="23">
        <v>80.010000000000005</v>
      </c>
      <c r="O164" s="23">
        <v>0</v>
      </c>
      <c r="P164" s="22">
        <v>80.010000000000005</v>
      </c>
    </row>
    <row r="165" spans="1:16" x14ac:dyDescent="0.3">
      <c r="A165" s="3" t="s">
        <v>326</v>
      </c>
      <c r="B165" s="1">
        <v>2</v>
      </c>
      <c r="C165" s="1">
        <v>1</v>
      </c>
      <c r="D165" s="3" t="s">
        <v>327</v>
      </c>
      <c r="E165" s="13">
        <v>13282</v>
      </c>
      <c r="F165" s="12">
        <v>0</v>
      </c>
      <c r="G165" s="12">
        <v>0</v>
      </c>
      <c r="H165" s="13">
        <v>13282</v>
      </c>
      <c r="I165" s="13">
        <v>0</v>
      </c>
      <c r="J165" s="12">
        <v>0</v>
      </c>
      <c r="K165" s="12">
        <v>0</v>
      </c>
      <c r="L165" s="13">
        <v>0</v>
      </c>
      <c r="M165" s="22">
        <v>13282</v>
      </c>
      <c r="N165" s="23">
        <v>0</v>
      </c>
      <c r="O165" s="23">
        <v>0</v>
      </c>
      <c r="P165" s="22">
        <v>13282</v>
      </c>
    </row>
    <row r="166" spans="1:16" x14ac:dyDescent="0.3">
      <c r="A166" s="3" t="s">
        <v>328</v>
      </c>
      <c r="B166" s="1">
        <v>2</v>
      </c>
      <c r="C166" s="1">
        <v>1</v>
      </c>
      <c r="D166" s="3" t="s">
        <v>329</v>
      </c>
      <c r="E166" s="13">
        <v>3000</v>
      </c>
      <c r="F166" s="12">
        <v>0</v>
      </c>
      <c r="G166" s="12">
        <v>0</v>
      </c>
      <c r="H166" s="13">
        <v>3000</v>
      </c>
      <c r="I166" s="13">
        <v>0</v>
      </c>
      <c r="J166" s="12">
        <v>0</v>
      </c>
      <c r="K166" s="12">
        <v>0</v>
      </c>
      <c r="L166" s="13">
        <v>0</v>
      </c>
      <c r="M166" s="22">
        <v>3000</v>
      </c>
      <c r="N166" s="23">
        <v>0</v>
      </c>
      <c r="O166" s="23">
        <v>0</v>
      </c>
      <c r="P166" s="22">
        <v>3000</v>
      </c>
    </row>
    <row r="167" spans="1:16" x14ac:dyDescent="0.3">
      <c r="A167" s="3" t="s">
        <v>330</v>
      </c>
      <c r="B167" s="1">
        <v>2</v>
      </c>
      <c r="C167" s="1">
        <v>1</v>
      </c>
      <c r="D167" s="3" t="s">
        <v>331</v>
      </c>
      <c r="E167" s="13">
        <v>0</v>
      </c>
      <c r="F167" s="12">
        <v>1244.5</v>
      </c>
      <c r="G167" s="12">
        <v>0</v>
      </c>
      <c r="H167" s="13">
        <v>1244.5</v>
      </c>
      <c r="I167" s="13">
        <v>0</v>
      </c>
      <c r="J167" s="12">
        <v>0</v>
      </c>
      <c r="K167" s="12">
        <v>0</v>
      </c>
      <c r="L167" s="13">
        <v>0</v>
      </c>
      <c r="M167" s="22">
        <v>0</v>
      </c>
      <c r="N167" s="23">
        <v>1244.5</v>
      </c>
      <c r="O167" s="23">
        <v>0</v>
      </c>
      <c r="P167" s="22">
        <v>1244.5</v>
      </c>
    </row>
    <row r="168" spans="1:16" x14ac:dyDescent="0.3">
      <c r="A168" s="3" t="s">
        <v>332</v>
      </c>
      <c r="B168" s="1">
        <v>2</v>
      </c>
      <c r="C168" s="1">
        <v>1</v>
      </c>
      <c r="D168" s="3" t="s">
        <v>333</v>
      </c>
      <c r="E168" s="13">
        <v>0</v>
      </c>
      <c r="F168" s="12">
        <v>11600</v>
      </c>
      <c r="G168" s="12">
        <v>0</v>
      </c>
      <c r="H168" s="13">
        <v>11600</v>
      </c>
      <c r="I168" s="13">
        <v>0</v>
      </c>
      <c r="J168" s="12">
        <v>0</v>
      </c>
      <c r="K168" s="12">
        <v>0</v>
      </c>
      <c r="L168" s="13">
        <v>0</v>
      </c>
      <c r="M168" s="22">
        <v>0</v>
      </c>
      <c r="N168" s="23">
        <v>11600</v>
      </c>
      <c r="O168" s="23">
        <v>0</v>
      </c>
      <c r="P168" s="22">
        <v>11600</v>
      </c>
    </row>
    <row r="169" spans="1:16" x14ac:dyDescent="0.3">
      <c r="A169" s="3" t="s">
        <v>334</v>
      </c>
      <c r="B169" s="1">
        <v>2</v>
      </c>
      <c r="C169" s="1">
        <v>1</v>
      </c>
      <c r="D169" s="3" t="s">
        <v>335</v>
      </c>
      <c r="E169" s="13">
        <v>0</v>
      </c>
      <c r="F169" s="12">
        <v>84277.89</v>
      </c>
      <c r="G169" s="12">
        <v>0</v>
      </c>
      <c r="H169" s="13">
        <v>84277.89</v>
      </c>
      <c r="I169" s="13">
        <v>0</v>
      </c>
      <c r="J169" s="12">
        <v>0</v>
      </c>
      <c r="K169" s="12">
        <v>0</v>
      </c>
      <c r="L169" s="13">
        <v>0</v>
      </c>
      <c r="M169" s="22">
        <v>0</v>
      </c>
      <c r="N169" s="23">
        <v>84277.89</v>
      </c>
      <c r="O169" s="23">
        <v>0</v>
      </c>
      <c r="P169" s="22">
        <v>84277.89</v>
      </c>
    </row>
    <row r="170" spans="1:16" x14ac:dyDescent="0.3">
      <c r="A170" s="3" t="s">
        <v>336</v>
      </c>
      <c r="B170" s="1">
        <v>2</v>
      </c>
      <c r="C170" s="1">
        <v>1</v>
      </c>
      <c r="D170" s="3" t="s">
        <v>337</v>
      </c>
      <c r="E170" s="13">
        <v>0</v>
      </c>
      <c r="F170" s="12">
        <v>338.15</v>
      </c>
      <c r="G170" s="12">
        <v>338.14</v>
      </c>
      <c r="H170" s="13">
        <v>0.01</v>
      </c>
      <c r="I170" s="13">
        <v>0</v>
      </c>
      <c r="J170" s="12">
        <v>0</v>
      </c>
      <c r="K170" s="12">
        <v>0</v>
      </c>
      <c r="L170" s="13">
        <v>0</v>
      </c>
      <c r="M170" s="22">
        <v>0</v>
      </c>
      <c r="N170" s="23">
        <v>338.15</v>
      </c>
      <c r="O170" s="23">
        <v>338.14</v>
      </c>
      <c r="P170" s="22">
        <v>0.01</v>
      </c>
    </row>
    <row r="171" spans="1:16" x14ac:dyDescent="0.3">
      <c r="A171" s="3" t="s">
        <v>338</v>
      </c>
      <c r="B171" s="1">
        <v>2</v>
      </c>
      <c r="C171" s="1">
        <v>1</v>
      </c>
      <c r="D171" s="3" t="s">
        <v>339</v>
      </c>
      <c r="E171" s="13">
        <v>0</v>
      </c>
      <c r="F171" s="12">
        <v>1566</v>
      </c>
      <c r="G171" s="12">
        <v>0</v>
      </c>
      <c r="H171" s="13">
        <v>1566</v>
      </c>
      <c r="I171" s="13">
        <v>0</v>
      </c>
      <c r="J171" s="12">
        <v>0</v>
      </c>
      <c r="K171" s="12">
        <v>0</v>
      </c>
      <c r="L171" s="13">
        <v>0</v>
      </c>
      <c r="M171" s="22">
        <v>0</v>
      </c>
      <c r="N171" s="23">
        <v>1566</v>
      </c>
      <c r="O171" s="23">
        <v>0</v>
      </c>
      <c r="P171" s="22">
        <v>1566</v>
      </c>
    </row>
    <row r="172" spans="1:16" x14ac:dyDescent="0.3">
      <c r="A172" s="3" t="s">
        <v>340</v>
      </c>
      <c r="B172" s="1">
        <v>2</v>
      </c>
      <c r="C172" s="1">
        <v>1</v>
      </c>
      <c r="D172" s="3" t="s">
        <v>341</v>
      </c>
      <c r="E172" s="13">
        <v>0</v>
      </c>
      <c r="F172" s="12">
        <v>318943.05</v>
      </c>
      <c r="G172" s="12">
        <v>318943.05</v>
      </c>
      <c r="H172" s="13">
        <v>0</v>
      </c>
      <c r="I172" s="13">
        <v>0</v>
      </c>
      <c r="J172" s="12">
        <v>0</v>
      </c>
      <c r="K172" s="12">
        <v>0</v>
      </c>
      <c r="L172" s="13">
        <v>0</v>
      </c>
      <c r="M172" s="22">
        <v>0</v>
      </c>
      <c r="N172" s="23">
        <v>318943.05</v>
      </c>
      <c r="O172" s="23">
        <v>318943.05</v>
      </c>
      <c r="P172" s="22">
        <v>0</v>
      </c>
    </row>
    <row r="173" spans="1:16" x14ac:dyDescent="0.3">
      <c r="A173" s="3" t="s">
        <v>342</v>
      </c>
      <c r="B173" s="1">
        <v>2</v>
      </c>
      <c r="C173" s="1">
        <v>1</v>
      </c>
      <c r="D173" s="3" t="s">
        <v>343</v>
      </c>
      <c r="E173" s="13">
        <v>37788.089999999997</v>
      </c>
      <c r="F173" s="12">
        <v>4078.12</v>
      </c>
      <c r="G173" s="12">
        <v>2132.5100000000002</v>
      </c>
      <c r="H173" s="13">
        <v>39733.699999999997</v>
      </c>
      <c r="I173" s="13">
        <v>0</v>
      </c>
      <c r="J173" s="12">
        <v>0</v>
      </c>
      <c r="K173" s="12">
        <v>0</v>
      </c>
      <c r="L173" s="13">
        <v>0</v>
      </c>
      <c r="M173" s="22">
        <v>37788.089999999997</v>
      </c>
      <c r="N173" s="23">
        <v>4078.12</v>
      </c>
      <c r="O173" s="23">
        <v>2132.5100000000002</v>
      </c>
      <c r="P173" s="22">
        <v>39733.699999999997</v>
      </c>
    </row>
    <row r="174" spans="1:16" x14ac:dyDescent="0.3">
      <c r="A174" s="3" t="s">
        <v>344</v>
      </c>
      <c r="B174" s="1">
        <v>2</v>
      </c>
      <c r="C174" s="1">
        <v>1</v>
      </c>
      <c r="D174" s="3" t="s">
        <v>50</v>
      </c>
      <c r="E174" s="13">
        <v>1041.05</v>
      </c>
      <c r="F174" s="12">
        <v>102.01</v>
      </c>
      <c r="G174" s="12">
        <v>612.48</v>
      </c>
      <c r="H174" s="13">
        <v>530.58000000000004</v>
      </c>
      <c r="I174" s="13">
        <v>0</v>
      </c>
      <c r="J174" s="12">
        <v>0</v>
      </c>
      <c r="K174" s="12">
        <v>0</v>
      </c>
      <c r="L174" s="13">
        <v>0</v>
      </c>
      <c r="M174" s="22">
        <v>1041.05</v>
      </c>
      <c r="N174" s="23">
        <v>102.01</v>
      </c>
      <c r="O174" s="23">
        <v>612.48</v>
      </c>
      <c r="P174" s="22">
        <v>530.58000000000004</v>
      </c>
    </row>
    <row r="175" spans="1:16" x14ac:dyDescent="0.3">
      <c r="A175" s="3" t="s">
        <v>345</v>
      </c>
      <c r="B175" s="1">
        <v>2</v>
      </c>
      <c r="C175" s="1">
        <v>1</v>
      </c>
      <c r="D175" s="3" t="s">
        <v>52</v>
      </c>
      <c r="E175" s="13">
        <v>4176</v>
      </c>
      <c r="F175" s="12">
        <v>0</v>
      </c>
      <c r="G175" s="12">
        <v>0</v>
      </c>
      <c r="H175" s="13">
        <v>4176</v>
      </c>
      <c r="I175" s="13">
        <v>0</v>
      </c>
      <c r="J175" s="12">
        <v>0</v>
      </c>
      <c r="K175" s="12">
        <v>0</v>
      </c>
      <c r="L175" s="13">
        <v>0</v>
      </c>
      <c r="M175" s="22">
        <v>4176</v>
      </c>
      <c r="N175" s="23">
        <v>0</v>
      </c>
      <c r="O175" s="23">
        <v>0</v>
      </c>
      <c r="P175" s="22">
        <v>4176</v>
      </c>
    </row>
    <row r="176" spans="1:16" x14ac:dyDescent="0.3">
      <c r="A176" s="3" t="s">
        <v>346</v>
      </c>
      <c r="B176" s="1">
        <v>2</v>
      </c>
      <c r="C176" s="1">
        <v>1</v>
      </c>
      <c r="D176" s="3" t="s">
        <v>46</v>
      </c>
      <c r="E176" s="13">
        <v>50761.01</v>
      </c>
      <c r="F176" s="12">
        <v>1326.34</v>
      </c>
      <c r="G176" s="12">
        <v>1284.18</v>
      </c>
      <c r="H176" s="13">
        <v>50803.17</v>
      </c>
      <c r="I176" s="13">
        <v>0</v>
      </c>
      <c r="J176" s="12">
        <v>0</v>
      </c>
      <c r="K176" s="12">
        <v>0</v>
      </c>
      <c r="L176" s="13">
        <v>0</v>
      </c>
      <c r="M176" s="22">
        <v>50761.01</v>
      </c>
      <c r="N176" s="23">
        <v>1326.34</v>
      </c>
      <c r="O176" s="23">
        <v>1284.18</v>
      </c>
      <c r="P176" s="22">
        <v>50803.17</v>
      </c>
    </row>
    <row r="177" spans="1:16" x14ac:dyDescent="0.3">
      <c r="A177" s="3" t="s">
        <v>347</v>
      </c>
      <c r="B177" s="1">
        <v>2</v>
      </c>
      <c r="C177" s="1">
        <v>1</v>
      </c>
      <c r="D177" s="3" t="s">
        <v>348</v>
      </c>
      <c r="E177" s="13">
        <v>1113.5999999999999</v>
      </c>
      <c r="F177" s="12">
        <v>0</v>
      </c>
      <c r="G177" s="12">
        <v>1113.5999999999999</v>
      </c>
      <c r="H177" s="13">
        <v>0</v>
      </c>
      <c r="I177" s="13">
        <v>0</v>
      </c>
      <c r="J177" s="12">
        <v>0</v>
      </c>
      <c r="K177" s="12">
        <v>0</v>
      </c>
      <c r="L177" s="13">
        <v>0</v>
      </c>
      <c r="M177" s="22">
        <v>1113.5999999999999</v>
      </c>
      <c r="N177" s="23">
        <v>0</v>
      </c>
      <c r="O177" s="23">
        <v>1113.5999999999999</v>
      </c>
      <c r="P177" s="22">
        <v>0</v>
      </c>
    </row>
    <row r="178" spans="1:16" x14ac:dyDescent="0.3">
      <c r="A178" s="3" t="s">
        <v>349</v>
      </c>
      <c r="B178" s="1">
        <v>2</v>
      </c>
      <c r="C178" s="1">
        <v>1</v>
      </c>
      <c r="D178" s="3" t="s">
        <v>350</v>
      </c>
      <c r="E178" s="13">
        <v>9092.42</v>
      </c>
      <c r="F178" s="12">
        <v>39556</v>
      </c>
      <c r="G178" s="12">
        <v>24940</v>
      </c>
      <c r="H178" s="13">
        <v>23708.42</v>
      </c>
      <c r="I178" s="13">
        <v>0</v>
      </c>
      <c r="J178" s="12">
        <v>0</v>
      </c>
      <c r="K178" s="12">
        <v>0</v>
      </c>
      <c r="L178" s="13">
        <v>0</v>
      </c>
      <c r="M178" s="22">
        <v>9092.42</v>
      </c>
      <c r="N178" s="23">
        <v>39556</v>
      </c>
      <c r="O178" s="23">
        <v>24940</v>
      </c>
      <c r="P178" s="22">
        <v>23708.42</v>
      </c>
    </row>
    <row r="179" spans="1:16" x14ac:dyDescent="0.3">
      <c r="A179" s="3" t="s">
        <v>351</v>
      </c>
      <c r="B179" s="1">
        <v>2</v>
      </c>
      <c r="C179" s="1">
        <v>1</v>
      </c>
      <c r="D179" s="3" t="s">
        <v>352</v>
      </c>
      <c r="E179" s="13">
        <v>14441.54</v>
      </c>
      <c r="F179" s="12">
        <v>0</v>
      </c>
      <c r="G179" s="12">
        <v>0</v>
      </c>
      <c r="H179" s="13">
        <v>14441.54</v>
      </c>
      <c r="I179" s="13">
        <v>0</v>
      </c>
      <c r="J179" s="12">
        <v>0</v>
      </c>
      <c r="K179" s="12">
        <v>0</v>
      </c>
      <c r="L179" s="13">
        <v>0</v>
      </c>
      <c r="M179" s="22">
        <v>14441.54</v>
      </c>
      <c r="N179" s="23">
        <v>0</v>
      </c>
      <c r="O179" s="23">
        <v>0</v>
      </c>
      <c r="P179" s="22">
        <v>14441.54</v>
      </c>
    </row>
    <row r="180" spans="1:16" x14ac:dyDescent="0.3">
      <c r="A180" s="3" t="s">
        <v>353</v>
      </c>
      <c r="B180" s="1">
        <v>2</v>
      </c>
      <c r="C180" s="1">
        <v>1</v>
      </c>
      <c r="D180" s="3" t="s">
        <v>354</v>
      </c>
      <c r="E180" s="13">
        <v>0</v>
      </c>
      <c r="F180" s="12">
        <v>0</v>
      </c>
      <c r="G180" s="12">
        <v>0</v>
      </c>
      <c r="H180" s="13">
        <v>0</v>
      </c>
      <c r="I180" s="13">
        <v>4294872.25</v>
      </c>
      <c r="J180" s="12">
        <v>490795.06</v>
      </c>
      <c r="K180" s="12">
        <v>0</v>
      </c>
      <c r="L180" s="13">
        <v>4785667.3099999996</v>
      </c>
      <c r="M180" s="22">
        <v>4294872.25</v>
      </c>
      <c r="N180" s="23">
        <v>490795.06</v>
      </c>
      <c r="O180" s="23">
        <v>0</v>
      </c>
      <c r="P180" s="22">
        <v>4785667.3099999996</v>
      </c>
    </row>
    <row r="181" spans="1:16" x14ac:dyDescent="0.3">
      <c r="A181" s="3" t="s">
        <v>355</v>
      </c>
      <c r="B181" s="1">
        <v>2</v>
      </c>
      <c r="C181" s="1">
        <v>0</v>
      </c>
      <c r="D181" s="3" t="s">
        <v>356</v>
      </c>
      <c r="E181" s="13">
        <v>0</v>
      </c>
      <c r="F181" s="12">
        <v>0</v>
      </c>
      <c r="G181" s="12">
        <v>0</v>
      </c>
      <c r="H181" s="13">
        <v>0</v>
      </c>
      <c r="I181" s="13">
        <v>1252.94</v>
      </c>
      <c r="J181" s="12">
        <v>0</v>
      </c>
      <c r="K181" s="12">
        <v>0</v>
      </c>
      <c r="L181" s="13">
        <v>1252.94</v>
      </c>
      <c r="M181" s="22">
        <v>1252.94</v>
      </c>
      <c r="N181" s="23">
        <v>0</v>
      </c>
      <c r="O181" s="23">
        <v>0</v>
      </c>
      <c r="P181" s="22">
        <v>1252.94</v>
      </c>
    </row>
    <row r="182" spans="1:16" x14ac:dyDescent="0.3">
      <c r="A182" s="3" t="s">
        <v>357</v>
      </c>
      <c r="B182" s="1">
        <v>2</v>
      </c>
      <c r="C182" s="1">
        <v>0</v>
      </c>
      <c r="D182" s="3" t="s">
        <v>358</v>
      </c>
      <c r="E182" s="13">
        <v>0</v>
      </c>
      <c r="F182" s="12">
        <v>0</v>
      </c>
      <c r="G182" s="12">
        <v>0</v>
      </c>
      <c r="H182" s="13">
        <v>0</v>
      </c>
      <c r="I182" s="13">
        <v>65.86</v>
      </c>
      <c r="J182" s="12">
        <v>0</v>
      </c>
      <c r="K182" s="12">
        <v>0</v>
      </c>
      <c r="L182" s="13">
        <v>65.86</v>
      </c>
      <c r="M182" s="22">
        <v>65.86</v>
      </c>
      <c r="N182" s="23">
        <v>0</v>
      </c>
      <c r="O182" s="23">
        <v>0</v>
      </c>
      <c r="P182" s="22">
        <v>65.86</v>
      </c>
    </row>
    <row r="183" spans="1:16" x14ac:dyDescent="0.3">
      <c r="A183" s="3" t="s">
        <v>359</v>
      </c>
      <c r="B183" s="1">
        <v>2</v>
      </c>
      <c r="C183" s="1">
        <v>1</v>
      </c>
      <c r="D183" s="3" t="s">
        <v>64</v>
      </c>
      <c r="E183" s="13">
        <v>0</v>
      </c>
      <c r="F183" s="12">
        <v>0</v>
      </c>
      <c r="G183" s="12">
        <v>0</v>
      </c>
      <c r="H183" s="13">
        <v>0</v>
      </c>
      <c r="I183" s="13">
        <v>62.38</v>
      </c>
      <c r="J183" s="12">
        <v>0</v>
      </c>
      <c r="K183" s="12">
        <v>0</v>
      </c>
      <c r="L183" s="13">
        <v>62.38</v>
      </c>
      <c r="M183" s="22">
        <v>62.38</v>
      </c>
      <c r="N183" s="23">
        <v>0</v>
      </c>
      <c r="O183" s="23">
        <v>0</v>
      </c>
      <c r="P183" s="22">
        <v>62.38</v>
      </c>
    </row>
    <row r="184" spans="1:16" x14ac:dyDescent="0.3">
      <c r="A184" s="3" t="s">
        <v>360</v>
      </c>
      <c r="B184" s="1">
        <v>2</v>
      </c>
      <c r="C184" s="1">
        <v>1</v>
      </c>
      <c r="D184" s="3" t="s">
        <v>66</v>
      </c>
      <c r="E184" s="13">
        <v>0</v>
      </c>
      <c r="F184" s="12">
        <v>0</v>
      </c>
      <c r="G184" s="12">
        <v>0</v>
      </c>
      <c r="H184" s="13">
        <v>0</v>
      </c>
      <c r="I184" s="13">
        <v>3.48</v>
      </c>
      <c r="J184" s="12">
        <v>0</v>
      </c>
      <c r="K184" s="12">
        <v>0</v>
      </c>
      <c r="L184" s="13">
        <v>3.48</v>
      </c>
      <c r="M184" s="22">
        <v>3.48</v>
      </c>
      <c r="N184" s="23">
        <v>0</v>
      </c>
      <c r="O184" s="23">
        <v>0</v>
      </c>
      <c r="P184" s="22">
        <v>3.48</v>
      </c>
    </row>
    <row r="185" spans="1:16" x14ac:dyDescent="0.3">
      <c r="A185" s="3" t="s">
        <v>361</v>
      </c>
      <c r="B185" s="1">
        <v>2</v>
      </c>
      <c r="C185" s="1">
        <v>0</v>
      </c>
      <c r="D185" s="3" t="s">
        <v>362</v>
      </c>
      <c r="E185" s="13">
        <v>0</v>
      </c>
      <c r="F185" s="12">
        <v>0</v>
      </c>
      <c r="G185" s="12">
        <v>0</v>
      </c>
      <c r="H185" s="13">
        <v>0</v>
      </c>
      <c r="I185" s="13">
        <v>1187.08</v>
      </c>
      <c r="J185" s="12">
        <v>0</v>
      </c>
      <c r="K185" s="12">
        <v>0</v>
      </c>
      <c r="L185" s="13">
        <v>1187.08</v>
      </c>
      <c r="M185" s="22">
        <v>1187.08</v>
      </c>
      <c r="N185" s="23">
        <v>0</v>
      </c>
      <c r="O185" s="23">
        <v>0</v>
      </c>
      <c r="P185" s="22">
        <v>1187.08</v>
      </c>
    </row>
    <row r="186" spans="1:16" x14ac:dyDescent="0.3">
      <c r="A186" s="3" t="s">
        <v>363</v>
      </c>
      <c r="B186" s="1">
        <v>2</v>
      </c>
      <c r="C186" s="1">
        <v>1</v>
      </c>
      <c r="D186" s="3" t="s">
        <v>72</v>
      </c>
      <c r="E186" s="13">
        <v>0</v>
      </c>
      <c r="F186" s="12">
        <v>0</v>
      </c>
      <c r="G186" s="12">
        <v>0</v>
      </c>
      <c r="H186" s="13">
        <v>0</v>
      </c>
      <c r="I186" s="13">
        <v>1120.6500000000001</v>
      </c>
      <c r="J186" s="12">
        <v>0</v>
      </c>
      <c r="K186" s="12">
        <v>0</v>
      </c>
      <c r="L186" s="13">
        <v>1120.6500000000001</v>
      </c>
      <c r="M186" s="22">
        <v>1120.6500000000001</v>
      </c>
      <c r="N186" s="23">
        <v>0</v>
      </c>
      <c r="O186" s="23">
        <v>0</v>
      </c>
      <c r="P186" s="22">
        <v>1120.6500000000001</v>
      </c>
    </row>
    <row r="187" spans="1:16" x14ac:dyDescent="0.3">
      <c r="A187" s="3" t="s">
        <v>364</v>
      </c>
      <c r="B187" s="1">
        <v>2</v>
      </c>
      <c r="C187" s="1">
        <v>1</v>
      </c>
      <c r="D187" s="3" t="s">
        <v>74</v>
      </c>
      <c r="E187" s="13">
        <v>0</v>
      </c>
      <c r="F187" s="12">
        <v>0</v>
      </c>
      <c r="G187" s="12">
        <v>0</v>
      </c>
      <c r="H187" s="13">
        <v>0</v>
      </c>
      <c r="I187" s="13">
        <v>66.430000000000007</v>
      </c>
      <c r="J187" s="12">
        <v>0</v>
      </c>
      <c r="K187" s="12">
        <v>0</v>
      </c>
      <c r="L187" s="13">
        <v>66.430000000000007</v>
      </c>
      <c r="M187" s="22">
        <v>66.430000000000007</v>
      </c>
      <c r="N187" s="23">
        <v>0</v>
      </c>
      <c r="O187" s="23">
        <v>0</v>
      </c>
      <c r="P187" s="22">
        <v>66.430000000000007</v>
      </c>
    </row>
    <row r="188" spans="1:16" x14ac:dyDescent="0.3">
      <c r="A188" s="3" t="s">
        <v>365</v>
      </c>
      <c r="B188" s="2">
        <v>1</v>
      </c>
      <c r="C188" s="2">
        <v>0</v>
      </c>
      <c r="D188" s="14" t="s">
        <v>366</v>
      </c>
      <c r="E188" s="15">
        <v>0</v>
      </c>
      <c r="F188" s="16">
        <v>0</v>
      </c>
      <c r="G188" s="16">
        <v>0</v>
      </c>
      <c r="H188" s="15">
        <v>0</v>
      </c>
      <c r="I188" s="15">
        <v>403041.11</v>
      </c>
      <c r="J188" s="16">
        <v>0</v>
      </c>
      <c r="K188" s="16">
        <v>0</v>
      </c>
      <c r="L188" s="15">
        <v>403041.11</v>
      </c>
      <c r="M188" s="15">
        <v>403041.11</v>
      </c>
      <c r="N188" s="16">
        <v>0</v>
      </c>
      <c r="O188" s="16">
        <v>0</v>
      </c>
      <c r="P188" s="15">
        <v>403041.11</v>
      </c>
    </row>
    <row r="189" spans="1:16" x14ac:dyDescent="0.3">
      <c r="A189" s="3" t="s">
        <v>367</v>
      </c>
      <c r="B189" s="1">
        <v>2</v>
      </c>
      <c r="C189" s="1">
        <v>0</v>
      </c>
      <c r="D189" s="3" t="s">
        <v>366</v>
      </c>
      <c r="E189" s="13">
        <v>0</v>
      </c>
      <c r="F189" s="12">
        <v>0</v>
      </c>
      <c r="G189" s="12">
        <v>0</v>
      </c>
      <c r="H189" s="13">
        <v>0</v>
      </c>
      <c r="I189" s="13">
        <v>403041.11</v>
      </c>
      <c r="J189" s="12">
        <v>0</v>
      </c>
      <c r="K189" s="12">
        <v>0</v>
      </c>
      <c r="L189" s="13">
        <v>403041.11</v>
      </c>
      <c r="M189" s="22">
        <v>403041.11</v>
      </c>
      <c r="N189" s="23">
        <v>0</v>
      </c>
      <c r="O189" s="23">
        <v>0</v>
      </c>
      <c r="P189" s="22">
        <v>403041.11</v>
      </c>
    </row>
    <row r="190" spans="1:16" x14ac:dyDescent="0.3">
      <c r="A190" s="3" t="s">
        <v>368</v>
      </c>
      <c r="B190" s="1">
        <v>2</v>
      </c>
      <c r="C190" s="1">
        <v>0</v>
      </c>
      <c r="D190" s="3" t="s">
        <v>369</v>
      </c>
      <c r="E190" s="13">
        <v>0</v>
      </c>
      <c r="F190" s="12">
        <v>0</v>
      </c>
      <c r="G190" s="12">
        <v>0</v>
      </c>
      <c r="H190" s="13">
        <v>0</v>
      </c>
      <c r="I190" s="13">
        <v>239607.62</v>
      </c>
      <c r="J190" s="12">
        <v>0</v>
      </c>
      <c r="K190" s="12">
        <v>0</v>
      </c>
      <c r="L190" s="13">
        <v>239607.62</v>
      </c>
      <c r="M190" s="22">
        <v>239607.62</v>
      </c>
      <c r="N190" s="23">
        <v>0</v>
      </c>
      <c r="O190" s="23">
        <v>0</v>
      </c>
      <c r="P190" s="22">
        <v>239607.62</v>
      </c>
    </row>
    <row r="191" spans="1:16" x14ac:dyDescent="0.3">
      <c r="A191" s="3" t="s">
        <v>370</v>
      </c>
      <c r="B191" s="1">
        <v>2</v>
      </c>
      <c r="C191" s="1">
        <v>1</v>
      </c>
      <c r="D191" s="3" t="s">
        <v>371</v>
      </c>
      <c r="E191" s="13">
        <v>0</v>
      </c>
      <c r="F191" s="12">
        <v>0</v>
      </c>
      <c r="G191" s="12">
        <v>0</v>
      </c>
      <c r="H191" s="13">
        <v>0</v>
      </c>
      <c r="I191" s="13">
        <v>239607.62</v>
      </c>
      <c r="J191" s="12">
        <v>0</v>
      </c>
      <c r="K191" s="12">
        <v>0</v>
      </c>
      <c r="L191" s="13">
        <v>239607.62</v>
      </c>
      <c r="M191" s="22">
        <v>239607.62</v>
      </c>
      <c r="N191" s="23">
        <v>0</v>
      </c>
      <c r="O191" s="23">
        <v>0</v>
      </c>
      <c r="P191" s="22">
        <v>239607.62</v>
      </c>
    </row>
    <row r="192" spans="1:16" x14ac:dyDescent="0.3">
      <c r="A192" s="3" t="s">
        <v>372</v>
      </c>
      <c r="B192" s="1">
        <v>2</v>
      </c>
      <c r="C192" s="1">
        <v>0</v>
      </c>
      <c r="D192" s="3" t="s">
        <v>373</v>
      </c>
      <c r="E192" s="13">
        <v>0</v>
      </c>
      <c r="F192" s="12">
        <v>0</v>
      </c>
      <c r="G192" s="12">
        <v>0</v>
      </c>
      <c r="H192" s="13">
        <v>0</v>
      </c>
      <c r="I192" s="13">
        <v>163433.49</v>
      </c>
      <c r="J192" s="12">
        <v>0</v>
      </c>
      <c r="K192" s="12">
        <v>0</v>
      </c>
      <c r="L192" s="13">
        <v>163433.49</v>
      </c>
      <c r="M192" s="22">
        <v>163433.49</v>
      </c>
      <c r="N192" s="23">
        <v>0</v>
      </c>
      <c r="O192" s="23">
        <v>0</v>
      </c>
      <c r="P192" s="22">
        <v>163433.49</v>
      </c>
    </row>
    <row r="193" spans="1:16" x14ac:dyDescent="0.3">
      <c r="A193" s="3" t="s">
        <v>374</v>
      </c>
      <c r="B193" s="1">
        <v>2</v>
      </c>
      <c r="C193" s="1">
        <v>1</v>
      </c>
      <c r="D193" s="3" t="s">
        <v>375</v>
      </c>
      <c r="E193" s="13">
        <v>0</v>
      </c>
      <c r="F193" s="12">
        <v>0</v>
      </c>
      <c r="G193" s="12">
        <v>0</v>
      </c>
      <c r="H193" s="13">
        <v>0</v>
      </c>
      <c r="I193" s="13">
        <v>43433.37</v>
      </c>
      <c r="J193" s="12">
        <v>0</v>
      </c>
      <c r="K193" s="12">
        <v>0</v>
      </c>
      <c r="L193" s="13">
        <v>43433.37</v>
      </c>
      <c r="M193" s="22">
        <v>43433.37</v>
      </c>
      <c r="N193" s="23">
        <v>0</v>
      </c>
      <c r="O193" s="23">
        <v>0</v>
      </c>
      <c r="P193" s="22">
        <v>43433.37</v>
      </c>
    </row>
    <row r="194" spans="1:16" x14ac:dyDescent="0.3">
      <c r="A194" s="3" t="s">
        <v>376</v>
      </c>
      <c r="B194" s="1">
        <v>2</v>
      </c>
      <c r="C194" s="1">
        <v>1</v>
      </c>
      <c r="D194" s="3" t="s">
        <v>377</v>
      </c>
      <c r="E194" s="13">
        <v>0</v>
      </c>
      <c r="F194" s="12">
        <v>0</v>
      </c>
      <c r="G194" s="12">
        <v>0</v>
      </c>
      <c r="H194" s="13">
        <v>0</v>
      </c>
      <c r="I194" s="13">
        <v>59145.96</v>
      </c>
      <c r="J194" s="12">
        <v>0</v>
      </c>
      <c r="K194" s="12">
        <v>0</v>
      </c>
      <c r="L194" s="13">
        <v>59145.96</v>
      </c>
      <c r="M194" s="22">
        <v>59145.96</v>
      </c>
      <c r="N194" s="23">
        <v>0</v>
      </c>
      <c r="O194" s="23">
        <v>0</v>
      </c>
      <c r="P194" s="22">
        <v>59145.96</v>
      </c>
    </row>
    <row r="195" spans="1:16" x14ac:dyDescent="0.3">
      <c r="A195" s="3" t="s">
        <v>378</v>
      </c>
      <c r="B195" s="1">
        <v>2</v>
      </c>
      <c r="C195" s="1">
        <v>1</v>
      </c>
      <c r="D195" s="3" t="s">
        <v>379</v>
      </c>
      <c r="E195" s="13">
        <v>0</v>
      </c>
      <c r="F195" s="12">
        <v>0</v>
      </c>
      <c r="G195" s="12">
        <v>0</v>
      </c>
      <c r="H195" s="13">
        <v>0</v>
      </c>
      <c r="I195" s="13">
        <v>60854.16</v>
      </c>
      <c r="J195" s="12">
        <v>0</v>
      </c>
      <c r="K195" s="12">
        <v>0</v>
      </c>
      <c r="L195" s="13">
        <v>60854.16</v>
      </c>
      <c r="M195" s="22">
        <v>60854.16</v>
      </c>
      <c r="N195" s="23">
        <v>0</v>
      </c>
      <c r="O195" s="23">
        <v>0</v>
      </c>
      <c r="P195" s="22">
        <v>60854.16</v>
      </c>
    </row>
    <row r="196" spans="1:16" x14ac:dyDescent="0.3">
      <c r="A196" s="3" t="s">
        <v>380</v>
      </c>
      <c r="B196" s="1">
        <v>3</v>
      </c>
      <c r="C196" s="1">
        <v>0</v>
      </c>
      <c r="D196" s="3" t="s">
        <v>381</v>
      </c>
      <c r="E196" s="13">
        <v>5002089.17</v>
      </c>
      <c r="F196" s="12">
        <v>115385.45</v>
      </c>
      <c r="G196" s="12">
        <v>12535.01</v>
      </c>
      <c r="H196" s="13">
        <v>5104939.6100000003</v>
      </c>
      <c r="I196" s="13">
        <v>48809286.159999996</v>
      </c>
      <c r="J196" s="12">
        <v>216235.73</v>
      </c>
      <c r="K196" s="12">
        <v>1728055.81</v>
      </c>
      <c r="L196" s="13">
        <v>47297466.079999998</v>
      </c>
      <c r="M196" s="22">
        <v>53811375.329999998</v>
      </c>
      <c r="N196" s="23">
        <v>331621.18</v>
      </c>
      <c r="O196" s="23">
        <v>1740590.82</v>
      </c>
      <c r="P196" s="22">
        <v>52402405.689999998</v>
      </c>
    </row>
    <row r="197" spans="1:16" x14ac:dyDescent="0.3">
      <c r="A197" s="3" t="s">
        <v>382</v>
      </c>
      <c r="B197" s="2">
        <v>1</v>
      </c>
      <c r="C197" s="2">
        <v>0</v>
      </c>
      <c r="D197" s="14" t="s">
        <v>383</v>
      </c>
      <c r="E197" s="15">
        <v>455955.06</v>
      </c>
      <c r="F197" s="16">
        <v>83443.61</v>
      </c>
      <c r="G197" s="16">
        <v>0</v>
      </c>
      <c r="H197" s="15">
        <v>539398.67000000004</v>
      </c>
      <c r="I197" s="15">
        <v>10559566.689999999</v>
      </c>
      <c r="J197" s="16">
        <v>10900</v>
      </c>
      <c r="K197" s="16">
        <v>0</v>
      </c>
      <c r="L197" s="15">
        <v>10570466.689999999</v>
      </c>
      <c r="M197" s="15">
        <v>11015521.75</v>
      </c>
      <c r="N197" s="16">
        <v>94343.61</v>
      </c>
      <c r="O197" s="16">
        <v>0</v>
      </c>
      <c r="P197" s="15">
        <v>11109865.359999999</v>
      </c>
    </row>
    <row r="198" spans="1:16" x14ac:dyDescent="0.3">
      <c r="A198" s="3" t="s">
        <v>384</v>
      </c>
      <c r="B198" s="1">
        <v>2</v>
      </c>
      <c r="C198" s="1">
        <v>0</v>
      </c>
      <c r="D198" s="3" t="s">
        <v>383</v>
      </c>
      <c r="E198" s="13">
        <v>455955.06</v>
      </c>
      <c r="F198" s="12">
        <v>83443.61</v>
      </c>
      <c r="G198" s="12">
        <v>0</v>
      </c>
      <c r="H198" s="13">
        <v>539398.67000000004</v>
      </c>
      <c r="I198" s="13">
        <v>10559566.689999999</v>
      </c>
      <c r="J198" s="12">
        <v>10900</v>
      </c>
      <c r="K198" s="12">
        <v>0</v>
      </c>
      <c r="L198" s="13">
        <v>10570466.689999999</v>
      </c>
      <c r="M198" s="22">
        <v>11015521.75</v>
      </c>
      <c r="N198" s="23">
        <v>94343.61</v>
      </c>
      <c r="O198" s="23">
        <v>0</v>
      </c>
      <c r="P198" s="22">
        <v>11109865.359999999</v>
      </c>
    </row>
    <row r="199" spans="1:16" x14ac:dyDescent="0.3">
      <c r="A199" s="3" t="s">
        <v>385</v>
      </c>
      <c r="B199" s="1">
        <v>2</v>
      </c>
      <c r="C199" s="1">
        <v>1</v>
      </c>
      <c r="D199" s="3" t="s">
        <v>386</v>
      </c>
      <c r="E199" s="13">
        <v>0</v>
      </c>
      <c r="F199" s="12">
        <v>0</v>
      </c>
      <c r="G199" s="12">
        <v>0</v>
      </c>
      <c r="H199" s="13">
        <v>0</v>
      </c>
      <c r="I199" s="13">
        <v>10548566.689999999</v>
      </c>
      <c r="J199" s="12">
        <v>0</v>
      </c>
      <c r="K199" s="12">
        <v>0</v>
      </c>
      <c r="L199" s="13">
        <v>10548566.689999999</v>
      </c>
      <c r="M199" s="22">
        <v>10548566.689999999</v>
      </c>
      <c r="N199" s="23">
        <v>0</v>
      </c>
      <c r="O199" s="23">
        <v>0</v>
      </c>
      <c r="P199" s="22">
        <v>10548566.689999999</v>
      </c>
    </row>
    <row r="200" spans="1:16" x14ac:dyDescent="0.3">
      <c r="A200" s="3" t="s">
        <v>387</v>
      </c>
      <c r="B200" s="1">
        <v>2</v>
      </c>
      <c r="C200" s="1">
        <v>1</v>
      </c>
      <c r="D200" s="3" t="s">
        <v>388</v>
      </c>
      <c r="E200" s="13">
        <v>357880</v>
      </c>
      <c r="F200" s="12">
        <v>0</v>
      </c>
      <c r="G200" s="12">
        <v>0</v>
      </c>
      <c r="H200" s="13">
        <v>357880</v>
      </c>
      <c r="I200" s="13">
        <v>0</v>
      </c>
      <c r="J200" s="12">
        <v>0</v>
      </c>
      <c r="K200" s="12">
        <v>0</v>
      </c>
      <c r="L200" s="13">
        <v>0</v>
      </c>
      <c r="M200" s="22">
        <v>357880</v>
      </c>
      <c r="N200" s="23">
        <v>0</v>
      </c>
      <c r="O200" s="23">
        <v>0</v>
      </c>
      <c r="P200" s="22">
        <v>357880</v>
      </c>
    </row>
    <row r="201" spans="1:16" x14ac:dyDescent="0.3">
      <c r="A201" s="3" t="s">
        <v>389</v>
      </c>
      <c r="B201" s="1">
        <v>2</v>
      </c>
      <c r="C201" s="1">
        <v>1</v>
      </c>
      <c r="D201" s="3" t="s">
        <v>390</v>
      </c>
      <c r="E201" s="13">
        <v>0</v>
      </c>
      <c r="F201" s="12">
        <v>47295.09</v>
      </c>
      <c r="G201" s="12">
        <v>0</v>
      </c>
      <c r="H201" s="13">
        <v>47295.09</v>
      </c>
      <c r="I201" s="13">
        <v>0</v>
      </c>
      <c r="J201" s="12">
        <v>0</v>
      </c>
      <c r="K201" s="12">
        <v>0</v>
      </c>
      <c r="L201" s="13">
        <v>0</v>
      </c>
      <c r="M201" s="22">
        <v>0</v>
      </c>
      <c r="N201" s="23">
        <v>47295.09</v>
      </c>
      <c r="O201" s="23">
        <v>0</v>
      </c>
      <c r="P201" s="22">
        <v>47295.09</v>
      </c>
    </row>
    <row r="202" spans="1:16" x14ac:dyDescent="0.3">
      <c r="A202" s="3" t="s">
        <v>391</v>
      </c>
      <c r="B202" s="1">
        <v>2</v>
      </c>
      <c r="C202" s="1">
        <v>1</v>
      </c>
      <c r="D202" s="3" t="s">
        <v>392</v>
      </c>
      <c r="E202" s="13">
        <v>0</v>
      </c>
      <c r="F202" s="12">
        <v>0</v>
      </c>
      <c r="G202" s="12">
        <v>0</v>
      </c>
      <c r="H202" s="13">
        <v>0</v>
      </c>
      <c r="I202" s="13">
        <v>11000</v>
      </c>
      <c r="J202" s="12">
        <v>0</v>
      </c>
      <c r="K202" s="12">
        <v>0</v>
      </c>
      <c r="L202" s="13">
        <v>11000</v>
      </c>
      <c r="M202" s="22">
        <v>11000</v>
      </c>
      <c r="N202" s="23">
        <v>0</v>
      </c>
      <c r="O202" s="23">
        <v>0</v>
      </c>
      <c r="P202" s="22">
        <v>11000</v>
      </c>
    </row>
    <row r="203" spans="1:16" x14ac:dyDescent="0.3">
      <c r="A203" s="3" t="s">
        <v>393</v>
      </c>
      <c r="B203" s="1">
        <v>2</v>
      </c>
      <c r="C203" s="1">
        <v>1</v>
      </c>
      <c r="D203" s="3" t="s">
        <v>394</v>
      </c>
      <c r="E203" s="13">
        <v>0</v>
      </c>
      <c r="F203" s="12">
        <v>0</v>
      </c>
      <c r="G203" s="12">
        <v>0</v>
      </c>
      <c r="H203" s="13">
        <v>0</v>
      </c>
      <c r="I203" s="13">
        <v>0</v>
      </c>
      <c r="J203" s="12">
        <v>10900</v>
      </c>
      <c r="K203" s="12">
        <v>0</v>
      </c>
      <c r="L203" s="13">
        <v>10900</v>
      </c>
      <c r="M203" s="22">
        <v>0</v>
      </c>
      <c r="N203" s="23">
        <v>10900</v>
      </c>
      <c r="O203" s="23">
        <v>0</v>
      </c>
      <c r="P203" s="22">
        <v>10900</v>
      </c>
    </row>
    <row r="204" spans="1:16" x14ac:dyDescent="0.3">
      <c r="A204" s="3" t="s">
        <v>395</v>
      </c>
      <c r="B204" s="1">
        <v>2</v>
      </c>
      <c r="C204" s="1">
        <v>1</v>
      </c>
      <c r="D204" s="3" t="s">
        <v>396</v>
      </c>
      <c r="E204" s="13">
        <v>0</v>
      </c>
      <c r="F204" s="12">
        <v>36148.519999999997</v>
      </c>
      <c r="G204" s="12">
        <v>0</v>
      </c>
      <c r="H204" s="13">
        <v>36148.519999999997</v>
      </c>
      <c r="I204" s="13">
        <v>0</v>
      </c>
      <c r="J204" s="12">
        <v>0</v>
      </c>
      <c r="K204" s="12">
        <v>0</v>
      </c>
      <c r="L204" s="13">
        <v>0</v>
      </c>
      <c r="M204" s="22">
        <v>0</v>
      </c>
      <c r="N204" s="23">
        <v>36148.519999999997</v>
      </c>
      <c r="O204" s="23">
        <v>0</v>
      </c>
      <c r="P204" s="22">
        <v>36148.519999999997</v>
      </c>
    </row>
    <row r="205" spans="1:16" x14ac:dyDescent="0.3">
      <c r="A205" s="3" t="s">
        <v>397</v>
      </c>
      <c r="B205" s="1">
        <v>2</v>
      </c>
      <c r="C205" s="1">
        <v>1</v>
      </c>
      <c r="D205" s="3" t="s">
        <v>398</v>
      </c>
      <c r="E205" s="13">
        <v>98075.06</v>
      </c>
      <c r="F205" s="12">
        <v>0</v>
      </c>
      <c r="G205" s="12">
        <v>0</v>
      </c>
      <c r="H205" s="13">
        <v>98075.06</v>
      </c>
      <c r="I205" s="1"/>
      <c r="J205" s="1"/>
      <c r="K205" s="1"/>
      <c r="L205" s="1"/>
      <c r="M205" s="24">
        <v>98075.06</v>
      </c>
      <c r="N205" s="23">
        <v>0</v>
      </c>
      <c r="O205" s="23">
        <v>0</v>
      </c>
      <c r="P205" s="24">
        <v>98075.06</v>
      </c>
    </row>
    <row r="206" spans="1:16" x14ac:dyDescent="0.3">
      <c r="A206" s="3" t="s">
        <v>399</v>
      </c>
      <c r="B206" s="2">
        <v>1</v>
      </c>
      <c r="C206" s="2">
        <v>0</v>
      </c>
      <c r="D206" s="14" t="s">
        <v>400</v>
      </c>
      <c r="E206" s="15">
        <v>0</v>
      </c>
      <c r="F206" s="16">
        <v>0</v>
      </c>
      <c r="G206" s="16">
        <v>0</v>
      </c>
      <c r="H206" s="15">
        <v>0</v>
      </c>
      <c r="I206" s="15">
        <v>1456491.4</v>
      </c>
      <c r="J206" s="16">
        <v>0</v>
      </c>
      <c r="K206" s="16">
        <v>0</v>
      </c>
      <c r="L206" s="15">
        <v>1456491.4</v>
      </c>
      <c r="M206" s="15">
        <v>1456491.4</v>
      </c>
      <c r="N206" s="16">
        <v>0</v>
      </c>
      <c r="O206" s="16">
        <v>0</v>
      </c>
      <c r="P206" s="15">
        <v>1456491.4</v>
      </c>
    </row>
    <row r="207" spans="1:16" x14ac:dyDescent="0.3">
      <c r="A207" s="3" t="s">
        <v>401</v>
      </c>
      <c r="B207" s="1">
        <v>2</v>
      </c>
      <c r="C207" s="1">
        <v>1</v>
      </c>
      <c r="D207" s="3" t="s">
        <v>400</v>
      </c>
      <c r="E207" s="13">
        <v>0</v>
      </c>
      <c r="F207" s="12">
        <v>0</v>
      </c>
      <c r="G207" s="12">
        <v>0</v>
      </c>
      <c r="H207" s="13">
        <v>0</v>
      </c>
      <c r="I207" s="13">
        <v>1456491.4</v>
      </c>
      <c r="J207" s="12">
        <v>0</v>
      </c>
      <c r="K207" s="12">
        <v>0</v>
      </c>
      <c r="L207" s="13">
        <v>1456491.4</v>
      </c>
      <c r="M207" s="22">
        <v>1456491.4</v>
      </c>
      <c r="N207" s="23">
        <v>0</v>
      </c>
      <c r="O207" s="23">
        <v>0</v>
      </c>
      <c r="P207" s="22">
        <v>1456491.4</v>
      </c>
    </row>
    <row r="208" spans="1:16" x14ac:dyDescent="0.3">
      <c r="A208" s="3" t="s">
        <v>402</v>
      </c>
      <c r="B208" s="2">
        <v>1</v>
      </c>
      <c r="C208" s="2">
        <v>0</v>
      </c>
      <c r="D208" s="14" t="s">
        <v>403</v>
      </c>
      <c r="E208" s="15">
        <v>0</v>
      </c>
      <c r="F208" s="16">
        <v>19450</v>
      </c>
      <c r="G208" s="16">
        <v>0</v>
      </c>
      <c r="H208" s="15">
        <v>19450</v>
      </c>
      <c r="I208" s="15">
        <v>2284951.2799999998</v>
      </c>
      <c r="J208" s="16">
        <v>0</v>
      </c>
      <c r="K208" s="16">
        <v>0</v>
      </c>
      <c r="L208" s="15">
        <v>2284951.2799999998</v>
      </c>
      <c r="M208" s="15">
        <v>2284951.2799999998</v>
      </c>
      <c r="N208" s="16">
        <v>19450</v>
      </c>
      <c r="O208" s="16">
        <v>0</v>
      </c>
      <c r="P208" s="15">
        <v>2304401.2799999998</v>
      </c>
    </row>
    <row r="209" spans="1:16" x14ac:dyDescent="0.3">
      <c r="A209" s="3" t="s">
        <v>404</v>
      </c>
      <c r="B209" s="1">
        <v>2</v>
      </c>
      <c r="C209" s="1">
        <v>0</v>
      </c>
      <c r="D209" s="3" t="s">
        <v>403</v>
      </c>
      <c r="E209" s="13">
        <v>0</v>
      </c>
      <c r="F209" s="12">
        <v>19450</v>
      </c>
      <c r="G209" s="12">
        <v>0</v>
      </c>
      <c r="H209" s="13">
        <v>19450</v>
      </c>
      <c r="I209" s="13">
        <v>2284951.2799999998</v>
      </c>
      <c r="J209" s="12">
        <v>0</v>
      </c>
      <c r="K209" s="12">
        <v>0</v>
      </c>
      <c r="L209" s="13">
        <v>2284951.2799999998</v>
      </c>
      <c r="M209" s="22">
        <v>2284951.2799999998</v>
      </c>
      <c r="N209" s="23">
        <v>19450</v>
      </c>
      <c r="O209" s="23">
        <v>0</v>
      </c>
      <c r="P209" s="22">
        <v>2304401.2799999998</v>
      </c>
    </row>
    <row r="210" spans="1:16" x14ac:dyDescent="0.3">
      <c r="A210" s="3" t="s">
        <v>405</v>
      </c>
      <c r="B210" s="1">
        <v>2</v>
      </c>
      <c r="C210" s="1">
        <v>1</v>
      </c>
      <c r="D210" s="3" t="s">
        <v>406</v>
      </c>
      <c r="E210" s="13">
        <v>0</v>
      </c>
      <c r="F210" s="12">
        <v>19450</v>
      </c>
      <c r="G210" s="12">
        <v>0</v>
      </c>
      <c r="H210" s="13">
        <v>19450</v>
      </c>
      <c r="I210" s="13">
        <v>0</v>
      </c>
      <c r="J210" s="12">
        <v>0</v>
      </c>
      <c r="K210" s="12">
        <v>0</v>
      </c>
      <c r="L210" s="13">
        <v>0</v>
      </c>
      <c r="M210" s="22">
        <v>0</v>
      </c>
      <c r="N210" s="23">
        <v>19450</v>
      </c>
      <c r="O210" s="23">
        <v>0</v>
      </c>
      <c r="P210" s="22">
        <v>19450</v>
      </c>
    </row>
    <row r="211" spans="1:16" x14ac:dyDescent="0.3">
      <c r="A211" s="3" t="s">
        <v>407</v>
      </c>
      <c r="B211" s="1">
        <v>2</v>
      </c>
      <c r="C211" s="1">
        <v>1</v>
      </c>
      <c r="D211" s="3" t="s">
        <v>408</v>
      </c>
      <c r="E211" s="13">
        <v>0</v>
      </c>
      <c r="F211" s="12">
        <v>0</v>
      </c>
      <c r="G211" s="12">
        <v>0</v>
      </c>
      <c r="H211" s="13">
        <v>0</v>
      </c>
      <c r="I211" s="13">
        <v>2276951.2799999998</v>
      </c>
      <c r="J211" s="12">
        <v>0</v>
      </c>
      <c r="K211" s="12">
        <v>0</v>
      </c>
      <c r="L211" s="13">
        <v>2276951.2799999998</v>
      </c>
      <c r="M211" s="22">
        <v>2276951.2799999998</v>
      </c>
      <c r="N211" s="23">
        <v>0</v>
      </c>
      <c r="O211" s="23">
        <v>0</v>
      </c>
      <c r="P211" s="22">
        <v>2276951.2799999998</v>
      </c>
    </row>
    <row r="212" spans="1:16" x14ac:dyDescent="0.3">
      <c r="A212" s="3" t="s">
        <v>409</v>
      </c>
      <c r="B212" s="1">
        <v>2</v>
      </c>
      <c r="C212" s="1">
        <v>1</v>
      </c>
      <c r="D212" s="3" t="s">
        <v>410</v>
      </c>
      <c r="E212" s="13">
        <v>0</v>
      </c>
      <c r="F212" s="12">
        <v>0</v>
      </c>
      <c r="G212" s="12">
        <v>0</v>
      </c>
      <c r="H212" s="13">
        <v>0</v>
      </c>
      <c r="I212" s="13">
        <v>8000</v>
      </c>
      <c r="J212" s="12">
        <v>0</v>
      </c>
      <c r="K212" s="12">
        <v>0</v>
      </c>
      <c r="L212" s="13">
        <v>8000</v>
      </c>
      <c r="M212" s="22">
        <v>8000</v>
      </c>
      <c r="N212" s="23">
        <v>0</v>
      </c>
      <c r="O212" s="23">
        <v>0</v>
      </c>
      <c r="P212" s="22">
        <v>8000</v>
      </c>
    </row>
    <row r="213" spans="1:16" x14ac:dyDescent="0.3">
      <c r="A213" s="3" t="s">
        <v>411</v>
      </c>
      <c r="B213" s="2">
        <v>1</v>
      </c>
      <c r="C213" s="2">
        <v>0</v>
      </c>
      <c r="D213" s="14" t="s">
        <v>412</v>
      </c>
      <c r="E213" s="15">
        <v>269449.84000000003</v>
      </c>
      <c r="F213" s="16">
        <v>12491.84</v>
      </c>
      <c r="G213" s="16">
        <v>0</v>
      </c>
      <c r="H213" s="15">
        <v>281941.68</v>
      </c>
      <c r="I213" s="15">
        <v>542883.11</v>
      </c>
      <c r="J213" s="16">
        <v>30168.99</v>
      </c>
      <c r="K213" s="16">
        <v>0</v>
      </c>
      <c r="L213" s="15">
        <v>573052.1</v>
      </c>
      <c r="M213" s="15">
        <v>812332.95</v>
      </c>
      <c r="N213" s="16">
        <v>42660.83</v>
      </c>
      <c r="O213" s="16">
        <v>0</v>
      </c>
      <c r="P213" s="15">
        <v>854993.78</v>
      </c>
    </row>
    <row r="214" spans="1:16" x14ac:dyDescent="0.3">
      <c r="A214" s="3" t="s">
        <v>413</v>
      </c>
      <c r="B214" s="1">
        <v>2</v>
      </c>
      <c r="C214" s="1">
        <v>0</v>
      </c>
      <c r="D214" s="3" t="s">
        <v>412</v>
      </c>
      <c r="E214" s="13">
        <v>269449.84000000003</v>
      </c>
      <c r="F214" s="12">
        <v>12491.84</v>
      </c>
      <c r="G214" s="12">
        <v>0</v>
      </c>
      <c r="H214" s="13">
        <v>281941.68</v>
      </c>
      <c r="I214" s="13">
        <v>542883.11</v>
      </c>
      <c r="J214" s="12">
        <v>30168.99</v>
      </c>
      <c r="K214" s="12">
        <v>0</v>
      </c>
      <c r="L214" s="13">
        <v>573052.1</v>
      </c>
      <c r="M214" s="22">
        <v>812332.95</v>
      </c>
      <c r="N214" s="23">
        <v>42660.83</v>
      </c>
      <c r="O214" s="23">
        <v>0</v>
      </c>
      <c r="P214" s="22">
        <v>854993.78</v>
      </c>
    </row>
    <row r="215" spans="1:16" x14ac:dyDescent="0.3">
      <c r="A215" s="3" t="s">
        <v>414</v>
      </c>
      <c r="B215" s="1">
        <v>2</v>
      </c>
      <c r="C215" s="1">
        <v>1</v>
      </c>
      <c r="D215" s="3" t="s">
        <v>415</v>
      </c>
      <c r="E215" s="13">
        <v>73275.86</v>
      </c>
      <c r="F215" s="12">
        <v>0</v>
      </c>
      <c r="G215" s="12">
        <v>0</v>
      </c>
      <c r="H215" s="13">
        <v>73275.86</v>
      </c>
      <c r="I215" s="13">
        <v>0</v>
      </c>
      <c r="J215" s="12">
        <v>0</v>
      </c>
      <c r="K215" s="12">
        <v>0</v>
      </c>
      <c r="L215" s="13">
        <v>0</v>
      </c>
      <c r="M215" s="22">
        <v>73275.86</v>
      </c>
      <c r="N215" s="23">
        <v>0</v>
      </c>
      <c r="O215" s="23">
        <v>0</v>
      </c>
      <c r="P215" s="22">
        <v>73275.86</v>
      </c>
    </row>
    <row r="216" spans="1:16" x14ac:dyDescent="0.3">
      <c r="A216" s="3" t="s">
        <v>416</v>
      </c>
      <c r="B216" s="1">
        <v>2</v>
      </c>
      <c r="C216" s="1">
        <v>1</v>
      </c>
      <c r="D216" s="3" t="s">
        <v>417</v>
      </c>
      <c r="E216" s="13">
        <v>196173.98</v>
      </c>
      <c r="F216" s="12">
        <v>0</v>
      </c>
      <c r="G216" s="12">
        <v>0</v>
      </c>
      <c r="H216" s="13">
        <v>196173.98</v>
      </c>
      <c r="I216" s="13">
        <v>0</v>
      </c>
      <c r="J216" s="12">
        <v>0</v>
      </c>
      <c r="K216" s="12">
        <v>0</v>
      </c>
      <c r="L216" s="13">
        <v>0</v>
      </c>
      <c r="M216" s="22">
        <v>196173.98</v>
      </c>
      <c r="N216" s="23">
        <v>0</v>
      </c>
      <c r="O216" s="23">
        <v>0</v>
      </c>
      <c r="P216" s="22">
        <v>196173.98</v>
      </c>
    </row>
    <row r="217" spans="1:16" x14ac:dyDescent="0.3">
      <c r="A217" s="3" t="s">
        <v>418</v>
      </c>
      <c r="B217" s="1">
        <v>2</v>
      </c>
      <c r="C217" s="1">
        <v>1</v>
      </c>
      <c r="D217" s="3" t="s">
        <v>419</v>
      </c>
      <c r="E217" s="13">
        <v>0</v>
      </c>
      <c r="F217" s="12">
        <v>12491.84</v>
      </c>
      <c r="G217" s="12">
        <v>0</v>
      </c>
      <c r="H217" s="13">
        <v>12491.84</v>
      </c>
      <c r="I217" s="13">
        <v>0</v>
      </c>
      <c r="J217" s="12">
        <v>0</v>
      </c>
      <c r="K217" s="12">
        <v>0</v>
      </c>
      <c r="L217" s="13">
        <v>0</v>
      </c>
      <c r="M217" s="22">
        <v>0</v>
      </c>
      <c r="N217" s="23">
        <v>12491.84</v>
      </c>
      <c r="O217" s="23">
        <v>0</v>
      </c>
      <c r="P217" s="22">
        <v>12491.84</v>
      </c>
    </row>
    <row r="218" spans="1:16" x14ac:dyDescent="0.3">
      <c r="A218" s="3" t="s">
        <v>420</v>
      </c>
      <c r="B218" s="1">
        <v>2</v>
      </c>
      <c r="C218" s="1">
        <v>1</v>
      </c>
      <c r="D218" s="3" t="s">
        <v>421</v>
      </c>
      <c r="E218" s="13">
        <v>0</v>
      </c>
      <c r="F218" s="12">
        <v>0</v>
      </c>
      <c r="G218" s="12">
        <v>0</v>
      </c>
      <c r="H218" s="13">
        <v>0</v>
      </c>
      <c r="I218" s="13">
        <v>525917.67000000004</v>
      </c>
      <c r="J218" s="12">
        <v>30168.99</v>
      </c>
      <c r="K218" s="12">
        <v>0</v>
      </c>
      <c r="L218" s="13">
        <v>556086.66</v>
      </c>
      <c r="M218" s="22">
        <v>525917.67000000004</v>
      </c>
      <c r="N218" s="23">
        <v>30168.99</v>
      </c>
      <c r="O218" s="23">
        <v>0</v>
      </c>
      <c r="P218" s="22">
        <v>556086.66</v>
      </c>
    </row>
    <row r="219" spans="1:16" x14ac:dyDescent="0.3">
      <c r="A219" s="3" t="s">
        <v>422</v>
      </c>
      <c r="B219" s="1">
        <v>2</v>
      </c>
      <c r="C219" s="1">
        <v>1</v>
      </c>
      <c r="D219" s="3" t="s">
        <v>423</v>
      </c>
      <c r="E219" s="13">
        <v>0</v>
      </c>
      <c r="F219" s="12">
        <v>0</v>
      </c>
      <c r="G219" s="12">
        <v>0</v>
      </c>
      <c r="H219" s="13">
        <v>0</v>
      </c>
      <c r="I219" s="13">
        <v>16965.439999999999</v>
      </c>
      <c r="J219" s="12">
        <v>0</v>
      </c>
      <c r="K219" s="12">
        <v>0</v>
      </c>
      <c r="L219" s="13">
        <v>16965.439999999999</v>
      </c>
      <c r="M219" s="22">
        <v>16965.439999999999</v>
      </c>
      <c r="N219" s="23">
        <v>0</v>
      </c>
      <c r="O219" s="23">
        <v>0</v>
      </c>
      <c r="P219" s="22">
        <v>16965.439999999999</v>
      </c>
    </row>
    <row r="220" spans="1:16" x14ac:dyDescent="0.3">
      <c r="A220" s="3" t="s">
        <v>424</v>
      </c>
      <c r="B220" s="2">
        <v>1</v>
      </c>
      <c r="C220" s="2">
        <v>0</v>
      </c>
      <c r="D220" s="14" t="s">
        <v>425</v>
      </c>
      <c r="E220" s="15">
        <v>0</v>
      </c>
      <c r="F220" s="16">
        <v>0</v>
      </c>
      <c r="G220" s="16">
        <v>0</v>
      </c>
      <c r="H220" s="15">
        <v>0</v>
      </c>
      <c r="I220" s="15">
        <v>15242191.02</v>
      </c>
      <c r="J220" s="16">
        <v>0</v>
      </c>
      <c r="K220" s="16">
        <v>175166.74</v>
      </c>
      <c r="L220" s="15">
        <v>15067024.279999999</v>
      </c>
      <c r="M220" s="15">
        <v>15242191.02</v>
      </c>
      <c r="N220" s="16">
        <v>0</v>
      </c>
      <c r="O220" s="16">
        <v>175166.74</v>
      </c>
      <c r="P220" s="15">
        <v>15067024.279999999</v>
      </c>
    </row>
    <row r="221" spans="1:16" x14ac:dyDescent="0.3">
      <c r="A221" s="3" t="s">
        <v>426</v>
      </c>
      <c r="B221" s="1">
        <v>2</v>
      </c>
      <c r="C221" s="1">
        <v>0</v>
      </c>
      <c r="D221" s="3" t="s">
        <v>425</v>
      </c>
      <c r="E221" s="13">
        <v>0</v>
      </c>
      <c r="F221" s="12">
        <v>0</v>
      </c>
      <c r="G221" s="12">
        <v>0</v>
      </c>
      <c r="H221" s="13">
        <v>0</v>
      </c>
      <c r="I221" s="13">
        <v>15242191.02</v>
      </c>
      <c r="J221" s="12">
        <v>0</v>
      </c>
      <c r="K221" s="12">
        <v>175166.74</v>
      </c>
      <c r="L221" s="13">
        <v>15067024.279999999</v>
      </c>
      <c r="M221" s="22">
        <v>15242191.02</v>
      </c>
      <c r="N221" s="23">
        <v>0</v>
      </c>
      <c r="O221" s="23">
        <v>175166.74</v>
      </c>
      <c r="P221" s="22">
        <v>15067024.279999999</v>
      </c>
    </row>
    <row r="222" spans="1:16" x14ac:dyDescent="0.3">
      <c r="A222" s="3" t="s">
        <v>427</v>
      </c>
      <c r="B222" s="1">
        <v>2</v>
      </c>
      <c r="C222" s="1">
        <v>0</v>
      </c>
      <c r="D222" s="3" t="s">
        <v>369</v>
      </c>
      <c r="E222" s="13">
        <v>0</v>
      </c>
      <c r="F222" s="12">
        <v>0</v>
      </c>
      <c r="G222" s="12">
        <v>0</v>
      </c>
      <c r="H222" s="13">
        <v>0</v>
      </c>
      <c r="I222" s="13">
        <v>961105.26</v>
      </c>
      <c r="J222" s="12">
        <v>0</v>
      </c>
      <c r="K222" s="12">
        <v>0</v>
      </c>
      <c r="L222" s="13">
        <v>961105.26</v>
      </c>
      <c r="M222" s="22">
        <v>961105.26</v>
      </c>
      <c r="N222" s="23">
        <v>0</v>
      </c>
      <c r="O222" s="23">
        <v>0</v>
      </c>
      <c r="P222" s="22">
        <v>961105.26</v>
      </c>
    </row>
    <row r="223" spans="1:16" x14ac:dyDescent="0.3">
      <c r="A223" s="3" t="s">
        <v>428</v>
      </c>
      <c r="B223" s="1">
        <v>2</v>
      </c>
      <c r="C223" s="1">
        <v>1</v>
      </c>
      <c r="D223" s="3" t="s">
        <v>429</v>
      </c>
      <c r="E223" s="13">
        <v>0</v>
      </c>
      <c r="F223" s="12">
        <v>0</v>
      </c>
      <c r="G223" s="12">
        <v>0</v>
      </c>
      <c r="H223" s="13">
        <v>0</v>
      </c>
      <c r="I223" s="13">
        <v>344362.4</v>
      </c>
      <c r="J223" s="12">
        <v>0</v>
      </c>
      <c r="K223" s="12">
        <v>0</v>
      </c>
      <c r="L223" s="13">
        <v>344362.4</v>
      </c>
      <c r="M223" s="22">
        <v>344362.4</v>
      </c>
      <c r="N223" s="23">
        <v>0</v>
      </c>
      <c r="O223" s="23">
        <v>0</v>
      </c>
      <c r="P223" s="22">
        <v>344362.4</v>
      </c>
    </row>
    <row r="224" spans="1:16" x14ac:dyDescent="0.3">
      <c r="A224" s="3" t="s">
        <v>430</v>
      </c>
      <c r="B224" s="1">
        <v>2</v>
      </c>
      <c r="C224" s="1">
        <v>1</v>
      </c>
      <c r="D224" s="3" t="s">
        <v>431</v>
      </c>
      <c r="E224" s="13">
        <v>0</v>
      </c>
      <c r="F224" s="12">
        <v>0</v>
      </c>
      <c r="G224" s="12">
        <v>0</v>
      </c>
      <c r="H224" s="13">
        <v>0</v>
      </c>
      <c r="I224" s="13">
        <v>318963.69</v>
      </c>
      <c r="J224" s="12">
        <v>0</v>
      </c>
      <c r="K224" s="12">
        <v>0</v>
      </c>
      <c r="L224" s="13">
        <v>318963.69</v>
      </c>
      <c r="M224" s="22">
        <v>318963.69</v>
      </c>
      <c r="N224" s="23">
        <v>0</v>
      </c>
      <c r="O224" s="23">
        <v>0</v>
      </c>
      <c r="P224" s="22">
        <v>318963.69</v>
      </c>
    </row>
    <row r="225" spans="1:16" x14ac:dyDescent="0.3">
      <c r="A225" s="3" t="s">
        <v>432</v>
      </c>
      <c r="B225" s="1">
        <v>2</v>
      </c>
      <c r="C225" s="1">
        <v>1</v>
      </c>
      <c r="D225" s="3" t="s">
        <v>433</v>
      </c>
      <c r="E225" s="13">
        <v>0</v>
      </c>
      <c r="F225" s="12">
        <v>0</v>
      </c>
      <c r="G225" s="12">
        <v>0</v>
      </c>
      <c r="H225" s="13">
        <v>0</v>
      </c>
      <c r="I225" s="13">
        <v>297779.17</v>
      </c>
      <c r="J225" s="12">
        <v>0</v>
      </c>
      <c r="K225" s="12">
        <v>0</v>
      </c>
      <c r="L225" s="13">
        <v>297779.17</v>
      </c>
      <c r="M225" s="22">
        <v>297779.17</v>
      </c>
      <c r="N225" s="23">
        <v>0</v>
      </c>
      <c r="O225" s="23">
        <v>0</v>
      </c>
      <c r="P225" s="22">
        <v>297779.17</v>
      </c>
    </row>
    <row r="226" spans="1:16" x14ac:dyDescent="0.3">
      <c r="A226" s="3" t="s">
        <v>434</v>
      </c>
      <c r="B226" s="1">
        <v>2</v>
      </c>
      <c r="C226" s="1">
        <v>0</v>
      </c>
      <c r="D226" s="3" t="s">
        <v>435</v>
      </c>
      <c r="E226" s="13">
        <v>0</v>
      </c>
      <c r="F226" s="12">
        <v>0</v>
      </c>
      <c r="G226" s="12">
        <v>0</v>
      </c>
      <c r="H226" s="13">
        <v>0</v>
      </c>
      <c r="I226" s="13">
        <v>13848332.23</v>
      </c>
      <c r="J226" s="12">
        <v>0</v>
      </c>
      <c r="K226" s="12">
        <v>0</v>
      </c>
      <c r="L226" s="13">
        <v>13848332.23</v>
      </c>
      <c r="M226" s="22">
        <v>13848332.23</v>
      </c>
      <c r="N226" s="23">
        <v>0</v>
      </c>
      <c r="O226" s="23">
        <v>0</v>
      </c>
      <c r="P226" s="22">
        <v>13848332.23</v>
      </c>
    </row>
    <row r="227" spans="1:16" x14ac:dyDescent="0.3">
      <c r="A227" s="3" t="s">
        <v>436</v>
      </c>
      <c r="B227" s="1">
        <v>2</v>
      </c>
      <c r="C227" s="1">
        <v>1</v>
      </c>
      <c r="D227" s="3" t="s">
        <v>437</v>
      </c>
      <c r="E227" s="13">
        <v>0</v>
      </c>
      <c r="F227" s="12">
        <v>0</v>
      </c>
      <c r="G227" s="12">
        <v>0</v>
      </c>
      <c r="H227" s="13">
        <v>0</v>
      </c>
      <c r="I227" s="13">
        <v>321504.74</v>
      </c>
      <c r="J227" s="12">
        <v>0</v>
      </c>
      <c r="K227" s="12">
        <v>0</v>
      </c>
      <c r="L227" s="13">
        <v>321504.74</v>
      </c>
      <c r="M227" s="22">
        <v>321504.74</v>
      </c>
      <c r="N227" s="23">
        <v>0</v>
      </c>
      <c r="O227" s="23">
        <v>0</v>
      </c>
      <c r="P227" s="22">
        <v>321504.74</v>
      </c>
    </row>
    <row r="228" spans="1:16" x14ac:dyDescent="0.3">
      <c r="A228" s="3" t="s">
        <v>438</v>
      </c>
      <c r="B228" s="1">
        <v>2</v>
      </c>
      <c r="C228" s="1">
        <v>1</v>
      </c>
      <c r="D228" s="3" t="s">
        <v>439</v>
      </c>
      <c r="E228" s="13">
        <v>0</v>
      </c>
      <c r="F228" s="12">
        <v>0</v>
      </c>
      <c r="G228" s="12">
        <v>0</v>
      </c>
      <c r="H228" s="13">
        <v>0</v>
      </c>
      <c r="I228" s="13">
        <v>408610.84</v>
      </c>
      <c r="J228" s="12">
        <v>0</v>
      </c>
      <c r="K228" s="12">
        <v>0</v>
      </c>
      <c r="L228" s="13">
        <v>408610.84</v>
      </c>
      <c r="M228" s="22">
        <v>408610.84</v>
      </c>
      <c r="N228" s="23">
        <v>0</v>
      </c>
      <c r="O228" s="23">
        <v>0</v>
      </c>
      <c r="P228" s="22">
        <v>408610.84</v>
      </c>
    </row>
    <row r="229" spans="1:16" x14ac:dyDescent="0.3">
      <c r="A229" s="3" t="s">
        <v>440</v>
      </c>
      <c r="B229" s="1">
        <v>2</v>
      </c>
      <c r="C229" s="1">
        <v>1</v>
      </c>
      <c r="D229" s="3" t="s">
        <v>441</v>
      </c>
      <c r="E229" s="13">
        <v>0</v>
      </c>
      <c r="F229" s="12">
        <v>0</v>
      </c>
      <c r="G229" s="12">
        <v>0</v>
      </c>
      <c r="H229" s="13">
        <v>0</v>
      </c>
      <c r="I229" s="13">
        <v>163758.67000000001</v>
      </c>
      <c r="J229" s="12">
        <v>0</v>
      </c>
      <c r="K229" s="12">
        <v>0</v>
      </c>
      <c r="L229" s="13">
        <v>163758.67000000001</v>
      </c>
      <c r="M229" s="22">
        <v>163758.67000000001</v>
      </c>
      <c r="N229" s="23">
        <v>0</v>
      </c>
      <c r="O229" s="23">
        <v>0</v>
      </c>
      <c r="P229" s="22">
        <v>163758.67000000001</v>
      </c>
    </row>
    <row r="230" spans="1:16" x14ac:dyDescent="0.3">
      <c r="A230" s="3" t="s">
        <v>442</v>
      </c>
      <c r="B230" s="1">
        <v>2</v>
      </c>
      <c r="C230" s="1">
        <v>1</v>
      </c>
      <c r="D230" s="3" t="s">
        <v>443</v>
      </c>
      <c r="E230" s="13">
        <v>0</v>
      </c>
      <c r="F230" s="12">
        <v>0</v>
      </c>
      <c r="G230" s="12">
        <v>0</v>
      </c>
      <c r="H230" s="13">
        <v>0</v>
      </c>
      <c r="I230" s="13">
        <v>2734004.75</v>
      </c>
      <c r="J230" s="12">
        <v>0</v>
      </c>
      <c r="K230" s="12">
        <v>0</v>
      </c>
      <c r="L230" s="13">
        <v>2734004.75</v>
      </c>
      <c r="M230" s="22">
        <v>2734004.75</v>
      </c>
      <c r="N230" s="23">
        <v>0</v>
      </c>
      <c r="O230" s="23">
        <v>0</v>
      </c>
      <c r="P230" s="22">
        <v>2734004.75</v>
      </c>
    </row>
    <row r="231" spans="1:16" x14ac:dyDescent="0.3">
      <c r="A231" s="3" t="s">
        <v>444</v>
      </c>
      <c r="B231" s="1">
        <v>2</v>
      </c>
      <c r="C231" s="1">
        <v>1</v>
      </c>
      <c r="D231" s="3" t="s">
        <v>445</v>
      </c>
      <c r="E231" s="13">
        <v>0</v>
      </c>
      <c r="F231" s="12">
        <v>0</v>
      </c>
      <c r="G231" s="12">
        <v>0</v>
      </c>
      <c r="H231" s="13">
        <v>0</v>
      </c>
      <c r="I231" s="13">
        <v>1514392.64</v>
      </c>
      <c r="J231" s="12">
        <v>0</v>
      </c>
      <c r="K231" s="12">
        <v>0</v>
      </c>
      <c r="L231" s="13">
        <v>1514392.64</v>
      </c>
      <c r="M231" s="22">
        <v>1514392.64</v>
      </c>
      <c r="N231" s="23">
        <v>0</v>
      </c>
      <c r="O231" s="23">
        <v>0</v>
      </c>
      <c r="P231" s="22">
        <v>1514392.64</v>
      </c>
    </row>
    <row r="232" spans="1:16" x14ac:dyDescent="0.3">
      <c r="A232" s="3" t="s">
        <v>446</v>
      </c>
      <c r="B232" s="1">
        <v>2</v>
      </c>
      <c r="C232" s="1">
        <v>1</v>
      </c>
      <c r="D232" s="3" t="s">
        <v>447</v>
      </c>
      <c r="E232" s="13">
        <v>0</v>
      </c>
      <c r="F232" s="12">
        <v>0</v>
      </c>
      <c r="G232" s="12">
        <v>0</v>
      </c>
      <c r="H232" s="13">
        <v>0</v>
      </c>
      <c r="I232" s="13">
        <v>1373176.58</v>
      </c>
      <c r="J232" s="12">
        <v>0</v>
      </c>
      <c r="K232" s="12">
        <v>0</v>
      </c>
      <c r="L232" s="13">
        <v>1373176.58</v>
      </c>
      <c r="M232" s="22">
        <v>1373176.58</v>
      </c>
      <c r="N232" s="23">
        <v>0</v>
      </c>
      <c r="O232" s="23">
        <v>0</v>
      </c>
      <c r="P232" s="22">
        <v>1373176.58</v>
      </c>
    </row>
    <row r="233" spans="1:16" x14ac:dyDescent="0.3">
      <c r="A233" s="3" t="s">
        <v>448</v>
      </c>
      <c r="B233" s="1">
        <v>2</v>
      </c>
      <c r="C233" s="1">
        <v>1</v>
      </c>
      <c r="D233" s="3" t="s">
        <v>449</v>
      </c>
      <c r="E233" s="13">
        <v>0</v>
      </c>
      <c r="F233" s="12">
        <v>0</v>
      </c>
      <c r="G233" s="12">
        <v>0</v>
      </c>
      <c r="H233" s="13">
        <v>0</v>
      </c>
      <c r="I233" s="13">
        <v>621155.85</v>
      </c>
      <c r="J233" s="12">
        <v>0</v>
      </c>
      <c r="K233" s="12">
        <v>0</v>
      </c>
      <c r="L233" s="13">
        <v>621155.85</v>
      </c>
      <c r="M233" s="22">
        <v>621155.85</v>
      </c>
      <c r="N233" s="23">
        <v>0</v>
      </c>
      <c r="O233" s="23">
        <v>0</v>
      </c>
      <c r="P233" s="22">
        <v>621155.85</v>
      </c>
    </row>
    <row r="234" spans="1:16" x14ac:dyDescent="0.3">
      <c r="A234" s="3" t="s">
        <v>450</v>
      </c>
      <c r="B234" s="1">
        <v>2</v>
      </c>
      <c r="C234" s="1">
        <v>1</v>
      </c>
      <c r="D234" s="3" t="s">
        <v>451</v>
      </c>
      <c r="E234" s="13">
        <v>0</v>
      </c>
      <c r="F234" s="12">
        <v>0</v>
      </c>
      <c r="G234" s="12">
        <v>0</v>
      </c>
      <c r="H234" s="13">
        <v>0</v>
      </c>
      <c r="I234" s="13">
        <v>1231668.92</v>
      </c>
      <c r="J234" s="12">
        <v>0</v>
      </c>
      <c r="K234" s="12">
        <v>0</v>
      </c>
      <c r="L234" s="13">
        <v>1231668.92</v>
      </c>
      <c r="M234" s="22">
        <v>1231668.92</v>
      </c>
      <c r="N234" s="23">
        <v>0</v>
      </c>
      <c r="O234" s="23">
        <v>0</v>
      </c>
      <c r="P234" s="22">
        <v>1231668.92</v>
      </c>
    </row>
    <row r="235" spans="1:16" x14ac:dyDescent="0.3">
      <c r="A235" s="3" t="s">
        <v>452</v>
      </c>
      <c r="B235" s="1">
        <v>2</v>
      </c>
      <c r="C235" s="1">
        <v>1</v>
      </c>
      <c r="D235" s="3" t="s">
        <v>453</v>
      </c>
      <c r="E235" s="13">
        <v>0</v>
      </c>
      <c r="F235" s="12">
        <v>0</v>
      </c>
      <c r="G235" s="12">
        <v>0</v>
      </c>
      <c r="H235" s="13">
        <v>0</v>
      </c>
      <c r="I235" s="13">
        <v>2587940.5499999998</v>
      </c>
      <c r="J235" s="12">
        <v>0</v>
      </c>
      <c r="K235" s="12">
        <v>0</v>
      </c>
      <c r="L235" s="13">
        <v>2587940.5499999998</v>
      </c>
      <c r="M235" s="22">
        <v>2587940.5499999998</v>
      </c>
      <c r="N235" s="23">
        <v>0</v>
      </c>
      <c r="O235" s="23">
        <v>0</v>
      </c>
      <c r="P235" s="22">
        <v>2587940.5499999998</v>
      </c>
    </row>
    <row r="236" spans="1:16" x14ac:dyDescent="0.3">
      <c r="A236" s="3" t="s">
        <v>454</v>
      </c>
      <c r="B236" s="1">
        <v>2</v>
      </c>
      <c r="C236" s="1">
        <v>1</v>
      </c>
      <c r="D236" s="3" t="s">
        <v>455</v>
      </c>
      <c r="E236" s="13">
        <v>0</v>
      </c>
      <c r="F236" s="12">
        <v>0</v>
      </c>
      <c r="G236" s="12">
        <v>0</v>
      </c>
      <c r="H236" s="13">
        <v>0</v>
      </c>
      <c r="I236" s="13">
        <v>171106.2</v>
      </c>
      <c r="J236" s="12">
        <v>0</v>
      </c>
      <c r="K236" s="12">
        <v>0</v>
      </c>
      <c r="L236" s="13">
        <v>171106.2</v>
      </c>
      <c r="M236" s="22">
        <v>171106.2</v>
      </c>
      <c r="N236" s="23">
        <v>0</v>
      </c>
      <c r="O236" s="23">
        <v>0</v>
      </c>
      <c r="P236" s="22">
        <v>171106.2</v>
      </c>
    </row>
    <row r="237" spans="1:16" x14ac:dyDescent="0.3">
      <c r="A237" s="3" t="s">
        <v>456</v>
      </c>
      <c r="B237" s="1">
        <v>2</v>
      </c>
      <c r="C237" s="1">
        <v>1</v>
      </c>
      <c r="D237" s="3" t="s">
        <v>457</v>
      </c>
      <c r="E237" s="13">
        <v>0</v>
      </c>
      <c r="F237" s="12">
        <v>0</v>
      </c>
      <c r="G237" s="12">
        <v>0</v>
      </c>
      <c r="H237" s="13">
        <v>0</v>
      </c>
      <c r="I237" s="13">
        <v>320810.86</v>
      </c>
      <c r="J237" s="12">
        <v>0</v>
      </c>
      <c r="K237" s="12">
        <v>0</v>
      </c>
      <c r="L237" s="13">
        <v>320810.86</v>
      </c>
      <c r="M237" s="22">
        <v>320810.86</v>
      </c>
      <c r="N237" s="23">
        <v>0</v>
      </c>
      <c r="O237" s="23">
        <v>0</v>
      </c>
      <c r="P237" s="22">
        <v>320810.86</v>
      </c>
    </row>
    <row r="238" spans="1:16" x14ac:dyDescent="0.3">
      <c r="A238" s="3" t="s">
        <v>458</v>
      </c>
      <c r="B238" s="1">
        <v>2</v>
      </c>
      <c r="C238" s="1">
        <v>1</v>
      </c>
      <c r="D238" s="3" t="s">
        <v>459</v>
      </c>
      <c r="E238" s="13">
        <v>0</v>
      </c>
      <c r="F238" s="12">
        <v>0</v>
      </c>
      <c r="G238" s="12">
        <v>0</v>
      </c>
      <c r="H238" s="13">
        <v>0</v>
      </c>
      <c r="I238" s="13">
        <v>189906.35</v>
      </c>
      <c r="J238" s="12">
        <v>0</v>
      </c>
      <c r="K238" s="12">
        <v>0</v>
      </c>
      <c r="L238" s="13">
        <v>189906.35</v>
      </c>
      <c r="M238" s="22">
        <v>189906.35</v>
      </c>
      <c r="N238" s="23">
        <v>0</v>
      </c>
      <c r="O238" s="23">
        <v>0</v>
      </c>
      <c r="P238" s="22">
        <v>189906.35</v>
      </c>
    </row>
    <row r="239" spans="1:16" x14ac:dyDescent="0.3">
      <c r="A239" s="3" t="s">
        <v>460</v>
      </c>
      <c r="B239" s="1">
        <v>2</v>
      </c>
      <c r="C239" s="1">
        <v>1</v>
      </c>
      <c r="D239" s="3" t="s">
        <v>461</v>
      </c>
      <c r="E239" s="13">
        <v>0</v>
      </c>
      <c r="F239" s="12">
        <v>0</v>
      </c>
      <c r="G239" s="12">
        <v>0</v>
      </c>
      <c r="H239" s="13">
        <v>0</v>
      </c>
      <c r="I239" s="13">
        <v>165570.92000000001</v>
      </c>
      <c r="J239" s="12">
        <v>0</v>
      </c>
      <c r="K239" s="12">
        <v>0</v>
      </c>
      <c r="L239" s="13">
        <v>165570.92000000001</v>
      </c>
      <c r="M239" s="22">
        <v>165570.92000000001</v>
      </c>
      <c r="N239" s="23">
        <v>0</v>
      </c>
      <c r="O239" s="23">
        <v>0</v>
      </c>
      <c r="P239" s="22">
        <v>165570.92000000001</v>
      </c>
    </row>
    <row r="240" spans="1:16" x14ac:dyDescent="0.3">
      <c r="A240" s="3" t="s">
        <v>462</v>
      </c>
      <c r="B240" s="1">
        <v>2</v>
      </c>
      <c r="C240" s="1">
        <v>1</v>
      </c>
      <c r="D240" s="3" t="s">
        <v>463</v>
      </c>
      <c r="E240" s="13">
        <v>0</v>
      </c>
      <c r="F240" s="12">
        <v>0</v>
      </c>
      <c r="G240" s="12">
        <v>0</v>
      </c>
      <c r="H240" s="13">
        <v>0</v>
      </c>
      <c r="I240" s="13">
        <v>152603.14000000001</v>
      </c>
      <c r="J240" s="12">
        <v>0</v>
      </c>
      <c r="K240" s="12">
        <v>0</v>
      </c>
      <c r="L240" s="13">
        <v>152603.14000000001</v>
      </c>
      <c r="M240" s="22">
        <v>152603.14000000001</v>
      </c>
      <c r="N240" s="23">
        <v>0</v>
      </c>
      <c r="O240" s="23">
        <v>0</v>
      </c>
      <c r="P240" s="22">
        <v>152603.14000000001</v>
      </c>
    </row>
    <row r="241" spans="1:16" x14ac:dyDescent="0.3">
      <c r="A241" s="3" t="s">
        <v>464</v>
      </c>
      <c r="B241" s="1">
        <v>2</v>
      </c>
      <c r="C241" s="1">
        <v>1</v>
      </c>
      <c r="D241" s="3" t="s">
        <v>465</v>
      </c>
      <c r="E241" s="13">
        <v>0</v>
      </c>
      <c r="F241" s="12">
        <v>0</v>
      </c>
      <c r="G241" s="12">
        <v>0</v>
      </c>
      <c r="H241" s="13">
        <v>0</v>
      </c>
      <c r="I241" s="13">
        <v>728079.4</v>
      </c>
      <c r="J241" s="12">
        <v>0</v>
      </c>
      <c r="K241" s="12">
        <v>0</v>
      </c>
      <c r="L241" s="13">
        <v>728079.4</v>
      </c>
      <c r="M241" s="22">
        <v>728079.4</v>
      </c>
      <c r="N241" s="23">
        <v>0</v>
      </c>
      <c r="O241" s="23">
        <v>0</v>
      </c>
      <c r="P241" s="22">
        <v>728079.4</v>
      </c>
    </row>
    <row r="242" spans="1:16" x14ac:dyDescent="0.3">
      <c r="A242" s="3" t="s">
        <v>466</v>
      </c>
      <c r="B242" s="1">
        <v>2</v>
      </c>
      <c r="C242" s="1">
        <v>1</v>
      </c>
      <c r="D242" s="3" t="s">
        <v>467</v>
      </c>
      <c r="E242" s="13">
        <v>0</v>
      </c>
      <c r="F242" s="12">
        <v>0</v>
      </c>
      <c r="G242" s="12">
        <v>0</v>
      </c>
      <c r="H242" s="13">
        <v>0</v>
      </c>
      <c r="I242" s="13">
        <v>1164041.82</v>
      </c>
      <c r="J242" s="12">
        <v>0</v>
      </c>
      <c r="K242" s="12">
        <v>0</v>
      </c>
      <c r="L242" s="13">
        <v>1164041.82</v>
      </c>
      <c r="M242" s="22">
        <v>1164041.82</v>
      </c>
      <c r="N242" s="23">
        <v>0</v>
      </c>
      <c r="O242" s="23">
        <v>0</v>
      </c>
      <c r="P242" s="22">
        <v>1164041.82</v>
      </c>
    </row>
    <row r="243" spans="1:16" x14ac:dyDescent="0.3">
      <c r="A243" s="3" t="s">
        <v>468</v>
      </c>
      <c r="B243" s="1">
        <v>2</v>
      </c>
      <c r="C243" s="1">
        <v>0</v>
      </c>
      <c r="D243" s="3" t="s">
        <v>469</v>
      </c>
      <c r="E243" s="13">
        <v>0</v>
      </c>
      <c r="F243" s="12">
        <v>0</v>
      </c>
      <c r="G243" s="12">
        <v>0</v>
      </c>
      <c r="H243" s="13">
        <v>0</v>
      </c>
      <c r="I243" s="13">
        <v>175166.74</v>
      </c>
      <c r="J243" s="12">
        <v>0</v>
      </c>
      <c r="K243" s="12">
        <v>175166.74</v>
      </c>
      <c r="L243" s="13">
        <v>0</v>
      </c>
      <c r="M243" s="22">
        <v>175166.74</v>
      </c>
      <c r="N243" s="23">
        <v>0</v>
      </c>
      <c r="O243" s="23">
        <v>175166.74</v>
      </c>
      <c r="P243" s="22">
        <v>0</v>
      </c>
    </row>
    <row r="244" spans="1:16" x14ac:dyDescent="0.3">
      <c r="A244" s="3" t="s">
        <v>470</v>
      </c>
      <c r="B244" s="1">
        <v>2</v>
      </c>
      <c r="C244" s="1">
        <v>1</v>
      </c>
      <c r="D244" s="3" t="s">
        <v>471</v>
      </c>
      <c r="E244" s="13">
        <v>0</v>
      </c>
      <c r="F244" s="12">
        <v>0</v>
      </c>
      <c r="G244" s="12">
        <v>0</v>
      </c>
      <c r="H244" s="13">
        <v>0</v>
      </c>
      <c r="I244" s="13">
        <v>175166.74</v>
      </c>
      <c r="J244" s="12">
        <v>0</v>
      </c>
      <c r="K244" s="12">
        <v>175166.74</v>
      </c>
      <c r="L244" s="13">
        <v>0</v>
      </c>
      <c r="M244" s="22">
        <v>175166.74</v>
      </c>
      <c r="N244" s="23">
        <v>0</v>
      </c>
      <c r="O244" s="23">
        <v>175166.74</v>
      </c>
      <c r="P244" s="22">
        <v>0</v>
      </c>
    </row>
    <row r="245" spans="1:16" x14ac:dyDescent="0.3">
      <c r="A245" s="3" t="s">
        <v>472</v>
      </c>
      <c r="B245" s="1">
        <v>2</v>
      </c>
      <c r="C245" s="1">
        <v>0</v>
      </c>
      <c r="D245" s="3" t="s">
        <v>473</v>
      </c>
      <c r="E245" s="13">
        <v>0</v>
      </c>
      <c r="F245" s="12">
        <v>0</v>
      </c>
      <c r="G245" s="12">
        <v>0</v>
      </c>
      <c r="H245" s="13">
        <v>0</v>
      </c>
      <c r="I245" s="13">
        <v>257586.79</v>
      </c>
      <c r="J245" s="12">
        <v>0</v>
      </c>
      <c r="K245" s="12">
        <v>0</v>
      </c>
      <c r="L245" s="13">
        <v>257586.79</v>
      </c>
      <c r="M245" s="22">
        <v>257586.79</v>
      </c>
      <c r="N245" s="23">
        <v>0</v>
      </c>
      <c r="O245" s="23">
        <v>0</v>
      </c>
      <c r="P245" s="22">
        <v>257586.79</v>
      </c>
    </row>
    <row r="246" spans="1:16" x14ac:dyDescent="0.3">
      <c r="A246" s="3" t="s">
        <v>474</v>
      </c>
      <c r="B246" s="1">
        <v>2</v>
      </c>
      <c r="C246" s="1">
        <v>1</v>
      </c>
      <c r="D246" s="3" t="s">
        <v>475</v>
      </c>
      <c r="E246" s="13">
        <v>0</v>
      </c>
      <c r="F246" s="12">
        <v>0</v>
      </c>
      <c r="G246" s="12">
        <v>0</v>
      </c>
      <c r="H246" s="13">
        <v>0</v>
      </c>
      <c r="I246" s="13">
        <v>257586.79</v>
      </c>
      <c r="J246" s="12">
        <v>0</v>
      </c>
      <c r="K246" s="12">
        <v>0</v>
      </c>
      <c r="L246" s="13">
        <v>257586.79</v>
      </c>
      <c r="M246" s="22">
        <v>257586.79</v>
      </c>
      <c r="N246" s="23">
        <v>0</v>
      </c>
      <c r="O246" s="23">
        <v>0</v>
      </c>
      <c r="P246" s="22">
        <v>257586.79</v>
      </c>
    </row>
    <row r="247" spans="1:16" x14ac:dyDescent="0.3">
      <c r="A247" s="3" t="s">
        <v>476</v>
      </c>
      <c r="B247" s="2">
        <v>1</v>
      </c>
      <c r="C247" s="2">
        <v>0</v>
      </c>
      <c r="D247" s="14" t="s">
        <v>477</v>
      </c>
      <c r="E247" s="15">
        <v>1504201.75</v>
      </c>
      <c r="F247" s="16">
        <v>0</v>
      </c>
      <c r="G247" s="16">
        <v>0</v>
      </c>
      <c r="H247" s="15">
        <v>1504201.75</v>
      </c>
      <c r="I247" s="15">
        <v>14057839.23</v>
      </c>
      <c r="J247" s="16">
        <v>0</v>
      </c>
      <c r="K247" s="16">
        <v>0</v>
      </c>
      <c r="L247" s="15">
        <v>14057839.23</v>
      </c>
      <c r="M247" s="15">
        <v>15562040.98</v>
      </c>
      <c r="N247" s="16">
        <v>0</v>
      </c>
      <c r="O247" s="16">
        <v>0</v>
      </c>
      <c r="P247" s="15">
        <v>15562040.98</v>
      </c>
    </row>
    <row r="248" spans="1:16" x14ac:dyDescent="0.3">
      <c r="A248" s="3" t="s">
        <v>478</v>
      </c>
      <c r="B248" s="1">
        <v>2</v>
      </c>
      <c r="C248" s="1">
        <v>0</v>
      </c>
      <c r="D248" s="3" t="s">
        <v>477</v>
      </c>
      <c r="E248" s="13">
        <v>1504201.75</v>
      </c>
      <c r="F248" s="12">
        <v>0</v>
      </c>
      <c r="G248" s="12">
        <v>0</v>
      </c>
      <c r="H248" s="13">
        <v>1504201.75</v>
      </c>
      <c r="I248" s="13">
        <v>14057839.23</v>
      </c>
      <c r="J248" s="12">
        <v>0</v>
      </c>
      <c r="K248" s="12">
        <v>0</v>
      </c>
      <c r="L248" s="13">
        <v>14057839.23</v>
      </c>
      <c r="M248" s="22">
        <v>15562040.98</v>
      </c>
      <c r="N248" s="23">
        <v>0</v>
      </c>
      <c r="O248" s="23">
        <v>0</v>
      </c>
      <c r="P248" s="22">
        <v>15562040.98</v>
      </c>
    </row>
    <row r="249" spans="1:16" x14ac:dyDescent="0.3">
      <c r="A249" s="3" t="s">
        <v>479</v>
      </c>
      <c r="B249" s="1">
        <v>2</v>
      </c>
      <c r="C249" s="1">
        <v>1</v>
      </c>
      <c r="D249" s="3" t="s">
        <v>480</v>
      </c>
      <c r="E249" s="13">
        <v>1504201.75</v>
      </c>
      <c r="F249" s="12">
        <v>0</v>
      </c>
      <c r="G249" s="12">
        <v>0</v>
      </c>
      <c r="H249" s="13">
        <v>1504201.75</v>
      </c>
      <c r="I249" s="13">
        <v>14057839.23</v>
      </c>
      <c r="J249" s="12">
        <v>0</v>
      </c>
      <c r="K249" s="12">
        <v>0</v>
      </c>
      <c r="L249" s="13">
        <v>14057839.23</v>
      </c>
      <c r="M249" s="22">
        <v>15562040.98</v>
      </c>
      <c r="N249" s="23">
        <v>0</v>
      </c>
      <c r="O249" s="23">
        <v>0</v>
      </c>
      <c r="P249" s="22">
        <v>15562040.98</v>
      </c>
    </row>
    <row r="250" spans="1:16" x14ac:dyDescent="0.3">
      <c r="A250" s="3" t="s">
        <v>481</v>
      </c>
      <c r="B250" s="2">
        <v>1</v>
      </c>
      <c r="C250" s="2">
        <v>0</v>
      </c>
      <c r="D250" s="14" t="s">
        <v>482</v>
      </c>
      <c r="E250" s="16">
        <v>9076.51</v>
      </c>
      <c r="F250" s="16">
        <v>0</v>
      </c>
      <c r="G250" s="16">
        <v>12535.01</v>
      </c>
      <c r="H250" s="16">
        <v>21611.52</v>
      </c>
      <c r="I250" s="16">
        <v>10872205.57</v>
      </c>
      <c r="J250" s="16">
        <v>0</v>
      </c>
      <c r="K250" s="16">
        <v>188217.45</v>
      </c>
      <c r="L250" s="16">
        <v>11060423.02</v>
      </c>
      <c r="M250" s="25">
        <v>10881282.08</v>
      </c>
      <c r="N250" s="16">
        <v>0</v>
      </c>
      <c r="O250" s="16">
        <v>200752.46000000002</v>
      </c>
      <c r="P250" s="25">
        <v>11082034.539999999</v>
      </c>
    </row>
    <row r="251" spans="1:16" x14ac:dyDescent="0.3">
      <c r="A251" s="3" t="s">
        <v>483</v>
      </c>
      <c r="B251" s="1">
        <v>2</v>
      </c>
      <c r="C251" s="1">
        <v>1</v>
      </c>
      <c r="D251" s="3" t="s">
        <v>484</v>
      </c>
      <c r="E251" s="12">
        <v>0</v>
      </c>
      <c r="F251" s="12">
        <v>0</v>
      </c>
      <c r="G251" s="12">
        <v>0</v>
      </c>
      <c r="H251" s="12">
        <v>0</v>
      </c>
      <c r="I251" s="12">
        <v>4227752</v>
      </c>
      <c r="J251" s="12">
        <v>0</v>
      </c>
      <c r="K251" s="12">
        <v>0</v>
      </c>
      <c r="L251" s="12">
        <v>4227752</v>
      </c>
      <c r="M251" s="24">
        <v>4227752</v>
      </c>
      <c r="N251" s="23">
        <v>0</v>
      </c>
      <c r="O251" s="23">
        <v>0</v>
      </c>
      <c r="P251" s="24">
        <v>4227752</v>
      </c>
    </row>
    <row r="252" spans="1:16" x14ac:dyDescent="0.3">
      <c r="A252" s="3" t="s">
        <v>485</v>
      </c>
      <c r="B252" s="1">
        <v>2</v>
      </c>
      <c r="C252" s="1">
        <v>0</v>
      </c>
      <c r="D252" s="3" t="s">
        <v>486</v>
      </c>
      <c r="E252" s="12">
        <v>0</v>
      </c>
      <c r="F252" s="12">
        <v>0</v>
      </c>
      <c r="G252" s="12">
        <v>0</v>
      </c>
      <c r="H252" s="12">
        <v>0</v>
      </c>
      <c r="I252" s="12">
        <v>3746429.32</v>
      </c>
      <c r="J252" s="12">
        <v>0</v>
      </c>
      <c r="K252" s="12">
        <v>55255.33</v>
      </c>
      <c r="L252" s="12">
        <v>3801684.65</v>
      </c>
      <c r="M252" s="24">
        <v>3746429.32</v>
      </c>
      <c r="N252" s="23">
        <v>0</v>
      </c>
      <c r="O252" s="23">
        <v>55255.33</v>
      </c>
      <c r="P252" s="24">
        <v>3801684.65</v>
      </c>
    </row>
    <row r="253" spans="1:16" x14ac:dyDescent="0.3">
      <c r="A253" s="3" t="s">
        <v>487</v>
      </c>
      <c r="B253" s="1">
        <v>2</v>
      </c>
      <c r="C253" s="1">
        <v>1</v>
      </c>
      <c r="D253" s="3" t="s">
        <v>386</v>
      </c>
      <c r="E253" s="12">
        <v>0</v>
      </c>
      <c r="F253" s="12">
        <v>0</v>
      </c>
      <c r="G253" s="12">
        <v>0</v>
      </c>
      <c r="H253" s="12">
        <v>0</v>
      </c>
      <c r="I253" s="12">
        <v>3746429.32</v>
      </c>
      <c r="J253" s="12">
        <v>0</v>
      </c>
      <c r="K253" s="12">
        <v>55255.33</v>
      </c>
      <c r="L253" s="12">
        <v>3801684.65</v>
      </c>
      <c r="M253" s="24">
        <v>3746429.32</v>
      </c>
      <c r="N253" s="23">
        <v>0</v>
      </c>
      <c r="O253" s="23">
        <v>55255.33</v>
      </c>
      <c r="P253" s="24">
        <v>3801684.65</v>
      </c>
    </row>
    <row r="254" spans="1:16" x14ac:dyDescent="0.3">
      <c r="A254" s="3" t="s">
        <v>488</v>
      </c>
      <c r="B254" s="1">
        <v>2</v>
      </c>
      <c r="C254" s="1">
        <v>1</v>
      </c>
      <c r="D254" s="3" t="s">
        <v>489</v>
      </c>
      <c r="E254" s="12">
        <v>0</v>
      </c>
      <c r="F254" s="12">
        <v>0</v>
      </c>
      <c r="G254" s="12">
        <v>0</v>
      </c>
      <c r="H254" s="12">
        <v>0</v>
      </c>
      <c r="I254" s="12">
        <v>1077621.56</v>
      </c>
      <c r="J254" s="12">
        <v>0</v>
      </c>
      <c r="K254" s="12">
        <v>1948.89</v>
      </c>
      <c r="L254" s="12">
        <v>1079570.45</v>
      </c>
      <c r="M254" s="24">
        <v>1077621.56</v>
      </c>
      <c r="N254" s="23">
        <v>0</v>
      </c>
      <c r="O254" s="23">
        <v>1948.89</v>
      </c>
      <c r="P254" s="24">
        <v>1079570.45</v>
      </c>
    </row>
    <row r="255" spans="1:16" x14ac:dyDescent="0.3">
      <c r="A255" s="3" t="s">
        <v>490</v>
      </c>
      <c r="B255" s="1">
        <v>2</v>
      </c>
      <c r="C255" s="1">
        <v>0</v>
      </c>
      <c r="D255" s="3" t="s">
        <v>491</v>
      </c>
      <c r="E255" s="12">
        <v>0</v>
      </c>
      <c r="F255" s="12">
        <v>0</v>
      </c>
      <c r="G255" s="12">
        <v>0</v>
      </c>
      <c r="H255" s="12">
        <v>0</v>
      </c>
      <c r="I255" s="12">
        <v>1081725.68</v>
      </c>
      <c r="J255" s="12">
        <v>0</v>
      </c>
      <c r="K255" s="12">
        <v>124345.92</v>
      </c>
      <c r="L255" s="12">
        <v>1206071.6000000001</v>
      </c>
      <c r="M255" s="24">
        <v>1081725.68</v>
      </c>
      <c r="N255" s="23">
        <v>0</v>
      </c>
      <c r="O255" s="23">
        <v>124345.92</v>
      </c>
      <c r="P255" s="24">
        <v>1206071.6000000001</v>
      </c>
    </row>
    <row r="256" spans="1:16" x14ac:dyDescent="0.3">
      <c r="A256" s="3" t="s">
        <v>492</v>
      </c>
      <c r="B256" s="1">
        <v>2</v>
      </c>
      <c r="C256" s="1">
        <v>1</v>
      </c>
      <c r="D256" s="3" t="s">
        <v>406</v>
      </c>
      <c r="E256" s="12">
        <v>0</v>
      </c>
      <c r="F256" s="12">
        <v>0</v>
      </c>
      <c r="G256" s="12">
        <v>0</v>
      </c>
      <c r="H256" s="12">
        <v>0</v>
      </c>
      <c r="I256" s="12">
        <v>1081725.68</v>
      </c>
      <c r="J256" s="12">
        <v>0</v>
      </c>
      <c r="K256" s="12">
        <v>124345.92</v>
      </c>
      <c r="L256" s="12">
        <v>1206071.6000000001</v>
      </c>
      <c r="M256" s="24">
        <v>1081725.68</v>
      </c>
      <c r="N256" s="23">
        <v>0</v>
      </c>
      <c r="O256" s="23">
        <v>124345.92</v>
      </c>
      <c r="P256" s="24">
        <v>1206071.6000000001</v>
      </c>
    </row>
    <row r="257" spans="1:16" x14ac:dyDescent="0.3">
      <c r="A257" s="3" t="s">
        <v>493</v>
      </c>
      <c r="B257" s="1">
        <v>2</v>
      </c>
      <c r="C257" s="1">
        <v>0</v>
      </c>
      <c r="D257" s="3" t="s">
        <v>494</v>
      </c>
      <c r="E257" s="12">
        <v>0</v>
      </c>
      <c r="F257" s="12">
        <v>0</v>
      </c>
      <c r="G257" s="12">
        <v>0</v>
      </c>
      <c r="H257" s="12">
        <v>0</v>
      </c>
      <c r="I257" s="12">
        <v>723347.76</v>
      </c>
      <c r="J257" s="12">
        <v>0</v>
      </c>
      <c r="K257" s="12">
        <v>490.19</v>
      </c>
      <c r="L257" s="12">
        <v>723837.95</v>
      </c>
      <c r="M257" s="24">
        <v>723347.76</v>
      </c>
      <c r="N257" s="23">
        <v>0</v>
      </c>
      <c r="O257" s="23">
        <v>490.19</v>
      </c>
      <c r="P257" s="24">
        <v>723837.95</v>
      </c>
    </row>
    <row r="258" spans="1:16" x14ac:dyDescent="0.3">
      <c r="A258" s="3" t="s">
        <v>495</v>
      </c>
      <c r="B258" s="1">
        <v>2</v>
      </c>
      <c r="C258" s="1">
        <v>1</v>
      </c>
      <c r="D258" s="3" t="s">
        <v>421</v>
      </c>
      <c r="E258" s="12">
        <v>0</v>
      </c>
      <c r="F258" s="12">
        <v>0</v>
      </c>
      <c r="G258" s="12">
        <v>0</v>
      </c>
      <c r="H258" s="12">
        <v>0</v>
      </c>
      <c r="I258" s="12">
        <v>723347.76</v>
      </c>
      <c r="J258" s="12">
        <v>0</v>
      </c>
      <c r="K258" s="12">
        <v>490.19</v>
      </c>
      <c r="L258" s="12">
        <v>723837.95</v>
      </c>
      <c r="M258" s="24">
        <v>723347.76</v>
      </c>
      <c r="N258" s="23">
        <v>0</v>
      </c>
      <c r="O258" s="23">
        <v>490.19</v>
      </c>
      <c r="P258" s="24">
        <v>723837.95</v>
      </c>
    </row>
    <row r="259" spans="1:16" x14ac:dyDescent="0.3">
      <c r="A259" s="3" t="s">
        <v>496</v>
      </c>
      <c r="B259" s="1">
        <v>2</v>
      </c>
      <c r="C259" s="1">
        <v>1</v>
      </c>
      <c r="D259" s="3" t="s">
        <v>497</v>
      </c>
      <c r="E259" s="12">
        <v>9076.51</v>
      </c>
      <c r="F259" s="12">
        <v>0</v>
      </c>
      <c r="G259" s="12">
        <v>12535.01</v>
      </c>
      <c r="H259" s="12">
        <v>21611.52</v>
      </c>
      <c r="I259" s="12">
        <v>15329.25</v>
      </c>
      <c r="J259" s="12">
        <v>0</v>
      </c>
      <c r="K259" s="12">
        <v>6177.12</v>
      </c>
      <c r="L259" s="12">
        <v>21506.37</v>
      </c>
      <c r="M259" s="24">
        <v>24405.760000000002</v>
      </c>
      <c r="N259" s="23">
        <v>0</v>
      </c>
      <c r="O259" s="23">
        <v>18712.13</v>
      </c>
      <c r="P259" s="24">
        <v>43117.89</v>
      </c>
    </row>
    <row r="260" spans="1:16" x14ac:dyDescent="0.3">
      <c r="A260" s="3" t="s">
        <v>498</v>
      </c>
      <c r="B260" s="2">
        <v>1</v>
      </c>
      <c r="C260" s="2">
        <v>0</v>
      </c>
      <c r="D260" s="14" t="s">
        <v>499</v>
      </c>
      <c r="E260" s="15">
        <v>0</v>
      </c>
      <c r="F260" s="16">
        <v>0</v>
      </c>
      <c r="G260" s="16">
        <v>0</v>
      </c>
      <c r="H260" s="15">
        <v>0</v>
      </c>
      <c r="I260" s="15">
        <v>15000000</v>
      </c>
      <c r="J260" s="16">
        <v>0</v>
      </c>
      <c r="K260" s="16">
        <v>0</v>
      </c>
      <c r="L260" s="15">
        <v>15000000</v>
      </c>
      <c r="M260" s="15">
        <v>15000000</v>
      </c>
      <c r="N260" s="16">
        <v>0</v>
      </c>
      <c r="O260" s="16">
        <v>0</v>
      </c>
      <c r="P260" s="15">
        <v>15000000</v>
      </c>
    </row>
    <row r="261" spans="1:16" x14ac:dyDescent="0.3">
      <c r="A261" s="3" t="s">
        <v>500</v>
      </c>
      <c r="B261" s="1">
        <v>2</v>
      </c>
      <c r="C261" s="1">
        <v>0</v>
      </c>
      <c r="D261" s="3" t="s">
        <v>499</v>
      </c>
      <c r="E261" s="13">
        <v>0</v>
      </c>
      <c r="F261" s="12">
        <v>0</v>
      </c>
      <c r="G261" s="12">
        <v>0</v>
      </c>
      <c r="H261" s="13">
        <v>0</v>
      </c>
      <c r="I261" s="13">
        <v>15000000</v>
      </c>
      <c r="J261" s="12">
        <v>0</v>
      </c>
      <c r="K261" s="12">
        <v>0</v>
      </c>
      <c r="L261" s="13">
        <v>15000000</v>
      </c>
      <c r="M261" s="22">
        <v>15000000</v>
      </c>
      <c r="N261" s="23">
        <v>0</v>
      </c>
      <c r="O261" s="23">
        <v>0</v>
      </c>
      <c r="P261" s="22">
        <v>15000000</v>
      </c>
    </row>
    <row r="262" spans="1:16" x14ac:dyDescent="0.3">
      <c r="A262" s="3" t="s">
        <v>501</v>
      </c>
      <c r="B262" s="1">
        <v>2</v>
      </c>
      <c r="C262" s="1">
        <v>0</v>
      </c>
      <c r="D262" s="3" t="s">
        <v>502</v>
      </c>
      <c r="E262" s="13">
        <v>0</v>
      </c>
      <c r="F262" s="12">
        <v>0</v>
      </c>
      <c r="G262" s="12">
        <v>0</v>
      </c>
      <c r="H262" s="13">
        <v>0</v>
      </c>
      <c r="I262" s="13">
        <v>15000000</v>
      </c>
      <c r="J262" s="12">
        <v>0</v>
      </c>
      <c r="K262" s="12">
        <v>0</v>
      </c>
      <c r="L262" s="13">
        <v>15000000</v>
      </c>
      <c r="M262" s="22">
        <v>15000000</v>
      </c>
      <c r="N262" s="23">
        <v>0</v>
      </c>
      <c r="O262" s="23">
        <v>0</v>
      </c>
      <c r="P262" s="22">
        <v>15000000</v>
      </c>
    </row>
    <row r="263" spans="1:16" x14ac:dyDescent="0.3">
      <c r="A263" s="3" t="s">
        <v>503</v>
      </c>
      <c r="B263" s="1">
        <v>2</v>
      </c>
      <c r="C263" s="1">
        <v>1</v>
      </c>
      <c r="D263" s="3" t="s">
        <v>504</v>
      </c>
      <c r="E263" s="13">
        <v>0</v>
      </c>
      <c r="F263" s="12">
        <v>0</v>
      </c>
      <c r="G263" s="12">
        <v>0</v>
      </c>
      <c r="H263" s="13">
        <v>0</v>
      </c>
      <c r="I263" s="13">
        <v>15000000</v>
      </c>
      <c r="J263" s="12">
        <v>0</v>
      </c>
      <c r="K263" s="12">
        <v>0</v>
      </c>
      <c r="L263" s="13">
        <v>15000000</v>
      </c>
      <c r="M263" s="22">
        <v>15000000</v>
      </c>
      <c r="N263" s="23">
        <v>0</v>
      </c>
      <c r="O263" s="23">
        <v>0</v>
      </c>
      <c r="P263" s="22">
        <v>15000000</v>
      </c>
    </row>
    <row r="264" spans="1:16" x14ac:dyDescent="0.3">
      <c r="A264" s="3" t="s">
        <v>505</v>
      </c>
      <c r="B264" s="2">
        <v>1</v>
      </c>
      <c r="C264" s="2">
        <v>0</v>
      </c>
      <c r="D264" s="14" t="s">
        <v>506</v>
      </c>
      <c r="E264" s="15">
        <v>0</v>
      </c>
      <c r="F264" s="16">
        <v>0</v>
      </c>
      <c r="G264" s="16">
        <v>0</v>
      </c>
      <c r="H264" s="15">
        <v>0</v>
      </c>
      <c r="I264" s="15">
        <v>0</v>
      </c>
      <c r="J264" s="16">
        <v>175166.74</v>
      </c>
      <c r="K264" s="16">
        <v>1364671.62</v>
      </c>
      <c r="L264" s="20">
        <v>-1189504.8799999999</v>
      </c>
      <c r="M264" s="15">
        <v>0</v>
      </c>
      <c r="N264" s="16">
        <v>175166.74</v>
      </c>
      <c r="O264" s="16">
        <v>1364671.62</v>
      </c>
      <c r="P264" s="15">
        <v>-1189504.8799999999</v>
      </c>
    </row>
    <row r="265" spans="1:16" x14ac:dyDescent="0.3">
      <c r="A265" s="3" t="s">
        <v>507</v>
      </c>
      <c r="B265" s="1">
        <v>2</v>
      </c>
      <c r="C265" s="1">
        <v>0</v>
      </c>
      <c r="D265" s="3" t="s">
        <v>508</v>
      </c>
      <c r="E265" s="13">
        <v>0</v>
      </c>
      <c r="F265" s="12">
        <v>0</v>
      </c>
      <c r="G265" s="12">
        <v>0</v>
      </c>
      <c r="H265" s="13">
        <v>0</v>
      </c>
      <c r="I265" s="13">
        <v>0</v>
      </c>
      <c r="J265" s="12">
        <v>175166.74</v>
      </c>
      <c r="K265" s="12">
        <v>1364671.62</v>
      </c>
      <c r="L265" s="18">
        <v>-1189504.8799999999</v>
      </c>
      <c r="M265" s="22">
        <v>0</v>
      </c>
      <c r="N265" s="23">
        <v>175166.74</v>
      </c>
      <c r="O265" s="23">
        <v>1364671.62</v>
      </c>
      <c r="P265" s="22">
        <v>-1189504.8799999999</v>
      </c>
    </row>
    <row r="266" spans="1:16" x14ac:dyDescent="0.3">
      <c r="A266" s="3" t="s">
        <v>509</v>
      </c>
      <c r="B266" s="1">
        <v>2</v>
      </c>
      <c r="C266" s="1">
        <v>1</v>
      </c>
      <c r="D266" s="3" t="s">
        <v>369</v>
      </c>
      <c r="E266" s="13">
        <v>0</v>
      </c>
      <c r="F266" s="12">
        <v>0</v>
      </c>
      <c r="G266" s="12">
        <v>0</v>
      </c>
      <c r="H266" s="13">
        <v>0</v>
      </c>
      <c r="I266" s="13">
        <v>0</v>
      </c>
      <c r="J266" s="12">
        <v>0</v>
      </c>
      <c r="K266" s="12">
        <v>305783.42</v>
      </c>
      <c r="L266" s="18">
        <v>-305783.42</v>
      </c>
      <c r="M266" s="22">
        <v>0</v>
      </c>
      <c r="N266" s="23">
        <v>0</v>
      </c>
      <c r="O266" s="23">
        <v>305783.42</v>
      </c>
      <c r="P266" s="22">
        <v>-305783.42</v>
      </c>
    </row>
    <row r="267" spans="1:16" x14ac:dyDescent="0.3">
      <c r="A267" s="3" t="s">
        <v>510</v>
      </c>
      <c r="B267" s="1">
        <v>2</v>
      </c>
      <c r="C267" s="1">
        <v>1</v>
      </c>
      <c r="D267" s="3" t="s">
        <v>435</v>
      </c>
      <c r="E267" s="13">
        <v>0</v>
      </c>
      <c r="F267" s="12">
        <v>0</v>
      </c>
      <c r="G267" s="12">
        <v>0</v>
      </c>
      <c r="H267" s="13">
        <v>0</v>
      </c>
      <c r="I267" s="13">
        <v>0</v>
      </c>
      <c r="J267" s="12">
        <v>0</v>
      </c>
      <c r="K267" s="12">
        <v>734854.72</v>
      </c>
      <c r="L267" s="18">
        <v>-734854.72</v>
      </c>
      <c r="M267" s="22">
        <v>0</v>
      </c>
      <c r="N267" s="23">
        <v>0</v>
      </c>
      <c r="O267" s="23">
        <v>734854.72</v>
      </c>
      <c r="P267" s="22">
        <v>-734854.72</v>
      </c>
    </row>
    <row r="268" spans="1:16" x14ac:dyDescent="0.3">
      <c r="A268" s="3" t="s">
        <v>511</v>
      </c>
      <c r="B268" s="1">
        <v>2</v>
      </c>
      <c r="C268" s="1">
        <v>1</v>
      </c>
      <c r="D268" s="3" t="s">
        <v>469</v>
      </c>
      <c r="E268" s="13">
        <v>0</v>
      </c>
      <c r="F268" s="12">
        <v>0</v>
      </c>
      <c r="G268" s="12">
        <v>0</v>
      </c>
      <c r="H268" s="13">
        <v>0</v>
      </c>
      <c r="I268" s="13">
        <v>0</v>
      </c>
      <c r="J268" s="12">
        <v>175166.74</v>
      </c>
      <c r="K268" s="12">
        <v>175166.74</v>
      </c>
      <c r="L268" s="13">
        <v>0</v>
      </c>
      <c r="M268" s="22">
        <v>0</v>
      </c>
      <c r="N268" s="23">
        <v>175166.74</v>
      </c>
      <c r="O268" s="23">
        <v>175166.74</v>
      </c>
      <c r="P268" s="22">
        <v>0</v>
      </c>
    </row>
    <row r="269" spans="1:16" x14ac:dyDescent="0.3">
      <c r="A269" s="3" t="s">
        <v>512</v>
      </c>
      <c r="B269" s="1">
        <v>2</v>
      </c>
      <c r="C269" s="1">
        <v>1</v>
      </c>
      <c r="D269" s="3" t="s">
        <v>473</v>
      </c>
      <c r="E269" s="13">
        <v>0</v>
      </c>
      <c r="F269" s="12">
        <v>0</v>
      </c>
      <c r="G269" s="12">
        <v>0</v>
      </c>
      <c r="H269" s="13">
        <v>0</v>
      </c>
      <c r="I269" s="13">
        <v>0</v>
      </c>
      <c r="J269" s="12">
        <v>0</v>
      </c>
      <c r="K269" s="12">
        <v>31152.33</v>
      </c>
      <c r="L269" s="18">
        <v>-31152.33</v>
      </c>
      <c r="M269" s="22">
        <v>0</v>
      </c>
      <c r="N269" s="23">
        <v>0</v>
      </c>
      <c r="O269" s="23">
        <v>31152.33</v>
      </c>
      <c r="P269" s="22">
        <v>-31152.33</v>
      </c>
    </row>
    <row r="270" spans="1:16" x14ac:dyDescent="0.3">
      <c r="A270" s="3" t="s">
        <v>513</v>
      </c>
      <c r="B270" s="1">
        <v>2</v>
      </c>
      <c r="C270" s="1">
        <v>1</v>
      </c>
      <c r="D270" s="3" t="s">
        <v>373</v>
      </c>
      <c r="E270" s="13">
        <v>0</v>
      </c>
      <c r="F270" s="12">
        <v>0</v>
      </c>
      <c r="G270" s="12">
        <v>0</v>
      </c>
      <c r="H270" s="13">
        <v>0</v>
      </c>
      <c r="I270" s="13">
        <v>0</v>
      </c>
      <c r="J270" s="12">
        <v>0</v>
      </c>
      <c r="K270" s="12">
        <v>117714.41</v>
      </c>
      <c r="L270" s="18">
        <v>-117714.41</v>
      </c>
      <c r="M270" s="22">
        <v>0</v>
      </c>
      <c r="N270" s="23">
        <v>0</v>
      </c>
      <c r="O270" s="23">
        <v>117714.41</v>
      </c>
      <c r="P270" s="22">
        <v>-117714.41</v>
      </c>
    </row>
    <row r="271" spans="1:16" x14ac:dyDescent="0.3">
      <c r="A271" s="3" t="s">
        <v>514</v>
      </c>
      <c r="B271" s="2">
        <v>1</v>
      </c>
      <c r="C271" s="2">
        <v>0</v>
      </c>
      <c r="D271" s="14" t="s">
        <v>515</v>
      </c>
      <c r="E271" s="15">
        <v>24403.03</v>
      </c>
      <c r="F271" s="16">
        <v>0</v>
      </c>
      <c r="G271" s="16">
        <v>0</v>
      </c>
      <c r="H271" s="15">
        <v>24403.03</v>
      </c>
      <c r="I271" s="15">
        <v>537569</v>
      </c>
      <c r="J271" s="16">
        <v>0</v>
      </c>
      <c r="K271" s="16">
        <v>0</v>
      </c>
      <c r="L271" s="15">
        <v>537569</v>
      </c>
      <c r="M271" s="15">
        <v>561972.03</v>
      </c>
      <c r="N271" s="16">
        <v>0</v>
      </c>
      <c r="O271" s="16">
        <v>0</v>
      </c>
      <c r="P271" s="15">
        <v>561972.03</v>
      </c>
    </row>
    <row r="272" spans="1:16" x14ac:dyDescent="0.3">
      <c r="A272" s="3" t="s">
        <v>516</v>
      </c>
      <c r="B272" s="1">
        <v>2</v>
      </c>
      <c r="C272" s="1">
        <v>0</v>
      </c>
      <c r="D272" s="3" t="s">
        <v>517</v>
      </c>
      <c r="E272" s="13">
        <v>24403.03</v>
      </c>
      <c r="F272" s="12">
        <v>0</v>
      </c>
      <c r="G272" s="12">
        <v>0</v>
      </c>
      <c r="H272" s="13">
        <v>24403.03</v>
      </c>
      <c r="I272" s="13">
        <v>537569</v>
      </c>
      <c r="J272" s="12">
        <v>0</v>
      </c>
      <c r="K272" s="12">
        <v>0</v>
      </c>
      <c r="L272" s="13">
        <v>537569</v>
      </c>
      <c r="M272" s="22">
        <v>561972.03</v>
      </c>
      <c r="N272" s="23">
        <v>0</v>
      </c>
      <c r="O272" s="23">
        <v>0</v>
      </c>
      <c r="P272" s="22">
        <v>561972.03</v>
      </c>
    </row>
    <row r="273" spans="1:16" x14ac:dyDescent="0.3">
      <c r="A273" s="3" t="s">
        <v>518</v>
      </c>
      <c r="B273" s="1">
        <v>2</v>
      </c>
      <c r="C273" s="1">
        <v>1</v>
      </c>
      <c r="D273" s="3" t="s">
        <v>519</v>
      </c>
      <c r="E273" s="13">
        <v>24403.03</v>
      </c>
      <c r="F273" s="12">
        <v>0</v>
      </c>
      <c r="G273" s="12">
        <v>0</v>
      </c>
      <c r="H273" s="13">
        <v>24403.03</v>
      </c>
      <c r="I273" s="13">
        <v>537569</v>
      </c>
      <c r="J273" s="12">
        <v>0</v>
      </c>
      <c r="K273" s="12">
        <v>0</v>
      </c>
      <c r="L273" s="13">
        <v>537569</v>
      </c>
      <c r="M273" s="22">
        <v>561972.03</v>
      </c>
      <c r="N273" s="23">
        <v>0</v>
      </c>
      <c r="O273" s="23">
        <v>0</v>
      </c>
      <c r="P273" s="22">
        <v>561972.03</v>
      </c>
    </row>
    <row r="274" spans="1:16" x14ac:dyDescent="0.3">
      <c r="A274" s="3" t="s">
        <v>520</v>
      </c>
      <c r="B274" s="2">
        <v>1</v>
      </c>
      <c r="C274" s="2">
        <v>0</v>
      </c>
      <c r="D274" s="14" t="s">
        <v>521</v>
      </c>
      <c r="E274" s="15">
        <v>2757156</v>
      </c>
      <c r="F274" s="16">
        <v>0</v>
      </c>
      <c r="G274" s="16">
        <v>0</v>
      </c>
      <c r="H274" s="15">
        <v>2757156</v>
      </c>
      <c r="I274" s="15">
        <v>0</v>
      </c>
      <c r="J274" s="16">
        <v>0</v>
      </c>
      <c r="K274" s="16">
        <v>0</v>
      </c>
      <c r="L274" s="15">
        <v>0</v>
      </c>
      <c r="M274" s="15">
        <v>2757156</v>
      </c>
      <c r="N274" s="16">
        <v>0</v>
      </c>
      <c r="O274" s="16">
        <v>0</v>
      </c>
      <c r="P274" s="15">
        <v>2757156</v>
      </c>
    </row>
    <row r="275" spans="1:16" x14ac:dyDescent="0.3">
      <c r="A275" s="3" t="s">
        <v>522</v>
      </c>
      <c r="B275" s="1">
        <v>2</v>
      </c>
      <c r="C275" s="1">
        <v>0</v>
      </c>
      <c r="D275" s="3" t="s">
        <v>521</v>
      </c>
      <c r="E275" s="13">
        <v>2757156</v>
      </c>
      <c r="F275" s="12">
        <v>0</v>
      </c>
      <c r="G275" s="12">
        <v>0</v>
      </c>
      <c r="H275" s="13">
        <v>2757156</v>
      </c>
      <c r="I275" s="13">
        <v>0</v>
      </c>
      <c r="J275" s="12">
        <v>0</v>
      </c>
      <c r="K275" s="12">
        <v>0</v>
      </c>
      <c r="L275" s="13">
        <v>0</v>
      </c>
      <c r="M275" s="22">
        <v>2757156</v>
      </c>
      <c r="N275" s="23">
        <v>0</v>
      </c>
      <c r="O275" s="23">
        <v>0</v>
      </c>
      <c r="P275" s="22">
        <v>2757156</v>
      </c>
    </row>
    <row r="276" spans="1:16" x14ac:dyDescent="0.3">
      <c r="A276" s="3" t="s">
        <v>523</v>
      </c>
      <c r="B276" s="1">
        <v>2</v>
      </c>
      <c r="C276" s="1">
        <v>1</v>
      </c>
      <c r="D276" s="3" t="s">
        <v>524</v>
      </c>
      <c r="E276" s="13">
        <v>2757156</v>
      </c>
      <c r="F276" s="12">
        <v>0</v>
      </c>
      <c r="G276" s="12">
        <v>0</v>
      </c>
      <c r="H276" s="13">
        <v>2757156</v>
      </c>
      <c r="I276" s="13">
        <v>0</v>
      </c>
      <c r="J276" s="12">
        <v>0</v>
      </c>
      <c r="K276" s="12">
        <v>0</v>
      </c>
      <c r="L276" s="13">
        <v>0</v>
      </c>
      <c r="M276" s="22">
        <v>2757156</v>
      </c>
      <c r="N276" s="23">
        <v>0</v>
      </c>
      <c r="O276" s="23">
        <v>0</v>
      </c>
      <c r="P276" s="22">
        <v>2757156</v>
      </c>
    </row>
    <row r="277" spans="1:16" x14ac:dyDescent="0.3">
      <c r="A277" s="3" t="s">
        <v>525</v>
      </c>
      <c r="B277" s="1">
        <v>2</v>
      </c>
      <c r="C277" s="1">
        <v>0</v>
      </c>
      <c r="D277" s="3" t="s">
        <v>526</v>
      </c>
      <c r="E277" s="12">
        <v>69980101.189999998</v>
      </c>
      <c r="F277" s="12">
        <v>19639661.68</v>
      </c>
      <c r="G277" s="12">
        <v>31357586.710000001</v>
      </c>
      <c r="H277" s="12">
        <v>81698026.219999999</v>
      </c>
      <c r="I277" s="12">
        <v>139535926.84999999</v>
      </c>
      <c r="J277" s="12">
        <v>29128726.460000001</v>
      </c>
      <c r="K277" s="12">
        <v>22715233.489999998</v>
      </c>
      <c r="L277" s="12">
        <v>133122433.88</v>
      </c>
      <c r="M277" s="24">
        <v>209516028.03999999</v>
      </c>
      <c r="N277" s="23">
        <v>48768388.140000001</v>
      </c>
      <c r="O277" s="23">
        <v>54072820.200000003</v>
      </c>
      <c r="P277" s="24">
        <v>214820460.09999999</v>
      </c>
    </row>
    <row r="278" spans="1:16" x14ac:dyDescent="0.3">
      <c r="A278" s="3" t="s">
        <v>527</v>
      </c>
      <c r="B278" s="1">
        <v>3</v>
      </c>
      <c r="C278" s="1">
        <v>0</v>
      </c>
      <c r="D278" s="3" t="s">
        <v>528</v>
      </c>
      <c r="E278" s="12">
        <v>48161841.539999999</v>
      </c>
      <c r="F278" s="12">
        <v>18392398.059999999</v>
      </c>
      <c r="G278" s="12">
        <v>28477506.52</v>
      </c>
      <c r="H278" s="12">
        <v>58246950</v>
      </c>
      <c r="I278" s="12">
        <v>118350058.03</v>
      </c>
      <c r="J278" s="12">
        <v>27460888.809999999</v>
      </c>
      <c r="K278" s="12">
        <v>22713113.98</v>
      </c>
      <c r="L278" s="12">
        <v>113602283.2</v>
      </c>
      <c r="M278" s="24">
        <v>166511899.56999999</v>
      </c>
      <c r="N278" s="23">
        <v>45853286.869999997</v>
      </c>
      <c r="O278" s="23">
        <v>51190620.5</v>
      </c>
      <c r="P278" s="24">
        <v>171849233.19999999</v>
      </c>
    </row>
    <row r="279" spans="1:16" x14ac:dyDescent="0.3">
      <c r="A279" s="3" t="s">
        <v>529</v>
      </c>
      <c r="B279" s="2">
        <v>1</v>
      </c>
      <c r="C279" s="2">
        <v>0</v>
      </c>
      <c r="D279" s="14" t="s">
        <v>530</v>
      </c>
      <c r="E279" s="16">
        <v>18368490.989999998</v>
      </c>
      <c r="F279" s="16">
        <v>6187236.2800000003</v>
      </c>
      <c r="G279" s="16">
        <v>11868328.1</v>
      </c>
      <c r="H279" s="16">
        <v>24049582.809999999</v>
      </c>
      <c r="I279" s="16">
        <v>15795681.359999999</v>
      </c>
      <c r="J279" s="16">
        <v>10251797.23</v>
      </c>
      <c r="K279" s="16">
        <v>6930529.1299999999</v>
      </c>
      <c r="L279" s="16">
        <v>12474413.26</v>
      </c>
      <c r="M279" s="25">
        <v>34164172.349999994</v>
      </c>
      <c r="N279" s="16">
        <v>16439033.510000002</v>
      </c>
      <c r="O279" s="16">
        <v>18798857.23</v>
      </c>
      <c r="P279" s="25">
        <v>36523996.07</v>
      </c>
    </row>
    <row r="280" spans="1:16" x14ac:dyDescent="0.3">
      <c r="A280" s="3" t="s">
        <v>531</v>
      </c>
      <c r="B280" s="1">
        <v>2</v>
      </c>
      <c r="C280" s="1">
        <v>0</v>
      </c>
      <c r="D280" s="3" t="s">
        <v>532</v>
      </c>
      <c r="E280" s="12">
        <v>18368490.989999998</v>
      </c>
      <c r="F280" s="12">
        <v>6187236.2800000003</v>
      </c>
      <c r="G280" s="12">
        <v>11868328.1</v>
      </c>
      <c r="H280" s="12">
        <v>24049582.809999999</v>
      </c>
      <c r="I280" s="12">
        <v>15795681.359999999</v>
      </c>
      <c r="J280" s="12">
        <v>10251797.23</v>
      </c>
      <c r="K280" s="12">
        <v>6930529.1299999999</v>
      </c>
      <c r="L280" s="12">
        <v>12474413.26</v>
      </c>
      <c r="M280" s="24">
        <v>34164172.349999994</v>
      </c>
      <c r="N280" s="23">
        <v>16439033.510000002</v>
      </c>
      <c r="O280" s="23">
        <v>18798857.23</v>
      </c>
      <c r="P280" s="24">
        <v>36523996.07</v>
      </c>
    </row>
    <row r="281" spans="1:16" x14ac:dyDescent="0.3">
      <c r="A281" s="3" t="s">
        <v>533</v>
      </c>
      <c r="B281" s="1">
        <v>2</v>
      </c>
      <c r="C281" s="1">
        <v>0</v>
      </c>
      <c r="D281" s="3" t="s">
        <v>534</v>
      </c>
      <c r="E281" s="12">
        <v>11244616.890000001</v>
      </c>
      <c r="F281" s="12">
        <v>3244252.65</v>
      </c>
      <c r="G281" s="12">
        <v>8494168.3699999992</v>
      </c>
      <c r="H281" s="12">
        <v>16494532.609999999</v>
      </c>
      <c r="I281" s="12">
        <v>2475993.91</v>
      </c>
      <c r="J281" s="12">
        <v>1298137.8500000001</v>
      </c>
      <c r="K281" s="12">
        <v>754162.97</v>
      </c>
      <c r="L281" s="12">
        <v>1932019.03</v>
      </c>
      <c r="M281" s="24">
        <v>13720610.800000001</v>
      </c>
      <c r="N281" s="23">
        <v>4542390.5</v>
      </c>
      <c r="O281" s="23">
        <v>9248331.3399999999</v>
      </c>
      <c r="P281" s="24">
        <v>18426551.640000001</v>
      </c>
    </row>
    <row r="282" spans="1:16" x14ac:dyDescent="0.3">
      <c r="A282" s="3" t="s">
        <v>535</v>
      </c>
      <c r="B282" s="1">
        <v>2</v>
      </c>
      <c r="C282" s="1">
        <v>1</v>
      </c>
      <c r="D282" s="3" t="s">
        <v>536</v>
      </c>
      <c r="E282" s="12">
        <v>0</v>
      </c>
      <c r="F282" s="12">
        <v>22736</v>
      </c>
      <c r="G282" s="12">
        <v>22736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24">
        <v>0</v>
      </c>
      <c r="N282" s="23">
        <v>22736</v>
      </c>
      <c r="O282" s="23">
        <v>22736</v>
      </c>
      <c r="P282" s="24">
        <v>0</v>
      </c>
    </row>
    <row r="283" spans="1:16" x14ac:dyDescent="0.3">
      <c r="A283" s="3" t="s">
        <v>537</v>
      </c>
      <c r="B283" s="1">
        <v>2</v>
      </c>
      <c r="C283" s="1">
        <v>1</v>
      </c>
      <c r="D283" s="3" t="s">
        <v>538</v>
      </c>
      <c r="E283" s="12">
        <v>709859.68</v>
      </c>
      <c r="F283" s="12">
        <v>448493.12</v>
      </c>
      <c r="G283" s="12">
        <v>454668.96</v>
      </c>
      <c r="H283" s="12">
        <v>716035.52</v>
      </c>
      <c r="I283" s="12">
        <v>3259.14</v>
      </c>
      <c r="J283" s="12">
        <v>0</v>
      </c>
      <c r="K283" s="12">
        <v>0</v>
      </c>
      <c r="L283" s="12">
        <v>3259.14</v>
      </c>
      <c r="M283" s="24">
        <v>713118.82000000007</v>
      </c>
      <c r="N283" s="23">
        <v>448493.12</v>
      </c>
      <c r="O283" s="23">
        <v>454668.96</v>
      </c>
      <c r="P283" s="24">
        <v>719294.66</v>
      </c>
    </row>
    <row r="284" spans="1:16" x14ac:dyDescent="0.3">
      <c r="A284" s="3" t="s">
        <v>539</v>
      </c>
      <c r="B284" s="1">
        <v>2</v>
      </c>
      <c r="C284" s="1">
        <v>1</v>
      </c>
      <c r="D284" s="3" t="s">
        <v>321</v>
      </c>
      <c r="E284" s="12">
        <v>467757.11</v>
      </c>
      <c r="F284" s="12">
        <v>260450.03</v>
      </c>
      <c r="G284" s="12">
        <v>537139.74</v>
      </c>
      <c r="H284" s="12">
        <v>744446.82</v>
      </c>
      <c r="I284" s="12">
        <v>484052.05</v>
      </c>
      <c r="J284" s="12">
        <v>280298.05</v>
      </c>
      <c r="K284" s="12">
        <v>0</v>
      </c>
      <c r="L284" s="12">
        <v>203754</v>
      </c>
      <c r="M284" s="24">
        <v>951809.15999999992</v>
      </c>
      <c r="N284" s="23">
        <v>540748.07999999996</v>
      </c>
      <c r="O284" s="23">
        <v>537139.74</v>
      </c>
      <c r="P284" s="24">
        <v>948200.82</v>
      </c>
    </row>
    <row r="285" spans="1:16" x14ac:dyDescent="0.3">
      <c r="A285" s="3" t="s">
        <v>540</v>
      </c>
      <c r="B285" s="1">
        <v>2</v>
      </c>
      <c r="C285" s="1">
        <v>1</v>
      </c>
      <c r="D285" s="3" t="s">
        <v>541</v>
      </c>
      <c r="E285" s="12">
        <v>4264.53</v>
      </c>
      <c r="F285" s="12">
        <v>4264.53</v>
      </c>
      <c r="G285" s="12">
        <v>0</v>
      </c>
      <c r="H285" s="12">
        <v>0</v>
      </c>
      <c r="I285" s="12">
        <v>0</v>
      </c>
      <c r="J285" s="12">
        <v>0</v>
      </c>
      <c r="K285" s="12">
        <v>0</v>
      </c>
      <c r="L285" s="12">
        <v>0</v>
      </c>
      <c r="M285" s="24">
        <v>4264.53</v>
      </c>
      <c r="N285" s="23">
        <v>4264.53</v>
      </c>
      <c r="O285" s="23">
        <v>0</v>
      </c>
      <c r="P285" s="24">
        <v>0</v>
      </c>
    </row>
    <row r="286" spans="1:16" x14ac:dyDescent="0.3">
      <c r="A286" s="3" t="s">
        <v>542</v>
      </c>
      <c r="B286" s="1">
        <v>2</v>
      </c>
      <c r="C286" s="1">
        <v>1</v>
      </c>
      <c r="D286" s="3" t="s">
        <v>543</v>
      </c>
      <c r="E286" s="12">
        <v>135524.07999999999</v>
      </c>
      <c r="F286" s="12">
        <v>0</v>
      </c>
      <c r="G286" s="12">
        <v>328036.27</v>
      </c>
      <c r="H286" s="12">
        <v>463560.35</v>
      </c>
      <c r="I286" s="12">
        <v>12235.62</v>
      </c>
      <c r="J286" s="12">
        <v>0</v>
      </c>
      <c r="K286" s="12">
        <v>0</v>
      </c>
      <c r="L286" s="12">
        <v>12235.62</v>
      </c>
      <c r="M286" s="24">
        <v>147759.69999999998</v>
      </c>
      <c r="N286" s="23">
        <v>0</v>
      </c>
      <c r="O286" s="23">
        <v>328036.27</v>
      </c>
      <c r="P286" s="24">
        <v>475795.97</v>
      </c>
    </row>
    <row r="287" spans="1:16" x14ac:dyDescent="0.3">
      <c r="A287" s="3" t="s">
        <v>544</v>
      </c>
      <c r="B287" s="1">
        <v>2</v>
      </c>
      <c r="C287" s="1">
        <v>1</v>
      </c>
      <c r="D287" s="3" t="s">
        <v>545</v>
      </c>
      <c r="E287" s="12">
        <v>109744.46</v>
      </c>
      <c r="F287" s="12">
        <v>71201.820000000007</v>
      </c>
      <c r="G287" s="12">
        <v>178010.22</v>
      </c>
      <c r="H287" s="12">
        <v>216552.86</v>
      </c>
      <c r="I287" s="12">
        <v>0</v>
      </c>
      <c r="J287" s="12">
        <v>0</v>
      </c>
      <c r="K287" s="12">
        <v>0</v>
      </c>
      <c r="L287" s="12">
        <v>0</v>
      </c>
      <c r="M287" s="24">
        <v>109744.46</v>
      </c>
      <c r="N287" s="23">
        <v>71201.820000000007</v>
      </c>
      <c r="O287" s="23">
        <v>178010.22</v>
      </c>
      <c r="P287" s="24">
        <v>216552.86</v>
      </c>
    </row>
    <row r="288" spans="1:16" x14ac:dyDescent="0.3">
      <c r="A288" s="3" t="s">
        <v>546</v>
      </c>
      <c r="B288" s="1">
        <v>2</v>
      </c>
      <c r="C288" s="1">
        <v>1</v>
      </c>
      <c r="D288" s="3" t="s">
        <v>547</v>
      </c>
      <c r="E288" s="12">
        <v>78884.47</v>
      </c>
      <c r="F288" s="12">
        <v>67597.67</v>
      </c>
      <c r="G288" s="12">
        <v>333521.09000000003</v>
      </c>
      <c r="H288" s="12">
        <v>344807.89</v>
      </c>
      <c r="I288" s="12">
        <v>520.98</v>
      </c>
      <c r="J288" s="12">
        <v>0</v>
      </c>
      <c r="K288" s="12">
        <v>0</v>
      </c>
      <c r="L288" s="12">
        <v>520.98</v>
      </c>
      <c r="M288" s="24">
        <v>79405.45</v>
      </c>
      <c r="N288" s="23">
        <v>67597.67</v>
      </c>
      <c r="O288" s="23">
        <v>333521.09000000003</v>
      </c>
      <c r="P288" s="24">
        <v>345328.87</v>
      </c>
    </row>
    <row r="289" spans="1:16" x14ac:dyDescent="0.3">
      <c r="A289" s="3" t="s">
        <v>548</v>
      </c>
      <c r="B289" s="1">
        <v>2</v>
      </c>
      <c r="C289" s="1">
        <v>1</v>
      </c>
      <c r="D289" s="3" t="s">
        <v>549</v>
      </c>
      <c r="E289" s="12">
        <v>1142865.08</v>
      </c>
      <c r="F289" s="12">
        <v>654277.98</v>
      </c>
      <c r="G289" s="12">
        <v>177962.66</v>
      </c>
      <c r="H289" s="12">
        <v>666549.76000000001</v>
      </c>
      <c r="I289" s="12">
        <v>0</v>
      </c>
      <c r="J289" s="12">
        <v>0</v>
      </c>
      <c r="K289" s="12">
        <v>0</v>
      </c>
      <c r="L289" s="12">
        <v>0</v>
      </c>
      <c r="M289" s="24">
        <v>1142865.08</v>
      </c>
      <c r="N289" s="23">
        <v>654277.98</v>
      </c>
      <c r="O289" s="23">
        <v>177962.66</v>
      </c>
      <c r="P289" s="24">
        <v>666549.76000000001</v>
      </c>
    </row>
    <row r="290" spans="1:16" x14ac:dyDescent="0.3">
      <c r="A290" s="3" t="s">
        <v>550</v>
      </c>
      <c r="B290" s="1">
        <v>2</v>
      </c>
      <c r="C290" s="1">
        <v>1</v>
      </c>
      <c r="D290" s="3" t="s">
        <v>551</v>
      </c>
      <c r="E290" s="12">
        <v>0</v>
      </c>
      <c r="F290" s="12">
        <v>31604.400000000001</v>
      </c>
      <c r="G290" s="12">
        <v>31604.400000000001</v>
      </c>
      <c r="H290" s="12">
        <v>0</v>
      </c>
      <c r="I290" s="12">
        <v>47850</v>
      </c>
      <c r="J290" s="12">
        <v>0</v>
      </c>
      <c r="K290" s="12">
        <v>0</v>
      </c>
      <c r="L290" s="12">
        <v>47850</v>
      </c>
      <c r="M290" s="24">
        <v>47850</v>
      </c>
      <c r="N290" s="23">
        <v>31604.400000000001</v>
      </c>
      <c r="O290" s="23">
        <v>31604.400000000001</v>
      </c>
      <c r="P290" s="24">
        <v>47850</v>
      </c>
    </row>
    <row r="291" spans="1:16" x14ac:dyDescent="0.3">
      <c r="A291" s="3" t="s">
        <v>552</v>
      </c>
      <c r="B291" s="1">
        <v>2</v>
      </c>
      <c r="C291" s="1">
        <v>1</v>
      </c>
      <c r="D291" s="3" t="s">
        <v>224</v>
      </c>
      <c r="E291" s="12">
        <v>0</v>
      </c>
      <c r="F291" s="12">
        <v>0</v>
      </c>
      <c r="G291" s="12">
        <v>0</v>
      </c>
      <c r="H291" s="12">
        <v>0</v>
      </c>
      <c r="I291" s="12">
        <v>164797.95000000001</v>
      </c>
      <c r="J291" s="12">
        <v>100394.75</v>
      </c>
      <c r="K291" s="12">
        <v>0</v>
      </c>
      <c r="L291" s="12">
        <v>64403.199999999997</v>
      </c>
      <c r="M291" s="24">
        <v>164797.95000000001</v>
      </c>
      <c r="N291" s="23">
        <v>100394.75</v>
      </c>
      <c r="O291" s="23">
        <v>0</v>
      </c>
      <c r="P291" s="24">
        <v>64403.199999999997</v>
      </c>
    </row>
    <row r="292" spans="1:16" x14ac:dyDescent="0.3">
      <c r="A292" s="3" t="s">
        <v>553</v>
      </c>
      <c r="B292" s="1">
        <v>2</v>
      </c>
      <c r="C292" s="1">
        <v>1</v>
      </c>
      <c r="D292" s="3" t="s">
        <v>554</v>
      </c>
      <c r="E292" s="12">
        <v>207953.45</v>
      </c>
      <c r="F292" s="12">
        <v>125331.12</v>
      </c>
      <c r="G292" s="12">
        <v>557821.39</v>
      </c>
      <c r="H292" s="12">
        <v>640443.72</v>
      </c>
      <c r="I292" s="12">
        <v>160370.57999999999</v>
      </c>
      <c r="J292" s="12">
        <v>0</v>
      </c>
      <c r="K292" s="12">
        <v>0</v>
      </c>
      <c r="L292" s="12">
        <v>160370.57999999999</v>
      </c>
      <c r="M292" s="24">
        <v>368324.03</v>
      </c>
      <c r="N292" s="23">
        <v>125331.12</v>
      </c>
      <c r="O292" s="23">
        <v>557821.39</v>
      </c>
      <c r="P292" s="24">
        <v>800814.29999999993</v>
      </c>
    </row>
    <row r="293" spans="1:16" x14ac:dyDescent="0.3">
      <c r="A293" s="3" t="s">
        <v>555</v>
      </c>
      <c r="B293" s="1">
        <v>2</v>
      </c>
      <c r="C293" s="1">
        <v>1</v>
      </c>
      <c r="D293" s="3" t="s">
        <v>556</v>
      </c>
      <c r="E293" s="12">
        <v>263637.24</v>
      </c>
      <c r="F293" s="12">
        <v>58952.97</v>
      </c>
      <c r="G293" s="12">
        <v>206909</v>
      </c>
      <c r="H293" s="12">
        <v>411593.27</v>
      </c>
      <c r="I293" s="12">
        <v>107870.06</v>
      </c>
      <c r="J293" s="12">
        <v>107870.06</v>
      </c>
      <c r="K293" s="12">
        <v>0</v>
      </c>
      <c r="L293" s="12">
        <v>0</v>
      </c>
      <c r="M293" s="24">
        <v>371507.3</v>
      </c>
      <c r="N293" s="23">
        <v>166823.03</v>
      </c>
      <c r="O293" s="23">
        <v>206909</v>
      </c>
      <c r="P293" s="24">
        <v>411593.27</v>
      </c>
    </row>
    <row r="294" spans="1:16" x14ac:dyDescent="0.3">
      <c r="A294" s="3" t="s">
        <v>557</v>
      </c>
      <c r="B294" s="1">
        <v>2</v>
      </c>
      <c r="C294" s="1">
        <v>1</v>
      </c>
      <c r="D294" s="3" t="s">
        <v>558</v>
      </c>
      <c r="E294" s="12">
        <v>0</v>
      </c>
      <c r="F294" s="12">
        <v>0</v>
      </c>
      <c r="G294" s="12">
        <v>0</v>
      </c>
      <c r="H294" s="12">
        <v>0</v>
      </c>
      <c r="I294" s="12">
        <v>224199</v>
      </c>
      <c r="J294" s="12">
        <v>0</v>
      </c>
      <c r="K294" s="12">
        <v>582140.9</v>
      </c>
      <c r="L294" s="12">
        <v>806339.9</v>
      </c>
      <c r="M294" s="24">
        <v>224199</v>
      </c>
      <c r="N294" s="23">
        <v>0</v>
      </c>
      <c r="O294" s="23">
        <v>582140.9</v>
      </c>
      <c r="P294" s="24">
        <v>806339.9</v>
      </c>
    </row>
    <row r="295" spans="1:16" x14ac:dyDescent="0.3">
      <c r="A295" s="3" t="s">
        <v>559</v>
      </c>
      <c r="B295" s="1">
        <v>2</v>
      </c>
      <c r="C295" s="1">
        <v>1</v>
      </c>
      <c r="D295" s="3" t="s">
        <v>560</v>
      </c>
      <c r="E295" s="12">
        <v>35125</v>
      </c>
      <c r="F295" s="12">
        <v>216500</v>
      </c>
      <c r="G295" s="12">
        <v>235075</v>
      </c>
      <c r="H295" s="12">
        <v>53700</v>
      </c>
      <c r="I295" s="12">
        <v>0</v>
      </c>
      <c r="J295" s="12">
        <v>0</v>
      </c>
      <c r="K295" s="12">
        <v>0</v>
      </c>
      <c r="L295" s="12">
        <v>0</v>
      </c>
      <c r="M295" s="24">
        <v>35125</v>
      </c>
      <c r="N295" s="23">
        <v>216500</v>
      </c>
      <c r="O295" s="23">
        <v>235075</v>
      </c>
      <c r="P295" s="24">
        <v>53700</v>
      </c>
    </row>
    <row r="296" spans="1:16" x14ac:dyDescent="0.3">
      <c r="A296" s="3" t="s">
        <v>561</v>
      </c>
      <c r="B296" s="1">
        <v>2</v>
      </c>
      <c r="C296" s="1">
        <v>1</v>
      </c>
      <c r="D296" s="3" t="s">
        <v>562</v>
      </c>
      <c r="E296" s="12">
        <v>36540</v>
      </c>
      <c r="F296" s="12">
        <v>36540</v>
      </c>
      <c r="G296" s="12">
        <v>48720</v>
      </c>
      <c r="H296" s="12">
        <v>48720</v>
      </c>
      <c r="I296" s="12">
        <v>145302.88</v>
      </c>
      <c r="J296" s="12">
        <v>0</v>
      </c>
      <c r="K296" s="12">
        <v>0</v>
      </c>
      <c r="L296" s="12">
        <v>145302.88</v>
      </c>
      <c r="M296" s="24">
        <v>181842.88</v>
      </c>
      <c r="N296" s="23">
        <v>36540</v>
      </c>
      <c r="O296" s="23">
        <v>48720</v>
      </c>
      <c r="P296" s="24">
        <v>194022.88</v>
      </c>
    </row>
    <row r="297" spans="1:16" x14ac:dyDescent="0.3">
      <c r="A297" s="3" t="s">
        <v>563</v>
      </c>
      <c r="B297" s="1">
        <v>2</v>
      </c>
      <c r="C297" s="1">
        <v>1</v>
      </c>
      <c r="D297" s="3" t="s">
        <v>564</v>
      </c>
      <c r="E297" s="12">
        <v>0</v>
      </c>
      <c r="F297" s="12">
        <v>7621.2</v>
      </c>
      <c r="G297" s="12">
        <v>7621.2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24">
        <v>0</v>
      </c>
      <c r="N297" s="23">
        <v>7621.2</v>
      </c>
      <c r="O297" s="23">
        <v>7621.2</v>
      </c>
      <c r="P297" s="24">
        <v>0</v>
      </c>
    </row>
    <row r="298" spans="1:16" x14ac:dyDescent="0.3">
      <c r="A298" s="3" t="s">
        <v>565</v>
      </c>
      <c r="B298" s="1">
        <v>2</v>
      </c>
      <c r="C298" s="1">
        <v>1</v>
      </c>
      <c r="D298" s="3" t="s">
        <v>566</v>
      </c>
      <c r="E298" s="12">
        <v>7668</v>
      </c>
      <c r="F298" s="12">
        <v>7668</v>
      </c>
      <c r="G298" s="12">
        <v>10576.8</v>
      </c>
      <c r="H298" s="12">
        <v>10576.8</v>
      </c>
      <c r="I298" s="12">
        <v>0</v>
      </c>
      <c r="J298" s="12">
        <v>0</v>
      </c>
      <c r="K298" s="12">
        <v>0</v>
      </c>
      <c r="L298" s="12">
        <v>0</v>
      </c>
      <c r="M298" s="24">
        <v>7668</v>
      </c>
      <c r="N298" s="23">
        <v>7668</v>
      </c>
      <c r="O298" s="23">
        <v>10576.8</v>
      </c>
      <c r="P298" s="24">
        <v>10576.8</v>
      </c>
    </row>
    <row r="299" spans="1:16" x14ac:dyDescent="0.3">
      <c r="A299" s="3" t="s">
        <v>567</v>
      </c>
      <c r="B299" s="1">
        <v>2</v>
      </c>
      <c r="C299" s="1">
        <v>1</v>
      </c>
      <c r="D299" s="3" t="s">
        <v>568</v>
      </c>
      <c r="E299" s="12">
        <v>26018</v>
      </c>
      <c r="F299" s="12">
        <v>26018</v>
      </c>
      <c r="G299" s="12">
        <v>149132</v>
      </c>
      <c r="H299" s="12">
        <v>149132</v>
      </c>
      <c r="I299" s="12">
        <v>1148.5</v>
      </c>
      <c r="J299" s="12">
        <v>0</v>
      </c>
      <c r="K299" s="12">
        <v>0</v>
      </c>
      <c r="L299" s="12">
        <v>1148.5</v>
      </c>
      <c r="M299" s="24">
        <v>27166.5</v>
      </c>
      <c r="N299" s="23">
        <v>26018</v>
      </c>
      <c r="O299" s="23">
        <v>149132</v>
      </c>
      <c r="P299" s="24">
        <v>150280.5</v>
      </c>
    </row>
    <row r="300" spans="1:16" x14ac:dyDescent="0.3">
      <c r="A300" s="3" t="s">
        <v>569</v>
      </c>
      <c r="B300" s="1">
        <v>2</v>
      </c>
      <c r="C300" s="1">
        <v>1</v>
      </c>
      <c r="D300" s="3" t="s">
        <v>570</v>
      </c>
      <c r="E300" s="12">
        <v>0</v>
      </c>
      <c r="F300" s="12">
        <v>0</v>
      </c>
      <c r="G300" s="12">
        <v>0</v>
      </c>
      <c r="H300" s="12">
        <v>0</v>
      </c>
      <c r="I300" s="12">
        <v>6960</v>
      </c>
      <c r="J300" s="12">
        <v>6960</v>
      </c>
      <c r="K300" s="12">
        <v>0</v>
      </c>
      <c r="L300" s="12">
        <v>0</v>
      </c>
      <c r="M300" s="24">
        <v>6960</v>
      </c>
      <c r="N300" s="23">
        <v>6960</v>
      </c>
      <c r="O300" s="23">
        <v>0</v>
      </c>
      <c r="P300" s="24">
        <v>0</v>
      </c>
    </row>
    <row r="301" spans="1:16" x14ac:dyDescent="0.3">
      <c r="A301" s="3" t="s">
        <v>571</v>
      </c>
      <c r="B301" s="1">
        <v>2</v>
      </c>
      <c r="C301" s="1">
        <v>1</v>
      </c>
      <c r="D301" s="3" t="s">
        <v>572</v>
      </c>
      <c r="E301" s="12">
        <v>0</v>
      </c>
      <c r="F301" s="12">
        <v>8143.2</v>
      </c>
      <c r="G301" s="12">
        <v>8143.2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24">
        <v>0</v>
      </c>
      <c r="N301" s="23">
        <v>8143.2</v>
      </c>
      <c r="O301" s="23">
        <v>8143.2</v>
      </c>
      <c r="P301" s="24">
        <v>0</v>
      </c>
    </row>
    <row r="302" spans="1:16" x14ac:dyDescent="0.3">
      <c r="A302" s="3" t="s">
        <v>573</v>
      </c>
      <c r="B302" s="1">
        <v>2</v>
      </c>
      <c r="C302" s="1">
        <v>1</v>
      </c>
      <c r="D302" s="3" t="s">
        <v>574</v>
      </c>
      <c r="E302" s="12">
        <v>0</v>
      </c>
      <c r="F302" s="12">
        <v>9636.1200000000008</v>
      </c>
      <c r="G302" s="12">
        <v>9636.1200000000008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24">
        <v>0</v>
      </c>
      <c r="N302" s="23">
        <v>9636.1200000000008</v>
      </c>
      <c r="O302" s="23">
        <v>9636.1200000000008</v>
      </c>
      <c r="P302" s="24">
        <v>0</v>
      </c>
    </row>
    <row r="303" spans="1:16" x14ac:dyDescent="0.3">
      <c r="A303" s="3" t="s">
        <v>575</v>
      </c>
      <c r="B303" s="1">
        <v>2</v>
      </c>
      <c r="C303" s="1">
        <v>1</v>
      </c>
      <c r="D303" s="3" t="s">
        <v>576</v>
      </c>
      <c r="E303" s="12">
        <v>0</v>
      </c>
      <c r="F303" s="12">
        <v>8574.7199999999993</v>
      </c>
      <c r="G303" s="12">
        <v>8574.7199999999993</v>
      </c>
      <c r="H303" s="12">
        <v>0</v>
      </c>
      <c r="I303" s="12">
        <v>11832</v>
      </c>
      <c r="J303" s="12">
        <v>11832</v>
      </c>
      <c r="K303" s="12">
        <v>0</v>
      </c>
      <c r="L303" s="12">
        <v>0</v>
      </c>
      <c r="M303" s="24">
        <v>11832</v>
      </c>
      <c r="N303" s="23">
        <v>20406.72</v>
      </c>
      <c r="O303" s="23">
        <v>8574.7199999999993</v>
      </c>
      <c r="P303" s="24">
        <v>0</v>
      </c>
    </row>
    <row r="304" spans="1:16" x14ac:dyDescent="0.3">
      <c r="A304" s="3" t="s">
        <v>577</v>
      </c>
      <c r="B304" s="1">
        <v>2</v>
      </c>
      <c r="C304" s="1">
        <v>1</v>
      </c>
      <c r="D304" s="3" t="s">
        <v>578</v>
      </c>
      <c r="E304" s="12">
        <v>300427.48</v>
      </c>
      <c r="F304" s="12">
        <v>300427.48</v>
      </c>
      <c r="G304" s="12">
        <v>364158.44</v>
      </c>
      <c r="H304" s="12">
        <v>364158.44</v>
      </c>
      <c r="I304" s="12">
        <v>86666.15</v>
      </c>
      <c r="J304" s="12">
        <v>86666.15</v>
      </c>
      <c r="K304" s="12">
        <v>0</v>
      </c>
      <c r="L304" s="12">
        <v>0</v>
      </c>
      <c r="M304" s="24">
        <v>387093.63</v>
      </c>
      <c r="N304" s="23">
        <v>387093.63</v>
      </c>
      <c r="O304" s="23">
        <v>364158.44</v>
      </c>
      <c r="P304" s="24">
        <v>364158.44</v>
      </c>
    </row>
    <row r="305" spans="1:16" x14ac:dyDescent="0.3">
      <c r="A305" s="3" t="s">
        <v>579</v>
      </c>
      <c r="B305" s="1">
        <v>2</v>
      </c>
      <c r="C305" s="1">
        <v>1</v>
      </c>
      <c r="D305" s="3" t="s">
        <v>580</v>
      </c>
      <c r="E305" s="12">
        <v>0</v>
      </c>
      <c r="F305" s="12">
        <v>0</v>
      </c>
      <c r="G305" s="12">
        <v>0</v>
      </c>
      <c r="H305" s="12">
        <v>0</v>
      </c>
      <c r="I305" s="12">
        <v>32919</v>
      </c>
      <c r="J305" s="12">
        <v>0</v>
      </c>
      <c r="K305" s="12">
        <v>0</v>
      </c>
      <c r="L305" s="12">
        <v>32919</v>
      </c>
      <c r="M305" s="24">
        <v>32919</v>
      </c>
      <c r="N305" s="23">
        <v>0</v>
      </c>
      <c r="O305" s="23">
        <v>0</v>
      </c>
      <c r="P305" s="24">
        <v>32919</v>
      </c>
    </row>
    <row r="306" spans="1:16" x14ac:dyDescent="0.3">
      <c r="A306" s="3" t="s">
        <v>581</v>
      </c>
      <c r="B306" s="1">
        <v>2</v>
      </c>
      <c r="C306" s="1">
        <v>1</v>
      </c>
      <c r="D306" s="3" t="s">
        <v>582</v>
      </c>
      <c r="E306" s="12">
        <v>0</v>
      </c>
      <c r="F306" s="12">
        <v>0</v>
      </c>
      <c r="G306" s="12">
        <v>0</v>
      </c>
      <c r="H306" s="12">
        <v>0</v>
      </c>
      <c r="I306" s="12">
        <v>39128.25</v>
      </c>
      <c r="J306" s="12">
        <v>39128.25</v>
      </c>
      <c r="K306" s="12">
        <v>0</v>
      </c>
      <c r="L306" s="12">
        <v>0</v>
      </c>
      <c r="M306" s="24">
        <v>39128.25</v>
      </c>
      <c r="N306" s="23">
        <v>39128.25</v>
      </c>
      <c r="O306" s="23">
        <v>0</v>
      </c>
      <c r="P306" s="24">
        <v>0</v>
      </c>
    </row>
    <row r="307" spans="1:16" x14ac:dyDescent="0.3">
      <c r="A307" s="3" t="s">
        <v>583</v>
      </c>
      <c r="B307" s="1">
        <v>2</v>
      </c>
      <c r="C307" s="1">
        <v>1</v>
      </c>
      <c r="D307" s="3" t="s">
        <v>584</v>
      </c>
      <c r="E307" s="12">
        <v>0</v>
      </c>
      <c r="F307" s="12">
        <v>0</v>
      </c>
      <c r="G307" s="12">
        <v>0</v>
      </c>
      <c r="H307" s="12">
        <v>0</v>
      </c>
      <c r="I307" s="12">
        <v>12059.08</v>
      </c>
      <c r="J307" s="12">
        <v>12059.08</v>
      </c>
      <c r="K307" s="12">
        <v>0</v>
      </c>
      <c r="L307" s="12">
        <v>0</v>
      </c>
      <c r="M307" s="24">
        <v>12059.08</v>
      </c>
      <c r="N307" s="23">
        <v>12059.08</v>
      </c>
      <c r="O307" s="23">
        <v>0</v>
      </c>
      <c r="P307" s="24">
        <v>0</v>
      </c>
    </row>
    <row r="308" spans="1:16" x14ac:dyDescent="0.3">
      <c r="A308" s="3" t="s">
        <v>585</v>
      </c>
      <c r="B308" s="1">
        <v>2</v>
      </c>
      <c r="C308" s="1">
        <v>1</v>
      </c>
      <c r="D308" s="3" t="s">
        <v>586</v>
      </c>
      <c r="E308" s="12">
        <v>0</v>
      </c>
      <c r="F308" s="12">
        <v>0</v>
      </c>
      <c r="G308" s="12">
        <v>0</v>
      </c>
      <c r="H308" s="12">
        <v>0</v>
      </c>
      <c r="I308" s="12">
        <v>177283.92</v>
      </c>
      <c r="J308" s="12">
        <v>0</v>
      </c>
      <c r="K308" s="12">
        <v>0</v>
      </c>
      <c r="L308" s="12">
        <v>177283.92</v>
      </c>
      <c r="M308" s="24">
        <v>177283.92</v>
      </c>
      <c r="N308" s="23">
        <v>0</v>
      </c>
      <c r="O308" s="23">
        <v>0</v>
      </c>
      <c r="P308" s="24">
        <v>177283.92</v>
      </c>
    </row>
    <row r="309" spans="1:16" x14ac:dyDescent="0.3">
      <c r="A309" s="3" t="s">
        <v>587</v>
      </c>
      <c r="B309" s="1">
        <v>2</v>
      </c>
      <c r="C309" s="1">
        <v>1</v>
      </c>
      <c r="D309" s="3" t="s">
        <v>588</v>
      </c>
      <c r="E309" s="12">
        <v>0</v>
      </c>
      <c r="F309" s="12">
        <v>0</v>
      </c>
      <c r="G309" s="12">
        <v>0</v>
      </c>
      <c r="H309" s="12">
        <v>0</v>
      </c>
      <c r="I309" s="12">
        <v>15474.4</v>
      </c>
      <c r="J309" s="12">
        <v>15474.4</v>
      </c>
      <c r="K309" s="12">
        <v>0</v>
      </c>
      <c r="L309" s="12">
        <v>0</v>
      </c>
      <c r="M309" s="24">
        <v>15474.4</v>
      </c>
      <c r="N309" s="23">
        <v>15474.4</v>
      </c>
      <c r="O309" s="23">
        <v>0</v>
      </c>
      <c r="P309" s="24">
        <v>0</v>
      </c>
    </row>
    <row r="310" spans="1:16" x14ac:dyDescent="0.3">
      <c r="A310" s="3" t="s">
        <v>589</v>
      </c>
      <c r="B310" s="1">
        <v>2</v>
      </c>
      <c r="C310" s="1">
        <v>1</v>
      </c>
      <c r="D310" s="3" t="s">
        <v>590</v>
      </c>
      <c r="E310" s="12">
        <v>0</v>
      </c>
      <c r="F310" s="12">
        <v>0</v>
      </c>
      <c r="G310" s="12">
        <v>0</v>
      </c>
      <c r="H310" s="12">
        <v>0</v>
      </c>
      <c r="I310" s="12">
        <v>21807.18</v>
      </c>
      <c r="J310" s="12">
        <v>0</v>
      </c>
      <c r="K310" s="12">
        <v>90172.45</v>
      </c>
      <c r="L310" s="12">
        <v>111979.63</v>
      </c>
      <c r="M310" s="24">
        <v>21807.18</v>
      </c>
      <c r="N310" s="23">
        <v>0</v>
      </c>
      <c r="O310" s="23">
        <v>90172.45</v>
      </c>
      <c r="P310" s="24">
        <v>111979.63</v>
      </c>
    </row>
    <row r="311" spans="1:16" x14ac:dyDescent="0.3">
      <c r="A311" s="3" t="s">
        <v>591</v>
      </c>
      <c r="B311" s="1">
        <v>2</v>
      </c>
      <c r="C311" s="1">
        <v>1</v>
      </c>
      <c r="D311" s="3" t="s">
        <v>592</v>
      </c>
      <c r="E311" s="12">
        <v>0</v>
      </c>
      <c r="F311" s="12">
        <v>0</v>
      </c>
      <c r="G311" s="12">
        <v>0</v>
      </c>
      <c r="H311" s="12">
        <v>0</v>
      </c>
      <c r="I311" s="12">
        <v>30.48</v>
      </c>
      <c r="J311" s="12">
        <v>0</v>
      </c>
      <c r="K311" s="12">
        <v>0</v>
      </c>
      <c r="L311" s="12">
        <v>30.48</v>
      </c>
      <c r="M311" s="24">
        <v>30.48</v>
      </c>
      <c r="N311" s="23">
        <v>0</v>
      </c>
      <c r="O311" s="23">
        <v>0</v>
      </c>
      <c r="P311" s="24">
        <v>30.48</v>
      </c>
    </row>
    <row r="312" spans="1:16" x14ac:dyDescent="0.3">
      <c r="A312" s="3" t="s">
        <v>593</v>
      </c>
      <c r="B312" s="1">
        <v>2</v>
      </c>
      <c r="C312" s="1">
        <v>1</v>
      </c>
      <c r="D312" s="3" t="s">
        <v>594</v>
      </c>
      <c r="E312" s="12">
        <v>0</v>
      </c>
      <c r="F312" s="12">
        <v>0</v>
      </c>
      <c r="G312" s="12">
        <v>0</v>
      </c>
      <c r="H312" s="12">
        <v>0</v>
      </c>
      <c r="I312" s="12">
        <v>0</v>
      </c>
      <c r="J312" s="12">
        <v>0</v>
      </c>
      <c r="K312" s="12">
        <v>20406.72</v>
      </c>
      <c r="L312" s="12">
        <v>20406.72</v>
      </c>
      <c r="M312" s="24">
        <v>0</v>
      </c>
      <c r="N312" s="23">
        <v>0</v>
      </c>
      <c r="O312" s="23">
        <v>20406.72</v>
      </c>
      <c r="P312" s="24">
        <v>20406.72</v>
      </c>
    </row>
    <row r="313" spans="1:16" x14ac:dyDescent="0.3">
      <c r="A313" s="3" t="s">
        <v>595</v>
      </c>
      <c r="B313" s="1">
        <v>2</v>
      </c>
      <c r="C313" s="1">
        <v>1</v>
      </c>
      <c r="D313" s="3" t="s">
        <v>596</v>
      </c>
      <c r="E313" s="12">
        <v>0</v>
      </c>
      <c r="F313" s="12">
        <v>0</v>
      </c>
      <c r="G313" s="12">
        <v>0</v>
      </c>
      <c r="H313" s="12">
        <v>0</v>
      </c>
      <c r="I313" s="12">
        <v>637455.11</v>
      </c>
      <c r="J313" s="12">
        <v>637455.11</v>
      </c>
      <c r="K313" s="12">
        <v>0</v>
      </c>
      <c r="L313" s="12">
        <v>0</v>
      </c>
      <c r="M313" s="24">
        <v>637455.11</v>
      </c>
      <c r="N313" s="23">
        <v>637455.11</v>
      </c>
      <c r="O313" s="23">
        <v>0</v>
      </c>
      <c r="P313" s="24">
        <v>0</v>
      </c>
    </row>
    <row r="314" spans="1:16" x14ac:dyDescent="0.3">
      <c r="A314" s="3" t="s">
        <v>597</v>
      </c>
      <c r="B314" s="1">
        <v>2</v>
      </c>
      <c r="C314" s="1">
        <v>1</v>
      </c>
      <c r="D314" s="3" t="s">
        <v>598</v>
      </c>
      <c r="E314" s="12">
        <v>0</v>
      </c>
      <c r="F314" s="12">
        <v>0</v>
      </c>
      <c r="G314" s="12">
        <v>0</v>
      </c>
      <c r="H314" s="12">
        <v>0</v>
      </c>
      <c r="I314" s="12">
        <v>82771.58</v>
      </c>
      <c r="J314" s="12">
        <v>0</v>
      </c>
      <c r="K314" s="12">
        <v>0</v>
      </c>
      <c r="L314" s="12">
        <v>82771.58</v>
      </c>
      <c r="M314" s="24">
        <v>82771.58</v>
      </c>
      <c r="N314" s="23">
        <v>0</v>
      </c>
      <c r="O314" s="23">
        <v>0</v>
      </c>
      <c r="P314" s="24">
        <v>82771.58</v>
      </c>
    </row>
    <row r="315" spans="1:16" x14ac:dyDescent="0.3">
      <c r="A315" s="3" t="s">
        <v>599</v>
      </c>
      <c r="B315" s="1">
        <v>2</v>
      </c>
      <c r="C315" s="1">
        <v>1</v>
      </c>
      <c r="D315" s="3" t="s">
        <v>600</v>
      </c>
      <c r="E315" s="12">
        <v>400770.08</v>
      </c>
      <c r="F315" s="12">
        <v>400770.08</v>
      </c>
      <c r="G315" s="12">
        <v>0</v>
      </c>
      <c r="H315" s="12">
        <v>0</v>
      </c>
      <c r="I315" s="12">
        <v>0</v>
      </c>
      <c r="J315" s="12">
        <v>0</v>
      </c>
      <c r="K315" s="12">
        <v>0</v>
      </c>
      <c r="L315" s="12">
        <v>0</v>
      </c>
      <c r="M315" s="24">
        <v>400770.08</v>
      </c>
      <c r="N315" s="23">
        <v>400770.08</v>
      </c>
      <c r="O315" s="23">
        <v>0</v>
      </c>
      <c r="P315" s="24">
        <v>0</v>
      </c>
    </row>
    <row r="316" spans="1:16" x14ac:dyDescent="0.3">
      <c r="A316" s="3" t="s">
        <v>601</v>
      </c>
      <c r="B316" s="1">
        <v>2</v>
      </c>
      <c r="C316" s="1">
        <v>1</v>
      </c>
      <c r="D316" s="3" t="s">
        <v>602</v>
      </c>
      <c r="E316" s="12">
        <v>0</v>
      </c>
      <c r="F316" s="12">
        <v>124755.68</v>
      </c>
      <c r="G316" s="12">
        <v>124755.68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24">
        <v>0</v>
      </c>
      <c r="N316" s="23">
        <v>124755.68</v>
      </c>
      <c r="O316" s="23">
        <v>124755.68</v>
      </c>
      <c r="P316" s="24">
        <v>0</v>
      </c>
    </row>
    <row r="317" spans="1:16" x14ac:dyDescent="0.3">
      <c r="A317" s="3" t="s">
        <v>603</v>
      </c>
      <c r="B317" s="1">
        <v>2</v>
      </c>
      <c r="C317" s="1">
        <v>1</v>
      </c>
      <c r="D317" s="3" t="s">
        <v>604</v>
      </c>
      <c r="E317" s="12">
        <v>25552.34</v>
      </c>
      <c r="F317" s="12">
        <v>260888.53</v>
      </c>
      <c r="G317" s="12">
        <v>498443.49</v>
      </c>
      <c r="H317" s="12">
        <v>263107.3</v>
      </c>
      <c r="I317" s="12">
        <v>0</v>
      </c>
      <c r="J317" s="12">
        <v>0</v>
      </c>
      <c r="K317" s="12">
        <v>0</v>
      </c>
      <c r="L317" s="12">
        <v>0</v>
      </c>
      <c r="M317" s="24">
        <v>25552.34</v>
      </c>
      <c r="N317" s="23">
        <v>260888.53</v>
      </c>
      <c r="O317" s="23">
        <v>498443.49</v>
      </c>
      <c r="P317" s="24">
        <v>263107.3</v>
      </c>
    </row>
    <row r="318" spans="1:16" x14ac:dyDescent="0.3">
      <c r="A318" s="3" t="s">
        <v>605</v>
      </c>
      <c r="B318" s="1">
        <v>2</v>
      </c>
      <c r="C318" s="1">
        <v>1</v>
      </c>
      <c r="D318" s="3" t="s">
        <v>606</v>
      </c>
      <c r="E318" s="12">
        <v>362740.33</v>
      </c>
      <c r="F318" s="12">
        <v>0</v>
      </c>
      <c r="G318" s="12">
        <v>356990.59</v>
      </c>
      <c r="H318" s="12">
        <v>719730.92</v>
      </c>
      <c r="I318" s="12">
        <v>0</v>
      </c>
      <c r="J318" s="12">
        <v>0</v>
      </c>
      <c r="K318" s="12">
        <v>0</v>
      </c>
      <c r="L318" s="12">
        <v>0</v>
      </c>
      <c r="M318" s="24">
        <v>362740.33</v>
      </c>
      <c r="N318" s="23">
        <v>0</v>
      </c>
      <c r="O318" s="23">
        <v>356990.59</v>
      </c>
      <c r="P318" s="24">
        <v>719730.92</v>
      </c>
    </row>
    <row r="319" spans="1:16" x14ac:dyDescent="0.3">
      <c r="A319" s="3" t="s">
        <v>607</v>
      </c>
      <c r="B319" s="1">
        <v>2</v>
      </c>
      <c r="C319" s="1">
        <v>1</v>
      </c>
      <c r="D319" s="3" t="s">
        <v>341</v>
      </c>
      <c r="E319" s="12">
        <v>0</v>
      </c>
      <c r="F319" s="12">
        <v>0</v>
      </c>
      <c r="G319" s="12">
        <v>147412.79999999999</v>
      </c>
      <c r="H319" s="12">
        <v>147412.79999999999</v>
      </c>
      <c r="I319" s="12">
        <v>0</v>
      </c>
      <c r="J319" s="12">
        <v>0</v>
      </c>
      <c r="K319" s="12">
        <v>0</v>
      </c>
      <c r="L319" s="12">
        <v>0</v>
      </c>
      <c r="M319" s="24">
        <v>0</v>
      </c>
      <c r="N319" s="23">
        <v>0</v>
      </c>
      <c r="O319" s="23">
        <v>147412.79999999999</v>
      </c>
      <c r="P319" s="24">
        <v>147412.79999999999</v>
      </c>
    </row>
    <row r="320" spans="1:16" x14ac:dyDescent="0.3">
      <c r="A320" s="3" t="s">
        <v>608</v>
      </c>
      <c r="B320" s="1">
        <v>2</v>
      </c>
      <c r="C320" s="1">
        <v>1</v>
      </c>
      <c r="D320" s="3" t="s">
        <v>609</v>
      </c>
      <c r="E320" s="12">
        <v>0</v>
      </c>
      <c r="F320" s="12">
        <v>0</v>
      </c>
      <c r="G320" s="12">
        <v>82622.13</v>
      </c>
      <c r="H320" s="12">
        <v>82622.13</v>
      </c>
      <c r="I320" s="12">
        <v>0</v>
      </c>
      <c r="J320" s="12">
        <v>0</v>
      </c>
      <c r="K320" s="12">
        <v>0</v>
      </c>
      <c r="L320" s="12">
        <v>0</v>
      </c>
      <c r="M320" s="24">
        <v>0</v>
      </c>
      <c r="N320" s="23">
        <v>0</v>
      </c>
      <c r="O320" s="23">
        <v>82622.13</v>
      </c>
      <c r="P320" s="24">
        <v>82622.13</v>
      </c>
    </row>
    <row r="321" spans="1:16" x14ac:dyDescent="0.3">
      <c r="A321" s="3" t="s">
        <v>610</v>
      </c>
      <c r="B321" s="1">
        <v>2</v>
      </c>
      <c r="C321" s="1">
        <v>1</v>
      </c>
      <c r="D321" s="3" t="s">
        <v>611</v>
      </c>
      <c r="E321" s="12">
        <v>0</v>
      </c>
      <c r="F321" s="12">
        <v>91800</v>
      </c>
      <c r="G321" s="12">
        <v>91800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24">
        <v>0</v>
      </c>
      <c r="N321" s="23">
        <v>91800</v>
      </c>
      <c r="O321" s="23">
        <v>91800</v>
      </c>
      <c r="P321" s="24">
        <v>0</v>
      </c>
    </row>
    <row r="322" spans="1:16" x14ac:dyDescent="0.3">
      <c r="A322" s="3" t="s">
        <v>612</v>
      </c>
      <c r="B322" s="1">
        <v>2</v>
      </c>
      <c r="C322" s="1">
        <v>1</v>
      </c>
      <c r="D322" s="3" t="s">
        <v>613</v>
      </c>
      <c r="E322" s="12">
        <v>0</v>
      </c>
      <c r="F322" s="12">
        <v>0</v>
      </c>
      <c r="G322" s="12">
        <v>3385.12</v>
      </c>
      <c r="H322" s="12">
        <v>3385.12</v>
      </c>
      <c r="I322" s="12">
        <v>0</v>
      </c>
      <c r="J322" s="12">
        <v>0</v>
      </c>
      <c r="K322" s="12">
        <v>61442.9</v>
      </c>
      <c r="L322" s="12">
        <v>61442.9</v>
      </c>
      <c r="M322" s="24">
        <v>0</v>
      </c>
      <c r="N322" s="23">
        <v>0</v>
      </c>
      <c r="O322" s="23">
        <v>64828.020000000004</v>
      </c>
      <c r="P322" s="24">
        <v>64828.020000000004</v>
      </c>
    </row>
    <row r="323" spans="1:16" x14ac:dyDescent="0.3">
      <c r="A323" s="3" t="s">
        <v>614</v>
      </c>
      <c r="B323" s="1">
        <v>2</v>
      </c>
      <c r="C323" s="1">
        <v>1</v>
      </c>
      <c r="D323" s="3" t="s">
        <v>615</v>
      </c>
      <c r="E323" s="12">
        <v>6728860.3099999996</v>
      </c>
      <c r="F323" s="12">
        <v>0</v>
      </c>
      <c r="G323" s="12">
        <v>3517461.35</v>
      </c>
      <c r="H323" s="12">
        <v>10246321.66</v>
      </c>
      <c r="I323" s="12">
        <v>0</v>
      </c>
      <c r="J323" s="12">
        <v>0</v>
      </c>
      <c r="K323" s="12">
        <v>0</v>
      </c>
      <c r="L323" s="12">
        <v>0</v>
      </c>
      <c r="M323" s="24">
        <v>6728860.3099999996</v>
      </c>
      <c r="N323" s="23">
        <v>0</v>
      </c>
      <c r="O323" s="23">
        <v>3517461.35</v>
      </c>
      <c r="P323" s="24">
        <v>10246321.66</v>
      </c>
    </row>
    <row r="324" spans="1:16" x14ac:dyDescent="0.3">
      <c r="A324" s="3" t="s">
        <v>616</v>
      </c>
      <c r="B324" s="1">
        <v>2</v>
      </c>
      <c r="C324" s="1">
        <v>1</v>
      </c>
      <c r="D324" s="3" t="s">
        <v>617</v>
      </c>
      <c r="E324" s="12">
        <v>0</v>
      </c>
      <c r="F324" s="12">
        <v>0</v>
      </c>
      <c r="G324" s="12">
        <v>1250</v>
      </c>
      <c r="H324" s="12">
        <v>1250</v>
      </c>
      <c r="I324" s="12">
        <v>0</v>
      </c>
      <c r="J324" s="12">
        <v>0</v>
      </c>
      <c r="K324" s="12">
        <v>0</v>
      </c>
      <c r="L324" s="12">
        <v>0</v>
      </c>
      <c r="M324" s="24">
        <v>0</v>
      </c>
      <c r="N324" s="23">
        <v>0</v>
      </c>
      <c r="O324" s="23">
        <v>1250</v>
      </c>
      <c r="P324" s="24">
        <v>1250</v>
      </c>
    </row>
    <row r="325" spans="1:16" x14ac:dyDescent="0.3">
      <c r="A325" s="3" t="s">
        <v>618</v>
      </c>
      <c r="B325" s="1">
        <v>2</v>
      </c>
      <c r="C325" s="1">
        <v>0</v>
      </c>
      <c r="D325" s="3" t="s">
        <v>619</v>
      </c>
      <c r="E325" s="12">
        <v>7123874.0999999996</v>
      </c>
      <c r="F325" s="12">
        <v>2941203.63</v>
      </c>
      <c r="G325" s="12">
        <v>3374159.73</v>
      </c>
      <c r="H325" s="12">
        <v>7556830.2000000002</v>
      </c>
      <c r="I325" s="12">
        <v>7740897.4400000004</v>
      </c>
      <c r="J325" s="12">
        <v>2982900.45</v>
      </c>
      <c r="K325" s="12">
        <v>35586.589999999997</v>
      </c>
      <c r="L325" s="12">
        <v>4793583.58</v>
      </c>
      <c r="M325" s="24">
        <v>14864771.539999999</v>
      </c>
      <c r="N325" s="23">
        <v>5924104.0800000001</v>
      </c>
      <c r="O325" s="23">
        <v>3409746.32</v>
      </c>
      <c r="P325" s="24">
        <v>12350413.780000001</v>
      </c>
    </row>
    <row r="326" spans="1:16" x14ac:dyDescent="0.3">
      <c r="A326" s="3" t="s">
        <v>620</v>
      </c>
      <c r="B326" s="1">
        <v>2</v>
      </c>
      <c r="C326" s="1">
        <v>0</v>
      </c>
      <c r="D326" s="3" t="s">
        <v>619</v>
      </c>
      <c r="E326" s="12">
        <v>359259.98</v>
      </c>
      <c r="F326" s="12">
        <v>144794.59</v>
      </c>
      <c r="G326" s="12">
        <v>173463.2</v>
      </c>
      <c r="H326" s="12">
        <v>387928.59</v>
      </c>
      <c r="I326" s="12">
        <v>327750.13</v>
      </c>
      <c r="J326" s="12">
        <v>176457.92</v>
      </c>
      <c r="K326" s="12">
        <v>1752.76</v>
      </c>
      <c r="L326" s="12">
        <v>153044.97</v>
      </c>
      <c r="M326" s="24">
        <v>687010.11</v>
      </c>
      <c r="N326" s="23">
        <v>321252.51</v>
      </c>
      <c r="O326" s="23">
        <v>175215.96000000002</v>
      </c>
      <c r="P326" s="24">
        <v>540973.56000000006</v>
      </c>
    </row>
    <row r="327" spans="1:16" x14ac:dyDescent="0.3">
      <c r="A327" s="3" t="s">
        <v>621</v>
      </c>
      <c r="B327" s="1">
        <v>2</v>
      </c>
      <c r="C327" s="1">
        <v>1</v>
      </c>
      <c r="D327" s="3" t="s">
        <v>622</v>
      </c>
      <c r="E327" s="12">
        <v>22436.720000000001</v>
      </c>
      <c r="F327" s="12">
        <v>5326.14</v>
      </c>
      <c r="G327" s="12">
        <v>17352.560000000001</v>
      </c>
      <c r="H327" s="12">
        <v>34463.14</v>
      </c>
      <c r="I327" s="12">
        <v>2449.58</v>
      </c>
      <c r="J327" s="12">
        <v>2449.58</v>
      </c>
      <c r="K327" s="12">
        <v>0</v>
      </c>
      <c r="L327" s="12">
        <v>0</v>
      </c>
      <c r="M327" s="24">
        <v>24886.300000000003</v>
      </c>
      <c r="N327" s="23">
        <v>7775.72</v>
      </c>
      <c r="O327" s="23">
        <v>17352.560000000001</v>
      </c>
      <c r="P327" s="24">
        <v>34463.14</v>
      </c>
    </row>
    <row r="328" spans="1:16" x14ac:dyDescent="0.3">
      <c r="A328" s="3" t="s">
        <v>623</v>
      </c>
      <c r="B328" s="1">
        <v>2</v>
      </c>
      <c r="C328" s="1">
        <v>1</v>
      </c>
      <c r="D328" s="3" t="s">
        <v>624</v>
      </c>
      <c r="E328" s="12">
        <v>7395</v>
      </c>
      <c r="F328" s="12">
        <v>7395</v>
      </c>
      <c r="G328" s="12">
        <v>7395</v>
      </c>
      <c r="H328" s="12">
        <v>7395</v>
      </c>
      <c r="I328" s="12">
        <v>0</v>
      </c>
      <c r="J328" s="12">
        <v>0</v>
      </c>
      <c r="K328" s="12">
        <v>0</v>
      </c>
      <c r="L328" s="12">
        <v>0</v>
      </c>
      <c r="M328" s="24">
        <v>7395</v>
      </c>
      <c r="N328" s="23">
        <v>7395</v>
      </c>
      <c r="O328" s="23">
        <v>7395</v>
      </c>
      <c r="P328" s="24">
        <v>7395</v>
      </c>
    </row>
    <row r="329" spans="1:16" x14ac:dyDescent="0.3">
      <c r="A329" s="3" t="s">
        <v>625</v>
      </c>
      <c r="B329" s="1">
        <v>2</v>
      </c>
      <c r="C329" s="1">
        <v>1</v>
      </c>
      <c r="D329" s="3" t="s">
        <v>626</v>
      </c>
      <c r="E329" s="12">
        <v>2490.52</v>
      </c>
      <c r="F329" s="12">
        <v>2490.52</v>
      </c>
      <c r="G329" s="12">
        <v>2050.88</v>
      </c>
      <c r="H329" s="12">
        <v>2050.88</v>
      </c>
      <c r="I329" s="12">
        <v>0</v>
      </c>
      <c r="J329" s="12">
        <v>0</v>
      </c>
      <c r="K329" s="12">
        <v>0</v>
      </c>
      <c r="L329" s="12">
        <v>0</v>
      </c>
      <c r="M329" s="24">
        <v>2490.52</v>
      </c>
      <c r="N329" s="23">
        <v>2490.52</v>
      </c>
      <c r="O329" s="23">
        <v>2050.88</v>
      </c>
      <c r="P329" s="24">
        <v>2050.88</v>
      </c>
    </row>
    <row r="330" spans="1:16" x14ac:dyDescent="0.3">
      <c r="A330" s="3" t="s">
        <v>627</v>
      </c>
      <c r="B330" s="1">
        <v>2</v>
      </c>
      <c r="C330" s="1">
        <v>1</v>
      </c>
      <c r="D330" s="3" t="s">
        <v>628</v>
      </c>
      <c r="E330" s="12">
        <v>1225.99</v>
      </c>
      <c r="F330" s="12">
        <v>0</v>
      </c>
      <c r="G330" s="12">
        <v>1225.99</v>
      </c>
      <c r="H330" s="12">
        <v>2451.98</v>
      </c>
      <c r="I330" s="12">
        <v>0</v>
      </c>
      <c r="J330" s="12">
        <v>0</v>
      </c>
      <c r="K330" s="12">
        <v>0</v>
      </c>
      <c r="L330" s="12">
        <v>0</v>
      </c>
      <c r="M330" s="24">
        <v>1225.99</v>
      </c>
      <c r="N330" s="23">
        <v>0</v>
      </c>
      <c r="O330" s="23">
        <v>1225.99</v>
      </c>
      <c r="P330" s="24">
        <v>2451.98</v>
      </c>
    </row>
    <row r="331" spans="1:16" x14ac:dyDescent="0.3">
      <c r="A331" s="3" t="s">
        <v>629</v>
      </c>
      <c r="B331" s="1">
        <v>2</v>
      </c>
      <c r="C331" s="1">
        <v>1</v>
      </c>
      <c r="D331" s="3" t="s">
        <v>630</v>
      </c>
      <c r="E331" s="12">
        <v>0</v>
      </c>
      <c r="F331" s="12">
        <v>0</v>
      </c>
      <c r="G331" s="12">
        <v>0</v>
      </c>
      <c r="H331" s="12">
        <v>0</v>
      </c>
      <c r="I331" s="12">
        <v>23528.83</v>
      </c>
      <c r="J331" s="12">
        <v>0</v>
      </c>
      <c r="K331" s="12">
        <v>0</v>
      </c>
      <c r="L331" s="12">
        <v>23528.83</v>
      </c>
      <c r="M331" s="24">
        <v>23528.83</v>
      </c>
      <c r="N331" s="23">
        <v>0</v>
      </c>
      <c r="O331" s="23">
        <v>0</v>
      </c>
      <c r="P331" s="24">
        <v>23528.83</v>
      </c>
    </row>
    <row r="332" spans="1:16" x14ac:dyDescent="0.3">
      <c r="A332" s="3" t="s">
        <v>631</v>
      </c>
      <c r="B332" s="1">
        <v>2</v>
      </c>
      <c r="C332" s="1">
        <v>1</v>
      </c>
      <c r="D332" s="3" t="s">
        <v>632</v>
      </c>
      <c r="E332" s="12">
        <v>0</v>
      </c>
      <c r="F332" s="12">
        <v>1041.68</v>
      </c>
      <c r="G332" s="12">
        <v>1041.68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24">
        <v>0</v>
      </c>
      <c r="N332" s="23">
        <v>1041.68</v>
      </c>
      <c r="O332" s="23">
        <v>1041.68</v>
      </c>
      <c r="P332" s="24">
        <v>0</v>
      </c>
    </row>
    <row r="333" spans="1:16" x14ac:dyDescent="0.3">
      <c r="A333" s="3" t="s">
        <v>633</v>
      </c>
      <c r="B333" s="1">
        <v>2</v>
      </c>
      <c r="C333" s="1">
        <v>1</v>
      </c>
      <c r="D333" s="3" t="s">
        <v>634</v>
      </c>
      <c r="E333" s="12">
        <v>320.16000000000003</v>
      </c>
      <c r="F333" s="12">
        <v>320.16000000000003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24">
        <v>320.16000000000003</v>
      </c>
      <c r="N333" s="23">
        <v>320.16000000000003</v>
      </c>
      <c r="O333" s="23">
        <v>0</v>
      </c>
      <c r="P333" s="24">
        <v>0</v>
      </c>
    </row>
    <row r="334" spans="1:16" x14ac:dyDescent="0.3">
      <c r="A334" s="3" t="s">
        <v>635</v>
      </c>
      <c r="B334" s="1">
        <v>2</v>
      </c>
      <c r="C334" s="1">
        <v>1</v>
      </c>
      <c r="D334" s="3" t="s">
        <v>636</v>
      </c>
      <c r="E334" s="12">
        <v>20774.27</v>
      </c>
      <c r="F334" s="12">
        <v>14739.25</v>
      </c>
      <c r="G334" s="12">
        <v>10208</v>
      </c>
      <c r="H334" s="12">
        <v>16243.02</v>
      </c>
      <c r="I334" s="12">
        <v>0</v>
      </c>
      <c r="J334" s="12">
        <v>0</v>
      </c>
      <c r="K334" s="12">
        <v>0</v>
      </c>
      <c r="L334" s="12">
        <v>0</v>
      </c>
      <c r="M334" s="24">
        <v>20774.27</v>
      </c>
      <c r="N334" s="23">
        <v>14739.25</v>
      </c>
      <c r="O334" s="23">
        <v>10208</v>
      </c>
      <c r="P334" s="24">
        <v>16243.02</v>
      </c>
    </row>
    <row r="335" spans="1:16" x14ac:dyDescent="0.3">
      <c r="A335" s="3" t="s">
        <v>637</v>
      </c>
      <c r="B335" s="1">
        <v>2</v>
      </c>
      <c r="C335" s="1">
        <v>1</v>
      </c>
      <c r="D335" s="3" t="s">
        <v>638</v>
      </c>
      <c r="E335" s="12">
        <v>17092.02</v>
      </c>
      <c r="F335" s="12">
        <v>0</v>
      </c>
      <c r="G335" s="12">
        <v>0</v>
      </c>
      <c r="H335" s="12">
        <v>17092.02</v>
      </c>
      <c r="I335" s="12">
        <v>0</v>
      </c>
      <c r="J335" s="12">
        <v>0</v>
      </c>
      <c r="K335" s="12">
        <v>0</v>
      </c>
      <c r="L335" s="12">
        <v>0</v>
      </c>
      <c r="M335" s="24">
        <v>17092.02</v>
      </c>
      <c r="N335" s="23">
        <v>0</v>
      </c>
      <c r="O335" s="23">
        <v>0</v>
      </c>
      <c r="P335" s="24">
        <v>17092.02</v>
      </c>
    </row>
    <row r="336" spans="1:16" x14ac:dyDescent="0.3">
      <c r="A336" s="3" t="s">
        <v>639</v>
      </c>
      <c r="B336" s="1">
        <v>2</v>
      </c>
      <c r="C336" s="1">
        <v>1</v>
      </c>
      <c r="D336" s="3" t="s">
        <v>640</v>
      </c>
      <c r="E336" s="12">
        <v>66465.100000000006</v>
      </c>
      <c r="F336" s="12">
        <v>21718.1</v>
      </c>
      <c r="G336" s="12">
        <v>37528.9</v>
      </c>
      <c r="H336" s="12">
        <v>82275.899999999994</v>
      </c>
      <c r="I336" s="12">
        <v>2287.06</v>
      </c>
      <c r="J336" s="12">
        <v>2287.06</v>
      </c>
      <c r="K336" s="12">
        <v>0</v>
      </c>
      <c r="L336" s="12">
        <v>0</v>
      </c>
      <c r="M336" s="24">
        <v>68752.160000000003</v>
      </c>
      <c r="N336" s="23">
        <v>24005.16</v>
      </c>
      <c r="O336" s="23">
        <v>37528.9</v>
      </c>
      <c r="P336" s="24">
        <v>82275.899999999994</v>
      </c>
    </row>
    <row r="337" spans="1:16" x14ac:dyDescent="0.3">
      <c r="A337" s="3" t="s">
        <v>641</v>
      </c>
      <c r="B337" s="1">
        <v>2</v>
      </c>
      <c r="C337" s="1">
        <v>1</v>
      </c>
      <c r="D337" s="3" t="s">
        <v>642</v>
      </c>
      <c r="E337" s="12">
        <v>11763.56</v>
      </c>
      <c r="F337" s="12">
        <v>0</v>
      </c>
      <c r="G337" s="12">
        <v>7810</v>
      </c>
      <c r="H337" s="12">
        <v>19573.560000000001</v>
      </c>
      <c r="I337" s="12">
        <v>0</v>
      </c>
      <c r="J337" s="12">
        <v>0</v>
      </c>
      <c r="K337" s="12">
        <v>0</v>
      </c>
      <c r="L337" s="12">
        <v>0</v>
      </c>
      <c r="M337" s="24">
        <v>11763.56</v>
      </c>
      <c r="N337" s="23">
        <v>0</v>
      </c>
      <c r="O337" s="23">
        <v>7810</v>
      </c>
      <c r="P337" s="24">
        <v>19573.560000000001</v>
      </c>
    </row>
    <row r="338" spans="1:16" x14ac:dyDescent="0.3">
      <c r="A338" s="3" t="s">
        <v>643</v>
      </c>
      <c r="B338" s="1">
        <v>2</v>
      </c>
      <c r="C338" s="1">
        <v>1</v>
      </c>
      <c r="D338" s="3" t="s">
        <v>644</v>
      </c>
      <c r="E338" s="12">
        <v>20455.439999999999</v>
      </c>
      <c r="F338" s="12">
        <v>0</v>
      </c>
      <c r="G338" s="12">
        <v>15241.24</v>
      </c>
      <c r="H338" s="12">
        <v>35696.68</v>
      </c>
      <c r="I338" s="12">
        <v>49407.64</v>
      </c>
      <c r="J338" s="12">
        <v>10543.82</v>
      </c>
      <c r="K338" s="12">
        <v>117.44</v>
      </c>
      <c r="L338" s="12">
        <v>38981.26</v>
      </c>
      <c r="M338" s="24">
        <v>69863.08</v>
      </c>
      <c r="N338" s="23">
        <v>10543.82</v>
      </c>
      <c r="O338" s="23">
        <v>15358.68</v>
      </c>
      <c r="P338" s="24">
        <v>74677.94</v>
      </c>
    </row>
    <row r="339" spans="1:16" x14ac:dyDescent="0.3">
      <c r="A339" s="3" t="s">
        <v>645</v>
      </c>
      <c r="B339" s="1">
        <v>2</v>
      </c>
      <c r="C339" s="1">
        <v>1</v>
      </c>
      <c r="D339" s="3" t="s">
        <v>646</v>
      </c>
      <c r="E339" s="12">
        <v>0</v>
      </c>
      <c r="F339" s="12">
        <v>0</v>
      </c>
      <c r="G339" s="12">
        <v>0</v>
      </c>
      <c r="H339" s="12">
        <v>0</v>
      </c>
      <c r="I339" s="12">
        <v>14379.67</v>
      </c>
      <c r="J339" s="12">
        <v>14379.67</v>
      </c>
      <c r="K339" s="12">
        <v>0</v>
      </c>
      <c r="L339" s="12">
        <v>0</v>
      </c>
      <c r="M339" s="24">
        <v>14379.67</v>
      </c>
      <c r="N339" s="23">
        <v>14379.67</v>
      </c>
      <c r="O339" s="23">
        <v>0</v>
      </c>
      <c r="P339" s="24">
        <v>0</v>
      </c>
    </row>
    <row r="340" spans="1:16" x14ac:dyDescent="0.3">
      <c r="A340" s="3" t="s">
        <v>647</v>
      </c>
      <c r="B340" s="1">
        <v>2</v>
      </c>
      <c r="C340" s="1">
        <v>1</v>
      </c>
      <c r="D340" s="3" t="s">
        <v>648</v>
      </c>
      <c r="E340" s="12">
        <v>71346.960000000006</v>
      </c>
      <c r="F340" s="12">
        <v>47564.639999999999</v>
      </c>
      <c r="G340" s="12">
        <v>24144.82</v>
      </c>
      <c r="H340" s="12">
        <v>47927.14</v>
      </c>
      <c r="I340" s="12">
        <v>4605.7</v>
      </c>
      <c r="J340" s="12">
        <v>0</v>
      </c>
      <c r="K340" s="12">
        <v>0</v>
      </c>
      <c r="L340" s="12">
        <v>4605.7</v>
      </c>
      <c r="M340" s="24">
        <v>75952.66</v>
      </c>
      <c r="N340" s="23">
        <v>47564.639999999999</v>
      </c>
      <c r="O340" s="23">
        <v>24144.82</v>
      </c>
      <c r="P340" s="24">
        <v>52532.84</v>
      </c>
    </row>
    <row r="341" spans="1:16" x14ac:dyDescent="0.3">
      <c r="A341" s="3" t="s">
        <v>649</v>
      </c>
      <c r="B341" s="1">
        <v>2</v>
      </c>
      <c r="C341" s="1">
        <v>1</v>
      </c>
      <c r="D341" s="3" t="s">
        <v>650</v>
      </c>
      <c r="E341" s="12">
        <v>68890.95</v>
      </c>
      <c r="F341" s="12">
        <v>29270.86</v>
      </c>
      <c r="G341" s="12">
        <v>17669.7</v>
      </c>
      <c r="H341" s="12">
        <v>57289.79</v>
      </c>
      <c r="I341" s="12">
        <v>1420.99</v>
      </c>
      <c r="J341" s="12">
        <v>1463.34</v>
      </c>
      <c r="K341" s="12">
        <v>42.35</v>
      </c>
      <c r="L341" s="12">
        <v>0</v>
      </c>
      <c r="M341" s="24">
        <v>70311.94</v>
      </c>
      <c r="N341" s="23">
        <v>30734.2</v>
      </c>
      <c r="O341" s="23">
        <v>17712.05</v>
      </c>
      <c r="P341" s="24">
        <v>57289.79</v>
      </c>
    </row>
    <row r="342" spans="1:16" x14ac:dyDescent="0.3">
      <c r="A342" s="3" t="s">
        <v>651</v>
      </c>
      <c r="B342" s="1">
        <v>2</v>
      </c>
      <c r="C342" s="1">
        <v>1</v>
      </c>
      <c r="D342" s="3" t="s">
        <v>652</v>
      </c>
      <c r="E342" s="12">
        <v>1559.04</v>
      </c>
      <c r="F342" s="12">
        <v>1559.04</v>
      </c>
      <c r="G342" s="12">
        <v>203</v>
      </c>
      <c r="H342" s="12">
        <v>203</v>
      </c>
      <c r="I342" s="12">
        <v>0</v>
      </c>
      <c r="J342" s="12">
        <v>0</v>
      </c>
      <c r="K342" s="12">
        <v>0</v>
      </c>
      <c r="L342" s="12">
        <v>0</v>
      </c>
      <c r="M342" s="24">
        <v>1559.04</v>
      </c>
      <c r="N342" s="23">
        <v>1559.04</v>
      </c>
      <c r="O342" s="23">
        <v>203</v>
      </c>
      <c r="P342" s="24">
        <v>203</v>
      </c>
    </row>
    <row r="343" spans="1:16" x14ac:dyDescent="0.3">
      <c r="A343" s="3" t="s">
        <v>653</v>
      </c>
      <c r="B343" s="1">
        <v>2</v>
      </c>
      <c r="C343" s="1">
        <v>1</v>
      </c>
      <c r="D343" s="3" t="s">
        <v>654</v>
      </c>
      <c r="E343" s="12">
        <v>28804.25</v>
      </c>
      <c r="F343" s="12">
        <v>0</v>
      </c>
      <c r="G343" s="12">
        <v>4953.2</v>
      </c>
      <c r="H343" s="12">
        <v>33757.449999999997</v>
      </c>
      <c r="I343" s="12">
        <v>31875.65</v>
      </c>
      <c r="J343" s="12">
        <v>31875.65</v>
      </c>
      <c r="K343" s="12">
        <v>0</v>
      </c>
      <c r="L343" s="12">
        <v>0</v>
      </c>
      <c r="M343" s="24">
        <v>60679.9</v>
      </c>
      <c r="N343" s="23">
        <v>31875.65</v>
      </c>
      <c r="O343" s="23">
        <v>4953.2</v>
      </c>
      <c r="P343" s="24">
        <v>33757.449999999997</v>
      </c>
    </row>
    <row r="344" spans="1:16" x14ac:dyDescent="0.3">
      <c r="A344" s="3" t="s">
        <v>655</v>
      </c>
      <c r="B344" s="1">
        <v>2</v>
      </c>
      <c r="C344" s="1">
        <v>1</v>
      </c>
      <c r="D344" s="3" t="s">
        <v>656</v>
      </c>
      <c r="E344" s="12">
        <v>3770</v>
      </c>
      <c r="F344" s="12">
        <v>0</v>
      </c>
      <c r="G344" s="12">
        <v>0</v>
      </c>
      <c r="H344" s="12">
        <v>3770</v>
      </c>
      <c r="I344" s="12">
        <v>1176.99</v>
      </c>
      <c r="J344" s="12">
        <v>1090.58</v>
      </c>
      <c r="K344" s="12">
        <v>0</v>
      </c>
      <c r="L344" s="12">
        <v>86.41</v>
      </c>
      <c r="M344" s="24">
        <v>4946.99</v>
      </c>
      <c r="N344" s="23">
        <v>1090.58</v>
      </c>
      <c r="O344" s="23">
        <v>0</v>
      </c>
      <c r="P344" s="24">
        <v>3856.41</v>
      </c>
    </row>
    <row r="345" spans="1:16" x14ac:dyDescent="0.3">
      <c r="A345" s="3" t="s">
        <v>657</v>
      </c>
      <c r="B345" s="1">
        <v>2</v>
      </c>
      <c r="C345" s="1">
        <v>1</v>
      </c>
      <c r="D345" s="3" t="s">
        <v>658</v>
      </c>
      <c r="E345" s="12">
        <v>0</v>
      </c>
      <c r="F345" s="12">
        <v>0</v>
      </c>
      <c r="G345" s="12">
        <v>0</v>
      </c>
      <c r="H345" s="12">
        <v>0</v>
      </c>
      <c r="I345" s="12">
        <v>196618.02</v>
      </c>
      <c r="J345" s="12">
        <v>112368.22</v>
      </c>
      <c r="K345" s="12">
        <v>1592.97</v>
      </c>
      <c r="L345" s="12">
        <v>85842.77</v>
      </c>
      <c r="M345" s="24">
        <v>196618.02</v>
      </c>
      <c r="N345" s="23">
        <v>112368.22</v>
      </c>
      <c r="O345" s="23">
        <v>1592.97</v>
      </c>
      <c r="P345" s="24">
        <v>85842.77</v>
      </c>
    </row>
    <row r="346" spans="1:16" x14ac:dyDescent="0.3">
      <c r="A346" s="3" t="s">
        <v>659</v>
      </c>
      <c r="B346" s="1">
        <v>2</v>
      </c>
      <c r="C346" s="1">
        <v>1</v>
      </c>
      <c r="D346" s="3" t="s">
        <v>660</v>
      </c>
      <c r="E346" s="12">
        <v>5626</v>
      </c>
      <c r="F346" s="12">
        <v>5626</v>
      </c>
      <c r="G346" s="12">
        <v>4466</v>
      </c>
      <c r="H346" s="12">
        <v>4466</v>
      </c>
      <c r="I346" s="12">
        <v>0</v>
      </c>
      <c r="J346" s="12">
        <v>0</v>
      </c>
      <c r="K346" s="12">
        <v>0</v>
      </c>
      <c r="L346" s="12">
        <v>0</v>
      </c>
      <c r="M346" s="24">
        <v>5626</v>
      </c>
      <c r="N346" s="23">
        <v>5626</v>
      </c>
      <c r="O346" s="23">
        <v>4466</v>
      </c>
      <c r="P346" s="24">
        <v>4466</v>
      </c>
    </row>
    <row r="347" spans="1:16" x14ac:dyDescent="0.3">
      <c r="A347" s="3" t="s">
        <v>661</v>
      </c>
      <c r="B347" s="1">
        <v>2</v>
      </c>
      <c r="C347" s="1">
        <v>1</v>
      </c>
      <c r="D347" s="3" t="s">
        <v>662</v>
      </c>
      <c r="E347" s="12">
        <v>7535.36</v>
      </c>
      <c r="F347" s="12">
        <v>7535.36</v>
      </c>
      <c r="G347" s="12">
        <v>0</v>
      </c>
      <c r="H347" s="12">
        <v>0</v>
      </c>
      <c r="I347" s="12">
        <v>0</v>
      </c>
      <c r="J347" s="12">
        <v>0</v>
      </c>
      <c r="K347" s="12">
        <v>0</v>
      </c>
      <c r="L347" s="12">
        <v>0</v>
      </c>
      <c r="M347" s="24">
        <v>7535.36</v>
      </c>
      <c r="N347" s="23">
        <v>7535.36</v>
      </c>
      <c r="O347" s="23">
        <v>0</v>
      </c>
      <c r="P347" s="24">
        <v>0</v>
      </c>
    </row>
    <row r="348" spans="1:16" x14ac:dyDescent="0.3">
      <c r="A348" s="3" t="s">
        <v>663</v>
      </c>
      <c r="B348" s="1">
        <v>2</v>
      </c>
      <c r="C348" s="1">
        <v>1</v>
      </c>
      <c r="D348" s="3" t="s">
        <v>236</v>
      </c>
      <c r="E348" s="12">
        <v>1100.8</v>
      </c>
      <c r="F348" s="12">
        <v>0</v>
      </c>
      <c r="G348" s="12">
        <v>0</v>
      </c>
      <c r="H348" s="12">
        <v>1100.8</v>
      </c>
      <c r="I348" s="12">
        <v>0</v>
      </c>
      <c r="J348" s="12">
        <v>0</v>
      </c>
      <c r="K348" s="12">
        <v>0</v>
      </c>
      <c r="L348" s="12">
        <v>0</v>
      </c>
      <c r="M348" s="24">
        <v>1100.8</v>
      </c>
      <c r="N348" s="23">
        <v>0</v>
      </c>
      <c r="O348" s="23">
        <v>0</v>
      </c>
      <c r="P348" s="24">
        <v>1100.8</v>
      </c>
    </row>
    <row r="349" spans="1:16" x14ac:dyDescent="0.3">
      <c r="A349" s="3" t="s">
        <v>664</v>
      </c>
      <c r="B349" s="1">
        <v>2</v>
      </c>
      <c r="C349" s="1">
        <v>1</v>
      </c>
      <c r="D349" s="3" t="s">
        <v>617</v>
      </c>
      <c r="E349" s="12">
        <v>207.84</v>
      </c>
      <c r="F349" s="12">
        <v>207.84</v>
      </c>
      <c r="G349" s="12">
        <v>1893.57</v>
      </c>
      <c r="H349" s="12">
        <v>1893.57</v>
      </c>
      <c r="I349" s="12">
        <v>0</v>
      </c>
      <c r="J349" s="12">
        <v>0</v>
      </c>
      <c r="K349" s="12">
        <v>0</v>
      </c>
      <c r="L349" s="12">
        <v>0</v>
      </c>
      <c r="M349" s="24">
        <v>207.84</v>
      </c>
      <c r="N349" s="23">
        <v>207.84</v>
      </c>
      <c r="O349" s="23">
        <v>1893.57</v>
      </c>
      <c r="P349" s="24">
        <v>1893.57</v>
      </c>
    </row>
    <row r="350" spans="1:16" x14ac:dyDescent="0.3">
      <c r="A350" s="3" t="s">
        <v>665</v>
      </c>
      <c r="B350" s="1">
        <v>2</v>
      </c>
      <c r="C350" s="1">
        <v>1</v>
      </c>
      <c r="D350" s="3" t="s">
        <v>341</v>
      </c>
      <c r="E350" s="12">
        <v>0</v>
      </c>
      <c r="F350" s="12">
        <v>0</v>
      </c>
      <c r="G350" s="12">
        <v>20278.66</v>
      </c>
      <c r="H350" s="12">
        <v>20278.66</v>
      </c>
      <c r="I350" s="12">
        <v>0</v>
      </c>
      <c r="J350" s="12">
        <v>0</v>
      </c>
      <c r="K350" s="12">
        <v>0</v>
      </c>
      <c r="L350" s="12">
        <v>0</v>
      </c>
      <c r="M350" s="24">
        <v>0</v>
      </c>
      <c r="N350" s="23">
        <v>0</v>
      </c>
      <c r="O350" s="23">
        <v>20278.66</v>
      </c>
      <c r="P350" s="24">
        <v>20278.66</v>
      </c>
    </row>
    <row r="351" spans="1:16" x14ac:dyDescent="0.3">
      <c r="A351" s="3" t="s">
        <v>666</v>
      </c>
      <c r="B351" s="1">
        <v>2</v>
      </c>
      <c r="C351" s="1">
        <v>0</v>
      </c>
      <c r="D351" s="3" t="s">
        <v>667</v>
      </c>
      <c r="E351" s="12">
        <v>6764614.1200000001</v>
      </c>
      <c r="F351" s="12">
        <v>2796409.04</v>
      </c>
      <c r="G351" s="12">
        <v>3200696.53</v>
      </c>
      <c r="H351" s="12">
        <v>7168901.6100000003</v>
      </c>
      <c r="I351" s="12">
        <v>7413147.3099999996</v>
      </c>
      <c r="J351" s="12">
        <v>2806442.53</v>
      </c>
      <c r="K351" s="12">
        <v>33833.83</v>
      </c>
      <c r="L351" s="12">
        <v>4640538.6100000003</v>
      </c>
      <c r="M351" s="24">
        <v>14177761.43</v>
      </c>
      <c r="N351" s="23">
        <v>5602851.5700000003</v>
      </c>
      <c r="O351" s="23">
        <v>3234530.36</v>
      </c>
      <c r="P351" s="24">
        <v>11809440.220000001</v>
      </c>
    </row>
    <row r="352" spans="1:16" x14ac:dyDescent="0.3">
      <c r="A352" s="3" t="s">
        <v>668</v>
      </c>
      <c r="B352" s="1">
        <v>2</v>
      </c>
      <c r="C352" s="1">
        <v>1</v>
      </c>
      <c r="D352" s="3" t="s">
        <v>622</v>
      </c>
      <c r="E352" s="12">
        <v>429106.12</v>
      </c>
      <c r="F352" s="12">
        <v>103323.03</v>
      </c>
      <c r="G352" s="12">
        <v>319237.96999999997</v>
      </c>
      <c r="H352" s="12">
        <v>645021.06000000006</v>
      </c>
      <c r="I352" s="12">
        <v>52004.97</v>
      </c>
      <c r="J352" s="12">
        <v>44895.9</v>
      </c>
      <c r="K352" s="12">
        <v>1508.04</v>
      </c>
      <c r="L352" s="12">
        <v>8617.11</v>
      </c>
      <c r="M352" s="24">
        <v>481111.08999999997</v>
      </c>
      <c r="N352" s="23">
        <v>148218.93</v>
      </c>
      <c r="O352" s="23">
        <v>320746.00999999995</v>
      </c>
      <c r="P352" s="24">
        <v>653638.17000000004</v>
      </c>
    </row>
    <row r="353" spans="1:16" x14ac:dyDescent="0.3">
      <c r="A353" s="3" t="s">
        <v>669</v>
      </c>
      <c r="B353" s="1">
        <v>2</v>
      </c>
      <c r="C353" s="1">
        <v>1</v>
      </c>
      <c r="D353" s="3" t="s">
        <v>624</v>
      </c>
      <c r="E353" s="12">
        <v>137417.59</v>
      </c>
      <c r="F353" s="12">
        <v>137417.59</v>
      </c>
      <c r="G353" s="12">
        <v>136068</v>
      </c>
      <c r="H353" s="12">
        <v>136068</v>
      </c>
      <c r="I353" s="12">
        <v>0</v>
      </c>
      <c r="J353" s="12">
        <v>0</v>
      </c>
      <c r="K353" s="12">
        <v>0</v>
      </c>
      <c r="L353" s="12">
        <v>0</v>
      </c>
      <c r="M353" s="24">
        <v>137417.59</v>
      </c>
      <c r="N353" s="23">
        <v>137417.59</v>
      </c>
      <c r="O353" s="23">
        <v>136068</v>
      </c>
      <c r="P353" s="24">
        <v>136068</v>
      </c>
    </row>
    <row r="354" spans="1:16" x14ac:dyDescent="0.3">
      <c r="A354" s="3" t="s">
        <v>670</v>
      </c>
      <c r="B354" s="1">
        <v>2</v>
      </c>
      <c r="C354" s="1">
        <v>1</v>
      </c>
      <c r="D354" s="3" t="s">
        <v>626</v>
      </c>
      <c r="E354" s="12">
        <v>48222.94</v>
      </c>
      <c r="F354" s="12">
        <v>48549.3</v>
      </c>
      <c r="G354" s="12">
        <v>37769.61</v>
      </c>
      <c r="H354" s="12">
        <v>37443.25</v>
      </c>
      <c r="I354" s="12">
        <v>0</v>
      </c>
      <c r="J354" s="12">
        <v>0</v>
      </c>
      <c r="K354" s="12">
        <v>0</v>
      </c>
      <c r="L354" s="12">
        <v>0</v>
      </c>
      <c r="M354" s="24">
        <v>48222.94</v>
      </c>
      <c r="N354" s="23">
        <v>48549.3</v>
      </c>
      <c r="O354" s="23">
        <v>37769.61</v>
      </c>
      <c r="P354" s="24">
        <v>37443.25</v>
      </c>
    </row>
    <row r="355" spans="1:16" x14ac:dyDescent="0.3">
      <c r="A355" s="3" t="s">
        <v>671</v>
      </c>
      <c r="B355" s="1">
        <v>2</v>
      </c>
      <c r="C355" s="1">
        <v>1</v>
      </c>
      <c r="D355" s="3" t="s">
        <v>628</v>
      </c>
      <c r="E355" s="12">
        <v>23660.18</v>
      </c>
      <c r="F355" s="12">
        <v>0</v>
      </c>
      <c r="G355" s="12">
        <v>22873.3</v>
      </c>
      <c r="H355" s="12">
        <v>46533.48</v>
      </c>
      <c r="I355" s="12">
        <v>896.09</v>
      </c>
      <c r="J355" s="12">
        <v>0</v>
      </c>
      <c r="K355" s="12">
        <v>0</v>
      </c>
      <c r="L355" s="12">
        <v>896.09</v>
      </c>
      <c r="M355" s="24">
        <v>24556.27</v>
      </c>
      <c r="N355" s="23">
        <v>0</v>
      </c>
      <c r="O355" s="23">
        <v>22873.3</v>
      </c>
      <c r="P355" s="24">
        <v>47429.57</v>
      </c>
    </row>
    <row r="356" spans="1:16" x14ac:dyDescent="0.3">
      <c r="A356" s="3" t="s">
        <v>672</v>
      </c>
      <c r="B356" s="1">
        <v>2</v>
      </c>
      <c r="C356" s="1">
        <v>1</v>
      </c>
      <c r="D356" s="3" t="s">
        <v>630</v>
      </c>
      <c r="E356" s="12">
        <v>0</v>
      </c>
      <c r="F356" s="12">
        <v>0</v>
      </c>
      <c r="G356" s="12">
        <v>0</v>
      </c>
      <c r="H356" s="12">
        <v>0</v>
      </c>
      <c r="I356" s="12">
        <v>457635.74</v>
      </c>
      <c r="J356" s="12">
        <v>0</v>
      </c>
      <c r="K356" s="12">
        <v>0</v>
      </c>
      <c r="L356" s="12">
        <v>457635.74</v>
      </c>
      <c r="M356" s="24">
        <v>457635.74</v>
      </c>
      <c r="N356" s="23">
        <v>0</v>
      </c>
      <c r="O356" s="23">
        <v>0</v>
      </c>
      <c r="P356" s="24">
        <v>457635.74</v>
      </c>
    </row>
    <row r="357" spans="1:16" x14ac:dyDescent="0.3">
      <c r="A357" s="3" t="s">
        <v>673</v>
      </c>
      <c r="B357" s="1">
        <v>2</v>
      </c>
      <c r="C357" s="1">
        <v>1</v>
      </c>
      <c r="D357" s="3" t="s">
        <v>632</v>
      </c>
      <c r="E357" s="12">
        <v>0</v>
      </c>
      <c r="F357" s="12">
        <v>19458.580000000002</v>
      </c>
      <c r="G357" s="12">
        <v>19458.580000000002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24">
        <v>0</v>
      </c>
      <c r="N357" s="23">
        <v>19458.580000000002</v>
      </c>
      <c r="O357" s="23">
        <v>19458.580000000002</v>
      </c>
      <c r="P357" s="24">
        <v>0</v>
      </c>
    </row>
    <row r="358" spans="1:16" x14ac:dyDescent="0.3">
      <c r="A358" s="3" t="s">
        <v>674</v>
      </c>
      <c r="B358" s="1">
        <v>2</v>
      </c>
      <c r="C358" s="1">
        <v>1</v>
      </c>
      <c r="D358" s="3" t="s">
        <v>634</v>
      </c>
      <c r="E358" s="12">
        <v>5934.98</v>
      </c>
      <c r="F358" s="12">
        <v>5934.98</v>
      </c>
      <c r="G358" s="12">
        <v>0</v>
      </c>
      <c r="H358" s="12">
        <v>0</v>
      </c>
      <c r="I358" s="12">
        <v>40.17</v>
      </c>
      <c r="J358" s="12">
        <v>0</v>
      </c>
      <c r="K358" s="12">
        <v>0</v>
      </c>
      <c r="L358" s="12">
        <v>40.17</v>
      </c>
      <c r="M358" s="24">
        <v>5975.15</v>
      </c>
      <c r="N358" s="23">
        <v>5934.98</v>
      </c>
      <c r="O358" s="23">
        <v>0</v>
      </c>
      <c r="P358" s="24">
        <v>40.17</v>
      </c>
    </row>
    <row r="359" spans="1:16" x14ac:dyDescent="0.3">
      <c r="A359" s="3" t="s">
        <v>675</v>
      </c>
      <c r="B359" s="1">
        <v>2</v>
      </c>
      <c r="C359" s="1">
        <v>1</v>
      </c>
      <c r="D359" s="3" t="s">
        <v>636</v>
      </c>
      <c r="E359" s="12">
        <v>393275.08</v>
      </c>
      <c r="F359" s="12">
        <v>282257.03999999998</v>
      </c>
      <c r="G359" s="12">
        <v>189503.35</v>
      </c>
      <c r="H359" s="12">
        <v>300521.39</v>
      </c>
      <c r="I359" s="12">
        <v>1771.7</v>
      </c>
      <c r="J359" s="12">
        <v>0</v>
      </c>
      <c r="K359" s="12">
        <v>0</v>
      </c>
      <c r="L359" s="12">
        <v>1771.7</v>
      </c>
      <c r="M359" s="24">
        <v>395046.78</v>
      </c>
      <c r="N359" s="23">
        <v>282257.03999999998</v>
      </c>
      <c r="O359" s="23">
        <v>189503.35</v>
      </c>
      <c r="P359" s="24">
        <v>302293.09000000003</v>
      </c>
    </row>
    <row r="360" spans="1:16" x14ac:dyDescent="0.3">
      <c r="A360" s="3" t="s">
        <v>676</v>
      </c>
      <c r="B360" s="1">
        <v>2</v>
      </c>
      <c r="C360" s="1">
        <v>1</v>
      </c>
      <c r="D360" s="3" t="s">
        <v>638</v>
      </c>
      <c r="E360" s="12">
        <v>326897.32</v>
      </c>
      <c r="F360" s="12">
        <v>0</v>
      </c>
      <c r="G360" s="12">
        <v>0</v>
      </c>
      <c r="H360" s="12">
        <v>326897.32</v>
      </c>
      <c r="I360" s="12">
        <v>3195.39</v>
      </c>
      <c r="J360" s="12">
        <v>0</v>
      </c>
      <c r="K360" s="12">
        <v>0</v>
      </c>
      <c r="L360" s="12">
        <v>3195.39</v>
      </c>
      <c r="M360" s="24">
        <v>330092.71000000002</v>
      </c>
      <c r="N360" s="23">
        <v>0</v>
      </c>
      <c r="O360" s="23">
        <v>0</v>
      </c>
      <c r="P360" s="24">
        <v>330092.71000000002</v>
      </c>
    </row>
    <row r="361" spans="1:16" x14ac:dyDescent="0.3">
      <c r="A361" s="3" t="s">
        <v>677</v>
      </c>
      <c r="B361" s="1">
        <v>2</v>
      </c>
      <c r="C361" s="1">
        <v>1</v>
      </c>
      <c r="D361" s="3" t="s">
        <v>640</v>
      </c>
      <c r="E361" s="12">
        <v>1250432.54</v>
      </c>
      <c r="F361" s="12">
        <v>415983.84</v>
      </c>
      <c r="G361" s="12">
        <v>695374.03</v>
      </c>
      <c r="H361" s="12">
        <v>1529822.73</v>
      </c>
      <c r="I361" s="12">
        <v>44603.27</v>
      </c>
      <c r="J361" s="12">
        <v>44603.27</v>
      </c>
      <c r="K361" s="12">
        <v>0</v>
      </c>
      <c r="L361" s="12">
        <v>0</v>
      </c>
      <c r="M361" s="24">
        <v>1295035.81</v>
      </c>
      <c r="N361" s="23">
        <v>460587.11000000004</v>
      </c>
      <c r="O361" s="23">
        <v>695374.03</v>
      </c>
      <c r="P361" s="24">
        <v>1529822.73</v>
      </c>
    </row>
    <row r="362" spans="1:16" x14ac:dyDescent="0.3">
      <c r="A362" s="3" t="s">
        <v>678</v>
      </c>
      <c r="B362" s="1">
        <v>2</v>
      </c>
      <c r="C362" s="1">
        <v>1</v>
      </c>
      <c r="D362" s="3" t="s">
        <v>642</v>
      </c>
      <c r="E362" s="12">
        <v>218533.05</v>
      </c>
      <c r="F362" s="12">
        <v>0</v>
      </c>
      <c r="G362" s="12">
        <v>143825.68</v>
      </c>
      <c r="H362" s="12">
        <v>362358.73</v>
      </c>
      <c r="I362" s="12">
        <v>0</v>
      </c>
      <c r="J362" s="12">
        <v>0</v>
      </c>
      <c r="K362" s="12">
        <v>0</v>
      </c>
      <c r="L362" s="12">
        <v>0</v>
      </c>
      <c r="M362" s="24">
        <v>218533.05</v>
      </c>
      <c r="N362" s="23">
        <v>0</v>
      </c>
      <c r="O362" s="23">
        <v>143825.68</v>
      </c>
      <c r="P362" s="24">
        <v>362358.73</v>
      </c>
    </row>
    <row r="363" spans="1:16" x14ac:dyDescent="0.3">
      <c r="A363" s="3" t="s">
        <v>679</v>
      </c>
      <c r="B363" s="1">
        <v>2</v>
      </c>
      <c r="C363" s="1">
        <v>1</v>
      </c>
      <c r="D363" s="3" t="s">
        <v>644</v>
      </c>
      <c r="E363" s="12">
        <v>380354.03</v>
      </c>
      <c r="F363" s="12">
        <v>0</v>
      </c>
      <c r="G363" s="12">
        <v>283358.01</v>
      </c>
      <c r="H363" s="12">
        <v>663712.04</v>
      </c>
      <c r="I363" s="12">
        <v>978026.1</v>
      </c>
      <c r="J363" s="12">
        <v>206011.55</v>
      </c>
      <c r="K363" s="12">
        <v>2188.67</v>
      </c>
      <c r="L363" s="12">
        <v>774203.22</v>
      </c>
      <c r="M363" s="24">
        <v>1358380.13</v>
      </c>
      <c r="N363" s="23">
        <v>206011.55</v>
      </c>
      <c r="O363" s="23">
        <v>285546.68</v>
      </c>
      <c r="P363" s="24">
        <v>1437915.26</v>
      </c>
    </row>
    <row r="364" spans="1:16" x14ac:dyDescent="0.3">
      <c r="A364" s="3" t="s">
        <v>680</v>
      </c>
      <c r="B364" s="1">
        <v>2</v>
      </c>
      <c r="C364" s="1">
        <v>1</v>
      </c>
      <c r="D364" s="3" t="s">
        <v>646</v>
      </c>
      <c r="E364" s="12">
        <v>0</v>
      </c>
      <c r="F364" s="12">
        <v>0</v>
      </c>
      <c r="G364" s="12">
        <v>0</v>
      </c>
      <c r="H364" s="12">
        <v>0</v>
      </c>
      <c r="I364" s="12">
        <v>266106.48</v>
      </c>
      <c r="J364" s="12">
        <v>266106.48</v>
      </c>
      <c r="K364" s="12">
        <v>0</v>
      </c>
      <c r="L364" s="12">
        <v>0</v>
      </c>
      <c r="M364" s="24">
        <v>266106.48</v>
      </c>
      <c r="N364" s="23">
        <v>266106.48</v>
      </c>
      <c r="O364" s="23">
        <v>0</v>
      </c>
      <c r="P364" s="24">
        <v>0</v>
      </c>
    </row>
    <row r="365" spans="1:16" x14ac:dyDescent="0.3">
      <c r="A365" s="3" t="s">
        <v>681</v>
      </c>
      <c r="B365" s="1">
        <v>2</v>
      </c>
      <c r="C365" s="1">
        <v>1</v>
      </c>
      <c r="D365" s="3" t="s">
        <v>648</v>
      </c>
      <c r="E365" s="12">
        <v>1352060.56</v>
      </c>
      <c r="F365" s="12">
        <v>910125.6</v>
      </c>
      <c r="G365" s="12">
        <v>442328.27</v>
      </c>
      <c r="H365" s="12">
        <v>884263.23</v>
      </c>
      <c r="I365" s="12">
        <v>425810.4</v>
      </c>
      <c r="J365" s="12">
        <v>0</v>
      </c>
      <c r="K365" s="12">
        <v>0</v>
      </c>
      <c r="L365" s="12">
        <v>425810.4</v>
      </c>
      <c r="M365" s="24">
        <v>1777870.96</v>
      </c>
      <c r="N365" s="23">
        <v>910125.6</v>
      </c>
      <c r="O365" s="23">
        <v>442328.27</v>
      </c>
      <c r="P365" s="24">
        <v>1310073.6299999999</v>
      </c>
    </row>
    <row r="366" spans="1:16" x14ac:dyDescent="0.3">
      <c r="A366" s="3" t="s">
        <v>682</v>
      </c>
      <c r="B366" s="1">
        <v>2</v>
      </c>
      <c r="C366" s="1">
        <v>1</v>
      </c>
      <c r="D366" s="3" t="s">
        <v>650</v>
      </c>
      <c r="E366" s="12">
        <v>1313021.6299999999</v>
      </c>
      <c r="F366" s="12">
        <v>563613.19999999995</v>
      </c>
      <c r="G366" s="12">
        <v>326222.69</v>
      </c>
      <c r="H366" s="12">
        <v>1075631.1200000001</v>
      </c>
      <c r="I366" s="12">
        <v>27865.98</v>
      </c>
      <c r="J366" s="12">
        <v>28692.45</v>
      </c>
      <c r="K366" s="12">
        <v>826.47</v>
      </c>
      <c r="L366" s="12">
        <v>0</v>
      </c>
      <c r="M366" s="24">
        <v>1340887.6099999999</v>
      </c>
      <c r="N366" s="23">
        <v>592305.64999999991</v>
      </c>
      <c r="O366" s="23">
        <v>327049.15999999997</v>
      </c>
      <c r="P366" s="24">
        <v>1075631.1200000001</v>
      </c>
    </row>
    <row r="367" spans="1:16" x14ac:dyDescent="0.3">
      <c r="A367" s="3" t="s">
        <v>683</v>
      </c>
      <c r="B367" s="1">
        <v>2</v>
      </c>
      <c r="C367" s="1">
        <v>1</v>
      </c>
      <c r="D367" s="3" t="s">
        <v>652</v>
      </c>
      <c r="E367" s="12">
        <v>30814.89</v>
      </c>
      <c r="F367" s="12">
        <v>30814.89</v>
      </c>
      <c r="G367" s="12">
        <v>3758.48</v>
      </c>
      <c r="H367" s="12">
        <v>3758.48</v>
      </c>
      <c r="I367" s="12">
        <v>0</v>
      </c>
      <c r="J367" s="12">
        <v>0</v>
      </c>
      <c r="K367" s="12">
        <v>0</v>
      </c>
      <c r="L367" s="12">
        <v>0</v>
      </c>
      <c r="M367" s="24">
        <v>30814.89</v>
      </c>
      <c r="N367" s="23">
        <v>30814.89</v>
      </c>
      <c r="O367" s="23">
        <v>3758.48</v>
      </c>
      <c r="P367" s="24">
        <v>3758.48</v>
      </c>
    </row>
    <row r="368" spans="1:16" x14ac:dyDescent="0.3">
      <c r="A368" s="3" t="s">
        <v>684</v>
      </c>
      <c r="B368" s="1">
        <v>2</v>
      </c>
      <c r="C368" s="1">
        <v>1</v>
      </c>
      <c r="D368" s="3" t="s">
        <v>654</v>
      </c>
      <c r="E368" s="12">
        <v>549475.63</v>
      </c>
      <c r="F368" s="12">
        <v>0</v>
      </c>
      <c r="G368" s="12">
        <v>90315.65</v>
      </c>
      <c r="H368" s="12">
        <v>639791.28</v>
      </c>
      <c r="I368" s="12">
        <v>625794.62</v>
      </c>
      <c r="J368" s="12">
        <v>624340.36</v>
      </c>
      <c r="K368" s="12">
        <v>0</v>
      </c>
      <c r="L368" s="12">
        <v>1454.26</v>
      </c>
      <c r="M368" s="24">
        <v>1175270.25</v>
      </c>
      <c r="N368" s="23">
        <v>624340.36</v>
      </c>
      <c r="O368" s="23">
        <v>90315.65</v>
      </c>
      <c r="P368" s="24">
        <v>641245.54</v>
      </c>
    </row>
    <row r="369" spans="1:16" x14ac:dyDescent="0.3">
      <c r="A369" s="3" t="s">
        <v>685</v>
      </c>
      <c r="B369" s="1">
        <v>2</v>
      </c>
      <c r="C369" s="1">
        <v>1</v>
      </c>
      <c r="D369" s="3" t="s">
        <v>656</v>
      </c>
      <c r="E369" s="12">
        <v>70054.14</v>
      </c>
      <c r="F369" s="12">
        <v>0</v>
      </c>
      <c r="G369" s="12">
        <v>0</v>
      </c>
      <c r="H369" s="12">
        <v>70054.14</v>
      </c>
      <c r="I369" s="12">
        <v>20964.84</v>
      </c>
      <c r="J369" s="12">
        <v>20964.84</v>
      </c>
      <c r="K369" s="12">
        <v>0</v>
      </c>
      <c r="L369" s="12">
        <v>0</v>
      </c>
      <c r="M369" s="24">
        <v>91018.98</v>
      </c>
      <c r="N369" s="23">
        <v>20964.84</v>
      </c>
      <c r="O369" s="23">
        <v>0</v>
      </c>
      <c r="P369" s="24">
        <v>70054.14</v>
      </c>
    </row>
    <row r="370" spans="1:16" x14ac:dyDescent="0.3">
      <c r="A370" s="3" t="s">
        <v>686</v>
      </c>
      <c r="B370" s="1">
        <v>2</v>
      </c>
      <c r="C370" s="1">
        <v>1</v>
      </c>
      <c r="D370" s="3" t="s">
        <v>658</v>
      </c>
      <c r="E370" s="12">
        <v>0</v>
      </c>
      <c r="F370" s="12">
        <v>0</v>
      </c>
      <c r="G370" s="12">
        <v>0</v>
      </c>
      <c r="H370" s="12">
        <v>0</v>
      </c>
      <c r="I370" s="12">
        <v>4508431.5599999996</v>
      </c>
      <c r="J370" s="12">
        <v>1570827.68</v>
      </c>
      <c r="K370" s="12">
        <v>29310.65</v>
      </c>
      <c r="L370" s="12">
        <v>2966914.53</v>
      </c>
      <c r="M370" s="24">
        <v>4508431.5599999996</v>
      </c>
      <c r="N370" s="23">
        <v>1570827.68</v>
      </c>
      <c r="O370" s="23">
        <v>29310.65</v>
      </c>
      <c r="P370" s="24">
        <v>2966914.53</v>
      </c>
    </row>
    <row r="371" spans="1:16" x14ac:dyDescent="0.3">
      <c r="A371" s="3" t="s">
        <v>687</v>
      </c>
      <c r="B371" s="1">
        <v>2</v>
      </c>
      <c r="C371" s="1">
        <v>1</v>
      </c>
      <c r="D371" s="3" t="s">
        <v>660</v>
      </c>
      <c r="E371" s="12">
        <v>119850.81</v>
      </c>
      <c r="F371" s="12">
        <v>122040.47</v>
      </c>
      <c r="G371" s="12">
        <v>82581.7</v>
      </c>
      <c r="H371" s="12">
        <v>80392.039999999994</v>
      </c>
      <c r="I371" s="12">
        <v>0</v>
      </c>
      <c r="J371" s="12">
        <v>0</v>
      </c>
      <c r="K371" s="12">
        <v>0</v>
      </c>
      <c r="L371" s="12">
        <v>0</v>
      </c>
      <c r="M371" s="24">
        <v>119850.81</v>
      </c>
      <c r="N371" s="23">
        <v>122040.47</v>
      </c>
      <c r="O371" s="23">
        <v>82581.7</v>
      </c>
      <c r="P371" s="24">
        <v>80392.039999999994</v>
      </c>
    </row>
    <row r="372" spans="1:16" x14ac:dyDescent="0.3">
      <c r="A372" s="3" t="s">
        <v>688</v>
      </c>
      <c r="B372" s="1">
        <v>2</v>
      </c>
      <c r="C372" s="1">
        <v>1</v>
      </c>
      <c r="D372" s="3" t="s">
        <v>662</v>
      </c>
      <c r="E372" s="12">
        <v>153021.03</v>
      </c>
      <c r="F372" s="12">
        <v>153021.03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24">
        <v>153021.03</v>
      </c>
      <c r="N372" s="23">
        <v>153021.03</v>
      </c>
      <c r="O372" s="23">
        <v>0</v>
      </c>
      <c r="P372" s="24">
        <v>0</v>
      </c>
    </row>
    <row r="373" spans="1:16" x14ac:dyDescent="0.3">
      <c r="A373" s="3" t="s">
        <v>689</v>
      </c>
      <c r="B373" s="1">
        <v>2</v>
      </c>
      <c r="C373" s="1">
        <v>1</v>
      </c>
      <c r="D373" s="3" t="s">
        <v>236</v>
      </c>
      <c r="E373" s="17">
        <v>-41380.589999999997</v>
      </c>
      <c r="F373" s="12">
        <v>0</v>
      </c>
      <c r="G373" s="12">
        <v>0</v>
      </c>
      <c r="H373" s="17">
        <v>-41380.589999999997</v>
      </c>
      <c r="I373" s="12">
        <v>0</v>
      </c>
      <c r="J373" s="12">
        <v>0</v>
      </c>
      <c r="K373" s="12">
        <v>0</v>
      </c>
      <c r="L373" s="12">
        <v>0</v>
      </c>
      <c r="M373" s="24">
        <v>-41380.589999999997</v>
      </c>
      <c r="N373" s="23">
        <v>0</v>
      </c>
      <c r="O373" s="23">
        <v>0</v>
      </c>
      <c r="P373" s="24">
        <v>-41380.589999999997</v>
      </c>
    </row>
    <row r="374" spans="1:16" x14ac:dyDescent="0.3">
      <c r="A374" s="3" t="s">
        <v>690</v>
      </c>
      <c r="B374" s="1">
        <v>2</v>
      </c>
      <c r="C374" s="1">
        <v>1</v>
      </c>
      <c r="D374" s="3" t="s">
        <v>617</v>
      </c>
      <c r="E374" s="12">
        <v>3862.19</v>
      </c>
      <c r="F374" s="12">
        <v>3869.49</v>
      </c>
      <c r="G374" s="12">
        <v>34834.47</v>
      </c>
      <c r="H374" s="12">
        <v>34827.17</v>
      </c>
      <c r="I374" s="12">
        <v>0</v>
      </c>
      <c r="J374" s="12">
        <v>0</v>
      </c>
      <c r="K374" s="12">
        <v>0</v>
      </c>
      <c r="L374" s="12">
        <v>0</v>
      </c>
      <c r="M374" s="24">
        <v>3862.19</v>
      </c>
      <c r="N374" s="23">
        <v>3869.49</v>
      </c>
      <c r="O374" s="23">
        <v>34834.47</v>
      </c>
      <c r="P374" s="24">
        <v>34827.17</v>
      </c>
    </row>
    <row r="375" spans="1:16" x14ac:dyDescent="0.3">
      <c r="A375" s="3" t="s">
        <v>691</v>
      </c>
      <c r="B375" s="1">
        <v>2</v>
      </c>
      <c r="C375" s="1">
        <v>1</v>
      </c>
      <c r="D375" s="3" t="s">
        <v>341</v>
      </c>
      <c r="E375" s="12">
        <v>0</v>
      </c>
      <c r="F375" s="12">
        <v>0</v>
      </c>
      <c r="G375" s="12">
        <v>373186.74</v>
      </c>
      <c r="H375" s="12">
        <v>373186.74</v>
      </c>
      <c r="I375" s="12">
        <v>0</v>
      </c>
      <c r="J375" s="12">
        <v>0</v>
      </c>
      <c r="K375" s="12">
        <v>0</v>
      </c>
      <c r="L375" s="12">
        <v>0</v>
      </c>
      <c r="M375" s="24">
        <v>0</v>
      </c>
      <c r="N375" s="23">
        <v>0</v>
      </c>
      <c r="O375" s="23">
        <v>373186.74</v>
      </c>
      <c r="P375" s="24">
        <v>373186.74</v>
      </c>
    </row>
    <row r="376" spans="1:16" x14ac:dyDescent="0.3">
      <c r="A376" s="3" t="s">
        <v>692</v>
      </c>
      <c r="B376" s="1">
        <v>2</v>
      </c>
      <c r="C376" s="1">
        <v>0</v>
      </c>
      <c r="D376" s="3" t="s">
        <v>693</v>
      </c>
      <c r="E376" s="12">
        <v>0</v>
      </c>
      <c r="F376" s="12">
        <v>1780</v>
      </c>
      <c r="G376" s="12">
        <v>0</v>
      </c>
      <c r="H376" s="17">
        <v>-1780</v>
      </c>
      <c r="I376" s="12">
        <v>5578790.0099999998</v>
      </c>
      <c r="J376" s="12">
        <v>5970758.9299999997</v>
      </c>
      <c r="K376" s="12">
        <v>6140779.5700000003</v>
      </c>
      <c r="L376" s="12">
        <v>5748810.6500000004</v>
      </c>
      <c r="M376" s="24">
        <v>5578790.0099999998</v>
      </c>
      <c r="N376" s="23">
        <v>5972538.9299999997</v>
      </c>
      <c r="O376" s="23">
        <v>6140779.5700000003</v>
      </c>
      <c r="P376" s="24">
        <v>5747030.6500000004</v>
      </c>
    </row>
    <row r="377" spans="1:16" x14ac:dyDescent="0.3">
      <c r="A377" s="3" t="s">
        <v>694</v>
      </c>
      <c r="B377" s="1">
        <v>2</v>
      </c>
      <c r="C377" s="1">
        <v>1</v>
      </c>
      <c r="D377" s="3" t="s">
        <v>695</v>
      </c>
      <c r="E377" s="12">
        <v>0</v>
      </c>
      <c r="F377" s="12">
        <v>0</v>
      </c>
      <c r="G377" s="12">
        <v>0</v>
      </c>
      <c r="H377" s="12">
        <v>0</v>
      </c>
      <c r="I377" s="12">
        <v>0</v>
      </c>
      <c r="J377" s="12">
        <v>0</v>
      </c>
      <c r="K377" s="12">
        <v>81475</v>
      </c>
      <c r="L377" s="12">
        <v>81475</v>
      </c>
      <c r="M377" s="24">
        <v>0</v>
      </c>
      <c r="N377" s="23">
        <v>0</v>
      </c>
      <c r="O377" s="23">
        <v>81475</v>
      </c>
      <c r="P377" s="24">
        <v>81475</v>
      </c>
    </row>
    <row r="378" spans="1:16" x14ac:dyDescent="0.3">
      <c r="A378" s="3" t="s">
        <v>696</v>
      </c>
      <c r="B378" s="1">
        <v>2</v>
      </c>
      <c r="C378" s="1">
        <v>1</v>
      </c>
      <c r="D378" s="3" t="s">
        <v>697</v>
      </c>
      <c r="E378" s="12">
        <v>0</v>
      </c>
      <c r="F378" s="12">
        <v>0</v>
      </c>
      <c r="G378" s="12">
        <v>0</v>
      </c>
      <c r="H378" s="12">
        <v>0</v>
      </c>
      <c r="I378" s="12">
        <v>0</v>
      </c>
      <c r="J378" s="12">
        <v>0</v>
      </c>
      <c r="K378" s="12">
        <v>308145.81</v>
      </c>
      <c r="L378" s="12">
        <v>308145.81</v>
      </c>
      <c r="M378" s="24">
        <v>0</v>
      </c>
      <c r="N378" s="23">
        <v>0</v>
      </c>
      <c r="O378" s="23">
        <v>308145.81</v>
      </c>
      <c r="P378" s="24">
        <v>308145.81</v>
      </c>
    </row>
    <row r="379" spans="1:16" x14ac:dyDescent="0.3">
      <c r="A379" s="3" t="s">
        <v>698</v>
      </c>
      <c r="B379" s="1">
        <v>2</v>
      </c>
      <c r="C379" s="1">
        <v>1</v>
      </c>
      <c r="D379" s="3" t="s">
        <v>699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1301013.6299999999</v>
      </c>
      <c r="L379" s="12">
        <v>1301013.6299999999</v>
      </c>
      <c r="M379" s="24">
        <v>0</v>
      </c>
      <c r="N379" s="23">
        <v>0</v>
      </c>
      <c r="O379" s="23">
        <v>1301013.6299999999</v>
      </c>
      <c r="P379" s="24">
        <v>1301013.6299999999</v>
      </c>
    </row>
    <row r="380" spans="1:16" x14ac:dyDescent="0.3">
      <c r="A380" s="3" t="s">
        <v>700</v>
      </c>
      <c r="B380" s="1">
        <v>2</v>
      </c>
      <c r="C380" s="1">
        <v>1</v>
      </c>
      <c r="D380" s="3" t="s">
        <v>701</v>
      </c>
      <c r="E380" s="12">
        <v>0</v>
      </c>
      <c r="F380" s="12">
        <v>0</v>
      </c>
      <c r="G380" s="12">
        <v>0</v>
      </c>
      <c r="H380" s="12">
        <v>0</v>
      </c>
      <c r="I380" s="12">
        <v>0</v>
      </c>
      <c r="J380" s="12">
        <v>0</v>
      </c>
      <c r="K380" s="12">
        <v>37038.15</v>
      </c>
      <c r="L380" s="12">
        <v>37038.15</v>
      </c>
      <c r="M380" s="24">
        <v>0</v>
      </c>
      <c r="N380" s="23">
        <v>0</v>
      </c>
      <c r="O380" s="23">
        <v>37038.15</v>
      </c>
      <c r="P380" s="24">
        <v>37038.15</v>
      </c>
    </row>
    <row r="381" spans="1:16" x14ac:dyDescent="0.3">
      <c r="A381" s="3" t="s">
        <v>702</v>
      </c>
      <c r="B381" s="1">
        <v>2</v>
      </c>
      <c r="C381" s="1">
        <v>1</v>
      </c>
      <c r="D381" s="3" t="s">
        <v>703</v>
      </c>
      <c r="E381" s="12">
        <v>0</v>
      </c>
      <c r="F381" s="12">
        <v>0</v>
      </c>
      <c r="G381" s="12">
        <v>0</v>
      </c>
      <c r="H381" s="12">
        <v>0</v>
      </c>
      <c r="I381" s="12">
        <v>15847.92</v>
      </c>
      <c r="J381" s="12">
        <v>0</v>
      </c>
      <c r="K381" s="12">
        <v>0</v>
      </c>
      <c r="L381" s="12">
        <v>15847.92</v>
      </c>
      <c r="M381" s="24">
        <v>15847.92</v>
      </c>
      <c r="N381" s="23">
        <v>0</v>
      </c>
      <c r="O381" s="23">
        <v>0</v>
      </c>
      <c r="P381" s="24">
        <v>15847.92</v>
      </c>
    </row>
    <row r="382" spans="1:16" x14ac:dyDescent="0.3">
      <c r="A382" s="3" t="s">
        <v>704</v>
      </c>
      <c r="B382" s="1">
        <v>2</v>
      </c>
      <c r="C382" s="1">
        <v>1</v>
      </c>
      <c r="D382" s="3" t="s">
        <v>705</v>
      </c>
      <c r="E382" s="12">
        <v>0</v>
      </c>
      <c r="F382" s="12">
        <v>0</v>
      </c>
      <c r="G382" s="12">
        <v>0</v>
      </c>
      <c r="H382" s="12">
        <v>0</v>
      </c>
      <c r="I382" s="12">
        <v>166038.98000000001</v>
      </c>
      <c r="J382" s="12">
        <v>0</v>
      </c>
      <c r="K382" s="12">
        <v>0</v>
      </c>
      <c r="L382" s="12">
        <v>166038.98000000001</v>
      </c>
      <c r="M382" s="24">
        <v>166038.98000000001</v>
      </c>
      <c r="N382" s="23">
        <v>0</v>
      </c>
      <c r="O382" s="23">
        <v>0</v>
      </c>
      <c r="P382" s="24">
        <v>166038.98000000001</v>
      </c>
    </row>
    <row r="383" spans="1:16" x14ac:dyDescent="0.3">
      <c r="A383" s="3" t="s">
        <v>706</v>
      </c>
      <c r="B383" s="1">
        <v>2</v>
      </c>
      <c r="C383" s="1">
        <v>1</v>
      </c>
      <c r="D383" s="3" t="s">
        <v>707</v>
      </c>
      <c r="E383" s="12">
        <v>0</v>
      </c>
      <c r="F383" s="12">
        <v>1780</v>
      </c>
      <c r="G383" s="12">
        <v>0</v>
      </c>
      <c r="H383" s="17">
        <v>-1780</v>
      </c>
      <c r="I383" s="12">
        <v>5396903.1100000003</v>
      </c>
      <c r="J383" s="12">
        <v>5970758.9299999997</v>
      </c>
      <c r="K383" s="12">
        <v>610970.66</v>
      </c>
      <c r="L383" s="12">
        <v>37114.839999999997</v>
      </c>
      <c r="M383" s="24">
        <v>5396903.1100000003</v>
      </c>
      <c r="N383" s="23">
        <v>5972538.9299999997</v>
      </c>
      <c r="O383" s="23">
        <v>610970.66</v>
      </c>
      <c r="P383" s="24">
        <v>35334.839999999997</v>
      </c>
    </row>
    <row r="384" spans="1:16" x14ac:dyDescent="0.3">
      <c r="A384" s="3" t="s">
        <v>708</v>
      </c>
      <c r="B384" s="1">
        <v>2</v>
      </c>
      <c r="C384" s="1">
        <v>1</v>
      </c>
      <c r="D384" s="3" t="s">
        <v>709</v>
      </c>
      <c r="E384" s="12">
        <v>200425.25</v>
      </c>
      <c r="F384" s="12">
        <v>0</v>
      </c>
      <c r="G384" s="12">
        <v>0</v>
      </c>
      <c r="H384" s="12">
        <v>200425.25</v>
      </c>
      <c r="I384" s="12">
        <v>0</v>
      </c>
      <c r="J384" s="12">
        <v>0</v>
      </c>
      <c r="K384" s="12">
        <v>0</v>
      </c>
      <c r="L384" s="12">
        <v>0</v>
      </c>
      <c r="M384" s="24">
        <v>200425.25</v>
      </c>
      <c r="N384" s="23">
        <v>0</v>
      </c>
      <c r="O384" s="23">
        <v>0</v>
      </c>
      <c r="P384" s="24">
        <v>200425.25</v>
      </c>
    </row>
    <row r="385" spans="1:16" x14ac:dyDescent="0.3">
      <c r="A385" s="3" t="s">
        <v>710</v>
      </c>
      <c r="B385" s="1">
        <v>2</v>
      </c>
      <c r="C385" s="1">
        <v>1</v>
      </c>
      <c r="D385" s="3" t="s">
        <v>711</v>
      </c>
      <c r="E385" s="12">
        <v>0</v>
      </c>
      <c r="F385" s="12">
        <v>0</v>
      </c>
      <c r="G385" s="12">
        <v>0</v>
      </c>
      <c r="H385" s="12">
        <v>0</v>
      </c>
      <c r="I385" s="12">
        <v>0</v>
      </c>
      <c r="J385" s="12">
        <v>0</v>
      </c>
      <c r="K385" s="12">
        <v>338919.41</v>
      </c>
      <c r="L385" s="12">
        <v>338919.41</v>
      </c>
      <c r="M385" s="24">
        <v>0</v>
      </c>
      <c r="N385" s="23">
        <v>0</v>
      </c>
      <c r="O385" s="23">
        <v>338919.41</v>
      </c>
      <c r="P385" s="24">
        <v>338919.41</v>
      </c>
    </row>
    <row r="386" spans="1:16" x14ac:dyDescent="0.3">
      <c r="A386" s="3" t="s">
        <v>712</v>
      </c>
      <c r="B386" s="1">
        <v>2</v>
      </c>
      <c r="C386" s="1">
        <v>1</v>
      </c>
      <c r="D386" s="3" t="s">
        <v>713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2">
        <v>0</v>
      </c>
      <c r="K386" s="12">
        <v>509333.34</v>
      </c>
      <c r="L386" s="12">
        <v>509333.34</v>
      </c>
      <c r="M386" s="24">
        <v>0</v>
      </c>
      <c r="N386" s="23">
        <v>0</v>
      </c>
      <c r="O386" s="23">
        <v>509333.34</v>
      </c>
      <c r="P386" s="24">
        <v>509333.34</v>
      </c>
    </row>
    <row r="387" spans="1:16" x14ac:dyDescent="0.3">
      <c r="A387" s="3" t="s">
        <v>714</v>
      </c>
      <c r="B387" s="1">
        <v>2</v>
      </c>
      <c r="C387" s="1">
        <v>1</v>
      </c>
      <c r="D387" s="3" t="s">
        <v>715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372575.72</v>
      </c>
      <c r="L387" s="12">
        <v>372575.72</v>
      </c>
      <c r="M387" s="24">
        <v>0</v>
      </c>
      <c r="N387" s="23">
        <v>0</v>
      </c>
      <c r="O387" s="23">
        <v>372575.72</v>
      </c>
      <c r="P387" s="24">
        <v>372575.72</v>
      </c>
    </row>
    <row r="388" spans="1:16" x14ac:dyDescent="0.3">
      <c r="A388" s="3" t="s">
        <v>716</v>
      </c>
      <c r="B388" s="1">
        <v>2</v>
      </c>
      <c r="C388" s="1">
        <v>1</v>
      </c>
      <c r="D388" s="3" t="s">
        <v>717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210340.04</v>
      </c>
      <c r="L388" s="12">
        <v>210340.04</v>
      </c>
      <c r="M388" s="24">
        <v>0</v>
      </c>
      <c r="N388" s="23">
        <v>0</v>
      </c>
      <c r="O388" s="23">
        <v>210340.04</v>
      </c>
      <c r="P388" s="24">
        <v>210340.04</v>
      </c>
    </row>
    <row r="389" spans="1:16" x14ac:dyDescent="0.3">
      <c r="A389" s="3" t="s">
        <v>718</v>
      </c>
      <c r="B389" s="1">
        <v>2</v>
      </c>
      <c r="C389" s="1">
        <v>1</v>
      </c>
      <c r="D389" s="3" t="s">
        <v>719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186776.57</v>
      </c>
      <c r="L389" s="12">
        <v>186776.57</v>
      </c>
      <c r="M389" s="24">
        <v>0</v>
      </c>
      <c r="N389" s="23">
        <v>0</v>
      </c>
      <c r="O389" s="23">
        <v>186776.57</v>
      </c>
      <c r="P389" s="24">
        <v>186776.57</v>
      </c>
    </row>
    <row r="390" spans="1:16" x14ac:dyDescent="0.3">
      <c r="A390" s="3" t="s">
        <v>720</v>
      </c>
      <c r="B390" s="1">
        <v>2</v>
      </c>
      <c r="C390" s="1">
        <v>1</v>
      </c>
      <c r="D390" s="3" t="s">
        <v>721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178970</v>
      </c>
      <c r="L390" s="12">
        <v>178970</v>
      </c>
      <c r="M390" s="24">
        <v>0</v>
      </c>
      <c r="N390" s="23">
        <v>0</v>
      </c>
      <c r="O390" s="23">
        <v>178970</v>
      </c>
      <c r="P390" s="24">
        <v>178970</v>
      </c>
    </row>
    <row r="391" spans="1:16" x14ac:dyDescent="0.3">
      <c r="A391" s="3" t="s">
        <v>722</v>
      </c>
      <c r="B391" s="1">
        <v>2</v>
      </c>
      <c r="C391" s="1">
        <v>1</v>
      </c>
      <c r="D391" s="3" t="s">
        <v>723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138823.32</v>
      </c>
      <c r="L391" s="12">
        <v>138823.32</v>
      </c>
      <c r="M391" s="24">
        <v>0</v>
      </c>
      <c r="N391" s="23">
        <v>0</v>
      </c>
      <c r="O391" s="23">
        <v>138823.32</v>
      </c>
      <c r="P391" s="24">
        <v>138823.32</v>
      </c>
    </row>
    <row r="392" spans="1:16" x14ac:dyDescent="0.3">
      <c r="A392" s="3" t="s">
        <v>724</v>
      </c>
      <c r="B392" s="1">
        <v>2</v>
      </c>
      <c r="C392" s="1">
        <v>1</v>
      </c>
      <c r="D392" s="3" t="s">
        <v>725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88662.28</v>
      </c>
      <c r="L392" s="12">
        <v>88662.28</v>
      </c>
      <c r="M392" s="24">
        <v>0</v>
      </c>
      <c r="N392" s="23">
        <v>0</v>
      </c>
      <c r="O392" s="23">
        <v>88662.28</v>
      </c>
      <c r="P392" s="24">
        <v>88662.28</v>
      </c>
    </row>
    <row r="393" spans="1:16" x14ac:dyDescent="0.3">
      <c r="A393" s="3" t="s">
        <v>726</v>
      </c>
      <c r="B393" s="1">
        <v>2</v>
      </c>
      <c r="C393" s="1">
        <v>1</v>
      </c>
      <c r="D393" s="3" t="s">
        <v>727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55968.02</v>
      </c>
      <c r="L393" s="12">
        <v>55968.02</v>
      </c>
      <c r="M393" s="24">
        <v>0</v>
      </c>
      <c r="N393" s="23">
        <v>0</v>
      </c>
      <c r="O393" s="23">
        <v>55968.02</v>
      </c>
      <c r="P393" s="24">
        <v>55968.02</v>
      </c>
    </row>
    <row r="394" spans="1:16" x14ac:dyDescent="0.3">
      <c r="A394" s="3" t="s">
        <v>728</v>
      </c>
      <c r="B394" s="1">
        <v>2</v>
      </c>
      <c r="C394" s="1">
        <v>1</v>
      </c>
      <c r="D394" s="3" t="s">
        <v>729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51070.86</v>
      </c>
      <c r="L394" s="12">
        <v>51070.86</v>
      </c>
      <c r="M394" s="24">
        <v>0</v>
      </c>
      <c r="N394" s="23">
        <v>0</v>
      </c>
      <c r="O394" s="23">
        <v>51070.86</v>
      </c>
      <c r="P394" s="24">
        <v>51070.86</v>
      </c>
    </row>
    <row r="395" spans="1:16" x14ac:dyDescent="0.3">
      <c r="A395" s="3" t="s">
        <v>730</v>
      </c>
      <c r="B395" s="1">
        <v>2</v>
      </c>
      <c r="C395" s="1">
        <v>1</v>
      </c>
      <c r="D395" s="3" t="s">
        <v>731</v>
      </c>
      <c r="E395" s="12">
        <v>0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24277.64</v>
      </c>
      <c r="L395" s="12">
        <v>24277.64</v>
      </c>
      <c r="M395" s="24">
        <v>0</v>
      </c>
      <c r="N395" s="23">
        <v>0</v>
      </c>
      <c r="O395" s="23">
        <v>24277.64</v>
      </c>
      <c r="P395" s="24">
        <v>24277.64</v>
      </c>
    </row>
    <row r="396" spans="1:16" x14ac:dyDescent="0.3">
      <c r="A396" s="3" t="s">
        <v>732</v>
      </c>
      <c r="B396" s="1">
        <v>2</v>
      </c>
      <c r="C396" s="1">
        <v>1</v>
      </c>
      <c r="D396" s="3" t="s">
        <v>733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23891.1</v>
      </c>
      <c r="L396" s="12">
        <v>23891.1</v>
      </c>
      <c r="M396" s="24">
        <v>0</v>
      </c>
      <c r="N396" s="23">
        <v>0</v>
      </c>
      <c r="O396" s="23">
        <v>23891.1</v>
      </c>
      <c r="P396" s="24">
        <v>23891.1</v>
      </c>
    </row>
    <row r="397" spans="1:16" x14ac:dyDescent="0.3">
      <c r="A397" s="3" t="s">
        <v>734</v>
      </c>
      <c r="B397" s="1">
        <v>2</v>
      </c>
      <c r="C397" s="1">
        <v>1</v>
      </c>
      <c r="D397" s="3" t="s">
        <v>735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0</v>
      </c>
      <c r="K397" s="12">
        <v>1259.46</v>
      </c>
      <c r="L397" s="12">
        <v>1259.46</v>
      </c>
      <c r="M397" s="24">
        <v>0</v>
      </c>
      <c r="N397" s="23">
        <v>0</v>
      </c>
      <c r="O397" s="23">
        <v>1259.46</v>
      </c>
      <c r="P397" s="24">
        <v>1259.46</v>
      </c>
    </row>
    <row r="398" spans="1:16" x14ac:dyDescent="0.3">
      <c r="A398" s="3" t="s">
        <v>736</v>
      </c>
      <c r="B398" s="1">
        <v>2</v>
      </c>
      <c r="C398" s="1">
        <v>1</v>
      </c>
      <c r="D398" s="3" t="s">
        <v>737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405952</v>
      </c>
      <c r="L398" s="12">
        <v>405952</v>
      </c>
      <c r="M398" s="24">
        <v>0</v>
      </c>
      <c r="N398" s="23">
        <v>0</v>
      </c>
      <c r="O398" s="23">
        <v>405952</v>
      </c>
      <c r="P398" s="24">
        <v>405952</v>
      </c>
    </row>
    <row r="399" spans="1:16" x14ac:dyDescent="0.3">
      <c r="A399" s="3" t="s">
        <v>738</v>
      </c>
      <c r="B399" s="1">
        <v>2</v>
      </c>
      <c r="C399" s="1">
        <v>1</v>
      </c>
      <c r="D399" s="3" t="s">
        <v>739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288608.76</v>
      </c>
      <c r="L399" s="12">
        <v>288608.76</v>
      </c>
      <c r="M399" s="24">
        <v>0</v>
      </c>
      <c r="N399" s="23">
        <v>0</v>
      </c>
      <c r="O399" s="23">
        <v>288608.76</v>
      </c>
      <c r="P399" s="24">
        <v>288608.76</v>
      </c>
    </row>
    <row r="400" spans="1:16" x14ac:dyDescent="0.3">
      <c r="A400" s="3" t="s">
        <v>740</v>
      </c>
      <c r="B400" s="1">
        <v>2</v>
      </c>
      <c r="C400" s="1">
        <v>1</v>
      </c>
      <c r="D400" s="3" t="s">
        <v>741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255777.68</v>
      </c>
      <c r="L400" s="12">
        <v>255777.68</v>
      </c>
      <c r="M400" s="24">
        <v>0</v>
      </c>
      <c r="N400" s="23">
        <v>0</v>
      </c>
      <c r="O400" s="23">
        <v>255777.68</v>
      </c>
      <c r="P400" s="24">
        <v>255777.68</v>
      </c>
    </row>
    <row r="401" spans="1:16" x14ac:dyDescent="0.3">
      <c r="A401" s="3" t="s">
        <v>742</v>
      </c>
      <c r="B401" s="1">
        <v>2</v>
      </c>
      <c r="C401" s="1">
        <v>1</v>
      </c>
      <c r="D401" s="3" t="s">
        <v>743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193702.7</v>
      </c>
      <c r="L401" s="12">
        <v>193702.7</v>
      </c>
      <c r="M401" s="24">
        <v>0</v>
      </c>
      <c r="N401" s="23">
        <v>0</v>
      </c>
      <c r="O401" s="23">
        <v>193702.7</v>
      </c>
      <c r="P401" s="24">
        <v>193702.7</v>
      </c>
    </row>
    <row r="402" spans="1:16" x14ac:dyDescent="0.3">
      <c r="A402" s="3" t="s">
        <v>744</v>
      </c>
      <c r="B402" s="1">
        <v>2</v>
      </c>
      <c r="C402" s="1">
        <v>1</v>
      </c>
      <c r="D402" s="3" t="s">
        <v>745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95522.63</v>
      </c>
      <c r="L402" s="12">
        <v>95522.63</v>
      </c>
      <c r="M402" s="24">
        <v>0</v>
      </c>
      <c r="N402" s="23">
        <v>0</v>
      </c>
      <c r="O402" s="23">
        <v>95522.63</v>
      </c>
      <c r="P402" s="24">
        <v>95522.63</v>
      </c>
    </row>
    <row r="403" spans="1:16" x14ac:dyDescent="0.3">
      <c r="A403" s="3" t="s">
        <v>746</v>
      </c>
      <c r="B403" s="1">
        <v>2</v>
      </c>
      <c r="C403" s="1">
        <v>1</v>
      </c>
      <c r="D403" s="3" t="s">
        <v>747</v>
      </c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53937.93</v>
      </c>
      <c r="L403" s="12">
        <v>53937.93</v>
      </c>
      <c r="M403" s="24">
        <v>0</v>
      </c>
      <c r="N403" s="23">
        <v>0</v>
      </c>
      <c r="O403" s="23">
        <v>53937.93</v>
      </c>
      <c r="P403" s="24">
        <v>53937.93</v>
      </c>
    </row>
    <row r="404" spans="1:16" x14ac:dyDescent="0.3">
      <c r="A404" s="3" t="s">
        <v>748</v>
      </c>
      <c r="B404" s="1">
        <v>2</v>
      </c>
      <c r="C404" s="1">
        <v>1</v>
      </c>
      <c r="D404" s="3" t="s">
        <v>749</v>
      </c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46284</v>
      </c>
      <c r="L404" s="12">
        <v>46284</v>
      </c>
      <c r="M404" s="24">
        <v>0</v>
      </c>
      <c r="N404" s="23">
        <v>0</v>
      </c>
      <c r="O404" s="23">
        <v>46284</v>
      </c>
      <c r="P404" s="24">
        <v>46284</v>
      </c>
    </row>
    <row r="405" spans="1:16" x14ac:dyDescent="0.3">
      <c r="A405" s="3" t="s">
        <v>750</v>
      </c>
      <c r="B405" s="1">
        <v>2</v>
      </c>
      <c r="C405" s="1">
        <v>1</v>
      </c>
      <c r="D405" s="3" t="s">
        <v>751</v>
      </c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43801.599999999999</v>
      </c>
      <c r="L405" s="12">
        <v>43801.599999999999</v>
      </c>
      <c r="M405" s="24">
        <v>0</v>
      </c>
      <c r="N405" s="23">
        <v>0</v>
      </c>
      <c r="O405" s="23">
        <v>43801.599999999999</v>
      </c>
      <c r="P405" s="24">
        <v>43801.599999999999</v>
      </c>
    </row>
    <row r="406" spans="1:16" x14ac:dyDescent="0.3">
      <c r="A406" s="3" t="s">
        <v>752</v>
      </c>
      <c r="B406" s="1">
        <v>2</v>
      </c>
      <c r="C406" s="1">
        <v>1</v>
      </c>
      <c r="D406" s="3" t="s">
        <v>753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38711.75</v>
      </c>
      <c r="L406" s="12">
        <v>38711.75</v>
      </c>
      <c r="M406" s="24">
        <v>0</v>
      </c>
      <c r="N406" s="23">
        <v>0</v>
      </c>
      <c r="O406" s="23">
        <v>38711.75</v>
      </c>
      <c r="P406" s="24">
        <v>38711.75</v>
      </c>
    </row>
    <row r="407" spans="1:16" x14ac:dyDescent="0.3">
      <c r="A407" s="3" t="s">
        <v>754</v>
      </c>
      <c r="B407" s="1">
        <v>2</v>
      </c>
      <c r="C407" s="1">
        <v>1</v>
      </c>
      <c r="D407" s="3" t="s">
        <v>755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38639.599999999999</v>
      </c>
      <c r="L407" s="12">
        <v>38639.599999999999</v>
      </c>
      <c r="M407" s="24">
        <v>0</v>
      </c>
      <c r="N407" s="23">
        <v>0</v>
      </c>
      <c r="O407" s="23">
        <v>38639.599999999999</v>
      </c>
      <c r="P407" s="24">
        <v>38639.599999999999</v>
      </c>
    </row>
    <row r="408" spans="1:16" x14ac:dyDescent="0.3">
      <c r="A408" s="3" t="s">
        <v>756</v>
      </c>
      <c r="B408" s="1">
        <v>2</v>
      </c>
      <c r="C408" s="1">
        <v>1</v>
      </c>
      <c r="D408" s="3" t="s">
        <v>757</v>
      </c>
      <c r="E408" s="12">
        <v>0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35388.33</v>
      </c>
      <c r="L408" s="12">
        <v>35388.33</v>
      </c>
      <c r="M408" s="24">
        <v>0</v>
      </c>
      <c r="N408" s="23">
        <v>0</v>
      </c>
      <c r="O408" s="23">
        <v>35388.33</v>
      </c>
      <c r="P408" s="24">
        <v>35388.33</v>
      </c>
    </row>
    <row r="409" spans="1:16" x14ac:dyDescent="0.3">
      <c r="A409" s="3" t="s">
        <v>758</v>
      </c>
      <c r="B409" s="1">
        <v>2</v>
      </c>
      <c r="C409" s="1">
        <v>1</v>
      </c>
      <c r="D409" s="3" t="s">
        <v>759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32742.9</v>
      </c>
      <c r="L409" s="12">
        <v>32742.9</v>
      </c>
      <c r="M409" s="24">
        <v>0</v>
      </c>
      <c r="N409" s="23">
        <v>0</v>
      </c>
      <c r="O409" s="23">
        <v>32742.9</v>
      </c>
      <c r="P409" s="24">
        <v>32742.9</v>
      </c>
    </row>
    <row r="410" spans="1:16" x14ac:dyDescent="0.3">
      <c r="A410" s="3" t="s">
        <v>760</v>
      </c>
      <c r="B410" s="1">
        <v>2</v>
      </c>
      <c r="C410" s="1">
        <v>1</v>
      </c>
      <c r="D410" s="3" t="s">
        <v>761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29232</v>
      </c>
      <c r="L410" s="12">
        <v>29232</v>
      </c>
      <c r="M410" s="24">
        <v>0</v>
      </c>
      <c r="N410" s="23">
        <v>0</v>
      </c>
      <c r="O410" s="23">
        <v>29232</v>
      </c>
      <c r="P410" s="24">
        <v>29232</v>
      </c>
    </row>
    <row r="411" spans="1:16" x14ac:dyDescent="0.3">
      <c r="A411" s="3" t="s">
        <v>762</v>
      </c>
      <c r="B411" s="1">
        <v>2</v>
      </c>
      <c r="C411" s="1">
        <v>1</v>
      </c>
      <c r="D411" s="3" t="s">
        <v>763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28164.799999999999</v>
      </c>
      <c r="L411" s="12">
        <v>28164.799999999999</v>
      </c>
      <c r="M411" s="24">
        <v>0</v>
      </c>
      <c r="N411" s="23">
        <v>0</v>
      </c>
      <c r="O411" s="23">
        <v>28164.799999999999</v>
      </c>
      <c r="P411" s="24">
        <v>28164.799999999999</v>
      </c>
    </row>
    <row r="412" spans="1:16" x14ac:dyDescent="0.3">
      <c r="A412" s="3" t="s">
        <v>764</v>
      </c>
      <c r="B412" s="1">
        <v>2</v>
      </c>
      <c r="C412" s="1">
        <v>1</v>
      </c>
      <c r="D412" s="3" t="s">
        <v>765</v>
      </c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458</v>
      </c>
      <c r="L412" s="12">
        <v>458</v>
      </c>
      <c r="M412" s="24">
        <v>0</v>
      </c>
      <c r="N412" s="23">
        <v>0</v>
      </c>
      <c r="O412" s="23">
        <v>458</v>
      </c>
      <c r="P412" s="24">
        <v>458</v>
      </c>
    </row>
    <row r="413" spans="1:16" x14ac:dyDescent="0.3">
      <c r="A413" s="3" t="s">
        <v>766</v>
      </c>
      <c r="B413" s="1">
        <v>2</v>
      </c>
      <c r="C413" s="1">
        <v>1</v>
      </c>
      <c r="D413" s="3" t="s">
        <v>767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4422.21</v>
      </c>
      <c r="L413" s="12">
        <v>4422.21</v>
      </c>
      <c r="M413" s="24">
        <v>0</v>
      </c>
      <c r="N413" s="23">
        <v>0</v>
      </c>
      <c r="O413" s="23">
        <v>4422.21</v>
      </c>
      <c r="P413" s="24">
        <v>4422.21</v>
      </c>
    </row>
    <row r="414" spans="1:16" x14ac:dyDescent="0.3">
      <c r="A414" s="3" t="s">
        <v>768</v>
      </c>
      <c r="B414" s="1">
        <v>2</v>
      </c>
      <c r="C414" s="1">
        <v>1</v>
      </c>
      <c r="D414" s="3" t="s">
        <v>769</v>
      </c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4330.8599999999997</v>
      </c>
      <c r="L414" s="12">
        <v>4330.8599999999997</v>
      </c>
      <c r="M414" s="24">
        <v>0</v>
      </c>
      <c r="N414" s="23">
        <v>0</v>
      </c>
      <c r="O414" s="23">
        <v>4330.8599999999997</v>
      </c>
      <c r="P414" s="24">
        <v>4330.8599999999997</v>
      </c>
    </row>
    <row r="415" spans="1:16" x14ac:dyDescent="0.3">
      <c r="A415" s="3" t="s">
        <v>770</v>
      </c>
      <c r="B415" s="1">
        <v>2</v>
      </c>
      <c r="C415" s="1">
        <v>1</v>
      </c>
      <c r="D415" s="3" t="s">
        <v>771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3591</v>
      </c>
      <c r="L415" s="12">
        <v>3591</v>
      </c>
      <c r="M415" s="24">
        <v>0</v>
      </c>
      <c r="N415" s="23">
        <v>0</v>
      </c>
      <c r="O415" s="23">
        <v>3591</v>
      </c>
      <c r="P415" s="24">
        <v>3591</v>
      </c>
    </row>
    <row r="416" spans="1:16" x14ac:dyDescent="0.3">
      <c r="A416" s="3" t="s">
        <v>772</v>
      </c>
      <c r="B416" s="1">
        <v>2</v>
      </c>
      <c r="C416" s="1">
        <v>1</v>
      </c>
      <c r="D416" s="3" t="s">
        <v>773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3575.9</v>
      </c>
      <c r="L416" s="12">
        <v>3575.9</v>
      </c>
      <c r="M416" s="24">
        <v>0</v>
      </c>
      <c r="N416" s="23">
        <v>0</v>
      </c>
      <c r="O416" s="23">
        <v>3575.9</v>
      </c>
      <c r="P416" s="24">
        <v>3575.9</v>
      </c>
    </row>
    <row r="417" spans="1:16" x14ac:dyDescent="0.3">
      <c r="A417" s="3" t="s">
        <v>774</v>
      </c>
      <c r="B417" s="1">
        <v>2</v>
      </c>
      <c r="C417" s="1">
        <v>1</v>
      </c>
      <c r="D417" s="3" t="s">
        <v>775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3294.4</v>
      </c>
      <c r="L417" s="12">
        <v>3294.4</v>
      </c>
      <c r="M417" s="24">
        <v>0</v>
      </c>
      <c r="N417" s="23">
        <v>0</v>
      </c>
      <c r="O417" s="23">
        <v>3294.4</v>
      </c>
      <c r="P417" s="24">
        <v>3294.4</v>
      </c>
    </row>
    <row r="418" spans="1:16" x14ac:dyDescent="0.3">
      <c r="A418" s="3" t="s">
        <v>776</v>
      </c>
      <c r="B418" s="1">
        <v>2</v>
      </c>
      <c r="C418" s="1">
        <v>1</v>
      </c>
      <c r="D418" s="3" t="s">
        <v>777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2799</v>
      </c>
      <c r="L418" s="12">
        <v>2799</v>
      </c>
      <c r="M418" s="24">
        <v>0</v>
      </c>
      <c r="N418" s="23">
        <v>0</v>
      </c>
      <c r="O418" s="23">
        <v>2799</v>
      </c>
      <c r="P418" s="24">
        <v>2799</v>
      </c>
    </row>
    <row r="419" spans="1:16" x14ac:dyDescent="0.3">
      <c r="A419" s="3" t="s">
        <v>778</v>
      </c>
      <c r="B419" s="1">
        <v>2</v>
      </c>
      <c r="C419" s="1">
        <v>1</v>
      </c>
      <c r="D419" s="3" t="s">
        <v>779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2325.1999999999998</v>
      </c>
      <c r="L419" s="12">
        <v>2325.1999999999998</v>
      </c>
      <c r="M419" s="24">
        <v>0</v>
      </c>
      <c r="N419" s="23">
        <v>0</v>
      </c>
      <c r="O419" s="23">
        <v>2325.1999999999998</v>
      </c>
      <c r="P419" s="24">
        <v>2325.1999999999998</v>
      </c>
    </row>
    <row r="420" spans="1:16" x14ac:dyDescent="0.3">
      <c r="A420" s="3" t="s">
        <v>780</v>
      </c>
      <c r="B420" s="1">
        <v>2</v>
      </c>
      <c r="C420" s="1">
        <v>1</v>
      </c>
      <c r="D420" s="3" t="s">
        <v>781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2320</v>
      </c>
      <c r="L420" s="12">
        <v>2320</v>
      </c>
      <c r="M420" s="24">
        <v>0</v>
      </c>
      <c r="N420" s="23">
        <v>0</v>
      </c>
      <c r="O420" s="23">
        <v>2320</v>
      </c>
      <c r="P420" s="24">
        <v>2320</v>
      </c>
    </row>
    <row r="421" spans="1:16" x14ac:dyDescent="0.3">
      <c r="A421" s="3" t="s">
        <v>782</v>
      </c>
      <c r="B421" s="1">
        <v>2</v>
      </c>
      <c r="C421" s="1">
        <v>1</v>
      </c>
      <c r="D421" s="3" t="s">
        <v>783</v>
      </c>
      <c r="E421" s="12">
        <v>0</v>
      </c>
      <c r="F421" s="12">
        <v>0</v>
      </c>
      <c r="G421" s="12">
        <v>0</v>
      </c>
      <c r="H421" s="12">
        <v>0</v>
      </c>
      <c r="I421" s="12">
        <v>0</v>
      </c>
      <c r="J421" s="12">
        <v>0</v>
      </c>
      <c r="K421" s="12">
        <v>2067.06</v>
      </c>
      <c r="L421" s="12">
        <v>2067.06</v>
      </c>
      <c r="M421" s="24">
        <v>0</v>
      </c>
      <c r="N421" s="23">
        <v>0</v>
      </c>
      <c r="O421" s="23">
        <v>2067.06</v>
      </c>
      <c r="P421" s="24">
        <v>2067.06</v>
      </c>
    </row>
    <row r="422" spans="1:16" x14ac:dyDescent="0.3">
      <c r="A422" s="3" t="s">
        <v>784</v>
      </c>
      <c r="B422" s="1">
        <v>2</v>
      </c>
      <c r="C422" s="1">
        <v>1</v>
      </c>
      <c r="D422" s="3" t="s">
        <v>785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1982.88</v>
      </c>
      <c r="L422" s="12">
        <v>1982.88</v>
      </c>
      <c r="M422" s="24">
        <v>0</v>
      </c>
      <c r="N422" s="23">
        <v>0</v>
      </c>
      <c r="O422" s="23">
        <v>1982.88</v>
      </c>
      <c r="P422" s="24">
        <v>1982.88</v>
      </c>
    </row>
    <row r="423" spans="1:16" x14ac:dyDescent="0.3">
      <c r="A423" s="3" t="s">
        <v>786</v>
      </c>
      <c r="B423" s="1">
        <v>2</v>
      </c>
      <c r="C423" s="1">
        <v>1</v>
      </c>
      <c r="D423" s="3" t="s">
        <v>787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1400</v>
      </c>
      <c r="L423" s="12">
        <v>1400</v>
      </c>
      <c r="M423" s="24">
        <v>0</v>
      </c>
      <c r="N423" s="23">
        <v>0</v>
      </c>
      <c r="O423" s="23">
        <v>1400</v>
      </c>
      <c r="P423" s="24">
        <v>1400</v>
      </c>
    </row>
    <row r="424" spans="1:16" x14ac:dyDescent="0.3">
      <c r="A424" s="3" t="s">
        <v>788</v>
      </c>
      <c r="B424" s="1">
        <v>2</v>
      </c>
      <c r="C424" s="1">
        <v>1</v>
      </c>
      <c r="D424" s="3" t="s">
        <v>789</v>
      </c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1350</v>
      </c>
      <c r="L424" s="12">
        <v>1350</v>
      </c>
      <c r="M424" s="24">
        <v>0</v>
      </c>
      <c r="N424" s="23">
        <v>0</v>
      </c>
      <c r="O424" s="23">
        <v>1350</v>
      </c>
      <c r="P424" s="24">
        <v>1350</v>
      </c>
    </row>
    <row r="425" spans="1:16" x14ac:dyDescent="0.3">
      <c r="A425" s="3" t="s">
        <v>790</v>
      </c>
      <c r="B425" s="1">
        <v>2</v>
      </c>
      <c r="C425" s="1">
        <v>1</v>
      </c>
      <c r="D425" s="3" t="s">
        <v>791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885.37</v>
      </c>
      <c r="L425" s="12">
        <v>885.37</v>
      </c>
      <c r="M425" s="24">
        <v>0</v>
      </c>
      <c r="N425" s="23">
        <v>0</v>
      </c>
      <c r="O425" s="23">
        <v>885.37</v>
      </c>
      <c r="P425" s="24">
        <v>885.37</v>
      </c>
    </row>
    <row r="426" spans="1:16" x14ac:dyDescent="0.3">
      <c r="A426" s="3" t="s">
        <v>792</v>
      </c>
      <c r="B426" s="2">
        <v>1</v>
      </c>
      <c r="C426" s="2">
        <v>0</v>
      </c>
      <c r="D426" s="14" t="s">
        <v>793</v>
      </c>
      <c r="E426" s="16">
        <v>19200000</v>
      </c>
      <c r="F426" s="16">
        <v>3426.93</v>
      </c>
      <c r="G426" s="16">
        <v>2503426.9300000002</v>
      </c>
      <c r="H426" s="16">
        <v>21700000</v>
      </c>
      <c r="I426" s="16">
        <v>61497492.450000003</v>
      </c>
      <c r="J426" s="16">
        <v>10597847.140000001</v>
      </c>
      <c r="K426" s="16">
        <v>9263083.25</v>
      </c>
      <c r="L426" s="16">
        <v>60162728.560000002</v>
      </c>
      <c r="M426" s="25">
        <v>80697492.450000003</v>
      </c>
      <c r="N426" s="16">
        <v>10601274.07</v>
      </c>
      <c r="O426" s="16">
        <v>11766510.18</v>
      </c>
      <c r="P426" s="25">
        <v>81862728.560000002</v>
      </c>
    </row>
    <row r="427" spans="1:16" x14ac:dyDescent="0.3">
      <c r="A427" s="3" t="s">
        <v>794</v>
      </c>
      <c r="B427" s="1">
        <v>2</v>
      </c>
      <c r="C427" s="1">
        <v>0</v>
      </c>
      <c r="D427" s="3" t="s">
        <v>795</v>
      </c>
      <c r="E427" s="12">
        <v>0</v>
      </c>
      <c r="F427" s="12">
        <v>0</v>
      </c>
      <c r="G427" s="12">
        <v>0</v>
      </c>
      <c r="H427" s="12">
        <v>0</v>
      </c>
      <c r="I427" s="12">
        <v>1996909.58</v>
      </c>
      <c r="J427" s="12">
        <v>612198.17000000004</v>
      </c>
      <c r="K427" s="12">
        <v>321539.34000000003</v>
      </c>
      <c r="L427" s="12">
        <v>1706250.75</v>
      </c>
      <c r="M427" s="24">
        <v>1996909.58</v>
      </c>
      <c r="N427" s="23">
        <v>612198.17000000004</v>
      </c>
      <c r="O427" s="23">
        <v>321539.34000000003</v>
      </c>
      <c r="P427" s="24">
        <v>1706250.75</v>
      </c>
    </row>
    <row r="428" spans="1:16" x14ac:dyDescent="0.3">
      <c r="A428" s="3" t="s">
        <v>796</v>
      </c>
      <c r="B428" s="1">
        <v>2</v>
      </c>
      <c r="C428" s="1">
        <v>0</v>
      </c>
      <c r="D428" s="3" t="s">
        <v>797</v>
      </c>
      <c r="E428" s="12">
        <v>0</v>
      </c>
      <c r="F428" s="12">
        <v>0</v>
      </c>
      <c r="G428" s="12">
        <v>0</v>
      </c>
      <c r="H428" s="12">
        <v>0</v>
      </c>
      <c r="I428" s="12">
        <v>1996909.58</v>
      </c>
      <c r="J428" s="12">
        <v>612198.17000000004</v>
      </c>
      <c r="K428" s="12">
        <v>321539.34000000003</v>
      </c>
      <c r="L428" s="12">
        <v>1706250.75</v>
      </c>
      <c r="M428" s="24">
        <v>1996909.58</v>
      </c>
      <c r="N428" s="23">
        <v>612198.17000000004</v>
      </c>
      <c r="O428" s="23">
        <v>321539.34000000003</v>
      </c>
      <c r="P428" s="24">
        <v>1706250.75</v>
      </c>
    </row>
    <row r="429" spans="1:16" x14ac:dyDescent="0.3">
      <c r="A429" s="3" t="s">
        <v>798</v>
      </c>
      <c r="B429" s="1">
        <v>2</v>
      </c>
      <c r="C429" s="1">
        <v>1</v>
      </c>
      <c r="D429" s="3" t="s">
        <v>799</v>
      </c>
      <c r="E429" s="12">
        <v>0</v>
      </c>
      <c r="F429" s="12">
        <v>0</v>
      </c>
      <c r="G429" s="12">
        <v>0</v>
      </c>
      <c r="H429" s="12">
        <v>0</v>
      </c>
      <c r="I429" s="12">
        <v>79713.710000000006</v>
      </c>
      <c r="J429" s="12">
        <v>151348.89000000001</v>
      </c>
      <c r="K429" s="12">
        <v>71635.179999999993</v>
      </c>
      <c r="L429" s="12">
        <v>0</v>
      </c>
      <c r="M429" s="24">
        <v>79713.710000000006</v>
      </c>
      <c r="N429" s="23">
        <v>151348.89000000001</v>
      </c>
      <c r="O429" s="23">
        <v>71635.179999999993</v>
      </c>
      <c r="P429" s="24">
        <v>0</v>
      </c>
    </row>
    <row r="430" spans="1:16" x14ac:dyDescent="0.3">
      <c r="A430" s="3" t="s">
        <v>800</v>
      </c>
      <c r="B430" s="1">
        <v>2</v>
      </c>
      <c r="C430" s="1">
        <v>1</v>
      </c>
      <c r="D430" s="3" t="s">
        <v>801</v>
      </c>
      <c r="E430" s="12">
        <v>0</v>
      </c>
      <c r="F430" s="12">
        <v>0</v>
      </c>
      <c r="G430" s="12">
        <v>0</v>
      </c>
      <c r="H430" s="12">
        <v>0</v>
      </c>
      <c r="I430" s="12">
        <v>357683.20000000001</v>
      </c>
      <c r="J430" s="12">
        <v>450148.01</v>
      </c>
      <c r="K430" s="12">
        <v>249904.16</v>
      </c>
      <c r="L430" s="12">
        <v>157439.35</v>
      </c>
      <c r="M430" s="24">
        <v>357683.20000000001</v>
      </c>
      <c r="N430" s="23">
        <v>450148.01</v>
      </c>
      <c r="O430" s="23">
        <v>249904.16</v>
      </c>
      <c r="P430" s="24">
        <v>157439.35</v>
      </c>
    </row>
    <row r="431" spans="1:16" x14ac:dyDescent="0.3">
      <c r="A431" s="3" t="s">
        <v>802</v>
      </c>
      <c r="B431" s="1">
        <v>2</v>
      </c>
      <c r="C431" s="1">
        <v>1</v>
      </c>
      <c r="D431" s="3" t="s">
        <v>803</v>
      </c>
      <c r="E431" s="12">
        <v>0</v>
      </c>
      <c r="F431" s="12">
        <v>0</v>
      </c>
      <c r="G431" s="12">
        <v>0</v>
      </c>
      <c r="H431" s="12">
        <v>0</v>
      </c>
      <c r="I431" s="12">
        <v>606856</v>
      </c>
      <c r="J431" s="12">
        <v>0</v>
      </c>
      <c r="K431" s="12">
        <v>0</v>
      </c>
      <c r="L431" s="12">
        <v>606856</v>
      </c>
      <c r="M431" s="24">
        <v>606856</v>
      </c>
      <c r="N431" s="23">
        <v>0</v>
      </c>
      <c r="O431" s="23">
        <v>0</v>
      </c>
      <c r="P431" s="24">
        <v>606856</v>
      </c>
    </row>
    <row r="432" spans="1:16" x14ac:dyDescent="0.3">
      <c r="A432" s="3" t="s">
        <v>804</v>
      </c>
      <c r="B432" s="1">
        <v>2</v>
      </c>
      <c r="C432" s="1">
        <v>1</v>
      </c>
      <c r="D432" s="3" t="s">
        <v>805</v>
      </c>
      <c r="E432" s="12">
        <v>0</v>
      </c>
      <c r="F432" s="12">
        <v>0</v>
      </c>
      <c r="G432" s="12">
        <v>0</v>
      </c>
      <c r="H432" s="12">
        <v>0</v>
      </c>
      <c r="I432" s="12">
        <v>916666</v>
      </c>
      <c r="J432" s="12">
        <v>0</v>
      </c>
      <c r="K432" s="12">
        <v>0</v>
      </c>
      <c r="L432" s="12">
        <v>916666</v>
      </c>
      <c r="M432" s="24">
        <v>916666</v>
      </c>
      <c r="N432" s="23">
        <v>0</v>
      </c>
      <c r="O432" s="23">
        <v>0</v>
      </c>
      <c r="P432" s="24">
        <v>916666</v>
      </c>
    </row>
    <row r="433" spans="1:16" x14ac:dyDescent="0.3">
      <c r="A433" s="3" t="s">
        <v>806</v>
      </c>
      <c r="B433" s="1">
        <v>2</v>
      </c>
      <c r="C433" s="1">
        <v>1</v>
      </c>
      <c r="D433" s="3" t="s">
        <v>807</v>
      </c>
      <c r="E433" s="12">
        <v>0</v>
      </c>
      <c r="F433" s="12">
        <v>0</v>
      </c>
      <c r="G433" s="12">
        <v>0</v>
      </c>
      <c r="H433" s="12">
        <v>0</v>
      </c>
      <c r="I433" s="12">
        <v>35990.67</v>
      </c>
      <c r="J433" s="12">
        <v>10701.27</v>
      </c>
      <c r="K433" s="12">
        <v>0</v>
      </c>
      <c r="L433" s="12">
        <v>25289.4</v>
      </c>
      <c r="M433" s="24">
        <v>35990.67</v>
      </c>
      <c r="N433" s="23">
        <v>10701.27</v>
      </c>
      <c r="O433" s="23">
        <v>0</v>
      </c>
      <c r="P433" s="24">
        <v>25289.4</v>
      </c>
    </row>
    <row r="434" spans="1:16" x14ac:dyDescent="0.3">
      <c r="A434" s="3" t="s">
        <v>808</v>
      </c>
      <c r="B434" s="1">
        <v>2</v>
      </c>
      <c r="C434" s="1">
        <v>0</v>
      </c>
      <c r="D434" s="3" t="s">
        <v>809</v>
      </c>
      <c r="E434" s="12">
        <v>19200000</v>
      </c>
      <c r="F434" s="12">
        <v>3426.93</v>
      </c>
      <c r="G434" s="12">
        <v>2503426.9300000002</v>
      </c>
      <c r="H434" s="12">
        <v>21700000</v>
      </c>
      <c r="I434" s="12">
        <v>59500582.869999997</v>
      </c>
      <c r="J434" s="12">
        <v>9985648.9700000007</v>
      </c>
      <c r="K434" s="12">
        <v>8941543.9100000001</v>
      </c>
      <c r="L434" s="12">
        <v>58456477.810000002</v>
      </c>
      <c r="M434" s="24">
        <v>78700582.870000005</v>
      </c>
      <c r="N434" s="23">
        <v>9989075.9000000004</v>
      </c>
      <c r="O434" s="23">
        <v>11444970.84</v>
      </c>
      <c r="P434" s="24">
        <v>80156477.810000002</v>
      </c>
    </row>
    <row r="435" spans="1:16" x14ac:dyDescent="0.3">
      <c r="A435" s="3" t="s">
        <v>810</v>
      </c>
      <c r="B435" s="1">
        <v>2</v>
      </c>
      <c r="C435" s="1">
        <v>1</v>
      </c>
      <c r="D435" s="3" t="s">
        <v>136</v>
      </c>
      <c r="E435" s="12">
        <v>0</v>
      </c>
      <c r="F435" s="12">
        <v>0</v>
      </c>
      <c r="G435" s="12">
        <v>0</v>
      </c>
      <c r="H435" s="12">
        <v>0</v>
      </c>
      <c r="I435" s="12">
        <v>59500582.869999997</v>
      </c>
      <c r="J435" s="12">
        <v>9985648.9700000007</v>
      </c>
      <c r="K435" s="12">
        <v>8941543.9100000001</v>
      </c>
      <c r="L435" s="12">
        <v>58456477.810000002</v>
      </c>
      <c r="M435" s="24">
        <v>59500582.869999997</v>
      </c>
      <c r="N435" s="23">
        <v>9985648.9700000007</v>
      </c>
      <c r="O435" s="23">
        <v>8941543.9100000001</v>
      </c>
      <c r="P435" s="24">
        <v>58456477.810000002</v>
      </c>
    </row>
    <row r="436" spans="1:16" x14ac:dyDescent="0.3">
      <c r="A436" s="3" t="s">
        <v>811</v>
      </c>
      <c r="B436" s="1">
        <v>2</v>
      </c>
      <c r="C436" s="1">
        <v>1</v>
      </c>
      <c r="D436" s="3" t="s">
        <v>812</v>
      </c>
      <c r="E436" s="12">
        <v>19200000</v>
      </c>
      <c r="F436" s="12">
        <v>0</v>
      </c>
      <c r="G436" s="12">
        <v>2500000</v>
      </c>
      <c r="H436" s="12">
        <v>21700000</v>
      </c>
      <c r="I436" s="12">
        <v>0</v>
      </c>
      <c r="J436" s="12">
        <v>0</v>
      </c>
      <c r="K436" s="12">
        <v>0</v>
      </c>
      <c r="L436" s="12">
        <v>0</v>
      </c>
      <c r="M436" s="24">
        <v>19200000</v>
      </c>
      <c r="N436" s="23">
        <v>0</v>
      </c>
      <c r="O436" s="23">
        <v>2500000</v>
      </c>
      <c r="P436" s="24">
        <v>21700000</v>
      </c>
    </row>
    <row r="437" spans="1:16" x14ac:dyDescent="0.3">
      <c r="A437" s="3" t="s">
        <v>813</v>
      </c>
      <c r="B437" s="1">
        <v>2</v>
      </c>
      <c r="C437" s="1">
        <v>1</v>
      </c>
      <c r="D437" s="3" t="s">
        <v>814</v>
      </c>
      <c r="E437" s="12">
        <v>0</v>
      </c>
      <c r="F437" s="12">
        <v>3426.93</v>
      </c>
      <c r="G437" s="12">
        <v>3426.93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24">
        <v>0</v>
      </c>
      <c r="N437" s="23">
        <v>3426.93</v>
      </c>
      <c r="O437" s="23">
        <v>3426.93</v>
      </c>
      <c r="P437" s="24">
        <v>0</v>
      </c>
    </row>
    <row r="438" spans="1:16" x14ac:dyDescent="0.3">
      <c r="A438" s="3" t="s">
        <v>815</v>
      </c>
      <c r="B438" s="2">
        <v>1</v>
      </c>
      <c r="C438" s="2">
        <v>0</v>
      </c>
      <c r="D438" s="14" t="s">
        <v>816</v>
      </c>
      <c r="E438" s="16">
        <v>689419.57</v>
      </c>
      <c r="F438" s="16">
        <v>1573688.24</v>
      </c>
      <c r="G438" s="16">
        <v>2071923.96</v>
      </c>
      <c r="H438" s="16">
        <v>1187655.29</v>
      </c>
      <c r="I438" s="16">
        <v>5401353.3899999997</v>
      </c>
      <c r="J438" s="16">
        <v>51782</v>
      </c>
      <c r="K438" s="16">
        <v>1161487.07</v>
      </c>
      <c r="L438" s="16">
        <v>6511058.46</v>
      </c>
      <c r="M438" s="25">
        <v>6090772.96</v>
      </c>
      <c r="N438" s="16">
        <v>1625470.24</v>
      </c>
      <c r="O438" s="16">
        <v>3233411.0300000003</v>
      </c>
      <c r="P438" s="25">
        <v>7698713.75</v>
      </c>
    </row>
    <row r="439" spans="1:16" x14ac:dyDescent="0.3">
      <c r="A439" s="3" t="s">
        <v>817</v>
      </c>
      <c r="B439" s="1">
        <v>2</v>
      </c>
      <c r="C439" s="1">
        <v>0</v>
      </c>
      <c r="D439" s="3" t="s">
        <v>816</v>
      </c>
      <c r="E439" s="12">
        <v>689419.57</v>
      </c>
      <c r="F439" s="12">
        <v>1573688.24</v>
      </c>
      <c r="G439" s="12">
        <v>2071923.96</v>
      </c>
      <c r="H439" s="12">
        <v>1187655.29</v>
      </c>
      <c r="I439" s="12">
        <v>5401353.3899999997</v>
      </c>
      <c r="J439" s="12">
        <v>51782</v>
      </c>
      <c r="K439" s="12">
        <v>1161487.07</v>
      </c>
      <c r="L439" s="12">
        <v>6511058.46</v>
      </c>
      <c r="M439" s="24">
        <v>6090772.96</v>
      </c>
      <c r="N439" s="23">
        <v>1625470.24</v>
      </c>
      <c r="O439" s="23">
        <v>3233411.0300000003</v>
      </c>
      <c r="P439" s="24">
        <v>7698713.75</v>
      </c>
    </row>
    <row r="440" spans="1:16" x14ac:dyDescent="0.3">
      <c r="A440" s="3" t="s">
        <v>818</v>
      </c>
      <c r="B440" s="1">
        <v>2</v>
      </c>
      <c r="C440" s="1">
        <v>0</v>
      </c>
      <c r="D440" s="3" t="s">
        <v>819</v>
      </c>
      <c r="E440" s="12">
        <v>689419.57</v>
      </c>
      <c r="F440" s="12">
        <v>1573688.24</v>
      </c>
      <c r="G440" s="12">
        <v>2071923.96</v>
      </c>
      <c r="H440" s="12">
        <v>1187655.29</v>
      </c>
      <c r="I440" s="12">
        <v>5401353.3899999997</v>
      </c>
      <c r="J440" s="12">
        <v>51782</v>
      </c>
      <c r="K440" s="12">
        <v>1161487.07</v>
      </c>
      <c r="L440" s="12">
        <v>6511058.46</v>
      </c>
      <c r="M440" s="24">
        <v>6090772.96</v>
      </c>
      <c r="N440" s="23">
        <v>1625470.24</v>
      </c>
      <c r="O440" s="23">
        <v>3233411.0300000003</v>
      </c>
      <c r="P440" s="24">
        <v>7698713.75</v>
      </c>
    </row>
    <row r="441" spans="1:16" x14ac:dyDescent="0.3">
      <c r="A441" s="3" t="s">
        <v>820</v>
      </c>
      <c r="B441" s="1">
        <v>2</v>
      </c>
      <c r="C441" s="1">
        <v>1</v>
      </c>
      <c r="D441" s="3" t="s">
        <v>821</v>
      </c>
      <c r="E441" s="12">
        <v>689419.57</v>
      </c>
      <c r="F441" s="12">
        <v>1573688.24</v>
      </c>
      <c r="G441" s="12">
        <v>2071923.96</v>
      </c>
      <c r="H441" s="12">
        <v>1187655.29</v>
      </c>
      <c r="I441" s="12">
        <v>5401353.3899999997</v>
      </c>
      <c r="J441" s="12">
        <v>51782</v>
      </c>
      <c r="K441" s="12">
        <v>1161487.07</v>
      </c>
      <c r="L441" s="12">
        <v>6511058.46</v>
      </c>
      <c r="M441" s="24">
        <v>6090772.96</v>
      </c>
      <c r="N441" s="23">
        <v>1625470.24</v>
      </c>
      <c r="O441" s="23">
        <v>3233411.0300000003</v>
      </c>
      <c r="P441" s="24">
        <v>7698713.75</v>
      </c>
    </row>
    <row r="442" spans="1:16" x14ac:dyDescent="0.3">
      <c r="A442" s="3" t="s">
        <v>822</v>
      </c>
      <c r="B442" s="2">
        <v>1</v>
      </c>
      <c r="C442" s="2">
        <v>0</v>
      </c>
      <c r="D442" s="14" t="s">
        <v>823</v>
      </c>
      <c r="E442" s="16">
        <v>4165324</v>
      </c>
      <c r="F442" s="16">
        <v>3566507.6</v>
      </c>
      <c r="G442" s="16">
        <v>3914654.73</v>
      </c>
      <c r="H442" s="16">
        <v>4513471.13</v>
      </c>
      <c r="I442" s="16">
        <v>5019397</v>
      </c>
      <c r="J442" s="16">
        <v>1349156.3</v>
      </c>
      <c r="K442" s="16">
        <v>1264103.3899999999</v>
      </c>
      <c r="L442" s="16">
        <v>4934344.09</v>
      </c>
      <c r="M442" s="25">
        <v>9184721</v>
      </c>
      <c r="N442" s="16">
        <v>4915663.9000000004</v>
      </c>
      <c r="O442" s="16">
        <v>5178758.12</v>
      </c>
      <c r="P442" s="25">
        <v>9447815.2199999988</v>
      </c>
    </row>
    <row r="443" spans="1:16" x14ac:dyDescent="0.3">
      <c r="A443" s="3" t="s">
        <v>824</v>
      </c>
      <c r="B443" s="1">
        <v>2</v>
      </c>
      <c r="C443" s="1">
        <v>0</v>
      </c>
      <c r="D443" s="3" t="s">
        <v>825</v>
      </c>
      <c r="E443" s="12">
        <v>4165324</v>
      </c>
      <c r="F443" s="12">
        <v>3566507.6</v>
      </c>
      <c r="G443" s="12">
        <v>3914654.73</v>
      </c>
      <c r="H443" s="12">
        <v>4513471.13</v>
      </c>
      <c r="I443" s="12">
        <v>5019397</v>
      </c>
      <c r="J443" s="12">
        <v>1349156.3</v>
      </c>
      <c r="K443" s="12">
        <v>1264103.3899999999</v>
      </c>
      <c r="L443" s="12">
        <v>4934344.09</v>
      </c>
      <c r="M443" s="24">
        <v>9184721</v>
      </c>
      <c r="N443" s="23">
        <v>4915663.9000000004</v>
      </c>
      <c r="O443" s="23">
        <v>5178758.12</v>
      </c>
      <c r="P443" s="24">
        <v>9447815.2199999988</v>
      </c>
    </row>
    <row r="444" spans="1:16" x14ac:dyDescent="0.3">
      <c r="A444" s="3" t="s">
        <v>826</v>
      </c>
      <c r="B444" s="1">
        <v>2</v>
      </c>
      <c r="C444" s="1">
        <v>0</v>
      </c>
      <c r="D444" s="3" t="s">
        <v>827</v>
      </c>
      <c r="E444" s="12">
        <v>4039712.9</v>
      </c>
      <c r="F444" s="12">
        <v>3533743.49</v>
      </c>
      <c r="G444" s="12">
        <v>3914654.73</v>
      </c>
      <c r="H444" s="12">
        <v>4420624.1399999997</v>
      </c>
      <c r="I444" s="12">
        <v>4986206.66</v>
      </c>
      <c r="J444" s="12">
        <v>1349156.3</v>
      </c>
      <c r="K444" s="12">
        <v>1264103.3899999999</v>
      </c>
      <c r="L444" s="12">
        <v>4901153.75</v>
      </c>
      <c r="M444" s="24">
        <v>9025919.5600000005</v>
      </c>
      <c r="N444" s="23">
        <v>4882899.79</v>
      </c>
      <c r="O444" s="23">
        <v>5178758.12</v>
      </c>
      <c r="P444" s="24">
        <v>9321777.8900000006</v>
      </c>
    </row>
    <row r="445" spans="1:16" x14ac:dyDescent="0.3">
      <c r="A445" s="3" t="s">
        <v>828</v>
      </c>
      <c r="B445" s="1">
        <v>2</v>
      </c>
      <c r="C445" s="1">
        <v>1</v>
      </c>
      <c r="D445" s="3" t="s">
        <v>829</v>
      </c>
      <c r="E445" s="12">
        <v>0</v>
      </c>
      <c r="F445" s="12">
        <v>0</v>
      </c>
      <c r="G445" s="12">
        <v>0</v>
      </c>
      <c r="H445" s="12">
        <v>0</v>
      </c>
      <c r="I445" s="12">
        <v>797.98</v>
      </c>
      <c r="J445" s="12">
        <v>1196.97</v>
      </c>
      <c r="K445" s="12">
        <v>398.99</v>
      </c>
      <c r="L445" s="12">
        <v>0</v>
      </c>
      <c r="M445" s="24">
        <v>797.98</v>
      </c>
      <c r="N445" s="23">
        <v>1196.97</v>
      </c>
      <c r="O445" s="23">
        <v>398.99</v>
      </c>
      <c r="P445" s="24">
        <v>0</v>
      </c>
    </row>
    <row r="446" spans="1:16" x14ac:dyDescent="0.3">
      <c r="A446" s="3" t="s">
        <v>830</v>
      </c>
      <c r="B446" s="1">
        <v>2</v>
      </c>
      <c r="C446" s="1">
        <v>1</v>
      </c>
      <c r="D446" s="3" t="s">
        <v>831</v>
      </c>
      <c r="E446" s="12">
        <v>0</v>
      </c>
      <c r="F446" s="12">
        <v>0</v>
      </c>
      <c r="G446" s="12">
        <v>0</v>
      </c>
      <c r="H446" s="12">
        <v>0</v>
      </c>
      <c r="I446" s="12">
        <v>86139</v>
      </c>
      <c r="J446" s="12">
        <v>0</v>
      </c>
      <c r="K446" s="12">
        <v>0</v>
      </c>
      <c r="L446" s="12">
        <v>86139</v>
      </c>
      <c r="M446" s="24">
        <v>86139</v>
      </c>
      <c r="N446" s="23">
        <v>0</v>
      </c>
      <c r="O446" s="23">
        <v>0</v>
      </c>
      <c r="P446" s="24">
        <v>86139</v>
      </c>
    </row>
    <row r="447" spans="1:16" x14ac:dyDescent="0.3">
      <c r="A447" s="3" t="s">
        <v>832</v>
      </c>
      <c r="B447" s="1">
        <v>2</v>
      </c>
      <c r="C447" s="1">
        <v>1</v>
      </c>
      <c r="D447" s="3" t="s">
        <v>833</v>
      </c>
      <c r="E447" s="12">
        <v>10556</v>
      </c>
      <c r="F447" s="12">
        <v>10556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24">
        <v>10556</v>
      </c>
      <c r="N447" s="23">
        <v>10556</v>
      </c>
      <c r="O447" s="23">
        <v>0</v>
      </c>
      <c r="P447" s="24">
        <v>0</v>
      </c>
    </row>
    <row r="448" spans="1:16" x14ac:dyDescent="0.3">
      <c r="A448" s="3" t="s">
        <v>834</v>
      </c>
      <c r="B448" s="1">
        <v>2</v>
      </c>
      <c r="C448" s="1">
        <v>1</v>
      </c>
      <c r="D448" s="3" t="s">
        <v>835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6393.57</v>
      </c>
      <c r="K448" s="12">
        <v>6393.57</v>
      </c>
      <c r="L448" s="12">
        <v>0</v>
      </c>
      <c r="M448" s="24">
        <v>0</v>
      </c>
      <c r="N448" s="23">
        <v>6393.57</v>
      </c>
      <c r="O448" s="23">
        <v>6393.57</v>
      </c>
      <c r="P448" s="24">
        <v>0</v>
      </c>
    </row>
    <row r="449" spans="1:16" x14ac:dyDescent="0.3">
      <c r="A449" s="3" t="s">
        <v>836</v>
      </c>
      <c r="B449" s="1">
        <v>2</v>
      </c>
      <c r="C449" s="1">
        <v>1</v>
      </c>
      <c r="D449" s="3" t="s">
        <v>837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20973.33</v>
      </c>
      <c r="K449" s="12">
        <v>20973.33</v>
      </c>
      <c r="L449" s="12">
        <v>0</v>
      </c>
      <c r="M449" s="24">
        <v>0</v>
      </c>
      <c r="N449" s="23">
        <v>20973.33</v>
      </c>
      <c r="O449" s="23">
        <v>20973.33</v>
      </c>
      <c r="P449" s="24">
        <v>0</v>
      </c>
    </row>
    <row r="450" spans="1:16" x14ac:dyDescent="0.3">
      <c r="A450" s="3" t="s">
        <v>838</v>
      </c>
      <c r="B450" s="1">
        <v>2</v>
      </c>
      <c r="C450" s="1">
        <v>1</v>
      </c>
      <c r="D450" s="3" t="s">
        <v>839</v>
      </c>
      <c r="E450" s="12">
        <v>0</v>
      </c>
      <c r="F450" s="12">
        <v>0</v>
      </c>
      <c r="G450" s="12">
        <v>0</v>
      </c>
      <c r="H450" s="12">
        <v>0</v>
      </c>
      <c r="I450" s="12">
        <v>0</v>
      </c>
      <c r="J450" s="12">
        <v>18318.72</v>
      </c>
      <c r="K450" s="12">
        <v>18318.72</v>
      </c>
      <c r="L450" s="12">
        <v>0</v>
      </c>
      <c r="M450" s="24">
        <v>0</v>
      </c>
      <c r="N450" s="23">
        <v>18318.72</v>
      </c>
      <c r="O450" s="23">
        <v>18318.72</v>
      </c>
      <c r="P450" s="24">
        <v>0</v>
      </c>
    </row>
    <row r="451" spans="1:16" x14ac:dyDescent="0.3">
      <c r="A451" s="3" t="s">
        <v>840</v>
      </c>
      <c r="B451" s="1">
        <v>2</v>
      </c>
      <c r="C451" s="1">
        <v>1</v>
      </c>
      <c r="D451" s="3" t="s">
        <v>841</v>
      </c>
      <c r="E451" s="12">
        <v>0</v>
      </c>
      <c r="F451" s="12">
        <v>0</v>
      </c>
      <c r="G451" s="12">
        <v>0</v>
      </c>
      <c r="H451" s="12">
        <v>0</v>
      </c>
      <c r="I451" s="12">
        <v>3566.29</v>
      </c>
      <c r="J451" s="12">
        <v>0</v>
      </c>
      <c r="K451" s="12">
        <v>0</v>
      </c>
      <c r="L451" s="12">
        <v>3566.29</v>
      </c>
      <c r="M451" s="24">
        <v>3566.29</v>
      </c>
      <c r="N451" s="23">
        <v>0</v>
      </c>
      <c r="O451" s="23">
        <v>0</v>
      </c>
      <c r="P451" s="24">
        <v>3566.29</v>
      </c>
    </row>
    <row r="452" spans="1:16" x14ac:dyDescent="0.3">
      <c r="A452" s="3" t="s">
        <v>842</v>
      </c>
      <c r="B452" s="1">
        <v>2</v>
      </c>
      <c r="C452" s="1">
        <v>1</v>
      </c>
      <c r="D452" s="3" t="s">
        <v>843</v>
      </c>
      <c r="E452" s="12">
        <v>0</v>
      </c>
      <c r="F452" s="12">
        <v>0</v>
      </c>
      <c r="G452" s="12">
        <v>4900</v>
      </c>
      <c r="H452" s="12">
        <v>4900</v>
      </c>
      <c r="I452" s="12">
        <v>30586.35</v>
      </c>
      <c r="J452" s="12">
        <v>36834.449999999997</v>
      </c>
      <c r="K452" s="12">
        <v>43320.25</v>
      </c>
      <c r="L452" s="12">
        <v>37072.15</v>
      </c>
      <c r="M452" s="24">
        <v>30586.35</v>
      </c>
      <c r="N452" s="23">
        <v>36834.449999999997</v>
      </c>
      <c r="O452" s="23">
        <v>48220.25</v>
      </c>
      <c r="P452" s="24">
        <v>41972.15</v>
      </c>
    </row>
    <row r="453" spans="1:16" x14ac:dyDescent="0.3">
      <c r="A453" s="3" t="s">
        <v>844</v>
      </c>
      <c r="B453" s="1">
        <v>2</v>
      </c>
      <c r="C453" s="1">
        <v>1</v>
      </c>
      <c r="D453" s="3" t="s">
        <v>845</v>
      </c>
      <c r="E453" s="12">
        <v>24856.48</v>
      </c>
      <c r="F453" s="12">
        <v>12428.24</v>
      </c>
      <c r="G453" s="12">
        <v>14988.5</v>
      </c>
      <c r="H453" s="12">
        <v>27416.74</v>
      </c>
      <c r="I453" s="12">
        <v>1740</v>
      </c>
      <c r="J453" s="12">
        <v>1740</v>
      </c>
      <c r="K453" s="12">
        <v>5800.01</v>
      </c>
      <c r="L453" s="12">
        <v>5800.01</v>
      </c>
      <c r="M453" s="24">
        <v>26596.48</v>
      </c>
      <c r="N453" s="23">
        <v>14168.24</v>
      </c>
      <c r="O453" s="23">
        <v>20788.510000000002</v>
      </c>
      <c r="P453" s="24">
        <v>33216.75</v>
      </c>
    </row>
    <row r="454" spans="1:16" x14ac:dyDescent="0.3">
      <c r="A454" s="3" t="s">
        <v>846</v>
      </c>
      <c r="B454" s="1">
        <v>2</v>
      </c>
      <c r="C454" s="1">
        <v>1</v>
      </c>
      <c r="D454" s="3" t="s">
        <v>847</v>
      </c>
      <c r="E454" s="12">
        <v>0</v>
      </c>
      <c r="F454" s="12">
        <v>11347.92</v>
      </c>
      <c r="G454" s="12">
        <v>11347.92</v>
      </c>
      <c r="H454" s="12">
        <v>0</v>
      </c>
      <c r="I454" s="12">
        <v>28336.7</v>
      </c>
      <c r="J454" s="12">
        <v>149627.03</v>
      </c>
      <c r="K454" s="12">
        <v>142469.26999999999</v>
      </c>
      <c r="L454" s="12">
        <v>21178.94</v>
      </c>
      <c r="M454" s="24">
        <v>28336.7</v>
      </c>
      <c r="N454" s="23">
        <v>160974.95000000001</v>
      </c>
      <c r="O454" s="23">
        <v>153817.19</v>
      </c>
      <c r="P454" s="24">
        <v>21178.94</v>
      </c>
    </row>
    <row r="455" spans="1:16" x14ac:dyDescent="0.3">
      <c r="A455" s="3" t="s">
        <v>848</v>
      </c>
      <c r="B455" s="1">
        <v>2</v>
      </c>
      <c r="C455" s="1">
        <v>1</v>
      </c>
      <c r="D455" s="3" t="s">
        <v>849</v>
      </c>
      <c r="E455" s="12">
        <v>0</v>
      </c>
      <c r="F455" s="12">
        <v>0</v>
      </c>
      <c r="G455" s="12">
        <v>0</v>
      </c>
      <c r="H455" s="12">
        <v>0</v>
      </c>
      <c r="I455" s="12">
        <v>94717.77</v>
      </c>
      <c r="J455" s="12">
        <v>33721.39</v>
      </c>
      <c r="K455" s="12">
        <v>30657.47</v>
      </c>
      <c r="L455" s="12">
        <v>91653.85</v>
      </c>
      <c r="M455" s="24">
        <v>94717.77</v>
      </c>
      <c r="N455" s="23">
        <v>33721.39</v>
      </c>
      <c r="O455" s="23">
        <v>30657.47</v>
      </c>
      <c r="P455" s="24">
        <v>91653.85</v>
      </c>
    </row>
    <row r="456" spans="1:16" x14ac:dyDescent="0.3">
      <c r="A456" s="3" t="s">
        <v>850</v>
      </c>
      <c r="B456" s="1">
        <v>2</v>
      </c>
      <c r="C456" s="1">
        <v>1</v>
      </c>
      <c r="D456" s="3" t="s">
        <v>851</v>
      </c>
      <c r="E456" s="12">
        <v>0</v>
      </c>
      <c r="F456" s="12">
        <v>0</v>
      </c>
      <c r="G456" s="12">
        <v>0</v>
      </c>
      <c r="H456" s="12">
        <v>0</v>
      </c>
      <c r="I456" s="12">
        <v>6620.88</v>
      </c>
      <c r="J456" s="12">
        <v>11584.19</v>
      </c>
      <c r="K456" s="12">
        <v>7473.62</v>
      </c>
      <c r="L456" s="12">
        <v>2510.31</v>
      </c>
      <c r="M456" s="24">
        <v>6620.88</v>
      </c>
      <c r="N456" s="23">
        <v>11584.19</v>
      </c>
      <c r="O456" s="23">
        <v>7473.62</v>
      </c>
      <c r="P456" s="24">
        <v>2510.31</v>
      </c>
    </row>
    <row r="457" spans="1:16" x14ac:dyDescent="0.3">
      <c r="A457" s="3" t="s">
        <v>852</v>
      </c>
      <c r="B457" s="1">
        <v>2</v>
      </c>
      <c r="C457" s="1">
        <v>1</v>
      </c>
      <c r="D457" s="3" t="s">
        <v>853</v>
      </c>
      <c r="E457" s="12">
        <v>0</v>
      </c>
      <c r="F457" s="12">
        <v>0</v>
      </c>
      <c r="G457" s="12">
        <v>0</v>
      </c>
      <c r="H457" s="12">
        <v>0</v>
      </c>
      <c r="I457" s="12">
        <v>3316.93</v>
      </c>
      <c r="J457" s="12">
        <v>0</v>
      </c>
      <c r="K457" s="12">
        <v>3954.79</v>
      </c>
      <c r="L457" s="12">
        <v>7271.72</v>
      </c>
      <c r="M457" s="24">
        <v>3316.93</v>
      </c>
      <c r="N457" s="23">
        <v>0</v>
      </c>
      <c r="O457" s="23">
        <v>3954.79</v>
      </c>
      <c r="P457" s="24">
        <v>7271.72</v>
      </c>
    </row>
    <row r="458" spans="1:16" x14ac:dyDescent="0.3">
      <c r="A458" s="3" t="s">
        <v>854</v>
      </c>
      <c r="B458" s="1">
        <v>2</v>
      </c>
      <c r="C458" s="1">
        <v>1</v>
      </c>
      <c r="D458" s="3" t="s">
        <v>855</v>
      </c>
      <c r="E458" s="12">
        <v>0</v>
      </c>
      <c r="F458" s="12">
        <v>0</v>
      </c>
      <c r="G458" s="12">
        <v>0</v>
      </c>
      <c r="H458" s="12">
        <v>0</v>
      </c>
      <c r="I458" s="12">
        <v>0.49</v>
      </c>
      <c r="J458" s="12">
        <v>2818.98</v>
      </c>
      <c r="K458" s="12">
        <v>2818.49</v>
      </c>
      <c r="L458" s="12">
        <v>0</v>
      </c>
      <c r="M458" s="24">
        <v>0.49</v>
      </c>
      <c r="N458" s="23">
        <v>2818.98</v>
      </c>
      <c r="O458" s="23">
        <v>2818.49</v>
      </c>
      <c r="P458" s="24">
        <v>0</v>
      </c>
    </row>
    <row r="459" spans="1:16" x14ac:dyDescent="0.3">
      <c r="A459" s="3" t="s">
        <v>856</v>
      </c>
      <c r="B459" s="1">
        <v>2</v>
      </c>
      <c r="C459" s="1">
        <v>1</v>
      </c>
      <c r="D459" s="3" t="s">
        <v>857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82905.179999999993</v>
      </c>
      <c r="L459" s="12">
        <v>82905.179999999993</v>
      </c>
      <c r="M459" s="24">
        <v>0</v>
      </c>
      <c r="N459" s="23">
        <v>0</v>
      </c>
      <c r="O459" s="23">
        <v>82905.179999999993</v>
      </c>
      <c r="P459" s="24">
        <v>82905.179999999993</v>
      </c>
    </row>
    <row r="460" spans="1:16" x14ac:dyDescent="0.3">
      <c r="A460" s="3" t="s">
        <v>858</v>
      </c>
      <c r="B460" s="1">
        <v>2</v>
      </c>
      <c r="C460" s="1">
        <v>1</v>
      </c>
      <c r="D460" s="3" t="s">
        <v>859</v>
      </c>
      <c r="E460" s="12">
        <v>0</v>
      </c>
      <c r="F460" s="12">
        <v>0</v>
      </c>
      <c r="G460" s="12">
        <v>0</v>
      </c>
      <c r="H460" s="12">
        <v>0</v>
      </c>
      <c r="I460" s="12">
        <v>4985.88</v>
      </c>
      <c r="J460" s="12">
        <v>21583.34</v>
      </c>
      <c r="K460" s="12">
        <v>23027.52</v>
      </c>
      <c r="L460" s="12">
        <v>6430.06</v>
      </c>
      <c r="M460" s="24">
        <v>4985.88</v>
      </c>
      <c r="N460" s="23">
        <v>21583.34</v>
      </c>
      <c r="O460" s="23">
        <v>23027.52</v>
      </c>
      <c r="P460" s="24">
        <v>6430.06</v>
      </c>
    </row>
    <row r="461" spans="1:16" x14ac:dyDescent="0.3">
      <c r="A461" s="3" t="s">
        <v>860</v>
      </c>
      <c r="B461" s="1">
        <v>2</v>
      </c>
      <c r="C461" s="1">
        <v>1</v>
      </c>
      <c r="D461" s="3" t="s">
        <v>861</v>
      </c>
      <c r="E461" s="12">
        <v>0</v>
      </c>
      <c r="F461" s="12">
        <v>0</v>
      </c>
      <c r="G461" s="12">
        <v>0</v>
      </c>
      <c r="H461" s="12">
        <v>0</v>
      </c>
      <c r="I461" s="12">
        <v>42030.51</v>
      </c>
      <c r="J461" s="12">
        <v>0</v>
      </c>
      <c r="K461" s="12">
        <v>0</v>
      </c>
      <c r="L461" s="12">
        <v>42030.51</v>
      </c>
      <c r="M461" s="24">
        <v>42030.51</v>
      </c>
      <c r="N461" s="23">
        <v>0</v>
      </c>
      <c r="O461" s="23">
        <v>0</v>
      </c>
      <c r="P461" s="24">
        <v>42030.51</v>
      </c>
    </row>
    <row r="462" spans="1:16" x14ac:dyDescent="0.3">
      <c r="A462" s="3" t="s">
        <v>862</v>
      </c>
      <c r="B462" s="1">
        <v>2</v>
      </c>
      <c r="C462" s="1">
        <v>1</v>
      </c>
      <c r="D462" s="3" t="s">
        <v>863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91009.44</v>
      </c>
      <c r="K462" s="12">
        <v>112681.44</v>
      </c>
      <c r="L462" s="12">
        <v>21672</v>
      </c>
      <c r="M462" s="24">
        <v>0</v>
      </c>
      <c r="N462" s="23">
        <v>91009.44</v>
      </c>
      <c r="O462" s="23">
        <v>112681.44</v>
      </c>
      <c r="P462" s="24">
        <v>21672</v>
      </c>
    </row>
    <row r="463" spans="1:16" x14ac:dyDescent="0.3">
      <c r="A463" s="3" t="s">
        <v>864</v>
      </c>
      <c r="B463" s="1">
        <v>2</v>
      </c>
      <c r="C463" s="1">
        <v>1</v>
      </c>
      <c r="D463" s="3" t="s">
        <v>865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2">
        <v>1875.72</v>
      </c>
      <c r="L463" s="12">
        <v>1875.72</v>
      </c>
      <c r="M463" s="24">
        <v>0</v>
      </c>
      <c r="N463" s="23">
        <v>0</v>
      </c>
      <c r="O463" s="23">
        <v>1875.72</v>
      </c>
      <c r="P463" s="24">
        <v>1875.72</v>
      </c>
    </row>
    <row r="464" spans="1:16" x14ac:dyDescent="0.3">
      <c r="A464" s="3" t="s">
        <v>866</v>
      </c>
      <c r="B464" s="1">
        <v>2</v>
      </c>
      <c r="C464" s="1">
        <v>1</v>
      </c>
      <c r="D464" s="3" t="s">
        <v>867</v>
      </c>
      <c r="E464" s="12">
        <v>0</v>
      </c>
      <c r="F464" s="12">
        <v>0</v>
      </c>
      <c r="G464" s="12">
        <v>24650</v>
      </c>
      <c r="H464" s="12">
        <v>24650</v>
      </c>
      <c r="I464" s="12">
        <v>31320</v>
      </c>
      <c r="J464" s="12">
        <v>0</v>
      </c>
      <c r="K464" s="12">
        <v>0</v>
      </c>
      <c r="L464" s="12">
        <v>31320</v>
      </c>
      <c r="M464" s="24">
        <v>31320</v>
      </c>
      <c r="N464" s="23">
        <v>0</v>
      </c>
      <c r="O464" s="23">
        <v>24650</v>
      </c>
      <c r="P464" s="24">
        <v>55970</v>
      </c>
    </row>
    <row r="465" spans="1:16" x14ac:dyDescent="0.3">
      <c r="A465" s="3" t="s">
        <v>868</v>
      </c>
      <c r="B465" s="1">
        <v>2</v>
      </c>
      <c r="C465" s="1">
        <v>1</v>
      </c>
      <c r="D465" s="3" t="s">
        <v>869</v>
      </c>
      <c r="E465" s="12">
        <v>0</v>
      </c>
      <c r="F465" s="12">
        <v>0</v>
      </c>
      <c r="G465" s="12">
        <v>0</v>
      </c>
      <c r="H465" s="12">
        <v>0</v>
      </c>
      <c r="I465" s="12">
        <v>900</v>
      </c>
      <c r="J465" s="12">
        <v>0</v>
      </c>
      <c r="K465" s="12">
        <v>0</v>
      </c>
      <c r="L465" s="12">
        <v>900</v>
      </c>
      <c r="M465" s="24">
        <v>900</v>
      </c>
      <c r="N465" s="23">
        <v>0</v>
      </c>
      <c r="O465" s="23">
        <v>0</v>
      </c>
      <c r="P465" s="24">
        <v>900</v>
      </c>
    </row>
    <row r="466" spans="1:16" x14ac:dyDescent="0.3">
      <c r="A466" s="3" t="s">
        <v>870</v>
      </c>
      <c r="B466" s="1">
        <v>2</v>
      </c>
      <c r="C466" s="1">
        <v>1</v>
      </c>
      <c r="D466" s="3" t="s">
        <v>871</v>
      </c>
      <c r="E466" s="12">
        <v>0</v>
      </c>
      <c r="F466" s="12">
        <v>0</v>
      </c>
      <c r="G466" s="12">
        <v>0</v>
      </c>
      <c r="H466" s="12">
        <v>0</v>
      </c>
      <c r="I466" s="12">
        <v>162400</v>
      </c>
      <c r="J466" s="12">
        <v>242400</v>
      </c>
      <c r="K466" s="12">
        <v>116000</v>
      </c>
      <c r="L466" s="12">
        <v>36000</v>
      </c>
      <c r="M466" s="24">
        <v>162400</v>
      </c>
      <c r="N466" s="23">
        <v>242400</v>
      </c>
      <c r="O466" s="23">
        <v>116000</v>
      </c>
      <c r="P466" s="24">
        <v>36000</v>
      </c>
    </row>
    <row r="467" spans="1:16" x14ac:dyDescent="0.3">
      <c r="A467" s="3" t="s">
        <v>872</v>
      </c>
      <c r="B467" s="1">
        <v>2</v>
      </c>
      <c r="C467" s="1">
        <v>1</v>
      </c>
      <c r="D467" s="3" t="s">
        <v>873</v>
      </c>
      <c r="E467" s="12">
        <v>0</v>
      </c>
      <c r="F467" s="12">
        <v>0</v>
      </c>
      <c r="G467" s="12">
        <v>0</v>
      </c>
      <c r="H467" s="12">
        <v>0</v>
      </c>
      <c r="I467" s="12">
        <v>61262.71</v>
      </c>
      <c r="J467" s="12">
        <v>61263</v>
      </c>
      <c r="K467" s="12">
        <v>130733.48</v>
      </c>
      <c r="L467" s="12">
        <v>130733.19</v>
      </c>
      <c r="M467" s="24">
        <v>61262.71</v>
      </c>
      <c r="N467" s="23">
        <v>61263</v>
      </c>
      <c r="O467" s="23">
        <v>130733.48</v>
      </c>
      <c r="P467" s="24">
        <v>130733.19</v>
      </c>
    </row>
    <row r="468" spans="1:16" x14ac:dyDescent="0.3">
      <c r="A468" s="3" t="s">
        <v>874</v>
      </c>
      <c r="B468" s="1">
        <v>2</v>
      </c>
      <c r="C468" s="1">
        <v>1</v>
      </c>
      <c r="D468" s="3" t="s">
        <v>875</v>
      </c>
      <c r="E468" s="12">
        <v>0</v>
      </c>
      <c r="F468" s="12">
        <v>0</v>
      </c>
      <c r="G468" s="12">
        <v>0</v>
      </c>
      <c r="H468" s="12">
        <v>0</v>
      </c>
      <c r="I468" s="12">
        <v>207314.48</v>
      </c>
      <c r="J468" s="12">
        <v>18419.84</v>
      </c>
      <c r="K468" s="12">
        <v>0</v>
      </c>
      <c r="L468" s="12">
        <v>188894.64</v>
      </c>
      <c r="M468" s="24">
        <v>207314.48</v>
      </c>
      <c r="N468" s="23">
        <v>18419.84</v>
      </c>
      <c r="O468" s="23">
        <v>0</v>
      </c>
      <c r="P468" s="24">
        <v>188894.64</v>
      </c>
    </row>
    <row r="469" spans="1:16" x14ac:dyDescent="0.3">
      <c r="A469" s="3" t="s">
        <v>876</v>
      </c>
      <c r="B469" s="1">
        <v>2</v>
      </c>
      <c r="C469" s="1">
        <v>1</v>
      </c>
      <c r="D469" s="3" t="s">
        <v>877</v>
      </c>
      <c r="E469" s="12">
        <v>0</v>
      </c>
      <c r="F469" s="12">
        <v>0</v>
      </c>
      <c r="G469" s="12">
        <v>0</v>
      </c>
      <c r="H469" s="12">
        <v>0</v>
      </c>
      <c r="I469" s="12">
        <v>97503.59</v>
      </c>
      <c r="J469" s="12">
        <v>97347.61</v>
      </c>
      <c r="K469" s="12">
        <v>75456.479999999996</v>
      </c>
      <c r="L469" s="12">
        <v>75612.460000000006</v>
      </c>
      <c r="M469" s="24">
        <v>97503.59</v>
      </c>
      <c r="N469" s="23">
        <v>97347.61</v>
      </c>
      <c r="O469" s="23">
        <v>75456.479999999996</v>
      </c>
      <c r="P469" s="24">
        <v>75612.460000000006</v>
      </c>
    </row>
    <row r="470" spans="1:16" x14ac:dyDescent="0.3">
      <c r="A470" s="3" t="s">
        <v>878</v>
      </c>
      <c r="B470" s="1">
        <v>2</v>
      </c>
      <c r="C470" s="1">
        <v>1</v>
      </c>
      <c r="D470" s="3" t="s">
        <v>519</v>
      </c>
      <c r="E470" s="12">
        <v>0</v>
      </c>
      <c r="F470" s="12">
        <v>575570.23</v>
      </c>
      <c r="G470" s="12">
        <v>575570.23</v>
      </c>
      <c r="H470" s="12">
        <v>0</v>
      </c>
      <c r="I470" s="12">
        <v>2205729.88</v>
      </c>
      <c r="J470" s="12">
        <v>0</v>
      </c>
      <c r="K470" s="12">
        <v>0</v>
      </c>
      <c r="L470" s="12">
        <v>2205729.88</v>
      </c>
      <c r="M470" s="24">
        <v>2205729.88</v>
      </c>
      <c r="N470" s="23">
        <v>575570.23</v>
      </c>
      <c r="O470" s="23">
        <v>575570.23</v>
      </c>
      <c r="P470" s="24">
        <v>2205729.88</v>
      </c>
    </row>
    <row r="471" spans="1:16" x14ac:dyDescent="0.3">
      <c r="A471" s="3" t="s">
        <v>879</v>
      </c>
      <c r="B471" s="1">
        <v>2</v>
      </c>
      <c r="C471" s="1">
        <v>1</v>
      </c>
      <c r="D471" s="3" t="s">
        <v>880</v>
      </c>
      <c r="E471" s="12">
        <v>0</v>
      </c>
      <c r="F471" s="12">
        <v>0</v>
      </c>
      <c r="G471" s="12">
        <v>0</v>
      </c>
      <c r="H471" s="12">
        <v>0</v>
      </c>
      <c r="I471" s="12">
        <v>14037.65</v>
      </c>
      <c r="J471" s="12">
        <v>17285.650000000001</v>
      </c>
      <c r="K471" s="12">
        <v>11918.79</v>
      </c>
      <c r="L471" s="12">
        <v>8670.7900000000009</v>
      </c>
      <c r="M471" s="24">
        <v>14037.65</v>
      </c>
      <c r="N471" s="23">
        <v>17285.650000000001</v>
      </c>
      <c r="O471" s="23">
        <v>11918.79</v>
      </c>
      <c r="P471" s="24">
        <v>8670.7900000000009</v>
      </c>
    </row>
    <row r="472" spans="1:16" x14ac:dyDescent="0.3">
      <c r="A472" s="3" t="s">
        <v>881</v>
      </c>
      <c r="B472" s="1">
        <v>2</v>
      </c>
      <c r="C472" s="1">
        <v>1</v>
      </c>
      <c r="D472" s="3" t="s">
        <v>882</v>
      </c>
      <c r="E472" s="12">
        <v>0</v>
      </c>
      <c r="F472" s="12">
        <v>0</v>
      </c>
      <c r="G472" s="12">
        <v>0</v>
      </c>
      <c r="H472" s="12">
        <v>0</v>
      </c>
      <c r="I472" s="12">
        <v>37875.4</v>
      </c>
      <c r="J472" s="12">
        <v>0</v>
      </c>
      <c r="K472" s="12">
        <v>0</v>
      </c>
      <c r="L472" s="12">
        <v>37875.4</v>
      </c>
      <c r="M472" s="24">
        <v>37875.4</v>
      </c>
      <c r="N472" s="23">
        <v>0</v>
      </c>
      <c r="O472" s="23">
        <v>0</v>
      </c>
      <c r="P472" s="24">
        <v>37875.4</v>
      </c>
    </row>
    <row r="473" spans="1:16" x14ac:dyDescent="0.3">
      <c r="A473" s="3" t="s">
        <v>883</v>
      </c>
      <c r="B473" s="1">
        <v>2</v>
      </c>
      <c r="C473" s="1">
        <v>1</v>
      </c>
      <c r="D473" s="3" t="s">
        <v>884</v>
      </c>
      <c r="E473" s="12">
        <v>1415012.17</v>
      </c>
      <c r="F473" s="12">
        <v>569568.89</v>
      </c>
      <c r="G473" s="12">
        <v>825852.72</v>
      </c>
      <c r="H473" s="12">
        <v>1671296</v>
      </c>
      <c r="I473" s="12">
        <v>144371.92000000001</v>
      </c>
      <c r="J473" s="12">
        <v>0</v>
      </c>
      <c r="K473" s="12">
        <v>0</v>
      </c>
      <c r="L473" s="12">
        <v>144371.92000000001</v>
      </c>
      <c r="M473" s="24">
        <v>1559384.0899999999</v>
      </c>
      <c r="N473" s="23">
        <v>569568.89</v>
      </c>
      <c r="O473" s="23">
        <v>825852.72</v>
      </c>
      <c r="P473" s="24">
        <v>1815667.92</v>
      </c>
    </row>
    <row r="474" spans="1:16" x14ac:dyDescent="0.3">
      <c r="A474" s="3" t="s">
        <v>885</v>
      </c>
      <c r="B474" s="1">
        <v>2</v>
      </c>
      <c r="C474" s="1">
        <v>1</v>
      </c>
      <c r="D474" s="3" t="s">
        <v>886</v>
      </c>
      <c r="E474" s="12">
        <v>0</v>
      </c>
      <c r="F474" s="12">
        <v>0</v>
      </c>
      <c r="G474" s="12">
        <v>0</v>
      </c>
      <c r="H474" s="12">
        <v>0</v>
      </c>
      <c r="I474" s="12">
        <v>282650.13</v>
      </c>
      <c r="J474" s="12">
        <v>70662.53</v>
      </c>
      <c r="K474" s="12">
        <v>0</v>
      </c>
      <c r="L474" s="12">
        <v>211987.6</v>
      </c>
      <c r="M474" s="24">
        <v>282650.13</v>
      </c>
      <c r="N474" s="23">
        <v>70662.53</v>
      </c>
      <c r="O474" s="23">
        <v>0</v>
      </c>
      <c r="P474" s="24">
        <v>211987.6</v>
      </c>
    </row>
    <row r="475" spans="1:16" x14ac:dyDescent="0.3">
      <c r="A475" s="3" t="s">
        <v>887</v>
      </c>
      <c r="B475" s="1">
        <v>2</v>
      </c>
      <c r="C475" s="1">
        <v>1</v>
      </c>
      <c r="D475" s="3" t="s">
        <v>888</v>
      </c>
      <c r="E475" s="12">
        <v>0</v>
      </c>
      <c r="F475" s="12">
        <v>0</v>
      </c>
      <c r="G475" s="12">
        <v>0</v>
      </c>
      <c r="H475" s="12">
        <v>0</v>
      </c>
      <c r="I475" s="12">
        <v>743264.72</v>
      </c>
      <c r="J475" s="12">
        <v>83690.179999999993</v>
      </c>
      <c r="K475" s="12">
        <v>0</v>
      </c>
      <c r="L475" s="12">
        <v>659574.54</v>
      </c>
      <c r="M475" s="24">
        <v>743264.72</v>
      </c>
      <c r="N475" s="23">
        <v>83690.179999999993</v>
      </c>
      <c r="O475" s="23">
        <v>0</v>
      </c>
      <c r="P475" s="24">
        <v>659574.54</v>
      </c>
    </row>
    <row r="476" spans="1:16" x14ac:dyDescent="0.3">
      <c r="A476" s="3" t="s">
        <v>889</v>
      </c>
      <c r="B476" s="1">
        <v>2</v>
      </c>
      <c r="C476" s="1">
        <v>1</v>
      </c>
      <c r="D476" s="3" t="s">
        <v>890</v>
      </c>
      <c r="E476" s="12">
        <v>157336.6</v>
      </c>
      <c r="F476" s="12">
        <v>101192.6</v>
      </c>
      <c r="G476" s="12">
        <v>143985</v>
      </c>
      <c r="H476" s="12">
        <v>200129</v>
      </c>
      <c r="I476" s="12">
        <v>50518</v>
      </c>
      <c r="J476" s="12">
        <v>50518</v>
      </c>
      <c r="K476" s="12">
        <v>0</v>
      </c>
      <c r="L476" s="12">
        <v>0</v>
      </c>
      <c r="M476" s="24">
        <v>207854.6</v>
      </c>
      <c r="N476" s="23">
        <v>151710.6</v>
      </c>
      <c r="O476" s="23">
        <v>143985</v>
      </c>
      <c r="P476" s="24">
        <v>200129</v>
      </c>
    </row>
    <row r="477" spans="1:16" x14ac:dyDescent="0.3">
      <c r="A477" s="3" t="s">
        <v>891</v>
      </c>
      <c r="B477" s="1">
        <v>2</v>
      </c>
      <c r="C477" s="1">
        <v>1</v>
      </c>
      <c r="D477" s="3" t="s">
        <v>892</v>
      </c>
      <c r="E477" s="12">
        <v>356411</v>
      </c>
      <c r="F477" s="12">
        <v>0</v>
      </c>
      <c r="G477" s="12">
        <v>0</v>
      </c>
      <c r="H477" s="12">
        <v>356411</v>
      </c>
      <c r="I477" s="12">
        <v>0</v>
      </c>
      <c r="J477" s="12">
        <v>0</v>
      </c>
      <c r="K477" s="12">
        <v>0</v>
      </c>
      <c r="L477" s="12">
        <v>0</v>
      </c>
      <c r="M477" s="24">
        <v>356411</v>
      </c>
      <c r="N477" s="23">
        <v>0</v>
      </c>
      <c r="O477" s="23">
        <v>0</v>
      </c>
      <c r="P477" s="24">
        <v>356411</v>
      </c>
    </row>
    <row r="478" spans="1:16" x14ac:dyDescent="0.3">
      <c r="A478" s="3" t="s">
        <v>893</v>
      </c>
      <c r="B478" s="1">
        <v>2</v>
      </c>
      <c r="C478" s="1">
        <v>1</v>
      </c>
      <c r="D478" s="3" t="s">
        <v>894</v>
      </c>
      <c r="E478" s="12">
        <v>418140</v>
      </c>
      <c r="F478" s="12">
        <v>0</v>
      </c>
      <c r="G478" s="12">
        <v>42380</v>
      </c>
      <c r="H478" s="12">
        <v>460520</v>
      </c>
      <c r="I478" s="12">
        <v>0</v>
      </c>
      <c r="J478" s="12">
        <v>0</v>
      </c>
      <c r="K478" s="12">
        <v>0</v>
      </c>
      <c r="L478" s="12">
        <v>0</v>
      </c>
      <c r="M478" s="24">
        <v>418140</v>
      </c>
      <c r="N478" s="23">
        <v>0</v>
      </c>
      <c r="O478" s="23">
        <v>42380</v>
      </c>
      <c r="P478" s="24">
        <v>460520</v>
      </c>
    </row>
    <row r="479" spans="1:16" x14ac:dyDescent="0.3">
      <c r="A479" s="3" t="s">
        <v>895</v>
      </c>
      <c r="B479" s="1">
        <v>2</v>
      </c>
      <c r="C479" s="1">
        <v>1</v>
      </c>
      <c r="D479" s="3" t="s">
        <v>896</v>
      </c>
      <c r="E479" s="12">
        <v>0</v>
      </c>
      <c r="F479" s="12">
        <v>4002</v>
      </c>
      <c r="G479" s="12">
        <v>4002</v>
      </c>
      <c r="H479" s="12">
        <v>0</v>
      </c>
      <c r="I479" s="12">
        <v>0</v>
      </c>
      <c r="J479" s="12">
        <v>0</v>
      </c>
      <c r="K479" s="12">
        <v>0</v>
      </c>
      <c r="L479" s="12">
        <v>0</v>
      </c>
      <c r="M479" s="24">
        <v>0</v>
      </c>
      <c r="N479" s="23">
        <v>4002</v>
      </c>
      <c r="O479" s="23">
        <v>4002</v>
      </c>
      <c r="P479" s="24">
        <v>0</v>
      </c>
    </row>
    <row r="480" spans="1:16" x14ac:dyDescent="0.3">
      <c r="A480" s="3" t="s">
        <v>897</v>
      </c>
      <c r="B480" s="1">
        <v>2</v>
      </c>
      <c r="C480" s="1">
        <v>1</v>
      </c>
      <c r="D480" s="3" t="s">
        <v>325</v>
      </c>
      <c r="E480" s="12">
        <v>0</v>
      </c>
      <c r="F480" s="12">
        <v>755</v>
      </c>
      <c r="G480" s="12">
        <v>755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24">
        <v>0</v>
      </c>
      <c r="N480" s="23">
        <v>755</v>
      </c>
      <c r="O480" s="23">
        <v>755</v>
      </c>
      <c r="P480" s="24">
        <v>0</v>
      </c>
    </row>
    <row r="481" spans="1:16" x14ac:dyDescent="0.3">
      <c r="A481" s="3" t="s">
        <v>898</v>
      </c>
      <c r="B481" s="1">
        <v>2</v>
      </c>
      <c r="C481" s="1">
        <v>1</v>
      </c>
      <c r="D481" s="3" t="s">
        <v>899</v>
      </c>
      <c r="E481" s="12">
        <v>1177.4000000000001</v>
      </c>
      <c r="F481" s="12">
        <v>0</v>
      </c>
      <c r="G481" s="12">
        <v>0</v>
      </c>
      <c r="H481" s="12">
        <v>1177.4000000000001</v>
      </c>
      <c r="I481" s="12">
        <v>0</v>
      </c>
      <c r="J481" s="12">
        <v>0</v>
      </c>
      <c r="K481" s="12">
        <v>0</v>
      </c>
      <c r="L481" s="12">
        <v>0</v>
      </c>
      <c r="M481" s="24">
        <v>1177.4000000000001</v>
      </c>
      <c r="N481" s="23">
        <v>0</v>
      </c>
      <c r="O481" s="23">
        <v>0</v>
      </c>
      <c r="P481" s="24">
        <v>1177.4000000000001</v>
      </c>
    </row>
    <row r="482" spans="1:16" x14ac:dyDescent="0.3">
      <c r="A482" s="3" t="s">
        <v>900</v>
      </c>
      <c r="B482" s="1">
        <v>2</v>
      </c>
      <c r="C482" s="1">
        <v>1</v>
      </c>
      <c r="D482" s="3" t="s">
        <v>901</v>
      </c>
      <c r="E482" s="12">
        <v>17651.82</v>
      </c>
      <c r="F482" s="12">
        <v>0</v>
      </c>
      <c r="G482" s="12">
        <v>0</v>
      </c>
      <c r="H482" s="12">
        <v>17651.82</v>
      </c>
      <c r="I482" s="12">
        <v>0</v>
      </c>
      <c r="J482" s="12">
        <v>0</v>
      </c>
      <c r="K482" s="12">
        <v>0</v>
      </c>
      <c r="L482" s="12">
        <v>0</v>
      </c>
      <c r="M482" s="24">
        <v>17651.82</v>
      </c>
      <c r="N482" s="23">
        <v>0</v>
      </c>
      <c r="O482" s="23">
        <v>0</v>
      </c>
      <c r="P482" s="24">
        <v>17651.82</v>
      </c>
    </row>
    <row r="483" spans="1:16" x14ac:dyDescent="0.3">
      <c r="A483" s="3" t="s">
        <v>902</v>
      </c>
      <c r="B483" s="1">
        <v>2</v>
      </c>
      <c r="C483" s="1">
        <v>1</v>
      </c>
      <c r="D483" s="3" t="s">
        <v>903</v>
      </c>
      <c r="E483" s="12">
        <v>0</v>
      </c>
      <c r="F483" s="12">
        <v>4080.42</v>
      </c>
      <c r="G483" s="12">
        <v>4080.42</v>
      </c>
      <c r="H483" s="12">
        <v>0</v>
      </c>
      <c r="I483" s="12">
        <v>19273.98</v>
      </c>
      <c r="J483" s="12">
        <v>0</v>
      </c>
      <c r="K483" s="12">
        <v>0</v>
      </c>
      <c r="L483" s="12">
        <v>19273.98</v>
      </c>
      <c r="M483" s="24">
        <v>19273.98</v>
      </c>
      <c r="N483" s="23">
        <v>4080.42</v>
      </c>
      <c r="O483" s="23">
        <v>4080.42</v>
      </c>
      <c r="P483" s="24">
        <v>19273.98</v>
      </c>
    </row>
    <row r="484" spans="1:16" x14ac:dyDescent="0.3">
      <c r="A484" s="3" t="s">
        <v>904</v>
      </c>
      <c r="B484" s="1">
        <v>2</v>
      </c>
      <c r="C484" s="1">
        <v>1</v>
      </c>
      <c r="D484" s="3" t="s">
        <v>905</v>
      </c>
      <c r="E484" s="12">
        <v>0</v>
      </c>
      <c r="F484" s="12">
        <v>80</v>
      </c>
      <c r="G484" s="12">
        <v>80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24">
        <v>0</v>
      </c>
      <c r="N484" s="23">
        <v>80</v>
      </c>
      <c r="O484" s="23">
        <v>80</v>
      </c>
      <c r="P484" s="24">
        <v>0</v>
      </c>
    </row>
    <row r="485" spans="1:16" x14ac:dyDescent="0.3">
      <c r="A485" s="3" t="s">
        <v>906</v>
      </c>
      <c r="B485" s="1">
        <v>2</v>
      </c>
      <c r="C485" s="1">
        <v>1</v>
      </c>
      <c r="D485" s="3" t="s">
        <v>907</v>
      </c>
      <c r="E485" s="12">
        <v>552002.64</v>
      </c>
      <c r="F485" s="12">
        <v>0</v>
      </c>
      <c r="G485" s="12">
        <v>0</v>
      </c>
      <c r="H485" s="12">
        <v>552002.64</v>
      </c>
      <c r="I485" s="12">
        <v>0</v>
      </c>
      <c r="J485" s="12">
        <v>0</v>
      </c>
      <c r="K485" s="12">
        <v>0</v>
      </c>
      <c r="L485" s="12">
        <v>0</v>
      </c>
      <c r="M485" s="24">
        <v>552002.64</v>
      </c>
      <c r="N485" s="23">
        <v>0</v>
      </c>
      <c r="O485" s="23">
        <v>0</v>
      </c>
      <c r="P485" s="24">
        <v>552002.64</v>
      </c>
    </row>
    <row r="486" spans="1:16" x14ac:dyDescent="0.3">
      <c r="A486" s="3" t="s">
        <v>908</v>
      </c>
      <c r="B486" s="1">
        <v>2</v>
      </c>
      <c r="C486" s="1">
        <v>1</v>
      </c>
      <c r="D486" s="3" t="s">
        <v>909</v>
      </c>
      <c r="E486" s="12">
        <v>211093.26</v>
      </c>
      <c r="F486" s="12">
        <v>0</v>
      </c>
      <c r="G486" s="12">
        <v>0</v>
      </c>
      <c r="H486" s="12">
        <v>211093.26</v>
      </c>
      <c r="I486" s="12">
        <v>0</v>
      </c>
      <c r="J486" s="12">
        <v>0</v>
      </c>
      <c r="K486" s="12">
        <v>0</v>
      </c>
      <c r="L486" s="12">
        <v>0</v>
      </c>
      <c r="M486" s="24">
        <v>211093.26</v>
      </c>
      <c r="N486" s="23">
        <v>0</v>
      </c>
      <c r="O486" s="23">
        <v>0</v>
      </c>
      <c r="P486" s="24">
        <v>211093.26</v>
      </c>
    </row>
    <row r="487" spans="1:16" x14ac:dyDescent="0.3">
      <c r="A487" s="3" t="s">
        <v>910</v>
      </c>
      <c r="B487" s="1">
        <v>2</v>
      </c>
      <c r="C487" s="1">
        <v>1</v>
      </c>
      <c r="D487" s="3" t="s">
        <v>911</v>
      </c>
      <c r="E487" s="12">
        <v>400</v>
      </c>
      <c r="F487" s="12">
        <v>0</v>
      </c>
      <c r="G487" s="12">
        <v>0</v>
      </c>
      <c r="H487" s="12">
        <v>400</v>
      </c>
      <c r="I487" s="12">
        <v>0</v>
      </c>
      <c r="J487" s="12">
        <v>0</v>
      </c>
      <c r="K487" s="12">
        <v>0</v>
      </c>
      <c r="L487" s="12">
        <v>0</v>
      </c>
      <c r="M487" s="24">
        <v>400</v>
      </c>
      <c r="N487" s="23">
        <v>0</v>
      </c>
      <c r="O487" s="23">
        <v>0</v>
      </c>
      <c r="P487" s="24">
        <v>400</v>
      </c>
    </row>
    <row r="488" spans="1:16" x14ac:dyDescent="0.3">
      <c r="A488" s="3" t="s">
        <v>912</v>
      </c>
      <c r="B488" s="1">
        <v>2</v>
      </c>
      <c r="C488" s="1">
        <v>1</v>
      </c>
      <c r="D488" s="3" t="s">
        <v>913</v>
      </c>
      <c r="E488" s="12">
        <v>11343.37</v>
      </c>
      <c r="F488" s="12">
        <v>31620.61</v>
      </c>
      <c r="G488" s="12">
        <v>32728.68</v>
      </c>
      <c r="H488" s="12">
        <v>12451.44</v>
      </c>
      <c r="I488" s="12">
        <v>0</v>
      </c>
      <c r="J488" s="12">
        <v>0</v>
      </c>
      <c r="K488" s="12">
        <v>0</v>
      </c>
      <c r="L488" s="12">
        <v>0</v>
      </c>
      <c r="M488" s="24">
        <v>11343.37</v>
      </c>
      <c r="N488" s="23">
        <v>31620.61</v>
      </c>
      <c r="O488" s="23">
        <v>32728.68</v>
      </c>
      <c r="P488" s="24">
        <v>12451.44</v>
      </c>
    </row>
    <row r="489" spans="1:16" x14ac:dyDescent="0.3">
      <c r="A489" s="3" t="s">
        <v>914</v>
      </c>
      <c r="B489" s="1">
        <v>2</v>
      </c>
      <c r="C489" s="1">
        <v>1</v>
      </c>
      <c r="D489" s="3" t="s">
        <v>915</v>
      </c>
      <c r="E489" s="12">
        <v>0</v>
      </c>
      <c r="F489" s="12">
        <v>20416</v>
      </c>
      <c r="G489" s="12">
        <v>20416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24">
        <v>0</v>
      </c>
      <c r="N489" s="23">
        <v>20416</v>
      </c>
      <c r="O489" s="23">
        <v>20416</v>
      </c>
      <c r="P489" s="24">
        <v>0</v>
      </c>
    </row>
    <row r="490" spans="1:16" x14ac:dyDescent="0.3">
      <c r="A490" s="3" t="s">
        <v>916</v>
      </c>
      <c r="B490" s="1">
        <v>2</v>
      </c>
      <c r="C490" s="1">
        <v>1</v>
      </c>
      <c r="D490" s="3" t="s">
        <v>917</v>
      </c>
      <c r="E490" s="12">
        <v>23432</v>
      </c>
      <c r="F490" s="12">
        <v>37004</v>
      </c>
      <c r="G490" s="12">
        <v>13572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24">
        <v>23432</v>
      </c>
      <c r="N490" s="23">
        <v>37004</v>
      </c>
      <c r="O490" s="23">
        <v>13572</v>
      </c>
      <c r="P490" s="24">
        <v>0</v>
      </c>
    </row>
    <row r="491" spans="1:16" x14ac:dyDescent="0.3">
      <c r="A491" s="3" t="s">
        <v>918</v>
      </c>
      <c r="B491" s="1">
        <v>2</v>
      </c>
      <c r="C491" s="1">
        <v>1</v>
      </c>
      <c r="D491" s="3" t="s">
        <v>919</v>
      </c>
      <c r="E491" s="12">
        <v>82019.199999999997</v>
      </c>
      <c r="F491" s="12">
        <v>682792.62</v>
      </c>
      <c r="G491" s="12">
        <v>600773.42000000004</v>
      </c>
      <c r="H491" s="12">
        <v>0</v>
      </c>
      <c r="I491" s="12">
        <v>0</v>
      </c>
      <c r="J491" s="12">
        <v>0</v>
      </c>
      <c r="K491" s="12">
        <v>0</v>
      </c>
      <c r="L491" s="12">
        <v>0</v>
      </c>
      <c r="M491" s="24">
        <v>82019.199999999997</v>
      </c>
      <c r="N491" s="23">
        <v>682792.62</v>
      </c>
      <c r="O491" s="23">
        <v>600773.42000000004</v>
      </c>
      <c r="P491" s="24">
        <v>0</v>
      </c>
    </row>
    <row r="492" spans="1:16" x14ac:dyDescent="0.3">
      <c r="A492" s="3" t="s">
        <v>920</v>
      </c>
      <c r="B492" s="1">
        <v>2</v>
      </c>
      <c r="C492" s="1">
        <v>1</v>
      </c>
      <c r="D492" s="3" t="s">
        <v>921</v>
      </c>
      <c r="E492" s="12">
        <v>0</v>
      </c>
      <c r="F492" s="12">
        <v>31016</v>
      </c>
      <c r="G492" s="12">
        <v>72906</v>
      </c>
      <c r="H492" s="12">
        <v>41890</v>
      </c>
      <c r="I492" s="12">
        <v>0</v>
      </c>
      <c r="J492" s="12">
        <v>0</v>
      </c>
      <c r="K492" s="12">
        <v>0</v>
      </c>
      <c r="L492" s="12">
        <v>0</v>
      </c>
      <c r="M492" s="24">
        <v>0</v>
      </c>
      <c r="N492" s="23">
        <v>31016</v>
      </c>
      <c r="O492" s="23">
        <v>72906</v>
      </c>
      <c r="P492" s="24">
        <v>41890</v>
      </c>
    </row>
    <row r="493" spans="1:16" x14ac:dyDescent="0.3">
      <c r="A493" s="3" t="s">
        <v>922</v>
      </c>
      <c r="B493" s="1">
        <v>2</v>
      </c>
      <c r="C493" s="1">
        <v>1</v>
      </c>
      <c r="D493" s="3" t="s">
        <v>923</v>
      </c>
      <c r="E493" s="12">
        <v>138380.26</v>
      </c>
      <c r="F493" s="12">
        <v>0</v>
      </c>
      <c r="G493" s="12">
        <v>0</v>
      </c>
      <c r="H493" s="12">
        <v>138380.26</v>
      </c>
      <c r="I493" s="12">
        <v>0</v>
      </c>
      <c r="J493" s="12">
        <v>0</v>
      </c>
      <c r="K493" s="12">
        <v>0</v>
      </c>
      <c r="L493" s="12">
        <v>0</v>
      </c>
      <c r="M493" s="24">
        <v>138380.26</v>
      </c>
      <c r="N493" s="23">
        <v>0</v>
      </c>
      <c r="O493" s="23">
        <v>0</v>
      </c>
      <c r="P493" s="24">
        <v>138380.26</v>
      </c>
    </row>
    <row r="494" spans="1:16" x14ac:dyDescent="0.3">
      <c r="A494" s="3" t="s">
        <v>924</v>
      </c>
      <c r="B494" s="1">
        <v>2</v>
      </c>
      <c r="C494" s="1">
        <v>1</v>
      </c>
      <c r="D494" s="3" t="s">
        <v>925</v>
      </c>
      <c r="E494" s="12">
        <v>114061.82</v>
      </c>
      <c r="F494" s="12">
        <v>114061.82</v>
      </c>
      <c r="G494" s="12">
        <v>0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24">
        <v>114061.82</v>
      </c>
      <c r="N494" s="23">
        <v>114061.82</v>
      </c>
      <c r="O494" s="23">
        <v>0</v>
      </c>
      <c r="P494" s="24">
        <v>0</v>
      </c>
    </row>
    <row r="495" spans="1:16" x14ac:dyDescent="0.3">
      <c r="A495" s="3" t="s">
        <v>926</v>
      </c>
      <c r="B495" s="1">
        <v>2</v>
      </c>
      <c r="C495" s="1">
        <v>1</v>
      </c>
      <c r="D495" s="3" t="s">
        <v>927</v>
      </c>
      <c r="E495" s="12">
        <v>27500.5</v>
      </c>
      <c r="F495" s="12">
        <v>55001</v>
      </c>
      <c r="G495" s="12">
        <v>27500.5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24">
        <v>27500.5</v>
      </c>
      <c r="N495" s="23">
        <v>55001</v>
      </c>
      <c r="O495" s="23">
        <v>27500.5</v>
      </c>
      <c r="P495" s="24">
        <v>0</v>
      </c>
    </row>
    <row r="496" spans="1:16" x14ac:dyDescent="0.3">
      <c r="A496" s="3" t="s">
        <v>928</v>
      </c>
      <c r="B496" s="1">
        <v>2</v>
      </c>
      <c r="C496" s="1">
        <v>1</v>
      </c>
      <c r="D496" s="3" t="s">
        <v>929</v>
      </c>
      <c r="E496" s="12">
        <v>0</v>
      </c>
      <c r="F496" s="12">
        <v>35285.620000000003</v>
      </c>
      <c r="G496" s="12">
        <v>35285.620000000003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24">
        <v>0</v>
      </c>
      <c r="N496" s="23">
        <v>35285.620000000003</v>
      </c>
      <c r="O496" s="23">
        <v>35285.620000000003</v>
      </c>
      <c r="P496" s="24">
        <v>0</v>
      </c>
    </row>
    <row r="497" spans="1:16" x14ac:dyDescent="0.3">
      <c r="A497" s="3" t="s">
        <v>930</v>
      </c>
      <c r="B497" s="1">
        <v>2</v>
      </c>
      <c r="C497" s="1">
        <v>1</v>
      </c>
      <c r="D497" s="3" t="s">
        <v>352</v>
      </c>
      <c r="E497" s="12">
        <v>42516.21</v>
      </c>
      <c r="F497" s="12">
        <v>25770.45</v>
      </c>
      <c r="G497" s="12">
        <v>24880.62</v>
      </c>
      <c r="H497" s="12">
        <v>41626.379999999997</v>
      </c>
      <c r="I497" s="12">
        <v>0</v>
      </c>
      <c r="J497" s="12">
        <v>0</v>
      </c>
      <c r="K497" s="12">
        <v>0</v>
      </c>
      <c r="L497" s="12">
        <v>0</v>
      </c>
      <c r="M497" s="24">
        <v>42516.21</v>
      </c>
      <c r="N497" s="23">
        <v>25770.45</v>
      </c>
      <c r="O497" s="23">
        <v>24880.62</v>
      </c>
      <c r="P497" s="24">
        <v>41626.379999999997</v>
      </c>
    </row>
    <row r="498" spans="1:16" x14ac:dyDescent="0.3">
      <c r="A498" s="3" t="s">
        <v>931</v>
      </c>
      <c r="B498" s="1">
        <v>2</v>
      </c>
      <c r="C498" s="1">
        <v>1</v>
      </c>
      <c r="D498" s="3" t="s">
        <v>932</v>
      </c>
      <c r="E498" s="12">
        <v>43790</v>
      </c>
      <c r="F498" s="12">
        <v>43790</v>
      </c>
      <c r="G498" s="12">
        <v>26332</v>
      </c>
      <c r="H498" s="12">
        <v>26332</v>
      </c>
      <c r="I498" s="12">
        <v>0</v>
      </c>
      <c r="J498" s="12">
        <v>0</v>
      </c>
      <c r="K498" s="12">
        <v>0</v>
      </c>
      <c r="L498" s="12">
        <v>0</v>
      </c>
      <c r="M498" s="24">
        <v>43790</v>
      </c>
      <c r="N498" s="23">
        <v>43790</v>
      </c>
      <c r="O498" s="23">
        <v>26332</v>
      </c>
      <c r="P498" s="24">
        <v>26332</v>
      </c>
    </row>
    <row r="499" spans="1:16" x14ac:dyDescent="0.3">
      <c r="A499" s="3" t="s">
        <v>933</v>
      </c>
      <c r="B499" s="1">
        <v>2</v>
      </c>
      <c r="C499" s="1">
        <v>1</v>
      </c>
      <c r="D499" s="3" t="s">
        <v>934</v>
      </c>
      <c r="E499" s="12">
        <v>50925.54</v>
      </c>
      <c r="F499" s="12">
        <v>21676.9</v>
      </c>
      <c r="G499" s="12">
        <v>21676.91</v>
      </c>
      <c r="H499" s="12">
        <v>50925.55</v>
      </c>
      <c r="I499" s="12">
        <v>0</v>
      </c>
      <c r="J499" s="12">
        <v>0</v>
      </c>
      <c r="K499" s="12">
        <v>0</v>
      </c>
      <c r="L499" s="12">
        <v>0</v>
      </c>
      <c r="M499" s="24">
        <v>50925.54</v>
      </c>
      <c r="N499" s="23">
        <v>21676.9</v>
      </c>
      <c r="O499" s="23">
        <v>21676.91</v>
      </c>
      <c r="P499" s="24">
        <v>50925.55</v>
      </c>
    </row>
    <row r="500" spans="1:16" x14ac:dyDescent="0.3">
      <c r="A500" s="3" t="s">
        <v>935</v>
      </c>
      <c r="B500" s="1">
        <v>2</v>
      </c>
      <c r="C500" s="1">
        <v>1</v>
      </c>
      <c r="D500" s="3" t="s">
        <v>936</v>
      </c>
      <c r="E500" s="12">
        <v>0</v>
      </c>
      <c r="F500" s="12">
        <v>23200</v>
      </c>
      <c r="G500" s="12">
        <v>23200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24">
        <v>0</v>
      </c>
      <c r="N500" s="23">
        <v>23200</v>
      </c>
      <c r="O500" s="23">
        <v>23200</v>
      </c>
      <c r="P500" s="24">
        <v>0</v>
      </c>
    </row>
    <row r="501" spans="1:16" x14ac:dyDescent="0.3">
      <c r="A501" s="3" t="s">
        <v>937</v>
      </c>
      <c r="B501" s="1">
        <v>2</v>
      </c>
      <c r="C501" s="1">
        <v>1</v>
      </c>
      <c r="D501" s="3" t="s">
        <v>938</v>
      </c>
      <c r="E501" s="12">
        <v>0</v>
      </c>
      <c r="F501" s="12">
        <v>0</v>
      </c>
      <c r="G501" s="12">
        <v>107839.05</v>
      </c>
      <c r="H501" s="12">
        <v>107839.05</v>
      </c>
      <c r="I501" s="12">
        <v>0</v>
      </c>
      <c r="J501" s="12">
        <v>0</v>
      </c>
      <c r="K501" s="12">
        <v>0</v>
      </c>
      <c r="L501" s="12">
        <v>0</v>
      </c>
      <c r="M501" s="24">
        <v>0</v>
      </c>
      <c r="N501" s="23">
        <v>0</v>
      </c>
      <c r="O501" s="23">
        <v>107839.05</v>
      </c>
      <c r="P501" s="24">
        <v>107839.05</v>
      </c>
    </row>
    <row r="502" spans="1:16" x14ac:dyDescent="0.3">
      <c r="A502" s="3" t="s">
        <v>939</v>
      </c>
      <c r="B502" s="1">
        <v>2</v>
      </c>
      <c r="C502" s="1">
        <v>1</v>
      </c>
      <c r="D502" s="3" t="s">
        <v>940</v>
      </c>
      <c r="E502" s="12">
        <v>904.8</v>
      </c>
      <c r="F502" s="12">
        <v>0</v>
      </c>
      <c r="G502" s="12">
        <v>0</v>
      </c>
      <c r="H502" s="12">
        <v>904.8</v>
      </c>
      <c r="I502" s="12">
        <v>0</v>
      </c>
      <c r="J502" s="12">
        <v>0</v>
      </c>
      <c r="K502" s="12">
        <v>0</v>
      </c>
      <c r="L502" s="12">
        <v>0</v>
      </c>
      <c r="M502" s="24">
        <v>904.8</v>
      </c>
      <c r="N502" s="23">
        <v>0</v>
      </c>
      <c r="O502" s="23">
        <v>0</v>
      </c>
      <c r="P502" s="24">
        <v>904.8</v>
      </c>
    </row>
    <row r="503" spans="1:16" x14ac:dyDescent="0.3">
      <c r="A503" s="3" t="s">
        <v>941</v>
      </c>
      <c r="B503" s="1">
        <v>2</v>
      </c>
      <c r="C503" s="1">
        <v>1</v>
      </c>
      <c r="D503" s="3" t="s">
        <v>942</v>
      </c>
      <c r="E503" s="12">
        <v>937.86</v>
      </c>
      <c r="F503" s="12">
        <v>2813.58</v>
      </c>
      <c r="G503" s="12">
        <v>1875.72</v>
      </c>
      <c r="H503" s="12">
        <v>0</v>
      </c>
      <c r="I503" s="12">
        <v>0</v>
      </c>
      <c r="J503" s="12">
        <v>0</v>
      </c>
      <c r="K503" s="12">
        <v>0</v>
      </c>
      <c r="L503" s="12">
        <v>0</v>
      </c>
      <c r="M503" s="24">
        <v>937.86</v>
      </c>
      <c r="N503" s="23">
        <v>2813.58</v>
      </c>
      <c r="O503" s="23">
        <v>1875.72</v>
      </c>
      <c r="P503" s="24">
        <v>0</v>
      </c>
    </row>
    <row r="504" spans="1:16" x14ac:dyDescent="0.3">
      <c r="A504" s="3" t="s">
        <v>943</v>
      </c>
      <c r="B504" s="1">
        <v>2</v>
      </c>
      <c r="C504" s="1">
        <v>1</v>
      </c>
      <c r="D504" s="3" t="s">
        <v>944</v>
      </c>
      <c r="E504" s="12">
        <v>49590</v>
      </c>
      <c r="F504" s="12">
        <v>49590</v>
      </c>
      <c r="G504" s="12">
        <v>133980</v>
      </c>
      <c r="H504" s="12">
        <v>133980</v>
      </c>
      <c r="I504" s="12">
        <v>0</v>
      </c>
      <c r="J504" s="12">
        <v>0</v>
      </c>
      <c r="K504" s="12">
        <v>0</v>
      </c>
      <c r="L504" s="12">
        <v>0</v>
      </c>
      <c r="M504" s="24">
        <v>49590</v>
      </c>
      <c r="N504" s="23">
        <v>49590</v>
      </c>
      <c r="O504" s="23">
        <v>133980</v>
      </c>
      <c r="P504" s="24">
        <v>133980</v>
      </c>
    </row>
    <row r="505" spans="1:16" x14ac:dyDescent="0.3">
      <c r="A505" s="3" t="s">
        <v>945</v>
      </c>
      <c r="B505" s="1">
        <v>2</v>
      </c>
      <c r="C505" s="1">
        <v>1</v>
      </c>
      <c r="D505" s="3" t="s">
        <v>946</v>
      </c>
      <c r="E505" s="12">
        <v>0</v>
      </c>
      <c r="F505" s="12">
        <v>11389.17</v>
      </c>
      <c r="G505" s="12">
        <v>11389.17</v>
      </c>
      <c r="H505" s="12">
        <v>0</v>
      </c>
      <c r="I505" s="12">
        <v>0</v>
      </c>
      <c r="J505" s="12">
        <v>0</v>
      </c>
      <c r="K505" s="12">
        <v>0</v>
      </c>
      <c r="L505" s="12">
        <v>0</v>
      </c>
      <c r="M505" s="24">
        <v>0</v>
      </c>
      <c r="N505" s="23">
        <v>11389.17</v>
      </c>
      <c r="O505" s="23">
        <v>11389.17</v>
      </c>
      <c r="P505" s="24">
        <v>0</v>
      </c>
    </row>
    <row r="506" spans="1:16" x14ac:dyDescent="0.3">
      <c r="A506" s="3" t="s">
        <v>947</v>
      </c>
      <c r="B506" s="1">
        <v>2</v>
      </c>
      <c r="C506" s="1">
        <v>1</v>
      </c>
      <c r="D506" s="3" t="s">
        <v>948</v>
      </c>
      <c r="E506" s="12">
        <v>0</v>
      </c>
      <c r="F506" s="12">
        <v>22562</v>
      </c>
      <c r="G506" s="12">
        <v>22562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24">
        <v>0</v>
      </c>
      <c r="N506" s="23">
        <v>22562</v>
      </c>
      <c r="O506" s="23">
        <v>22562</v>
      </c>
      <c r="P506" s="24">
        <v>0</v>
      </c>
    </row>
    <row r="507" spans="1:16" x14ac:dyDescent="0.3">
      <c r="A507" s="3" t="s">
        <v>949</v>
      </c>
      <c r="B507" s="1">
        <v>2</v>
      </c>
      <c r="C507" s="1">
        <v>1</v>
      </c>
      <c r="D507" s="3" t="s">
        <v>950</v>
      </c>
      <c r="E507" s="12">
        <v>0</v>
      </c>
      <c r="F507" s="12">
        <v>0</v>
      </c>
      <c r="G507" s="12">
        <v>31547.360000000001</v>
      </c>
      <c r="H507" s="12">
        <v>31547.360000000001</v>
      </c>
      <c r="I507" s="12">
        <v>0</v>
      </c>
      <c r="J507" s="12">
        <v>0</v>
      </c>
      <c r="K507" s="12">
        <v>0</v>
      </c>
      <c r="L507" s="12">
        <v>0</v>
      </c>
      <c r="M507" s="24">
        <v>0</v>
      </c>
      <c r="N507" s="23">
        <v>0</v>
      </c>
      <c r="O507" s="23">
        <v>31547.360000000001</v>
      </c>
      <c r="P507" s="24">
        <v>31547.360000000001</v>
      </c>
    </row>
    <row r="508" spans="1:16" x14ac:dyDescent="0.3">
      <c r="A508" s="3" t="s">
        <v>951</v>
      </c>
      <c r="B508" s="1">
        <v>2</v>
      </c>
      <c r="C508" s="1">
        <v>1</v>
      </c>
      <c r="D508" s="3" t="s">
        <v>952</v>
      </c>
      <c r="E508" s="12">
        <v>0</v>
      </c>
      <c r="F508" s="12">
        <v>214.6</v>
      </c>
      <c r="G508" s="12">
        <v>214.6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24">
        <v>0</v>
      </c>
      <c r="N508" s="23">
        <v>214.6</v>
      </c>
      <c r="O508" s="23">
        <v>214.6</v>
      </c>
      <c r="P508" s="24">
        <v>0</v>
      </c>
    </row>
    <row r="509" spans="1:16" x14ac:dyDescent="0.3">
      <c r="A509" s="3" t="s">
        <v>953</v>
      </c>
      <c r="B509" s="1">
        <v>2</v>
      </c>
      <c r="C509" s="1">
        <v>1</v>
      </c>
      <c r="D509" s="3" t="s">
        <v>954</v>
      </c>
      <c r="E509" s="12">
        <v>0</v>
      </c>
      <c r="F509" s="12">
        <v>189990.02</v>
      </c>
      <c r="G509" s="12">
        <v>189990.02</v>
      </c>
      <c r="H509" s="12">
        <v>0</v>
      </c>
      <c r="I509" s="12">
        <v>0</v>
      </c>
      <c r="J509" s="12">
        <v>0</v>
      </c>
      <c r="K509" s="12">
        <v>0</v>
      </c>
      <c r="L509" s="12">
        <v>0</v>
      </c>
      <c r="M509" s="24">
        <v>0</v>
      </c>
      <c r="N509" s="23">
        <v>189990.02</v>
      </c>
      <c r="O509" s="23">
        <v>189990.02</v>
      </c>
      <c r="P509" s="24">
        <v>0</v>
      </c>
    </row>
    <row r="510" spans="1:16" x14ac:dyDescent="0.3">
      <c r="A510" s="3" t="s">
        <v>955</v>
      </c>
      <c r="B510" s="1">
        <v>2</v>
      </c>
      <c r="C510" s="1">
        <v>1</v>
      </c>
      <c r="D510" s="3" t="s">
        <v>956</v>
      </c>
      <c r="E510" s="12">
        <v>0</v>
      </c>
      <c r="F510" s="12">
        <v>18299.93</v>
      </c>
      <c r="G510" s="12">
        <v>18299.93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24">
        <v>0</v>
      </c>
      <c r="N510" s="23">
        <v>18299.93</v>
      </c>
      <c r="O510" s="23">
        <v>18299.93</v>
      </c>
      <c r="P510" s="24">
        <v>0</v>
      </c>
    </row>
    <row r="511" spans="1:16" x14ac:dyDescent="0.3">
      <c r="A511" s="3" t="s">
        <v>957</v>
      </c>
      <c r="B511" s="1">
        <v>2</v>
      </c>
      <c r="C511" s="1">
        <v>1</v>
      </c>
      <c r="D511" s="3" t="s">
        <v>958</v>
      </c>
      <c r="E511" s="12">
        <v>0</v>
      </c>
      <c r="F511" s="12">
        <v>25178.15</v>
      </c>
      <c r="G511" s="12">
        <v>25178.15</v>
      </c>
      <c r="H511" s="12">
        <v>0</v>
      </c>
      <c r="I511" s="12">
        <v>0</v>
      </c>
      <c r="J511" s="12">
        <v>0</v>
      </c>
      <c r="K511" s="12">
        <v>0</v>
      </c>
      <c r="L511" s="12">
        <v>0</v>
      </c>
      <c r="M511" s="24">
        <v>0</v>
      </c>
      <c r="N511" s="23">
        <v>25178.15</v>
      </c>
      <c r="O511" s="23">
        <v>25178.15</v>
      </c>
      <c r="P511" s="24">
        <v>0</v>
      </c>
    </row>
    <row r="512" spans="1:16" x14ac:dyDescent="0.3">
      <c r="A512" s="3" t="s">
        <v>959</v>
      </c>
      <c r="B512" s="1">
        <v>2</v>
      </c>
      <c r="C512" s="1">
        <v>1</v>
      </c>
      <c r="D512" s="3" t="s">
        <v>960</v>
      </c>
      <c r="E512" s="12">
        <v>0</v>
      </c>
      <c r="F512" s="12">
        <v>5305.96</v>
      </c>
      <c r="G512" s="12">
        <v>5305.96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24">
        <v>0</v>
      </c>
      <c r="N512" s="23">
        <v>5305.96</v>
      </c>
      <c r="O512" s="23">
        <v>5305.96</v>
      </c>
      <c r="P512" s="24">
        <v>0</v>
      </c>
    </row>
    <row r="513" spans="1:16" x14ac:dyDescent="0.3">
      <c r="A513" s="3" t="s">
        <v>961</v>
      </c>
      <c r="B513" s="1">
        <v>2</v>
      </c>
      <c r="C513" s="1">
        <v>1</v>
      </c>
      <c r="D513" s="3" t="s">
        <v>962</v>
      </c>
      <c r="E513" s="12">
        <v>102792.24</v>
      </c>
      <c r="F513" s="12">
        <v>50977.36</v>
      </c>
      <c r="G513" s="12">
        <v>52479.56</v>
      </c>
      <c r="H513" s="12">
        <v>104294.44</v>
      </c>
      <c r="I513" s="12">
        <v>0</v>
      </c>
      <c r="J513" s="12">
        <v>0</v>
      </c>
      <c r="K513" s="12">
        <v>0</v>
      </c>
      <c r="L513" s="12">
        <v>0</v>
      </c>
      <c r="M513" s="24">
        <v>102792.24</v>
      </c>
      <c r="N513" s="23">
        <v>50977.36</v>
      </c>
      <c r="O513" s="23">
        <v>52479.56</v>
      </c>
      <c r="P513" s="24">
        <v>104294.44</v>
      </c>
    </row>
    <row r="514" spans="1:16" x14ac:dyDescent="0.3">
      <c r="A514" s="3" t="s">
        <v>963</v>
      </c>
      <c r="B514" s="1">
        <v>2</v>
      </c>
      <c r="C514" s="1">
        <v>1</v>
      </c>
      <c r="D514" s="3" t="s">
        <v>964</v>
      </c>
      <c r="E514" s="12">
        <v>0</v>
      </c>
      <c r="F514" s="12">
        <v>0</v>
      </c>
      <c r="G514" s="12">
        <v>0</v>
      </c>
      <c r="H514" s="12">
        <v>0</v>
      </c>
      <c r="I514" s="12">
        <v>52200</v>
      </c>
      <c r="J514" s="12">
        <v>0</v>
      </c>
      <c r="K514" s="12">
        <v>0</v>
      </c>
      <c r="L514" s="12">
        <v>52200</v>
      </c>
      <c r="M514" s="24">
        <v>52200</v>
      </c>
      <c r="N514" s="23">
        <v>0</v>
      </c>
      <c r="O514" s="23">
        <v>0</v>
      </c>
      <c r="P514" s="24">
        <v>52200</v>
      </c>
    </row>
    <row r="515" spans="1:16" x14ac:dyDescent="0.3">
      <c r="A515" s="3" t="s">
        <v>965</v>
      </c>
      <c r="B515" s="1">
        <v>2</v>
      </c>
      <c r="C515" s="1">
        <v>1</v>
      </c>
      <c r="D515" s="3" t="s">
        <v>966</v>
      </c>
      <c r="E515" s="12">
        <v>0</v>
      </c>
      <c r="F515" s="12">
        <v>29000</v>
      </c>
      <c r="G515" s="12">
        <v>58000</v>
      </c>
      <c r="H515" s="12">
        <v>29000</v>
      </c>
      <c r="I515" s="12">
        <v>0</v>
      </c>
      <c r="J515" s="12">
        <v>0</v>
      </c>
      <c r="K515" s="12">
        <v>0</v>
      </c>
      <c r="L515" s="12">
        <v>0</v>
      </c>
      <c r="M515" s="24">
        <v>0</v>
      </c>
      <c r="N515" s="23">
        <v>29000</v>
      </c>
      <c r="O515" s="23">
        <v>58000</v>
      </c>
      <c r="P515" s="24">
        <v>29000</v>
      </c>
    </row>
    <row r="516" spans="1:16" x14ac:dyDescent="0.3">
      <c r="A516" s="3" t="s">
        <v>967</v>
      </c>
      <c r="B516" s="1">
        <v>2</v>
      </c>
      <c r="C516" s="1">
        <v>1</v>
      </c>
      <c r="D516" s="3" t="s">
        <v>309</v>
      </c>
      <c r="E516" s="12">
        <v>0</v>
      </c>
      <c r="F516" s="12">
        <v>704129.67</v>
      </c>
      <c r="G516" s="12">
        <v>704129.67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24">
        <v>0</v>
      </c>
      <c r="N516" s="23">
        <v>704129.67</v>
      </c>
      <c r="O516" s="23">
        <v>704129.67</v>
      </c>
      <c r="P516" s="24">
        <v>0</v>
      </c>
    </row>
    <row r="517" spans="1:16" x14ac:dyDescent="0.3">
      <c r="A517" s="3" t="s">
        <v>968</v>
      </c>
      <c r="B517" s="1">
        <v>2</v>
      </c>
      <c r="C517" s="1">
        <v>1</v>
      </c>
      <c r="D517" s="3" t="s">
        <v>969</v>
      </c>
      <c r="E517" s="12">
        <v>0</v>
      </c>
      <c r="F517" s="12">
        <v>0</v>
      </c>
      <c r="G517" s="12">
        <v>0</v>
      </c>
      <c r="H517" s="12">
        <v>0</v>
      </c>
      <c r="I517" s="12">
        <v>67206.36</v>
      </c>
      <c r="J517" s="12">
        <v>0</v>
      </c>
      <c r="K517" s="12">
        <v>0</v>
      </c>
      <c r="L517" s="12">
        <v>67206.36</v>
      </c>
      <c r="M517" s="24">
        <v>67206.36</v>
      </c>
      <c r="N517" s="23">
        <v>0</v>
      </c>
      <c r="O517" s="23">
        <v>0</v>
      </c>
      <c r="P517" s="24">
        <v>67206.36</v>
      </c>
    </row>
    <row r="518" spans="1:16" x14ac:dyDescent="0.3">
      <c r="A518" s="3" t="s">
        <v>970</v>
      </c>
      <c r="B518" s="1">
        <v>2</v>
      </c>
      <c r="C518" s="1">
        <v>1</v>
      </c>
      <c r="D518" s="3" t="s">
        <v>307</v>
      </c>
      <c r="E518" s="12">
        <v>0</v>
      </c>
      <c r="F518" s="12">
        <v>0</v>
      </c>
      <c r="G518" s="12">
        <v>0</v>
      </c>
      <c r="H518" s="12">
        <v>0</v>
      </c>
      <c r="I518" s="12">
        <v>506.22</v>
      </c>
      <c r="J518" s="12">
        <v>0</v>
      </c>
      <c r="K518" s="12">
        <v>0</v>
      </c>
      <c r="L518" s="12">
        <v>506.22</v>
      </c>
      <c r="M518" s="24">
        <v>506.22</v>
      </c>
      <c r="N518" s="23">
        <v>0</v>
      </c>
      <c r="O518" s="23">
        <v>0</v>
      </c>
      <c r="P518" s="24">
        <v>506.22</v>
      </c>
    </row>
    <row r="519" spans="1:16" x14ac:dyDescent="0.3">
      <c r="A519" s="3" t="s">
        <v>971</v>
      </c>
      <c r="B519" s="1">
        <v>2</v>
      </c>
      <c r="C519" s="1">
        <v>1</v>
      </c>
      <c r="D519" s="3" t="s">
        <v>962</v>
      </c>
      <c r="E519" s="12">
        <v>0</v>
      </c>
      <c r="F519" s="12">
        <v>0</v>
      </c>
      <c r="G519" s="12">
        <v>0</v>
      </c>
      <c r="H519" s="12">
        <v>0</v>
      </c>
      <c r="I519" s="12">
        <v>30</v>
      </c>
      <c r="J519" s="12">
        <v>0</v>
      </c>
      <c r="K519" s="12">
        <v>0</v>
      </c>
      <c r="L519" s="12">
        <v>30</v>
      </c>
      <c r="M519" s="24">
        <v>30</v>
      </c>
      <c r="N519" s="23">
        <v>0</v>
      </c>
      <c r="O519" s="23">
        <v>0</v>
      </c>
      <c r="P519" s="24">
        <v>30</v>
      </c>
    </row>
    <row r="520" spans="1:16" x14ac:dyDescent="0.3">
      <c r="A520" s="3" t="s">
        <v>972</v>
      </c>
      <c r="B520" s="1">
        <v>2</v>
      </c>
      <c r="C520" s="1">
        <v>1</v>
      </c>
      <c r="D520" s="3" t="s">
        <v>295</v>
      </c>
      <c r="E520" s="12">
        <v>0</v>
      </c>
      <c r="F520" s="12">
        <v>0</v>
      </c>
      <c r="G520" s="12">
        <v>0</v>
      </c>
      <c r="H520" s="12">
        <v>0</v>
      </c>
      <c r="I520" s="12">
        <v>0</v>
      </c>
      <c r="J520" s="12">
        <v>135308.29</v>
      </c>
      <c r="K520" s="12">
        <v>135308.29</v>
      </c>
      <c r="L520" s="12">
        <v>0</v>
      </c>
      <c r="M520" s="24">
        <v>0</v>
      </c>
      <c r="N520" s="23">
        <v>135308.29</v>
      </c>
      <c r="O520" s="23">
        <v>135308.29</v>
      </c>
      <c r="P520" s="24">
        <v>0</v>
      </c>
    </row>
    <row r="521" spans="1:16" x14ac:dyDescent="0.3">
      <c r="A521" s="3" t="s">
        <v>973</v>
      </c>
      <c r="B521" s="1">
        <v>2</v>
      </c>
      <c r="C521" s="1">
        <v>1</v>
      </c>
      <c r="D521" s="3" t="s">
        <v>311</v>
      </c>
      <c r="E521" s="12">
        <v>0</v>
      </c>
      <c r="F521" s="12">
        <v>0</v>
      </c>
      <c r="G521" s="12">
        <v>0</v>
      </c>
      <c r="H521" s="12">
        <v>0</v>
      </c>
      <c r="I521" s="12">
        <v>6557.86</v>
      </c>
      <c r="J521" s="12">
        <v>6557.86</v>
      </c>
      <c r="K521" s="12">
        <v>0</v>
      </c>
      <c r="L521" s="12">
        <v>0</v>
      </c>
      <c r="M521" s="24">
        <v>6557.86</v>
      </c>
      <c r="N521" s="23">
        <v>6557.86</v>
      </c>
      <c r="O521" s="23">
        <v>0</v>
      </c>
      <c r="P521" s="24">
        <v>0</v>
      </c>
    </row>
    <row r="522" spans="1:16" x14ac:dyDescent="0.3">
      <c r="A522" s="3" t="s">
        <v>974</v>
      </c>
      <c r="B522" s="1">
        <v>2</v>
      </c>
      <c r="C522" s="1">
        <v>1</v>
      </c>
      <c r="D522" s="3" t="s">
        <v>975</v>
      </c>
      <c r="E522" s="12">
        <v>0</v>
      </c>
      <c r="F522" s="12">
        <v>0</v>
      </c>
      <c r="G522" s="12">
        <v>0</v>
      </c>
      <c r="H522" s="12">
        <v>0</v>
      </c>
      <c r="I522" s="12">
        <v>472409.38</v>
      </c>
      <c r="J522" s="12">
        <v>0</v>
      </c>
      <c r="K522" s="12">
        <v>36584.28</v>
      </c>
      <c r="L522" s="12">
        <v>508993.66</v>
      </c>
      <c r="M522" s="24">
        <v>472409.38</v>
      </c>
      <c r="N522" s="23">
        <v>0</v>
      </c>
      <c r="O522" s="23">
        <v>36584.28</v>
      </c>
      <c r="P522" s="24">
        <v>508993.66</v>
      </c>
    </row>
    <row r="523" spans="1:16" x14ac:dyDescent="0.3">
      <c r="A523" s="3" t="s">
        <v>976</v>
      </c>
      <c r="B523" s="1">
        <v>2</v>
      </c>
      <c r="C523" s="1">
        <v>1</v>
      </c>
      <c r="D523" s="3" t="s">
        <v>977</v>
      </c>
      <c r="E523" s="12">
        <v>0</v>
      </c>
      <c r="F523" s="12">
        <v>0</v>
      </c>
      <c r="G523" s="12">
        <v>0</v>
      </c>
      <c r="H523" s="12">
        <v>0</v>
      </c>
      <c r="I523" s="12">
        <v>0</v>
      </c>
      <c r="J523" s="12">
        <v>1508</v>
      </c>
      <c r="K523" s="12">
        <v>1508</v>
      </c>
      <c r="L523" s="12">
        <v>0</v>
      </c>
      <c r="M523" s="24">
        <v>0</v>
      </c>
      <c r="N523" s="23">
        <v>1508</v>
      </c>
      <c r="O523" s="23">
        <v>1508</v>
      </c>
      <c r="P523" s="24">
        <v>0</v>
      </c>
    </row>
    <row r="524" spans="1:16" x14ac:dyDescent="0.3">
      <c r="A524" s="3" t="s">
        <v>978</v>
      </c>
      <c r="B524" s="1">
        <v>2</v>
      </c>
      <c r="C524" s="1">
        <v>1</v>
      </c>
      <c r="D524" s="3" t="s">
        <v>979</v>
      </c>
      <c r="E524" s="12">
        <v>0</v>
      </c>
      <c r="F524" s="12">
        <v>0</v>
      </c>
      <c r="G524" s="12">
        <v>0</v>
      </c>
      <c r="H524" s="12">
        <v>0</v>
      </c>
      <c r="I524" s="12">
        <v>0</v>
      </c>
      <c r="J524" s="12">
        <v>7116.6</v>
      </c>
      <c r="K524" s="12">
        <v>7116.6</v>
      </c>
      <c r="L524" s="12">
        <v>0</v>
      </c>
      <c r="M524" s="24">
        <v>0</v>
      </c>
      <c r="N524" s="23">
        <v>7116.6</v>
      </c>
      <c r="O524" s="23">
        <v>7116.6</v>
      </c>
      <c r="P524" s="24">
        <v>0</v>
      </c>
    </row>
    <row r="525" spans="1:16" x14ac:dyDescent="0.3">
      <c r="A525" s="3" t="s">
        <v>980</v>
      </c>
      <c r="B525" s="1">
        <v>2</v>
      </c>
      <c r="C525" s="1">
        <v>1</v>
      </c>
      <c r="D525" s="3" t="s">
        <v>981</v>
      </c>
      <c r="E525" s="12">
        <v>0</v>
      </c>
      <c r="F525" s="12">
        <v>0</v>
      </c>
      <c r="G525" s="12">
        <v>0</v>
      </c>
      <c r="H525" s="12">
        <v>0</v>
      </c>
      <c r="I525" s="12">
        <v>0</v>
      </c>
      <c r="J525" s="12">
        <v>0</v>
      </c>
      <c r="K525" s="12">
        <v>2088</v>
      </c>
      <c r="L525" s="12">
        <v>2088</v>
      </c>
      <c r="M525" s="24">
        <v>0</v>
      </c>
      <c r="N525" s="23">
        <v>0</v>
      </c>
      <c r="O525" s="23">
        <v>2088</v>
      </c>
      <c r="P525" s="24">
        <v>2088</v>
      </c>
    </row>
    <row r="526" spans="1:16" x14ac:dyDescent="0.3">
      <c r="A526" s="3" t="s">
        <v>982</v>
      </c>
      <c r="B526" s="1">
        <v>2</v>
      </c>
      <c r="C526" s="1">
        <v>1</v>
      </c>
      <c r="D526" s="3" t="s">
        <v>319</v>
      </c>
      <c r="E526" s="12">
        <v>0</v>
      </c>
      <c r="F526" s="12">
        <v>0</v>
      </c>
      <c r="G526" s="12">
        <v>0</v>
      </c>
      <c r="H526" s="12">
        <v>0</v>
      </c>
      <c r="I526" s="12">
        <v>10702.35</v>
      </c>
      <c r="J526" s="12">
        <v>10702.35</v>
      </c>
      <c r="K526" s="12">
        <v>56638.52</v>
      </c>
      <c r="L526" s="12">
        <v>56638.52</v>
      </c>
      <c r="M526" s="24">
        <v>10702.35</v>
      </c>
      <c r="N526" s="23">
        <v>10702.35</v>
      </c>
      <c r="O526" s="23">
        <v>56638.52</v>
      </c>
      <c r="P526" s="24">
        <v>56638.52</v>
      </c>
    </row>
    <row r="527" spans="1:16" x14ac:dyDescent="0.3">
      <c r="A527" s="3" t="s">
        <v>983</v>
      </c>
      <c r="B527" s="1">
        <v>2</v>
      </c>
      <c r="C527" s="1">
        <v>1</v>
      </c>
      <c r="D527" s="3" t="s">
        <v>984</v>
      </c>
      <c r="E527" s="12">
        <v>0</v>
      </c>
      <c r="F527" s="12">
        <v>0</v>
      </c>
      <c r="G527" s="12">
        <v>0</v>
      </c>
      <c r="H527" s="12">
        <v>0</v>
      </c>
      <c r="I527" s="17">
        <v>-85166.75</v>
      </c>
      <c r="J527" s="12">
        <v>150574.98000000001</v>
      </c>
      <c r="K527" s="12">
        <v>187682.58</v>
      </c>
      <c r="L527" s="17">
        <v>-48059.15</v>
      </c>
      <c r="M527" s="24">
        <v>-85166.75</v>
      </c>
      <c r="N527" s="23">
        <v>150574.98000000001</v>
      </c>
      <c r="O527" s="23">
        <v>187682.58</v>
      </c>
      <c r="P527" s="24">
        <v>-48059.15</v>
      </c>
    </row>
    <row r="528" spans="1:16" x14ac:dyDescent="0.3">
      <c r="A528" s="3" t="s">
        <v>985</v>
      </c>
      <c r="B528" s="1">
        <v>2</v>
      </c>
      <c r="C528" s="1">
        <v>1</v>
      </c>
      <c r="D528" s="3" t="s">
        <v>986</v>
      </c>
      <c r="E528" s="12">
        <v>0</v>
      </c>
      <c r="F528" s="12">
        <v>0</v>
      </c>
      <c r="G528" s="12">
        <v>0</v>
      </c>
      <c r="H528" s="12">
        <v>0</v>
      </c>
      <c r="I528" s="12">
        <v>100500</v>
      </c>
      <c r="J528" s="12">
        <v>0</v>
      </c>
      <c r="K528" s="12">
        <v>0</v>
      </c>
      <c r="L528" s="12">
        <v>100500</v>
      </c>
      <c r="M528" s="24">
        <v>100500</v>
      </c>
      <c r="N528" s="23">
        <v>0</v>
      </c>
      <c r="O528" s="23">
        <v>0</v>
      </c>
      <c r="P528" s="24">
        <v>100500</v>
      </c>
    </row>
    <row r="529" spans="1:16" x14ac:dyDescent="0.3">
      <c r="A529" s="3" t="s">
        <v>987</v>
      </c>
      <c r="B529" s="1">
        <v>2</v>
      </c>
      <c r="C529" s="1">
        <v>1</v>
      </c>
      <c r="D529" s="3" t="s">
        <v>988</v>
      </c>
      <c r="E529" s="12">
        <v>173805</v>
      </c>
      <c r="F529" s="12">
        <v>0</v>
      </c>
      <c r="G529" s="12">
        <v>0</v>
      </c>
      <c r="H529" s="12">
        <v>173805</v>
      </c>
      <c r="I529" s="12">
        <v>0</v>
      </c>
      <c r="J529" s="12">
        <v>0</v>
      </c>
      <c r="K529" s="12">
        <v>0</v>
      </c>
      <c r="L529" s="12">
        <v>0</v>
      </c>
      <c r="M529" s="24">
        <v>173805</v>
      </c>
      <c r="N529" s="23">
        <v>0</v>
      </c>
      <c r="O529" s="23">
        <v>0</v>
      </c>
      <c r="P529" s="24">
        <v>173805</v>
      </c>
    </row>
    <row r="530" spans="1:16" x14ac:dyDescent="0.3">
      <c r="A530" s="3" t="s">
        <v>989</v>
      </c>
      <c r="B530" s="1">
        <v>2</v>
      </c>
      <c r="C530" s="1">
        <v>1</v>
      </c>
      <c r="D530" s="3" t="s">
        <v>990</v>
      </c>
      <c r="E530" s="12">
        <v>13076.73</v>
      </c>
      <c r="F530" s="12">
        <v>13076.73</v>
      </c>
      <c r="G530" s="12">
        <v>0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24">
        <v>13076.73</v>
      </c>
      <c r="N530" s="23">
        <v>13076.73</v>
      </c>
      <c r="O530" s="23">
        <v>0</v>
      </c>
      <c r="P530" s="24">
        <v>0</v>
      </c>
    </row>
    <row r="531" spans="1:16" x14ac:dyDescent="0.3">
      <c r="A531" s="3" t="s">
        <v>991</v>
      </c>
      <c r="B531" s="1">
        <v>2</v>
      </c>
      <c r="C531" s="1">
        <v>0</v>
      </c>
      <c r="D531" s="3" t="s">
        <v>992</v>
      </c>
      <c r="E531" s="12">
        <v>125611.1</v>
      </c>
      <c r="F531" s="12">
        <v>32764.11</v>
      </c>
      <c r="G531" s="12">
        <v>0</v>
      </c>
      <c r="H531" s="12">
        <v>92846.99</v>
      </c>
      <c r="I531" s="12">
        <v>33190.339999999997</v>
      </c>
      <c r="J531" s="12">
        <v>0</v>
      </c>
      <c r="K531" s="12">
        <v>0</v>
      </c>
      <c r="L531" s="12">
        <v>33190.339999999997</v>
      </c>
      <c r="M531" s="24">
        <v>158801.44</v>
      </c>
      <c r="N531" s="23">
        <v>32764.11</v>
      </c>
      <c r="O531" s="23">
        <v>0</v>
      </c>
      <c r="P531" s="24">
        <v>126037.33</v>
      </c>
    </row>
    <row r="532" spans="1:16" x14ac:dyDescent="0.3">
      <c r="A532" s="3" t="s">
        <v>993</v>
      </c>
      <c r="B532" s="1">
        <v>2</v>
      </c>
      <c r="C532" s="1">
        <v>0</v>
      </c>
      <c r="D532" s="3" t="s">
        <v>992</v>
      </c>
      <c r="E532" s="12">
        <v>6139.33</v>
      </c>
      <c r="F532" s="12">
        <v>1592.25</v>
      </c>
      <c r="G532" s="12">
        <v>0</v>
      </c>
      <c r="H532" s="12">
        <v>4547.08</v>
      </c>
      <c r="I532" s="12">
        <v>1588.62</v>
      </c>
      <c r="J532" s="12">
        <v>0</v>
      </c>
      <c r="K532" s="12">
        <v>0</v>
      </c>
      <c r="L532" s="12">
        <v>1588.62</v>
      </c>
      <c r="M532" s="24">
        <v>7727.95</v>
      </c>
      <c r="N532" s="23">
        <v>1592.25</v>
      </c>
      <c r="O532" s="23">
        <v>0</v>
      </c>
      <c r="P532" s="24">
        <v>6135.7</v>
      </c>
    </row>
    <row r="533" spans="1:16" x14ac:dyDescent="0.3">
      <c r="A533" s="3" t="s">
        <v>994</v>
      </c>
      <c r="B533" s="1">
        <v>2</v>
      </c>
      <c r="C533" s="1">
        <v>1</v>
      </c>
      <c r="D533" s="3" t="s">
        <v>995</v>
      </c>
      <c r="E533" s="12">
        <v>0</v>
      </c>
      <c r="F533" s="12">
        <v>0</v>
      </c>
      <c r="G533" s="12">
        <v>0</v>
      </c>
      <c r="H533" s="12">
        <v>0</v>
      </c>
      <c r="I533" s="12">
        <v>190.24</v>
      </c>
      <c r="J533" s="12">
        <v>0</v>
      </c>
      <c r="K533" s="12">
        <v>0</v>
      </c>
      <c r="L533" s="12">
        <v>190.24</v>
      </c>
      <c r="M533" s="24">
        <v>190.24</v>
      </c>
      <c r="N533" s="23">
        <v>0</v>
      </c>
      <c r="O533" s="23">
        <v>0</v>
      </c>
      <c r="P533" s="24">
        <v>190.24</v>
      </c>
    </row>
    <row r="534" spans="1:16" x14ac:dyDescent="0.3">
      <c r="A534" s="3" t="s">
        <v>996</v>
      </c>
      <c r="B534" s="1">
        <v>2</v>
      </c>
      <c r="C534" s="1">
        <v>1</v>
      </c>
      <c r="D534" s="3" t="s">
        <v>997</v>
      </c>
      <c r="E534" s="12">
        <v>6139.33</v>
      </c>
      <c r="F534" s="12">
        <v>1592.25</v>
      </c>
      <c r="G534" s="12">
        <v>0</v>
      </c>
      <c r="H534" s="12">
        <v>4547.08</v>
      </c>
      <c r="I534" s="12">
        <v>1398.38</v>
      </c>
      <c r="J534" s="12">
        <v>0</v>
      </c>
      <c r="K534" s="12">
        <v>0</v>
      </c>
      <c r="L534" s="12">
        <v>1398.38</v>
      </c>
      <c r="M534" s="24">
        <v>7537.71</v>
      </c>
      <c r="N534" s="23">
        <v>1592.25</v>
      </c>
      <c r="O534" s="23">
        <v>0</v>
      </c>
      <c r="P534" s="24">
        <v>5945.46</v>
      </c>
    </row>
    <row r="535" spans="1:16" x14ac:dyDescent="0.3">
      <c r="A535" s="3" t="s">
        <v>998</v>
      </c>
      <c r="B535" s="1">
        <v>2</v>
      </c>
      <c r="C535" s="1">
        <v>0</v>
      </c>
      <c r="D535" s="3" t="s">
        <v>999</v>
      </c>
      <c r="E535" s="12">
        <v>119471.77</v>
      </c>
      <c r="F535" s="12">
        <v>31171.86</v>
      </c>
      <c r="G535" s="12">
        <v>0</v>
      </c>
      <c r="H535" s="12">
        <v>88299.91</v>
      </c>
      <c r="I535" s="12">
        <v>31601.72</v>
      </c>
      <c r="J535" s="12">
        <v>0</v>
      </c>
      <c r="K535" s="12">
        <v>0</v>
      </c>
      <c r="L535" s="12">
        <v>31601.72</v>
      </c>
      <c r="M535" s="24">
        <v>151073.49</v>
      </c>
      <c r="N535" s="23">
        <v>31171.86</v>
      </c>
      <c r="O535" s="23">
        <v>0</v>
      </c>
      <c r="P535" s="24">
        <v>119901.63</v>
      </c>
    </row>
    <row r="536" spans="1:16" x14ac:dyDescent="0.3">
      <c r="A536" s="3" t="s">
        <v>1000</v>
      </c>
      <c r="B536" s="1">
        <v>2</v>
      </c>
      <c r="C536" s="1">
        <v>1</v>
      </c>
      <c r="D536" s="3" t="s">
        <v>995</v>
      </c>
      <c r="E536" s="12">
        <v>0</v>
      </c>
      <c r="F536" s="12">
        <v>0</v>
      </c>
      <c r="G536" s="12">
        <v>0</v>
      </c>
      <c r="H536" s="12">
        <v>0</v>
      </c>
      <c r="I536" s="12">
        <v>4041.98</v>
      </c>
      <c r="J536" s="12">
        <v>0</v>
      </c>
      <c r="K536" s="12">
        <v>0</v>
      </c>
      <c r="L536" s="12">
        <v>4041.98</v>
      </c>
      <c r="M536" s="24">
        <v>4041.98</v>
      </c>
      <c r="N536" s="23">
        <v>0</v>
      </c>
      <c r="O536" s="23">
        <v>0</v>
      </c>
      <c r="P536" s="24">
        <v>4041.98</v>
      </c>
    </row>
    <row r="537" spans="1:16" x14ac:dyDescent="0.3">
      <c r="A537" s="3" t="s">
        <v>1001</v>
      </c>
      <c r="B537" s="1">
        <v>2</v>
      </c>
      <c r="C537" s="1">
        <v>1</v>
      </c>
      <c r="D537" s="3" t="s">
        <v>997</v>
      </c>
      <c r="E537" s="12">
        <v>119471.77</v>
      </c>
      <c r="F537" s="12">
        <v>31171.86</v>
      </c>
      <c r="G537" s="12">
        <v>0</v>
      </c>
      <c r="H537" s="12">
        <v>88299.91</v>
      </c>
      <c r="I537" s="12">
        <v>27533.51</v>
      </c>
      <c r="J537" s="12">
        <v>0</v>
      </c>
      <c r="K537" s="12">
        <v>0</v>
      </c>
      <c r="L537" s="12">
        <v>27533.51</v>
      </c>
      <c r="M537" s="24">
        <v>147005.28</v>
      </c>
      <c r="N537" s="23">
        <v>31171.86</v>
      </c>
      <c r="O537" s="23">
        <v>0</v>
      </c>
      <c r="P537" s="24">
        <v>115833.42</v>
      </c>
    </row>
    <row r="538" spans="1:16" x14ac:dyDescent="0.3">
      <c r="A538" s="3" t="s">
        <v>1002</v>
      </c>
      <c r="B538" s="1">
        <v>2</v>
      </c>
      <c r="C538" s="1">
        <v>1</v>
      </c>
      <c r="D538" s="3" t="s">
        <v>311</v>
      </c>
      <c r="E538" s="12">
        <v>0</v>
      </c>
      <c r="F538" s="12">
        <v>0</v>
      </c>
      <c r="G538" s="12">
        <v>0</v>
      </c>
      <c r="H538" s="12">
        <v>0</v>
      </c>
      <c r="I538" s="12">
        <v>26.23</v>
      </c>
      <c r="J538" s="12">
        <v>0</v>
      </c>
      <c r="K538" s="12">
        <v>0</v>
      </c>
      <c r="L538" s="12">
        <v>26.23</v>
      </c>
      <c r="M538" s="24">
        <v>26.23</v>
      </c>
      <c r="N538" s="23">
        <v>0</v>
      </c>
      <c r="O538" s="23">
        <v>0</v>
      </c>
      <c r="P538" s="24">
        <v>26.23</v>
      </c>
    </row>
    <row r="539" spans="1:16" x14ac:dyDescent="0.3">
      <c r="A539" s="3" t="s">
        <v>1003</v>
      </c>
      <c r="B539" s="2">
        <v>1</v>
      </c>
      <c r="C539" s="2">
        <v>0</v>
      </c>
      <c r="D539" s="14" t="s">
        <v>1004</v>
      </c>
      <c r="E539" s="16">
        <v>0</v>
      </c>
      <c r="F539" s="16">
        <v>377000</v>
      </c>
      <c r="G539" s="16">
        <v>377000</v>
      </c>
      <c r="H539" s="16">
        <v>0</v>
      </c>
      <c r="I539" s="16">
        <v>6443728.5</v>
      </c>
      <c r="J539" s="16">
        <v>151334.39999999999</v>
      </c>
      <c r="K539" s="16">
        <v>292978.94</v>
      </c>
      <c r="L539" s="16">
        <v>6585373.04</v>
      </c>
      <c r="M539" s="25">
        <v>6443728.5</v>
      </c>
      <c r="N539" s="16">
        <v>528334.4</v>
      </c>
      <c r="O539" s="16">
        <v>669978.93999999994</v>
      </c>
      <c r="P539" s="25">
        <v>6585373.04</v>
      </c>
    </row>
    <row r="540" spans="1:16" x14ac:dyDescent="0.3">
      <c r="A540" s="3" t="s">
        <v>1005</v>
      </c>
      <c r="B540" s="1">
        <v>2</v>
      </c>
      <c r="C540" s="1">
        <v>0</v>
      </c>
      <c r="D540" s="3" t="s">
        <v>1006</v>
      </c>
      <c r="E540" s="12">
        <v>0</v>
      </c>
      <c r="F540" s="12">
        <v>377000</v>
      </c>
      <c r="G540" s="12">
        <v>377000</v>
      </c>
      <c r="H540" s="12">
        <v>0</v>
      </c>
      <c r="I540" s="12">
        <v>6443728.5</v>
      </c>
      <c r="J540" s="12">
        <v>151334.39999999999</v>
      </c>
      <c r="K540" s="12">
        <v>292978.94</v>
      </c>
      <c r="L540" s="12">
        <v>6585373.04</v>
      </c>
      <c r="M540" s="24">
        <v>6443728.5</v>
      </c>
      <c r="N540" s="23">
        <v>528334.4</v>
      </c>
      <c r="O540" s="23">
        <v>669978.93999999994</v>
      </c>
      <c r="P540" s="24">
        <v>6585373.04</v>
      </c>
    </row>
    <row r="541" spans="1:16" x14ac:dyDescent="0.3">
      <c r="A541" s="3" t="s">
        <v>1007</v>
      </c>
      <c r="B541" s="1">
        <v>4</v>
      </c>
      <c r="C541" s="1">
        <v>0</v>
      </c>
      <c r="D541" s="3" t="s">
        <v>1008</v>
      </c>
      <c r="E541" s="12">
        <v>0</v>
      </c>
      <c r="F541" s="12">
        <v>377000</v>
      </c>
      <c r="G541" s="12">
        <v>377000</v>
      </c>
      <c r="H541" s="12">
        <v>0</v>
      </c>
      <c r="I541" s="12">
        <v>5855632.1399999997</v>
      </c>
      <c r="J541" s="12">
        <v>151334.39999999999</v>
      </c>
      <c r="K541" s="12">
        <v>218018.61</v>
      </c>
      <c r="L541" s="12">
        <v>5922316.3499999996</v>
      </c>
      <c r="M541" s="24">
        <v>5855632.1399999997</v>
      </c>
      <c r="N541" s="23">
        <v>528334.4</v>
      </c>
      <c r="O541" s="23">
        <v>595018.61</v>
      </c>
      <c r="P541" s="24">
        <v>5922316.3499999996</v>
      </c>
    </row>
    <row r="542" spans="1:16" x14ac:dyDescent="0.3">
      <c r="A542" s="3" t="s">
        <v>1009</v>
      </c>
      <c r="B542" s="1">
        <v>2</v>
      </c>
      <c r="C542" s="1">
        <v>1</v>
      </c>
      <c r="D542" s="3" t="s">
        <v>1010</v>
      </c>
      <c r="E542" s="12">
        <v>0</v>
      </c>
      <c r="F542" s="12">
        <v>377000</v>
      </c>
      <c r="G542" s="12">
        <v>377000</v>
      </c>
      <c r="H542" s="12">
        <v>0</v>
      </c>
      <c r="I542" s="12">
        <v>5130168.13</v>
      </c>
      <c r="J542" s="12">
        <v>0</v>
      </c>
      <c r="K542" s="12">
        <v>0</v>
      </c>
      <c r="L542" s="12">
        <v>5130168.13</v>
      </c>
      <c r="M542" s="24">
        <v>5130168.13</v>
      </c>
      <c r="N542" s="23">
        <v>377000</v>
      </c>
      <c r="O542" s="23">
        <v>377000</v>
      </c>
      <c r="P542" s="24">
        <v>5130168.13</v>
      </c>
    </row>
    <row r="543" spans="1:16" x14ac:dyDescent="0.3">
      <c r="A543" s="3" t="s">
        <v>1011</v>
      </c>
      <c r="B543" s="1">
        <v>2</v>
      </c>
      <c r="C543" s="1">
        <v>1</v>
      </c>
      <c r="D543" s="3" t="s">
        <v>1012</v>
      </c>
      <c r="E543" s="12">
        <v>0</v>
      </c>
      <c r="F543" s="12">
        <v>0</v>
      </c>
      <c r="G543" s="12">
        <v>0</v>
      </c>
      <c r="H543" s="12">
        <v>0</v>
      </c>
      <c r="I543" s="12">
        <v>98292.9</v>
      </c>
      <c r="J543" s="12">
        <v>151334.39999999999</v>
      </c>
      <c r="K543" s="12">
        <v>218018.61</v>
      </c>
      <c r="L543" s="12">
        <v>164977.10999999999</v>
      </c>
      <c r="M543" s="24">
        <v>98292.9</v>
      </c>
      <c r="N543" s="23">
        <v>151334.39999999999</v>
      </c>
      <c r="O543" s="23">
        <v>218018.61</v>
      </c>
      <c r="P543" s="24">
        <v>164977.10999999999</v>
      </c>
    </row>
    <row r="544" spans="1:16" x14ac:dyDescent="0.3">
      <c r="A544" s="3" t="s">
        <v>1013</v>
      </c>
      <c r="B544" s="1">
        <v>2</v>
      </c>
      <c r="C544" s="1">
        <v>1</v>
      </c>
      <c r="D544" s="3" t="s">
        <v>1014</v>
      </c>
      <c r="E544" s="12">
        <v>0</v>
      </c>
      <c r="F544" s="12">
        <v>0</v>
      </c>
      <c r="G544" s="12">
        <v>0</v>
      </c>
      <c r="H544" s="12">
        <v>0</v>
      </c>
      <c r="I544" s="12">
        <v>627171.11</v>
      </c>
      <c r="J544" s="12">
        <v>0</v>
      </c>
      <c r="K544" s="12">
        <v>0</v>
      </c>
      <c r="L544" s="12">
        <v>627171.11</v>
      </c>
      <c r="M544" s="24">
        <v>627171.11</v>
      </c>
      <c r="N544" s="23">
        <v>0</v>
      </c>
      <c r="O544" s="23">
        <v>0</v>
      </c>
      <c r="P544" s="24">
        <v>627171.11</v>
      </c>
    </row>
    <row r="545" spans="1:16" x14ac:dyDescent="0.3">
      <c r="A545" s="3" t="s">
        <v>1015</v>
      </c>
      <c r="B545" s="1">
        <v>2</v>
      </c>
      <c r="C545" s="1">
        <v>0</v>
      </c>
      <c r="D545" s="3" t="s">
        <v>1016</v>
      </c>
      <c r="E545" s="12">
        <v>0</v>
      </c>
      <c r="F545" s="12">
        <v>0</v>
      </c>
      <c r="G545" s="12">
        <v>0</v>
      </c>
      <c r="H545" s="12">
        <v>0</v>
      </c>
      <c r="I545" s="12">
        <v>588096.36</v>
      </c>
      <c r="J545" s="12">
        <v>0</v>
      </c>
      <c r="K545" s="12">
        <v>74960.33</v>
      </c>
      <c r="L545" s="12">
        <v>663056.68999999994</v>
      </c>
      <c r="M545" s="24">
        <v>588096.36</v>
      </c>
      <c r="N545" s="23">
        <v>0</v>
      </c>
      <c r="O545" s="23">
        <v>74960.33</v>
      </c>
      <c r="P545" s="24">
        <v>663056.68999999994</v>
      </c>
    </row>
    <row r="546" spans="1:16" x14ac:dyDescent="0.3">
      <c r="A546" s="3" t="s">
        <v>1017</v>
      </c>
      <c r="B546" s="1">
        <v>2</v>
      </c>
      <c r="C546" s="1">
        <v>0</v>
      </c>
      <c r="D546" s="3" t="s">
        <v>1018</v>
      </c>
      <c r="E546" s="12">
        <v>0</v>
      </c>
      <c r="F546" s="12">
        <v>0</v>
      </c>
      <c r="G546" s="12">
        <v>0</v>
      </c>
      <c r="H546" s="12">
        <v>0</v>
      </c>
      <c r="I546" s="12">
        <v>28593.200000000001</v>
      </c>
      <c r="J546" s="12">
        <v>0</v>
      </c>
      <c r="K546" s="12">
        <v>3623.6</v>
      </c>
      <c r="L546" s="12">
        <v>32216.799999999999</v>
      </c>
      <c r="M546" s="24">
        <v>28593.200000000001</v>
      </c>
      <c r="N546" s="23">
        <v>0</v>
      </c>
      <c r="O546" s="23">
        <v>3623.6</v>
      </c>
      <c r="P546" s="24">
        <v>32216.799999999999</v>
      </c>
    </row>
    <row r="547" spans="1:16" x14ac:dyDescent="0.3">
      <c r="A547" s="3" t="s">
        <v>1019</v>
      </c>
      <c r="B547" s="1">
        <v>2</v>
      </c>
      <c r="C547" s="1">
        <v>1</v>
      </c>
      <c r="D547" s="3" t="s">
        <v>1020</v>
      </c>
      <c r="E547" s="12">
        <v>0</v>
      </c>
      <c r="F547" s="12">
        <v>0</v>
      </c>
      <c r="G547" s="12">
        <v>0</v>
      </c>
      <c r="H547" s="12">
        <v>0</v>
      </c>
      <c r="I547" s="12">
        <v>28593.200000000001</v>
      </c>
      <c r="J547" s="12">
        <v>0</v>
      </c>
      <c r="K547" s="12">
        <v>3623.6</v>
      </c>
      <c r="L547" s="12">
        <v>32216.799999999999</v>
      </c>
      <c r="M547" s="24">
        <v>28593.200000000001</v>
      </c>
      <c r="N547" s="23">
        <v>0</v>
      </c>
      <c r="O547" s="23">
        <v>3623.6</v>
      </c>
      <c r="P547" s="24">
        <v>32216.799999999999</v>
      </c>
    </row>
    <row r="548" spans="1:16" x14ac:dyDescent="0.3">
      <c r="A548" s="3" t="s">
        <v>1021</v>
      </c>
      <c r="B548" s="1">
        <v>2</v>
      </c>
      <c r="C548" s="1">
        <v>0</v>
      </c>
      <c r="D548" s="3" t="s">
        <v>1022</v>
      </c>
      <c r="E548" s="12">
        <v>0</v>
      </c>
      <c r="F548" s="12">
        <v>0</v>
      </c>
      <c r="G548" s="12">
        <v>0</v>
      </c>
      <c r="H548" s="12">
        <v>0</v>
      </c>
      <c r="I548" s="12">
        <v>559503.16</v>
      </c>
      <c r="J548" s="12">
        <v>0</v>
      </c>
      <c r="K548" s="12">
        <v>71336.73</v>
      </c>
      <c r="L548" s="12">
        <v>630839.89</v>
      </c>
      <c r="M548" s="24">
        <v>559503.16</v>
      </c>
      <c r="N548" s="23">
        <v>0</v>
      </c>
      <c r="O548" s="23">
        <v>71336.73</v>
      </c>
      <c r="P548" s="24">
        <v>630839.89</v>
      </c>
    </row>
    <row r="549" spans="1:16" x14ac:dyDescent="0.3">
      <c r="A549" s="3" t="s">
        <v>1023</v>
      </c>
      <c r="B549" s="1">
        <v>2</v>
      </c>
      <c r="C549" s="1">
        <v>1</v>
      </c>
      <c r="D549" s="3" t="s">
        <v>1024</v>
      </c>
      <c r="E549" s="12">
        <v>0</v>
      </c>
      <c r="F549" s="12">
        <v>0</v>
      </c>
      <c r="G549" s="12">
        <v>0</v>
      </c>
      <c r="H549" s="12">
        <v>0</v>
      </c>
      <c r="I549" s="12">
        <v>559503.16</v>
      </c>
      <c r="J549" s="12">
        <v>0</v>
      </c>
      <c r="K549" s="12">
        <v>71336.73</v>
      </c>
      <c r="L549" s="12">
        <v>630839.89</v>
      </c>
      <c r="M549" s="24">
        <v>559503.16</v>
      </c>
      <c r="N549" s="23">
        <v>0</v>
      </c>
      <c r="O549" s="23">
        <v>71336.73</v>
      </c>
      <c r="P549" s="24">
        <v>630839.89</v>
      </c>
    </row>
    <row r="550" spans="1:16" x14ac:dyDescent="0.3">
      <c r="A550" s="3" t="s">
        <v>1025</v>
      </c>
      <c r="B550" s="2">
        <v>1</v>
      </c>
      <c r="C550" s="2">
        <v>0</v>
      </c>
      <c r="D550" s="14" t="s">
        <v>1026</v>
      </c>
      <c r="E550" s="16">
        <v>0</v>
      </c>
      <c r="F550" s="16">
        <v>1631410.39</v>
      </c>
      <c r="G550" s="16">
        <v>1631410.39</v>
      </c>
      <c r="H550" s="16">
        <v>0</v>
      </c>
      <c r="I550" s="16">
        <v>0</v>
      </c>
      <c r="J550" s="16">
        <v>966109.08</v>
      </c>
      <c r="K550" s="16">
        <v>966109.08</v>
      </c>
      <c r="L550" s="16">
        <v>0</v>
      </c>
      <c r="M550" s="25">
        <v>0</v>
      </c>
      <c r="N550" s="16">
        <v>2597519.4699999997</v>
      </c>
      <c r="O550" s="16">
        <v>2597519.4699999997</v>
      </c>
      <c r="P550" s="25">
        <v>0</v>
      </c>
    </row>
    <row r="551" spans="1:16" x14ac:dyDescent="0.3">
      <c r="A551" s="3" t="s">
        <v>1027</v>
      </c>
      <c r="B551" s="1">
        <v>2</v>
      </c>
      <c r="C551" s="1">
        <v>1</v>
      </c>
      <c r="D551" s="3" t="s">
        <v>1028</v>
      </c>
      <c r="E551" s="12">
        <v>0</v>
      </c>
      <c r="F551" s="12">
        <v>1631410.39</v>
      </c>
      <c r="G551" s="12">
        <v>1631410.39</v>
      </c>
      <c r="H551" s="12">
        <v>0</v>
      </c>
      <c r="I551" s="12">
        <v>0</v>
      </c>
      <c r="J551" s="12">
        <v>966109.08</v>
      </c>
      <c r="K551" s="12">
        <v>966109.08</v>
      </c>
      <c r="L551" s="12">
        <v>0</v>
      </c>
      <c r="M551" s="24">
        <v>0</v>
      </c>
      <c r="N551" s="23">
        <v>2597519.4699999997</v>
      </c>
      <c r="O551" s="23">
        <v>2597519.4699999997</v>
      </c>
      <c r="P551" s="24">
        <v>0</v>
      </c>
    </row>
    <row r="552" spans="1:16" x14ac:dyDescent="0.3">
      <c r="A552" s="3" t="s">
        <v>1029</v>
      </c>
      <c r="B552" s="2">
        <v>1</v>
      </c>
      <c r="C552" s="2">
        <v>0</v>
      </c>
      <c r="D552" s="14" t="s">
        <v>1030</v>
      </c>
      <c r="E552" s="16">
        <v>2250351.7000000002</v>
      </c>
      <c r="F552" s="16">
        <v>1666163</v>
      </c>
      <c r="G552" s="16">
        <v>2374648.83</v>
      </c>
      <c r="H552" s="16">
        <v>2958837.53</v>
      </c>
      <c r="I552" s="16">
        <v>4365121.18</v>
      </c>
      <c r="J552" s="16">
        <v>1464418</v>
      </c>
      <c r="K552" s="16">
        <v>1416550.12</v>
      </c>
      <c r="L552" s="16">
        <v>4317253.3</v>
      </c>
      <c r="M552" s="25">
        <v>6615472.8799999999</v>
      </c>
      <c r="N552" s="16">
        <v>3130581</v>
      </c>
      <c r="O552" s="16">
        <v>3791198.95</v>
      </c>
      <c r="P552" s="25">
        <v>7276090.8300000001</v>
      </c>
    </row>
    <row r="553" spans="1:16" x14ac:dyDescent="0.3">
      <c r="A553" s="3" t="s">
        <v>1031</v>
      </c>
      <c r="B553" s="1">
        <v>2</v>
      </c>
      <c r="C553" s="1">
        <v>1</v>
      </c>
      <c r="D553" s="3" t="s">
        <v>1032</v>
      </c>
      <c r="E553" s="12">
        <v>2250351.7000000002</v>
      </c>
      <c r="F553" s="12">
        <v>1666163</v>
      </c>
      <c r="G553" s="12">
        <v>2374648.83</v>
      </c>
      <c r="H553" s="12">
        <v>2958837.53</v>
      </c>
      <c r="I553" s="12">
        <v>4365121.18</v>
      </c>
      <c r="J553" s="12">
        <v>1464418</v>
      </c>
      <c r="K553" s="12">
        <v>1416550.12</v>
      </c>
      <c r="L553" s="12">
        <v>4317253.3</v>
      </c>
      <c r="M553" s="24">
        <v>6615472.8799999999</v>
      </c>
      <c r="N553" s="23">
        <v>3130581</v>
      </c>
      <c r="O553" s="23">
        <v>3791198.95</v>
      </c>
      <c r="P553" s="24">
        <v>7276090.8300000001</v>
      </c>
    </row>
    <row r="554" spans="1:16" x14ac:dyDescent="0.3">
      <c r="A554" s="3" t="s">
        <v>1033</v>
      </c>
      <c r="B554" s="2">
        <v>1</v>
      </c>
      <c r="C554" s="2">
        <v>0</v>
      </c>
      <c r="D554" s="14" t="s">
        <v>1034</v>
      </c>
      <c r="E554" s="16">
        <v>512563.44</v>
      </c>
      <c r="F554" s="16">
        <v>2128569.2799999998</v>
      </c>
      <c r="G554" s="16">
        <v>2236727.88</v>
      </c>
      <c r="H554" s="16">
        <v>620722.04</v>
      </c>
      <c r="I554" s="16">
        <v>339782.3</v>
      </c>
      <c r="J554" s="16">
        <v>495414.22</v>
      </c>
      <c r="K554" s="16">
        <v>567290.84</v>
      </c>
      <c r="L554" s="16">
        <v>411658.92</v>
      </c>
      <c r="M554" s="25">
        <v>852345.74</v>
      </c>
      <c r="N554" s="16">
        <v>2623983.5</v>
      </c>
      <c r="O554" s="16">
        <v>2804018.7199999997</v>
      </c>
      <c r="P554" s="25">
        <v>1032380.96</v>
      </c>
    </row>
    <row r="555" spans="1:16" x14ac:dyDescent="0.3">
      <c r="A555" s="3" t="s">
        <v>1035</v>
      </c>
      <c r="B555" s="1">
        <v>2</v>
      </c>
      <c r="C555" s="1">
        <v>1</v>
      </c>
      <c r="D555" s="3" t="s">
        <v>1034</v>
      </c>
      <c r="E555" s="12">
        <v>33838.1</v>
      </c>
      <c r="F555" s="12">
        <v>2128569.2799999998</v>
      </c>
      <c r="G555" s="12">
        <v>2129233.2000000002</v>
      </c>
      <c r="H555" s="12">
        <v>34502.019999999997</v>
      </c>
      <c r="I555" s="12">
        <v>5916.9</v>
      </c>
      <c r="J555" s="12">
        <v>495414.22</v>
      </c>
      <c r="K555" s="12">
        <v>553503.6</v>
      </c>
      <c r="L555" s="12">
        <v>64006.28</v>
      </c>
      <c r="M555" s="24">
        <v>39755</v>
      </c>
      <c r="N555" s="23">
        <v>2623983.5</v>
      </c>
      <c r="O555" s="23">
        <v>2682736.8000000003</v>
      </c>
      <c r="P555" s="24">
        <v>98508.299999999988</v>
      </c>
    </row>
    <row r="556" spans="1:16" x14ac:dyDescent="0.3">
      <c r="A556" s="3" t="s">
        <v>1036</v>
      </c>
      <c r="B556" s="1">
        <v>2</v>
      </c>
      <c r="C556" s="1">
        <v>1</v>
      </c>
      <c r="D556" s="3" t="s">
        <v>1037</v>
      </c>
      <c r="E556" s="12">
        <v>478725.34</v>
      </c>
      <c r="F556" s="12">
        <v>0</v>
      </c>
      <c r="G556" s="12">
        <v>107494.68</v>
      </c>
      <c r="H556" s="12">
        <v>586220.02</v>
      </c>
      <c r="I556" s="12">
        <v>333865.40000000002</v>
      </c>
      <c r="J556" s="12">
        <v>0</v>
      </c>
      <c r="K556" s="12">
        <v>13787.24</v>
      </c>
      <c r="L556" s="12">
        <v>347652.64</v>
      </c>
      <c r="M556" s="24">
        <v>812590.74</v>
      </c>
      <c r="N556" s="23">
        <v>0</v>
      </c>
      <c r="O556" s="23">
        <v>121281.92</v>
      </c>
      <c r="P556" s="24">
        <v>933872.66</v>
      </c>
    </row>
    <row r="557" spans="1:16" x14ac:dyDescent="0.3">
      <c r="A557" s="3" t="s">
        <v>1038</v>
      </c>
      <c r="B557" s="2">
        <v>1</v>
      </c>
      <c r="C557" s="2">
        <v>0</v>
      </c>
      <c r="D557" s="14" t="s">
        <v>1039</v>
      </c>
      <c r="E557" s="16">
        <v>997083.74</v>
      </c>
      <c r="F557" s="16">
        <v>997083.74</v>
      </c>
      <c r="G557" s="16">
        <v>269296.28999999998</v>
      </c>
      <c r="H557" s="16">
        <v>269296.28999999998</v>
      </c>
      <c r="I557" s="16">
        <v>119177.66</v>
      </c>
      <c r="J557" s="16">
        <v>1032.07</v>
      </c>
      <c r="K557" s="16">
        <v>39426.879999999997</v>
      </c>
      <c r="L557" s="16">
        <v>157572.47</v>
      </c>
      <c r="M557" s="25">
        <v>1116261.3999999999</v>
      </c>
      <c r="N557" s="16">
        <v>998115.80999999994</v>
      </c>
      <c r="O557" s="16">
        <v>308723.17</v>
      </c>
      <c r="P557" s="25">
        <v>426868.76</v>
      </c>
    </row>
    <row r="558" spans="1:16" x14ac:dyDescent="0.3">
      <c r="A558" s="3" t="s">
        <v>1040</v>
      </c>
      <c r="B558" s="1">
        <v>2</v>
      </c>
      <c r="C558" s="1">
        <v>1</v>
      </c>
      <c r="D558" s="3" t="s">
        <v>1041</v>
      </c>
      <c r="E558" s="12">
        <v>258863.64</v>
      </c>
      <c r="F558" s="12">
        <v>258863.64</v>
      </c>
      <c r="G558" s="12">
        <v>269296.28999999998</v>
      </c>
      <c r="H558" s="12">
        <v>269296.28999999998</v>
      </c>
      <c r="I558" s="12">
        <v>42118.41</v>
      </c>
      <c r="J558" s="12">
        <v>0</v>
      </c>
      <c r="K558" s="12">
        <v>39426.879999999997</v>
      </c>
      <c r="L558" s="12">
        <v>81545.289999999994</v>
      </c>
      <c r="M558" s="24">
        <v>300982.05000000005</v>
      </c>
      <c r="N558" s="23">
        <v>258863.64</v>
      </c>
      <c r="O558" s="23">
        <v>308723.17</v>
      </c>
      <c r="P558" s="24">
        <v>350841.57999999996</v>
      </c>
    </row>
    <row r="559" spans="1:16" x14ac:dyDescent="0.3">
      <c r="A559" s="3" t="s">
        <v>1042</v>
      </c>
      <c r="B559" s="1">
        <v>2</v>
      </c>
      <c r="C559" s="1">
        <v>1</v>
      </c>
      <c r="D559" s="3" t="s">
        <v>1043</v>
      </c>
      <c r="E559" s="12">
        <v>398151.33</v>
      </c>
      <c r="F559" s="12">
        <v>398151.33</v>
      </c>
      <c r="G559" s="12">
        <v>0</v>
      </c>
      <c r="H559" s="12">
        <v>0</v>
      </c>
      <c r="I559" s="12">
        <v>47525.32</v>
      </c>
      <c r="J559" s="12">
        <v>651.58000000000004</v>
      </c>
      <c r="K559" s="12">
        <v>0</v>
      </c>
      <c r="L559" s="12">
        <v>46873.74</v>
      </c>
      <c r="M559" s="24">
        <v>445676.65</v>
      </c>
      <c r="N559" s="23">
        <v>398802.91000000003</v>
      </c>
      <c r="O559" s="23">
        <v>0</v>
      </c>
      <c r="P559" s="24">
        <v>46873.74</v>
      </c>
    </row>
    <row r="560" spans="1:16" x14ac:dyDescent="0.3">
      <c r="A560" s="3" t="s">
        <v>1044</v>
      </c>
      <c r="B560" s="1">
        <v>2</v>
      </c>
      <c r="C560" s="1">
        <v>1</v>
      </c>
      <c r="D560" s="3" t="s">
        <v>1045</v>
      </c>
      <c r="E560" s="12">
        <v>340068.77</v>
      </c>
      <c r="F560" s="12">
        <v>340068.77</v>
      </c>
      <c r="G560" s="12">
        <v>0</v>
      </c>
      <c r="H560" s="12">
        <v>0</v>
      </c>
      <c r="I560" s="12">
        <v>29533.93</v>
      </c>
      <c r="J560" s="12">
        <v>380.49</v>
      </c>
      <c r="K560" s="12">
        <v>0</v>
      </c>
      <c r="L560" s="12">
        <v>29153.439999999999</v>
      </c>
      <c r="M560" s="24">
        <v>369602.7</v>
      </c>
      <c r="N560" s="23">
        <v>340449.26</v>
      </c>
      <c r="O560" s="23">
        <v>0</v>
      </c>
      <c r="P560" s="24">
        <v>29153.439999999999</v>
      </c>
    </row>
    <row r="561" spans="1:16" x14ac:dyDescent="0.3">
      <c r="A561" s="3" t="s">
        <v>1046</v>
      </c>
      <c r="B561" s="2">
        <v>1</v>
      </c>
      <c r="C561" s="2">
        <v>0</v>
      </c>
      <c r="D561" s="14" t="s">
        <v>1047</v>
      </c>
      <c r="E561" s="16">
        <v>757574.96</v>
      </c>
      <c r="F561" s="16">
        <v>0</v>
      </c>
      <c r="G561" s="16">
        <v>88409.46</v>
      </c>
      <c r="H561" s="16">
        <v>845984.42</v>
      </c>
      <c r="I561" s="16">
        <v>17605508.25</v>
      </c>
      <c r="J561" s="16">
        <v>1326279</v>
      </c>
      <c r="K561" s="16">
        <v>319399.01</v>
      </c>
      <c r="L561" s="16">
        <v>16598628.26</v>
      </c>
      <c r="M561" s="25">
        <v>18363083.210000001</v>
      </c>
      <c r="N561" s="16">
        <v>1326279</v>
      </c>
      <c r="O561" s="16">
        <v>407808.47000000003</v>
      </c>
      <c r="P561" s="25">
        <v>17444612.68</v>
      </c>
    </row>
    <row r="562" spans="1:16" x14ac:dyDescent="0.3">
      <c r="A562" s="3" t="s">
        <v>1048</v>
      </c>
      <c r="B562" s="1">
        <v>2</v>
      </c>
      <c r="C562" s="1">
        <v>1</v>
      </c>
      <c r="D562" s="3" t="s">
        <v>1049</v>
      </c>
      <c r="E562" s="12">
        <v>411760.95</v>
      </c>
      <c r="F562" s="12">
        <v>0</v>
      </c>
      <c r="G562" s="12">
        <v>0</v>
      </c>
      <c r="H562" s="12">
        <v>411760.95</v>
      </c>
      <c r="I562" s="12">
        <v>14267758.439999999</v>
      </c>
      <c r="J562" s="12">
        <v>1326279</v>
      </c>
      <c r="K562" s="12">
        <v>306127.65000000002</v>
      </c>
      <c r="L562" s="12">
        <v>13247607.09</v>
      </c>
      <c r="M562" s="24">
        <v>14679519.389999999</v>
      </c>
      <c r="N562" s="23">
        <v>1326279</v>
      </c>
      <c r="O562" s="23">
        <v>306127.65000000002</v>
      </c>
      <c r="P562" s="24">
        <v>13659368.039999999</v>
      </c>
    </row>
    <row r="563" spans="1:16" x14ac:dyDescent="0.3">
      <c r="A563" s="3" t="s">
        <v>1050</v>
      </c>
      <c r="B563" s="1">
        <v>2</v>
      </c>
      <c r="C563" s="1">
        <v>1</v>
      </c>
      <c r="D563" s="3" t="s">
        <v>1051</v>
      </c>
      <c r="E563" s="12">
        <v>34021</v>
      </c>
      <c r="F563" s="12">
        <v>0</v>
      </c>
      <c r="G563" s="12">
        <v>0</v>
      </c>
      <c r="H563" s="12">
        <v>34021</v>
      </c>
      <c r="I563" s="12">
        <v>0</v>
      </c>
      <c r="J563" s="12">
        <v>0</v>
      </c>
      <c r="K563" s="12">
        <v>0</v>
      </c>
      <c r="L563" s="12">
        <v>0</v>
      </c>
      <c r="M563" s="24">
        <v>34021</v>
      </c>
      <c r="N563" s="23">
        <v>0</v>
      </c>
      <c r="O563" s="23">
        <v>0</v>
      </c>
      <c r="P563" s="24">
        <v>34021</v>
      </c>
    </row>
    <row r="564" spans="1:16" x14ac:dyDescent="0.3">
      <c r="A564" s="3" t="s">
        <v>1052</v>
      </c>
      <c r="B564" s="1">
        <v>2</v>
      </c>
      <c r="C564" s="1">
        <v>1</v>
      </c>
      <c r="D564" s="3" t="s">
        <v>1053</v>
      </c>
      <c r="E564" s="12">
        <v>196911.39</v>
      </c>
      <c r="F564" s="12">
        <v>0</v>
      </c>
      <c r="G564" s="12">
        <v>88409.46</v>
      </c>
      <c r="H564" s="12">
        <v>285320.84999999998</v>
      </c>
      <c r="I564" s="12">
        <v>3337749.81</v>
      </c>
      <c r="J564" s="12">
        <v>0</v>
      </c>
      <c r="K564" s="12">
        <v>13271.36</v>
      </c>
      <c r="L564" s="12">
        <v>3351021.17</v>
      </c>
      <c r="M564" s="24">
        <v>3534661.2</v>
      </c>
      <c r="N564" s="23">
        <v>0</v>
      </c>
      <c r="O564" s="23">
        <v>101680.82</v>
      </c>
      <c r="P564" s="24">
        <v>3636342.02</v>
      </c>
    </row>
    <row r="565" spans="1:16" x14ac:dyDescent="0.3">
      <c r="A565" s="3" t="s">
        <v>1054</v>
      </c>
      <c r="B565" s="1">
        <v>2</v>
      </c>
      <c r="C565" s="1">
        <v>1</v>
      </c>
      <c r="D565" s="3" t="s">
        <v>1055</v>
      </c>
      <c r="E565" s="12">
        <v>114881.62</v>
      </c>
      <c r="F565" s="12">
        <v>0</v>
      </c>
      <c r="G565" s="12">
        <v>0</v>
      </c>
      <c r="H565" s="12">
        <v>114881.62</v>
      </c>
      <c r="I565" s="12">
        <v>0</v>
      </c>
      <c r="J565" s="12">
        <v>0</v>
      </c>
      <c r="K565" s="12">
        <v>0</v>
      </c>
      <c r="L565" s="12">
        <v>0</v>
      </c>
      <c r="M565" s="24">
        <v>114881.62</v>
      </c>
      <c r="N565" s="23">
        <v>0</v>
      </c>
      <c r="O565" s="23">
        <v>0</v>
      </c>
      <c r="P565" s="24">
        <v>114881.62</v>
      </c>
    </row>
    <row r="566" spans="1:16" x14ac:dyDescent="0.3">
      <c r="A566" s="3" t="s">
        <v>1056</v>
      </c>
      <c r="B566" s="2">
        <v>1</v>
      </c>
      <c r="C566" s="2">
        <v>0</v>
      </c>
      <c r="D566" s="14" t="s">
        <v>1057</v>
      </c>
      <c r="E566" s="16">
        <v>0</v>
      </c>
      <c r="F566" s="16">
        <v>0</v>
      </c>
      <c r="G566" s="16">
        <v>0</v>
      </c>
      <c r="H566" s="16">
        <v>0</v>
      </c>
      <c r="I566" s="16">
        <v>242706</v>
      </c>
      <c r="J566" s="16">
        <v>242706</v>
      </c>
      <c r="K566" s="16">
        <v>0</v>
      </c>
      <c r="L566" s="16">
        <v>0</v>
      </c>
      <c r="M566" s="25">
        <v>242706</v>
      </c>
      <c r="N566" s="16">
        <v>242706</v>
      </c>
      <c r="O566" s="16">
        <v>0</v>
      </c>
      <c r="P566" s="25">
        <v>0</v>
      </c>
    </row>
    <row r="567" spans="1:16" x14ac:dyDescent="0.3">
      <c r="A567" s="3" t="s">
        <v>1058</v>
      </c>
      <c r="B567" s="1">
        <v>2</v>
      </c>
      <c r="C567" s="1">
        <v>1</v>
      </c>
      <c r="D567" s="3" t="s">
        <v>1057</v>
      </c>
      <c r="E567" s="12">
        <v>0</v>
      </c>
      <c r="F567" s="12">
        <v>0</v>
      </c>
      <c r="G567" s="12">
        <v>0</v>
      </c>
      <c r="H567" s="12">
        <v>0</v>
      </c>
      <c r="I567" s="12">
        <v>242706</v>
      </c>
      <c r="J567" s="12">
        <v>242706</v>
      </c>
      <c r="K567" s="12">
        <v>0</v>
      </c>
      <c r="L567" s="12">
        <v>0</v>
      </c>
      <c r="M567" s="24">
        <v>242706</v>
      </c>
      <c r="N567" s="23">
        <v>242706</v>
      </c>
      <c r="O567" s="23">
        <v>0</v>
      </c>
      <c r="P567" s="24">
        <v>0</v>
      </c>
    </row>
    <row r="568" spans="1:16" x14ac:dyDescent="0.3">
      <c r="A568" s="3" t="s">
        <v>1059</v>
      </c>
      <c r="B568" s="2">
        <v>1</v>
      </c>
      <c r="C568" s="2">
        <v>0</v>
      </c>
      <c r="D568" s="14" t="s">
        <v>1060</v>
      </c>
      <c r="E568" s="16">
        <v>217671.72</v>
      </c>
      <c r="F568" s="16">
        <v>33756.230000000003</v>
      </c>
      <c r="G568" s="16">
        <v>428851.65</v>
      </c>
      <c r="H568" s="16">
        <v>612767.14</v>
      </c>
      <c r="I568" s="16">
        <v>513115.02</v>
      </c>
      <c r="J568" s="16">
        <v>192193.45</v>
      </c>
      <c r="K568" s="16">
        <v>206842.28</v>
      </c>
      <c r="L568" s="16">
        <v>527763.85</v>
      </c>
      <c r="M568" s="25">
        <v>730786.74</v>
      </c>
      <c r="N568" s="16">
        <v>225949.68000000002</v>
      </c>
      <c r="O568" s="16">
        <v>635693.93000000005</v>
      </c>
      <c r="P568" s="25">
        <v>1140530.99</v>
      </c>
    </row>
    <row r="569" spans="1:16" x14ac:dyDescent="0.3">
      <c r="A569" s="3" t="s">
        <v>1061</v>
      </c>
      <c r="B569" s="1">
        <v>2</v>
      </c>
      <c r="C569" s="1">
        <v>1</v>
      </c>
      <c r="D569" s="3" t="s">
        <v>1062</v>
      </c>
      <c r="E569" s="12">
        <v>258648.91</v>
      </c>
      <c r="F569" s="12">
        <v>0</v>
      </c>
      <c r="G569" s="12">
        <v>287789.03000000003</v>
      </c>
      <c r="H569" s="12">
        <v>546437.93999999994</v>
      </c>
      <c r="I569" s="12">
        <v>419977.55</v>
      </c>
      <c r="J569" s="12">
        <v>98917</v>
      </c>
      <c r="K569" s="12">
        <v>127107.3</v>
      </c>
      <c r="L569" s="12">
        <v>448167.85</v>
      </c>
      <c r="M569" s="24">
        <v>678626.46</v>
      </c>
      <c r="N569" s="23">
        <v>98917</v>
      </c>
      <c r="O569" s="23">
        <v>414896.33</v>
      </c>
      <c r="P569" s="24">
        <v>994605.78999999992</v>
      </c>
    </row>
    <row r="570" spans="1:16" x14ac:dyDescent="0.3">
      <c r="A570" s="3" t="s">
        <v>1063</v>
      </c>
      <c r="B570" s="1">
        <v>2</v>
      </c>
      <c r="C570" s="1">
        <v>0</v>
      </c>
      <c r="D570" s="3" t="s">
        <v>1064</v>
      </c>
      <c r="E570" s="12">
        <v>0</v>
      </c>
      <c r="F570" s="12">
        <v>2897.59</v>
      </c>
      <c r="G570" s="12">
        <v>3129.33</v>
      </c>
      <c r="H570" s="12">
        <v>231.74</v>
      </c>
      <c r="I570" s="12">
        <v>19946.23</v>
      </c>
      <c r="J570" s="12">
        <v>33699.56</v>
      </c>
      <c r="K570" s="12">
        <v>33758.339999999997</v>
      </c>
      <c r="L570" s="12">
        <v>20005.009999999998</v>
      </c>
      <c r="M570" s="24">
        <v>19946.23</v>
      </c>
      <c r="N570" s="23">
        <v>36597.149999999994</v>
      </c>
      <c r="O570" s="23">
        <v>36887.67</v>
      </c>
      <c r="P570" s="24">
        <v>20236.75</v>
      </c>
    </row>
    <row r="571" spans="1:16" x14ac:dyDescent="0.3">
      <c r="A571" s="3" t="s">
        <v>1065</v>
      </c>
      <c r="B571" s="1">
        <v>2</v>
      </c>
      <c r="C571" s="1">
        <v>0</v>
      </c>
      <c r="D571" s="3" t="s">
        <v>1066</v>
      </c>
      <c r="E571" s="12">
        <v>0</v>
      </c>
      <c r="F571" s="12">
        <v>1513.21</v>
      </c>
      <c r="G571" s="12">
        <v>1708.07</v>
      </c>
      <c r="H571" s="12">
        <v>194.86</v>
      </c>
      <c r="I571" s="12">
        <v>19946.23</v>
      </c>
      <c r="J571" s="12">
        <v>29874.560000000001</v>
      </c>
      <c r="K571" s="12">
        <v>29933.34</v>
      </c>
      <c r="L571" s="12">
        <v>20005.009999999998</v>
      </c>
      <c r="M571" s="24">
        <v>19946.23</v>
      </c>
      <c r="N571" s="23">
        <v>31387.77</v>
      </c>
      <c r="O571" s="23">
        <v>31641.41</v>
      </c>
      <c r="P571" s="24">
        <v>20199.87</v>
      </c>
    </row>
    <row r="572" spans="1:16" x14ac:dyDescent="0.3">
      <c r="A572" s="3" t="s">
        <v>1067</v>
      </c>
      <c r="B572" s="1">
        <v>2</v>
      </c>
      <c r="C572" s="1">
        <v>1</v>
      </c>
      <c r="D572" s="3" t="s">
        <v>1068</v>
      </c>
      <c r="E572" s="12">
        <v>429.95</v>
      </c>
      <c r="F572" s="12">
        <v>1513.21</v>
      </c>
      <c r="G572" s="12">
        <v>1708.07</v>
      </c>
      <c r="H572" s="12">
        <v>624.80999999999995</v>
      </c>
      <c r="I572" s="12">
        <v>13563.71</v>
      </c>
      <c r="J572" s="12">
        <v>13661.2</v>
      </c>
      <c r="K572" s="12">
        <v>13719.96</v>
      </c>
      <c r="L572" s="12">
        <v>13622.47</v>
      </c>
      <c r="M572" s="24">
        <v>13993.66</v>
      </c>
      <c r="N572" s="23">
        <v>15174.41</v>
      </c>
      <c r="O572" s="23">
        <v>15428.029999999999</v>
      </c>
      <c r="P572" s="24">
        <v>14247.279999999999</v>
      </c>
    </row>
    <row r="573" spans="1:16" x14ac:dyDescent="0.3">
      <c r="A573" s="3" t="s">
        <v>1069</v>
      </c>
      <c r="B573" s="1">
        <v>2</v>
      </c>
      <c r="C573" s="1">
        <v>1</v>
      </c>
      <c r="D573" s="3" t="s">
        <v>1070</v>
      </c>
      <c r="E573" s="12">
        <v>0</v>
      </c>
      <c r="F573" s="12">
        <v>0</v>
      </c>
      <c r="G573" s="12">
        <v>0</v>
      </c>
      <c r="H573" s="12">
        <v>0</v>
      </c>
      <c r="I573" s="12">
        <v>4462.1899999999996</v>
      </c>
      <c r="J573" s="12">
        <v>13866.69</v>
      </c>
      <c r="K573" s="12">
        <v>13866.71</v>
      </c>
      <c r="L573" s="12">
        <v>4462.21</v>
      </c>
      <c r="M573" s="24">
        <v>4462.1899999999996</v>
      </c>
      <c r="N573" s="23">
        <v>13866.69</v>
      </c>
      <c r="O573" s="23">
        <v>13866.71</v>
      </c>
      <c r="P573" s="24">
        <v>4462.21</v>
      </c>
    </row>
    <row r="574" spans="1:16" x14ac:dyDescent="0.3">
      <c r="A574" s="3" t="s">
        <v>1071</v>
      </c>
      <c r="B574" s="1">
        <v>2</v>
      </c>
      <c r="C574" s="1">
        <v>1</v>
      </c>
      <c r="D574" s="3" t="s">
        <v>1072</v>
      </c>
      <c r="E574" s="12">
        <v>0</v>
      </c>
      <c r="F574" s="12">
        <v>0</v>
      </c>
      <c r="G574" s="12">
        <v>0</v>
      </c>
      <c r="H574" s="12">
        <v>0</v>
      </c>
      <c r="I574" s="12">
        <v>1920.33</v>
      </c>
      <c r="J574" s="12">
        <v>2346.67</v>
      </c>
      <c r="K574" s="12">
        <v>2346.67</v>
      </c>
      <c r="L574" s="12">
        <v>1920.33</v>
      </c>
      <c r="M574" s="24">
        <v>1920.33</v>
      </c>
      <c r="N574" s="23">
        <v>2346.67</v>
      </c>
      <c r="O574" s="23">
        <v>2346.67</v>
      </c>
      <c r="P574" s="24">
        <v>1920.33</v>
      </c>
    </row>
    <row r="575" spans="1:16" x14ac:dyDescent="0.3">
      <c r="A575" s="3" t="s">
        <v>1073</v>
      </c>
      <c r="B575" s="1">
        <v>2</v>
      </c>
      <c r="C575" s="1">
        <v>0</v>
      </c>
      <c r="D575" s="3" t="s">
        <v>1074</v>
      </c>
      <c r="E575" s="12">
        <v>0</v>
      </c>
      <c r="F575" s="12">
        <v>1384.38</v>
      </c>
      <c r="G575" s="12">
        <v>1421.26</v>
      </c>
      <c r="H575" s="12">
        <v>36.880000000000003</v>
      </c>
      <c r="I575" s="12">
        <v>0</v>
      </c>
      <c r="J575" s="12">
        <v>3825</v>
      </c>
      <c r="K575" s="12">
        <v>3825</v>
      </c>
      <c r="L575" s="12">
        <v>0</v>
      </c>
      <c r="M575" s="24">
        <v>0</v>
      </c>
      <c r="N575" s="23">
        <v>5209.38</v>
      </c>
      <c r="O575" s="23">
        <v>5246.26</v>
      </c>
      <c r="P575" s="24">
        <v>36.880000000000003</v>
      </c>
    </row>
    <row r="576" spans="1:16" x14ac:dyDescent="0.3">
      <c r="A576" s="3" t="s">
        <v>1075</v>
      </c>
      <c r="B576" s="1">
        <v>2</v>
      </c>
      <c r="C576" s="1">
        <v>1</v>
      </c>
      <c r="D576" s="3" t="s">
        <v>1076</v>
      </c>
      <c r="E576" s="12">
        <v>0</v>
      </c>
      <c r="F576" s="12">
        <v>0</v>
      </c>
      <c r="G576" s="12">
        <v>0</v>
      </c>
      <c r="H576" s="12">
        <v>0</v>
      </c>
      <c r="I576" s="12">
        <v>0</v>
      </c>
      <c r="J576" s="12">
        <v>2200</v>
      </c>
      <c r="K576" s="12">
        <v>2200</v>
      </c>
      <c r="L576" s="12">
        <v>0</v>
      </c>
      <c r="M576" s="24">
        <v>0</v>
      </c>
      <c r="N576" s="23">
        <v>2200</v>
      </c>
      <c r="O576" s="23">
        <v>2200</v>
      </c>
      <c r="P576" s="24">
        <v>0</v>
      </c>
    </row>
    <row r="577" spans="1:16" x14ac:dyDescent="0.3">
      <c r="A577" s="3" t="s">
        <v>1077</v>
      </c>
      <c r="B577" s="1">
        <v>2</v>
      </c>
      <c r="C577" s="1">
        <v>1</v>
      </c>
      <c r="D577" s="3" t="s">
        <v>1078</v>
      </c>
      <c r="E577" s="12">
        <v>0</v>
      </c>
      <c r="F577" s="12">
        <v>1384.38</v>
      </c>
      <c r="G577" s="12">
        <v>1421.26</v>
      </c>
      <c r="H577" s="12">
        <v>36.880000000000003</v>
      </c>
      <c r="I577" s="12">
        <v>0</v>
      </c>
      <c r="J577" s="12">
        <v>1625</v>
      </c>
      <c r="K577" s="12">
        <v>1625</v>
      </c>
      <c r="L577" s="12">
        <v>0</v>
      </c>
      <c r="M577" s="24">
        <v>0</v>
      </c>
      <c r="N577" s="23">
        <v>3009.38</v>
      </c>
      <c r="O577" s="23">
        <v>3046.26</v>
      </c>
      <c r="P577" s="24">
        <v>36.880000000000003</v>
      </c>
    </row>
    <row r="578" spans="1:16" x14ac:dyDescent="0.3">
      <c r="A578" s="3" t="s">
        <v>1079</v>
      </c>
      <c r="B578" s="1">
        <v>2</v>
      </c>
      <c r="C578" s="1">
        <v>0</v>
      </c>
      <c r="D578" s="3" t="s">
        <v>1080</v>
      </c>
      <c r="E578" s="12">
        <v>2157.27</v>
      </c>
      <c r="F578" s="12">
        <v>0</v>
      </c>
      <c r="G578" s="12">
        <v>8486</v>
      </c>
      <c r="H578" s="12">
        <v>10643.27</v>
      </c>
      <c r="I578" s="12">
        <v>56239.19</v>
      </c>
      <c r="J578" s="12">
        <v>56012</v>
      </c>
      <c r="K578" s="12">
        <v>36791.919999999998</v>
      </c>
      <c r="L578" s="12">
        <v>37019.11</v>
      </c>
      <c r="M578" s="24">
        <v>58396.46</v>
      </c>
      <c r="N578" s="23">
        <v>56012</v>
      </c>
      <c r="O578" s="23">
        <v>45277.919999999998</v>
      </c>
      <c r="P578" s="24">
        <v>47662.380000000005</v>
      </c>
    </row>
    <row r="579" spans="1:16" x14ac:dyDescent="0.3">
      <c r="A579" s="3" t="s">
        <v>1081</v>
      </c>
      <c r="B579" s="1">
        <v>2</v>
      </c>
      <c r="C579" s="1">
        <v>0</v>
      </c>
      <c r="D579" s="3" t="s">
        <v>1082</v>
      </c>
      <c r="E579" s="12">
        <v>0</v>
      </c>
      <c r="F579" s="12">
        <v>0</v>
      </c>
      <c r="G579" s="12">
        <v>4180.74</v>
      </c>
      <c r="H579" s="12">
        <v>4180.74</v>
      </c>
      <c r="I579" s="12">
        <v>39249.730000000003</v>
      </c>
      <c r="J579" s="12">
        <v>45889</v>
      </c>
      <c r="K579" s="12">
        <v>30343.98</v>
      </c>
      <c r="L579" s="12">
        <v>23704.71</v>
      </c>
      <c r="M579" s="24">
        <v>39249.730000000003</v>
      </c>
      <c r="N579" s="23">
        <v>45889</v>
      </c>
      <c r="O579" s="23">
        <v>34524.720000000001</v>
      </c>
      <c r="P579" s="24">
        <v>27885.449999999997</v>
      </c>
    </row>
    <row r="580" spans="1:16" x14ac:dyDescent="0.3">
      <c r="A580" s="3" t="s">
        <v>1083</v>
      </c>
      <c r="B580" s="1">
        <v>2</v>
      </c>
      <c r="C580" s="1">
        <v>1</v>
      </c>
      <c r="D580" s="3" t="s">
        <v>1084</v>
      </c>
      <c r="E580" s="12">
        <v>3332.1</v>
      </c>
      <c r="F580" s="12">
        <v>0</v>
      </c>
      <c r="G580" s="12">
        <v>1674.07</v>
      </c>
      <c r="H580" s="12">
        <v>5006.17</v>
      </c>
      <c r="I580" s="12">
        <v>17832.990000000002</v>
      </c>
      <c r="J580" s="12">
        <v>43094</v>
      </c>
      <c r="K580" s="12">
        <v>16692.68</v>
      </c>
      <c r="L580" s="17">
        <v>-8568.33</v>
      </c>
      <c r="M580" s="24">
        <v>21165.09</v>
      </c>
      <c r="N580" s="23">
        <v>43094</v>
      </c>
      <c r="O580" s="23">
        <v>18366.75</v>
      </c>
      <c r="P580" s="24">
        <v>-3562.16</v>
      </c>
    </row>
    <row r="581" spans="1:16" x14ac:dyDescent="0.3">
      <c r="A581" s="3" t="s">
        <v>1085</v>
      </c>
      <c r="B581" s="1">
        <v>2</v>
      </c>
      <c r="C581" s="1">
        <v>1</v>
      </c>
      <c r="D581" s="3" t="s">
        <v>1086</v>
      </c>
      <c r="E581" s="12">
        <v>8960.25</v>
      </c>
      <c r="F581" s="12">
        <v>0</v>
      </c>
      <c r="G581" s="12">
        <v>2506.67</v>
      </c>
      <c r="H581" s="12">
        <v>11466.92</v>
      </c>
      <c r="I581" s="12">
        <v>14307.84</v>
      </c>
      <c r="J581" s="12">
        <v>448</v>
      </c>
      <c r="K581" s="12">
        <v>11304.63</v>
      </c>
      <c r="L581" s="12">
        <v>25164.47</v>
      </c>
      <c r="M581" s="24">
        <v>23268.09</v>
      </c>
      <c r="N581" s="23">
        <v>448</v>
      </c>
      <c r="O581" s="23">
        <v>13811.3</v>
      </c>
      <c r="P581" s="24">
        <v>36631.39</v>
      </c>
    </row>
    <row r="582" spans="1:16" x14ac:dyDescent="0.3">
      <c r="A582" s="3" t="s">
        <v>1087</v>
      </c>
      <c r="B582" s="1">
        <v>2</v>
      </c>
      <c r="C582" s="1">
        <v>1</v>
      </c>
      <c r="D582" s="3" t="s">
        <v>1088</v>
      </c>
      <c r="E582" s="12">
        <v>0</v>
      </c>
      <c r="F582" s="12">
        <v>0</v>
      </c>
      <c r="G582" s="12">
        <v>0</v>
      </c>
      <c r="H582" s="12">
        <v>0</v>
      </c>
      <c r="I582" s="12">
        <v>7108.9</v>
      </c>
      <c r="J582" s="12">
        <v>2347</v>
      </c>
      <c r="K582" s="12">
        <v>2346.67</v>
      </c>
      <c r="L582" s="12">
        <v>7108.57</v>
      </c>
      <c r="M582" s="24">
        <v>7108.9</v>
      </c>
      <c r="N582" s="23">
        <v>2347</v>
      </c>
      <c r="O582" s="23">
        <v>2346.67</v>
      </c>
      <c r="P582" s="24">
        <v>7108.57</v>
      </c>
    </row>
    <row r="583" spans="1:16" x14ac:dyDescent="0.3">
      <c r="A583" s="3" t="s">
        <v>1089</v>
      </c>
      <c r="B583" s="1">
        <v>2</v>
      </c>
      <c r="C583" s="1">
        <v>0</v>
      </c>
      <c r="D583" s="3" t="s">
        <v>1090</v>
      </c>
      <c r="E583" s="12">
        <v>2157.27</v>
      </c>
      <c r="F583" s="12">
        <v>0</v>
      </c>
      <c r="G583" s="12">
        <v>4305.26</v>
      </c>
      <c r="H583" s="12">
        <v>6462.53</v>
      </c>
      <c r="I583" s="12">
        <v>16989.46</v>
      </c>
      <c r="J583" s="12">
        <v>10123</v>
      </c>
      <c r="K583" s="12">
        <v>6447.94</v>
      </c>
      <c r="L583" s="12">
        <v>13314.4</v>
      </c>
      <c r="M583" s="24">
        <v>19146.73</v>
      </c>
      <c r="N583" s="23">
        <v>10123</v>
      </c>
      <c r="O583" s="23">
        <v>10753.2</v>
      </c>
      <c r="P583" s="24">
        <v>19776.93</v>
      </c>
    </row>
    <row r="584" spans="1:16" x14ac:dyDescent="0.3">
      <c r="A584" s="3" t="s">
        <v>1091</v>
      </c>
      <c r="B584" s="1">
        <v>2</v>
      </c>
      <c r="C584" s="1">
        <v>1</v>
      </c>
      <c r="D584" s="3" t="s">
        <v>1092</v>
      </c>
      <c r="E584" s="12">
        <v>2504.9</v>
      </c>
      <c r="F584" s="12">
        <v>0</v>
      </c>
      <c r="G584" s="12">
        <v>0</v>
      </c>
      <c r="H584" s="12">
        <v>2504.9</v>
      </c>
      <c r="I584" s="12">
        <v>1227.58</v>
      </c>
      <c r="J584" s="12">
        <v>420</v>
      </c>
      <c r="K584" s="12">
        <v>2562.06</v>
      </c>
      <c r="L584" s="12">
        <v>3369.64</v>
      </c>
      <c r="M584" s="24">
        <v>3732.48</v>
      </c>
      <c r="N584" s="23">
        <v>420</v>
      </c>
      <c r="O584" s="23">
        <v>2562.06</v>
      </c>
      <c r="P584" s="24">
        <v>5874.54</v>
      </c>
    </row>
    <row r="585" spans="1:16" x14ac:dyDescent="0.3">
      <c r="A585" s="3" t="s">
        <v>1093</v>
      </c>
      <c r="B585" s="1">
        <v>2</v>
      </c>
      <c r="C585" s="1">
        <v>1</v>
      </c>
      <c r="D585" s="3" t="s">
        <v>1094</v>
      </c>
      <c r="E585" s="12">
        <v>2388.7800000000002</v>
      </c>
      <c r="F585" s="12">
        <v>0</v>
      </c>
      <c r="G585" s="12">
        <v>2388.89</v>
      </c>
      <c r="H585" s="12">
        <v>4777.67</v>
      </c>
      <c r="I585" s="12">
        <v>12018.69</v>
      </c>
      <c r="J585" s="12">
        <v>9703</v>
      </c>
      <c r="K585" s="12">
        <v>2200</v>
      </c>
      <c r="L585" s="12">
        <v>4515.6899999999996</v>
      </c>
      <c r="M585" s="24">
        <v>14407.470000000001</v>
      </c>
      <c r="N585" s="23">
        <v>9703</v>
      </c>
      <c r="O585" s="23">
        <v>4588.8899999999994</v>
      </c>
      <c r="P585" s="24">
        <v>9293.36</v>
      </c>
    </row>
    <row r="586" spans="1:16" x14ac:dyDescent="0.3">
      <c r="A586" s="3" t="s">
        <v>1095</v>
      </c>
      <c r="B586" s="1">
        <v>2</v>
      </c>
      <c r="C586" s="1">
        <v>1</v>
      </c>
      <c r="D586" s="3" t="s">
        <v>1096</v>
      </c>
      <c r="E586" s="12">
        <v>2157.27</v>
      </c>
      <c r="F586" s="12">
        <v>0</v>
      </c>
      <c r="G586" s="12">
        <v>1916.37</v>
      </c>
      <c r="H586" s="12">
        <v>4073.64</v>
      </c>
      <c r="I586" s="12">
        <v>3743.19</v>
      </c>
      <c r="J586" s="12">
        <v>0</v>
      </c>
      <c r="K586" s="12">
        <v>1685.88</v>
      </c>
      <c r="L586" s="12">
        <v>5429.07</v>
      </c>
      <c r="M586" s="24">
        <v>5900.46</v>
      </c>
      <c r="N586" s="23">
        <v>0</v>
      </c>
      <c r="O586" s="23">
        <v>3602.25</v>
      </c>
      <c r="P586" s="24">
        <v>9502.7099999999991</v>
      </c>
    </row>
    <row r="587" spans="1:16" x14ac:dyDescent="0.3">
      <c r="A587" s="3" t="s">
        <v>1097</v>
      </c>
      <c r="B587" s="1">
        <v>2</v>
      </c>
      <c r="C587" s="1">
        <v>1</v>
      </c>
      <c r="D587" s="3" t="s">
        <v>1098</v>
      </c>
      <c r="E587" s="17">
        <v>-20518.48</v>
      </c>
      <c r="F587" s="12">
        <v>30858.639999999999</v>
      </c>
      <c r="G587" s="12">
        <v>57602.53</v>
      </c>
      <c r="H587" s="12">
        <v>6225.41</v>
      </c>
      <c r="I587" s="12">
        <v>5076.28</v>
      </c>
      <c r="J587" s="12">
        <v>3564.89</v>
      </c>
      <c r="K587" s="12">
        <v>7864.97</v>
      </c>
      <c r="L587" s="12">
        <v>9376.36</v>
      </c>
      <c r="M587" s="24">
        <v>-15442.2</v>
      </c>
      <c r="N587" s="23">
        <v>34423.53</v>
      </c>
      <c r="O587" s="23">
        <v>65467.5</v>
      </c>
      <c r="P587" s="24">
        <v>15601.77</v>
      </c>
    </row>
    <row r="588" spans="1:16" x14ac:dyDescent="0.3">
      <c r="A588" s="3" t="s">
        <v>1099</v>
      </c>
      <c r="B588" s="1">
        <v>2</v>
      </c>
      <c r="C588" s="1">
        <v>0</v>
      </c>
      <c r="D588" s="3" t="s">
        <v>1100</v>
      </c>
      <c r="E588" s="12">
        <v>0</v>
      </c>
      <c r="F588" s="12">
        <v>0</v>
      </c>
      <c r="G588" s="12">
        <v>0</v>
      </c>
      <c r="H588" s="12">
        <v>0</v>
      </c>
      <c r="I588" s="12">
        <v>2280</v>
      </c>
      <c r="J588" s="12">
        <v>0</v>
      </c>
      <c r="K588" s="12">
        <v>0</v>
      </c>
      <c r="L588" s="12">
        <v>2280</v>
      </c>
      <c r="M588" s="24">
        <v>2280</v>
      </c>
      <c r="N588" s="23">
        <v>0</v>
      </c>
      <c r="O588" s="23">
        <v>0</v>
      </c>
      <c r="P588" s="24">
        <v>2280</v>
      </c>
    </row>
    <row r="589" spans="1:16" x14ac:dyDescent="0.3">
      <c r="A589" s="3" t="s">
        <v>1101</v>
      </c>
      <c r="B589" s="1">
        <v>2</v>
      </c>
      <c r="C589" s="1">
        <v>1</v>
      </c>
      <c r="D589" s="3" t="s">
        <v>1102</v>
      </c>
      <c r="E589" s="12">
        <v>0</v>
      </c>
      <c r="F589" s="12">
        <v>0</v>
      </c>
      <c r="G589" s="12">
        <v>0</v>
      </c>
      <c r="H589" s="12">
        <v>0</v>
      </c>
      <c r="I589" s="12">
        <v>2280</v>
      </c>
      <c r="J589" s="12">
        <v>0</v>
      </c>
      <c r="K589" s="12">
        <v>0</v>
      </c>
      <c r="L589" s="12">
        <v>2280</v>
      </c>
      <c r="M589" s="24">
        <v>2280</v>
      </c>
      <c r="N589" s="23">
        <v>0</v>
      </c>
      <c r="O589" s="23">
        <v>0</v>
      </c>
      <c r="P589" s="24">
        <v>2280</v>
      </c>
    </row>
    <row r="590" spans="1:16" x14ac:dyDescent="0.3">
      <c r="A590" s="3" t="s">
        <v>1103</v>
      </c>
      <c r="B590" s="1">
        <v>2</v>
      </c>
      <c r="C590" s="1">
        <v>0</v>
      </c>
      <c r="D590" s="3" t="s">
        <v>1104</v>
      </c>
      <c r="E590" s="17">
        <v>-22615.98</v>
      </c>
      <c r="F590" s="12">
        <v>0</v>
      </c>
      <c r="G590" s="12">
        <v>71844.759999999995</v>
      </c>
      <c r="H590" s="12">
        <v>49228.78</v>
      </c>
      <c r="I590" s="12">
        <v>9595.77</v>
      </c>
      <c r="J590" s="12">
        <v>0</v>
      </c>
      <c r="K590" s="12">
        <v>1319.75</v>
      </c>
      <c r="L590" s="12">
        <v>10915.52</v>
      </c>
      <c r="M590" s="24">
        <v>-13020.21</v>
      </c>
      <c r="N590" s="23">
        <v>0</v>
      </c>
      <c r="O590" s="23">
        <v>73164.509999999995</v>
      </c>
      <c r="P590" s="24">
        <v>60144.3</v>
      </c>
    </row>
    <row r="591" spans="1:16" x14ac:dyDescent="0.3">
      <c r="A591" s="3" t="s">
        <v>1105</v>
      </c>
      <c r="B591" s="1">
        <v>2</v>
      </c>
      <c r="C591" s="1">
        <v>1</v>
      </c>
      <c r="D591" s="3" t="s">
        <v>1106</v>
      </c>
      <c r="E591" s="12">
        <v>0</v>
      </c>
      <c r="F591" s="12">
        <v>0</v>
      </c>
      <c r="G591" s="12">
        <v>0</v>
      </c>
      <c r="H591" s="12">
        <v>0</v>
      </c>
      <c r="I591" s="12">
        <v>45.7</v>
      </c>
      <c r="J591" s="12">
        <v>0</v>
      </c>
      <c r="K591" s="12">
        <v>1319.75</v>
      </c>
      <c r="L591" s="12">
        <v>1365.45</v>
      </c>
      <c r="M591" s="24">
        <v>45.7</v>
      </c>
      <c r="N591" s="23">
        <v>0</v>
      </c>
      <c r="O591" s="23">
        <v>1319.75</v>
      </c>
      <c r="P591" s="24">
        <v>1365.45</v>
      </c>
    </row>
    <row r="592" spans="1:16" x14ac:dyDescent="0.3">
      <c r="A592" s="3" t="s">
        <v>1107</v>
      </c>
      <c r="B592" s="1">
        <v>2</v>
      </c>
      <c r="C592" s="1">
        <v>1</v>
      </c>
      <c r="D592" s="3" t="s">
        <v>1108</v>
      </c>
      <c r="E592" s="17">
        <v>-502.45</v>
      </c>
      <c r="F592" s="12">
        <v>0</v>
      </c>
      <c r="G592" s="12">
        <v>2173.67</v>
      </c>
      <c r="H592" s="12">
        <v>1671.22</v>
      </c>
      <c r="I592" s="12">
        <v>220.14</v>
      </c>
      <c r="J592" s="12">
        <v>0</v>
      </c>
      <c r="K592" s="12">
        <v>0</v>
      </c>
      <c r="L592" s="12">
        <v>220.14</v>
      </c>
      <c r="M592" s="24">
        <v>-282.31</v>
      </c>
      <c r="N592" s="23">
        <v>0</v>
      </c>
      <c r="O592" s="23">
        <v>2173.67</v>
      </c>
      <c r="P592" s="24">
        <v>1891.3600000000001</v>
      </c>
    </row>
    <row r="593" spans="1:16" x14ac:dyDescent="0.3">
      <c r="A593" s="3" t="s">
        <v>1109</v>
      </c>
      <c r="B593" s="1">
        <v>2</v>
      </c>
      <c r="C593" s="1">
        <v>1</v>
      </c>
      <c r="D593" s="3" t="s">
        <v>1110</v>
      </c>
      <c r="E593" s="17">
        <v>-452.74</v>
      </c>
      <c r="F593" s="12">
        <v>0</v>
      </c>
      <c r="G593" s="12">
        <v>3084.34</v>
      </c>
      <c r="H593" s="12">
        <v>2631.6</v>
      </c>
      <c r="I593" s="12">
        <v>345.05</v>
      </c>
      <c r="J593" s="12">
        <v>0</v>
      </c>
      <c r="K593" s="12">
        <v>0</v>
      </c>
      <c r="L593" s="12">
        <v>345.05</v>
      </c>
      <c r="M593" s="24">
        <v>-107.69</v>
      </c>
      <c r="N593" s="23">
        <v>0</v>
      </c>
      <c r="O593" s="23">
        <v>3084.34</v>
      </c>
      <c r="P593" s="24">
        <v>2976.65</v>
      </c>
    </row>
    <row r="594" spans="1:16" x14ac:dyDescent="0.3">
      <c r="A594" s="3" t="s">
        <v>1111</v>
      </c>
      <c r="B594" s="1">
        <v>2</v>
      </c>
      <c r="C594" s="1">
        <v>1</v>
      </c>
      <c r="D594" s="3" t="s">
        <v>1112</v>
      </c>
      <c r="E594" s="17">
        <v>-800.25</v>
      </c>
      <c r="F594" s="12">
        <v>0</v>
      </c>
      <c r="G594" s="12">
        <v>4118.43</v>
      </c>
      <c r="H594" s="12">
        <v>3318.18</v>
      </c>
      <c r="I594" s="12">
        <v>555.88</v>
      </c>
      <c r="J594" s="12">
        <v>0</v>
      </c>
      <c r="K594" s="12">
        <v>0</v>
      </c>
      <c r="L594" s="12">
        <v>555.88</v>
      </c>
      <c r="M594" s="24">
        <v>-244.37</v>
      </c>
      <c r="N594" s="23">
        <v>0</v>
      </c>
      <c r="O594" s="23">
        <v>4118.43</v>
      </c>
      <c r="P594" s="24">
        <v>3874.06</v>
      </c>
    </row>
    <row r="595" spans="1:16" x14ac:dyDescent="0.3">
      <c r="A595" s="3" t="s">
        <v>1113</v>
      </c>
      <c r="B595" s="1">
        <v>2</v>
      </c>
      <c r="C595" s="1">
        <v>1</v>
      </c>
      <c r="D595" s="3" t="s">
        <v>1114</v>
      </c>
      <c r="E595" s="17">
        <v>-667.99</v>
      </c>
      <c r="F595" s="12">
        <v>0</v>
      </c>
      <c r="G595" s="12">
        <v>3197.58</v>
      </c>
      <c r="H595" s="12">
        <v>2529.59</v>
      </c>
      <c r="I595" s="12">
        <v>417.99</v>
      </c>
      <c r="J595" s="12">
        <v>0</v>
      </c>
      <c r="K595" s="12">
        <v>0</v>
      </c>
      <c r="L595" s="12">
        <v>417.99</v>
      </c>
      <c r="M595" s="24">
        <v>-250</v>
      </c>
      <c r="N595" s="23">
        <v>0</v>
      </c>
      <c r="O595" s="23">
        <v>3197.58</v>
      </c>
      <c r="P595" s="24">
        <v>2947.58</v>
      </c>
    </row>
    <row r="596" spans="1:16" x14ac:dyDescent="0.3">
      <c r="A596" s="3" t="s">
        <v>1115</v>
      </c>
      <c r="B596" s="1">
        <v>2</v>
      </c>
      <c r="C596" s="1">
        <v>1</v>
      </c>
      <c r="D596" s="3" t="s">
        <v>1116</v>
      </c>
      <c r="E596" s="17">
        <v>-522.55999999999995</v>
      </c>
      <c r="F596" s="12">
        <v>0</v>
      </c>
      <c r="G596" s="12">
        <v>2680.96</v>
      </c>
      <c r="H596" s="12">
        <v>2158.4</v>
      </c>
      <c r="I596" s="12">
        <v>359.32</v>
      </c>
      <c r="J596" s="12">
        <v>0</v>
      </c>
      <c r="K596" s="12">
        <v>0</v>
      </c>
      <c r="L596" s="12">
        <v>359.32</v>
      </c>
      <c r="M596" s="24">
        <v>-163.23999999999995</v>
      </c>
      <c r="N596" s="23">
        <v>0</v>
      </c>
      <c r="O596" s="23">
        <v>2680.96</v>
      </c>
      <c r="P596" s="24">
        <v>2517.7200000000003</v>
      </c>
    </row>
    <row r="597" spans="1:16" x14ac:dyDescent="0.3">
      <c r="A597" s="3" t="s">
        <v>1117</v>
      </c>
      <c r="B597" s="1">
        <v>2</v>
      </c>
      <c r="C597" s="1">
        <v>1</v>
      </c>
      <c r="D597" s="3" t="s">
        <v>1118</v>
      </c>
      <c r="E597" s="17">
        <v>-562.49</v>
      </c>
      <c r="F597" s="12">
        <v>0</v>
      </c>
      <c r="G597" s="12">
        <v>1673.46</v>
      </c>
      <c r="H597" s="12">
        <v>1110.97</v>
      </c>
      <c r="I597" s="12">
        <v>615.25</v>
      </c>
      <c r="J597" s="12">
        <v>0</v>
      </c>
      <c r="K597" s="12">
        <v>0</v>
      </c>
      <c r="L597" s="12">
        <v>615.25</v>
      </c>
      <c r="M597" s="24">
        <v>52.759999999999991</v>
      </c>
      <c r="N597" s="23">
        <v>0</v>
      </c>
      <c r="O597" s="23">
        <v>1673.46</v>
      </c>
      <c r="P597" s="24">
        <v>1726.22</v>
      </c>
    </row>
    <row r="598" spans="1:16" x14ac:dyDescent="0.3">
      <c r="A598" s="3" t="s">
        <v>1119</v>
      </c>
      <c r="B598" s="1">
        <v>2</v>
      </c>
      <c r="C598" s="1">
        <v>1</v>
      </c>
      <c r="D598" s="3" t="s">
        <v>1120</v>
      </c>
      <c r="E598" s="17">
        <v>-666.62</v>
      </c>
      <c r="F598" s="12">
        <v>0</v>
      </c>
      <c r="G598" s="12">
        <v>3424.22</v>
      </c>
      <c r="H598" s="12">
        <v>2757.6</v>
      </c>
      <c r="I598" s="12">
        <v>460.27</v>
      </c>
      <c r="J598" s="12">
        <v>0</v>
      </c>
      <c r="K598" s="12">
        <v>0</v>
      </c>
      <c r="L598" s="12">
        <v>460.27</v>
      </c>
      <c r="M598" s="24">
        <v>-206.35000000000002</v>
      </c>
      <c r="N598" s="23">
        <v>0</v>
      </c>
      <c r="O598" s="23">
        <v>3424.22</v>
      </c>
      <c r="P598" s="24">
        <v>3217.87</v>
      </c>
    </row>
    <row r="599" spans="1:16" x14ac:dyDescent="0.3">
      <c r="A599" s="3" t="s">
        <v>1121</v>
      </c>
      <c r="B599" s="1">
        <v>2</v>
      </c>
      <c r="C599" s="1">
        <v>1</v>
      </c>
      <c r="D599" s="3" t="s">
        <v>1122</v>
      </c>
      <c r="E599" s="17">
        <v>-575.49</v>
      </c>
      <c r="F599" s="12">
        <v>0</v>
      </c>
      <c r="G599" s="12">
        <v>2978.96</v>
      </c>
      <c r="H599" s="12">
        <v>2403.4699999999998</v>
      </c>
      <c r="I599" s="17">
        <v>-1063.57</v>
      </c>
      <c r="J599" s="12">
        <v>0</v>
      </c>
      <c r="K599" s="12">
        <v>0</v>
      </c>
      <c r="L599" s="17">
        <v>-1063.57</v>
      </c>
      <c r="M599" s="24">
        <v>-1639.06</v>
      </c>
      <c r="N599" s="23">
        <v>0</v>
      </c>
      <c r="O599" s="23">
        <v>2978.96</v>
      </c>
      <c r="P599" s="24">
        <v>1339.8999999999999</v>
      </c>
    </row>
    <row r="600" spans="1:16" x14ac:dyDescent="0.3">
      <c r="A600" s="3" t="s">
        <v>1123</v>
      </c>
      <c r="B600" s="1">
        <v>2</v>
      </c>
      <c r="C600" s="1">
        <v>1</v>
      </c>
      <c r="D600" s="3" t="s">
        <v>1124</v>
      </c>
      <c r="E600" s="17">
        <v>-280.26</v>
      </c>
      <c r="F600" s="12">
        <v>0</v>
      </c>
      <c r="G600" s="12">
        <v>1335.06</v>
      </c>
      <c r="H600" s="12">
        <v>1054.8</v>
      </c>
      <c r="I600" s="12">
        <v>173.41</v>
      </c>
      <c r="J600" s="12">
        <v>0</v>
      </c>
      <c r="K600" s="12">
        <v>0</v>
      </c>
      <c r="L600" s="12">
        <v>173.41</v>
      </c>
      <c r="M600" s="24">
        <v>-106.85</v>
      </c>
      <c r="N600" s="23">
        <v>0</v>
      </c>
      <c r="O600" s="23">
        <v>1335.06</v>
      </c>
      <c r="P600" s="24">
        <v>1228.21</v>
      </c>
    </row>
    <row r="601" spans="1:16" x14ac:dyDescent="0.3">
      <c r="A601" s="3" t="s">
        <v>1125</v>
      </c>
      <c r="B601" s="1">
        <v>2</v>
      </c>
      <c r="C601" s="1">
        <v>1</v>
      </c>
      <c r="D601" s="3" t="s">
        <v>1126</v>
      </c>
      <c r="E601" s="17">
        <v>-458.69</v>
      </c>
      <c r="F601" s="12">
        <v>0</v>
      </c>
      <c r="G601" s="12">
        <v>2351.4699999999998</v>
      </c>
      <c r="H601" s="12">
        <v>1892.78</v>
      </c>
      <c r="I601" s="12">
        <v>314.44</v>
      </c>
      <c r="J601" s="12">
        <v>0</v>
      </c>
      <c r="K601" s="12">
        <v>0</v>
      </c>
      <c r="L601" s="12">
        <v>314.44</v>
      </c>
      <c r="M601" s="24">
        <v>-144.25</v>
      </c>
      <c r="N601" s="23">
        <v>0</v>
      </c>
      <c r="O601" s="23">
        <v>2351.4699999999998</v>
      </c>
      <c r="P601" s="24">
        <v>2207.2199999999998</v>
      </c>
    </row>
    <row r="602" spans="1:16" x14ac:dyDescent="0.3">
      <c r="A602" s="3" t="s">
        <v>1127</v>
      </c>
      <c r="B602" s="1">
        <v>2</v>
      </c>
      <c r="C602" s="1">
        <v>1</v>
      </c>
      <c r="D602" s="3" t="s">
        <v>1128</v>
      </c>
      <c r="E602" s="12">
        <v>3.57</v>
      </c>
      <c r="F602" s="12">
        <v>0</v>
      </c>
      <c r="G602" s="12">
        <v>0</v>
      </c>
      <c r="H602" s="12">
        <v>3.57</v>
      </c>
      <c r="I602" s="12">
        <v>352.09</v>
      </c>
      <c r="J602" s="12">
        <v>0</v>
      </c>
      <c r="K602" s="12">
        <v>0</v>
      </c>
      <c r="L602" s="12">
        <v>352.09</v>
      </c>
      <c r="M602" s="24">
        <v>355.65999999999997</v>
      </c>
      <c r="N602" s="23">
        <v>0</v>
      </c>
      <c r="O602" s="23">
        <v>0</v>
      </c>
      <c r="P602" s="24">
        <v>355.65999999999997</v>
      </c>
    </row>
    <row r="603" spans="1:16" x14ac:dyDescent="0.3">
      <c r="A603" s="3" t="s">
        <v>1129</v>
      </c>
      <c r="B603" s="1">
        <v>2</v>
      </c>
      <c r="C603" s="1">
        <v>1</v>
      </c>
      <c r="D603" s="3" t="s">
        <v>1130</v>
      </c>
      <c r="E603" s="17">
        <v>-5938.08</v>
      </c>
      <c r="F603" s="12">
        <v>0</v>
      </c>
      <c r="G603" s="12">
        <v>0</v>
      </c>
      <c r="H603" s="17">
        <v>-5938.08</v>
      </c>
      <c r="I603" s="12">
        <v>542.20000000000005</v>
      </c>
      <c r="J603" s="12">
        <v>0</v>
      </c>
      <c r="K603" s="12">
        <v>0</v>
      </c>
      <c r="L603" s="12">
        <v>542.20000000000005</v>
      </c>
      <c r="M603" s="24">
        <v>-5395.88</v>
      </c>
      <c r="N603" s="23">
        <v>0</v>
      </c>
      <c r="O603" s="23">
        <v>0</v>
      </c>
      <c r="P603" s="24">
        <v>-5395.88</v>
      </c>
    </row>
    <row r="604" spans="1:16" x14ac:dyDescent="0.3">
      <c r="A604" s="3" t="s">
        <v>1131</v>
      </c>
      <c r="B604" s="1">
        <v>2</v>
      </c>
      <c r="C604" s="1">
        <v>1</v>
      </c>
      <c r="D604" s="3" t="s">
        <v>1132</v>
      </c>
      <c r="E604" s="17">
        <v>-482.59</v>
      </c>
      <c r="F604" s="12">
        <v>0</v>
      </c>
      <c r="G604" s="12">
        <v>2389.17</v>
      </c>
      <c r="H604" s="12">
        <v>1906.58</v>
      </c>
      <c r="I604" s="12">
        <v>1897.34</v>
      </c>
      <c r="J604" s="12">
        <v>0</v>
      </c>
      <c r="K604" s="12">
        <v>0</v>
      </c>
      <c r="L604" s="12">
        <v>1897.34</v>
      </c>
      <c r="M604" s="24">
        <v>1414.75</v>
      </c>
      <c r="N604" s="23">
        <v>0</v>
      </c>
      <c r="O604" s="23">
        <v>2389.17</v>
      </c>
      <c r="P604" s="24">
        <v>3803.92</v>
      </c>
    </row>
    <row r="605" spans="1:16" x14ac:dyDescent="0.3">
      <c r="A605" s="3" t="s">
        <v>1133</v>
      </c>
      <c r="B605" s="1">
        <v>2</v>
      </c>
      <c r="C605" s="1">
        <v>1</v>
      </c>
      <c r="D605" s="3" t="s">
        <v>1134</v>
      </c>
      <c r="E605" s="17">
        <v>-908.94</v>
      </c>
      <c r="F605" s="12">
        <v>0</v>
      </c>
      <c r="G605" s="12">
        <v>1765.13</v>
      </c>
      <c r="H605" s="12">
        <v>856.19</v>
      </c>
      <c r="I605" s="12">
        <v>109.25</v>
      </c>
      <c r="J605" s="12">
        <v>0</v>
      </c>
      <c r="K605" s="12">
        <v>0</v>
      </c>
      <c r="L605" s="12">
        <v>109.25</v>
      </c>
      <c r="M605" s="24">
        <v>-799.69</v>
      </c>
      <c r="N605" s="23">
        <v>0</v>
      </c>
      <c r="O605" s="23">
        <v>1765.13</v>
      </c>
      <c r="P605" s="24">
        <v>965.44</v>
      </c>
    </row>
    <row r="606" spans="1:16" x14ac:dyDescent="0.3">
      <c r="A606" s="3" t="s">
        <v>1135</v>
      </c>
      <c r="B606" s="1">
        <v>2</v>
      </c>
      <c r="C606" s="1">
        <v>1</v>
      </c>
      <c r="D606" s="3" t="s">
        <v>1136</v>
      </c>
      <c r="E606" s="17">
        <v>-178.93</v>
      </c>
      <c r="F606" s="12">
        <v>0</v>
      </c>
      <c r="G606" s="12">
        <v>908.12</v>
      </c>
      <c r="H606" s="12">
        <v>729.19</v>
      </c>
      <c r="I606" s="12">
        <v>118.53</v>
      </c>
      <c r="J606" s="12">
        <v>0</v>
      </c>
      <c r="K606" s="12">
        <v>0</v>
      </c>
      <c r="L606" s="12">
        <v>118.53</v>
      </c>
      <c r="M606" s="24">
        <v>-60.400000000000006</v>
      </c>
      <c r="N606" s="23">
        <v>0</v>
      </c>
      <c r="O606" s="23">
        <v>908.12</v>
      </c>
      <c r="P606" s="24">
        <v>847.72</v>
      </c>
    </row>
    <row r="607" spans="1:16" x14ac:dyDescent="0.3">
      <c r="A607" s="3" t="s">
        <v>1137</v>
      </c>
      <c r="B607" s="1">
        <v>2</v>
      </c>
      <c r="C607" s="1">
        <v>1</v>
      </c>
      <c r="D607" s="3" t="s">
        <v>1138</v>
      </c>
      <c r="E607" s="17">
        <v>-630.62</v>
      </c>
      <c r="F607" s="12">
        <v>0</v>
      </c>
      <c r="G607" s="12">
        <v>3238.62</v>
      </c>
      <c r="H607" s="12">
        <v>2608</v>
      </c>
      <c r="I607" s="12">
        <v>930.06</v>
      </c>
      <c r="J607" s="12">
        <v>0</v>
      </c>
      <c r="K607" s="12">
        <v>0</v>
      </c>
      <c r="L607" s="12">
        <v>930.06</v>
      </c>
      <c r="M607" s="24">
        <v>299.43999999999994</v>
      </c>
      <c r="N607" s="23">
        <v>0</v>
      </c>
      <c r="O607" s="23">
        <v>3238.62</v>
      </c>
      <c r="P607" s="24">
        <v>3538.06</v>
      </c>
    </row>
    <row r="608" spans="1:16" x14ac:dyDescent="0.3">
      <c r="A608" s="3" t="s">
        <v>1139</v>
      </c>
      <c r="B608" s="1">
        <v>2</v>
      </c>
      <c r="C608" s="1">
        <v>1</v>
      </c>
      <c r="D608" s="3" t="s">
        <v>1140</v>
      </c>
      <c r="E608" s="12">
        <v>0</v>
      </c>
      <c r="F608" s="12">
        <v>0</v>
      </c>
      <c r="G608" s="12">
        <v>0</v>
      </c>
      <c r="H608" s="12">
        <v>0</v>
      </c>
      <c r="I608" s="12">
        <v>279.02999999999997</v>
      </c>
      <c r="J608" s="12">
        <v>0</v>
      </c>
      <c r="K608" s="12">
        <v>0</v>
      </c>
      <c r="L608" s="12">
        <v>279.02999999999997</v>
      </c>
      <c r="M608" s="24">
        <v>279.02999999999997</v>
      </c>
      <c r="N608" s="23">
        <v>0</v>
      </c>
      <c r="O608" s="23">
        <v>0</v>
      </c>
      <c r="P608" s="24">
        <v>279.02999999999997</v>
      </c>
    </row>
    <row r="609" spans="1:16" x14ac:dyDescent="0.3">
      <c r="A609" s="3" t="s">
        <v>1141</v>
      </c>
      <c r="B609" s="1">
        <v>2</v>
      </c>
      <c r="C609" s="1">
        <v>1</v>
      </c>
      <c r="D609" s="3" t="s">
        <v>1142</v>
      </c>
      <c r="E609" s="17">
        <v>-847.62</v>
      </c>
      <c r="F609" s="12">
        <v>0</v>
      </c>
      <c r="G609" s="12">
        <v>5810.2</v>
      </c>
      <c r="H609" s="12">
        <v>4962.58</v>
      </c>
      <c r="I609" s="12">
        <v>1116.01</v>
      </c>
      <c r="J609" s="12">
        <v>0</v>
      </c>
      <c r="K609" s="12">
        <v>0</v>
      </c>
      <c r="L609" s="12">
        <v>1116.01</v>
      </c>
      <c r="M609" s="24">
        <v>268.39</v>
      </c>
      <c r="N609" s="23">
        <v>0</v>
      </c>
      <c r="O609" s="23">
        <v>5810.2</v>
      </c>
      <c r="P609" s="24">
        <v>6078.59</v>
      </c>
    </row>
    <row r="610" spans="1:16" x14ac:dyDescent="0.3">
      <c r="A610" s="3" t="s">
        <v>1143</v>
      </c>
      <c r="B610" s="1">
        <v>2</v>
      </c>
      <c r="C610" s="1">
        <v>1</v>
      </c>
      <c r="D610" s="3" t="s">
        <v>1144</v>
      </c>
      <c r="E610" s="17">
        <v>-768.67</v>
      </c>
      <c r="F610" s="12">
        <v>0</v>
      </c>
      <c r="G610" s="12">
        <v>5265.56</v>
      </c>
      <c r="H610" s="12">
        <v>4496.8900000000003</v>
      </c>
      <c r="I610" s="12">
        <v>1332.36</v>
      </c>
      <c r="J610" s="12">
        <v>0</v>
      </c>
      <c r="K610" s="12">
        <v>0</v>
      </c>
      <c r="L610" s="12">
        <v>1332.36</v>
      </c>
      <c r="M610" s="24">
        <v>563.68999999999994</v>
      </c>
      <c r="N610" s="23">
        <v>0</v>
      </c>
      <c r="O610" s="23">
        <v>5265.56</v>
      </c>
      <c r="P610" s="24">
        <v>5829.25</v>
      </c>
    </row>
    <row r="611" spans="1:16" x14ac:dyDescent="0.3">
      <c r="A611" s="3" t="s">
        <v>1145</v>
      </c>
      <c r="B611" s="1">
        <v>2</v>
      </c>
      <c r="C611" s="1">
        <v>1</v>
      </c>
      <c r="D611" s="3" t="s">
        <v>1146</v>
      </c>
      <c r="E611" s="17">
        <v>-1321.41</v>
      </c>
      <c r="F611" s="12">
        <v>0</v>
      </c>
      <c r="G611" s="12">
        <v>7773.76</v>
      </c>
      <c r="H611" s="12">
        <v>6452.35</v>
      </c>
      <c r="I611" s="12">
        <v>458.79</v>
      </c>
      <c r="J611" s="12">
        <v>0</v>
      </c>
      <c r="K611" s="12">
        <v>0</v>
      </c>
      <c r="L611" s="12">
        <v>458.79</v>
      </c>
      <c r="M611" s="24">
        <v>-862.62000000000012</v>
      </c>
      <c r="N611" s="23">
        <v>0</v>
      </c>
      <c r="O611" s="23">
        <v>7773.76</v>
      </c>
      <c r="P611" s="24">
        <v>6911.14</v>
      </c>
    </row>
    <row r="612" spans="1:16" x14ac:dyDescent="0.3">
      <c r="A612" s="3" t="s">
        <v>1147</v>
      </c>
      <c r="B612" s="1">
        <v>2</v>
      </c>
      <c r="C612" s="1">
        <v>1</v>
      </c>
      <c r="D612" s="3" t="s">
        <v>1148</v>
      </c>
      <c r="E612" s="17">
        <v>-454.3</v>
      </c>
      <c r="F612" s="12">
        <v>0</v>
      </c>
      <c r="G612" s="12">
        <v>3094.42</v>
      </c>
      <c r="H612" s="12">
        <v>2640.12</v>
      </c>
      <c r="I612" s="12">
        <v>393.17</v>
      </c>
      <c r="J612" s="12">
        <v>0</v>
      </c>
      <c r="K612" s="12">
        <v>0</v>
      </c>
      <c r="L612" s="12">
        <v>393.17</v>
      </c>
      <c r="M612" s="24">
        <v>-61.129999999999995</v>
      </c>
      <c r="N612" s="23">
        <v>0</v>
      </c>
      <c r="O612" s="23">
        <v>3094.42</v>
      </c>
      <c r="P612" s="24">
        <v>3033.29</v>
      </c>
    </row>
    <row r="613" spans="1:16" x14ac:dyDescent="0.3">
      <c r="A613" s="3" t="s">
        <v>1149</v>
      </c>
      <c r="B613" s="1">
        <v>2</v>
      </c>
      <c r="C613" s="1">
        <v>1</v>
      </c>
      <c r="D613" s="3" t="s">
        <v>1150</v>
      </c>
      <c r="E613" s="17">
        <v>-148.04</v>
      </c>
      <c r="F613" s="12">
        <v>0</v>
      </c>
      <c r="G613" s="12">
        <v>1272.23</v>
      </c>
      <c r="H613" s="12">
        <v>1124.19</v>
      </c>
      <c r="I613" s="12">
        <v>172.27</v>
      </c>
      <c r="J613" s="12">
        <v>0</v>
      </c>
      <c r="K613" s="12">
        <v>0</v>
      </c>
      <c r="L613" s="12">
        <v>172.27</v>
      </c>
      <c r="M613" s="24">
        <v>24.230000000000018</v>
      </c>
      <c r="N613" s="23">
        <v>0</v>
      </c>
      <c r="O613" s="23">
        <v>1272.23</v>
      </c>
      <c r="P613" s="24">
        <v>1296.46</v>
      </c>
    </row>
    <row r="614" spans="1:16" x14ac:dyDescent="0.3">
      <c r="A614" s="3" t="s">
        <v>1151</v>
      </c>
      <c r="B614" s="1">
        <v>2</v>
      </c>
      <c r="C614" s="1">
        <v>1</v>
      </c>
      <c r="D614" s="3" t="s">
        <v>1152</v>
      </c>
      <c r="E614" s="17">
        <v>-152.13999999999999</v>
      </c>
      <c r="F614" s="12">
        <v>0</v>
      </c>
      <c r="G614" s="12">
        <v>1376.29</v>
      </c>
      <c r="H614" s="12">
        <v>1224.1500000000001</v>
      </c>
      <c r="I614" s="12">
        <v>163.24</v>
      </c>
      <c r="J614" s="12">
        <v>0</v>
      </c>
      <c r="K614" s="12">
        <v>0</v>
      </c>
      <c r="L614" s="12">
        <v>163.24</v>
      </c>
      <c r="M614" s="24">
        <v>11.100000000000023</v>
      </c>
      <c r="N614" s="23">
        <v>0</v>
      </c>
      <c r="O614" s="23">
        <v>1376.29</v>
      </c>
      <c r="P614" s="24">
        <v>1387.39</v>
      </c>
    </row>
    <row r="615" spans="1:16" x14ac:dyDescent="0.3">
      <c r="A615" s="3" t="s">
        <v>1153</v>
      </c>
      <c r="B615" s="1">
        <v>2</v>
      </c>
      <c r="C615" s="1">
        <v>1</v>
      </c>
      <c r="D615" s="3" t="s">
        <v>1154</v>
      </c>
      <c r="E615" s="12">
        <v>0</v>
      </c>
      <c r="F615" s="12">
        <v>0</v>
      </c>
      <c r="G615" s="12">
        <v>0</v>
      </c>
      <c r="H615" s="12">
        <v>0</v>
      </c>
      <c r="I615" s="12">
        <v>147.22999999999999</v>
      </c>
      <c r="J615" s="12">
        <v>0</v>
      </c>
      <c r="K615" s="12">
        <v>0</v>
      </c>
      <c r="L615" s="12">
        <v>147.22999999999999</v>
      </c>
      <c r="M615" s="24">
        <v>147.22999999999999</v>
      </c>
      <c r="N615" s="23">
        <v>0</v>
      </c>
      <c r="O615" s="23">
        <v>0</v>
      </c>
      <c r="P615" s="24">
        <v>147.22999999999999</v>
      </c>
    </row>
    <row r="616" spans="1:16" x14ac:dyDescent="0.3">
      <c r="A616" s="3" t="s">
        <v>1155</v>
      </c>
      <c r="B616" s="1">
        <v>2</v>
      </c>
      <c r="C616" s="1">
        <v>1</v>
      </c>
      <c r="D616" s="3" t="s">
        <v>1156</v>
      </c>
      <c r="E616" s="17">
        <v>-210.78</v>
      </c>
      <c r="F616" s="12">
        <v>0</v>
      </c>
      <c r="G616" s="12">
        <v>1833.4</v>
      </c>
      <c r="H616" s="12">
        <v>1622.62</v>
      </c>
      <c r="I616" s="12">
        <v>210.95</v>
      </c>
      <c r="J616" s="12">
        <v>0</v>
      </c>
      <c r="K616" s="12">
        <v>0</v>
      </c>
      <c r="L616" s="12">
        <v>210.95</v>
      </c>
      <c r="M616" s="24">
        <v>0.16999999999998749</v>
      </c>
      <c r="N616" s="23">
        <v>0</v>
      </c>
      <c r="O616" s="23">
        <v>1833.4</v>
      </c>
      <c r="P616" s="24">
        <v>1833.57</v>
      </c>
    </row>
    <row r="617" spans="1:16" x14ac:dyDescent="0.3">
      <c r="A617" s="3" t="s">
        <v>1157</v>
      </c>
      <c r="B617" s="1">
        <v>2</v>
      </c>
      <c r="C617" s="1">
        <v>1</v>
      </c>
      <c r="D617" s="3" t="s">
        <v>1158</v>
      </c>
      <c r="E617" s="17">
        <v>-106.55</v>
      </c>
      <c r="F617" s="12">
        <v>0</v>
      </c>
      <c r="G617" s="12">
        <v>904.08</v>
      </c>
      <c r="H617" s="12">
        <v>797.53</v>
      </c>
      <c r="I617" s="12">
        <v>101.33</v>
      </c>
      <c r="J617" s="12">
        <v>0</v>
      </c>
      <c r="K617" s="12">
        <v>0</v>
      </c>
      <c r="L617" s="12">
        <v>101.33</v>
      </c>
      <c r="M617" s="24">
        <v>-5.2199999999999989</v>
      </c>
      <c r="N617" s="23">
        <v>0</v>
      </c>
      <c r="O617" s="23">
        <v>904.08</v>
      </c>
      <c r="P617" s="24">
        <v>898.86</v>
      </c>
    </row>
    <row r="618" spans="1:16" x14ac:dyDescent="0.3">
      <c r="A618" s="3" t="s">
        <v>1159</v>
      </c>
      <c r="B618" s="1">
        <v>2</v>
      </c>
      <c r="C618" s="1">
        <v>1</v>
      </c>
      <c r="D618" s="3" t="s">
        <v>1160</v>
      </c>
      <c r="E618" s="17">
        <v>-4174.74</v>
      </c>
      <c r="F618" s="12">
        <v>0</v>
      </c>
      <c r="G618" s="12">
        <v>5416.06</v>
      </c>
      <c r="H618" s="12">
        <v>1241.32</v>
      </c>
      <c r="I618" s="17">
        <v>-1171.96</v>
      </c>
      <c r="J618" s="12">
        <v>0</v>
      </c>
      <c r="K618" s="12">
        <v>0</v>
      </c>
      <c r="L618" s="17">
        <v>-1171.96</v>
      </c>
      <c r="M618" s="24">
        <v>-5346.7</v>
      </c>
      <c r="N618" s="23">
        <v>0</v>
      </c>
      <c r="O618" s="23">
        <v>5416.06</v>
      </c>
      <c r="P618" s="24">
        <v>69.3599999999999</v>
      </c>
    </row>
    <row r="619" spans="1:16" x14ac:dyDescent="0.3">
      <c r="A619" s="3" t="s">
        <v>1161</v>
      </c>
      <c r="B619" s="1">
        <v>2</v>
      </c>
      <c r="C619" s="1">
        <v>1</v>
      </c>
      <c r="D619" s="3" t="s">
        <v>1162</v>
      </c>
      <c r="E619" s="17">
        <v>-806.6</v>
      </c>
      <c r="F619" s="12">
        <v>0</v>
      </c>
      <c r="G619" s="12">
        <v>3779.57</v>
      </c>
      <c r="H619" s="12">
        <v>2972.97</v>
      </c>
      <c r="I619" s="12">
        <v>0</v>
      </c>
      <c r="J619" s="12">
        <v>0</v>
      </c>
      <c r="K619" s="12">
        <v>0</v>
      </c>
      <c r="L619" s="12">
        <v>0</v>
      </c>
      <c r="M619" s="24">
        <v>-806.6</v>
      </c>
      <c r="N619" s="23">
        <v>0</v>
      </c>
      <c r="O619" s="23">
        <v>3779.57</v>
      </c>
      <c r="P619" s="24">
        <v>2972.97</v>
      </c>
    </row>
    <row r="620" spans="1:16" x14ac:dyDescent="0.3">
      <c r="A620" s="3" t="s">
        <v>1163</v>
      </c>
      <c r="B620" s="2">
        <v>1</v>
      </c>
      <c r="C620" s="2">
        <v>0</v>
      </c>
      <c r="D620" s="14" t="s">
        <v>1164</v>
      </c>
      <c r="E620" s="16">
        <v>525501.37</v>
      </c>
      <c r="F620" s="16">
        <v>11664.7</v>
      </c>
      <c r="G620" s="16">
        <v>286634.86</v>
      </c>
      <c r="H620" s="16">
        <v>800471.53</v>
      </c>
      <c r="I620" s="16">
        <v>352052.78</v>
      </c>
      <c r="J620" s="16">
        <v>45960.55</v>
      </c>
      <c r="K620" s="16">
        <v>59728.08</v>
      </c>
      <c r="L620" s="16">
        <v>365820.31</v>
      </c>
      <c r="M620" s="25">
        <v>877554.15</v>
      </c>
      <c r="N620" s="16">
        <v>57625.25</v>
      </c>
      <c r="O620" s="16">
        <v>346362.94</v>
      </c>
      <c r="P620" s="25">
        <v>1166291.8400000001</v>
      </c>
    </row>
    <row r="621" spans="1:16" x14ac:dyDescent="0.3">
      <c r="A621" s="3" t="s">
        <v>1165</v>
      </c>
      <c r="B621" s="1">
        <v>2</v>
      </c>
      <c r="C621" s="1">
        <v>0</v>
      </c>
      <c r="D621" s="3" t="s">
        <v>1164</v>
      </c>
      <c r="E621" s="12">
        <v>525501.37</v>
      </c>
      <c r="F621" s="12">
        <v>11664.7</v>
      </c>
      <c r="G621" s="12">
        <v>286634.86</v>
      </c>
      <c r="H621" s="12">
        <v>800471.53</v>
      </c>
      <c r="I621" s="12">
        <v>352052.78</v>
      </c>
      <c r="J621" s="12">
        <v>45960.55</v>
      </c>
      <c r="K621" s="12">
        <v>59728.08</v>
      </c>
      <c r="L621" s="12">
        <v>365820.31</v>
      </c>
      <c r="M621" s="24">
        <v>877554.15</v>
      </c>
      <c r="N621" s="23">
        <v>57625.25</v>
      </c>
      <c r="O621" s="23">
        <v>346362.94</v>
      </c>
      <c r="P621" s="24">
        <v>1166291.8400000001</v>
      </c>
    </row>
    <row r="622" spans="1:16" x14ac:dyDescent="0.3">
      <c r="A622" s="3" t="s">
        <v>1166</v>
      </c>
      <c r="B622" s="1">
        <v>2</v>
      </c>
      <c r="C622" s="1">
        <v>0</v>
      </c>
      <c r="D622" s="3" t="s">
        <v>1167</v>
      </c>
      <c r="E622" s="12">
        <v>525501.37</v>
      </c>
      <c r="F622" s="12">
        <v>11664.7</v>
      </c>
      <c r="G622" s="12">
        <v>286634.86</v>
      </c>
      <c r="H622" s="12">
        <v>800471.53</v>
      </c>
      <c r="I622" s="12">
        <v>352052.78</v>
      </c>
      <c r="J622" s="12">
        <v>45960.55</v>
      </c>
      <c r="K622" s="12">
        <v>59728.08</v>
      </c>
      <c r="L622" s="12">
        <v>365820.31</v>
      </c>
      <c r="M622" s="24">
        <v>877554.15</v>
      </c>
      <c r="N622" s="23">
        <v>57625.25</v>
      </c>
      <c r="O622" s="23">
        <v>346362.94</v>
      </c>
      <c r="P622" s="24">
        <v>1166291.8400000001</v>
      </c>
    </row>
    <row r="623" spans="1:16" x14ac:dyDescent="0.3">
      <c r="A623" s="3" t="s">
        <v>1168</v>
      </c>
      <c r="B623" s="1">
        <v>2</v>
      </c>
      <c r="C623" s="1">
        <v>1</v>
      </c>
      <c r="D623" s="3" t="s">
        <v>1169</v>
      </c>
      <c r="E623" s="12">
        <v>499645.76</v>
      </c>
      <c r="F623" s="12">
        <v>11664.7</v>
      </c>
      <c r="G623" s="12">
        <v>169611.65</v>
      </c>
      <c r="H623" s="12">
        <v>657592.71</v>
      </c>
      <c r="I623" s="12">
        <v>352052.78</v>
      </c>
      <c r="J623" s="12">
        <v>45960.55</v>
      </c>
      <c r="K623" s="12">
        <v>59728.08</v>
      </c>
      <c r="L623" s="12">
        <v>365820.31</v>
      </c>
      <c r="M623" s="24">
        <v>851698.54</v>
      </c>
      <c r="N623" s="23">
        <v>57625.25</v>
      </c>
      <c r="O623" s="23">
        <v>229339.72999999998</v>
      </c>
      <c r="P623" s="24">
        <v>1023413.02</v>
      </c>
    </row>
    <row r="624" spans="1:16" x14ac:dyDescent="0.3">
      <c r="A624" s="3" t="s">
        <v>1170</v>
      </c>
      <c r="B624" s="1">
        <v>2</v>
      </c>
      <c r="C624" s="1">
        <v>1</v>
      </c>
      <c r="D624" s="3" t="s">
        <v>1171</v>
      </c>
      <c r="E624" s="12">
        <v>0</v>
      </c>
      <c r="F624" s="12">
        <v>0</v>
      </c>
      <c r="G624" s="12">
        <v>98519.09</v>
      </c>
      <c r="H624" s="12">
        <v>98519.09</v>
      </c>
      <c r="I624" s="12">
        <v>0</v>
      </c>
      <c r="J624" s="12">
        <v>0</v>
      </c>
      <c r="K624" s="12">
        <v>0</v>
      </c>
      <c r="L624" s="12">
        <v>0</v>
      </c>
      <c r="M624" s="24">
        <v>0</v>
      </c>
      <c r="N624" s="23">
        <v>0</v>
      </c>
      <c r="O624" s="23">
        <v>98519.09</v>
      </c>
      <c r="P624" s="24">
        <v>98519.09</v>
      </c>
    </row>
    <row r="625" spans="1:16" x14ac:dyDescent="0.3">
      <c r="A625" s="3" t="s">
        <v>1172</v>
      </c>
      <c r="B625" s="1">
        <v>2</v>
      </c>
      <c r="C625" s="1">
        <v>1</v>
      </c>
      <c r="D625" s="3" t="s">
        <v>1173</v>
      </c>
      <c r="E625" s="12">
        <v>25855.61</v>
      </c>
      <c r="F625" s="12">
        <v>0</v>
      </c>
      <c r="G625" s="12">
        <v>12185.94</v>
      </c>
      <c r="H625" s="12">
        <v>38041.550000000003</v>
      </c>
      <c r="I625" s="12">
        <v>0</v>
      </c>
      <c r="J625" s="12">
        <v>0</v>
      </c>
      <c r="K625" s="12">
        <v>0</v>
      </c>
      <c r="L625" s="12">
        <v>0</v>
      </c>
      <c r="M625" s="24">
        <v>25855.61</v>
      </c>
      <c r="N625" s="23">
        <v>0</v>
      </c>
      <c r="O625" s="23">
        <v>12185.94</v>
      </c>
      <c r="P625" s="24">
        <v>38041.550000000003</v>
      </c>
    </row>
    <row r="626" spans="1:16" x14ac:dyDescent="0.3">
      <c r="A626" s="3" t="s">
        <v>1174</v>
      </c>
      <c r="B626" s="1">
        <v>2</v>
      </c>
      <c r="C626" s="1">
        <v>1</v>
      </c>
      <c r="D626" s="3" t="s">
        <v>1175</v>
      </c>
      <c r="E626" s="12">
        <v>0</v>
      </c>
      <c r="F626" s="12">
        <v>0</v>
      </c>
      <c r="G626" s="12">
        <v>6318.18</v>
      </c>
      <c r="H626" s="12">
        <v>6318.18</v>
      </c>
      <c r="I626" s="12">
        <v>0</v>
      </c>
      <c r="J626" s="12">
        <v>0</v>
      </c>
      <c r="K626" s="12">
        <v>0</v>
      </c>
      <c r="L626" s="12">
        <v>0</v>
      </c>
      <c r="M626" s="24">
        <v>0</v>
      </c>
      <c r="N626" s="23">
        <v>0</v>
      </c>
      <c r="O626" s="23">
        <v>6318.18</v>
      </c>
      <c r="P626" s="24">
        <v>6318.18</v>
      </c>
    </row>
    <row r="627" spans="1:16" x14ac:dyDescent="0.3">
      <c r="A627" s="3" t="s">
        <v>1176</v>
      </c>
      <c r="B627" s="2">
        <v>1</v>
      </c>
      <c r="C627" s="2">
        <v>0</v>
      </c>
      <c r="D627" s="14" t="s">
        <v>1177</v>
      </c>
      <c r="E627" s="16">
        <v>477860.05</v>
      </c>
      <c r="F627" s="16">
        <v>215891.67</v>
      </c>
      <c r="G627" s="16">
        <v>426193.44</v>
      </c>
      <c r="H627" s="16">
        <v>688161.82</v>
      </c>
      <c r="I627" s="16">
        <v>654942.14</v>
      </c>
      <c r="J627" s="16">
        <v>324859.37</v>
      </c>
      <c r="K627" s="16">
        <v>225585.91</v>
      </c>
      <c r="L627" s="16">
        <v>555668.68000000005</v>
      </c>
      <c r="M627" s="25">
        <v>1132802.19</v>
      </c>
      <c r="N627" s="16">
        <v>540751.04</v>
      </c>
      <c r="O627" s="16">
        <v>651779.35</v>
      </c>
      <c r="P627" s="25">
        <v>1243830.5</v>
      </c>
    </row>
    <row r="628" spans="1:16" x14ac:dyDescent="0.3">
      <c r="A628" s="3" t="s">
        <v>1178</v>
      </c>
      <c r="B628" s="1">
        <v>2</v>
      </c>
      <c r="C628" s="1">
        <v>0</v>
      </c>
      <c r="D628" s="3" t="s">
        <v>1177</v>
      </c>
      <c r="E628" s="12">
        <v>477860.05</v>
      </c>
      <c r="F628" s="12">
        <v>215891.67</v>
      </c>
      <c r="G628" s="12">
        <v>426193.44</v>
      </c>
      <c r="H628" s="12">
        <v>688161.82</v>
      </c>
      <c r="I628" s="12">
        <v>654942.14</v>
      </c>
      <c r="J628" s="12">
        <v>324859.37</v>
      </c>
      <c r="K628" s="12">
        <v>225585.91</v>
      </c>
      <c r="L628" s="12">
        <v>555668.68000000005</v>
      </c>
      <c r="M628" s="24">
        <v>1132802.19</v>
      </c>
      <c r="N628" s="23">
        <v>540751.04</v>
      </c>
      <c r="O628" s="23">
        <v>651779.35</v>
      </c>
      <c r="P628" s="24">
        <v>1243830.5</v>
      </c>
    </row>
    <row r="629" spans="1:16" x14ac:dyDescent="0.3">
      <c r="A629" s="3" t="s">
        <v>1179</v>
      </c>
      <c r="B629" s="1">
        <v>2</v>
      </c>
      <c r="C629" s="1">
        <v>1</v>
      </c>
      <c r="D629" s="3" t="s">
        <v>1180</v>
      </c>
      <c r="E629" s="12">
        <v>226.83</v>
      </c>
      <c r="F629" s="12">
        <v>211362.53</v>
      </c>
      <c r="G629" s="12">
        <v>211530.99</v>
      </c>
      <c r="H629" s="12">
        <v>395.29</v>
      </c>
      <c r="I629" s="12">
        <v>136612.13</v>
      </c>
      <c r="J629" s="12">
        <v>30490.87</v>
      </c>
      <c r="K629" s="12">
        <v>30352.560000000001</v>
      </c>
      <c r="L629" s="12">
        <v>136473.82</v>
      </c>
      <c r="M629" s="24">
        <v>136838.96</v>
      </c>
      <c r="N629" s="23">
        <v>241853.4</v>
      </c>
      <c r="O629" s="23">
        <v>241883.55</v>
      </c>
      <c r="P629" s="24">
        <v>136869.11000000002</v>
      </c>
    </row>
    <row r="630" spans="1:16" x14ac:dyDescent="0.3">
      <c r="A630" s="3" t="s">
        <v>1181</v>
      </c>
      <c r="B630" s="1">
        <v>2</v>
      </c>
      <c r="C630" s="1">
        <v>1</v>
      </c>
      <c r="D630" s="3" t="s">
        <v>1182</v>
      </c>
      <c r="E630" s="12">
        <v>0.85</v>
      </c>
      <c r="F630" s="12">
        <v>0</v>
      </c>
      <c r="G630" s="12">
        <v>0.47</v>
      </c>
      <c r="H630" s="12">
        <v>1.32</v>
      </c>
      <c r="I630" s="12">
        <v>1.93</v>
      </c>
      <c r="J630" s="12">
        <v>0</v>
      </c>
      <c r="K630" s="17">
        <v>-2.48</v>
      </c>
      <c r="L630" s="17">
        <v>-0.55000000000000004</v>
      </c>
      <c r="M630" s="24">
        <v>2.78</v>
      </c>
      <c r="N630" s="23">
        <v>0</v>
      </c>
      <c r="O630" s="23">
        <v>-2.0099999999999998</v>
      </c>
      <c r="P630" s="24">
        <v>0.77</v>
      </c>
    </row>
    <row r="631" spans="1:16" x14ac:dyDescent="0.3">
      <c r="A631" s="3" t="s">
        <v>1183</v>
      </c>
      <c r="B631" s="1">
        <v>2</v>
      </c>
      <c r="C631" s="1">
        <v>1</v>
      </c>
      <c r="D631" s="3" t="s">
        <v>1184</v>
      </c>
      <c r="E631" s="12">
        <v>236935.31</v>
      </c>
      <c r="F631" s="12">
        <v>2264.5700000000002</v>
      </c>
      <c r="G631" s="12">
        <v>107330.99</v>
      </c>
      <c r="H631" s="12">
        <v>342001.73</v>
      </c>
      <c r="I631" s="12">
        <v>21095.56</v>
      </c>
      <c r="J631" s="12">
        <v>1500</v>
      </c>
      <c r="K631" s="12">
        <v>15176.42</v>
      </c>
      <c r="L631" s="12">
        <v>34771.980000000003</v>
      </c>
      <c r="M631" s="24">
        <v>258030.87</v>
      </c>
      <c r="N631" s="23">
        <v>3764.57</v>
      </c>
      <c r="O631" s="23">
        <v>122507.41</v>
      </c>
      <c r="P631" s="24">
        <v>376773.70999999996</v>
      </c>
    </row>
    <row r="632" spans="1:16" x14ac:dyDescent="0.3">
      <c r="A632" s="3" t="s">
        <v>1185</v>
      </c>
      <c r="B632" s="1">
        <v>2</v>
      </c>
      <c r="C632" s="1">
        <v>1</v>
      </c>
      <c r="D632" s="3" t="s">
        <v>1186</v>
      </c>
      <c r="E632" s="12">
        <v>240697.06</v>
      </c>
      <c r="F632" s="12">
        <v>2264.5700000000002</v>
      </c>
      <c r="G632" s="12">
        <v>107330.99</v>
      </c>
      <c r="H632" s="12">
        <v>345763.48</v>
      </c>
      <c r="I632" s="12">
        <v>94191.41</v>
      </c>
      <c r="J632" s="12">
        <v>1500</v>
      </c>
      <c r="K632" s="12">
        <v>15176.42</v>
      </c>
      <c r="L632" s="12">
        <v>107867.83</v>
      </c>
      <c r="M632" s="24">
        <v>334888.46999999997</v>
      </c>
      <c r="N632" s="23">
        <v>3764.57</v>
      </c>
      <c r="O632" s="23">
        <v>122507.41</v>
      </c>
      <c r="P632" s="24">
        <v>453631.31</v>
      </c>
    </row>
    <row r="633" spans="1:16" x14ac:dyDescent="0.3">
      <c r="A633" s="3" t="s">
        <v>1187</v>
      </c>
      <c r="B633" s="1">
        <v>2</v>
      </c>
      <c r="C633" s="1">
        <v>1</v>
      </c>
      <c r="D633" s="3" t="s">
        <v>1188</v>
      </c>
      <c r="E633" s="12">
        <v>0</v>
      </c>
      <c r="F633" s="12">
        <v>0</v>
      </c>
      <c r="G633" s="12">
        <v>0</v>
      </c>
      <c r="H633" s="12">
        <v>0</v>
      </c>
      <c r="I633" s="12">
        <v>0</v>
      </c>
      <c r="J633" s="12">
        <v>0</v>
      </c>
      <c r="K633" s="12">
        <v>164882.99</v>
      </c>
      <c r="L633" s="12">
        <v>164882.99</v>
      </c>
      <c r="M633" s="24">
        <v>0</v>
      </c>
      <c r="N633" s="23">
        <v>0</v>
      </c>
      <c r="O633" s="23">
        <v>164882.99</v>
      </c>
      <c r="P633" s="24">
        <v>164882.99</v>
      </c>
    </row>
    <row r="634" spans="1:16" x14ac:dyDescent="0.3">
      <c r="A634" s="3" t="s">
        <v>1189</v>
      </c>
      <c r="B634" s="1">
        <v>2</v>
      </c>
      <c r="C634" s="1">
        <v>0</v>
      </c>
      <c r="D634" s="3" t="s">
        <v>369</v>
      </c>
      <c r="E634" s="12">
        <v>0</v>
      </c>
      <c r="F634" s="12">
        <v>0</v>
      </c>
      <c r="G634" s="12">
        <v>0</v>
      </c>
      <c r="H634" s="12">
        <v>0</v>
      </c>
      <c r="I634" s="12">
        <v>239607.62</v>
      </c>
      <c r="J634" s="12">
        <v>173654.09</v>
      </c>
      <c r="K634" s="12">
        <v>0</v>
      </c>
      <c r="L634" s="12">
        <v>65953.53</v>
      </c>
      <c r="M634" s="24">
        <v>239607.62</v>
      </c>
      <c r="N634" s="23">
        <v>173654.09</v>
      </c>
      <c r="O634" s="23">
        <v>0</v>
      </c>
      <c r="P634" s="24">
        <v>65953.53</v>
      </c>
    </row>
    <row r="635" spans="1:16" x14ac:dyDescent="0.3">
      <c r="A635" s="3" t="s">
        <v>1190</v>
      </c>
      <c r="B635" s="1">
        <v>2</v>
      </c>
      <c r="C635" s="1">
        <v>1</v>
      </c>
      <c r="D635" s="3" t="s">
        <v>371</v>
      </c>
      <c r="E635" s="12">
        <v>0</v>
      </c>
      <c r="F635" s="12">
        <v>0</v>
      </c>
      <c r="G635" s="12">
        <v>0</v>
      </c>
      <c r="H635" s="12">
        <v>0</v>
      </c>
      <c r="I635" s="12">
        <v>239607.62</v>
      </c>
      <c r="J635" s="12">
        <v>173654.09</v>
      </c>
      <c r="K635" s="12">
        <v>0</v>
      </c>
      <c r="L635" s="12">
        <v>65953.53</v>
      </c>
      <c r="M635" s="24">
        <v>239607.62</v>
      </c>
      <c r="N635" s="23">
        <v>173654.09</v>
      </c>
      <c r="O635" s="23">
        <v>0</v>
      </c>
      <c r="P635" s="24">
        <v>65953.53</v>
      </c>
    </row>
    <row r="636" spans="1:16" x14ac:dyDescent="0.3">
      <c r="A636" s="3" t="s">
        <v>1191</v>
      </c>
      <c r="B636" s="1">
        <v>2</v>
      </c>
      <c r="C636" s="1">
        <v>0</v>
      </c>
      <c r="D636" s="3" t="s">
        <v>373</v>
      </c>
      <c r="E636" s="12">
        <v>0</v>
      </c>
      <c r="F636" s="12">
        <v>0</v>
      </c>
      <c r="G636" s="12">
        <v>0</v>
      </c>
      <c r="H636" s="12">
        <v>0</v>
      </c>
      <c r="I636" s="12">
        <v>163433.49</v>
      </c>
      <c r="J636" s="12">
        <v>117714.41</v>
      </c>
      <c r="K636" s="12">
        <v>0</v>
      </c>
      <c r="L636" s="12">
        <v>45719.08</v>
      </c>
      <c r="M636" s="24">
        <v>163433.49</v>
      </c>
      <c r="N636" s="23">
        <v>117714.41</v>
      </c>
      <c r="O636" s="23">
        <v>0</v>
      </c>
      <c r="P636" s="24">
        <v>45719.08</v>
      </c>
    </row>
    <row r="637" spans="1:16" x14ac:dyDescent="0.3">
      <c r="A637" s="3" t="s">
        <v>1192</v>
      </c>
      <c r="B637" s="1">
        <v>2</v>
      </c>
      <c r="C637" s="1">
        <v>1</v>
      </c>
      <c r="D637" s="3" t="s">
        <v>375</v>
      </c>
      <c r="E637" s="12">
        <v>0</v>
      </c>
      <c r="F637" s="12">
        <v>0</v>
      </c>
      <c r="G637" s="12">
        <v>0</v>
      </c>
      <c r="H637" s="12">
        <v>0</v>
      </c>
      <c r="I637" s="12">
        <v>43433.37</v>
      </c>
      <c r="J637" s="12">
        <v>43433.37</v>
      </c>
      <c r="K637" s="12">
        <v>0</v>
      </c>
      <c r="L637" s="12">
        <v>0</v>
      </c>
      <c r="M637" s="24">
        <v>43433.37</v>
      </c>
      <c r="N637" s="23">
        <v>43433.37</v>
      </c>
      <c r="O637" s="23">
        <v>0</v>
      </c>
      <c r="P637" s="24">
        <v>0</v>
      </c>
    </row>
    <row r="638" spans="1:16" x14ac:dyDescent="0.3">
      <c r="A638" s="3" t="s">
        <v>1193</v>
      </c>
      <c r="B638" s="1">
        <v>2</v>
      </c>
      <c r="C638" s="1">
        <v>1</v>
      </c>
      <c r="D638" s="3" t="s">
        <v>377</v>
      </c>
      <c r="E638" s="12">
        <v>0</v>
      </c>
      <c r="F638" s="12">
        <v>0</v>
      </c>
      <c r="G638" s="12">
        <v>0</v>
      </c>
      <c r="H638" s="12">
        <v>0</v>
      </c>
      <c r="I638" s="12">
        <v>59145.96</v>
      </c>
      <c r="J638" s="12">
        <v>59145.96</v>
      </c>
      <c r="K638" s="12">
        <v>0</v>
      </c>
      <c r="L638" s="12">
        <v>0</v>
      </c>
      <c r="M638" s="24">
        <v>59145.96</v>
      </c>
      <c r="N638" s="23">
        <v>59145.96</v>
      </c>
      <c r="O638" s="23">
        <v>0</v>
      </c>
      <c r="P638" s="24">
        <v>0</v>
      </c>
    </row>
    <row r="639" spans="1:16" x14ac:dyDescent="0.3">
      <c r="A639" s="3" t="s">
        <v>1194</v>
      </c>
      <c r="B639" s="1">
        <v>2</v>
      </c>
      <c r="C639" s="1">
        <v>1</v>
      </c>
      <c r="D639" s="3" t="s">
        <v>379</v>
      </c>
      <c r="E639" s="12">
        <v>0</v>
      </c>
      <c r="F639" s="12">
        <v>0</v>
      </c>
      <c r="G639" s="12">
        <v>0</v>
      </c>
      <c r="H639" s="12">
        <v>0</v>
      </c>
      <c r="I639" s="12">
        <v>60854.16</v>
      </c>
      <c r="J639" s="12">
        <v>15135.08</v>
      </c>
      <c r="K639" s="12">
        <v>0</v>
      </c>
      <c r="L639" s="12">
        <v>45719.08</v>
      </c>
      <c r="M639" s="24">
        <v>60854.16</v>
      </c>
      <c r="N639" s="23">
        <v>15135.08</v>
      </c>
      <c r="O639" s="23">
        <v>0</v>
      </c>
      <c r="P639" s="24">
        <v>45719.08</v>
      </c>
    </row>
    <row r="640" spans="1:16" x14ac:dyDescent="0.3">
      <c r="A640" s="3" t="s">
        <v>1195</v>
      </c>
      <c r="B640" s="1">
        <v>3</v>
      </c>
      <c r="C640" s="1">
        <v>0</v>
      </c>
      <c r="D640" s="3" t="s">
        <v>1196</v>
      </c>
      <c r="E640" s="12">
        <v>21818259.649999999</v>
      </c>
      <c r="F640" s="12">
        <v>1247263.6200000001</v>
      </c>
      <c r="G640" s="12">
        <v>2880080.19</v>
      </c>
      <c r="H640" s="12">
        <v>23451076.219999999</v>
      </c>
      <c r="I640" s="12">
        <v>21185868.82</v>
      </c>
      <c r="J640" s="12">
        <v>1667837.65</v>
      </c>
      <c r="K640" s="12">
        <v>2119.5100000000002</v>
      </c>
      <c r="L640" s="12">
        <v>19520150.68</v>
      </c>
      <c r="M640" s="24">
        <v>43004128.469999999</v>
      </c>
      <c r="N640" s="23">
        <v>2915101.27</v>
      </c>
      <c r="O640" s="23">
        <v>2882199.6999999997</v>
      </c>
      <c r="P640" s="24">
        <v>42971226.899999999</v>
      </c>
    </row>
    <row r="641" spans="1:16" x14ac:dyDescent="0.3">
      <c r="A641" s="3" t="s">
        <v>1197</v>
      </c>
      <c r="B641" s="2">
        <v>1</v>
      </c>
      <c r="C641" s="2">
        <v>0</v>
      </c>
      <c r="D641" s="14" t="s">
        <v>1198</v>
      </c>
      <c r="E641" s="16">
        <v>21818259.649999999</v>
      </c>
      <c r="F641" s="16">
        <v>1247263.6200000001</v>
      </c>
      <c r="G641" s="16">
        <v>2880080.19</v>
      </c>
      <c r="H641" s="16">
        <v>23451076.219999999</v>
      </c>
      <c r="I641" s="16">
        <v>21185868.82</v>
      </c>
      <c r="J641" s="16">
        <v>1667837.65</v>
      </c>
      <c r="K641" s="16">
        <v>2119.5100000000002</v>
      </c>
      <c r="L641" s="16">
        <v>19520150.68</v>
      </c>
      <c r="M641" s="25">
        <v>43004128.469999999</v>
      </c>
      <c r="N641" s="16">
        <v>2915101.27</v>
      </c>
      <c r="O641" s="16">
        <v>2882199.6999999997</v>
      </c>
      <c r="P641" s="25">
        <v>42971226.899999999</v>
      </c>
    </row>
    <row r="642" spans="1:16" x14ac:dyDescent="0.3">
      <c r="A642" s="3" t="s">
        <v>1199</v>
      </c>
      <c r="B642" s="1">
        <v>2</v>
      </c>
      <c r="C642" s="1">
        <v>0</v>
      </c>
      <c r="D642" s="3" t="s">
        <v>1200</v>
      </c>
      <c r="E642" s="12">
        <v>19061103.649999999</v>
      </c>
      <c r="F642" s="12">
        <v>1247263.6200000001</v>
      </c>
      <c r="G642" s="12">
        <v>2880080.19</v>
      </c>
      <c r="H642" s="12">
        <v>20693920.219999999</v>
      </c>
      <c r="I642" s="12">
        <v>5952904.3200000003</v>
      </c>
      <c r="J642" s="12">
        <v>603761.05000000005</v>
      </c>
      <c r="K642" s="12">
        <v>2119.5100000000002</v>
      </c>
      <c r="L642" s="12">
        <v>5351262.78</v>
      </c>
      <c r="M642" s="24">
        <v>25014007.969999999</v>
      </c>
      <c r="N642" s="23">
        <v>1851024.6700000002</v>
      </c>
      <c r="O642" s="23">
        <v>2882199.6999999997</v>
      </c>
      <c r="P642" s="24">
        <v>26045183</v>
      </c>
    </row>
    <row r="643" spans="1:16" x14ac:dyDescent="0.3">
      <c r="A643" s="3" t="s">
        <v>1201</v>
      </c>
      <c r="B643" s="1">
        <v>2</v>
      </c>
      <c r="C643" s="1">
        <v>0</v>
      </c>
      <c r="D643" s="3" t="s">
        <v>1202</v>
      </c>
      <c r="E643" s="12">
        <v>19061103.649999999</v>
      </c>
      <c r="F643" s="12">
        <v>1247263.6200000001</v>
      </c>
      <c r="G643" s="12">
        <v>2880080.19</v>
      </c>
      <c r="H643" s="12">
        <v>20693920.219999999</v>
      </c>
      <c r="I643" s="12">
        <v>5952904.3200000003</v>
      </c>
      <c r="J643" s="12">
        <v>603761.05000000005</v>
      </c>
      <c r="K643" s="12">
        <v>2119.5100000000002</v>
      </c>
      <c r="L643" s="12">
        <v>5351262.78</v>
      </c>
      <c r="M643" s="24">
        <v>25014007.969999999</v>
      </c>
      <c r="N643" s="23">
        <v>1851024.6700000002</v>
      </c>
      <c r="O643" s="23">
        <v>2882199.6999999997</v>
      </c>
      <c r="P643" s="24">
        <v>26045183</v>
      </c>
    </row>
    <row r="644" spans="1:16" x14ac:dyDescent="0.3">
      <c r="A644" s="3" t="s">
        <v>1203</v>
      </c>
      <c r="B644" s="1">
        <v>2</v>
      </c>
      <c r="C644" s="1">
        <v>1</v>
      </c>
      <c r="D644" s="3" t="s">
        <v>1204</v>
      </c>
      <c r="E644" s="12">
        <v>0</v>
      </c>
      <c r="F644" s="12">
        <v>0</v>
      </c>
      <c r="G644" s="12">
        <v>0</v>
      </c>
      <c r="H644" s="12">
        <v>0</v>
      </c>
      <c r="I644" s="12">
        <v>356848.15</v>
      </c>
      <c r="J644" s="12">
        <v>24441.78</v>
      </c>
      <c r="K644" s="12">
        <v>0</v>
      </c>
      <c r="L644" s="12">
        <v>332406.37</v>
      </c>
      <c r="M644" s="24">
        <v>356848.15</v>
      </c>
      <c r="N644" s="23">
        <v>24441.78</v>
      </c>
      <c r="O644" s="23">
        <v>0</v>
      </c>
      <c r="P644" s="24">
        <v>332406.37</v>
      </c>
    </row>
    <row r="645" spans="1:16" x14ac:dyDescent="0.3">
      <c r="A645" s="3" t="s">
        <v>1205</v>
      </c>
      <c r="B645" s="1">
        <v>2</v>
      </c>
      <c r="C645" s="1">
        <v>1</v>
      </c>
      <c r="D645" s="3" t="s">
        <v>1206</v>
      </c>
      <c r="E645" s="12">
        <v>0</v>
      </c>
      <c r="F645" s="12">
        <v>0</v>
      </c>
      <c r="G645" s="12">
        <v>0</v>
      </c>
      <c r="H645" s="12">
        <v>0</v>
      </c>
      <c r="I645" s="12">
        <v>54272.959999999999</v>
      </c>
      <c r="J645" s="12">
        <v>40754.519999999997</v>
      </c>
      <c r="K645" s="12">
        <v>0</v>
      </c>
      <c r="L645" s="12">
        <v>13518.44</v>
      </c>
      <c r="M645" s="24">
        <v>54272.959999999999</v>
      </c>
      <c r="N645" s="23">
        <v>40754.519999999997</v>
      </c>
      <c r="O645" s="23">
        <v>0</v>
      </c>
      <c r="P645" s="24">
        <v>13518.44</v>
      </c>
    </row>
    <row r="646" spans="1:16" x14ac:dyDescent="0.3">
      <c r="A646" s="3" t="s">
        <v>1207</v>
      </c>
      <c r="B646" s="1">
        <v>2</v>
      </c>
      <c r="C646" s="1">
        <v>1</v>
      </c>
      <c r="D646" s="3" t="s">
        <v>1208</v>
      </c>
      <c r="E646" s="12">
        <v>0</v>
      </c>
      <c r="F646" s="12">
        <v>0</v>
      </c>
      <c r="G646" s="12">
        <v>0</v>
      </c>
      <c r="H646" s="12">
        <v>0</v>
      </c>
      <c r="I646" s="12">
        <v>1405246</v>
      </c>
      <c r="J646" s="12">
        <v>0</v>
      </c>
      <c r="K646" s="12">
        <v>0</v>
      </c>
      <c r="L646" s="12">
        <v>1405246</v>
      </c>
      <c r="M646" s="24">
        <v>1405246</v>
      </c>
      <c r="N646" s="23">
        <v>0</v>
      </c>
      <c r="O646" s="23">
        <v>0</v>
      </c>
      <c r="P646" s="24">
        <v>1405246</v>
      </c>
    </row>
    <row r="647" spans="1:16" x14ac:dyDescent="0.3">
      <c r="A647" s="3" t="s">
        <v>1209</v>
      </c>
      <c r="B647" s="1">
        <v>2</v>
      </c>
      <c r="C647" s="1">
        <v>1</v>
      </c>
      <c r="D647" s="3" t="s">
        <v>1210</v>
      </c>
      <c r="E647" s="12">
        <v>0</v>
      </c>
      <c r="F647" s="12">
        <v>0</v>
      </c>
      <c r="G647" s="12">
        <v>0</v>
      </c>
      <c r="H647" s="12">
        <v>0</v>
      </c>
      <c r="I647" s="12">
        <v>231690.42</v>
      </c>
      <c r="J647" s="12">
        <v>121218.07</v>
      </c>
      <c r="K647" s="12">
        <v>2119.5100000000002</v>
      </c>
      <c r="L647" s="12">
        <v>112591.86</v>
      </c>
      <c r="M647" s="24">
        <v>231690.42</v>
      </c>
      <c r="N647" s="23">
        <v>121218.07</v>
      </c>
      <c r="O647" s="23">
        <v>2119.5100000000002</v>
      </c>
      <c r="P647" s="24">
        <v>112591.86</v>
      </c>
    </row>
    <row r="648" spans="1:16" x14ac:dyDescent="0.3">
      <c r="A648" s="3" t="s">
        <v>1211</v>
      </c>
      <c r="B648" s="1">
        <v>2</v>
      </c>
      <c r="C648" s="1">
        <v>1</v>
      </c>
      <c r="D648" s="3" t="s">
        <v>1212</v>
      </c>
      <c r="E648" s="12">
        <v>0</v>
      </c>
      <c r="F648" s="12">
        <v>0</v>
      </c>
      <c r="G648" s="12">
        <v>0</v>
      </c>
      <c r="H648" s="12">
        <v>0</v>
      </c>
      <c r="I648" s="12">
        <v>96912.97</v>
      </c>
      <c r="J648" s="12">
        <v>96912.97</v>
      </c>
      <c r="K648" s="12">
        <v>0</v>
      </c>
      <c r="L648" s="12">
        <v>0</v>
      </c>
      <c r="M648" s="24">
        <v>96912.97</v>
      </c>
      <c r="N648" s="23">
        <v>96912.97</v>
      </c>
      <c r="O648" s="23">
        <v>0</v>
      </c>
      <c r="P648" s="24">
        <v>0</v>
      </c>
    </row>
    <row r="649" spans="1:16" x14ac:dyDescent="0.3">
      <c r="A649" s="3" t="s">
        <v>1213</v>
      </c>
      <c r="B649" s="1">
        <v>2</v>
      </c>
      <c r="C649" s="1">
        <v>1</v>
      </c>
      <c r="D649" s="3" t="s">
        <v>1214</v>
      </c>
      <c r="E649" s="12">
        <v>0</v>
      </c>
      <c r="F649" s="12">
        <v>0</v>
      </c>
      <c r="G649" s="12">
        <v>0</v>
      </c>
      <c r="H649" s="12">
        <v>0</v>
      </c>
      <c r="I649" s="12">
        <v>963006.14</v>
      </c>
      <c r="J649" s="12">
        <v>63006.14</v>
      </c>
      <c r="K649" s="12">
        <v>0</v>
      </c>
      <c r="L649" s="12">
        <v>900000</v>
      </c>
      <c r="M649" s="24">
        <v>963006.14</v>
      </c>
      <c r="N649" s="23">
        <v>63006.14</v>
      </c>
      <c r="O649" s="23">
        <v>0</v>
      </c>
      <c r="P649" s="24">
        <v>900000</v>
      </c>
    </row>
    <row r="650" spans="1:16" x14ac:dyDescent="0.3">
      <c r="A650" s="3" t="s">
        <v>1215</v>
      </c>
      <c r="B650" s="1">
        <v>2</v>
      </c>
      <c r="C650" s="1">
        <v>1</v>
      </c>
      <c r="D650" s="3" t="s">
        <v>1216</v>
      </c>
      <c r="E650" s="12">
        <v>0</v>
      </c>
      <c r="F650" s="12">
        <v>0</v>
      </c>
      <c r="G650" s="12">
        <v>0</v>
      </c>
      <c r="H650" s="12">
        <v>0</v>
      </c>
      <c r="I650" s="12">
        <v>2779411.68</v>
      </c>
      <c r="J650" s="12">
        <v>191911.57</v>
      </c>
      <c r="K650" s="12">
        <v>0</v>
      </c>
      <c r="L650" s="12">
        <v>2587500.11</v>
      </c>
      <c r="M650" s="24">
        <v>2779411.68</v>
      </c>
      <c r="N650" s="23">
        <v>191911.57</v>
      </c>
      <c r="O650" s="23">
        <v>0</v>
      </c>
      <c r="P650" s="24">
        <v>2587500.11</v>
      </c>
    </row>
    <row r="651" spans="1:16" x14ac:dyDescent="0.3">
      <c r="A651" s="3" t="s">
        <v>1217</v>
      </c>
      <c r="B651" s="1">
        <v>2</v>
      </c>
      <c r="C651" s="1">
        <v>1</v>
      </c>
      <c r="D651" s="3" t="s">
        <v>1218</v>
      </c>
      <c r="E651" s="12">
        <v>19061103.649999999</v>
      </c>
      <c r="F651" s="12">
        <v>1247263.6200000001</v>
      </c>
      <c r="G651" s="12">
        <v>2880080.19</v>
      </c>
      <c r="H651" s="12">
        <v>20693920.219999999</v>
      </c>
      <c r="I651" s="12">
        <v>0</v>
      </c>
      <c r="J651" s="12">
        <v>0</v>
      </c>
      <c r="K651" s="12">
        <v>0</v>
      </c>
      <c r="L651" s="12">
        <v>0</v>
      </c>
      <c r="M651" s="24">
        <v>19061103.649999999</v>
      </c>
      <c r="N651" s="23">
        <v>1247263.6200000001</v>
      </c>
      <c r="O651" s="23">
        <v>2880080.19</v>
      </c>
      <c r="P651" s="24">
        <v>20693920.219999999</v>
      </c>
    </row>
    <row r="652" spans="1:16" x14ac:dyDescent="0.3">
      <c r="A652" s="3" t="s">
        <v>1219</v>
      </c>
      <c r="B652" s="1">
        <v>2</v>
      </c>
      <c r="C652" s="1">
        <v>1</v>
      </c>
      <c r="D652" s="3" t="s">
        <v>1220</v>
      </c>
      <c r="E652" s="12">
        <v>0</v>
      </c>
      <c r="F652" s="12">
        <v>0</v>
      </c>
      <c r="G652" s="12">
        <v>0</v>
      </c>
      <c r="H652" s="12">
        <v>0</v>
      </c>
      <c r="I652" s="12">
        <v>65516</v>
      </c>
      <c r="J652" s="12">
        <v>65516</v>
      </c>
      <c r="K652" s="12">
        <v>0</v>
      </c>
      <c r="L652" s="12">
        <v>0</v>
      </c>
      <c r="M652" s="24">
        <v>65516</v>
      </c>
      <c r="N652" s="23">
        <v>65516</v>
      </c>
      <c r="O652" s="23">
        <v>0</v>
      </c>
      <c r="P652" s="24">
        <v>0</v>
      </c>
    </row>
    <row r="653" spans="1:16" x14ac:dyDescent="0.3">
      <c r="A653" s="3" t="s">
        <v>1221</v>
      </c>
      <c r="B653" s="1">
        <v>2</v>
      </c>
      <c r="C653" s="1">
        <v>0</v>
      </c>
      <c r="D653" s="3" t="s">
        <v>1222</v>
      </c>
      <c r="E653" s="12">
        <v>2757156</v>
      </c>
      <c r="F653" s="12">
        <v>0</v>
      </c>
      <c r="G653" s="12">
        <v>0</v>
      </c>
      <c r="H653" s="12">
        <v>2757156</v>
      </c>
      <c r="I653" s="12">
        <v>15232964.5</v>
      </c>
      <c r="J653" s="12">
        <v>1064076.6000000001</v>
      </c>
      <c r="K653" s="12">
        <v>0</v>
      </c>
      <c r="L653" s="12">
        <v>14168887.9</v>
      </c>
      <c r="M653" s="24">
        <v>17990120.5</v>
      </c>
      <c r="N653" s="23">
        <v>1064076.6000000001</v>
      </c>
      <c r="O653" s="23">
        <v>0</v>
      </c>
      <c r="P653" s="24">
        <v>16926043.899999999</v>
      </c>
    </row>
    <row r="654" spans="1:16" x14ac:dyDescent="0.3">
      <c r="A654" s="3" t="s">
        <v>1223</v>
      </c>
      <c r="B654" s="1">
        <v>2</v>
      </c>
      <c r="C654" s="1">
        <v>0</v>
      </c>
      <c r="D654" s="3" t="s">
        <v>369</v>
      </c>
      <c r="E654" s="12">
        <v>0</v>
      </c>
      <c r="F654" s="12">
        <v>0</v>
      </c>
      <c r="G654" s="12">
        <v>0</v>
      </c>
      <c r="H654" s="12">
        <v>0</v>
      </c>
      <c r="I654" s="12">
        <v>961105.26</v>
      </c>
      <c r="J654" s="12">
        <v>132129.32999999999</v>
      </c>
      <c r="K654" s="12">
        <v>0</v>
      </c>
      <c r="L654" s="12">
        <v>828975.93</v>
      </c>
      <c r="M654" s="24">
        <v>961105.26</v>
      </c>
      <c r="N654" s="23">
        <v>132129.32999999999</v>
      </c>
      <c r="O654" s="23">
        <v>0</v>
      </c>
      <c r="P654" s="24">
        <v>828975.93</v>
      </c>
    </row>
    <row r="655" spans="1:16" x14ac:dyDescent="0.3">
      <c r="A655" s="3" t="s">
        <v>1224</v>
      </c>
      <c r="B655" s="1">
        <v>2</v>
      </c>
      <c r="C655" s="1">
        <v>1</v>
      </c>
      <c r="D655" s="3" t="s">
        <v>429</v>
      </c>
      <c r="E655" s="12">
        <v>0</v>
      </c>
      <c r="F655" s="12">
        <v>0</v>
      </c>
      <c r="G655" s="12">
        <v>0</v>
      </c>
      <c r="H655" s="12">
        <v>0</v>
      </c>
      <c r="I655" s="12">
        <v>344362.4</v>
      </c>
      <c r="J655" s="12">
        <v>54067.76</v>
      </c>
      <c r="K655" s="12">
        <v>0</v>
      </c>
      <c r="L655" s="12">
        <v>290294.64</v>
      </c>
      <c r="M655" s="24">
        <v>344362.4</v>
      </c>
      <c r="N655" s="23">
        <v>54067.76</v>
      </c>
      <c r="O655" s="23">
        <v>0</v>
      </c>
      <c r="P655" s="24">
        <v>290294.64</v>
      </c>
    </row>
    <row r="656" spans="1:16" x14ac:dyDescent="0.3">
      <c r="A656" s="3" t="s">
        <v>1225</v>
      </c>
      <c r="B656" s="1">
        <v>2</v>
      </c>
      <c r="C656" s="1">
        <v>1</v>
      </c>
      <c r="D656" s="3" t="s">
        <v>431</v>
      </c>
      <c r="E656" s="12">
        <v>0</v>
      </c>
      <c r="F656" s="12">
        <v>0</v>
      </c>
      <c r="G656" s="12">
        <v>0</v>
      </c>
      <c r="H656" s="12">
        <v>0</v>
      </c>
      <c r="I656" s="12">
        <v>318963.69</v>
      </c>
      <c r="J656" s="12">
        <v>45110.12</v>
      </c>
      <c r="K656" s="12">
        <v>0</v>
      </c>
      <c r="L656" s="12">
        <v>273853.57</v>
      </c>
      <c r="M656" s="24">
        <v>318963.69</v>
      </c>
      <c r="N656" s="23">
        <v>45110.12</v>
      </c>
      <c r="O656" s="23">
        <v>0</v>
      </c>
      <c r="P656" s="24">
        <v>273853.57</v>
      </c>
    </row>
    <row r="657" spans="1:16" x14ac:dyDescent="0.3">
      <c r="A657" s="3" t="s">
        <v>1226</v>
      </c>
      <c r="B657" s="1">
        <v>2</v>
      </c>
      <c r="C657" s="1">
        <v>1</v>
      </c>
      <c r="D657" s="3" t="s">
        <v>433</v>
      </c>
      <c r="E657" s="12">
        <v>0</v>
      </c>
      <c r="F657" s="12">
        <v>0</v>
      </c>
      <c r="G657" s="12">
        <v>0</v>
      </c>
      <c r="H657" s="12">
        <v>0</v>
      </c>
      <c r="I657" s="12">
        <v>297779.17</v>
      </c>
      <c r="J657" s="12">
        <v>32951.449999999997</v>
      </c>
      <c r="K657" s="12">
        <v>0</v>
      </c>
      <c r="L657" s="12">
        <v>264827.71999999997</v>
      </c>
      <c r="M657" s="24">
        <v>297779.17</v>
      </c>
      <c r="N657" s="23">
        <v>32951.449999999997</v>
      </c>
      <c r="O657" s="23">
        <v>0</v>
      </c>
      <c r="P657" s="24">
        <v>264827.71999999997</v>
      </c>
    </row>
    <row r="658" spans="1:16" x14ac:dyDescent="0.3">
      <c r="A658" s="3" t="s">
        <v>1227</v>
      </c>
      <c r="B658" s="1">
        <v>2</v>
      </c>
      <c r="C658" s="1">
        <v>0</v>
      </c>
      <c r="D658" s="3" t="s">
        <v>435</v>
      </c>
      <c r="E658" s="12">
        <v>2757156</v>
      </c>
      <c r="F658" s="12">
        <v>0</v>
      </c>
      <c r="G658" s="12">
        <v>0</v>
      </c>
      <c r="H658" s="12">
        <v>2757156</v>
      </c>
      <c r="I658" s="12">
        <v>13848332.23</v>
      </c>
      <c r="J658" s="12">
        <v>734854.72</v>
      </c>
      <c r="K658" s="12">
        <v>0</v>
      </c>
      <c r="L658" s="12">
        <v>13113477.51</v>
      </c>
      <c r="M658" s="24">
        <v>16605488.23</v>
      </c>
      <c r="N658" s="23">
        <v>734854.72</v>
      </c>
      <c r="O658" s="23">
        <v>0</v>
      </c>
      <c r="P658" s="24">
        <v>15870633.51</v>
      </c>
    </row>
    <row r="659" spans="1:16" ht="15" customHeight="1" x14ac:dyDescent="0.3">
      <c r="A659" s="3" t="s">
        <v>1228</v>
      </c>
      <c r="B659" s="1">
        <v>2</v>
      </c>
      <c r="C659" s="1">
        <v>1</v>
      </c>
      <c r="D659" s="3" t="s">
        <v>437</v>
      </c>
      <c r="E659" s="12">
        <v>2757156</v>
      </c>
      <c r="F659" s="12">
        <v>0</v>
      </c>
      <c r="G659" s="12">
        <v>0</v>
      </c>
      <c r="H659" s="12">
        <v>2757156</v>
      </c>
      <c r="I659" s="12">
        <v>321504.74</v>
      </c>
      <c r="J659" s="12">
        <v>17374</v>
      </c>
      <c r="K659" s="12">
        <v>0</v>
      </c>
      <c r="L659" s="12">
        <v>304130.74</v>
      </c>
      <c r="M659" s="24">
        <v>3078660.74</v>
      </c>
      <c r="N659" s="23">
        <v>17374</v>
      </c>
      <c r="O659" s="23">
        <v>0</v>
      </c>
      <c r="P659" s="24">
        <v>3061286.74</v>
      </c>
    </row>
    <row r="660" spans="1:16" x14ac:dyDescent="0.3">
      <c r="A660" s="3" t="s">
        <v>1229</v>
      </c>
      <c r="B660" s="1">
        <v>2</v>
      </c>
      <c r="C660" s="1">
        <v>1</v>
      </c>
      <c r="D660" s="3" t="s">
        <v>439</v>
      </c>
      <c r="E660" s="12">
        <v>0</v>
      </c>
      <c r="F660" s="12">
        <v>0</v>
      </c>
      <c r="G660" s="12">
        <v>0</v>
      </c>
      <c r="H660" s="12">
        <v>0</v>
      </c>
      <c r="I660" s="12">
        <v>408610.84</v>
      </c>
      <c r="J660" s="12">
        <v>18353.97</v>
      </c>
      <c r="K660" s="12">
        <v>0</v>
      </c>
      <c r="L660" s="12">
        <v>390256.87</v>
      </c>
      <c r="M660" s="24">
        <v>408610.84</v>
      </c>
      <c r="N660" s="23">
        <v>18353.97</v>
      </c>
      <c r="O660" s="23">
        <v>0</v>
      </c>
      <c r="P660" s="24">
        <v>390256.87</v>
      </c>
    </row>
    <row r="661" spans="1:16" x14ac:dyDescent="0.3">
      <c r="A661" s="3" t="s">
        <v>1230</v>
      </c>
      <c r="B661" s="1">
        <v>2</v>
      </c>
      <c r="C661" s="1">
        <v>1</v>
      </c>
      <c r="D661" s="3" t="s">
        <v>441</v>
      </c>
      <c r="E661" s="12">
        <v>0</v>
      </c>
      <c r="F661" s="12">
        <v>0</v>
      </c>
      <c r="G661" s="12">
        <v>0</v>
      </c>
      <c r="H661" s="12">
        <v>0</v>
      </c>
      <c r="I661" s="12">
        <v>163758.67000000001</v>
      </c>
      <c r="J661" s="12">
        <v>7416.92</v>
      </c>
      <c r="K661" s="12">
        <v>0</v>
      </c>
      <c r="L661" s="12">
        <v>156341.75</v>
      </c>
      <c r="M661" s="24">
        <v>163758.67000000001</v>
      </c>
      <c r="N661" s="23">
        <v>7416.92</v>
      </c>
      <c r="O661" s="23">
        <v>0</v>
      </c>
      <c r="P661" s="24">
        <v>156341.75</v>
      </c>
    </row>
    <row r="662" spans="1:16" x14ac:dyDescent="0.3">
      <c r="A662" s="3" t="s">
        <v>1231</v>
      </c>
      <c r="B662" s="1">
        <v>2</v>
      </c>
      <c r="C662" s="1">
        <v>1</v>
      </c>
      <c r="D662" s="3" t="s">
        <v>443</v>
      </c>
      <c r="E662" s="12">
        <v>0</v>
      </c>
      <c r="F662" s="12">
        <v>0</v>
      </c>
      <c r="G662" s="12">
        <v>0</v>
      </c>
      <c r="H662" s="12">
        <v>0</v>
      </c>
      <c r="I662" s="12">
        <v>2734004.75</v>
      </c>
      <c r="J662" s="12">
        <v>147744.57</v>
      </c>
      <c r="K662" s="12">
        <v>0</v>
      </c>
      <c r="L662" s="12">
        <v>2586260.1800000002</v>
      </c>
      <c r="M662" s="24">
        <v>2734004.75</v>
      </c>
      <c r="N662" s="23">
        <v>147744.57</v>
      </c>
      <c r="O662" s="23">
        <v>0</v>
      </c>
      <c r="P662" s="24">
        <v>2586260.1800000002</v>
      </c>
    </row>
    <row r="663" spans="1:16" x14ac:dyDescent="0.3">
      <c r="A663" s="3" t="s">
        <v>1232</v>
      </c>
      <c r="B663" s="1">
        <v>2</v>
      </c>
      <c r="C663" s="1">
        <v>1</v>
      </c>
      <c r="D663" s="3" t="s">
        <v>445</v>
      </c>
      <c r="E663" s="12">
        <v>0</v>
      </c>
      <c r="F663" s="12">
        <v>0</v>
      </c>
      <c r="G663" s="12">
        <v>0</v>
      </c>
      <c r="H663" s="12">
        <v>0</v>
      </c>
      <c r="I663" s="12">
        <v>1514392.64</v>
      </c>
      <c r="J663" s="12">
        <v>81845.75</v>
      </c>
      <c r="K663" s="12">
        <v>0</v>
      </c>
      <c r="L663" s="12">
        <v>1432546.89</v>
      </c>
      <c r="M663" s="24">
        <v>1514392.64</v>
      </c>
      <c r="N663" s="23">
        <v>81845.75</v>
      </c>
      <c r="O663" s="23">
        <v>0</v>
      </c>
      <c r="P663" s="24">
        <v>1432546.89</v>
      </c>
    </row>
    <row r="664" spans="1:16" x14ac:dyDescent="0.3">
      <c r="A664" s="3" t="s">
        <v>1233</v>
      </c>
      <c r="B664" s="1">
        <v>2</v>
      </c>
      <c r="C664" s="1">
        <v>1</v>
      </c>
      <c r="D664" s="3" t="s">
        <v>447</v>
      </c>
      <c r="E664" s="12">
        <v>0</v>
      </c>
      <c r="F664" s="12">
        <v>0</v>
      </c>
      <c r="G664" s="12">
        <v>0</v>
      </c>
      <c r="H664" s="12">
        <v>0</v>
      </c>
      <c r="I664" s="12">
        <v>1373176.58</v>
      </c>
      <c r="J664" s="12">
        <v>74205.929999999993</v>
      </c>
      <c r="K664" s="12">
        <v>0</v>
      </c>
      <c r="L664" s="12">
        <v>1298970.6499999999</v>
      </c>
      <c r="M664" s="24">
        <v>1373176.58</v>
      </c>
      <c r="N664" s="23">
        <v>74205.929999999993</v>
      </c>
      <c r="O664" s="23">
        <v>0</v>
      </c>
      <c r="P664" s="24">
        <v>1298970.6499999999</v>
      </c>
    </row>
    <row r="665" spans="1:16" x14ac:dyDescent="0.3">
      <c r="A665" s="3" t="s">
        <v>1234</v>
      </c>
      <c r="B665" s="1">
        <v>2</v>
      </c>
      <c r="C665" s="1">
        <v>1</v>
      </c>
      <c r="D665" s="3" t="s">
        <v>449</v>
      </c>
      <c r="E665" s="12">
        <v>0</v>
      </c>
      <c r="F665" s="12">
        <v>0</v>
      </c>
      <c r="G665" s="12">
        <v>0</v>
      </c>
      <c r="H665" s="12">
        <v>0</v>
      </c>
      <c r="I665" s="12">
        <v>621155.85</v>
      </c>
      <c r="J665" s="12">
        <v>33567.03</v>
      </c>
      <c r="K665" s="12">
        <v>0</v>
      </c>
      <c r="L665" s="12">
        <v>587588.81999999995</v>
      </c>
      <c r="M665" s="24">
        <v>621155.85</v>
      </c>
      <c r="N665" s="23">
        <v>33567.03</v>
      </c>
      <c r="O665" s="23">
        <v>0</v>
      </c>
      <c r="P665" s="24">
        <v>587588.81999999995</v>
      </c>
    </row>
    <row r="666" spans="1:16" x14ac:dyDescent="0.3">
      <c r="A666" s="3" t="s">
        <v>1235</v>
      </c>
      <c r="B666" s="1">
        <v>2</v>
      </c>
      <c r="C666" s="1">
        <v>1</v>
      </c>
      <c r="D666" s="3" t="s">
        <v>451</v>
      </c>
      <c r="E666" s="12">
        <v>0</v>
      </c>
      <c r="F666" s="12">
        <v>0</v>
      </c>
      <c r="G666" s="12">
        <v>0</v>
      </c>
      <c r="H666" s="12">
        <v>0</v>
      </c>
      <c r="I666" s="12">
        <v>1231668.92</v>
      </c>
      <c r="J666" s="12">
        <v>66558.899999999994</v>
      </c>
      <c r="K666" s="12">
        <v>0</v>
      </c>
      <c r="L666" s="12">
        <v>1165110.02</v>
      </c>
      <c r="M666" s="24">
        <v>1231668.92</v>
      </c>
      <c r="N666" s="23">
        <v>66558.899999999994</v>
      </c>
      <c r="O666" s="23">
        <v>0</v>
      </c>
      <c r="P666" s="24">
        <v>1165110.02</v>
      </c>
    </row>
    <row r="667" spans="1:16" x14ac:dyDescent="0.3">
      <c r="A667" s="3" t="s">
        <v>1236</v>
      </c>
      <c r="B667" s="1">
        <v>2</v>
      </c>
      <c r="C667" s="1">
        <v>1</v>
      </c>
      <c r="D667" s="3" t="s">
        <v>453</v>
      </c>
      <c r="E667" s="12">
        <v>0</v>
      </c>
      <c r="F667" s="12">
        <v>0</v>
      </c>
      <c r="G667" s="12">
        <v>0</v>
      </c>
      <c r="H667" s="12">
        <v>0</v>
      </c>
      <c r="I667" s="12">
        <v>2587940.5499999998</v>
      </c>
      <c r="J667" s="12">
        <v>139850.88</v>
      </c>
      <c r="K667" s="12">
        <v>0</v>
      </c>
      <c r="L667" s="12">
        <v>2448089.67</v>
      </c>
      <c r="M667" s="24">
        <v>2587940.5499999998</v>
      </c>
      <c r="N667" s="23">
        <v>139850.88</v>
      </c>
      <c r="O667" s="23">
        <v>0</v>
      </c>
      <c r="P667" s="24">
        <v>2448089.67</v>
      </c>
    </row>
    <row r="668" spans="1:16" x14ac:dyDescent="0.3">
      <c r="A668" s="3" t="s">
        <v>1237</v>
      </c>
      <c r="B668" s="1">
        <v>2</v>
      </c>
      <c r="C668" s="1">
        <v>1</v>
      </c>
      <c r="D668" s="3" t="s">
        <v>455</v>
      </c>
      <c r="E668" s="12">
        <v>0</v>
      </c>
      <c r="F668" s="12">
        <v>0</v>
      </c>
      <c r="G668" s="12">
        <v>0</v>
      </c>
      <c r="H668" s="12">
        <v>0</v>
      </c>
      <c r="I668" s="12">
        <v>171106.2</v>
      </c>
      <c r="J668" s="12">
        <v>7745.16</v>
      </c>
      <c r="K668" s="12">
        <v>0</v>
      </c>
      <c r="L668" s="12">
        <v>163361.04</v>
      </c>
      <c r="M668" s="24">
        <v>171106.2</v>
      </c>
      <c r="N668" s="23">
        <v>7745.16</v>
      </c>
      <c r="O668" s="23">
        <v>0</v>
      </c>
      <c r="P668" s="24">
        <v>163361.04</v>
      </c>
    </row>
    <row r="669" spans="1:16" x14ac:dyDescent="0.3">
      <c r="A669" s="3" t="s">
        <v>1238</v>
      </c>
      <c r="B669" s="1">
        <v>2</v>
      </c>
      <c r="C669" s="1">
        <v>1</v>
      </c>
      <c r="D669" s="3" t="s">
        <v>457</v>
      </c>
      <c r="E669" s="12">
        <v>0</v>
      </c>
      <c r="F669" s="12">
        <v>0</v>
      </c>
      <c r="G669" s="12">
        <v>0</v>
      </c>
      <c r="H669" s="12">
        <v>0</v>
      </c>
      <c r="I669" s="12">
        <v>320810.86</v>
      </c>
      <c r="J669" s="12">
        <v>14432.18</v>
      </c>
      <c r="K669" s="12">
        <v>0</v>
      </c>
      <c r="L669" s="12">
        <v>306378.68</v>
      </c>
      <c r="M669" s="24">
        <v>320810.86</v>
      </c>
      <c r="N669" s="23">
        <v>14432.18</v>
      </c>
      <c r="O669" s="23">
        <v>0</v>
      </c>
      <c r="P669" s="24">
        <v>306378.68</v>
      </c>
    </row>
    <row r="670" spans="1:16" x14ac:dyDescent="0.3">
      <c r="A670" s="3" t="s">
        <v>1239</v>
      </c>
      <c r="B670" s="1">
        <v>2</v>
      </c>
      <c r="C670" s="1">
        <v>1</v>
      </c>
      <c r="D670" s="3" t="s">
        <v>459</v>
      </c>
      <c r="E670" s="12">
        <v>0</v>
      </c>
      <c r="F670" s="12">
        <v>0</v>
      </c>
      <c r="G670" s="12">
        <v>0</v>
      </c>
      <c r="H670" s="12">
        <v>0</v>
      </c>
      <c r="I670" s="12">
        <v>189906.35</v>
      </c>
      <c r="J670" s="12">
        <v>9084.77</v>
      </c>
      <c r="K670" s="12">
        <v>0</v>
      </c>
      <c r="L670" s="12">
        <v>180821.58</v>
      </c>
      <c r="M670" s="24">
        <v>189906.35</v>
      </c>
      <c r="N670" s="23">
        <v>9084.77</v>
      </c>
      <c r="O670" s="23">
        <v>0</v>
      </c>
      <c r="P670" s="24">
        <v>180821.58</v>
      </c>
    </row>
    <row r="671" spans="1:16" x14ac:dyDescent="0.3">
      <c r="A671" s="3" t="s">
        <v>1240</v>
      </c>
      <c r="B671" s="1">
        <v>2</v>
      </c>
      <c r="C671" s="1">
        <v>1</v>
      </c>
      <c r="D671" s="3" t="s">
        <v>461</v>
      </c>
      <c r="E671" s="12">
        <v>0</v>
      </c>
      <c r="F671" s="12">
        <v>0</v>
      </c>
      <c r="G671" s="12">
        <v>0</v>
      </c>
      <c r="H671" s="12">
        <v>0</v>
      </c>
      <c r="I671" s="12">
        <v>165570.92000000001</v>
      </c>
      <c r="J671" s="12">
        <v>7497.9</v>
      </c>
      <c r="K671" s="12">
        <v>0</v>
      </c>
      <c r="L671" s="12">
        <v>158073.01999999999</v>
      </c>
      <c r="M671" s="24">
        <v>165570.92000000001</v>
      </c>
      <c r="N671" s="23">
        <v>7497.9</v>
      </c>
      <c r="O671" s="23">
        <v>0</v>
      </c>
      <c r="P671" s="24">
        <v>158073.01999999999</v>
      </c>
    </row>
    <row r="672" spans="1:16" x14ac:dyDescent="0.3">
      <c r="A672" s="3" t="s">
        <v>1241</v>
      </c>
      <c r="B672" s="1">
        <v>2</v>
      </c>
      <c r="C672" s="1">
        <v>1</v>
      </c>
      <c r="D672" s="3" t="s">
        <v>463</v>
      </c>
      <c r="E672" s="12">
        <v>0</v>
      </c>
      <c r="F672" s="12">
        <v>0</v>
      </c>
      <c r="G672" s="12">
        <v>0</v>
      </c>
      <c r="H672" s="12">
        <v>0</v>
      </c>
      <c r="I672" s="12">
        <v>152603.14000000001</v>
      </c>
      <c r="J672" s="12">
        <v>6918.66</v>
      </c>
      <c r="K672" s="12">
        <v>0</v>
      </c>
      <c r="L672" s="12">
        <v>145684.48000000001</v>
      </c>
      <c r="M672" s="24">
        <v>152603.14000000001</v>
      </c>
      <c r="N672" s="23">
        <v>6918.66</v>
      </c>
      <c r="O672" s="23">
        <v>0</v>
      </c>
      <c r="P672" s="24">
        <v>145684.48000000001</v>
      </c>
    </row>
    <row r="673" spans="1:16" x14ac:dyDescent="0.3">
      <c r="A673" s="3" t="s">
        <v>1242</v>
      </c>
      <c r="B673" s="1">
        <v>2</v>
      </c>
      <c r="C673" s="1">
        <v>1</v>
      </c>
      <c r="D673" s="3" t="s">
        <v>465</v>
      </c>
      <c r="E673" s="12">
        <v>0</v>
      </c>
      <c r="F673" s="12">
        <v>0</v>
      </c>
      <c r="G673" s="12">
        <v>0</v>
      </c>
      <c r="H673" s="12">
        <v>0</v>
      </c>
      <c r="I673" s="12">
        <v>728079.4</v>
      </c>
      <c r="J673" s="12">
        <v>39353.68</v>
      </c>
      <c r="K673" s="12">
        <v>0</v>
      </c>
      <c r="L673" s="12">
        <v>688725.72</v>
      </c>
      <c r="M673" s="24">
        <v>728079.4</v>
      </c>
      <c r="N673" s="23">
        <v>39353.68</v>
      </c>
      <c r="O673" s="23">
        <v>0</v>
      </c>
      <c r="P673" s="24">
        <v>688725.72</v>
      </c>
    </row>
    <row r="674" spans="1:16" x14ac:dyDescent="0.3">
      <c r="A674" s="3" t="s">
        <v>1243</v>
      </c>
      <c r="B674" s="1">
        <v>2</v>
      </c>
      <c r="C674" s="1">
        <v>1</v>
      </c>
      <c r="D674" s="3" t="s">
        <v>467</v>
      </c>
      <c r="E674" s="12">
        <v>0</v>
      </c>
      <c r="F674" s="12">
        <v>0</v>
      </c>
      <c r="G674" s="12">
        <v>0</v>
      </c>
      <c r="H674" s="12">
        <v>0</v>
      </c>
      <c r="I674" s="12">
        <v>1164041.82</v>
      </c>
      <c r="J674" s="12">
        <v>62904.42</v>
      </c>
      <c r="K674" s="12">
        <v>0</v>
      </c>
      <c r="L674" s="12">
        <v>1101137.3999999999</v>
      </c>
      <c r="M674" s="24">
        <v>1164041.82</v>
      </c>
      <c r="N674" s="23">
        <v>62904.42</v>
      </c>
      <c r="O674" s="23">
        <v>0</v>
      </c>
      <c r="P674" s="24">
        <v>1101137.3999999999</v>
      </c>
    </row>
    <row r="675" spans="1:16" x14ac:dyDescent="0.3">
      <c r="A675" s="3" t="s">
        <v>1244</v>
      </c>
      <c r="B675" s="1">
        <v>2</v>
      </c>
      <c r="C675" s="1">
        <v>0</v>
      </c>
      <c r="D675" s="3" t="s">
        <v>469</v>
      </c>
      <c r="E675" s="12">
        <v>0</v>
      </c>
      <c r="F675" s="12">
        <v>0</v>
      </c>
      <c r="G675" s="12">
        <v>0</v>
      </c>
      <c r="H675" s="12">
        <v>0</v>
      </c>
      <c r="I675" s="12">
        <v>174660.52</v>
      </c>
      <c r="J675" s="12">
        <v>174660.52</v>
      </c>
      <c r="K675" s="12">
        <v>0</v>
      </c>
      <c r="L675" s="12">
        <v>0</v>
      </c>
      <c r="M675" s="24">
        <v>174660.52</v>
      </c>
      <c r="N675" s="23">
        <v>174660.52</v>
      </c>
      <c r="O675" s="23">
        <v>0</v>
      </c>
      <c r="P675" s="24">
        <v>0</v>
      </c>
    </row>
    <row r="676" spans="1:16" x14ac:dyDescent="0.3">
      <c r="A676" s="3" t="s">
        <v>1245</v>
      </c>
      <c r="B676" s="1">
        <v>2</v>
      </c>
      <c r="C676" s="1">
        <v>1</v>
      </c>
      <c r="D676" s="3" t="s">
        <v>471</v>
      </c>
      <c r="E676" s="12">
        <v>0</v>
      </c>
      <c r="F676" s="12">
        <v>0</v>
      </c>
      <c r="G676" s="12">
        <v>0</v>
      </c>
      <c r="H676" s="12">
        <v>0</v>
      </c>
      <c r="I676" s="12">
        <v>174660.52</v>
      </c>
      <c r="J676" s="12">
        <v>174660.52</v>
      </c>
      <c r="K676" s="12">
        <v>0</v>
      </c>
      <c r="L676" s="12">
        <v>0</v>
      </c>
      <c r="M676" s="24">
        <v>174660.52</v>
      </c>
      <c r="N676" s="23">
        <v>174660.52</v>
      </c>
      <c r="O676" s="23">
        <v>0</v>
      </c>
      <c r="P676" s="24">
        <v>0</v>
      </c>
    </row>
    <row r="677" spans="1:16" x14ac:dyDescent="0.3">
      <c r="A677" s="3" t="s">
        <v>1246</v>
      </c>
      <c r="B677" s="1">
        <v>2</v>
      </c>
      <c r="C677" s="1">
        <v>0</v>
      </c>
      <c r="D677" s="3" t="s">
        <v>473</v>
      </c>
      <c r="E677" s="12">
        <v>0</v>
      </c>
      <c r="F677" s="12">
        <v>0</v>
      </c>
      <c r="G677" s="12">
        <v>0</v>
      </c>
      <c r="H677" s="12">
        <v>0</v>
      </c>
      <c r="I677" s="12">
        <v>248866.49</v>
      </c>
      <c r="J677" s="12">
        <v>22432.03</v>
      </c>
      <c r="K677" s="12">
        <v>0</v>
      </c>
      <c r="L677" s="12">
        <v>226434.46</v>
      </c>
      <c r="M677" s="24">
        <v>248866.49</v>
      </c>
      <c r="N677" s="23">
        <v>22432.03</v>
      </c>
      <c r="O677" s="23">
        <v>0</v>
      </c>
      <c r="P677" s="24">
        <v>226434.46</v>
      </c>
    </row>
    <row r="678" spans="1:16" x14ac:dyDescent="0.3">
      <c r="A678" s="3" t="s">
        <v>1247</v>
      </c>
      <c r="B678" s="1">
        <v>2</v>
      </c>
      <c r="C678" s="1">
        <v>1</v>
      </c>
      <c r="D678" s="3" t="s">
        <v>475</v>
      </c>
      <c r="E678" s="12">
        <v>0</v>
      </c>
      <c r="F678" s="12">
        <v>0</v>
      </c>
      <c r="G678" s="12">
        <v>0</v>
      </c>
      <c r="H678" s="12">
        <v>0</v>
      </c>
      <c r="I678" s="12">
        <v>248866.49</v>
      </c>
      <c r="J678" s="12">
        <v>22432.03</v>
      </c>
      <c r="K678" s="12">
        <v>0</v>
      </c>
      <c r="L678" s="12">
        <v>226434.46</v>
      </c>
      <c r="M678" s="24">
        <v>248866.49</v>
      </c>
      <c r="N678" s="23">
        <v>22432.03</v>
      </c>
      <c r="O678" s="23">
        <v>0</v>
      </c>
      <c r="P678" s="24">
        <v>226434.46</v>
      </c>
    </row>
    <row r="679" spans="1:16" x14ac:dyDescent="0.3">
      <c r="A679" s="3" t="s">
        <v>1248</v>
      </c>
      <c r="B679" s="1">
        <v>2</v>
      </c>
      <c r="C679" s="1">
        <v>0</v>
      </c>
      <c r="D679" s="3" t="s">
        <v>1249</v>
      </c>
      <c r="E679" s="12">
        <v>49087318.119999997</v>
      </c>
      <c r="F679" s="12">
        <v>0</v>
      </c>
      <c r="G679" s="12">
        <v>0</v>
      </c>
      <c r="H679" s="12">
        <v>49087318.119999997</v>
      </c>
      <c r="I679" s="17">
        <v>-10556822.07</v>
      </c>
      <c r="J679" s="12">
        <v>0</v>
      </c>
      <c r="K679" s="12">
        <v>0</v>
      </c>
      <c r="L679" s="17">
        <v>-10556822.07</v>
      </c>
      <c r="M679" s="24">
        <v>38530496.049999997</v>
      </c>
      <c r="N679" s="23">
        <v>0</v>
      </c>
      <c r="O679" s="23">
        <v>0</v>
      </c>
      <c r="P679" s="24">
        <v>38530496.049999997</v>
      </c>
    </row>
    <row r="680" spans="1:16" x14ac:dyDescent="0.3">
      <c r="A680" s="3" t="s">
        <v>1250</v>
      </c>
      <c r="B680" s="2">
        <v>1</v>
      </c>
      <c r="C680" s="2">
        <v>0</v>
      </c>
      <c r="D680" s="14" t="s">
        <v>1251</v>
      </c>
      <c r="E680" s="16">
        <v>50050000</v>
      </c>
      <c r="F680" s="16">
        <v>0</v>
      </c>
      <c r="G680" s="16">
        <v>0</v>
      </c>
      <c r="H680" s="16">
        <v>50050000</v>
      </c>
      <c r="I680" s="16">
        <v>23606995</v>
      </c>
      <c r="J680" s="16">
        <v>0</v>
      </c>
      <c r="K680" s="16">
        <v>0</v>
      </c>
      <c r="L680" s="16">
        <v>23606995</v>
      </c>
      <c r="M680" s="25">
        <v>73656995</v>
      </c>
      <c r="N680" s="16">
        <v>0</v>
      </c>
      <c r="O680" s="16">
        <v>0</v>
      </c>
      <c r="P680" s="25">
        <v>73656995</v>
      </c>
    </row>
    <row r="681" spans="1:16" x14ac:dyDescent="0.3">
      <c r="A681" s="3" t="s">
        <v>1252</v>
      </c>
      <c r="B681" s="1">
        <v>2</v>
      </c>
      <c r="C681" s="1">
        <v>0</v>
      </c>
      <c r="D681" s="3" t="s">
        <v>1253</v>
      </c>
      <c r="E681" s="12">
        <v>50050000</v>
      </c>
      <c r="F681" s="12">
        <v>0</v>
      </c>
      <c r="G681" s="12">
        <v>0</v>
      </c>
      <c r="H681" s="12">
        <v>50050000</v>
      </c>
      <c r="I681" s="12">
        <v>50000</v>
      </c>
      <c r="J681" s="12">
        <v>0</v>
      </c>
      <c r="K681" s="12">
        <v>0</v>
      </c>
      <c r="L681" s="12">
        <v>50000</v>
      </c>
      <c r="M681" s="24">
        <v>50100000</v>
      </c>
      <c r="N681" s="23">
        <v>0</v>
      </c>
      <c r="O681" s="23">
        <v>0</v>
      </c>
      <c r="P681" s="24">
        <v>50100000</v>
      </c>
    </row>
    <row r="682" spans="1:16" x14ac:dyDescent="0.3">
      <c r="A682" s="3" t="s">
        <v>1254</v>
      </c>
      <c r="B682" s="1">
        <v>2</v>
      </c>
      <c r="C682" s="1">
        <v>1</v>
      </c>
      <c r="D682" s="3" t="s">
        <v>212</v>
      </c>
      <c r="E682" s="12">
        <v>0</v>
      </c>
      <c r="F682" s="12">
        <v>0</v>
      </c>
      <c r="G682" s="12">
        <v>0</v>
      </c>
      <c r="H682" s="12">
        <v>0</v>
      </c>
      <c r="I682" s="12">
        <v>20000</v>
      </c>
      <c r="J682" s="12">
        <v>0</v>
      </c>
      <c r="K682" s="12">
        <v>0</v>
      </c>
      <c r="L682" s="12">
        <v>20000</v>
      </c>
      <c r="M682" s="24">
        <v>20000</v>
      </c>
      <c r="N682" s="23">
        <v>0</v>
      </c>
      <c r="O682" s="23">
        <v>0</v>
      </c>
      <c r="P682" s="24">
        <v>20000</v>
      </c>
    </row>
    <row r="683" spans="1:16" x14ac:dyDescent="0.3">
      <c r="A683" s="3" t="s">
        <v>1255</v>
      </c>
      <c r="B683" s="1">
        <v>2</v>
      </c>
      <c r="C683" s="1">
        <v>1</v>
      </c>
      <c r="D683" s="3" t="s">
        <v>1256</v>
      </c>
      <c r="E683" s="12">
        <v>0</v>
      </c>
      <c r="F683" s="12">
        <v>0</v>
      </c>
      <c r="G683" s="12">
        <v>0</v>
      </c>
      <c r="H683" s="12">
        <v>0</v>
      </c>
      <c r="I683" s="12">
        <v>15000</v>
      </c>
      <c r="J683" s="12">
        <v>0</v>
      </c>
      <c r="K683" s="12">
        <v>0</v>
      </c>
      <c r="L683" s="12">
        <v>15000</v>
      </c>
      <c r="M683" s="24">
        <v>15000</v>
      </c>
      <c r="N683" s="23">
        <v>0</v>
      </c>
      <c r="O683" s="23">
        <v>0</v>
      </c>
      <c r="P683" s="24">
        <v>15000</v>
      </c>
    </row>
    <row r="684" spans="1:16" x14ac:dyDescent="0.3">
      <c r="A684" s="3" t="s">
        <v>1257</v>
      </c>
      <c r="B684" s="1">
        <v>2</v>
      </c>
      <c r="C684" s="1">
        <v>1</v>
      </c>
      <c r="D684" s="3" t="s">
        <v>1258</v>
      </c>
      <c r="E684" s="12">
        <v>0</v>
      </c>
      <c r="F684" s="12">
        <v>0</v>
      </c>
      <c r="G684" s="12">
        <v>0</v>
      </c>
      <c r="H684" s="12">
        <v>0</v>
      </c>
      <c r="I684" s="12">
        <v>15000</v>
      </c>
      <c r="J684" s="12">
        <v>0</v>
      </c>
      <c r="K684" s="12">
        <v>0</v>
      </c>
      <c r="L684" s="12">
        <v>15000</v>
      </c>
      <c r="M684" s="24">
        <v>15000</v>
      </c>
      <c r="N684" s="23">
        <v>0</v>
      </c>
      <c r="O684" s="23">
        <v>0</v>
      </c>
      <c r="P684" s="24">
        <v>15000</v>
      </c>
    </row>
    <row r="685" spans="1:16" x14ac:dyDescent="0.3">
      <c r="A685" s="3" t="s">
        <v>1259</v>
      </c>
      <c r="B685" s="1">
        <v>2</v>
      </c>
      <c r="C685" s="1">
        <v>1</v>
      </c>
      <c r="D685" s="3" t="s">
        <v>214</v>
      </c>
      <c r="E685" s="12">
        <v>50000</v>
      </c>
      <c r="F685" s="12">
        <v>0</v>
      </c>
      <c r="G685" s="12">
        <v>0</v>
      </c>
      <c r="H685" s="12">
        <v>50000</v>
      </c>
      <c r="I685" s="12">
        <v>0</v>
      </c>
      <c r="J685" s="12">
        <v>0</v>
      </c>
      <c r="K685" s="12">
        <v>0</v>
      </c>
      <c r="L685" s="12">
        <v>0</v>
      </c>
      <c r="M685" s="24">
        <v>50000</v>
      </c>
      <c r="N685" s="23">
        <v>0</v>
      </c>
      <c r="O685" s="23">
        <v>0</v>
      </c>
      <c r="P685" s="24">
        <v>50000</v>
      </c>
    </row>
    <row r="686" spans="1:16" x14ac:dyDescent="0.3">
      <c r="A686" s="3" t="s">
        <v>1260</v>
      </c>
      <c r="B686" s="1">
        <v>2</v>
      </c>
      <c r="C686" s="1">
        <v>1</v>
      </c>
      <c r="D686" s="3" t="s">
        <v>812</v>
      </c>
      <c r="E686" s="12">
        <v>50000000</v>
      </c>
      <c r="F686" s="12">
        <v>0</v>
      </c>
      <c r="G686" s="12">
        <v>0</v>
      </c>
      <c r="H686" s="12">
        <v>50000000</v>
      </c>
      <c r="I686" s="12">
        <v>0</v>
      </c>
      <c r="J686" s="12">
        <v>0</v>
      </c>
      <c r="K686" s="12">
        <v>0</v>
      </c>
      <c r="L686" s="12">
        <v>0</v>
      </c>
      <c r="M686" s="24">
        <v>50000000</v>
      </c>
      <c r="N686" s="23">
        <v>0</v>
      </c>
      <c r="O686" s="23">
        <v>0</v>
      </c>
      <c r="P686" s="24">
        <v>50000000</v>
      </c>
    </row>
    <row r="687" spans="1:16" x14ac:dyDescent="0.3">
      <c r="A687" s="3" t="s">
        <v>1261</v>
      </c>
      <c r="B687" s="1">
        <v>2</v>
      </c>
      <c r="C687" s="1">
        <v>0</v>
      </c>
      <c r="D687" s="3" t="s">
        <v>1262</v>
      </c>
      <c r="E687" s="12">
        <v>0</v>
      </c>
      <c r="F687" s="12">
        <v>0</v>
      </c>
      <c r="G687" s="12">
        <v>0</v>
      </c>
      <c r="H687" s="12">
        <v>0</v>
      </c>
      <c r="I687" s="12">
        <v>8556995</v>
      </c>
      <c r="J687" s="12">
        <v>0</v>
      </c>
      <c r="K687" s="12">
        <v>0</v>
      </c>
      <c r="L687" s="12">
        <v>8556995</v>
      </c>
      <c r="M687" s="24">
        <v>8556995</v>
      </c>
      <c r="N687" s="23">
        <v>0</v>
      </c>
      <c r="O687" s="23">
        <v>0</v>
      </c>
      <c r="P687" s="24">
        <v>8556995</v>
      </c>
    </row>
    <row r="688" spans="1:16" x14ac:dyDescent="0.3">
      <c r="A688" s="3" t="s">
        <v>1263</v>
      </c>
      <c r="B688" s="1">
        <v>2</v>
      </c>
      <c r="C688" s="1">
        <v>1</v>
      </c>
      <c r="D688" s="3" t="s">
        <v>212</v>
      </c>
      <c r="E688" s="12">
        <v>0</v>
      </c>
      <c r="F688" s="12">
        <v>0</v>
      </c>
      <c r="G688" s="12">
        <v>0</v>
      </c>
      <c r="H688" s="12">
        <v>0</v>
      </c>
      <c r="I688" s="12">
        <v>3916913.99</v>
      </c>
      <c r="J688" s="12">
        <v>0</v>
      </c>
      <c r="K688" s="12">
        <v>0</v>
      </c>
      <c r="L688" s="12">
        <v>3916913.99</v>
      </c>
      <c r="M688" s="24">
        <v>3916913.99</v>
      </c>
      <c r="N688" s="23">
        <v>0</v>
      </c>
      <c r="O688" s="23">
        <v>0</v>
      </c>
      <c r="P688" s="24">
        <v>3916913.99</v>
      </c>
    </row>
    <row r="689" spans="1:16" x14ac:dyDescent="0.3">
      <c r="A689" s="3" t="s">
        <v>1264</v>
      </c>
      <c r="B689" s="1">
        <v>2</v>
      </c>
      <c r="C689" s="1">
        <v>1</v>
      </c>
      <c r="D689" s="3" t="s">
        <v>1256</v>
      </c>
      <c r="E689" s="12">
        <v>0</v>
      </c>
      <c r="F689" s="12">
        <v>0</v>
      </c>
      <c r="G689" s="12">
        <v>0</v>
      </c>
      <c r="H689" s="12">
        <v>0</v>
      </c>
      <c r="I689" s="12">
        <v>2320040.73</v>
      </c>
      <c r="J689" s="12">
        <v>0</v>
      </c>
      <c r="K689" s="12">
        <v>0</v>
      </c>
      <c r="L689" s="12">
        <v>2320040.73</v>
      </c>
      <c r="M689" s="24">
        <v>2320040.73</v>
      </c>
      <c r="N689" s="23">
        <v>0</v>
      </c>
      <c r="O689" s="23">
        <v>0</v>
      </c>
      <c r="P689" s="24">
        <v>2320040.73</v>
      </c>
    </row>
    <row r="690" spans="1:16" x14ac:dyDescent="0.3">
      <c r="A690" s="3" t="s">
        <v>1265</v>
      </c>
      <c r="B690" s="1">
        <v>2</v>
      </c>
      <c r="C690" s="1">
        <v>1</v>
      </c>
      <c r="D690" s="3" t="s">
        <v>1258</v>
      </c>
      <c r="E690" s="12">
        <v>0</v>
      </c>
      <c r="F690" s="12">
        <v>0</v>
      </c>
      <c r="G690" s="12">
        <v>0</v>
      </c>
      <c r="H690" s="12">
        <v>0</v>
      </c>
      <c r="I690" s="12">
        <v>2320040.2799999998</v>
      </c>
      <c r="J690" s="12">
        <v>0</v>
      </c>
      <c r="K690" s="12">
        <v>0</v>
      </c>
      <c r="L690" s="12">
        <v>2320040.2799999998</v>
      </c>
      <c r="M690" s="24">
        <v>2320040.2799999998</v>
      </c>
      <c r="N690" s="23">
        <v>0</v>
      </c>
      <c r="O690" s="23">
        <v>0</v>
      </c>
      <c r="P690" s="24">
        <v>2320040.2799999998</v>
      </c>
    </row>
    <row r="691" spans="1:16" x14ac:dyDescent="0.3">
      <c r="A691" s="3" t="s">
        <v>1266</v>
      </c>
      <c r="B691" s="1">
        <v>2</v>
      </c>
      <c r="C691" s="1">
        <v>1</v>
      </c>
      <c r="D691" s="3" t="s">
        <v>1267</v>
      </c>
      <c r="E691" s="12">
        <v>0</v>
      </c>
      <c r="F691" s="12">
        <v>0</v>
      </c>
      <c r="G691" s="12">
        <v>0</v>
      </c>
      <c r="H691" s="12">
        <v>0</v>
      </c>
      <c r="I691" s="12">
        <v>15000000</v>
      </c>
      <c r="J691" s="12">
        <v>0</v>
      </c>
      <c r="K691" s="12">
        <v>0</v>
      </c>
      <c r="L691" s="12">
        <v>15000000</v>
      </c>
      <c r="M691" s="24">
        <v>15000000</v>
      </c>
      <c r="N691" s="23">
        <v>0</v>
      </c>
      <c r="O691" s="23">
        <v>0</v>
      </c>
      <c r="P691" s="24">
        <v>15000000</v>
      </c>
    </row>
    <row r="692" spans="1:16" x14ac:dyDescent="0.3">
      <c r="A692" s="3" t="s">
        <v>1268</v>
      </c>
      <c r="B692" s="2">
        <v>1</v>
      </c>
      <c r="C692" s="2">
        <v>0</v>
      </c>
      <c r="D692" s="14" t="s">
        <v>1269</v>
      </c>
      <c r="E692" s="19">
        <v>-962681.88</v>
      </c>
      <c r="F692" s="16">
        <v>0</v>
      </c>
      <c r="G692" s="16">
        <v>0</v>
      </c>
      <c r="H692" s="19">
        <v>-962681.88</v>
      </c>
      <c r="I692" s="19">
        <v>-34163817.07</v>
      </c>
      <c r="J692" s="16">
        <v>0</v>
      </c>
      <c r="K692" s="16">
        <v>0</v>
      </c>
      <c r="L692" s="19">
        <v>-34163817.07</v>
      </c>
      <c r="M692" s="25">
        <v>-35126498.950000003</v>
      </c>
      <c r="N692" s="16">
        <v>0</v>
      </c>
      <c r="O692" s="16">
        <v>0</v>
      </c>
      <c r="P692" s="25">
        <v>-35126498.950000003</v>
      </c>
    </row>
    <row r="693" spans="1:16" x14ac:dyDescent="0.3">
      <c r="A693" s="3" t="s">
        <v>1270</v>
      </c>
      <c r="B693" s="1">
        <v>2</v>
      </c>
      <c r="C693" s="1">
        <v>0</v>
      </c>
      <c r="D693" s="3" t="s">
        <v>1271</v>
      </c>
      <c r="E693" s="13">
        <v>962681.88</v>
      </c>
      <c r="F693" s="12">
        <v>0</v>
      </c>
      <c r="G693" s="12">
        <v>0</v>
      </c>
      <c r="H693" s="13">
        <v>962681.88</v>
      </c>
      <c r="I693" s="13">
        <v>34163817.07</v>
      </c>
      <c r="J693" s="12">
        <v>0</v>
      </c>
      <c r="K693" s="12">
        <v>0</v>
      </c>
      <c r="L693" s="13">
        <v>34163817.07</v>
      </c>
      <c r="M693" s="22">
        <v>35126498.950000003</v>
      </c>
      <c r="N693" s="23">
        <v>0</v>
      </c>
      <c r="O693" s="23">
        <v>0</v>
      </c>
      <c r="P693" s="22">
        <v>35126498.950000003</v>
      </c>
    </row>
    <row r="694" spans="1:16" x14ac:dyDescent="0.3">
      <c r="A694" s="3" t="s">
        <v>1272</v>
      </c>
      <c r="B694" s="1">
        <v>2</v>
      </c>
      <c r="C694" s="1">
        <v>1</v>
      </c>
      <c r="D694" s="3" t="s">
        <v>1273</v>
      </c>
      <c r="E694" s="13">
        <v>116185</v>
      </c>
      <c r="F694" s="12">
        <v>0</v>
      </c>
      <c r="G694" s="12">
        <v>0</v>
      </c>
      <c r="H694" s="13">
        <v>116185</v>
      </c>
      <c r="I694" s="13">
        <v>33921111.07</v>
      </c>
      <c r="J694" s="12">
        <v>0</v>
      </c>
      <c r="K694" s="12">
        <v>0</v>
      </c>
      <c r="L694" s="13">
        <v>33921111.07</v>
      </c>
      <c r="M694" s="22">
        <v>34037296.07</v>
      </c>
      <c r="N694" s="23">
        <v>0</v>
      </c>
      <c r="O694" s="23">
        <v>0</v>
      </c>
      <c r="P694" s="22">
        <v>34037296.07</v>
      </c>
    </row>
    <row r="695" spans="1:16" x14ac:dyDescent="0.3">
      <c r="A695" s="3" t="s">
        <v>1274</v>
      </c>
      <c r="B695" s="1">
        <v>2</v>
      </c>
      <c r="C695" s="1">
        <v>1</v>
      </c>
      <c r="D695" s="3" t="s">
        <v>1275</v>
      </c>
      <c r="E695" s="13">
        <v>846496.88</v>
      </c>
      <c r="F695" s="12">
        <v>0</v>
      </c>
      <c r="G695" s="12">
        <v>0</v>
      </c>
      <c r="H695" s="13">
        <v>846496.88</v>
      </c>
      <c r="I695" s="13">
        <v>242706</v>
      </c>
      <c r="J695" s="12">
        <v>0</v>
      </c>
      <c r="K695" s="12">
        <v>0</v>
      </c>
      <c r="L695" s="13">
        <v>242706</v>
      </c>
      <c r="M695" s="22">
        <v>1089202.8799999999</v>
      </c>
      <c r="N695" s="23">
        <v>0</v>
      </c>
      <c r="O695" s="23">
        <v>0</v>
      </c>
      <c r="P695" s="22">
        <v>1089202.8799999999</v>
      </c>
    </row>
    <row r="696" spans="1:16" x14ac:dyDescent="0.3">
      <c r="A696" s="3" t="s">
        <v>1276</v>
      </c>
      <c r="B696" s="1">
        <v>2</v>
      </c>
      <c r="C696" s="1">
        <v>0</v>
      </c>
      <c r="D696" s="3" t="s">
        <v>1277</v>
      </c>
      <c r="E696" s="12">
        <v>20348119.960000001</v>
      </c>
      <c r="F696" s="12">
        <v>397108</v>
      </c>
      <c r="G696" s="12">
        <v>14923797.949999999</v>
      </c>
      <c r="H696" s="12">
        <v>34874809.909999996</v>
      </c>
      <c r="I696" s="12">
        <v>40397728.229999997</v>
      </c>
      <c r="J696" s="12">
        <v>3270191.75</v>
      </c>
      <c r="K696" s="12">
        <v>9310710.6099999994</v>
      </c>
      <c r="L696" s="12">
        <v>46438247.090000004</v>
      </c>
      <c r="M696" s="24">
        <v>60745848.189999998</v>
      </c>
      <c r="N696" s="23">
        <v>3667299.75</v>
      </c>
      <c r="O696" s="23">
        <v>24234508.559999999</v>
      </c>
      <c r="P696" s="24">
        <v>81313057</v>
      </c>
    </row>
    <row r="697" spans="1:16" x14ac:dyDescent="0.3">
      <c r="A697" s="3" t="s">
        <v>1278</v>
      </c>
      <c r="B697" s="1">
        <v>2</v>
      </c>
      <c r="C697" s="1">
        <v>0</v>
      </c>
      <c r="D697" s="3" t="s">
        <v>1277</v>
      </c>
      <c r="E697" s="12">
        <v>20877719.350000001</v>
      </c>
      <c r="F697" s="12">
        <v>77734.87</v>
      </c>
      <c r="G697" s="12">
        <v>14912611.220000001</v>
      </c>
      <c r="H697" s="12">
        <v>35712595.700000003</v>
      </c>
      <c r="I697" s="12">
        <v>43487922.189999998</v>
      </c>
      <c r="J697" s="12">
        <v>2739957.93</v>
      </c>
      <c r="K697" s="12">
        <v>9142654.9299999997</v>
      </c>
      <c r="L697" s="12">
        <v>49890619.189999998</v>
      </c>
      <c r="M697" s="24">
        <v>64365641.539999999</v>
      </c>
      <c r="N697" s="23">
        <v>2817692.8000000003</v>
      </c>
      <c r="O697" s="23">
        <v>24055266.149999999</v>
      </c>
      <c r="P697" s="24">
        <v>85603214.890000001</v>
      </c>
    </row>
    <row r="698" spans="1:16" x14ac:dyDescent="0.3">
      <c r="A698" s="3" t="s">
        <v>1279</v>
      </c>
      <c r="B698" s="1">
        <v>3</v>
      </c>
      <c r="C698" s="1">
        <v>0</v>
      </c>
      <c r="D698" s="3" t="s">
        <v>1280</v>
      </c>
      <c r="E698" s="12">
        <v>20877719.350000001</v>
      </c>
      <c r="F698" s="12">
        <v>77734.87</v>
      </c>
      <c r="G698" s="12">
        <v>14912611.220000001</v>
      </c>
      <c r="H698" s="12">
        <v>35712595.700000003</v>
      </c>
      <c r="I698" s="12">
        <v>43487922.189999998</v>
      </c>
      <c r="J698" s="12">
        <v>2739957.93</v>
      </c>
      <c r="K698" s="12">
        <v>9142654.9299999997</v>
      </c>
      <c r="L698" s="12">
        <v>49890619.189999998</v>
      </c>
      <c r="M698" s="24">
        <v>64365641.539999999</v>
      </c>
      <c r="N698" s="23">
        <v>2817692.8000000003</v>
      </c>
      <c r="O698" s="23">
        <v>24055266.149999999</v>
      </c>
      <c r="P698" s="24">
        <v>85603214.890000001</v>
      </c>
    </row>
    <row r="699" spans="1:16" x14ac:dyDescent="0.3">
      <c r="A699" s="3" t="s">
        <v>1281</v>
      </c>
      <c r="B699" s="2">
        <v>1</v>
      </c>
      <c r="C699" s="2">
        <v>1</v>
      </c>
      <c r="D699" s="14" t="s">
        <v>82</v>
      </c>
      <c r="E699" s="16">
        <v>8935331.5</v>
      </c>
      <c r="F699" s="16">
        <v>0</v>
      </c>
      <c r="G699" s="16">
        <v>7939970</v>
      </c>
      <c r="H699" s="16">
        <v>16875301.5</v>
      </c>
      <c r="I699" s="16">
        <v>34005408.640000001</v>
      </c>
      <c r="J699" s="16">
        <v>40570.5</v>
      </c>
      <c r="K699" s="16">
        <v>3722123.96</v>
      </c>
      <c r="L699" s="16">
        <v>37686962.100000001</v>
      </c>
      <c r="M699" s="25">
        <v>42940740.140000001</v>
      </c>
      <c r="N699" s="16">
        <v>40570.5</v>
      </c>
      <c r="O699" s="16">
        <v>11662093.960000001</v>
      </c>
      <c r="P699" s="25">
        <v>54562263.600000001</v>
      </c>
    </row>
    <row r="700" spans="1:16" x14ac:dyDescent="0.3">
      <c r="A700" s="3" t="s">
        <v>1282</v>
      </c>
      <c r="B700" s="2">
        <v>1</v>
      </c>
      <c r="C700" s="2">
        <v>1</v>
      </c>
      <c r="D700" s="14" t="s">
        <v>1283</v>
      </c>
      <c r="E700" s="16">
        <v>1407265.29</v>
      </c>
      <c r="F700" s="16">
        <v>0</v>
      </c>
      <c r="G700" s="16">
        <v>395791.62</v>
      </c>
      <c r="H700" s="16">
        <v>1803056.91</v>
      </c>
      <c r="I700" s="16">
        <v>0</v>
      </c>
      <c r="J700" s="16">
        <v>85340.65</v>
      </c>
      <c r="K700" s="16">
        <v>647530.64</v>
      </c>
      <c r="L700" s="16">
        <v>562189.99</v>
      </c>
      <c r="M700" s="25">
        <v>1407265.29</v>
      </c>
      <c r="N700" s="16">
        <v>85340.65</v>
      </c>
      <c r="O700" s="16">
        <v>1043322.26</v>
      </c>
      <c r="P700" s="25">
        <v>2365246.9</v>
      </c>
    </row>
    <row r="701" spans="1:16" x14ac:dyDescent="0.3">
      <c r="A701" s="3" t="s">
        <v>1284</v>
      </c>
      <c r="B701" s="1">
        <v>4</v>
      </c>
      <c r="C701" s="1">
        <v>0</v>
      </c>
      <c r="D701" s="3" t="s">
        <v>1285</v>
      </c>
      <c r="E701" s="12">
        <v>10535122.560000001</v>
      </c>
      <c r="F701" s="12">
        <v>77734.87</v>
      </c>
      <c r="G701" s="12">
        <v>6576849.5999999996</v>
      </c>
      <c r="H701" s="12">
        <v>17034237.289999999</v>
      </c>
      <c r="I701" s="12">
        <v>9482513.5500000007</v>
      </c>
      <c r="J701" s="12">
        <v>2614046.7799999998</v>
      </c>
      <c r="K701" s="12">
        <v>4773000.33</v>
      </c>
      <c r="L701" s="12">
        <v>11641467.1</v>
      </c>
      <c r="M701" s="24">
        <v>20017636.109999999</v>
      </c>
      <c r="N701" s="23">
        <v>2691781.65</v>
      </c>
      <c r="O701" s="23">
        <v>11349849.93</v>
      </c>
      <c r="P701" s="24">
        <v>28675704.390000001</v>
      </c>
    </row>
    <row r="702" spans="1:16" x14ac:dyDescent="0.3">
      <c r="A702" s="3" t="s">
        <v>1286</v>
      </c>
      <c r="B702" s="2">
        <v>1</v>
      </c>
      <c r="C702" s="2">
        <v>1</v>
      </c>
      <c r="D702" s="14" t="s">
        <v>1287</v>
      </c>
      <c r="E702" s="16">
        <v>9864757.2400000002</v>
      </c>
      <c r="F702" s="16">
        <v>77734.87</v>
      </c>
      <c r="G702" s="16">
        <v>6544130.8200000003</v>
      </c>
      <c r="H702" s="16">
        <v>16331153.189999999</v>
      </c>
      <c r="I702" s="16">
        <v>7294559.8600000003</v>
      </c>
      <c r="J702" s="16">
        <v>2614046.7799999998</v>
      </c>
      <c r="K702" s="16">
        <v>4593785.42</v>
      </c>
      <c r="L702" s="16">
        <v>9274298.5</v>
      </c>
      <c r="M702" s="25">
        <v>17159317.100000001</v>
      </c>
      <c r="N702" s="16">
        <v>2691781.65</v>
      </c>
      <c r="O702" s="16">
        <v>11137916.24</v>
      </c>
      <c r="P702" s="25">
        <v>25605451.689999998</v>
      </c>
    </row>
    <row r="703" spans="1:16" x14ac:dyDescent="0.3">
      <c r="A703" s="3" t="s">
        <v>1288</v>
      </c>
      <c r="B703" s="2">
        <v>1</v>
      </c>
      <c r="C703" s="2">
        <v>1</v>
      </c>
      <c r="D703" s="14" t="s">
        <v>1289</v>
      </c>
      <c r="E703" s="16">
        <v>670365.31999999995</v>
      </c>
      <c r="F703" s="16">
        <v>0</v>
      </c>
      <c r="G703" s="16">
        <v>32718.78</v>
      </c>
      <c r="H703" s="16">
        <v>703084.1</v>
      </c>
      <c r="I703" s="16">
        <v>2187953.69</v>
      </c>
      <c r="J703" s="16">
        <v>0</v>
      </c>
      <c r="K703" s="16">
        <v>179214.91</v>
      </c>
      <c r="L703" s="16">
        <v>2367168.6</v>
      </c>
      <c r="M703" s="25">
        <v>2858319.01</v>
      </c>
      <c r="N703" s="16">
        <v>0</v>
      </c>
      <c r="O703" s="16">
        <v>211933.69</v>
      </c>
      <c r="P703" s="25">
        <v>3070252.7</v>
      </c>
    </row>
    <row r="704" spans="1:16" x14ac:dyDescent="0.3">
      <c r="A704" s="3" t="s">
        <v>1290</v>
      </c>
      <c r="B704" s="1">
        <v>2</v>
      </c>
      <c r="C704" s="1">
        <v>0</v>
      </c>
      <c r="D704" s="3" t="s">
        <v>1291</v>
      </c>
      <c r="E704" s="13">
        <v>529772.39</v>
      </c>
      <c r="F704" s="12">
        <v>319373.13</v>
      </c>
      <c r="G704" s="12">
        <v>0</v>
      </c>
      <c r="H704" s="13">
        <v>849145.52</v>
      </c>
      <c r="I704" s="13">
        <v>3375915.27</v>
      </c>
      <c r="J704" s="12">
        <v>530233.81999999995</v>
      </c>
      <c r="K704" s="12">
        <v>17532.07</v>
      </c>
      <c r="L704" s="13">
        <v>3888617.02</v>
      </c>
      <c r="M704" s="22">
        <v>3905687.66</v>
      </c>
      <c r="N704" s="23">
        <v>849606.95</v>
      </c>
      <c r="O704" s="23">
        <v>17532.07</v>
      </c>
      <c r="P704" s="22">
        <v>4737762.54</v>
      </c>
    </row>
    <row r="705" spans="1:16" x14ac:dyDescent="0.3">
      <c r="A705" s="3" t="s">
        <v>1292</v>
      </c>
      <c r="B705" s="1">
        <v>4</v>
      </c>
      <c r="C705" s="1">
        <v>0</v>
      </c>
      <c r="D705" s="3" t="s">
        <v>1293</v>
      </c>
      <c r="E705" s="13">
        <v>529772.39</v>
      </c>
      <c r="F705" s="12">
        <v>319373.13</v>
      </c>
      <c r="G705" s="12">
        <v>0</v>
      </c>
      <c r="H705" s="13">
        <v>849145.52</v>
      </c>
      <c r="I705" s="13">
        <v>3375915.27</v>
      </c>
      <c r="J705" s="12">
        <v>530233.81999999995</v>
      </c>
      <c r="K705" s="12">
        <v>17532.07</v>
      </c>
      <c r="L705" s="13">
        <v>3888617.02</v>
      </c>
      <c r="M705" s="22">
        <v>3905687.66</v>
      </c>
      <c r="N705" s="23">
        <v>849606.95</v>
      </c>
      <c r="O705" s="23">
        <v>17532.07</v>
      </c>
      <c r="P705" s="22">
        <v>4737762.54</v>
      </c>
    </row>
    <row r="706" spans="1:16" x14ac:dyDescent="0.3">
      <c r="A706" s="3" t="s">
        <v>1294</v>
      </c>
      <c r="B706" s="2">
        <v>1</v>
      </c>
      <c r="C706" s="2">
        <v>1</v>
      </c>
      <c r="D706" s="14" t="s">
        <v>1295</v>
      </c>
      <c r="E706" s="15">
        <v>20819.830000000002</v>
      </c>
      <c r="F706" s="16">
        <v>15254.85</v>
      </c>
      <c r="G706" s="16">
        <v>0</v>
      </c>
      <c r="H706" s="15">
        <v>36074.68</v>
      </c>
      <c r="I706" s="15">
        <v>956755.25</v>
      </c>
      <c r="J706" s="16">
        <v>4976.25</v>
      </c>
      <c r="K706" s="16">
        <v>0</v>
      </c>
      <c r="L706" s="15">
        <v>961731.5</v>
      </c>
      <c r="M706" s="15">
        <v>977575.08</v>
      </c>
      <c r="N706" s="16">
        <v>20231.099999999999</v>
      </c>
      <c r="O706" s="16">
        <v>0</v>
      </c>
      <c r="P706" s="15">
        <v>997806.18</v>
      </c>
    </row>
    <row r="707" spans="1:16" x14ac:dyDescent="0.3">
      <c r="A707" s="3" t="s">
        <v>1296</v>
      </c>
      <c r="B707" s="2">
        <v>1</v>
      </c>
      <c r="C707" s="2">
        <v>1</v>
      </c>
      <c r="D707" s="14" t="s">
        <v>1297</v>
      </c>
      <c r="E707" s="15">
        <v>450907.69</v>
      </c>
      <c r="F707" s="16">
        <v>223157.92</v>
      </c>
      <c r="G707" s="16">
        <v>0</v>
      </c>
      <c r="H707" s="15">
        <v>674065.61</v>
      </c>
      <c r="I707" s="15">
        <v>854997.01</v>
      </c>
      <c r="J707" s="16">
        <v>259074.8</v>
      </c>
      <c r="K707" s="16">
        <v>0</v>
      </c>
      <c r="L707" s="15">
        <v>1114071.81</v>
      </c>
      <c r="M707" s="15">
        <v>1305904.7</v>
      </c>
      <c r="N707" s="16">
        <v>482232.72</v>
      </c>
      <c r="O707" s="16">
        <v>0</v>
      </c>
      <c r="P707" s="15">
        <v>1788137.42</v>
      </c>
    </row>
    <row r="708" spans="1:16" x14ac:dyDescent="0.3">
      <c r="A708" s="3" t="s">
        <v>1298</v>
      </c>
      <c r="B708" s="2">
        <v>1</v>
      </c>
      <c r="C708" s="2">
        <v>1</v>
      </c>
      <c r="D708" s="14" t="s">
        <v>1299</v>
      </c>
      <c r="E708" s="15">
        <v>47630.57</v>
      </c>
      <c r="F708" s="16">
        <v>71056.009999999995</v>
      </c>
      <c r="G708" s="16">
        <v>0</v>
      </c>
      <c r="H708" s="15">
        <v>118686.58</v>
      </c>
      <c r="I708" s="15">
        <v>989206.93</v>
      </c>
      <c r="J708" s="16">
        <v>220234.59</v>
      </c>
      <c r="K708" s="16">
        <v>17532.07</v>
      </c>
      <c r="L708" s="15">
        <v>1191909.45</v>
      </c>
      <c r="M708" s="15">
        <v>1036837.5</v>
      </c>
      <c r="N708" s="16">
        <v>291290.59999999998</v>
      </c>
      <c r="O708" s="16">
        <v>17532.07</v>
      </c>
      <c r="P708" s="15">
        <v>1310596.03</v>
      </c>
    </row>
    <row r="709" spans="1:16" x14ac:dyDescent="0.3">
      <c r="A709" s="3" t="s">
        <v>1300</v>
      </c>
      <c r="B709" s="2">
        <v>1</v>
      </c>
      <c r="C709" s="2">
        <v>1</v>
      </c>
      <c r="D709" s="14" t="s">
        <v>1301</v>
      </c>
      <c r="E709" s="15">
        <v>1746.97</v>
      </c>
      <c r="F709" s="16">
        <v>3668.57</v>
      </c>
      <c r="G709" s="16">
        <v>0</v>
      </c>
      <c r="H709" s="15">
        <v>5415.54</v>
      </c>
      <c r="I709" s="15">
        <v>27738.54</v>
      </c>
      <c r="J709" s="16">
        <v>24125.58</v>
      </c>
      <c r="K709" s="16">
        <v>0</v>
      </c>
      <c r="L709" s="15">
        <v>51864.12</v>
      </c>
      <c r="M709" s="15">
        <v>29485.510000000002</v>
      </c>
      <c r="N709" s="16">
        <v>27794.15</v>
      </c>
      <c r="O709" s="16">
        <v>0</v>
      </c>
      <c r="P709" s="15">
        <v>57279.66</v>
      </c>
    </row>
    <row r="710" spans="1:16" x14ac:dyDescent="0.3">
      <c r="A710" s="3" t="s">
        <v>1302</v>
      </c>
      <c r="B710" s="2">
        <v>1</v>
      </c>
      <c r="C710" s="2">
        <v>1</v>
      </c>
      <c r="D710" s="14" t="s">
        <v>1303</v>
      </c>
      <c r="E710" s="15">
        <v>75.66</v>
      </c>
      <c r="F710" s="16">
        <v>1130.3800000000001</v>
      </c>
      <c r="G710" s="16">
        <v>0</v>
      </c>
      <c r="H710" s="15">
        <v>1206.04</v>
      </c>
      <c r="I710" s="15">
        <v>260802.49</v>
      </c>
      <c r="J710" s="16">
        <v>0</v>
      </c>
      <c r="K710" s="16">
        <v>0</v>
      </c>
      <c r="L710" s="15">
        <v>260802.49</v>
      </c>
      <c r="M710" s="15">
        <v>260878.15</v>
      </c>
      <c r="N710" s="16">
        <v>1130.3800000000001</v>
      </c>
      <c r="O710" s="16">
        <v>0</v>
      </c>
      <c r="P710" s="15">
        <v>262008.53</v>
      </c>
    </row>
    <row r="711" spans="1:16" x14ac:dyDescent="0.3">
      <c r="A711" s="3" t="s">
        <v>1304</v>
      </c>
      <c r="B711" s="2">
        <v>1</v>
      </c>
      <c r="C711" s="2">
        <v>1</v>
      </c>
      <c r="D711" s="14" t="s">
        <v>1305</v>
      </c>
      <c r="E711" s="15">
        <v>4396.55</v>
      </c>
      <c r="F711" s="16">
        <v>0</v>
      </c>
      <c r="G711" s="16">
        <v>0</v>
      </c>
      <c r="H711" s="15">
        <v>4396.55</v>
      </c>
      <c r="I711" s="15">
        <v>113928.55</v>
      </c>
      <c r="J711" s="16">
        <v>0</v>
      </c>
      <c r="K711" s="16">
        <v>0</v>
      </c>
      <c r="L711" s="15">
        <v>113928.55</v>
      </c>
      <c r="M711" s="15">
        <v>118325.1</v>
      </c>
      <c r="N711" s="16">
        <v>0</v>
      </c>
      <c r="O711" s="16">
        <v>0</v>
      </c>
      <c r="P711" s="15">
        <v>118325.1</v>
      </c>
    </row>
    <row r="712" spans="1:16" x14ac:dyDescent="0.3">
      <c r="A712" s="3" t="s">
        <v>1306</v>
      </c>
      <c r="B712" s="2">
        <v>1</v>
      </c>
      <c r="C712" s="2">
        <v>1</v>
      </c>
      <c r="D712" s="14" t="s">
        <v>1307</v>
      </c>
      <c r="E712" s="15">
        <v>3535.65</v>
      </c>
      <c r="F712" s="16">
        <v>5105.3999999999996</v>
      </c>
      <c r="G712" s="16">
        <v>0</v>
      </c>
      <c r="H712" s="15">
        <v>8641.0499999999993</v>
      </c>
      <c r="I712" s="15">
        <v>9784.9</v>
      </c>
      <c r="J712" s="16">
        <v>908.51</v>
      </c>
      <c r="K712" s="16">
        <v>0</v>
      </c>
      <c r="L712" s="15">
        <v>10693.41</v>
      </c>
      <c r="M712" s="15">
        <v>13320.55</v>
      </c>
      <c r="N712" s="16">
        <v>6013.91</v>
      </c>
      <c r="O712" s="16">
        <v>0</v>
      </c>
      <c r="P712" s="15">
        <v>19334.46</v>
      </c>
    </row>
    <row r="713" spans="1:16" x14ac:dyDescent="0.3">
      <c r="A713" s="3" t="s">
        <v>1308</v>
      </c>
      <c r="B713" s="2">
        <v>1</v>
      </c>
      <c r="C713" s="2">
        <v>1</v>
      </c>
      <c r="D713" s="14" t="s">
        <v>1309</v>
      </c>
      <c r="E713" s="15">
        <v>0</v>
      </c>
      <c r="F713" s="16">
        <v>0</v>
      </c>
      <c r="G713" s="16">
        <v>0</v>
      </c>
      <c r="H713" s="15">
        <v>0</v>
      </c>
      <c r="I713" s="15">
        <v>152943.69</v>
      </c>
      <c r="J713" s="16">
        <v>20914.09</v>
      </c>
      <c r="K713" s="16">
        <v>0</v>
      </c>
      <c r="L713" s="15">
        <v>173857.78</v>
      </c>
      <c r="M713" s="15">
        <v>152943.69</v>
      </c>
      <c r="N713" s="16">
        <v>20914.09</v>
      </c>
      <c r="O713" s="16">
        <v>0</v>
      </c>
      <c r="P713" s="15">
        <v>173857.78</v>
      </c>
    </row>
    <row r="714" spans="1:16" x14ac:dyDescent="0.3">
      <c r="A714" s="3" t="s">
        <v>1310</v>
      </c>
      <c r="B714" s="2">
        <v>1</v>
      </c>
      <c r="C714" s="2">
        <v>1</v>
      </c>
      <c r="D714" s="14" t="s">
        <v>1311</v>
      </c>
      <c r="E714" s="15">
        <v>659.47</v>
      </c>
      <c r="F714" s="16">
        <v>0</v>
      </c>
      <c r="G714" s="16">
        <v>0</v>
      </c>
      <c r="H714" s="15">
        <v>659.47</v>
      </c>
      <c r="I714" s="15">
        <v>9757.91</v>
      </c>
      <c r="J714" s="16">
        <v>0</v>
      </c>
      <c r="K714" s="16">
        <v>0</v>
      </c>
      <c r="L714" s="15">
        <v>9757.91</v>
      </c>
      <c r="M714" s="15">
        <v>10417.379999999999</v>
      </c>
      <c r="N714" s="16">
        <v>0</v>
      </c>
      <c r="O714" s="16">
        <v>0</v>
      </c>
      <c r="P714" s="15">
        <v>10417.379999999999</v>
      </c>
    </row>
    <row r="715" spans="1:16" x14ac:dyDescent="0.3">
      <c r="A715" s="3" t="s">
        <v>1312</v>
      </c>
      <c r="B715" s="2">
        <v>1</v>
      </c>
      <c r="C715" s="2">
        <v>0</v>
      </c>
      <c r="D715" s="14" t="s">
        <v>1313</v>
      </c>
      <c r="E715" s="16">
        <v>173</v>
      </c>
      <c r="F715" s="16">
        <v>0</v>
      </c>
      <c r="G715" s="16">
        <v>11186.73</v>
      </c>
      <c r="H715" s="16">
        <v>11359.73</v>
      </c>
      <c r="I715" s="16">
        <v>285721.31</v>
      </c>
      <c r="J715" s="16">
        <v>0</v>
      </c>
      <c r="K715" s="16">
        <v>150523.60999999999</v>
      </c>
      <c r="L715" s="16">
        <v>436244.92</v>
      </c>
      <c r="M715" s="25">
        <v>285894.31</v>
      </c>
      <c r="N715" s="16">
        <v>0</v>
      </c>
      <c r="O715" s="16">
        <v>161710.34</v>
      </c>
      <c r="P715" s="25">
        <v>447604.64999999997</v>
      </c>
    </row>
    <row r="716" spans="1:16" x14ac:dyDescent="0.3">
      <c r="A716" s="3" t="s">
        <v>1314</v>
      </c>
      <c r="B716" s="1">
        <v>4</v>
      </c>
      <c r="C716" s="1">
        <v>0</v>
      </c>
      <c r="D716" s="3" t="s">
        <v>1315</v>
      </c>
      <c r="E716" s="12">
        <v>173</v>
      </c>
      <c r="F716" s="12">
        <v>0</v>
      </c>
      <c r="G716" s="12">
        <v>11138.6</v>
      </c>
      <c r="H716" s="12">
        <v>11311.6</v>
      </c>
      <c r="I716" s="12">
        <v>160284.97</v>
      </c>
      <c r="J716" s="12">
        <v>0</v>
      </c>
      <c r="K716" s="12">
        <v>346.03</v>
      </c>
      <c r="L716" s="12">
        <v>160631</v>
      </c>
      <c r="M716" s="24">
        <v>160457.97</v>
      </c>
      <c r="N716" s="23">
        <v>0</v>
      </c>
      <c r="O716" s="23">
        <v>11484.630000000001</v>
      </c>
      <c r="P716" s="24">
        <v>171942.6</v>
      </c>
    </row>
    <row r="717" spans="1:16" x14ac:dyDescent="0.3">
      <c r="A717" s="3" t="s">
        <v>1316</v>
      </c>
      <c r="B717" s="1">
        <v>2</v>
      </c>
      <c r="C717" s="1">
        <v>1</v>
      </c>
      <c r="D717" s="3" t="s">
        <v>1317</v>
      </c>
      <c r="E717" s="12">
        <v>173</v>
      </c>
      <c r="F717" s="12">
        <v>0</v>
      </c>
      <c r="G717" s="12">
        <v>11138.6</v>
      </c>
      <c r="H717" s="12">
        <v>11311.6</v>
      </c>
      <c r="I717" s="12">
        <v>160284.97</v>
      </c>
      <c r="J717" s="12">
        <v>0</v>
      </c>
      <c r="K717" s="12">
        <v>346.03</v>
      </c>
      <c r="L717" s="12">
        <v>160631</v>
      </c>
      <c r="M717" s="24">
        <v>160457.97</v>
      </c>
      <c r="N717" s="23">
        <v>0</v>
      </c>
      <c r="O717" s="23">
        <v>11484.630000000001</v>
      </c>
      <c r="P717" s="24">
        <v>171942.6</v>
      </c>
    </row>
    <row r="718" spans="1:16" x14ac:dyDescent="0.3">
      <c r="A718" s="3" t="s">
        <v>1318</v>
      </c>
      <c r="B718" s="1">
        <v>2</v>
      </c>
      <c r="C718" s="1">
        <v>1</v>
      </c>
      <c r="D718" s="3" t="s">
        <v>1319</v>
      </c>
      <c r="E718" s="12">
        <v>0</v>
      </c>
      <c r="F718" s="12">
        <v>0</v>
      </c>
      <c r="G718" s="12">
        <v>48.13</v>
      </c>
      <c r="H718" s="12">
        <v>48.13</v>
      </c>
      <c r="I718" s="12">
        <v>125436.34</v>
      </c>
      <c r="J718" s="12">
        <v>0</v>
      </c>
      <c r="K718" s="12">
        <v>150177.57999999999</v>
      </c>
      <c r="L718" s="12">
        <v>275613.92</v>
      </c>
      <c r="M718" s="24">
        <v>125436.34</v>
      </c>
      <c r="N718" s="23">
        <v>0</v>
      </c>
      <c r="O718" s="23">
        <v>150225.71</v>
      </c>
      <c r="P718" s="24">
        <v>275662.05</v>
      </c>
    </row>
    <row r="719" spans="1:16" x14ac:dyDescent="0.3">
      <c r="A719" s="3" t="s">
        <v>1320</v>
      </c>
      <c r="B719" s="1">
        <v>2</v>
      </c>
      <c r="C719" s="1">
        <v>0</v>
      </c>
      <c r="D719" s="3" t="s">
        <v>1321</v>
      </c>
      <c r="E719" s="13">
        <v>13268689.130000001</v>
      </c>
      <c r="F719" s="12">
        <v>9568367.2400000002</v>
      </c>
      <c r="G719" s="12">
        <v>76790.009999999995</v>
      </c>
      <c r="H719" s="13">
        <v>22760266.359999999</v>
      </c>
      <c r="I719" s="13">
        <v>26923330.190000001</v>
      </c>
      <c r="J719" s="12">
        <v>5393718.9199999999</v>
      </c>
      <c r="K719" s="12">
        <v>2080907.73</v>
      </c>
      <c r="L719" s="13">
        <v>30236141.379999999</v>
      </c>
      <c r="M719" s="22">
        <v>40192019.32</v>
      </c>
      <c r="N719" s="23">
        <v>14962086.16</v>
      </c>
      <c r="O719" s="23">
        <v>2157697.7399999998</v>
      </c>
      <c r="P719" s="22">
        <v>52996407.739999995</v>
      </c>
    </row>
    <row r="720" spans="1:16" x14ac:dyDescent="0.3">
      <c r="A720" s="3" t="s">
        <v>1322</v>
      </c>
      <c r="B720" s="1">
        <v>3</v>
      </c>
      <c r="C720" s="1">
        <v>0</v>
      </c>
      <c r="D720" s="3" t="s">
        <v>1323</v>
      </c>
      <c r="E720" s="13">
        <v>10345707.439999999</v>
      </c>
      <c r="F720" s="12">
        <v>8027259.5599999996</v>
      </c>
      <c r="G720" s="12">
        <v>76790.009999999995</v>
      </c>
      <c r="H720" s="13">
        <v>18296176.989999998</v>
      </c>
      <c r="I720" s="13">
        <v>23828350.010000002</v>
      </c>
      <c r="J720" s="12">
        <v>5222693.53</v>
      </c>
      <c r="K720" s="12">
        <v>2080907.73</v>
      </c>
      <c r="L720" s="13">
        <v>26970135.809999999</v>
      </c>
      <c r="M720" s="22">
        <v>34174057.450000003</v>
      </c>
      <c r="N720" s="23">
        <v>13249953.09</v>
      </c>
      <c r="O720" s="23">
        <v>2157697.7399999998</v>
      </c>
      <c r="P720" s="22">
        <v>45266312.799999997</v>
      </c>
    </row>
    <row r="721" spans="1:16" x14ac:dyDescent="0.3">
      <c r="A721" s="3" t="s">
        <v>1324</v>
      </c>
      <c r="B721" s="1">
        <v>2</v>
      </c>
      <c r="C721" s="1">
        <v>0</v>
      </c>
      <c r="D721" s="3" t="s">
        <v>1325</v>
      </c>
      <c r="E721" s="13">
        <v>6356697.6399999997</v>
      </c>
      <c r="F721" s="12">
        <v>6303518.4199999999</v>
      </c>
      <c r="G721" s="12">
        <v>76564.14</v>
      </c>
      <c r="H721" s="13">
        <v>12583651.92</v>
      </c>
      <c r="I721" s="13">
        <v>18095638.43</v>
      </c>
      <c r="J721" s="12">
        <v>4740038.08</v>
      </c>
      <c r="K721" s="12">
        <v>2080907.73</v>
      </c>
      <c r="L721" s="13">
        <v>20754768.780000001</v>
      </c>
      <c r="M721" s="22">
        <v>24452336.07</v>
      </c>
      <c r="N721" s="23">
        <v>11043556.5</v>
      </c>
      <c r="O721" s="23">
        <v>2157471.87</v>
      </c>
      <c r="P721" s="22">
        <v>33338420.700000003</v>
      </c>
    </row>
    <row r="722" spans="1:16" x14ac:dyDescent="0.3">
      <c r="A722" s="3" t="s">
        <v>1326</v>
      </c>
      <c r="B722" s="2">
        <v>1</v>
      </c>
      <c r="C722" s="2">
        <v>1</v>
      </c>
      <c r="D722" s="14" t="s">
        <v>1327</v>
      </c>
      <c r="E722" s="15">
        <v>6356697.6399999997</v>
      </c>
      <c r="F722" s="16">
        <v>6288001.2400000002</v>
      </c>
      <c r="G722" s="16">
        <v>76564.14</v>
      </c>
      <c r="H722" s="15">
        <v>12568134.74</v>
      </c>
      <c r="I722" s="15">
        <v>18095638.43</v>
      </c>
      <c r="J722" s="16">
        <v>4740038.08</v>
      </c>
      <c r="K722" s="16">
        <v>2080907.73</v>
      </c>
      <c r="L722" s="15">
        <v>20754768.780000001</v>
      </c>
      <c r="M722" s="15">
        <v>24452336.07</v>
      </c>
      <c r="N722" s="16">
        <v>11028039.32</v>
      </c>
      <c r="O722" s="16">
        <v>2157471.87</v>
      </c>
      <c r="P722" s="15">
        <v>33322903.520000003</v>
      </c>
    </row>
    <row r="723" spans="1:16" x14ac:dyDescent="0.3">
      <c r="A723" s="3" t="s">
        <v>1328</v>
      </c>
      <c r="B723" s="2">
        <v>1</v>
      </c>
      <c r="C723" s="2">
        <v>1</v>
      </c>
      <c r="D723" s="14" t="s">
        <v>1329</v>
      </c>
      <c r="E723" s="15">
        <v>0</v>
      </c>
      <c r="F723" s="16">
        <v>15517.18</v>
      </c>
      <c r="G723" s="16">
        <v>0</v>
      </c>
      <c r="H723" s="15">
        <v>15517.18</v>
      </c>
      <c r="I723" s="15">
        <v>0</v>
      </c>
      <c r="J723" s="16">
        <v>0</v>
      </c>
      <c r="K723" s="16">
        <v>0</v>
      </c>
      <c r="L723" s="15">
        <v>0</v>
      </c>
      <c r="M723" s="15">
        <v>0</v>
      </c>
      <c r="N723" s="16">
        <v>15517.18</v>
      </c>
      <c r="O723" s="16">
        <v>0</v>
      </c>
      <c r="P723" s="15">
        <v>15517.18</v>
      </c>
    </row>
    <row r="724" spans="1:16" x14ac:dyDescent="0.3">
      <c r="A724" s="3" t="s">
        <v>1330</v>
      </c>
      <c r="B724" s="2">
        <v>1</v>
      </c>
      <c r="C724" s="2">
        <v>1</v>
      </c>
      <c r="D724" s="14" t="s">
        <v>1331</v>
      </c>
      <c r="E724" s="15">
        <v>32500.45</v>
      </c>
      <c r="F724" s="16">
        <v>428.26</v>
      </c>
      <c r="G724" s="16">
        <v>0</v>
      </c>
      <c r="H724" s="15">
        <v>32928.71</v>
      </c>
      <c r="I724" s="15">
        <v>0</v>
      </c>
      <c r="J724" s="16">
        <v>0</v>
      </c>
      <c r="K724" s="16">
        <v>0</v>
      </c>
      <c r="L724" s="15">
        <v>0</v>
      </c>
      <c r="M724" s="15">
        <v>32500.45</v>
      </c>
      <c r="N724" s="16">
        <v>428.26</v>
      </c>
      <c r="O724" s="16">
        <v>0</v>
      </c>
      <c r="P724" s="15">
        <v>32928.71</v>
      </c>
    </row>
    <row r="725" spans="1:16" x14ac:dyDescent="0.3">
      <c r="A725" s="3" t="s">
        <v>1332</v>
      </c>
      <c r="B725" s="2">
        <v>1</v>
      </c>
      <c r="C725" s="2">
        <v>0</v>
      </c>
      <c r="D725" s="14" t="s">
        <v>1333</v>
      </c>
      <c r="E725" s="15">
        <v>3112874.09</v>
      </c>
      <c r="F725" s="16">
        <v>1446613.58</v>
      </c>
      <c r="G725" s="16">
        <v>225.87</v>
      </c>
      <c r="H725" s="15">
        <v>4559261.8</v>
      </c>
      <c r="I725" s="15">
        <v>4567642.71</v>
      </c>
      <c r="J725" s="16">
        <v>437983.06</v>
      </c>
      <c r="K725" s="16">
        <v>0</v>
      </c>
      <c r="L725" s="15">
        <v>5005625.7699999996</v>
      </c>
      <c r="M725" s="15">
        <v>7680516.7999999998</v>
      </c>
      <c r="N725" s="16">
        <v>1884596.6400000001</v>
      </c>
      <c r="O725" s="16">
        <v>225.87</v>
      </c>
      <c r="P725" s="15">
        <v>9564887.5700000003</v>
      </c>
    </row>
    <row r="726" spans="1:16" x14ac:dyDescent="0.3">
      <c r="A726" s="3" t="s">
        <v>1334</v>
      </c>
      <c r="B726" s="1">
        <v>2</v>
      </c>
      <c r="C726" s="1">
        <v>1</v>
      </c>
      <c r="D726" s="3" t="s">
        <v>1335</v>
      </c>
      <c r="E726" s="13">
        <v>1562745.13</v>
      </c>
      <c r="F726" s="12">
        <v>794181.3</v>
      </c>
      <c r="G726" s="12">
        <v>225.87</v>
      </c>
      <c r="H726" s="13">
        <v>2356700.56</v>
      </c>
      <c r="I726" s="13">
        <v>2438192.5</v>
      </c>
      <c r="J726" s="12">
        <v>228009.24</v>
      </c>
      <c r="K726" s="12">
        <v>0</v>
      </c>
      <c r="L726" s="13">
        <v>2666201.7400000002</v>
      </c>
      <c r="M726" s="22">
        <v>4000937.63</v>
      </c>
      <c r="N726" s="23">
        <v>1022190.54</v>
      </c>
      <c r="O726" s="23">
        <v>225.87</v>
      </c>
      <c r="P726" s="22">
        <v>5022902.3000000007</v>
      </c>
    </row>
    <row r="727" spans="1:16" x14ac:dyDescent="0.3">
      <c r="A727" s="3" t="s">
        <v>1336</v>
      </c>
      <c r="B727" s="1">
        <v>2</v>
      </c>
      <c r="C727" s="1">
        <v>1</v>
      </c>
      <c r="D727" s="3" t="s">
        <v>1337</v>
      </c>
      <c r="E727" s="13">
        <v>13363.78</v>
      </c>
      <c r="F727" s="12">
        <v>9884.7800000000007</v>
      </c>
      <c r="G727" s="12">
        <v>0</v>
      </c>
      <c r="H727" s="13">
        <v>23248.560000000001</v>
      </c>
      <c r="I727" s="13">
        <v>59927.59</v>
      </c>
      <c r="J727" s="12">
        <v>405.8</v>
      </c>
      <c r="K727" s="12">
        <v>0</v>
      </c>
      <c r="L727" s="13">
        <v>60333.39</v>
      </c>
      <c r="M727" s="22">
        <v>73291.37</v>
      </c>
      <c r="N727" s="23">
        <v>10290.58</v>
      </c>
      <c r="O727" s="23">
        <v>0</v>
      </c>
      <c r="P727" s="22">
        <v>83581.95</v>
      </c>
    </row>
    <row r="728" spans="1:16" x14ac:dyDescent="0.3">
      <c r="A728" s="3" t="s">
        <v>1338</v>
      </c>
      <c r="B728" s="1">
        <v>2</v>
      </c>
      <c r="C728" s="1">
        <v>1</v>
      </c>
      <c r="D728" s="3" t="s">
        <v>1339</v>
      </c>
      <c r="E728" s="13">
        <v>196449.41</v>
      </c>
      <c r="F728" s="12">
        <v>95414.86</v>
      </c>
      <c r="G728" s="12">
        <v>0</v>
      </c>
      <c r="H728" s="13">
        <v>291864.27</v>
      </c>
      <c r="I728" s="13">
        <v>271753.36</v>
      </c>
      <c r="J728" s="12">
        <v>27405.31</v>
      </c>
      <c r="K728" s="12">
        <v>0</v>
      </c>
      <c r="L728" s="13">
        <v>299158.67</v>
      </c>
      <c r="M728" s="22">
        <v>468202.77</v>
      </c>
      <c r="N728" s="23">
        <v>122820.17</v>
      </c>
      <c r="O728" s="23">
        <v>0</v>
      </c>
      <c r="P728" s="22">
        <v>591022.93999999994</v>
      </c>
    </row>
    <row r="729" spans="1:16" x14ac:dyDescent="0.3">
      <c r="A729" s="3" t="s">
        <v>1340</v>
      </c>
      <c r="B729" s="1">
        <v>2</v>
      </c>
      <c r="C729" s="1">
        <v>1</v>
      </c>
      <c r="D729" s="3" t="s">
        <v>1341</v>
      </c>
      <c r="E729" s="13">
        <v>196449.41</v>
      </c>
      <c r="F729" s="12">
        <v>95414.89</v>
      </c>
      <c r="G729" s="12">
        <v>0</v>
      </c>
      <c r="H729" s="13">
        <v>291864.3</v>
      </c>
      <c r="I729" s="13">
        <v>271753.36</v>
      </c>
      <c r="J729" s="12">
        <v>27405.31</v>
      </c>
      <c r="K729" s="12">
        <v>0</v>
      </c>
      <c r="L729" s="13">
        <v>299158.67</v>
      </c>
      <c r="M729" s="22">
        <v>468202.77</v>
      </c>
      <c r="N729" s="23">
        <v>122820.2</v>
      </c>
      <c r="O729" s="23">
        <v>0</v>
      </c>
      <c r="P729" s="22">
        <v>591022.97</v>
      </c>
    </row>
    <row r="730" spans="1:16" x14ac:dyDescent="0.3">
      <c r="A730" s="3" t="s">
        <v>1342</v>
      </c>
      <c r="B730" s="1">
        <v>2</v>
      </c>
      <c r="C730" s="1">
        <v>1</v>
      </c>
      <c r="D730" s="3" t="s">
        <v>1343</v>
      </c>
      <c r="E730" s="13">
        <v>137472.34</v>
      </c>
      <c r="F730" s="12">
        <v>27578.01</v>
      </c>
      <c r="G730" s="12">
        <v>0</v>
      </c>
      <c r="H730" s="13">
        <v>165050.35</v>
      </c>
      <c r="I730" s="13">
        <v>123891.83</v>
      </c>
      <c r="J730" s="12">
        <v>6774.37</v>
      </c>
      <c r="K730" s="12">
        <v>0</v>
      </c>
      <c r="L730" s="13">
        <v>130666.2</v>
      </c>
      <c r="M730" s="22">
        <v>261364.16999999998</v>
      </c>
      <c r="N730" s="23">
        <v>34352.379999999997</v>
      </c>
      <c r="O730" s="23">
        <v>0</v>
      </c>
      <c r="P730" s="22">
        <v>295716.55</v>
      </c>
    </row>
    <row r="731" spans="1:16" x14ac:dyDescent="0.3">
      <c r="A731" s="3" t="s">
        <v>1344</v>
      </c>
      <c r="B731" s="1">
        <v>2</v>
      </c>
      <c r="C731" s="1">
        <v>1</v>
      </c>
      <c r="D731" s="3" t="s">
        <v>1345</v>
      </c>
      <c r="E731" s="13">
        <v>17338.82</v>
      </c>
      <c r="F731" s="12">
        <v>3006.03</v>
      </c>
      <c r="G731" s="12">
        <v>0</v>
      </c>
      <c r="H731" s="13">
        <v>20344.849999999999</v>
      </c>
      <c r="I731" s="13">
        <v>39080.68</v>
      </c>
      <c r="J731" s="12">
        <v>4214.55</v>
      </c>
      <c r="K731" s="12">
        <v>0</v>
      </c>
      <c r="L731" s="13">
        <v>43295.23</v>
      </c>
      <c r="M731" s="22">
        <v>56419.5</v>
      </c>
      <c r="N731" s="23">
        <v>7220.58</v>
      </c>
      <c r="O731" s="23">
        <v>0</v>
      </c>
      <c r="P731" s="22">
        <v>63640.08</v>
      </c>
    </row>
    <row r="732" spans="1:16" x14ac:dyDescent="0.3">
      <c r="A732" s="3" t="s">
        <v>1346</v>
      </c>
      <c r="B732" s="1">
        <v>2</v>
      </c>
      <c r="C732" s="1">
        <v>1</v>
      </c>
      <c r="D732" s="3" t="s">
        <v>1347</v>
      </c>
      <c r="E732" s="13">
        <v>0</v>
      </c>
      <c r="F732" s="12">
        <v>0</v>
      </c>
      <c r="G732" s="12">
        <v>0</v>
      </c>
      <c r="H732" s="13">
        <v>0</v>
      </c>
      <c r="I732" s="13">
        <v>144.4</v>
      </c>
      <c r="J732" s="12">
        <v>0</v>
      </c>
      <c r="K732" s="12">
        <v>0</v>
      </c>
      <c r="L732" s="13">
        <v>144.4</v>
      </c>
      <c r="M732" s="22">
        <v>144.4</v>
      </c>
      <c r="N732" s="23">
        <v>0</v>
      </c>
      <c r="O732" s="23">
        <v>0</v>
      </c>
      <c r="P732" s="22">
        <v>144.4</v>
      </c>
    </row>
    <row r="733" spans="1:16" x14ac:dyDescent="0.3">
      <c r="A733" s="3" t="s">
        <v>1348</v>
      </c>
      <c r="B733" s="1">
        <v>2</v>
      </c>
      <c r="C733" s="1">
        <v>1</v>
      </c>
      <c r="D733" s="3" t="s">
        <v>1349</v>
      </c>
      <c r="E733" s="13">
        <v>0</v>
      </c>
      <c r="F733" s="12">
        <v>0</v>
      </c>
      <c r="G733" s="12">
        <v>0</v>
      </c>
      <c r="H733" s="13">
        <v>0</v>
      </c>
      <c r="I733" s="13">
        <v>1155.2</v>
      </c>
      <c r="J733" s="12">
        <v>0</v>
      </c>
      <c r="K733" s="12">
        <v>0</v>
      </c>
      <c r="L733" s="13">
        <v>1155.2</v>
      </c>
      <c r="M733" s="22">
        <v>1155.2</v>
      </c>
      <c r="N733" s="23">
        <v>0</v>
      </c>
      <c r="O733" s="23">
        <v>0</v>
      </c>
      <c r="P733" s="22">
        <v>1155.2</v>
      </c>
    </row>
    <row r="734" spans="1:16" x14ac:dyDescent="0.3">
      <c r="A734" s="3" t="s">
        <v>1350</v>
      </c>
      <c r="B734" s="1">
        <v>2</v>
      </c>
      <c r="C734" s="1">
        <v>1</v>
      </c>
      <c r="D734" s="3" t="s">
        <v>1351</v>
      </c>
      <c r="E734" s="13">
        <v>0</v>
      </c>
      <c r="F734" s="12">
        <v>0</v>
      </c>
      <c r="G734" s="12">
        <v>0</v>
      </c>
      <c r="H734" s="13">
        <v>0</v>
      </c>
      <c r="I734" s="13">
        <v>126580.76</v>
      </c>
      <c r="J734" s="12">
        <v>0</v>
      </c>
      <c r="K734" s="12">
        <v>0</v>
      </c>
      <c r="L734" s="13">
        <v>126580.76</v>
      </c>
      <c r="M734" s="22">
        <v>126580.76</v>
      </c>
      <c r="N734" s="23">
        <v>0</v>
      </c>
      <c r="O734" s="23">
        <v>0</v>
      </c>
      <c r="P734" s="22">
        <v>126580.76</v>
      </c>
    </row>
    <row r="735" spans="1:16" x14ac:dyDescent="0.3">
      <c r="A735" s="3" t="s">
        <v>1352</v>
      </c>
      <c r="B735" s="1">
        <v>2</v>
      </c>
      <c r="C735" s="1">
        <v>1</v>
      </c>
      <c r="D735" s="3" t="s">
        <v>1353</v>
      </c>
      <c r="E735" s="13">
        <v>235369.21</v>
      </c>
      <c r="F735" s="12">
        <v>48296.33</v>
      </c>
      <c r="G735" s="12">
        <v>0</v>
      </c>
      <c r="H735" s="13">
        <v>283665.53999999998</v>
      </c>
      <c r="I735" s="13">
        <v>41920.300000000003</v>
      </c>
      <c r="J735" s="12">
        <v>14085.62</v>
      </c>
      <c r="K735" s="12">
        <v>0</v>
      </c>
      <c r="L735" s="13">
        <v>56005.919999999998</v>
      </c>
      <c r="M735" s="22">
        <v>277289.51</v>
      </c>
      <c r="N735" s="23">
        <v>62381.950000000004</v>
      </c>
      <c r="O735" s="23">
        <v>0</v>
      </c>
      <c r="P735" s="22">
        <v>339671.45999999996</v>
      </c>
    </row>
    <row r="736" spans="1:16" x14ac:dyDescent="0.3">
      <c r="A736" s="3" t="s">
        <v>1354</v>
      </c>
      <c r="B736" s="1">
        <v>2</v>
      </c>
      <c r="C736" s="1">
        <v>1</v>
      </c>
      <c r="D736" s="3" t="s">
        <v>1355</v>
      </c>
      <c r="E736" s="13">
        <v>196598.63</v>
      </c>
      <c r="F736" s="12">
        <v>95544.87</v>
      </c>
      <c r="G736" s="12">
        <v>0</v>
      </c>
      <c r="H736" s="13">
        <v>292143.5</v>
      </c>
      <c r="I736" s="13">
        <v>271943.07</v>
      </c>
      <c r="J736" s="12">
        <v>27405.31</v>
      </c>
      <c r="K736" s="12">
        <v>0</v>
      </c>
      <c r="L736" s="13">
        <v>299348.38</v>
      </c>
      <c r="M736" s="22">
        <v>468541.7</v>
      </c>
      <c r="N736" s="23">
        <v>122950.18</v>
      </c>
      <c r="O736" s="23">
        <v>0</v>
      </c>
      <c r="P736" s="22">
        <v>591491.88</v>
      </c>
    </row>
    <row r="737" spans="1:16" x14ac:dyDescent="0.3">
      <c r="A737" s="3" t="s">
        <v>1356</v>
      </c>
      <c r="B737" s="1">
        <v>2</v>
      </c>
      <c r="C737" s="1">
        <v>1</v>
      </c>
      <c r="D737" s="3" t="s">
        <v>1357</v>
      </c>
      <c r="E737" s="13">
        <v>0</v>
      </c>
      <c r="F737" s="12">
        <v>0</v>
      </c>
      <c r="G737" s="12">
        <v>0</v>
      </c>
      <c r="H737" s="13">
        <v>0</v>
      </c>
      <c r="I737" s="13">
        <v>0.56999999999999995</v>
      </c>
      <c r="J737" s="12">
        <v>0</v>
      </c>
      <c r="K737" s="12">
        <v>0</v>
      </c>
      <c r="L737" s="13">
        <v>0.56999999999999995</v>
      </c>
      <c r="M737" s="22">
        <v>0.56999999999999995</v>
      </c>
      <c r="N737" s="23">
        <v>0</v>
      </c>
      <c r="O737" s="23">
        <v>0</v>
      </c>
      <c r="P737" s="22">
        <v>0.56999999999999995</v>
      </c>
    </row>
    <row r="738" spans="1:16" x14ac:dyDescent="0.3">
      <c r="A738" s="3" t="s">
        <v>1358</v>
      </c>
      <c r="B738" s="1">
        <v>2</v>
      </c>
      <c r="C738" s="1">
        <v>1</v>
      </c>
      <c r="D738" s="3" t="s">
        <v>1359</v>
      </c>
      <c r="E738" s="13">
        <v>98225.78</v>
      </c>
      <c r="F738" s="12">
        <v>47360.35</v>
      </c>
      <c r="G738" s="12">
        <v>0</v>
      </c>
      <c r="H738" s="13">
        <v>145586.13</v>
      </c>
      <c r="I738" s="13">
        <v>95975.52</v>
      </c>
      <c r="J738" s="12">
        <v>13702.82</v>
      </c>
      <c r="K738" s="12">
        <v>0</v>
      </c>
      <c r="L738" s="13">
        <v>109678.34</v>
      </c>
      <c r="M738" s="22">
        <v>194201.3</v>
      </c>
      <c r="N738" s="23">
        <v>61063.17</v>
      </c>
      <c r="O738" s="23">
        <v>0</v>
      </c>
      <c r="P738" s="22">
        <v>255264.47</v>
      </c>
    </row>
    <row r="739" spans="1:16" x14ac:dyDescent="0.3">
      <c r="A739" s="3" t="s">
        <v>1360</v>
      </c>
      <c r="B739" s="1">
        <v>2</v>
      </c>
      <c r="C739" s="1">
        <v>1</v>
      </c>
      <c r="D739" s="3" t="s">
        <v>1361</v>
      </c>
      <c r="E739" s="13">
        <v>280637.71999999997</v>
      </c>
      <c r="F739" s="12">
        <v>136227.23000000001</v>
      </c>
      <c r="G739" s="12">
        <v>0</v>
      </c>
      <c r="H739" s="13">
        <v>416864.95</v>
      </c>
      <c r="I739" s="13">
        <v>183057.83</v>
      </c>
      <c r="J739" s="12">
        <v>39150.519999999997</v>
      </c>
      <c r="K739" s="12">
        <v>0</v>
      </c>
      <c r="L739" s="13">
        <v>222208.35</v>
      </c>
      <c r="M739" s="22">
        <v>463695.54999999993</v>
      </c>
      <c r="N739" s="23">
        <v>175377.75</v>
      </c>
      <c r="O739" s="23">
        <v>0</v>
      </c>
      <c r="P739" s="22">
        <v>639073.30000000005</v>
      </c>
    </row>
    <row r="740" spans="1:16" x14ac:dyDescent="0.3">
      <c r="A740" s="3" t="s">
        <v>1362</v>
      </c>
      <c r="B740" s="1">
        <v>2</v>
      </c>
      <c r="C740" s="1">
        <v>1</v>
      </c>
      <c r="D740" s="3" t="s">
        <v>1363</v>
      </c>
      <c r="E740" s="13">
        <v>0</v>
      </c>
      <c r="F740" s="12">
        <v>0</v>
      </c>
      <c r="G740" s="12">
        <v>0</v>
      </c>
      <c r="H740" s="13">
        <v>0</v>
      </c>
      <c r="I740" s="13">
        <v>5500</v>
      </c>
      <c r="J740" s="12">
        <v>0</v>
      </c>
      <c r="K740" s="12">
        <v>0</v>
      </c>
      <c r="L740" s="13">
        <v>5500</v>
      </c>
      <c r="M740" s="22">
        <v>5500</v>
      </c>
      <c r="N740" s="23">
        <v>0</v>
      </c>
      <c r="O740" s="23">
        <v>0</v>
      </c>
      <c r="P740" s="22">
        <v>5500</v>
      </c>
    </row>
    <row r="741" spans="1:16" x14ac:dyDescent="0.3">
      <c r="A741" s="3" t="s">
        <v>1364</v>
      </c>
      <c r="B741" s="1">
        <v>2</v>
      </c>
      <c r="C741" s="1">
        <v>1</v>
      </c>
      <c r="D741" s="3" t="s">
        <v>1365</v>
      </c>
      <c r="E741" s="13">
        <v>0</v>
      </c>
      <c r="F741" s="12">
        <v>0</v>
      </c>
      <c r="G741" s="12">
        <v>0</v>
      </c>
      <c r="H741" s="13">
        <v>0</v>
      </c>
      <c r="I741" s="13">
        <v>72507.570000000007</v>
      </c>
      <c r="J741" s="12">
        <v>0</v>
      </c>
      <c r="K741" s="12">
        <v>0</v>
      </c>
      <c r="L741" s="13">
        <v>72507.570000000007</v>
      </c>
      <c r="M741" s="22">
        <v>72507.570000000007</v>
      </c>
      <c r="N741" s="23">
        <v>0</v>
      </c>
      <c r="O741" s="23">
        <v>0</v>
      </c>
      <c r="P741" s="22">
        <v>72507.570000000007</v>
      </c>
    </row>
    <row r="742" spans="1:16" x14ac:dyDescent="0.3">
      <c r="A742" s="3" t="s">
        <v>1366</v>
      </c>
      <c r="B742" s="1">
        <v>2</v>
      </c>
      <c r="C742" s="1">
        <v>1</v>
      </c>
      <c r="D742" s="3" t="s">
        <v>1367</v>
      </c>
      <c r="E742" s="13">
        <v>0</v>
      </c>
      <c r="F742" s="12">
        <v>0</v>
      </c>
      <c r="G742" s="12">
        <v>0</v>
      </c>
      <c r="H742" s="13">
        <v>0</v>
      </c>
      <c r="I742" s="13">
        <v>41483.22</v>
      </c>
      <c r="J742" s="12">
        <v>0</v>
      </c>
      <c r="K742" s="12">
        <v>0</v>
      </c>
      <c r="L742" s="13">
        <v>41483.22</v>
      </c>
      <c r="M742" s="22">
        <v>41483.22</v>
      </c>
      <c r="N742" s="23">
        <v>0</v>
      </c>
      <c r="O742" s="23">
        <v>0</v>
      </c>
      <c r="P742" s="22">
        <v>41483.22</v>
      </c>
    </row>
    <row r="743" spans="1:16" x14ac:dyDescent="0.3">
      <c r="A743" s="3" t="s">
        <v>1368</v>
      </c>
      <c r="B743" s="1">
        <v>2</v>
      </c>
      <c r="C743" s="1">
        <v>1</v>
      </c>
      <c r="D743" s="3" t="s">
        <v>1369</v>
      </c>
      <c r="E743" s="13">
        <v>6948.56</v>
      </c>
      <c r="F743" s="12">
        <v>1737.14</v>
      </c>
      <c r="G743" s="12">
        <v>0</v>
      </c>
      <c r="H743" s="13">
        <v>8685.7000000000007</v>
      </c>
      <c r="I743" s="13">
        <v>90.95</v>
      </c>
      <c r="J743" s="12">
        <v>0</v>
      </c>
      <c r="K743" s="12">
        <v>0</v>
      </c>
      <c r="L743" s="13">
        <v>90.95</v>
      </c>
      <c r="M743" s="22">
        <v>7039.51</v>
      </c>
      <c r="N743" s="23">
        <v>1737.14</v>
      </c>
      <c r="O743" s="23">
        <v>0</v>
      </c>
      <c r="P743" s="22">
        <v>8776.6500000000015</v>
      </c>
    </row>
    <row r="744" spans="1:16" x14ac:dyDescent="0.3">
      <c r="A744" s="3" t="s">
        <v>1370</v>
      </c>
      <c r="B744" s="1">
        <v>2</v>
      </c>
      <c r="C744" s="1">
        <v>1</v>
      </c>
      <c r="D744" s="3" t="s">
        <v>1371</v>
      </c>
      <c r="E744" s="13">
        <v>171275.3</v>
      </c>
      <c r="F744" s="12">
        <v>91967.79</v>
      </c>
      <c r="G744" s="12">
        <v>0</v>
      </c>
      <c r="H744" s="13">
        <v>263243.09000000003</v>
      </c>
      <c r="I744" s="13">
        <v>258139</v>
      </c>
      <c r="J744" s="12">
        <v>49424.21</v>
      </c>
      <c r="K744" s="12">
        <v>0</v>
      </c>
      <c r="L744" s="13">
        <v>307563.21000000002</v>
      </c>
      <c r="M744" s="22">
        <v>429414.3</v>
      </c>
      <c r="N744" s="23">
        <v>141392</v>
      </c>
      <c r="O744" s="23">
        <v>0</v>
      </c>
      <c r="P744" s="22">
        <v>570806.30000000005</v>
      </c>
    </row>
    <row r="745" spans="1:16" x14ac:dyDescent="0.3">
      <c r="A745" s="3" t="s">
        <v>1372</v>
      </c>
      <c r="B745" s="1">
        <v>2</v>
      </c>
      <c r="C745" s="1">
        <v>1</v>
      </c>
      <c r="D745" s="3" t="s">
        <v>1373</v>
      </c>
      <c r="E745" s="13">
        <v>0</v>
      </c>
      <c r="F745" s="12">
        <v>0</v>
      </c>
      <c r="G745" s="12">
        <v>0</v>
      </c>
      <c r="H745" s="13">
        <v>0</v>
      </c>
      <c r="I745" s="13">
        <v>264545</v>
      </c>
      <c r="J745" s="12">
        <v>0</v>
      </c>
      <c r="K745" s="12">
        <v>0</v>
      </c>
      <c r="L745" s="13">
        <v>264545</v>
      </c>
      <c r="M745" s="22">
        <v>264545</v>
      </c>
      <c r="N745" s="23">
        <v>0</v>
      </c>
      <c r="O745" s="23">
        <v>0</v>
      </c>
      <c r="P745" s="22">
        <v>264545</v>
      </c>
    </row>
    <row r="746" spans="1:16" x14ac:dyDescent="0.3">
      <c r="A746" s="3" t="s">
        <v>1374</v>
      </c>
      <c r="B746" s="2">
        <v>1</v>
      </c>
      <c r="C746" s="2">
        <v>0</v>
      </c>
      <c r="D746" s="14" t="s">
        <v>1375</v>
      </c>
      <c r="E746" s="15">
        <v>708000.26</v>
      </c>
      <c r="F746" s="16">
        <v>152574.29999999999</v>
      </c>
      <c r="G746" s="16">
        <v>0</v>
      </c>
      <c r="H746" s="15">
        <v>860574.56</v>
      </c>
      <c r="I746" s="15">
        <v>982933.87</v>
      </c>
      <c r="J746" s="16">
        <v>44672.39</v>
      </c>
      <c r="K746" s="16">
        <v>0</v>
      </c>
      <c r="L746" s="15">
        <v>1027606.26</v>
      </c>
      <c r="M746" s="15">
        <v>1690934.13</v>
      </c>
      <c r="N746" s="16">
        <v>197246.69</v>
      </c>
      <c r="O746" s="16">
        <v>0</v>
      </c>
      <c r="P746" s="15">
        <v>1888180.82</v>
      </c>
    </row>
    <row r="747" spans="1:16" x14ac:dyDescent="0.3">
      <c r="A747" s="3" t="s">
        <v>1376</v>
      </c>
      <c r="B747" s="1">
        <v>2</v>
      </c>
      <c r="C747" s="1">
        <v>1</v>
      </c>
      <c r="D747" s="3" t="s">
        <v>1377</v>
      </c>
      <c r="E747" s="13">
        <v>299188.49</v>
      </c>
      <c r="F747" s="12">
        <v>113288.58</v>
      </c>
      <c r="G747" s="12">
        <v>0</v>
      </c>
      <c r="H747" s="13">
        <v>412477.07</v>
      </c>
      <c r="I747" s="13">
        <v>422364.84</v>
      </c>
      <c r="J747" s="12">
        <v>32687.48</v>
      </c>
      <c r="K747" s="12">
        <v>0</v>
      </c>
      <c r="L747" s="13">
        <v>455052.32</v>
      </c>
      <c r="M747" s="22">
        <v>721553.33000000007</v>
      </c>
      <c r="N747" s="23">
        <v>145976.06</v>
      </c>
      <c r="O747" s="23">
        <v>0</v>
      </c>
      <c r="P747" s="22">
        <v>867529.39</v>
      </c>
    </row>
    <row r="748" spans="1:16" x14ac:dyDescent="0.3">
      <c r="A748" s="3" t="s">
        <v>1378</v>
      </c>
      <c r="B748" s="1">
        <v>2</v>
      </c>
      <c r="C748" s="1">
        <v>1</v>
      </c>
      <c r="D748" s="3" t="s">
        <v>1379</v>
      </c>
      <c r="E748" s="13">
        <v>129899.58</v>
      </c>
      <c r="F748" s="12">
        <v>0</v>
      </c>
      <c r="G748" s="12">
        <v>0</v>
      </c>
      <c r="H748" s="13">
        <v>129899.58</v>
      </c>
      <c r="I748" s="13">
        <v>173552.08</v>
      </c>
      <c r="J748" s="12">
        <v>0</v>
      </c>
      <c r="K748" s="12">
        <v>0</v>
      </c>
      <c r="L748" s="13">
        <v>173552.08</v>
      </c>
      <c r="M748" s="22">
        <v>303451.65999999997</v>
      </c>
      <c r="N748" s="23">
        <v>0</v>
      </c>
      <c r="O748" s="23">
        <v>0</v>
      </c>
      <c r="P748" s="22">
        <v>303451.65999999997</v>
      </c>
    </row>
    <row r="749" spans="1:16" x14ac:dyDescent="0.3">
      <c r="A749" s="3" t="s">
        <v>1380</v>
      </c>
      <c r="B749" s="1">
        <v>2</v>
      </c>
      <c r="C749" s="1">
        <v>1</v>
      </c>
      <c r="D749" s="3" t="s">
        <v>1381</v>
      </c>
      <c r="E749" s="13">
        <v>197483.26</v>
      </c>
      <c r="F749" s="12">
        <v>0</v>
      </c>
      <c r="G749" s="12">
        <v>0</v>
      </c>
      <c r="H749" s="13">
        <v>197483.26</v>
      </c>
      <c r="I749" s="13">
        <v>270603.34999999998</v>
      </c>
      <c r="J749" s="12">
        <v>0</v>
      </c>
      <c r="K749" s="12">
        <v>0</v>
      </c>
      <c r="L749" s="13">
        <v>270603.34999999998</v>
      </c>
      <c r="M749" s="22">
        <v>468086.61</v>
      </c>
      <c r="N749" s="23">
        <v>0</v>
      </c>
      <c r="O749" s="23">
        <v>0</v>
      </c>
      <c r="P749" s="22">
        <v>468086.61</v>
      </c>
    </row>
    <row r="750" spans="1:16" x14ac:dyDescent="0.3">
      <c r="A750" s="3" t="s">
        <v>1382</v>
      </c>
      <c r="B750" s="1">
        <v>2</v>
      </c>
      <c r="C750" s="1">
        <v>1</v>
      </c>
      <c r="D750" s="3" t="s">
        <v>1383</v>
      </c>
      <c r="E750" s="13">
        <v>81428.929999999993</v>
      </c>
      <c r="F750" s="12">
        <v>39285.72</v>
      </c>
      <c r="G750" s="12">
        <v>0</v>
      </c>
      <c r="H750" s="13">
        <v>120714.65</v>
      </c>
      <c r="I750" s="13">
        <v>116413.6</v>
      </c>
      <c r="J750" s="12">
        <v>11984.91</v>
      </c>
      <c r="K750" s="12">
        <v>0</v>
      </c>
      <c r="L750" s="13">
        <v>128398.51</v>
      </c>
      <c r="M750" s="22">
        <v>197842.53</v>
      </c>
      <c r="N750" s="23">
        <v>51270.630000000005</v>
      </c>
      <c r="O750" s="23">
        <v>0</v>
      </c>
      <c r="P750" s="22">
        <v>249113.15999999997</v>
      </c>
    </row>
    <row r="751" spans="1:16" x14ac:dyDescent="0.3">
      <c r="A751" s="3" t="s">
        <v>1384</v>
      </c>
      <c r="B751" s="2">
        <v>1</v>
      </c>
      <c r="C751" s="2">
        <v>0</v>
      </c>
      <c r="D751" s="14" t="s">
        <v>1385</v>
      </c>
      <c r="E751" s="15">
        <v>135635</v>
      </c>
      <c r="F751" s="16">
        <v>124125</v>
      </c>
      <c r="G751" s="16">
        <v>0</v>
      </c>
      <c r="H751" s="15">
        <v>259760</v>
      </c>
      <c r="I751" s="15">
        <v>182135</v>
      </c>
      <c r="J751" s="16">
        <v>0</v>
      </c>
      <c r="K751" s="16">
        <v>0</v>
      </c>
      <c r="L751" s="15">
        <v>182135</v>
      </c>
      <c r="M751" s="15">
        <v>317770</v>
      </c>
      <c r="N751" s="16">
        <v>124125</v>
      </c>
      <c r="O751" s="16">
        <v>0</v>
      </c>
      <c r="P751" s="15">
        <v>441895</v>
      </c>
    </row>
    <row r="752" spans="1:16" x14ac:dyDescent="0.3">
      <c r="A752" s="3" t="s">
        <v>1386</v>
      </c>
      <c r="B752" s="1">
        <v>2</v>
      </c>
      <c r="C752" s="1">
        <v>1</v>
      </c>
      <c r="D752" s="3" t="s">
        <v>1387</v>
      </c>
      <c r="E752" s="13">
        <v>135635</v>
      </c>
      <c r="F752" s="12">
        <v>124125</v>
      </c>
      <c r="G752" s="12">
        <v>0</v>
      </c>
      <c r="H752" s="13">
        <v>259760</v>
      </c>
      <c r="I752" s="13">
        <v>182135</v>
      </c>
      <c r="J752" s="12">
        <v>0</v>
      </c>
      <c r="K752" s="12">
        <v>0</v>
      </c>
      <c r="L752" s="13">
        <v>182135</v>
      </c>
      <c r="M752" s="22">
        <v>317770</v>
      </c>
      <c r="N752" s="23">
        <v>124125</v>
      </c>
      <c r="O752" s="23">
        <v>0</v>
      </c>
      <c r="P752" s="22">
        <v>441895</v>
      </c>
    </row>
    <row r="753" spans="1:16" x14ac:dyDescent="0.3">
      <c r="A753" s="3" t="s">
        <v>1388</v>
      </c>
      <c r="B753" s="1">
        <v>3</v>
      </c>
      <c r="C753" s="1">
        <v>0</v>
      </c>
      <c r="D753" s="3" t="s">
        <v>1389</v>
      </c>
      <c r="E753" s="13">
        <v>2922981.69</v>
      </c>
      <c r="F753" s="12">
        <v>1541107.68</v>
      </c>
      <c r="G753" s="12">
        <v>0</v>
      </c>
      <c r="H753" s="13">
        <v>4464089.37</v>
      </c>
      <c r="I753" s="13">
        <v>3094980.18</v>
      </c>
      <c r="J753" s="12">
        <v>171025.39</v>
      </c>
      <c r="K753" s="12">
        <v>0</v>
      </c>
      <c r="L753" s="13">
        <v>3266005.57</v>
      </c>
      <c r="M753" s="22">
        <v>6017961.8700000001</v>
      </c>
      <c r="N753" s="23">
        <v>1712133.0699999998</v>
      </c>
      <c r="O753" s="23">
        <v>0</v>
      </c>
      <c r="P753" s="22">
        <v>7730094.9399999995</v>
      </c>
    </row>
    <row r="754" spans="1:16" x14ac:dyDescent="0.3">
      <c r="A754" s="3" t="s">
        <v>1390</v>
      </c>
      <c r="B754" s="2">
        <v>1</v>
      </c>
      <c r="C754" s="2">
        <v>0</v>
      </c>
      <c r="D754" s="14" t="s">
        <v>1391</v>
      </c>
      <c r="E754" s="15">
        <v>821682.4</v>
      </c>
      <c r="F754" s="16">
        <v>308433.46999999997</v>
      </c>
      <c r="G754" s="16">
        <v>0</v>
      </c>
      <c r="H754" s="15">
        <v>1130115.8700000001</v>
      </c>
      <c r="I754" s="15">
        <v>588496.07999999996</v>
      </c>
      <c r="J754" s="16">
        <v>26480.38</v>
      </c>
      <c r="K754" s="16">
        <v>0</v>
      </c>
      <c r="L754" s="15">
        <v>614976.46</v>
      </c>
      <c r="M754" s="15">
        <v>1410178.48</v>
      </c>
      <c r="N754" s="16">
        <v>334913.84999999998</v>
      </c>
      <c r="O754" s="16">
        <v>0</v>
      </c>
      <c r="P754" s="15">
        <v>1745092.33</v>
      </c>
    </row>
    <row r="755" spans="1:16" x14ac:dyDescent="0.3">
      <c r="A755" s="3" t="s">
        <v>1392</v>
      </c>
      <c r="B755" s="1">
        <v>2</v>
      </c>
      <c r="C755" s="1">
        <v>1</v>
      </c>
      <c r="D755" s="3" t="s">
        <v>1393</v>
      </c>
      <c r="E755" s="13">
        <v>430417.48</v>
      </c>
      <c r="F755" s="12">
        <v>171366.07</v>
      </c>
      <c r="G755" s="12">
        <v>0</v>
      </c>
      <c r="H755" s="13">
        <v>601783.55000000005</v>
      </c>
      <c r="I755" s="13">
        <v>234118.32</v>
      </c>
      <c r="J755" s="12">
        <v>0</v>
      </c>
      <c r="K755" s="12">
        <v>0</v>
      </c>
      <c r="L755" s="13">
        <v>234118.32</v>
      </c>
      <c r="M755" s="22">
        <v>664535.80000000005</v>
      </c>
      <c r="N755" s="23">
        <v>171366.07</v>
      </c>
      <c r="O755" s="23">
        <v>0</v>
      </c>
      <c r="P755" s="22">
        <v>835901.87000000011</v>
      </c>
    </row>
    <row r="756" spans="1:16" x14ac:dyDescent="0.3">
      <c r="A756" s="3" t="s">
        <v>1394</v>
      </c>
      <c r="B756" s="1">
        <v>2</v>
      </c>
      <c r="C756" s="1">
        <v>1</v>
      </c>
      <c r="D756" s="3" t="s">
        <v>1395</v>
      </c>
      <c r="E756" s="13">
        <v>7839.56</v>
      </c>
      <c r="F756" s="12">
        <v>1772.52</v>
      </c>
      <c r="G756" s="12">
        <v>0</v>
      </c>
      <c r="H756" s="13">
        <v>9612.08</v>
      </c>
      <c r="I756" s="13">
        <v>0</v>
      </c>
      <c r="J756" s="12">
        <v>0</v>
      </c>
      <c r="K756" s="12">
        <v>0</v>
      </c>
      <c r="L756" s="13">
        <v>0</v>
      </c>
      <c r="M756" s="22">
        <v>7839.56</v>
      </c>
      <c r="N756" s="23">
        <v>1772.52</v>
      </c>
      <c r="O756" s="23">
        <v>0</v>
      </c>
      <c r="P756" s="22">
        <v>9612.08</v>
      </c>
    </row>
    <row r="757" spans="1:16" x14ac:dyDescent="0.3">
      <c r="A757" s="3" t="s">
        <v>1396</v>
      </c>
      <c r="B757" s="1">
        <v>2</v>
      </c>
      <c r="C757" s="1">
        <v>1</v>
      </c>
      <c r="D757" s="3" t="s">
        <v>1397</v>
      </c>
      <c r="E757" s="13">
        <v>45401.17</v>
      </c>
      <c r="F757" s="12">
        <v>17497.3</v>
      </c>
      <c r="G757" s="12">
        <v>0</v>
      </c>
      <c r="H757" s="13">
        <v>62898.47</v>
      </c>
      <c r="I757" s="13">
        <v>26070.91</v>
      </c>
      <c r="J757" s="12">
        <v>0</v>
      </c>
      <c r="K757" s="12">
        <v>0</v>
      </c>
      <c r="L757" s="13">
        <v>26070.91</v>
      </c>
      <c r="M757" s="22">
        <v>71472.08</v>
      </c>
      <c r="N757" s="23">
        <v>17497.3</v>
      </c>
      <c r="O757" s="23">
        <v>0</v>
      </c>
      <c r="P757" s="22">
        <v>88969.38</v>
      </c>
    </row>
    <row r="758" spans="1:16" x14ac:dyDescent="0.3">
      <c r="A758" s="3" t="s">
        <v>1398</v>
      </c>
      <c r="B758" s="1">
        <v>2</v>
      </c>
      <c r="C758" s="1">
        <v>1</v>
      </c>
      <c r="D758" s="3" t="s">
        <v>1399</v>
      </c>
      <c r="E758" s="13">
        <v>45401.17</v>
      </c>
      <c r="F758" s="12">
        <v>17497.3</v>
      </c>
      <c r="G758" s="12">
        <v>0</v>
      </c>
      <c r="H758" s="13">
        <v>62898.47</v>
      </c>
      <c r="I758" s="13">
        <v>26070.91</v>
      </c>
      <c r="J758" s="12">
        <v>0</v>
      </c>
      <c r="K758" s="12">
        <v>0</v>
      </c>
      <c r="L758" s="13">
        <v>26070.91</v>
      </c>
      <c r="M758" s="22">
        <v>71472.08</v>
      </c>
      <c r="N758" s="23">
        <v>17497.3</v>
      </c>
      <c r="O758" s="23">
        <v>0</v>
      </c>
      <c r="P758" s="22">
        <v>88969.38</v>
      </c>
    </row>
    <row r="759" spans="1:16" x14ac:dyDescent="0.3">
      <c r="A759" s="3" t="s">
        <v>1400</v>
      </c>
      <c r="B759" s="1">
        <v>2</v>
      </c>
      <c r="C759" s="1">
        <v>1</v>
      </c>
      <c r="D759" s="3" t="s">
        <v>1401</v>
      </c>
      <c r="E759" s="13">
        <v>23593.7</v>
      </c>
      <c r="F759" s="12">
        <v>3606.77</v>
      </c>
      <c r="G759" s="12">
        <v>0</v>
      </c>
      <c r="H759" s="13">
        <v>27200.47</v>
      </c>
      <c r="I759" s="13">
        <v>20767.64</v>
      </c>
      <c r="J759" s="12">
        <v>0</v>
      </c>
      <c r="K759" s="12">
        <v>0</v>
      </c>
      <c r="L759" s="13">
        <v>20767.64</v>
      </c>
      <c r="M759" s="22">
        <v>44361.34</v>
      </c>
      <c r="N759" s="23">
        <v>3606.77</v>
      </c>
      <c r="O759" s="23">
        <v>0</v>
      </c>
      <c r="P759" s="22">
        <v>47968.11</v>
      </c>
    </row>
    <row r="760" spans="1:16" x14ac:dyDescent="0.3">
      <c r="A760" s="3" t="s">
        <v>1402</v>
      </c>
      <c r="B760" s="1">
        <v>2</v>
      </c>
      <c r="C760" s="1">
        <v>1</v>
      </c>
      <c r="D760" s="3" t="s">
        <v>1403</v>
      </c>
      <c r="E760" s="13">
        <v>2317.5</v>
      </c>
      <c r="F760" s="12">
        <v>0</v>
      </c>
      <c r="G760" s="12">
        <v>0</v>
      </c>
      <c r="H760" s="13">
        <v>2317.5</v>
      </c>
      <c r="I760" s="13">
        <v>7084.89</v>
      </c>
      <c r="J760" s="12">
        <v>0</v>
      </c>
      <c r="K760" s="12">
        <v>0</v>
      </c>
      <c r="L760" s="13">
        <v>7084.89</v>
      </c>
      <c r="M760" s="22">
        <v>9402.39</v>
      </c>
      <c r="N760" s="23">
        <v>0</v>
      </c>
      <c r="O760" s="23">
        <v>0</v>
      </c>
      <c r="P760" s="22">
        <v>9402.39</v>
      </c>
    </row>
    <row r="761" spans="1:16" x14ac:dyDescent="0.3">
      <c r="A761" s="3" t="s">
        <v>1404</v>
      </c>
      <c r="B761" s="1">
        <v>2</v>
      </c>
      <c r="C761" s="1">
        <v>1</v>
      </c>
      <c r="D761" s="3" t="s">
        <v>1405</v>
      </c>
      <c r="E761" s="13">
        <v>0</v>
      </c>
      <c r="F761" s="12">
        <v>0</v>
      </c>
      <c r="G761" s="12">
        <v>0</v>
      </c>
      <c r="H761" s="13">
        <v>0</v>
      </c>
      <c r="I761" s="13">
        <v>3797.32</v>
      </c>
      <c r="J761" s="12">
        <v>0</v>
      </c>
      <c r="K761" s="12">
        <v>0</v>
      </c>
      <c r="L761" s="13">
        <v>3797.32</v>
      </c>
      <c r="M761" s="22">
        <v>3797.32</v>
      </c>
      <c r="N761" s="23">
        <v>0</v>
      </c>
      <c r="O761" s="23">
        <v>0</v>
      </c>
      <c r="P761" s="22">
        <v>3797.32</v>
      </c>
    </row>
    <row r="762" spans="1:16" x14ac:dyDescent="0.3">
      <c r="A762" s="3" t="s">
        <v>1406</v>
      </c>
      <c r="B762" s="1">
        <v>2</v>
      </c>
      <c r="C762" s="1">
        <v>1</v>
      </c>
      <c r="D762" s="3" t="s">
        <v>1407</v>
      </c>
      <c r="E762" s="13">
        <v>36326.54</v>
      </c>
      <c r="F762" s="12">
        <v>9843.24</v>
      </c>
      <c r="G762" s="12">
        <v>0</v>
      </c>
      <c r="H762" s="13">
        <v>46169.78</v>
      </c>
      <c r="I762" s="13">
        <v>569.32000000000005</v>
      </c>
      <c r="J762" s="12">
        <v>0</v>
      </c>
      <c r="K762" s="12">
        <v>0</v>
      </c>
      <c r="L762" s="13">
        <v>569.32000000000005</v>
      </c>
      <c r="M762" s="22">
        <v>36895.86</v>
      </c>
      <c r="N762" s="23">
        <v>9843.24</v>
      </c>
      <c r="O762" s="23">
        <v>0</v>
      </c>
      <c r="P762" s="22">
        <v>46739.1</v>
      </c>
    </row>
    <row r="763" spans="1:16" x14ac:dyDescent="0.3">
      <c r="A763" s="3" t="s">
        <v>1408</v>
      </c>
      <c r="B763" s="1">
        <v>2</v>
      </c>
      <c r="C763" s="1">
        <v>1</v>
      </c>
      <c r="D763" s="3" t="s">
        <v>1409</v>
      </c>
      <c r="E763" s="13">
        <v>44384.52</v>
      </c>
      <c r="F763" s="12">
        <v>17112.96</v>
      </c>
      <c r="G763" s="12">
        <v>0</v>
      </c>
      <c r="H763" s="13">
        <v>61497.48</v>
      </c>
      <c r="I763" s="13">
        <v>25312.3</v>
      </c>
      <c r="J763" s="12">
        <v>0</v>
      </c>
      <c r="K763" s="12">
        <v>0</v>
      </c>
      <c r="L763" s="13">
        <v>25312.3</v>
      </c>
      <c r="M763" s="22">
        <v>69696.819999999992</v>
      </c>
      <c r="N763" s="23">
        <v>17112.96</v>
      </c>
      <c r="O763" s="23">
        <v>0</v>
      </c>
      <c r="P763" s="22">
        <v>86809.78</v>
      </c>
    </row>
    <row r="764" spans="1:16" x14ac:dyDescent="0.3">
      <c r="A764" s="3" t="s">
        <v>1410</v>
      </c>
      <c r="B764" s="1">
        <v>2</v>
      </c>
      <c r="C764" s="1">
        <v>1</v>
      </c>
      <c r="D764" s="3" t="s">
        <v>1411</v>
      </c>
      <c r="E764" s="13">
        <v>22700.6</v>
      </c>
      <c r="F764" s="12">
        <v>8748.65</v>
      </c>
      <c r="G764" s="12">
        <v>0</v>
      </c>
      <c r="H764" s="13">
        <v>31449.25</v>
      </c>
      <c r="I764" s="13">
        <v>10582.87</v>
      </c>
      <c r="J764" s="12">
        <v>0</v>
      </c>
      <c r="K764" s="12">
        <v>0</v>
      </c>
      <c r="L764" s="13">
        <v>10582.87</v>
      </c>
      <c r="M764" s="22">
        <v>33283.47</v>
      </c>
      <c r="N764" s="23">
        <v>8748.65</v>
      </c>
      <c r="O764" s="23">
        <v>0</v>
      </c>
      <c r="P764" s="22">
        <v>42032.12</v>
      </c>
    </row>
    <row r="765" spans="1:16" x14ac:dyDescent="0.3">
      <c r="A765" s="3" t="s">
        <v>1412</v>
      </c>
      <c r="B765" s="1">
        <v>2</v>
      </c>
      <c r="C765" s="1">
        <v>1</v>
      </c>
      <c r="D765" s="3" t="s">
        <v>1413</v>
      </c>
      <c r="E765" s="13">
        <v>0</v>
      </c>
      <c r="F765" s="12">
        <v>0</v>
      </c>
      <c r="G765" s="12">
        <v>0</v>
      </c>
      <c r="H765" s="13">
        <v>0</v>
      </c>
      <c r="I765" s="13">
        <v>7007.82</v>
      </c>
      <c r="J765" s="12">
        <v>0</v>
      </c>
      <c r="K765" s="12">
        <v>0</v>
      </c>
      <c r="L765" s="13">
        <v>7007.82</v>
      </c>
      <c r="M765" s="22">
        <v>7007.82</v>
      </c>
      <c r="N765" s="23">
        <v>0</v>
      </c>
      <c r="O765" s="23">
        <v>0</v>
      </c>
      <c r="P765" s="22">
        <v>7007.82</v>
      </c>
    </row>
    <row r="766" spans="1:16" x14ac:dyDescent="0.3">
      <c r="A766" s="3" t="s">
        <v>1414</v>
      </c>
      <c r="B766" s="1">
        <v>2</v>
      </c>
      <c r="C766" s="1">
        <v>1</v>
      </c>
      <c r="D766" s="3" t="s">
        <v>1415</v>
      </c>
      <c r="E766" s="13">
        <v>20845.72</v>
      </c>
      <c r="F766" s="12">
        <v>5211.43</v>
      </c>
      <c r="G766" s="12">
        <v>0</v>
      </c>
      <c r="H766" s="13">
        <v>26057.15</v>
      </c>
      <c r="I766" s="13">
        <v>0</v>
      </c>
      <c r="J766" s="12">
        <v>0</v>
      </c>
      <c r="K766" s="12">
        <v>0</v>
      </c>
      <c r="L766" s="13">
        <v>0</v>
      </c>
      <c r="M766" s="22">
        <v>20845.72</v>
      </c>
      <c r="N766" s="23">
        <v>5211.43</v>
      </c>
      <c r="O766" s="23">
        <v>0</v>
      </c>
      <c r="P766" s="22">
        <v>26057.15</v>
      </c>
    </row>
    <row r="767" spans="1:16" x14ac:dyDescent="0.3">
      <c r="A767" s="3" t="s">
        <v>1416</v>
      </c>
      <c r="B767" s="1">
        <v>2</v>
      </c>
      <c r="C767" s="1">
        <v>1</v>
      </c>
      <c r="D767" s="3" t="s">
        <v>1417</v>
      </c>
      <c r="E767" s="13">
        <v>90616.66</v>
      </c>
      <c r="F767" s="12">
        <v>31888.34</v>
      </c>
      <c r="G767" s="12">
        <v>0</v>
      </c>
      <c r="H767" s="13">
        <v>122505</v>
      </c>
      <c r="I767" s="13">
        <v>175022.66</v>
      </c>
      <c r="J767" s="12">
        <v>26480.38</v>
      </c>
      <c r="K767" s="12">
        <v>0</v>
      </c>
      <c r="L767" s="13">
        <v>201503.04</v>
      </c>
      <c r="M767" s="22">
        <v>265639.32</v>
      </c>
      <c r="N767" s="23">
        <v>58368.72</v>
      </c>
      <c r="O767" s="23">
        <v>0</v>
      </c>
      <c r="P767" s="22">
        <v>324008.04000000004</v>
      </c>
    </row>
    <row r="768" spans="1:16" x14ac:dyDescent="0.3">
      <c r="A768" s="3" t="s">
        <v>1418</v>
      </c>
      <c r="B768" s="1">
        <v>2</v>
      </c>
      <c r="C768" s="1">
        <v>1</v>
      </c>
      <c r="D768" s="3" t="s">
        <v>1419</v>
      </c>
      <c r="E768" s="13">
        <v>51837.78</v>
      </c>
      <c r="F768" s="12">
        <v>23888.89</v>
      </c>
      <c r="G768" s="12">
        <v>0</v>
      </c>
      <c r="H768" s="13">
        <v>75726.67</v>
      </c>
      <c r="I768" s="13">
        <v>52091.12</v>
      </c>
      <c r="J768" s="12">
        <v>0</v>
      </c>
      <c r="K768" s="12">
        <v>0</v>
      </c>
      <c r="L768" s="13">
        <v>52091.12</v>
      </c>
      <c r="M768" s="22">
        <v>103928.9</v>
      </c>
      <c r="N768" s="23">
        <v>23888.89</v>
      </c>
      <c r="O768" s="23">
        <v>0</v>
      </c>
      <c r="P768" s="22">
        <v>127817.79000000001</v>
      </c>
    </row>
    <row r="769" spans="1:16" x14ac:dyDescent="0.3">
      <c r="A769" s="3" t="s">
        <v>1420</v>
      </c>
      <c r="B769" s="2">
        <v>1</v>
      </c>
      <c r="C769" s="2">
        <v>0</v>
      </c>
      <c r="D769" s="14" t="s">
        <v>1421</v>
      </c>
      <c r="E769" s="15">
        <v>157895.71</v>
      </c>
      <c r="F769" s="16">
        <v>26801.16</v>
      </c>
      <c r="G769" s="16">
        <v>0</v>
      </c>
      <c r="H769" s="15">
        <v>184696.87</v>
      </c>
      <c r="I769" s="15">
        <v>76160.289999999994</v>
      </c>
      <c r="J769" s="16">
        <v>0</v>
      </c>
      <c r="K769" s="16">
        <v>0</v>
      </c>
      <c r="L769" s="15">
        <v>76160.289999999994</v>
      </c>
      <c r="M769" s="15">
        <v>234056</v>
      </c>
      <c r="N769" s="16">
        <v>26801.16</v>
      </c>
      <c r="O769" s="16">
        <v>0</v>
      </c>
      <c r="P769" s="15">
        <v>260857.15999999997</v>
      </c>
    </row>
    <row r="770" spans="1:16" x14ac:dyDescent="0.3">
      <c r="A770" s="3" t="s">
        <v>1422</v>
      </c>
      <c r="B770" s="1">
        <v>2</v>
      </c>
      <c r="C770" s="1">
        <v>1</v>
      </c>
      <c r="D770" s="3" t="s">
        <v>1423</v>
      </c>
      <c r="E770" s="13">
        <v>56690.31</v>
      </c>
      <c r="F770" s="12">
        <v>19673.11</v>
      </c>
      <c r="G770" s="12">
        <v>0</v>
      </c>
      <c r="H770" s="13">
        <v>76363.42</v>
      </c>
      <c r="I770" s="13">
        <v>28173.72</v>
      </c>
      <c r="J770" s="12">
        <v>0</v>
      </c>
      <c r="K770" s="12">
        <v>0</v>
      </c>
      <c r="L770" s="13">
        <v>28173.72</v>
      </c>
      <c r="M770" s="22">
        <v>84864.03</v>
      </c>
      <c r="N770" s="23">
        <v>19673.11</v>
      </c>
      <c r="O770" s="23">
        <v>0</v>
      </c>
      <c r="P770" s="22">
        <v>104537.14</v>
      </c>
    </row>
    <row r="771" spans="1:16" x14ac:dyDescent="0.3">
      <c r="A771" s="3" t="s">
        <v>1424</v>
      </c>
      <c r="B771" s="1">
        <v>2</v>
      </c>
      <c r="C771" s="1">
        <v>1</v>
      </c>
      <c r="D771" s="3" t="s">
        <v>1425</v>
      </c>
      <c r="E771" s="13">
        <v>31054.2</v>
      </c>
      <c r="F771" s="12">
        <v>0</v>
      </c>
      <c r="G771" s="12">
        <v>0</v>
      </c>
      <c r="H771" s="13">
        <v>31054.2</v>
      </c>
      <c r="I771" s="13">
        <v>14132.96</v>
      </c>
      <c r="J771" s="12">
        <v>0</v>
      </c>
      <c r="K771" s="12">
        <v>0</v>
      </c>
      <c r="L771" s="13">
        <v>14132.96</v>
      </c>
      <c r="M771" s="22">
        <v>45187.16</v>
      </c>
      <c r="N771" s="23">
        <v>0</v>
      </c>
      <c r="O771" s="23">
        <v>0</v>
      </c>
      <c r="P771" s="22">
        <v>45187.16</v>
      </c>
    </row>
    <row r="772" spans="1:16" x14ac:dyDescent="0.3">
      <c r="A772" s="3" t="s">
        <v>1426</v>
      </c>
      <c r="B772" s="1">
        <v>2</v>
      </c>
      <c r="C772" s="1">
        <v>1</v>
      </c>
      <c r="D772" s="3" t="s">
        <v>1427</v>
      </c>
      <c r="E772" s="13">
        <v>51489.55</v>
      </c>
      <c r="F772" s="12">
        <v>0</v>
      </c>
      <c r="G772" s="12">
        <v>0</v>
      </c>
      <c r="H772" s="13">
        <v>51489.55</v>
      </c>
      <c r="I772" s="13">
        <v>23553.93</v>
      </c>
      <c r="J772" s="12">
        <v>0</v>
      </c>
      <c r="K772" s="12">
        <v>0</v>
      </c>
      <c r="L772" s="13">
        <v>23553.93</v>
      </c>
      <c r="M772" s="22">
        <v>75043.48000000001</v>
      </c>
      <c r="N772" s="23">
        <v>0</v>
      </c>
      <c r="O772" s="23">
        <v>0</v>
      </c>
      <c r="P772" s="22">
        <v>75043.48000000001</v>
      </c>
    </row>
    <row r="773" spans="1:16" x14ac:dyDescent="0.3">
      <c r="A773" s="3" t="s">
        <v>1428</v>
      </c>
      <c r="B773" s="1">
        <v>2</v>
      </c>
      <c r="C773" s="1">
        <v>1</v>
      </c>
      <c r="D773" s="3" t="s">
        <v>1429</v>
      </c>
      <c r="E773" s="13">
        <v>18661.650000000001</v>
      </c>
      <c r="F773" s="12">
        <v>7128.05</v>
      </c>
      <c r="G773" s="12">
        <v>0</v>
      </c>
      <c r="H773" s="13">
        <v>25789.7</v>
      </c>
      <c r="I773" s="13">
        <v>10299.68</v>
      </c>
      <c r="J773" s="12">
        <v>0</v>
      </c>
      <c r="K773" s="12">
        <v>0</v>
      </c>
      <c r="L773" s="13">
        <v>10299.68</v>
      </c>
      <c r="M773" s="22">
        <v>28961.33</v>
      </c>
      <c r="N773" s="23">
        <v>7128.05</v>
      </c>
      <c r="O773" s="23">
        <v>0</v>
      </c>
      <c r="P773" s="22">
        <v>36089.380000000005</v>
      </c>
    </row>
    <row r="774" spans="1:16" x14ac:dyDescent="0.3">
      <c r="A774" s="3" t="s">
        <v>1430</v>
      </c>
      <c r="B774" s="2">
        <v>1</v>
      </c>
      <c r="C774" s="2">
        <v>0</v>
      </c>
      <c r="D774" s="14" t="s">
        <v>1431</v>
      </c>
      <c r="E774" s="15">
        <v>1244033.8500000001</v>
      </c>
      <c r="F774" s="16">
        <v>885338.7</v>
      </c>
      <c r="G774" s="16">
        <v>0</v>
      </c>
      <c r="H774" s="15">
        <v>2129372.5499999998</v>
      </c>
      <c r="I774" s="15">
        <v>2415091</v>
      </c>
      <c r="J774" s="16">
        <v>142388.01</v>
      </c>
      <c r="K774" s="16">
        <v>0</v>
      </c>
      <c r="L774" s="15">
        <v>2557479.0099999998</v>
      </c>
      <c r="M774" s="15">
        <v>3659124.85</v>
      </c>
      <c r="N774" s="16">
        <v>1027726.71</v>
      </c>
      <c r="O774" s="16">
        <v>0</v>
      </c>
      <c r="P774" s="15">
        <v>4686851.5599999996</v>
      </c>
    </row>
    <row r="775" spans="1:16" x14ac:dyDescent="0.3">
      <c r="A775" s="3" t="s">
        <v>1432</v>
      </c>
      <c r="B775" s="1">
        <v>2</v>
      </c>
      <c r="C775" s="1">
        <v>1</v>
      </c>
      <c r="D775" s="3" t="s">
        <v>1433</v>
      </c>
      <c r="E775" s="13">
        <v>455845.96</v>
      </c>
      <c r="F775" s="12">
        <v>462818.66</v>
      </c>
      <c r="G775" s="12">
        <v>0</v>
      </c>
      <c r="H775" s="13">
        <v>918664.62</v>
      </c>
      <c r="I775" s="13">
        <v>1204290.3400000001</v>
      </c>
      <c r="J775" s="12">
        <v>0</v>
      </c>
      <c r="K775" s="12">
        <v>0</v>
      </c>
      <c r="L775" s="13">
        <v>1204290.3400000001</v>
      </c>
      <c r="M775" s="22">
        <v>1660136.3</v>
      </c>
      <c r="N775" s="23">
        <v>462818.66</v>
      </c>
      <c r="O775" s="23">
        <v>0</v>
      </c>
      <c r="P775" s="22">
        <v>2122954.96</v>
      </c>
    </row>
    <row r="776" spans="1:16" x14ac:dyDescent="0.3">
      <c r="A776" s="3" t="s">
        <v>1434</v>
      </c>
      <c r="B776" s="1">
        <v>2</v>
      </c>
      <c r="C776" s="1">
        <v>1</v>
      </c>
      <c r="D776" s="3" t="s">
        <v>1435</v>
      </c>
      <c r="E776" s="13">
        <v>0</v>
      </c>
      <c r="F776" s="12">
        <v>0</v>
      </c>
      <c r="G776" s="12">
        <v>0</v>
      </c>
      <c r="H776" s="13">
        <v>0</v>
      </c>
      <c r="I776" s="13">
        <v>410107.67</v>
      </c>
      <c r="J776" s="12">
        <v>112701.28</v>
      </c>
      <c r="K776" s="12">
        <v>0</v>
      </c>
      <c r="L776" s="13">
        <v>522808.95</v>
      </c>
      <c r="M776" s="22">
        <v>410107.67</v>
      </c>
      <c r="N776" s="23">
        <v>112701.28</v>
      </c>
      <c r="O776" s="23">
        <v>0</v>
      </c>
      <c r="P776" s="22">
        <v>522808.95</v>
      </c>
    </row>
    <row r="777" spans="1:16" x14ac:dyDescent="0.3">
      <c r="A777" s="3" t="s">
        <v>1436</v>
      </c>
      <c r="B777" s="1">
        <v>2</v>
      </c>
      <c r="C777" s="1">
        <v>1</v>
      </c>
      <c r="D777" s="3" t="s">
        <v>1437</v>
      </c>
      <c r="E777" s="13">
        <v>102000</v>
      </c>
      <c r="F777" s="12">
        <v>51000</v>
      </c>
      <c r="G777" s="12">
        <v>0</v>
      </c>
      <c r="H777" s="13">
        <v>153000</v>
      </c>
      <c r="I777" s="13">
        <v>128795</v>
      </c>
      <c r="J777" s="12">
        <v>0</v>
      </c>
      <c r="K777" s="12">
        <v>0</v>
      </c>
      <c r="L777" s="13">
        <v>128795</v>
      </c>
      <c r="M777" s="22">
        <v>230795</v>
      </c>
      <c r="N777" s="23">
        <v>51000</v>
      </c>
      <c r="O777" s="23">
        <v>0</v>
      </c>
      <c r="P777" s="22">
        <v>281795</v>
      </c>
    </row>
    <row r="778" spans="1:16" x14ac:dyDescent="0.3">
      <c r="A778" s="3" t="s">
        <v>1438</v>
      </c>
      <c r="B778" s="1">
        <v>2</v>
      </c>
      <c r="C778" s="1">
        <v>1</v>
      </c>
      <c r="D778" s="3" t="s">
        <v>1439</v>
      </c>
      <c r="E778" s="13">
        <v>212149.81</v>
      </c>
      <c r="F778" s="12">
        <v>25011.119999999999</v>
      </c>
      <c r="G778" s="12">
        <v>0</v>
      </c>
      <c r="H778" s="13">
        <v>237160.93</v>
      </c>
      <c r="I778" s="13">
        <v>67088.33</v>
      </c>
      <c r="J778" s="12">
        <v>7311.7</v>
      </c>
      <c r="K778" s="12">
        <v>0</v>
      </c>
      <c r="L778" s="13">
        <v>74400.03</v>
      </c>
      <c r="M778" s="22">
        <v>279238.14</v>
      </c>
      <c r="N778" s="23">
        <v>32322.82</v>
      </c>
      <c r="O778" s="23">
        <v>0</v>
      </c>
      <c r="P778" s="22">
        <v>311560.95999999996</v>
      </c>
    </row>
    <row r="779" spans="1:16" x14ac:dyDescent="0.3">
      <c r="A779" s="3" t="s">
        <v>1440</v>
      </c>
      <c r="B779" s="1">
        <v>2</v>
      </c>
      <c r="C779" s="1">
        <v>1</v>
      </c>
      <c r="D779" s="3" t="s">
        <v>1441</v>
      </c>
      <c r="E779" s="13">
        <v>50000</v>
      </c>
      <c r="F779" s="12">
        <v>50000</v>
      </c>
      <c r="G779" s="12">
        <v>0</v>
      </c>
      <c r="H779" s="13">
        <v>100000</v>
      </c>
      <c r="I779" s="13">
        <v>25000</v>
      </c>
      <c r="J779" s="12">
        <v>0</v>
      </c>
      <c r="K779" s="12">
        <v>0</v>
      </c>
      <c r="L779" s="13">
        <v>25000</v>
      </c>
      <c r="M779" s="22">
        <v>75000</v>
      </c>
      <c r="N779" s="23">
        <v>50000</v>
      </c>
      <c r="O779" s="23">
        <v>0</v>
      </c>
      <c r="P779" s="22">
        <v>125000</v>
      </c>
    </row>
    <row r="780" spans="1:16" x14ac:dyDescent="0.3">
      <c r="A780" s="3" t="s">
        <v>1442</v>
      </c>
      <c r="B780" s="1">
        <v>2</v>
      </c>
      <c r="C780" s="1">
        <v>0</v>
      </c>
      <c r="D780" s="3" t="s">
        <v>1443</v>
      </c>
      <c r="E780" s="13">
        <v>194205.14</v>
      </c>
      <c r="F780" s="12">
        <v>164185.65</v>
      </c>
      <c r="G780" s="12">
        <v>0</v>
      </c>
      <c r="H780" s="13">
        <v>358390.79</v>
      </c>
      <c r="I780" s="13">
        <v>463081.2</v>
      </c>
      <c r="J780" s="12">
        <v>19186.91</v>
      </c>
      <c r="K780" s="12">
        <v>0</v>
      </c>
      <c r="L780" s="13">
        <v>482268.11</v>
      </c>
      <c r="M780" s="22">
        <v>657286.34000000008</v>
      </c>
      <c r="N780" s="23">
        <v>183372.56</v>
      </c>
      <c r="O780" s="23">
        <v>0</v>
      </c>
      <c r="P780" s="22">
        <v>840658.89999999991</v>
      </c>
    </row>
    <row r="781" spans="1:16" x14ac:dyDescent="0.3">
      <c r="A781" s="3" t="s">
        <v>1444</v>
      </c>
      <c r="B781" s="1">
        <v>2</v>
      </c>
      <c r="C781" s="1">
        <v>1</v>
      </c>
      <c r="D781" s="3" t="s">
        <v>1445</v>
      </c>
      <c r="E781" s="13">
        <v>144952.15</v>
      </c>
      <c r="F781" s="12">
        <v>21949.57</v>
      </c>
      <c r="G781" s="12">
        <v>0</v>
      </c>
      <c r="H781" s="13">
        <v>166901.72</v>
      </c>
      <c r="I781" s="13">
        <v>75926.240000000005</v>
      </c>
      <c r="J781" s="12">
        <v>14316.91</v>
      </c>
      <c r="K781" s="12">
        <v>0</v>
      </c>
      <c r="L781" s="13">
        <v>90243.15</v>
      </c>
      <c r="M781" s="22">
        <v>220878.39</v>
      </c>
      <c r="N781" s="23">
        <v>36266.479999999996</v>
      </c>
      <c r="O781" s="23">
        <v>0</v>
      </c>
      <c r="P781" s="22">
        <v>257144.87</v>
      </c>
    </row>
    <row r="782" spans="1:16" x14ac:dyDescent="0.3">
      <c r="A782" s="3" t="s">
        <v>1446</v>
      </c>
      <c r="B782" s="1">
        <v>2</v>
      </c>
      <c r="C782" s="1">
        <v>1</v>
      </c>
      <c r="D782" s="3" t="s">
        <v>1447</v>
      </c>
      <c r="E782" s="13">
        <v>6950</v>
      </c>
      <c r="F782" s="12">
        <v>0</v>
      </c>
      <c r="G782" s="12">
        <v>0</v>
      </c>
      <c r="H782" s="13">
        <v>6950</v>
      </c>
      <c r="I782" s="13">
        <v>205626.58</v>
      </c>
      <c r="J782" s="12">
        <v>1370</v>
      </c>
      <c r="K782" s="12">
        <v>0</v>
      </c>
      <c r="L782" s="13">
        <v>206996.58</v>
      </c>
      <c r="M782" s="22">
        <v>212576.58</v>
      </c>
      <c r="N782" s="23">
        <v>1370</v>
      </c>
      <c r="O782" s="23">
        <v>0</v>
      </c>
      <c r="P782" s="22">
        <v>213946.58</v>
      </c>
    </row>
    <row r="783" spans="1:16" x14ac:dyDescent="0.3">
      <c r="A783" s="3" t="s">
        <v>1448</v>
      </c>
      <c r="B783" s="1">
        <v>2</v>
      </c>
      <c r="C783" s="1">
        <v>1</v>
      </c>
      <c r="D783" s="3" t="s">
        <v>1449</v>
      </c>
      <c r="E783" s="13">
        <v>20329.32</v>
      </c>
      <c r="F783" s="12">
        <v>130990.45</v>
      </c>
      <c r="G783" s="12">
        <v>0</v>
      </c>
      <c r="H783" s="13">
        <v>151319.76999999999</v>
      </c>
      <c r="I783" s="13">
        <v>108651.14</v>
      </c>
      <c r="J783" s="12">
        <v>3500</v>
      </c>
      <c r="K783" s="12">
        <v>0</v>
      </c>
      <c r="L783" s="13">
        <v>112151.14</v>
      </c>
      <c r="M783" s="22">
        <v>128980.45999999999</v>
      </c>
      <c r="N783" s="23">
        <v>134490.45000000001</v>
      </c>
      <c r="O783" s="23">
        <v>0</v>
      </c>
      <c r="P783" s="22">
        <v>263470.90999999997</v>
      </c>
    </row>
    <row r="784" spans="1:16" x14ac:dyDescent="0.3">
      <c r="A784" s="3" t="s">
        <v>1450</v>
      </c>
      <c r="B784" s="1">
        <v>2</v>
      </c>
      <c r="C784" s="1">
        <v>1</v>
      </c>
      <c r="D784" s="3" t="s">
        <v>1451</v>
      </c>
      <c r="E784" s="13">
        <v>21973.67</v>
      </c>
      <c r="F784" s="12">
        <v>11245.63</v>
      </c>
      <c r="G784" s="12">
        <v>0</v>
      </c>
      <c r="H784" s="13">
        <v>33219.300000000003</v>
      </c>
      <c r="I784" s="13">
        <v>72877.240000000005</v>
      </c>
      <c r="J784" s="12">
        <v>0</v>
      </c>
      <c r="K784" s="12">
        <v>0</v>
      </c>
      <c r="L784" s="13">
        <v>72877.240000000005</v>
      </c>
      <c r="M784" s="22">
        <v>94850.91</v>
      </c>
      <c r="N784" s="23">
        <v>11245.63</v>
      </c>
      <c r="O784" s="23">
        <v>0</v>
      </c>
      <c r="P784" s="22">
        <v>106096.54000000001</v>
      </c>
    </row>
    <row r="785" spans="1:16" x14ac:dyDescent="0.3">
      <c r="A785" s="3" t="s">
        <v>1452</v>
      </c>
      <c r="B785" s="1">
        <v>2</v>
      </c>
      <c r="C785" s="1">
        <v>1</v>
      </c>
      <c r="D785" s="3" t="s">
        <v>1453</v>
      </c>
      <c r="E785" s="13">
        <v>7319.05</v>
      </c>
      <c r="F785" s="12">
        <v>3632.28</v>
      </c>
      <c r="G785" s="12">
        <v>0</v>
      </c>
      <c r="H785" s="13">
        <v>10951.33</v>
      </c>
      <c r="I785" s="13">
        <v>2052.4899999999998</v>
      </c>
      <c r="J785" s="12">
        <v>0</v>
      </c>
      <c r="K785" s="12">
        <v>0</v>
      </c>
      <c r="L785" s="13">
        <v>2052.4899999999998</v>
      </c>
      <c r="M785" s="22">
        <v>9371.5400000000009</v>
      </c>
      <c r="N785" s="23">
        <v>3632.28</v>
      </c>
      <c r="O785" s="23">
        <v>0</v>
      </c>
      <c r="P785" s="22">
        <v>13003.82</v>
      </c>
    </row>
    <row r="786" spans="1:16" x14ac:dyDescent="0.3">
      <c r="A786" s="3" t="s">
        <v>1454</v>
      </c>
      <c r="B786" s="1">
        <v>2</v>
      </c>
      <c r="C786" s="1">
        <v>1</v>
      </c>
      <c r="D786" s="3" t="s">
        <v>1455</v>
      </c>
      <c r="E786" s="13">
        <v>50063.53</v>
      </c>
      <c r="F786" s="12">
        <v>58424.29</v>
      </c>
      <c r="G786" s="12">
        <v>0</v>
      </c>
      <c r="H786" s="13">
        <v>108487.82</v>
      </c>
      <c r="I786" s="13">
        <v>23659.01</v>
      </c>
      <c r="J786" s="12">
        <v>0</v>
      </c>
      <c r="K786" s="12">
        <v>0</v>
      </c>
      <c r="L786" s="13">
        <v>23659.01</v>
      </c>
      <c r="M786" s="22">
        <v>73722.539999999994</v>
      </c>
      <c r="N786" s="23">
        <v>58424.29</v>
      </c>
      <c r="O786" s="23">
        <v>0</v>
      </c>
      <c r="P786" s="22">
        <v>132146.83000000002</v>
      </c>
    </row>
    <row r="787" spans="1:16" x14ac:dyDescent="0.3">
      <c r="A787" s="3" t="s">
        <v>1456</v>
      </c>
      <c r="B787" s="1">
        <v>2</v>
      </c>
      <c r="C787" s="1">
        <v>1</v>
      </c>
      <c r="D787" s="3" t="s">
        <v>1457</v>
      </c>
      <c r="E787" s="13">
        <v>156188.12</v>
      </c>
      <c r="F787" s="12">
        <v>50356.7</v>
      </c>
      <c r="G787" s="12">
        <v>0</v>
      </c>
      <c r="H787" s="13">
        <v>206544.82</v>
      </c>
      <c r="I787" s="13">
        <v>91016.960000000006</v>
      </c>
      <c r="J787" s="12">
        <v>3188.12</v>
      </c>
      <c r="K787" s="12">
        <v>0</v>
      </c>
      <c r="L787" s="13">
        <v>94205.08</v>
      </c>
      <c r="M787" s="22">
        <v>247205.08000000002</v>
      </c>
      <c r="N787" s="23">
        <v>53544.82</v>
      </c>
      <c r="O787" s="23">
        <v>0</v>
      </c>
      <c r="P787" s="22">
        <v>300749.90000000002</v>
      </c>
    </row>
    <row r="788" spans="1:16" x14ac:dyDescent="0.3">
      <c r="A788" s="3" t="s">
        <v>1458</v>
      </c>
      <c r="B788" s="1">
        <v>2</v>
      </c>
      <c r="C788" s="1">
        <v>1</v>
      </c>
      <c r="D788" s="3" t="s">
        <v>1459</v>
      </c>
      <c r="E788" s="13">
        <v>4762.24</v>
      </c>
      <c r="F788" s="12">
        <v>8410</v>
      </c>
      <c r="G788" s="12">
        <v>0</v>
      </c>
      <c r="H788" s="13">
        <v>13172.24</v>
      </c>
      <c r="I788" s="13">
        <v>0</v>
      </c>
      <c r="J788" s="12">
        <v>0</v>
      </c>
      <c r="K788" s="12">
        <v>0</v>
      </c>
      <c r="L788" s="13">
        <v>0</v>
      </c>
      <c r="M788" s="22">
        <v>4762.24</v>
      </c>
      <c r="N788" s="23">
        <v>8410</v>
      </c>
      <c r="O788" s="23">
        <v>0</v>
      </c>
      <c r="P788" s="22">
        <v>13172.24</v>
      </c>
    </row>
    <row r="789" spans="1:16" x14ac:dyDescent="0.3">
      <c r="A789" s="3" t="s">
        <v>1460</v>
      </c>
      <c r="B789" s="1">
        <v>2</v>
      </c>
      <c r="C789" s="1">
        <v>1</v>
      </c>
      <c r="D789" s="3" t="s">
        <v>1461</v>
      </c>
      <c r="E789" s="13">
        <v>11500</v>
      </c>
      <c r="F789" s="12">
        <v>11500</v>
      </c>
      <c r="G789" s="12">
        <v>0</v>
      </c>
      <c r="H789" s="13">
        <v>23000</v>
      </c>
      <c r="I789" s="13">
        <v>0</v>
      </c>
      <c r="J789" s="12">
        <v>0</v>
      </c>
      <c r="K789" s="12">
        <v>0</v>
      </c>
      <c r="L789" s="13">
        <v>0</v>
      </c>
      <c r="M789" s="22">
        <v>11500</v>
      </c>
      <c r="N789" s="23">
        <v>11500</v>
      </c>
      <c r="O789" s="23">
        <v>0</v>
      </c>
      <c r="P789" s="22">
        <v>23000</v>
      </c>
    </row>
    <row r="790" spans="1:16" x14ac:dyDescent="0.3">
      <c r="A790" s="3" t="s">
        <v>1462</v>
      </c>
      <c r="B790" s="2">
        <v>1</v>
      </c>
      <c r="C790" s="2">
        <v>0</v>
      </c>
      <c r="D790" s="14" t="s">
        <v>1463</v>
      </c>
      <c r="E790" s="15">
        <v>405780.18</v>
      </c>
      <c r="F790" s="16">
        <v>210215.94</v>
      </c>
      <c r="G790" s="16">
        <v>0</v>
      </c>
      <c r="H790" s="15">
        <v>615996.12</v>
      </c>
      <c r="I790" s="15">
        <v>9695.85</v>
      </c>
      <c r="J790" s="16">
        <v>0</v>
      </c>
      <c r="K790" s="16">
        <v>0</v>
      </c>
      <c r="L790" s="15">
        <v>9695.85</v>
      </c>
      <c r="M790" s="15">
        <v>415476.02999999997</v>
      </c>
      <c r="N790" s="16">
        <v>210215.94</v>
      </c>
      <c r="O790" s="16">
        <v>0</v>
      </c>
      <c r="P790" s="15">
        <v>625691.97</v>
      </c>
    </row>
    <row r="791" spans="1:16" x14ac:dyDescent="0.3">
      <c r="A791" s="3" t="s">
        <v>1464</v>
      </c>
      <c r="B791" s="1">
        <v>2</v>
      </c>
      <c r="C791" s="1">
        <v>1</v>
      </c>
      <c r="D791" s="3" t="s">
        <v>1465</v>
      </c>
      <c r="E791" s="13">
        <v>177625.86</v>
      </c>
      <c r="F791" s="12">
        <v>92212.5</v>
      </c>
      <c r="G791" s="12">
        <v>0</v>
      </c>
      <c r="H791" s="13">
        <v>269838.36</v>
      </c>
      <c r="I791" s="13">
        <v>5008.24</v>
      </c>
      <c r="J791" s="12">
        <v>0</v>
      </c>
      <c r="K791" s="12">
        <v>0</v>
      </c>
      <c r="L791" s="13">
        <v>5008.24</v>
      </c>
      <c r="M791" s="22">
        <v>182634.09999999998</v>
      </c>
      <c r="N791" s="23">
        <v>92212.5</v>
      </c>
      <c r="O791" s="23">
        <v>0</v>
      </c>
      <c r="P791" s="22">
        <v>274846.59999999998</v>
      </c>
    </row>
    <row r="792" spans="1:16" x14ac:dyDescent="0.3">
      <c r="A792" s="3" t="s">
        <v>1466</v>
      </c>
      <c r="B792" s="1">
        <v>2</v>
      </c>
      <c r="C792" s="1">
        <v>1</v>
      </c>
      <c r="D792" s="3" t="s">
        <v>1467</v>
      </c>
      <c r="E792" s="13">
        <v>4911.62</v>
      </c>
      <c r="F792" s="12">
        <v>1514.42</v>
      </c>
      <c r="G792" s="12">
        <v>0</v>
      </c>
      <c r="H792" s="13">
        <v>6426.04</v>
      </c>
      <c r="I792" s="13">
        <v>0</v>
      </c>
      <c r="J792" s="12">
        <v>0</v>
      </c>
      <c r="K792" s="12">
        <v>0</v>
      </c>
      <c r="L792" s="13">
        <v>0</v>
      </c>
      <c r="M792" s="22">
        <v>4911.62</v>
      </c>
      <c r="N792" s="23">
        <v>1514.42</v>
      </c>
      <c r="O792" s="23">
        <v>0</v>
      </c>
      <c r="P792" s="22">
        <v>6426.04</v>
      </c>
    </row>
    <row r="793" spans="1:16" x14ac:dyDescent="0.3">
      <c r="A793" s="3" t="s">
        <v>1468</v>
      </c>
      <c r="B793" s="1">
        <v>2</v>
      </c>
      <c r="C793" s="1">
        <v>1</v>
      </c>
      <c r="D793" s="3" t="s">
        <v>1469</v>
      </c>
      <c r="E793" s="13">
        <v>21757.4</v>
      </c>
      <c r="F793" s="12">
        <v>10912.6</v>
      </c>
      <c r="G793" s="12">
        <v>0</v>
      </c>
      <c r="H793" s="13">
        <v>32670</v>
      </c>
      <c r="I793" s="13">
        <v>584.29999999999995</v>
      </c>
      <c r="J793" s="12">
        <v>0</v>
      </c>
      <c r="K793" s="12">
        <v>0</v>
      </c>
      <c r="L793" s="13">
        <v>584.29999999999995</v>
      </c>
      <c r="M793" s="22">
        <v>22341.7</v>
      </c>
      <c r="N793" s="23">
        <v>10912.6</v>
      </c>
      <c r="O793" s="23">
        <v>0</v>
      </c>
      <c r="P793" s="22">
        <v>33254.300000000003</v>
      </c>
    </row>
    <row r="794" spans="1:16" x14ac:dyDescent="0.3">
      <c r="A794" s="3" t="s">
        <v>1470</v>
      </c>
      <c r="B794" s="1">
        <v>2</v>
      </c>
      <c r="C794" s="1">
        <v>1</v>
      </c>
      <c r="D794" s="3" t="s">
        <v>1471</v>
      </c>
      <c r="E794" s="13">
        <v>21757.4</v>
      </c>
      <c r="F794" s="12">
        <v>10912.6</v>
      </c>
      <c r="G794" s="12">
        <v>0</v>
      </c>
      <c r="H794" s="13">
        <v>32670</v>
      </c>
      <c r="I794" s="13">
        <v>584.29999999999995</v>
      </c>
      <c r="J794" s="12">
        <v>0</v>
      </c>
      <c r="K794" s="12">
        <v>0</v>
      </c>
      <c r="L794" s="13">
        <v>584.29999999999995</v>
      </c>
      <c r="M794" s="22">
        <v>22341.7</v>
      </c>
      <c r="N794" s="23">
        <v>10912.6</v>
      </c>
      <c r="O794" s="23">
        <v>0</v>
      </c>
      <c r="P794" s="22">
        <v>33254.300000000003</v>
      </c>
    </row>
    <row r="795" spans="1:16" x14ac:dyDescent="0.3">
      <c r="A795" s="3" t="s">
        <v>1472</v>
      </c>
      <c r="B795" s="1">
        <v>2</v>
      </c>
      <c r="C795" s="1">
        <v>1</v>
      </c>
      <c r="D795" s="3" t="s">
        <v>1473</v>
      </c>
      <c r="E795" s="13">
        <v>8866.3799999999992</v>
      </c>
      <c r="F795" s="12">
        <v>1324.2</v>
      </c>
      <c r="G795" s="12">
        <v>0</v>
      </c>
      <c r="H795" s="13">
        <v>10190.58</v>
      </c>
      <c r="I795" s="13">
        <v>0</v>
      </c>
      <c r="J795" s="12">
        <v>0</v>
      </c>
      <c r="K795" s="12">
        <v>0</v>
      </c>
      <c r="L795" s="13">
        <v>0</v>
      </c>
      <c r="M795" s="22">
        <v>8866.3799999999992</v>
      </c>
      <c r="N795" s="23">
        <v>1324.2</v>
      </c>
      <c r="O795" s="23">
        <v>0</v>
      </c>
      <c r="P795" s="22">
        <v>10190.58</v>
      </c>
    </row>
    <row r="796" spans="1:16" x14ac:dyDescent="0.3">
      <c r="A796" s="3" t="s">
        <v>1474</v>
      </c>
      <c r="B796" s="1">
        <v>2</v>
      </c>
      <c r="C796" s="1">
        <v>1</v>
      </c>
      <c r="D796" s="3" t="s">
        <v>1475</v>
      </c>
      <c r="E796" s="13">
        <v>16895.39</v>
      </c>
      <c r="F796" s="12">
        <v>4925.79</v>
      </c>
      <c r="G796" s="12">
        <v>0</v>
      </c>
      <c r="H796" s="13">
        <v>21821.18</v>
      </c>
      <c r="I796" s="13">
        <v>0</v>
      </c>
      <c r="J796" s="12">
        <v>0</v>
      </c>
      <c r="K796" s="12">
        <v>0</v>
      </c>
      <c r="L796" s="13">
        <v>0</v>
      </c>
      <c r="M796" s="22">
        <v>16895.39</v>
      </c>
      <c r="N796" s="23">
        <v>4925.79</v>
      </c>
      <c r="O796" s="23">
        <v>0</v>
      </c>
      <c r="P796" s="22">
        <v>21821.18</v>
      </c>
    </row>
    <row r="797" spans="1:16" x14ac:dyDescent="0.3">
      <c r="A797" s="3" t="s">
        <v>1476</v>
      </c>
      <c r="B797" s="1">
        <v>2</v>
      </c>
      <c r="C797" s="1">
        <v>1</v>
      </c>
      <c r="D797" s="3" t="s">
        <v>1477</v>
      </c>
      <c r="E797" s="13">
        <v>21757.4</v>
      </c>
      <c r="F797" s="12">
        <v>10912.6</v>
      </c>
      <c r="G797" s="12">
        <v>0</v>
      </c>
      <c r="H797" s="13">
        <v>32670</v>
      </c>
      <c r="I797" s="13">
        <v>584.29999999999995</v>
      </c>
      <c r="J797" s="12">
        <v>0</v>
      </c>
      <c r="K797" s="12">
        <v>0</v>
      </c>
      <c r="L797" s="13">
        <v>584.29999999999995</v>
      </c>
      <c r="M797" s="22">
        <v>22341.7</v>
      </c>
      <c r="N797" s="23">
        <v>10912.6</v>
      </c>
      <c r="O797" s="23">
        <v>0</v>
      </c>
      <c r="P797" s="22">
        <v>33254.300000000003</v>
      </c>
    </row>
    <row r="798" spans="1:16" x14ac:dyDescent="0.3">
      <c r="A798" s="3" t="s">
        <v>1478</v>
      </c>
      <c r="B798" s="1">
        <v>2</v>
      </c>
      <c r="C798" s="1">
        <v>1</v>
      </c>
      <c r="D798" s="3" t="s">
        <v>1479</v>
      </c>
      <c r="E798" s="13">
        <v>10878.7</v>
      </c>
      <c r="F798" s="12">
        <v>5456.3</v>
      </c>
      <c r="G798" s="12">
        <v>0</v>
      </c>
      <c r="H798" s="13">
        <v>16335</v>
      </c>
      <c r="I798" s="13">
        <v>0</v>
      </c>
      <c r="J798" s="12">
        <v>0</v>
      </c>
      <c r="K798" s="12">
        <v>0</v>
      </c>
      <c r="L798" s="13">
        <v>0</v>
      </c>
      <c r="M798" s="22">
        <v>10878.7</v>
      </c>
      <c r="N798" s="23">
        <v>5456.3</v>
      </c>
      <c r="O798" s="23">
        <v>0</v>
      </c>
      <c r="P798" s="22">
        <v>16335</v>
      </c>
    </row>
    <row r="799" spans="1:16" x14ac:dyDescent="0.3">
      <c r="A799" s="3" t="s">
        <v>1480</v>
      </c>
      <c r="B799" s="1">
        <v>2</v>
      </c>
      <c r="C799" s="1">
        <v>1</v>
      </c>
      <c r="D799" s="3" t="s">
        <v>1481</v>
      </c>
      <c r="E799" s="13">
        <v>31082.04</v>
      </c>
      <c r="F799" s="12">
        <v>15589.45</v>
      </c>
      <c r="G799" s="12">
        <v>0</v>
      </c>
      <c r="H799" s="13">
        <v>46671.49</v>
      </c>
      <c r="I799" s="13">
        <v>834.71</v>
      </c>
      <c r="J799" s="12">
        <v>0</v>
      </c>
      <c r="K799" s="12">
        <v>0</v>
      </c>
      <c r="L799" s="13">
        <v>834.71</v>
      </c>
      <c r="M799" s="22">
        <v>31916.75</v>
      </c>
      <c r="N799" s="23">
        <v>15589.45</v>
      </c>
      <c r="O799" s="23">
        <v>0</v>
      </c>
      <c r="P799" s="22">
        <v>47506.2</v>
      </c>
    </row>
    <row r="800" spans="1:16" x14ac:dyDescent="0.3">
      <c r="A800" s="3" t="s">
        <v>1482</v>
      </c>
      <c r="B800" s="1">
        <v>2</v>
      </c>
      <c r="C800" s="1">
        <v>1</v>
      </c>
      <c r="D800" s="3" t="s">
        <v>1483</v>
      </c>
      <c r="E800" s="13">
        <v>90247.99</v>
      </c>
      <c r="F800" s="12">
        <v>56455.48</v>
      </c>
      <c r="G800" s="12">
        <v>0</v>
      </c>
      <c r="H800" s="13">
        <v>146703.47</v>
      </c>
      <c r="I800" s="13">
        <v>0</v>
      </c>
      <c r="J800" s="12">
        <v>0</v>
      </c>
      <c r="K800" s="12">
        <v>0</v>
      </c>
      <c r="L800" s="13">
        <v>0</v>
      </c>
      <c r="M800" s="22">
        <v>90247.99</v>
      </c>
      <c r="N800" s="23">
        <v>56455.48</v>
      </c>
      <c r="O800" s="23">
        <v>0</v>
      </c>
      <c r="P800" s="22">
        <v>146703.47</v>
      </c>
    </row>
    <row r="801" spans="1:16" x14ac:dyDescent="0.3">
      <c r="A801" s="3" t="s">
        <v>1484</v>
      </c>
      <c r="B801" s="1">
        <v>2</v>
      </c>
      <c r="C801" s="1">
        <v>1</v>
      </c>
      <c r="D801" s="3" t="s">
        <v>1485</v>
      </c>
      <c r="E801" s="13">
        <v>0</v>
      </c>
      <c r="F801" s="12">
        <v>0</v>
      </c>
      <c r="G801" s="12">
        <v>0</v>
      </c>
      <c r="H801" s="13">
        <v>0</v>
      </c>
      <c r="I801" s="13">
        <v>2100</v>
      </c>
      <c r="J801" s="12">
        <v>0</v>
      </c>
      <c r="K801" s="12">
        <v>0</v>
      </c>
      <c r="L801" s="13">
        <v>2100</v>
      </c>
      <c r="M801" s="22">
        <v>2100</v>
      </c>
      <c r="N801" s="23">
        <v>0</v>
      </c>
      <c r="O801" s="23">
        <v>0</v>
      </c>
      <c r="P801" s="22">
        <v>2100</v>
      </c>
    </row>
    <row r="802" spans="1:16" x14ac:dyDescent="0.3">
      <c r="A802" s="3" t="s">
        <v>1486</v>
      </c>
      <c r="B802" s="2">
        <v>1</v>
      </c>
      <c r="C802" s="2">
        <v>0</v>
      </c>
      <c r="D802" s="14" t="s">
        <v>1487</v>
      </c>
      <c r="E802" s="15">
        <v>73627.13</v>
      </c>
      <c r="F802" s="16">
        <v>15519.1</v>
      </c>
      <c r="G802" s="16">
        <v>0</v>
      </c>
      <c r="H802" s="15">
        <v>89146.23</v>
      </c>
      <c r="I802" s="15">
        <v>3379.96</v>
      </c>
      <c r="J802" s="16">
        <v>0</v>
      </c>
      <c r="K802" s="16">
        <v>0</v>
      </c>
      <c r="L802" s="15">
        <v>3379.96</v>
      </c>
      <c r="M802" s="15">
        <v>77007.090000000011</v>
      </c>
      <c r="N802" s="16">
        <v>15519.1</v>
      </c>
      <c r="O802" s="16">
        <v>0</v>
      </c>
      <c r="P802" s="15">
        <v>92526.19</v>
      </c>
    </row>
    <row r="803" spans="1:16" x14ac:dyDescent="0.3">
      <c r="A803" s="3" t="s">
        <v>1488</v>
      </c>
      <c r="B803" s="1">
        <v>2</v>
      </c>
      <c r="C803" s="1">
        <v>1</v>
      </c>
      <c r="D803" s="3" t="s">
        <v>1489</v>
      </c>
      <c r="E803" s="13">
        <v>29238.2</v>
      </c>
      <c r="F803" s="12">
        <v>11054.12</v>
      </c>
      <c r="G803" s="12">
        <v>0</v>
      </c>
      <c r="H803" s="13">
        <v>40292.32</v>
      </c>
      <c r="I803" s="13">
        <v>954.76</v>
      </c>
      <c r="J803" s="12">
        <v>0</v>
      </c>
      <c r="K803" s="12">
        <v>0</v>
      </c>
      <c r="L803" s="13">
        <v>954.76</v>
      </c>
      <c r="M803" s="22">
        <v>30192.959999999999</v>
      </c>
      <c r="N803" s="23">
        <v>11054.12</v>
      </c>
      <c r="O803" s="23">
        <v>0</v>
      </c>
      <c r="P803" s="22">
        <v>41247.08</v>
      </c>
    </row>
    <row r="804" spans="1:16" x14ac:dyDescent="0.3">
      <c r="A804" s="3" t="s">
        <v>1490</v>
      </c>
      <c r="B804" s="1">
        <v>2</v>
      </c>
      <c r="C804" s="1">
        <v>1</v>
      </c>
      <c r="D804" s="3" t="s">
        <v>1491</v>
      </c>
      <c r="E804" s="13">
        <v>13823.58</v>
      </c>
      <c r="F804" s="12">
        <v>0</v>
      </c>
      <c r="G804" s="12">
        <v>0</v>
      </c>
      <c r="H804" s="13">
        <v>13823.58</v>
      </c>
      <c r="I804" s="13">
        <v>884.08</v>
      </c>
      <c r="J804" s="12">
        <v>0</v>
      </c>
      <c r="K804" s="12">
        <v>0</v>
      </c>
      <c r="L804" s="13">
        <v>884.08</v>
      </c>
      <c r="M804" s="22">
        <v>14707.66</v>
      </c>
      <c r="N804" s="23">
        <v>0</v>
      </c>
      <c r="O804" s="23">
        <v>0</v>
      </c>
      <c r="P804" s="22">
        <v>14707.66</v>
      </c>
    </row>
    <row r="805" spans="1:16" x14ac:dyDescent="0.3">
      <c r="A805" s="3" t="s">
        <v>1492</v>
      </c>
      <c r="B805" s="1">
        <v>2</v>
      </c>
      <c r="C805" s="1">
        <v>1</v>
      </c>
      <c r="D805" s="3" t="s">
        <v>1493</v>
      </c>
      <c r="E805" s="13">
        <v>21770.1</v>
      </c>
      <c r="F805" s="12">
        <v>0</v>
      </c>
      <c r="G805" s="12">
        <v>0</v>
      </c>
      <c r="H805" s="13">
        <v>21770.1</v>
      </c>
      <c r="I805" s="13">
        <v>1304.49</v>
      </c>
      <c r="J805" s="12">
        <v>0</v>
      </c>
      <c r="K805" s="12">
        <v>0</v>
      </c>
      <c r="L805" s="13">
        <v>1304.49</v>
      </c>
      <c r="M805" s="22">
        <v>23074.59</v>
      </c>
      <c r="N805" s="23">
        <v>0</v>
      </c>
      <c r="O805" s="23">
        <v>0</v>
      </c>
      <c r="P805" s="22">
        <v>23074.59</v>
      </c>
    </row>
    <row r="806" spans="1:16" x14ac:dyDescent="0.3">
      <c r="A806" s="3" t="s">
        <v>1494</v>
      </c>
      <c r="B806" s="1">
        <v>2</v>
      </c>
      <c r="C806" s="1">
        <v>1</v>
      </c>
      <c r="D806" s="3" t="s">
        <v>1495</v>
      </c>
      <c r="E806" s="13">
        <v>8795.25</v>
      </c>
      <c r="F806" s="12">
        <v>4464.9799999999996</v>
      </c>
      <c r="G806" s="12">
        <v>0</v>
      </c>
      <c r="H806" s="13">
        <v>13260.23</v>
      </c>
      <c r="I806" s="13">
        <v>236.63</v>
      </c>
      <c r="J806" s="12">
        <v>0</v>
      </c>
      <c r="K806" s="12">
        <v>0</v>
      </c>
      <c r="L806" s="13">
        <v>236.63</v>
      </c>
      <c r="M806" s="22">
        <v>9031.8799999999992</v>
      </c>
      <c r="N806" s="23">
        <v>4464.9799999999996</v>
      </c>
      <c r="O806" s="23">
        <v>0</v>
      </c>
      <c r="P806" s="22">
        <v>13496.859999999999</v>
      </c>
    </row>
    <row r="807" spans="1:16" x14ac:dyDescent="0.3">
      <c r="A807" s="3" t="s">
        <v>1496</v>
      </c>
      <c r="B807" s="2">
        <v>1</v>
      </c>
      <c r="C807" s="2">
        <v>0</v>
      </c>
      <c r="D807" s="14" t="s">
        <v>1497</v>
      </c>
      <c r="E807" s="15">
        <v>182581.3</v>
      </c>
      <c r="F807" s="16">
        <v>86955.7</v>
      </c>
      <c r="G807" s="16">
        <v>0</v>
      </c>
      <c r="H807" s="15">
        <v>269537</v>
      </c>
      <c r="I807" s="15">
        <v>2157</v>
      </c>
      <c r="J807" s="16">
        <v>2157</v>
      </c>
      <c r="K807" s="16">
        <v>0</v>
      </c>
      <c r="L807" s="15">
        <v>4314</v>
      </c>
      <c r="M807" s="15">
        <v>184738.3</v>
      </c>
      <c r="N807" s="16">
        <v>89112.7</v>
      </c>
      <c r="O807" s="16">
        <v>0</v>
      </c>
      <c r="P807" s="15">
        <v>273851</v>
      </c>
    </row>
    <row r="808" spans="1:16" x14ac:dyDescent="0.3">
      <c r="A808" s="3" t="s">
        <v>1498</v>
      </c>
      <c r="B808" s="1">
        <v>2</v>
      </c>
      <c r="C808" s="1">
        <v>1</v>
      </c>
      <c r="D808" s="3" t="s">
        <v>1499</v>
      </c>
      <c r="E808" s="13">
        <v>90343.23</v>
      </c>
      <c r="F808" s="12">
        <v>50918.91</v>
      </c>
      <c r="G808" s="12">
        <v>0</v>
      </c>
      <c r="H808" s="13">
        <v>141262.14000000001</v>
      </c>
      <c r="I808" s="13">
        <v>0</v>
      </c>
      <c r="J808" s="12">
        <v>0</v>
      </c>
      <c r="K808" s="12">
        <v>0</v>
      </c>
      <c r="L808" s="13">
        <v>0</v>
      </c>
      <c r="M808" s="22">
        <v>90343.23</v>
      </c>
      <c r="N808" s="23">
        <v>50918.91</v>
      </c>
      <c r="O808" s="23">
        <v>0</v>
      </c>
      <c r="P808" s="22">
        <v>141262.14000000001</v>
      </c>
    </row>
    <row r="809" spans="1:16" x14ac:dyDescent="0.3">
      <c r="A809" s="3" t="s">
        <v>1500</v>
      </c>
      <c r="B809" s="1">
        <v>2</v>
      </c>
      <c r="C809" s="1">
        <v>1</v>
      </c>
      <c r="D809" s="3" t="s">
        <v>1501</v>
      </c>
      <c r="E809" s="13">
        <v>8854.84</v>
      </c>
      <c r="F809" s="12">
        <v>3155.54</v>
      </c>
      <c r="G809" s="12">
        <v>0</v>
      </c>
      <c r="H809" s="13">
        <v>12010.38</v>
      </c>
      <c r="I809" s="13">
        <v>0</v>
      </c>
      <c r="J809" s="12">
        <v>0</v>
      </c>
      <c r="K809" s="12">
        <v>0</v>
      </c>
      <c r="L809" s="13">
        <v>0</v>
      </c>
      <c r="M809" s="22">
        <v>8854.84</v>
      </c>
      <c r="N809" s="23">
        <v>3155.54</v>
      </c>
      <c r="O809" s="23">
        <v>0</v>
      </c>
      <c r="P809" s="22">
        <v>12010.38</v>
      </c>
    </row>
    <row r="810" spans="1:16" x14ac:dyDescent="0.3">
      <c r="A810" s="3" t="s">
        <v>1502</v>
      </c>
      <c r="B810" s="1">
        <v>2</v>
      </c>
      <c r="C810" s="1">
        <v>1</v>
      </c>
      <c r="D810" s="3" t="s">
        <v>1503</v>
      </c>
      <c r="E810" s="13">
        <v>11340.77</v>
      </c>
      <c r="F810" s="12">
        <v>6000.6</v>
      </c>
      <c r="G810" s="12">
        <v>0</v>
      </c>
      <c r="H810" s="13">
        <v>17341.37</v>
      </c>
      <c r="I810" s="13">
        <v>0</v>
      </c>
      <c r="J810" s="12">
        <v>0</v>
      </c>
      <c r="K810" s="12">
        <v>0</v>
      </c>
      <c r="L810" s="13">
        <v>0</v>
      </c>
      <c r="M810" s="22">
        <v>11340.77</v>
      </c>
      <c r="N810" s="23">
        <v>6000.6</v>
      </c>
      <c r="O810" s="23">
        <v>0</v>
      </c>
      <c r="P810" s="22">
        <v>17341.37</v>
      </c>
    </row>
    <row r="811" spans="1:16" x14ac:dyDescent="0.3">
      <c r="A811" s="3" t="s">
        <v>1504</v>
      </c>
      <c r="B811" s="1">
        <v>2</v>
      </c>
      <c r="C811" s="1">
        <v>1</v>
      </c>
      <c r="D811" s="3" t="s">
        <v>1505</v>
      </c>
      <c r="E811" s="13">
        <v>11340.77</v>
      </c>
      <c r="F811" s="12">
        <v>6000.6</v>
      </c>
      <c r="G811" s="12">
        <v>0</v>
      </c>
      <c r="H811" s="13">
        <v>17341.37</v>
      </c>
      <c r="I811" s="13">
        <v>0</v>
      </c>
      <c r="J811" s="12">
        <v>0</v>
      </c>
      <c r="K811" s="12">
        <v>0</v>
      </c>
      <c r="L811" s="13">
        <v>0</v>
      </c>
      <c r="M811" s="22">
        <v>11340.77</v>
      </c>
      <c r="N811" s="23">
        <v>6000.6</v>
      </c>
      <c r="O811" s="23">
        <v>0</v>
      </c>
      <c r="P811" s="22">
        <v>17341.37</v>
      </c>
    </row>
    <row r="812" spans="1:16" x14ac:dyDescent="0.3">
      <c r="A812" s="3" t="s">
        <v>1506</v>
      </c>
      <c r="B812" s="1">
        <v>2</v>
      </c>
      <c r="C812" s="1">
        <v>1</v>
      </c>
      <c r="D812" s="3" t="s">
        <v>1507</v>
      </c>
      <c r="E812" s="13">
        <v>6857.88</v>
      </c>
      <c r="F812" s="12">
        <v>515.19000000000005</v>
      </c>
      <c r="G812" s="12">
        <v>0</v>
      </c>
      <c r="H812" s="13">
        <v>7373.07</v>
      </c>
      <c r="I812" s="13">
        <v>0</v>
      </c>
      <c r="J812" s="12">
        <v>0</v>
      </c>
      <c r="K812" s="12">
        <v>0</v>
      </c>
      <c r="L812" s="13">
        <v>0</v>
      </c>
      <c r="M812" s="22">
        <v>6857.88</v>
      </c>
      <c r="N812" s="23">
        <v>515.19000000000005</v>
      </c>
      <c r="O812" s="23">
        <v>0</v>
      </c>
      <c r="P812" s="22">
        <v>7373.07</v>
      </c>
    </row>
    <row r="813" spans="1:16" x14ac:dyDescent="0.3">
      <c r="A813" s="3" t="s">
        <v>1508</v>
      </c>
      <c r="B813" s="1">
        <v>2</v>
      </c>
      <c r="C813" s="1">
        <v>1</v>
      </c>
      <c r="D813" s="3" t="s">
        <v>1509</v>
      </c>
      <c r="E813" s="13">
        <v>3078.41</v>
      </c>
      <c r="F813" s="12">
        <v>0</v>
      </c>
      <c r="G813" s="12">
        <v>0</v>
      </c>
      <c r="H813" s="13">
        <v>3078.41</v>
      </c>
      <c r="I813" s="13">
        <v>0</v>
      </c>
      <c r="J813" s="12">
        <v>0</v>
      </c>
      <c r="K813" s="12">
        <v>0</v>
      </c>
      <c r="L813" s="13">
        <v>0</v>
      </c>
      <c r="M813" s="22">
        <v>3078.41</v>
      </c>
      <c r="N813" s="23">
        <v>0</v>
      </c>
      <c r="O813" s="23">
        <v>0</v>
      </c>
      <c r="P813" s="22">
        <v>3078.41</v>
      </c>
    </row>
    <row r="814" spans="1:16" x14ac:dyDescent="0.3">
      <c r="A814" s="3" t="s">
        <v>1510</v>
      </c>
      <c r="B814" s="1">
        <v>2</v>
      </c>
      <c r="C814" s="1">
        <v>1</v>
      </c>
      <c r="D814" s="3" t="s">
        <v>1511</v>
      </c>
      <c r="E814" s="13">
        <v>8994.74</v>
      </c>
      <c r="F814" s="12">
        <v>2791.56</v>
      </c>
      <c r="G814" s="12">
        <v>0</v>
      </c>
      <c r="H814" s="13">
        <v>11786.3</v>
      </c>
      <c r="I814" s="13">
        <v>0</v>
      </c>
      <c r="J814" s="12">
        <v>0</v>
      </c>
      <c r="K814" s="12">
        <v>0</v>
      </c>
      <c r="L814" s="13">
        <v>0</v>
      </c>
      <c r="M814" s="22">
        <v>8994.74</v>
      </c>
      <c r="N814" s="23">
        <v>2791.56</v>
      </c>
      <c r="O814" s="23">
        <v>0</v>
      </c>
      <c r="P814" s="22">
        <v>11786.3</v>
      </c>
    </row>
    <row r="815" spans="1:16" x14ac:dyDescent="0.3">
      <c r="A815" s="3" t="s">
        <v>1512</v>
      </c>
      <c r="B815" s="1">
        <v>2</v>
      </c>
      <c r="C815" s="1">
        <v>1</v>
      </c>
      <c r="D815" s="3" t="s">
        <v>1513</v>
      </c>
      <c r="E815" s="13">
        <v>11340.77</v>
      </c>
      <c r="F815" s="12">
        <v>6000.6</v>
      </c>
      <c r="G815" s="12">
        <v>0</v>
      </c>
      <c r="H815" s="13">
        <v>17341.37</v>
      </c>
      <c r="I815" s="13">
        <v>0</v>
      </c>
      <c r="J815" s="12">
        <v>0</v>
      </c>
      <c r="K815" s="12">
        <v>0</v>
      </c>
      <c r="L815" s="13">
        <v>0</v>
      </c>
      <c r="M815" s="22">
        <v>11340.77</v>
      </c>
      <c r="N815" s="23">
        <v>6000.6</v>
      </c>
      <c r="O815" s="23">
        <v>0</v>
      </c>
      <c r="P815" s="22">
        <v>17341.37</v>
      </c>
    </row>
    <row r="816" spans="1:16" x14ac:dyDescent="0.3">
      <c r="A816" s="3" t="s">
        <v>1514</v>
      </c>
      <c r="B816" s="1">
        <v>2</v>
      </c>
      <c r="C816" s="1">
        <v>1</v>
      </c>
      <c r="D816" s="3" t="s">
        <v>1515</v>
      </c>
      <c r="E816" s="13">
        <v>5670.46</v>
      </c>
      <c r="F816" s="12">
        <v>3000.35</v>
      </c>
      <c r="G816" s="12">
        <v>0</v>
      </c>
      <c r="H816" s="13">
        <v>8670.81</v>
      </c>
      <c r="I816" s="13">
        <v>0</v>
      </c>
      <c r="J816" s="12">
        <v>0</v>
      </c>
      <c r="K816" s="12">
        <v>0</v>
      </c>
      <c r="L816" s="13">
        <v>0</v>
      </c>
      <c r="M816" s="22">
        <v>5670.46</v>
      </c>
      <c r="N816" s="23">
        <v>3000.35</v>
      </c>
      <c r="O816" s="23">
        <v>0</v>
      </c>
      <c r="P816" s="22">
        <v>8670.81</v>
      </c>
    </row>
    <row r="817" spans="1:16" x14ac:dyDescent="0.3">
      <c r="A817" s="3" t="s">
        <v>1516</v>
      </c>
      <c r="B817" s="1">
        <v>2</v>
      </c>
      <c r="C817" s="1">
        <v>1</v>
      </c>
      <c r="D817" s="3" t="s">
        <v>1517</v>
      </c>
      <c r="E817" s="13">
        <v>16207.43</v>
      </c>
      <c r="F817" s="12">
        <v>8572.35</v>
      </c>
      <c r="G817" s="12">
        <v>0</v>
      </c>
      <c r="H817" s="13">
        <v>24779.78</v>
      </c>
      <c r="I817" s="13">
        <v>0</v>
      </c>
      <c r="J817" s="12">
        <v>0</v>
      </c>
      <c r="K817" s="12">
        <v>0</v>
      </c>
      <c r="L817" s="13">
        <v>0</v>
      </c>
      <c r="M817" s="22">
        <v>16207.43</v>
      </c>
      <c r="N817" s="23">
        <v>8572.35</v>
      </c>
      <c r="O817" s="23">
        <v>0</v>
      </c>
      <c r="P817" s="22">
        <v>24779.78</v>
      </c>
    </row>
    <row r="818" spans="1:16" x14ac:dyDescent="0.3">
      <c r="A818" s="3" t="s">
        <v>1518</v>
      </c>
      <c r="B818" s="1">
        <v>2</v>
      </c>
      <c r="C818" s="1">
        <v>1</v>
      </c>
      <c r="D818" s="3" t="s">
        <v>1519</v>
      </c>
      <c r="E818" s="13">
        <v>8552</v>
      </c>
      <c r="F818" s="12">
        <v>0</v>
      </c>
      <c r="G818" s="12">
        <v>0</v>
      </c>
      <c r="H818" s="13">
        <v>8552</v>
      </c>
      <c r="I818" s="13">
        <v>2157</v>
      </c>
      <c r="J818" s="12">
        <v>2157</v>
      </c>
      <c r="K818" s="12">
        <v>0</v>
      </c>
      <c r="L818" s="13">
        <v>4314</v>
      </c>
      <c r="M818" s="22">
        <v>10709</v>
      </c>
      <c r="N818" s="23">
        <v>2157</v>
      </c>
      <c r="O818" s="23">
        <v>0</v>
      </c>
      <c r="P818" s="22">
        <v>12866</v>
      </c>
    </row>
    <row r="819" spans="1:16" x14ac:dyDescent="0.3">
      <c r="A819" s="3" t="s">
        <v>1520</v>
      </c>
      <c r="B819" s="2">
        <v>1</v>
      </c>
      <c r="C819" s="2">
        <v>0</v>
      </c>
      <c r="D819" s="14" t="s">
        <v>1521</v>
      </c>
      <c r="E819" s="15">
        <v>37381.120000000003</v>
      </c>
      <c r="F819" s="16">
        <v>7843.61</v>
      </c>
      <c r="G819" s="16">
        <v>0</v>
      </c>
      <c r="H819" s="15">
        <v>45224.73</v>
      </c>
      <c r="I819" s="15">
        <v>0</v>
      </c>
      <c r="J819" s="16">
        <v>0</v>
      </c>
      <c r="K819" s="16">
        <v>0</v>
      </c>
      <c r="L819" s="15">
        <v>0</v>
      </c>
      <c r="M819" s="15">
        <v>37381.120000000003</v>
      </c>
      <c r="N819" s="16">
        <v>7843.61</v>
      </c>
      <c r="O819" s="16">
        <v>0</v>
      </c>
      <c r="P819" s="15">
        <v>45224.73</v>
      </c>
    </row>
    <row r="820" spans="1:16" x14ac:dyDescent="0.3">
      <c r="A820" s="3" t="s">
        <v>1522</v>
      </c>
      <c r="B820" s="1">
        <v>2</v>
      </c>
      <c r="C820" s="1">
        <v>1</v>
      </c>
      <c r="D820" s="3" t="s">
        <v>1523</v>
      </c>
      <c r="E820" s="13">
        <v>13377.91</v>
      </c>
      <c r="F820" s="12">
        <v>5318.66</v>
      </c>
      <c r="G820" s="12">
        <v>0</v>
      </c>
      <c r="H820" s="13">
        <v>18696.57</v>
      </c>
      <c r="I820" s="13">
        <v>0</v>
      </c>
      <c r="J820" s="12">
        <v>0</v>
      </c>
      <c r="K820" s="12">
        <v>0</v>
      </c>
      <c r="L820" s="13">
        <v>0</v>
      </c>
      <c r="M820" s="22">
        <v>13377.91</v>
      </c>
      <c r="N820" s="23">
        <v>5318.66</v>
      </c>
      <c r="O820" s="23">
        <v>0</v>
      </c>
      <c r="P820" s="22">
        <v>18696.57</v>
      </c>
    </row>
    <row r="821" spans="1:16" x14ac:dyDescent="0.3">
      <c r="A821" s="3" t="s">
        <v>1524</v>
      </c>
      <c r="B821" s="1">
        <v>2</v>
      </c>
      <c r="C821" s="1">
        <v>1</v>
      </c>
      <c r="D821" s="3" t="s">
        <v>1525</v>
      </c>
      <c r="E821" s="13">
        <v>7123.67</v>
      </c>
      <c r="F821" s="12">
        <v>0</v>
      </c>
      <c r="G821" s="12">
        <v>0</v>
      </c>
      <c r="H821" s="13">
        <v>7123.67</v>
      </c>
      <c r="I821" s="13">
        <v>0</v>
      </c>
      <c r="J821" s="12">
        <v>0</v>
      </c>
      <c r="K821" s="12">
        <v>0</v>
      </c>
      <c r="L821" s="13">
        <v>0</v>
      </c>
      <c r="M821" s="22">
        <v>7123.67</v>
      </c>
      <c r="N821" s="23">
        <v>0</v>
      </c>
      <c r="O821" s="23">
        <v>0</v>
      </c>
      <c r="P821" s="22">
        <v>7123.67</v>
      </c>
    </row>
    <row r="822" spans="1:16" x14ac:dyDescent="0.3">
      <c r="A822" s="3" t="s">
        <v>1526</v>
      </c>
      <c r="B822" s="1">
        <v>2</v>
      </c>
      <c r="C822" s="1">
        <v>1</v>
      </c>
      <c r="D822" s="3" t="s">
        <v>1527</v>
      </c>
      <c r="E822" s="13">
        <v>11928.46</v>
      </c>
      <c r="F822" s="12">
        <v>0</v>
      </c>
      <c r="G822" s="12">
        <v>0</v>
      </c>
      <c r="H822" s="13">
        <v>11928.46</v>
      </c>
      <c r="I822" s="13">
        <v>0</v>
      </c>
      <c r="J822" s="12">
        <v>0</v>
      </c>
      <c r="K822" s="12">
        <v>0</v>
      </c>
      <c r="L822" s="13">
        <v>0</v>
      </c>
      <c r="M822" s="22">
        <v>11928.46</v>
      </c>
      <c r="N822" s="23">
        <v>0</v>
      </c>
      <c r="O822" s="23">
        <v>0</v>
      </c>
      <c r="P822" s="22">
        <v>11928.46</v>
      </c>
    </row>
    <row r="823" spans="1:16" x14ac:dyDescent="0.3">
      <c r="A823" s="3" t="s">
        <v>1528</v>
      </c>
      <c r="B823" s="1">
        <v>2</v>
      </c>
      <c r="C823" s="1">
        <v>1</v>
      </c>
      <c r="D823" s="3" t="s">
        <v>1529</v>
      </c>
      <c r="E823" s="13">
        <v>4951.08</v>
      </c>
      <c r="F823" s="12">
        <v>2524.9499999999998</v>
      </c>
      <c r="G823" s="12">
        <v>0</v>
      </c>
      <c r="H823" s="13">
        <v>7476.03</v>
      </c>
      <c r="I823" s="13">
        <v>0</v>
      </c>
      <c r="J823" s="12">
        <v>0</v>
      </c>
      <c r="K823" s="12">
        <v>0</v>
      </c>
      <c r="L823" s="13">
        <v>0</v>
      </c>
      <c r="M823" s="22">
        <v>4951.08</v>
      </c>
      <c r="N823" s="23">
        <v>2524.9499999999998</v>
      </c>
      <c r="O823" s="23">
        <v>0</v>
      </c>
      <c r="P823" s="22">
        <v>7476.03</v>
      </c>
    </row>
    <row r="824" spans="1:16" x14ac:dyDescent="0.3">
      <c r="A824" s="3" t="s">
        <v>1530</v>
      </c>
      <c r="B824" s="1">
        <v>3</v>
      </c>
      <c r="C824" s="1">
        <v>0</v>
      </c>
      <c r="D824" s="3" t="s">
        <v>1531</v>
      </c>
      <c r="E824" s="13">
        <v>8040682.54</v>
      </c>
      <c r="F824" s="12">
        <v>5620644.3200000003</v>
      </c>
      <c r="G824" s="12">
        <v>610626.31000000006</v>
      </c>
      <c r="H824" s="13">
        <v>13050700.550000001</v>
      </c>
      <c r="I824" s="13">
        <v>18096185.77</v>
      </c>
      <c r="J824" s="12">
        <v>2032659.17</v>
      </c>
      <c r="K824" s="12">
        <v>117518.84</v>
      </c>
      <c r="L824" s="13">
        <v>20011326.100000001</v>
      </c>
      <c r="M824" s="22">
        <v>26136868.309999999</v>
      </c>
      <c r="N824" s="23">
        <v>7653303.4900000002</v>
      </c>
      <c r="O824" s="23">
        <v>728145.15</v>
      </c>
      <c r="P824" s="22">
        <v>33062026.650000002</v>
      </c>
    </row>
    <row r="825" spans="1:16" x14ac:dyDescent="0.3">
      <c r="A825" s="3" t="s">
        <v>1532</v>
      </c>
      <c r="B825" s="2">
        <v>1</v>
      </c>
      <c r="C825" s="2">
        <v>0</v>
      </c>
      <c r="D825" s="14" t="s">
        <v>1533</v>
      </c>
      <c r="E825" s="15">
        <v>1000852.64</v>
      </c>
      <c r="F825" s="16">
        <v>1767038.36</v>
      </c>
      <c r="G825" s="16">
        <v>584632.68999999994</v>
      </c>
      <c r="H825" s="15">
        <v>2183258.31</v>
      </c>
      <c r="I825" s="15">
        <v>2453968.96</v>
      </c>
      <c r="J825" s="16">
        <v>366808.84</v>
      </c>
      <c r="K825" s="16">
        <v>80614.2</v>
      </c>
      <c r="L825" s="15">
        <v>2740163.6</v>
      </c>
      <c r="M825" s="15">
        <v>3454821.6</v>
      </c>
      <c r="N825" s="16">
        <v>2133847.2000000002</v>
      </c>
      <c r="O825" s="16">
        <v>665246.8899999999</v>
      </c>
      <c r="P825" s="15">
        <v>4923421.91</v>
      </c>
    </row>
    <row r="826" spans="1:16" x14ac:dyDescent="0.3">
      <c r="A826" s="3" t="s">
        <v>1534</v>
      </c>
      <c r="B826" s="1">
        <v>2</v>
      </c>
      <c r="C826" s="1">
        <v>0</v>
      </c>
      <c r="D826" s="3" t="s">
        <v>1535</v>
      </c>
      <c r="E826" s="13">
        <v>276994.62</v>
      </c>
      <c r="F826" s="12">
        <v>134858.20000000001</v>
      </c>
      <c r="G826" s="12">
        <v>0</v>
      </c>
      <c r="H826" s="13">
        <v>411852.82</v>
      </c>
      <c r="I826" s="13">
        <v>76314.69</v>
      </c>
      <c r="J826" s="12">
        <v>0</v>
      </c>
      <c r="K826" s="12">
        <v>0</v>
      </c>
      <c r="L826" s="13">
        <v>76314.69</v>
      </c>
      <c r="M826" s="22">
        <v>353309.31</v>
      </c>
      <c r="N826" s="23">
        <v>134858.20000000001</v>
      </c>
      <c r="O826" s="23">
        <v>0</v>
      </c>
      <c r="P826" s="22">
        <v>488167.51</v>
      </c>
    </row>
    <row r="827" spans="1:16" x14ac:dyDescent="0.3">
      <c r="A827" s="3" t="s">
        <v>1536</v>
      </c>
      <c r="B827" s="1">
        <v>2</v>
      </c>
      <c r="C827" s="1">
        <v>1</v>
      </c>
      <c r="D827" s="3" t="s">
        <v>1535</v>
      </c>
      <c r="E827" s="13">
        <v>135265.78</v>
      </c>
      <c r="F827" s="12">
        <v>67103.990000000005</v>
      </c>
      <c r="G827" s="12">
        <v>0</v>
      </c>
      <c r="H827" s="13">
        <v>202369.77</v>
      </c>
      <c r="I827" s="13">
        <v>0</v>
      </c>
      <c r="J827" s="12">
        <v>0</v>
      </c>
      <c r="K827" s="12">
        <v>0</v>
      </c>
      <c r="L827" s="13">
        <v>0</v>
      </c>
      <c r="M827" s="22">
        <v>135265.78</v>
      </c>
      <c r="N827" s="23">
        <v>67103.990000000005</v>
      </c>
      <c r="O827" s="23">
        <v>0</v>
      </c>
      <c r="P827" s="22">
        <v>202369.77</v>
      </c>
    </row>
    <row r="828" spans="1:16" x14ac:dyDescent="0.3">
      <c r="A828" s="3" t="s">
        <v>1537</v>
      </c>
      <c r="B828" s="1">
        <v>2</v>
      </c>
      <c r="C828" s="1">
        <v>1</v>
      </c>
      <c r="D828" s="3" t="s">
        <v>1538</v>
      </c>
      <c r="E828" s="13">
        <v>24988.06</v>
      </c>
      <c r="F828" s="12">
        <v>11266.53</v>
      </c>
      <c r="G828" s="12">
        <v>0</v>
      </c>
      <c r="H828" s="13">
        <v>36254.589999999997</v>
      </c>
      <c r="I828" s="13">
        <v>0</v>
      </c>
      <c r="J828" s="12">
        <v>0</v>
      </c>
      <c r="K828" s="12">
        <v>0</v>
      </c>
      <c r="L828" s="13">
        <v>0</v>
      </c>
      <c r="M828" s="22">
        <v>24988.06</v>
      </c>
      <c r="N828" s="23">
        <v>11266.53</v>
      </c>
      <c r="O828" s="23">
        <v>0</v>
      </c>
      <c r="P828" s="22">
        <v>36254.589999999997</v>
      </c>
    </row>
    <row r="829" spans="1:16" x14ac:dyDescent="0.3">
      <c r="A829" s="3" t="s">
        <v>1539</v>
      </c>
      <c r="B829" s="1">
        <v>2</v>
      </c>
      <c r="C829" s="1">
        <v>1</v>
      </c>
      <c r="D829" s="3" t="s">
        <v>1540</v>
      </c>
      <c r="E829" s="13">
        <v>16967.25</v>
      </c>
      <c r="F829" s="12">
        <v>8559.86</v>
      </c>
      <c r="G829" s="12">
        <v>0</v>
      </c>
      <c r="H829" s="13">
        <v>25527.11</v>
      </c>
      <c r="I829" s="13">
        <v>0</v>
      </c>
      <c r="J829" s="12">
        <v>0</v>
      </c>
      <c r="K829" s="12">
        <v>0</v>
      </c>
      <c r="L829" s="13">
        <v>0</v>
      </c>
      <c r="M829" s="22">
        <v>16967.25</v>
      </c>
      <c r="N829" s="23">
        <v>8559.86</v>
      </c>
      <c r="O829" s="23">
        <v>0</v>
      </c>
      <c r="P829" s="22">
        <v>25527.11</v>
      </c>
    </row>
    <row r="830" spans="1:16" x14ac:dyDescent="0.3">
      <c r="A830" s="3" t="s">
        <v>1541</v>
      </c>
      <c r="B830" s="1">
        <v>2</v>
      </c>
      <c r="C830" s="1">
        <v>1</v>
      </c>
      <c r="D830" s="3" t="s">
        <v>1542</v>
      </c>
      <c r="E830" s="13">
        <v>16967.25</v>
      </c>
      <c r="F830" s="12">
        <v>8559.86</v>
      </c>
      <c r="G830" s="12">
        <v>0</v>
      </c>
      <c r="H830" s="13">
        <v>25527.11</v>
      </c>
      <c r="I830" s="13">
        <v>0</v>
      </c>
      <c r="J830" s="12">
        <v>0</v>
      </c>
      <c r="K830" s="12">
        <v>0</v>
      </c>
      <c r="L830" s="13">
        <v>0</v>
      </c>
      <c r="M830" s="22">
        <v>16967.25</v>
      </c>
      <c r="N830" s="23">
        <v>8559.86</v>
      </c>
      <c r="O830" s="23">
        <v>0</v>
      </c>
      <c r="P830" s="22">
        <v>25527.11</v>
      </c>
    </row>
    <row r="831" spans="1:16" x14ac:dyDescent="0.3">
      <c r="A831" s="3" t="s">
        <v>1543</v>
      </c>
      <c r="B831" s="1">
        <v>2</v>
      </c>
      <c r="C831" s="1">
        <v>1</v>
      </c>
      <c r="D831" s="3" t="s">
        <v>1544</v>
      </c>
      <c r="E831" s="13">
        <v>10717.1</v>
      </c>
      <c r="F831" s="12">
        <v>6265.55</v>
      </c>
      <c r="G831" s="12">
        <v>0</v>
      </c>
      <c r="H831" s="13">
        <v>16982.650000000001</v>
      </c>
      <c r="I831" s="13">
        <v>0</v>
      </c>
      <c r="J831" s="12">
        <v>0</v>
      </c>
      <c r="K831" s="12">
        <v>0</v>
      </c>
      <c r="L831" s="13">
        <v>0</v>
      </c>
      <c r="M831" s="22">
        <v>10717.1</v>
      </c>
      <c r="N831" s="23">
        <v>6265.55</v>
      </c>
      <c r="O831" s="23">
        <v>0</v>
      </c>
      <c r="P831" s="22">
        <v>16982.650000000001</v>
      </c>
    </row>
    <row r="832" spans="1:16" x14ac:dyDescent="0.3">
      <c r="A832" s="3" t="s">
        <v>1545</v>
      </c>
      <c r="B832" s="1">
        <v>2</v>
      </c>
      <c r="C832" s="1">
        <v>1</v>
      </c>
      <c r="D832" s="3" t="s">
        <v>1546</v>
      </c>
      <c r="E832" s="13">
        <v>1454.42</v>
      </c>
      <c r="F832" s="12">
        <v>0</v>
      </c>
      <c r="G832" s="12">
        <v>0</v>
      </c>
      <c r="H832" s="13">
        <v>1454.42</v>
      </c>
      <c r="I832" s="13">
        <v>0</v>
      </c>
      <c r="J832" s="12">
        <v>0</v>
      </c>
      <c r="K832" s="12">
        <v>0</v>
      </c>
      <c r="L832" s="13">
        <v>0</v>
      </c>
      <c r="M832" s="22">
        <v>1454.42</v>
      </c>
      <c r="N832" s="23">
        <v>0</v>
      </c>
      <c r="O832" s="23">
        <v>0</v>
      </c>
      <c r="P832" s="22">
        <v>1454.42</v>
      </c>
    </row>
    <row r="833" spans="1:16" x14ac:dyDescent="0.3">
      <c r="A833" s="3" t="s">
        <v>1547</v>
      </c>
      <c r="B833" s="1">
        <v>2</v>
      </c>
      <c r="C833" s="1">
        <v>1</v>
      </c>
      <c r="D833" s="3" t="s">
        <v>1548</v>
      </c>
      <c r="E833" s="13">
        <v>1645.39</v>
      </c>
      <c r="F833" s="12">
        <v>740.14</v>
      </c>
      <c r="G833" s="12">
        <v>0</v>
      </c>
      <c r="H833" s="13">
        <v>2385.5300000000002</v>
      </c>
      <c r="I833" s="13">
        <v>0</v>
      </c>
      <c r="J833" s="12">
        <v>0</v>
      </c>
      <c r="K833" s="12">
        <v>0</v>
      </c>
      <c r="L833" s="13">
        <v>0</v>
      </c>
      <c r="M833" s="22">
        <v>1645.39</v>
      </c>
      <c r="N833" s="23">
        <v>740.14</v>
      </c>
      <c r="O833" s="23">
        <v>0</v>
      </c>
      <c r="P833" s="22">
        <v>2385.5300000000002</v>
      </c>
    </row>
    <row r="834" spans="1:16" x14ac:dyDescent="0.3">
      <c r="A834" s="3" t="s">
        <v>1549</v>
      </c>
      <c r="B834" s="1">
        <v>2</v>
      </c>
      <c r="C834" s="1">
        <v>1</v>
      </c>
      <c r="D834" s="3" t="s">
        <v>1550</v>
      </c>
      <c r="E834" s="13">
        <v>1973.7</v>
      </c>
      <c r="F834" s="12">
        <v>1973.7</v>
      </c>
      <c r="G834" s="12">
        <v>0</v>
      </c>
      <c r="H834" s="13">
        <v>3947.4</v>
      </c>
      <c r="I834" s="13">
        <v>0</v>
      </c>
      <c r="J834" s="12">
        <v>0</v>
      </c>
      <c r="K834" s="12">
        <v>0</v>
      </c>
      <c r="L834" s="13">
        <v>0</v>
      </c>
      <c r="M834" s="22">
        <v>1973.7</v>
      </c>
      <c r="N834" s="23">
        <v>1973.7</v>
      </c>
      <c r="O834" s="23">
        <v>0</v>
      </c>
      <c r="P834" s="22">
        <v>3947.4</v>
      </c>
    </row>
    <row r="835" spans="1:16" x14ac:dyDescent="0.3">
      <c r="A835" s="3" t="s">
        <v>1551</v>
      </c>
      <c r="B835" s="1">
        <v>2</v>
      </c>
      <c r="C835" s="1">
        <v>1</v>
      </c>
      <c r="D835" s="3" t="s">
        <v>1552</v>
      </c>
      <c r="E835" s="13">
        <v>14522.58</v>
      </c>
      <c r="F835" s="12">
        <v>4320.63</v>
      </c>
      <c r="G835" s="12">
        <v>0</v>
      </c>
      <c r="H835" s="13">
        <v>18843.21</v>
      </c>
      <c r="I835" s="13">
        <v>0</v>
      </c>
      <c r="J835" s="12">
        <v>0</v>
      </c>
      <c r="K835" s="12">
        <v>0</v>
      </c>
      <c r="L835" s="13">
        <v>0</v>
      </c>
      <c r="M835" s="22">
        <v>14522.58</v>
      </c>
      <c r="N835" s="23">
        <v>4320.63</v>
      </c>
      <c r="O835" s="23">
        <v>0</v>
      </c>
      <c r="P835" s="22">
        <v>18843.21</v>
      </c>
    </row>
    <row r="836" spans="1:16" x14ac:dyDescent="0.3">
      <c r="A836" s="3" t="s">
        <v>1553</v>
      </c>
      <c r="B836" s="1">
        <v>2</v>
      </c>
      <c r="C836" s="1">
        <v>1</v>
      </c>
      <c r="D836" s="3" t="s">
        <v>1554</v>
      </c>
      <c r="E836" s="13">
        <v>16967.240000000002</v>
      </c>
      <c r="F836" s="12">
        <v>8559.86</v>
      </c>
      <c r="G836" s="12">
        <v>0</v>
      </c>
      <c r="H836" s="13">
        <v>25527.1</v>
      </c>
      <c r="I836" s="13">
        <v>0</v>
      </c>
      <c r="J836" s="12">
        <v>0</v>
      </c>
      <c r="K836" s="12">
        <v>0</v>
      </c>
      <c r="L836" s="13">
        <v>0</v>
      </c>
      <c r="M836" s="22">
        <v>16967.240000000002</v>
      </c>
      <c r="N836" s="23">
        <v>8559.86</v>
      </c>
      <c r="O836" s="23">
        <v>0</v>
      </c>
      <c r="P836" s="22">
        <v>25527.1</v>
      </c>
    </row>
    <row r="837" spans="1:16" x14ac:dyDescent="0.3">
      <c r="A837" s="3" t="s">
        <v>1555</v>
      </c>
      <c r="B837" s="1">
        <v>2</v>
      </c>
      <c r="C837" s="1">
        <v>1</v>
      </c>
      <c r="D837" s="3" t="s">
        <v>1556</v>
      </c>
      <c r="E837" s="13">
        <v>8484.16</v>
      </c>
      <c r="F837" s="12">
        <v>4279.83</v>
      </c>
      <c r="G837" s="12">
        <v>0</v>
      </c>
      <c r="H837" s="13">
        <v>12763.99</v>
      </c>
      <c r="I837" s="13">
        <v>0</v>
      </c>
      <c r="J837" s="12">
        <v>0</v>
      </c>
      <c r="K837" s="12">
        <v>0</v>
      </c>
      <c r="L837" s="13">
        <v>0</v>
      </c>
      <c r="M837" s="22">
        <v>8484.16</v>
      </c>
      <c r="N837" s="23">
        <v>4279.83</v>
      </c>
      <c r="O837" s="23">
        <v>0</v>
      </c>
      <c r="P837" s="22">
        <v>12763.99</v>
      </c>
    </row>
    <row r="838" spans="1:16" x14ac:dyDescent="0.3">
      <c r="A838" s="3" t="s">
        <v>1557</v>
      </c>
      <c r="B838" s="1">
        <v>2</v>
      </c>
      <c r="C838" s="1">
        <v>1</v>
      </c>
      <c r="D838" s="3" t="s">
        <v>1558</v>
      </c>
      <c r="E838" s="13">
        <v>24238.69</v>
      </c>
      <c r="F838" s="12">
        <v>12228.25</v>
      </c>
      <c r="G838" s="12">
        <v>0</v>
      </c>
      <c r="H838" s="13">
        <v>36466.94</v>
      </c>
      <c r="I838" s="13">
        <v>56057.86</v>
      </c>
      <c r="J838" s="12">
        <v>0</v>
      </c>
      <c r="K838" s="12">
        <v>0</v>
      </c>
      <c r="L838" s="13">
        <v>56057.86</v>
      </c>
      <c r="M838" s="22">
        <v>80296.55</v>
      </c>
      <c r="N838" s="23">
        <v>12228.25</v>
      </c>
      <c r="O838" s="23">
        <v>0</v>
      </c>
      <c r="P838" s="22">
        <v>92524.800000000003</v>
      </c>
    </row>
    <row r="839" spans="1:16" x14ac:dyDescent="0.3">
      <c r="A839" s="3" t="s">
        <v>1559</v>
      </c>
      <c r="B839" s="1">
        <v>2</v>
      </c>
      <c r="C839" s="1">
        <v>1</v>
      </c>
      <c r="D839" s="3" t="s">
        <v>1560</v>
      </c>
      <c r="E839" s="13">
        <v>2803</v>
      </c>
      <c r="F839" s="12">
        <v>1000</v>
      </c>
      <c r="G839" s="12">
        <v>0</v>
      </c>
      <c r="H839" s="13">
        <v>3803</v>
      </c>
      <c r="I839" s="13">
        <v>20256.830000000002</v>
      </c>
      <c r="J839" s="12">
        <v>0</v>
      </c>
      <c r="K839" s="12">
        <v>0</v>
      </c>
      <c r="L839" s="13">
        <v>20256.830000000002</v>
      </c>
      <c r="M839" s="22">
        <v>23059.83</v>
      </c>
      <c r="N839" s="23">
        <v>1000</v>
      </c>
      <c r="O839" s="23">
        <v>0</v>
      </c>
      <c r="P839" s="22">
        <v>24059.83</v>
      </c>
    </row>
    <row r="840" spans="1:16" x14ac:dyDescent="0.3">
      <c r="A840" s="3" t="s">
        <v>1561</v>
      </c>
      <c r="B840" s="1">
        <v>2</v>
      </c>
      <c r="C840" s="1">
        <v>1</v>
      </c>
      <c r="D840" s="3" t="s">
        <v>1562</v>
      </c>
      <c r="E840" s="13">
        <v>0</v>
      </c>
      <c r="F840" s="12">
        <v>0</v>
      </c>
      <c r="G840" s="12">
        <v>0</v>
      </c>
      <c r="H840" s="13">
        <v>0</v>
      </c>
      <c r="I840" s="13">
        <v>290.18</v>
      </c>
      <c r="J840" s="12">
        <v>0</v>
      </c>
      <c r="K840" s="12">
        <v>0</v>
      </c>
      <c r="L840" s="13">
        <v>290.18</v>
      </c>
      <c r="M840" s="22">
        <v>290.18</v>
      </c>
      <c r="N840" s="23">
        <v>0</v>
      </c>
      <c r="O840" s="23">
        <v>0</v>
      </c>
      <c r="P840" s="22">
        <v>290.18</v>
      </c>
    </row>
    <row r="841" spans="1:16" x14ac:dyDescent="0.3">
      <c r="A841" s="3" t="s">
        <v>1563</v>
      </c>
      <c r="B841" s="1">
        <v>2</v>
      </c>
      <c r="C841" s="1">
        <v>1</v>
      </c>
      <c r="D841" s="3" t="s">
        <v>1564</v>
      </c>
      <c r="E841" s="13">
        <v>24911.73</v>
      </c>
      <c r="F841" s="12">
        <v>10091.82</v>
      </c>
      <c r="G841" s="12">
        <v>0</v>
      </c>
      <c r="H841" s="13">
        <v>35003.550000000003</v>
      </c>
      <c r="I841" s="13">
        <v>0</v>
      </c>
      <c r="J841" s="12">
        <v>0</v>
      </c>
      <c r="K841" s="12">
        <v>0</v>
      </c>
      <c r="L841" s="13">
        <v>0</v>
      </c>
      <c r="M841" s="22">
        <v>24911.73</v>
      </c>
      <c r="N841" s="23">
        <v>10091.82</v>
      </c>
      <c r="O841" s="23">
        <v>0</v>
      </c>
      <c r="P841" s="22">
        <v>35003.550000000003</v>
      </c>
    </row>
    <row r="842" spans="1:16" x14ac:dyDescent="0.3">
      <c r="A842" s="3" t="s">
        <v>1565</v>
      </c>
      <c r="B842" s="1">
        <v>2</v>
      </c>
      <c r="C842" s="1">
        <v>1</v>
      </c>
      <c r="D842" s="3" t="s">
        <v>1566</v>
      </c>
      <c r="E842" s="13">
        <v>10878.83</v>
      </c>
      <c r="F842" s="12">
        <v>0</v>
      </c>
      <c r="G842" s="12">
        <v>0</v>
      </c>
      <c r="H842" s="13">
        <v>10878.83</v>
      </c>
      <c r="I842" s="13">
        <v>0</v>
      </c>
      <c r="J842" s="12">
        <v>0</v>
      </c>
      <c r="K842" s="12">
        <v>0</v>
      </c>
      <c r="L842" s="13">
        <v>0</v>
      </c>
      <c r="M842" s="22">
        <v>10878.83</v>
      </c>
      <c r="N842" s="23">
        <v>0</v>
      </c>
      <c r="O842" s="23">
        <v>0</v>
      </c>
      <c r="P842" s="22">
        <v>10878.83</v>
      </c>
    </row>
    <row r="843" spans="1:16" x14ac:dyDescent="0.3">
      <c r="A843" s="3" t="s">
        <v>1567</v>
      </c>
      <c r="B843" s="1">
        <v>2</v>
      </c>
      <c r="C843" s="1">
        <v>1</v>
      </c>
      <c r="D843" s="3" t="s">
        <v>1568</v>
      </c>
      <c r="E843" s="13">
        <v>16535.189999999999</v>
      </c>
      <c r="F843" s="12">
        <v>0</v>
      </c>
      <c r="G843" s="12">
        <v>0</v>
      </c>
      <c r="H843" s="13">
        <v>16535.189999999999</v>
      </c>
      <c r="I843" s="13">
        <v>0</v>
      </c>
      <c r="J843" s="12">
        <v>0</v>
      </c>
      <c r="K843" s="12">
        <v>0</v>
      </c>
      <c r="L843" s="13">
        <v>0</v>
      </c>
      <c r="M843" s="22">
        <v>16535.189999999999</v>
      </c>
      <c r="N843" s="23">
        <v>0</v>
      </c>
      <c r="O843" s="23">
        <v>0</v>
      </c>
      <c r="P843" s="22">
        <v>16535.189999999999</v>
      </c>
    </row>
    <row r="844" spans="1:16" x14ac:dyDescent="0.3">
      <c r="A844" s="3" t="s">
        <v>1569</v>
      </c>
      <c r="B844" s="1">
        <v>2</v>
      </c>
      <c r="C844" s="1">
        <v>1</v>
      </c>
      <c r="D844" s="3" t="s">
        <v>1570</v>
      </c>
      <c r="E844" s="13">
        <v>7810.52</v>
      </c>
      <c r="F844" s="12">
        <v>3885.99</v>
      </c>
      <c r="G844" s="12">
        <v>0</v>
      </c>
      <c r="H844" s="13">
        <v>11696.51</v>
      </c>
      <c r="I844" s="13">
        <v>0</v>
      </c>
      <c r="J844" s="12">
        <v>0</v>
      </c>
      <c r="K844" s="12">
        <v>0</v>
      </c>
      <c r="L844" s="13">
        <v>0</v>
      </c>
      <c r="M844" s="22">
        <v>7810.52</v>
      </c>
      <c r="N844" s="23">
        <v>3885.99</v>
      </c>
      <c r="O844" s="23">
        <v>0</v>
      </c>
      <c r="P844" s="22">
        <v>11696.51</v>
      </c>
    </row>
    <row r="845" spans="1:16" x14ac:dyDescent="0.3">
      <c r="A845" s="3" t="s">
        <v>1571</v>
      </c>
      <c r="B845" s="1">
        <v>2</v>
      </c>
      <c r="C845" s="1">
        <v>1</v>
      </c>
      <c r="D845" s="3" t="s">
        <v>1572</v>
      </c>
      <c r="E845" s="13">
        <v>0</v>
      </c>
      <c r="F845" s="12">
        <v>330325.82</v>
      </c>
      <c r="G845" s="12">
        <v>330325.82</v>
      </c>
      <c r="H845" s="13">
        <v>0</v>
      </c>
      <c r="I845" s="13">
        <v>0</v>
      </c>
      <c r="J845" s="12">
        <v>78061.59</v>
      </c>
      <c r="K845" s="12">
        <v>78061.59</v>
      </c>
      <c r="L845" s="13">
        <v>0</v>
      </c>
      <c r="M845" s="22">
        <v>0</v>
      </c>
      <c r="N845" s="23">
        <v>408387.41000000003</v>
      </c>
      <c r="O845" s="23">
        <v>408387.41000000003</v>
      </c>
      <c r="P845" s="22">
        <v>0</v>
      </c>
    </row>
    <row r="846" spans="1:16" x14ac:dyDescent="0.3">
      <c r="A846" s="3" t="s">
        <v>1573</v>
      </c>
      <c r="B846" s="1">
        <v>2</v>
      </c>
      <c r="C846" s="1">
        <v>1</v>
      </c>
      <c r="D846" s="3" t="s">
        <v>1574</v>
      </c>
      <c r="E846" s="13">
        <v>121048.96000000001</v>
      </c>
      <c r="F846" s="12">
        <v>20000</v>
      </c>
      <c r="G846" s="12">
        <v>0</v>
      </c>
      <c r="H846" s="13">
        <v>141048.95999999999</v>
      </c>
      <c r="I846" s="13">
        <v>264195.8</v>
      </c>
      <c r="J846" s="12">
        <v>130000</v>
      </c>
      <c r="K846" s="12">
        <v>0</v>
      </c>
      <c r="L846" s="13">
        <v>394195.8</v>
      </c>
      <c r="M846" s="22">
        <v>385244.76</v>
      </c>
      <c r="N846" s="23">
        <v>150000</v>
      </c>
      <c r="O846" s="23">
        <v>0</v>
      </c>
      <c r="P846" s="22">
        <v>535244.76</v>
      </c>
    </row>
    <row r="847" spans="1:16" x14ac:dyDescent="0.3">
      <c r="A847" s="3" t="s">
        <v>1575</v>
      </c>
      <c r="B847" s="1">
        <v>2</v>
      </c>
      <c r="C847" s="1">
        <v>1</v>
      </c>
      <c r="D847" s="3" t="s">
        <v>1576</v>
      </c>
      <c r="E847" s="13">
        <v>0</v>
      </c>
      <c r="F847" s="12">
        <v>289314.68</v>
      </c>
      <c r="G847" s="12">
        <v>230308.12</v>
      </c>
      <c r="H847" s="13">
        <v>59006.559999999998</v>
      </c>
      <c r="I847" s="13">
        <v>22095.77</v>
      </c>
      <c r="J847" s="12">
        <v>559.83000000000004</v>
      </c>
      <c r="K847" s="12">
        <v>0</v>
      </c>
      <c r="L847" s="13">
        <v>22655.599999999999</v>
      </c>
      <c r="M847" s="22">
        <v>22095.77</v>
      </c>
      <c r="N847" s="23">
        <v>289874.51</v>
      </c>
      <c r="O847" s="23">
        <v>230308.12</v>
      </c>
      <c r="P847" s="22">
        <v>81662.16</v>
      </c>
    </row>
    <row r="848" spans="1:16" x14ac:dyDescent="0.3">
      <c r="A848" s="3" t="s">
        <v>1577</v>
      </c>
      <c r="B848" s="1">
        <v>2</v>
      </c>
      <c r="C848" s="1">
        <v>0</v>
      </c>
      <c r="D848" s="3" t="s">
        <v>1578</v>
      </c>
      <c r="E848" s="13">
        <v>0</v>
      </c>
      <c r="F848" s="12">
        <v>23888.89</v>
      </c>
      <c r="G848" s="12">
        <v>23888.89</v>
      </c>
      <c r="H848" s="13">
        <v>0</v>
      </c>
      <c r="I848" s="13">
        <v>85722.22</v>
      </c>
      <c r="J848" s="12">
        <v>22000</v>
      </c>
      <c r="K848" s="12">
        <v>0</v>
      </c>
      <c r="L848" s="13">
        <v>107722.22</v>
      </c>
      <c r="M848" s="22">
        <v>85722.22</v>
      </c>
      <c r="N848" s="23">
        <v>45888.89</v>
      </c>
      <c r="O848" s="23">
        <v>23888.89</v>
      </c>
      <c r="P848" s="22">
        <v>107722.22</v>
      </c>
    </row>
    <row r="849" spans="1:16" x14ac:dyDescent="0.3">
      <c r="A849" s="3" t="s">
        <v>1579</v>
      </c>
      <c r="B849" s="1">
        <v>2</v>
      </c>
      <c r="C849" s="1">
        <v>1</v>
      </c>
      <c r="D849" s="3" t="s">
        <v>1580</v>
      </c>
      <c r="E849" s="13">
        <v>0</v>
      </c>
      <c r="F849" s="12">
        <v>23888.89</v>
      </c>
      <c r="G849" s="12">
        <v>23888.89</v>
      </c>
      <c r="H849" s="13">
        <v>0</v>
      </c>
      <c r="I849" s="13">
        <v>85722.22</v>
      </c>
      <c r="J849" s="12">
        <v>22000</v>
      </c>
      <c r="K849" s="12">
        <v>0</v>
      </c>
      <c r="L849" s="13">
        <v>107722.22</v>
      </c>
      <c r="M849" s="22">
        <v>85722.22</v>
      </c>
      <c r="N849" s="23">
        <v>45888.89</v>
      </c>
      <c r="O849" s="23">
        <v>23888.89</v>
      </c>
      <c r="P849" s="22">
        <v>107722.22</v>
      </c>
    </row>
    <row r="850" spans="1:16" x14ac:dyDescent="0.3">
      <c r="A850" s="3" t="s">
        <v>1581</v>
      </c>
      <c r="B850" s="1">
        <v>2</v>
      </c>
      <c r="C850" s="1">
        <v>1</v>
      </c>
      <c r="D850" s="3" t="s">
        <v>1582</v>
      </c>
      <c r="E850" s="13">
        <v>0</v>
      </c>
      <c r="F850" s="12">
        <v>88875.92</v>
      </c>
      <c r="G850" s="12">
        <v>0</v>
      </c>
      <c r="H850" s="13">
        <v>88875.92</v>
      </c>
      <c r="I850" s="13">
        <v>23425.86</v>
      </c>
      <c r="J850" s="12">
        <v>200</v>
      </c>
      <c r="K850" s="12">
        <v>0</v>
      </c>
      <c r="L850" s="13">
        <v>23625.86</v>
      </c>
      <c r="M850" s="22">
        <v>23425.86</v>
      </c>
      <c r="N850" s="23">
        <v>89075.92</v>
      </c>
      <c r="O850" s="23">
        <v>0</v>
      </c>
      <c r="P850" s="22">
        <v>112501.78</v>
      </c>
    </row>
    <row r="851" spans="1:16" x14ac:dyDescent="0.3">
      <c r="A851" s="3" t="s">
        <v>1583</v>
      </c>
      <c r="B851" s="1">
        <v>2</v>
      </c>
      <c r="C851" s="1">
        <v>1</v>
      </c>
      <c r="D851" s="3" t="s">
        <v>1584</v>
      </c>
      <c r="E851" s="13">
        <v>3335.33</v>
      </c>
      <c r="F851" s="12">
        <v>4714.75</v>
      </c>
      <c r="G851" s="12">
        <v>0</v>
      </c>
      <c r="H851" s="13">
        <v>8050.08</v>
      </c>
      <c r="I851" s="13">
        <v>104482.36</v>
      </c>
      <c r="J851" s="12">
        <v>172.41</v>
      </c>
      <c r="K851" s="12">
        <v>0</v>
      </c>
      <c r="L851" s="13">
        <v>104654.77</v>
      </c>
      <c r="M851" s="22">
        <v>107817.69</v>
      </c>
      <c r="N851" s="23">
        <v>4887.16</v>
      </c>
      <c r="O851" s="23">
        <v>0</v>
      </c>
      <c r="P851" s="22">
        <v>112704.85</v>
      </c>
    </row>
    <row r="852" spans="1:16" x14ac:dyDescent="0.3">
      <c r="A852" s="3" t="s">
        <v>1585</v>
      </c>
      <c r="B852" s="1">
        <v>2</v>
      </c>
      <c r="C852" s="1">
        <v>1</v>
      </c>
      <c r="D852" s="3" t="s">
        <v>1586</v>
      </c>
      <c r="E852" s="13">
        <v>8495.7099999999991</v>
      </c>
      <c r="F852" s="12">
        <v>650.87</v>
      </c>
      <c r="G852" s="12">
        <v>0</v>
      </c>
      <c r="H852" s="13">
        <v>9146.58</v>
      </c>
      <c r="I852" s="13">
        <v>167524.35</v>
      </c>
      <c r="J852" s="12">
        <v>35324.06</v>
      </c>
      <c r="K852" s="12">
        <v>0</v>
      </c>
      <c r="L852" s="13">
        <v>202848.41</v>
      </c>
      <c r="M852" s="22">
        <v>176020.06</v>
      </c>
      <c r="N852" s="23">
        <v>35974.93</v>
      </c>
      <c r="O852" s="23">
        <v>0</v>
      </c>
      <c r="P852" s="22">
        <v>211994.99</v>
      </c>
    </row>
    <row r="853" spans="1:16" x14ac:dyDescent="0.3">
      <c r="A853" s="3" t="s">
        <v>1587</v>
      </c>
      <c r="B853" s="1">
        <v>2</v>
      </c>
      <c r="C853" s="1">
        <v>1</v>
      </c>
      <c r="D853" s="3" t="s">
        <v>1588</v>
      </c>
      <c r="E853" s="13">
        <v>0</v>
      </c>
      <c r="F853" s="12">
        <v>0</v>
      </c>
      <c r="G853" s="12">
        <v>0</v>
      </c>
      <c r="H853" s="13">
        <v>0</v>
      </c>
      <c r="I853" s="13">
        <v>10858</v>
      </c>
      <c r="J853" s="12">
        <v>594</v>
      </c>
      <c r="K853" s="12">
        <v>0</v>
      </c>
      <c r="L853" s="13">
        <v>11452</v>
      </c>
      <c r="M853" s="22">
        <v>10858</v>
      </c>
      <c r="N853" s="23">
        <v>594</v>
      </c>
      <c r="O853" s="23">
        <v>0</v>
      </c>
      <c r="P853" s="22">
        <v>11452</v>
      </c>
    </row>
    <row r="854" spans="1:16" x14ac:dyDescent="0.3">
      <c r="A854" s="3" t="s">
        <v>1589</v>
      </c>
      <c r="B854" s="1">
        <v>2</v>
      </c>
      <c r="C854" s="1">
        <v>1</v>
      </c>
      <c r="D854" s="3" t="s">
        <v>1590</v>
      </c>
      <c r="E854" s="13">
        <v>51430</v>
      </c>
      <c r="F854" s="12">
        <v>0</v>
      </c>
      <c r="G854" s="12">
        <v>0</v>
      </c>
      <c r="H854" s="13">
        <v>51430</v>
      </c>
      <c r="I854" s="13">
        <v>27208.74</v>
      </c>
      <c r="J854" s="12">
        <v>1617</v>
      </c>
      <c r="K854" s="12">
        <v>0</v>
      </c>
      <c r="L854" s="13">
        <v>28825.74</v>
      </c>
      <c r="M854" s="22">
        <v>78638.740000000005</v>
      </c>
      <c r="N854" s="23">
        <v>1617</v>
      </c>
      <c r="O854" s="23">
        <v>0</v>
      </c>
      <c r="P854" s="22">
        <v>80255.740000000005</v>
      </c>
    </row>
    <row r="855" spans="1:16" x14ac:dyDescent="0.3">
      <c r="A855" s="3" t="s">
        <v>1591</v>
      </c>
      <c r="B855" s="1">
        <v>2</v>
      </c>
      <c r="C855" s="1">
        <v>1</v>
      </c>
      <c r="D855" s="3" t="s">
        <v>1592</v>
      </c>
      <c r="E855" s="13">
        <v>0</v>
      </c>
      <c r="F855" s="12">
        <v>44289.26</v>
      </c>
      <c r="G855" s="12">
        <v>0</v>
      </c>
      <c r="H855" s="13">
        <v>44289.26</v>
      </c>
      <c r="I855" s="13">
        <v>22465.33</v>
      </c>
      <c r="J855" s="12">
        <v>600</v>
      </c>
      <c r="K855" s="12">
        <v>0</v>
      </c>
      <c r="L855" s="13">
        <v>23065.33</v>
      </c>
      <c r="M855" s="22">
        <v>22465.33</v>
      </c>
      <c r="N855" s="23">
        <v>44889.26</v>
      </c>
      <c r="O855" s="23">
        <v>0</v>
      </c>
      <c r="P855" s="22">
        <v>67354.59</v>
      </c>
    </row>
    <row r="856" spans="1:16" x14ac:dyDescent="0.3">
      <c r="A856" s="3" t="s">
        <v>1593</v>
      </c>
      <c r="B856" s="1">
        <v>2</v>
      </c>
      <c r="C856" s="1">
        <v>1</v>
      </c>
      <c r="D856" s="3" t="s">
        <v>1594</v>
      </c>
      <c r="E856" s="13">
        <v>681.14</v>
      </c>
      <c r="F856" s="12">
        <v>68211.61</v>
      </c>
      <c r="G856" s="12">
        <v>0</v>
      </c>
      <c r="H856" s="13">
        <v>68892.75</v>
      </c>
      <c r="I856" s="13">
        <v>25317.200000000001</v>
      </c>
      <c r="J856" s="12">
        <v>1621.82</v>
      </c>
      <c r="K856" s="12">
        <v>0</v>
      </c>
      <c r="L856" s="13">
        <v>26939.02</v>
      </c>
      <c r="M856" s="22">
        <v>25998.34</v>
      </c>
      <c r="N856" s="23">
        <v>69833.430000000008</v>
      </c>
      <c r="O856" s="23">
        <v>0</v>
      </c>
      <c r="P856" s="22">
        <v>95831.77</v>
      </c>
    </row>
    <row r="857" spans="1:16" x14ac:dyDescent="0.3">
      <c r="A857" s="3" t="s">
        <v>1595</v>
      </c>
      <c r="B857" s="1">
        <v>2</v>
      </c>
      <c r="C857" s="1">
        <v>0</v>
      </c>
      <c r="D857" s="3" t="s">
        <v>1596</v>
      </c>
      <c r="E857" s="13">
        <v>276334.07</v>
      </c>
      <c r="F857" s="12">
        <v>796109.57</v>
      </c>
      <c r="G857" s="12">
        <v>0</v>
      </c>
      <c r="H857" s="13">
        <v>1072443.6399999999</v>
      </c>
      <c r="I857" s="13">
        <v>123863</v>
      </c>
      <c r="J857" s="12">
        <v>6300.01</v>
      </c>
      <c r="K857" s="12">
        <v>0</v>
      </c>
      <c r="L857" s="13">
        <v>130163.01</v>
      </c>
      <c r="M857" s="22">
        <v>400197.07</v>
      </c>
      <c r="N857" s="23">
        <v>802409.58</v>
      </c>
      <c r="O857" s="23">
        <v>0</v>
      </c>
      <c r="P857" s="22">
        <v>1202606.6499999999</v>
      </c>
    </row>
    <row r="858" spans="1:16" x14ac:dyDescent="0.3">
      <c r="A858" s="3" t="s">
        <v>1597</v>
      </c>
      <c r="B858" s="1">
        <v>2</v>
      </c>
      <c r="C858" s="1">
        <v>1</v>
      </c>
      <c r="D858" s="3" t="s">
        <v>1598</v>
      </c>
      <c r="E858" s="13">
        <v>207802.55</v>
      </c>
      <c r="F858" s="12">
        <v>766586.16</v>
      </c>
      <c r="G858" s="12">
        <v>0</v>
      </c>
      <c r="H858" s="13">
        <v>974388.71</v>
      </c>
      <c r="I858" s="13">
        <v>81183</v>
      </c>
      <c r="J858" s="12">
        <v>6300.01</v>
      </c>
      <c r="K858" s="12">
        <v>0</v>
      </c>
      <c r="L858" s="13">
        <v>87483.01</v>
      </c>
      <c r="M858" s="22">
        <v>288985.55</v>
      </c>
      <c r="N858" s="23">
        <v>772886.17</v>
      </c>
      <c r="O858" s="23">
        <v>0</v>
      </c>
      <c r="P858" s="22">
        <v>1061871.72</v>
      </c>
    </row>
    <row r="859" spans="1:16" x14ac:dyDescent="0.3">
      <c r="A859" s="3" t="s">
        <v>1599</v>
      </c>
      <c r="B859" s="1">
        <v>2</v>
      </c>
      <c r="C859" s="1">
        <v>1</v>
      </c>
      <c r="D859" s="3" t="s">
        <v>1600</v>
      </c>
      <c r="E859" s="13">
        <v>68531.520000000004</v>
      </c>
      <c r="F859" s="12">
        <v>29523.41</v>
      </c>
      <c r="G859" s="12">
        <v>0</v>
      </c>
      <c r="H859" s="13">
        <v>98054.93</v>
      </c>
      <c r="I859" s="13">
        <v>42680</v>
      </c>
      <c r="J859" s="12">
        <v>0</v>
      </c>
      <c r="K859" s="12">
        <v>0</v>
      </c>
      <c r="L859" s="13">
        <v>42680</v>
      </c>
      <c r="M859" s="22">
        <v>111211.52</v>
      </c>
      <c r="N859" s="23">
        <v>29523.41</v>
      </c>
      <c r="O859" s="23">
        <v>0</v>
      </c>
      <c r="P859" s="22">
        <v>140734.93</v>
      </c>
    </row>
    <row r="860" spans="1:16" x14ac:dyDescent="0.3">
      <c r="A860" s="3" t="s">
        <v>1601</v>
      </c>
      <c r="B860" s="1">
        <v>2</v>
      </c>
      <c r="C860" s="1">
        <v>1</v>
      </c>
      <c r="D860" s="3" t="s">
        <v>1602</v>
      </c>
      <c r="E860" s="13">
        <v>115323.4</v>
      </c>
      <c r="F860" s="17">
        <v>-87079.73</v>
      </c>
      <c r="G860" s="12">
        <v>0.39</v>
      </c>
      <c r="H860" s="13">
        <v>28243.279999999999</v>
      </c>
      <c r="I860" s="13">
        <v>527562.11</v>
      </c>
      <c r="J860" s="12">
        <v>0</v>
      </c>
      <c r="K860" s="12">
        <v>0</v>
      </c>
      <c r="L860" s="13">
        <v>527562.11</v>
      </c>
      <c r="M860" s="22">
        <v>642885.51</v>
      </c>
      <c r="N860" s="23">
        <v>-87079.73</v>
      </c>
      <c r="O860" s="23">
        <v>0.39</v>
      </c>
      <c r="P860" s="22">
        <v>555805.39</v>
      </c>
    </row>
    <row r="861" spans="1:16" x14ac:dyDescent="0.3">
      <c r="A861" s="3" t="s">
        <v>1603</v>
      </c>
      <c r="B861" s="1">
        <v>2</v>
      </c>
      <c r="C861" s="1">
        <v>1</v>
      </c>
      <c r="D861" s="3" t="s">
        <v>1604</v>
      </c>
      <c r="E861" s="13">
        <v>0</v>
      </c>
      <c r="F861" s="12">
        <v>2544.86</v>
      </c>
      <c r="G861" s="12">
        <v>0</v>
      </c>
      <c r="H861" s="13">
        <v>2544.86</v>
      </c>
      <c r="I861" s="13">
        <v>11556.38</v>
      </c>
      <c r="J861" s="12">
        <v>0</v>
      </c>
      <c r="K861" s="12">
        <v>0</v>
      </c>
      <c r="L861" s="13">
        <v>11556.38</v>
      </c>
      <c r="M861" s="22">
        <v>11556.38</v>
      </c>
      <c r="N861" s="23">
        <v>2544.86</v>
      </c>
      <c r="O861" s="23">
        <v>0</v>
      </c>
      <c r="P861" s="22">
        <v>14101.24</v>
      </c>
    </row>
    <row r="862" spans="1:16" x14ac:dyDescent="0.3">
      <c r="A862" s="3" t="s">
        <v>1605</v>
      </c>
      <c r="B862" s="1">
        <v>2</v>
      </c>
      <c r="C862" s="1">
        <v>1</v>
      </c>
      <c r="D862" s="3" t="s">
        <v>1606</v>
      </c>
      <c r="E862" s="13">
        <v>13970.66</v>
      </c>
      <c r="F862" s="12">
        <v>0</v>
      </c>
      <c r="G862" s="12">
        <v>0</v>
      </c>
      <c r="H862" s="13">
        <v>13970.66</v>
      </c>
      <c r="I862" s="13">
        <v>34069.870000000003</v>
      </c>
      <c r="J862" s="12">
        <v>13327</v>
      </c>
      <c r="K862" s="12">
        <v>1351</v>
      </c>
      <c r="L862" s="13">
        <v>46045.87</v>
      </c>
      <c r="M862" s="22">
        <v>48040.53</v>
      </c>
      <c r="N862" s="23">
        <v>13327</v>
      </c>
      <c r="O862" s="23">
        <v>1351</v>
      </c>
      <c r="P862" s="22">
        <v>60016.53</v>
      </c>
    </row>
    <row r="863" spans="1:16" x14ac:dyDescent="0.3">
      <c r="A863" s="3" t="s">
        <v>1607</v>
      </c>
      <c r="B863" s="1">
        <v>2</v>
      </c>
      <c r="C863" s="1">
        <v>1</v>
      </c>
      <c r="D863" s="3" t="s">
        <v>1608</v>
      </c>
      <c r="E863" s="13">
        <v>27500.5</v>
      </c>
      <c r="F863" s="12">
        <v>27500.5</v>
      </c>
      <c r="G863" s="12">
        <v>0</v>
      </c>
      <c r="H863" s="13">
        <v>55001</v>
      </c>
      <c r="I863" s="13">
        <v>0</v>
      </c>
      <c r="J863" s="12">
        <v>0</v>
      </c>
      <c r="K863" s="12">
        <v>0</v>
      </c>
      <c r="L863" s="13">
        <v>0</v>
      </c>
      <c r="M863" s="22">
        <v>27500.5</v>
      </c>
      <c r="N863" s="23">
        <v>27500.5</v>
      </c>
      <c r="O863" s="23">
        <v>0</v>
      </c>
      <c r="P863" s="22">
        <v>55001</v>
      </c>
    </row>
    <row r="864" spans="1:16" x14ac:dyDescent="0.3">
      <c r="A864" s="3" t="s">
        <v>1609</v>
      </c>
      <c r="B864" s="1">
        <v>2</v>
      </c>
      <c r="C864" s="1">
        <v>1</v>
      </c>
      <c r="D864" s="3" t="s">
        <v>1610</v>
      </c>
      <c r="E864" s="13">
        <v>0</v>
      </c>
      <c r="F864" s="12">
        <v>0</v>
      </c>
      <c r="G864" s="12">
        <v>0</v>
      </c>
      <c r="H864" s="13">
        <v>0</v>
      </c>
      <c r="I864" s="13">
        <v>8603.4500000000007</v>
      </c>
      <c r="J864" s="12">
        <v>0</v>
      </c>
      <c r="K864" s="12">
        <v>0</v>
      </c>
      <c r="L864" s="13">
        <v>8603.4500000000007</v>
      </c>
      <c r="M864" s="22">
        <v>8603.4500000000007</v>
      </c>
      <c r="N864" s="23">
        <v>0</v>
      </c>
      <c r="O864" s="23">
        <v>0</v>
      </c>
      <c r="P864" s="22">
        <v>8603.4500000000007</v>
      </c>
    </row>
    <row r="865" spans="1:16" x14ac:dyDescent="0.3">
      <c r="A865" s="3" t="s">
        <v>1611</v>
      </c>
      <c r="B865" s="1">
        <v>2</v>
      </c>
      <c r="C865" s="1">
        <v>1</v>
      </c>
      <c r="D865" s="3" t="s">
        <v>1612</v>
      </c>
      <c r="E865" s="13">
        <v>30000</v>
      </c>
      <c r="F865" s="12">
        <v>0</v>
      </c>
      <c r="G865" s="12">
        <v>0</v>
      </c>
      <c r="H865" s="13">
        <v>30000</v>
      </c>
      <c r="I865" s="13">
        <v>0</v>
      </c>
      <c r="J865" s="12">
        <v>0</v>
      </c>
      <c r="K865" s="12">
        <v>0</v>
      </c>
      <c r="L865" s="13">
        <v>0</v>
      </c>
      <c r="M865" s="22">
        <v>30000</v>
      </c>
      <c r="N865" s="23">
        <v>0</v>
      </c>
      <c r="O865" s="23">
        <v>0</v>
      </c>
      <c r="P865" s="22">
        <v>30000</v>
      </c>
    </row>
    <row r="866" spans="1:16" x14ac:dyDescent="0.3">
      <c r="A866" s="3" t="s">
        <v>1613</v>
      </c>
      <c r="B866" s="1">
        <v>2</v>
      </c>
      <c r="C866" s="1">
        <v>1</v>
      </c>
      <c r="D866" s="3" t="s">
        <v>1614</v>
      </c>
      <c r="E866" s="13">
        <v>0</v>
      </c>
      <c r="F866" s="12">
        <v>0</v>
      </c>
      <c r="G866" s="12">
        <v>0</v>
      </c>
      <c r="H866" s="13">
        <v>0</v>
      </c>
      <c r="I866" s="13">
        <v>1604.51</v>
      </c>
      <c r="J866" s="12">
        <v>31538.17</v>
      </c>
      <c r="K866" s="12">
        <v>0</v>
      </c>
      <c r="L866" s="13">
        <v>33142.68</v>
      </c>
      <c r="M866" s="22">
        <v>1604.51</v>
      </c>
      <c r="N866" s="23">
        <v>31538.17</v>
      </c>
      <c r="O866" s="23">
        <v>0</v>
      </c>
      <c r="P866" s="22">
        <v>33142.68</v>
      </c>
    </row>
    <row r="867" spans="1:16" x14ac:dyDescent="0.3">
      <c r="A867" s="3" t="s">
        <v>1615</v>
      </c>
      <c r="B867" s="1">
        <v>2</v>
      </c>
      <c r="C867" s="1">
        <v>1</v>
      </c>
      <c r="D867" s="3" t="s">
        <v>1616</v>
      </c>
      <c r="E867" s="13">
        <v>0</v>
      </c>
      <c r="F867" s="12">
        <v>0</v>
      </c>
      <c r="G867" s="12">
        <v>0</v>
      </c>
      <c r="H867" s="13">
        <v>0</v>
      </c>
      <c r="I867" s="13">
        <v>521917.53</v>
      </c>
      <c r="J867" s="12">
        <v>0</v>
      </c>
      <c r="K867" s="12">
        <v>0</v>
      </c>
      <c r="L867" s="13">
        <v>521917.53</v>
      </c>
      <c r="M867" s="22">
        <v>521917.53</v>
      </c>
      <c r="N867" s="23">
        <v>0</v>
      </c>
      <c r="O867" s="23">
        <v>0</v>
      </c>
      <c r="P867" s="22">
        <v>521917.53</v>
      </c>
    </row>
    <row r="868" spans="1:16" x14ac:dyDescent="0.3">
      <c r="A868" s="3" t="s">
        <v>1617</v>
      </c>
      <c r="B868" s="1">
        <v>2</v>
      </c>
      <c r="C868" s="1">
        <v>1</v>
      </c>
      <c r="D868" s="3" t="s">
        <v>1618</v>
      </c>
      <c r="E868" s="13">
        <v>895.91</v>
      </c>
      <c r="F868" s="12">
        <v>3354</v>
      </c>
      <c r="G868" s="12">
        <v>109.41</v>
      </c>
      <c r="H868" s="13">
        <v>4140.5</v>
      </c>
      <c r="I868" s="13">
        <v>3008.94</v>
      </c>
      <c r="J868" s="12">
        <v>3349</v>
      </c>
      <c r="K868" s="12">
        <v>1.61</v>
      </c>
      <c r="L868" s="13">
        <v>6356.33</v>
      </c>
      <c r="M868" s="22">
        <v>3904.85</v>
      </c>
      <c r="N868" s="23">
        <v>6703</v>
      </c>
      <c r="O868" s="23">
        <v>111.02</v>
      </c>
      <c r="P868" s="22">
        <v>10496.83</v>
      </c>
    </row>
    <row r="869" spans="1:16" x14ac:dyDescent="0.3">
      <c r="A869" s="3" t="s">
        <v>1619</v>
      </c>
      <c r="B869" s="1">
        <v>2</v>
      </c>
      <c r="C869" s="1">
        <v>1</v>
      </c>
      <c r="D869" s="3" t="s">
        <v>1620</v>
      </c>
      <c r="E869" s="13">
        <v>14706.07</v>
      </c>
      <c r="F869" s="12">
        <v>5501.35</v>
      </c>
      <c r="G869" s="12">
        <v>0.06</v>
      </c>
      <c r="H869" s="13">
        <v>20207.36</v>
      </c>
      <c r="I869" s="13">
        <v>149333.42000000001</v>
      </c>
      <c r="J869" s="12">
        <v>25751.95</v>
      </c>
      <c r="K869" s="12">
        <v>1200</v>
      </c>
      <c r="L869" s="13">
        <v>173885.37</v>
      </c>
      <c r="M869" s="22">
        <v>164039.49000000002</v>
      </c>
      <c r="N869" s="23">
        <v>31253.300000000003</v>
      </c>
      <c r="O869" s="23">
        <v>1200.06</v>
      </c>
      <c r="P869" s="22">
        <v>194092.72999999998</v>
      </c>
    </row>
    <row r="870" spans="1:16" x14ac:dyDescent="0.3">
      <c r="A870" s="3" t="s">
        <v>1621</v>
      </c>
      <c r="B870" s="1">
        <v>2</v>
      </c>
      <c r="C870" s="1">
        <v>1</v>
      </c>
      <c r="D870" s="3" t="s">
        <v>1622</v>
      </c>
      <c r="E870" s="13">
        <v>0</v>
      </c>
      <c r="F870" s="12">
        <v>0</v>
      </c>
      <c r="G870" s="12">
        <v>0</v>
      </c>
      <c r="H870" s="13">
        <v>0</v>
      </c>
      <c r="I870" s="13">
        <v>115027.29</v>
      </c>
      <c r="J870" s="12">
        <v>0</v>
      </c>
      <c r="K870" s="12">
        <v>0</v>
      </c>
      <c r="L870" s="13">
        <v>115027.29</v>
      </c>
      <c r="M870" s="22">
        <v>115027.29</v>
      </c>
      <c r="N870" s="23">
        <v>0</v>
      </c>
      <c r="O870" s="23">
        <v>0</v>
      </c>
      <c r="P870" s="22">
        <v>115027.29</v>
      </c>
    </row>
    <row r="871" spans="1:16" x14ac:dyDescent="0.3">
      <c r="A871" s="3" t="s">
        <v>1623</v>
      </c>
      <c r="B871" s="1">
        <v>2</v>
      </c>
      <c r="C871" s="1">
        <v>1</v>
      </c>
      <c r="D871" s="3" t="s">
        <v>1624</v>
      </c>
      <c r="E871" s="13">
        <v>0</v>
      </c>
      <c r="F871" s="12">
        <v>0</v>
      </c>
      <c r="G871" s="12">
        <v>0</v>
      </c>
      <c r="H871" s="13">
        <v>0</v>
      </c>
      <c r="I871" s="13">
        <v>88226.64</v>
      </c>
      <c r="J871" s="12">
        <v>15792</v>
      </c>
      <c r="K871" s="12">
        <v>0</v>
      </c>
      <c r="L871" s="13">
        <v>104018.64</v>
      </c>
      <c r="M871" s="22">
        <v>88226.64</v>
      </c>
      <c r="N871" s="23">
        <v>15792</v>
      </c>
      <c r="O871" s="23">
        <v>0</v>
      </c>
      <c r="P871" s="22">
        <v>104018.64</v>
      </c>
    </row>
    <row r="872" spans="1:16" x14ac:dyDescent="0.3">
      <c r="A872" s="3" t="s">
        <v>1625</v>
      </c>
      <c r="B872" s="1">
        <v>2</v>
      </c>
      <c r="C872" s="1">
        <v>1</v>
      </c>
      <c r="D872" s="3" t="s">
        <v>1626</v>
      </c>
      <c r="E872" s="13">
        <v>0</v>
      </c>
      <c r="F872" s="12">
        <v>0</v>
      </c>
      <c r="G872" s="12">
        <v>0</v>
      </c>
      <c r="H872" s="13">
        <v>0</v>
      </c>
      <c r="I872" s="13">
        <v>39295.32</v>
      </c>
      <c r="J872" s="12">
        <v>0</v>
      </c>
      <c r="K872" s="12">
        <v>0</v>
      </c>
      <c r="L872" s="13">
        <v>39295.32</v>
      </c>
      <c r="M872" s="22">
        <v>39295.32</v>
      </c>
      <c r="N872" s="23">
        <v>0</v>
      </c>
      <c r="O872" s="23">
        <v>0</v>
      </c>
      <c r="P872" s="22">
        <v>39295.32</v>
      </c>
    </row>
    <row r="873" spans="1:16" x14ac:dyDescent="0.3">
      <c r="A873" s="3" t="s">
        <v>1627</v>
      </c>
      <c r="B873" s="2">
        <v>1</v>
      </c>
      <c r="C873" s="2">
        <v>0</v>
      </c>
      <c r="D873" s="14" t="s">
        <v>1628</v>
      </c>
      <c r="E873" s="15">
        <v>2850494.73</v>
      </c>
      <c r="F873" s="16">
        <v>1638750.99</v>
      </c>
      <c r="G873" s="16">
        <v>20068.57</v>
      </c>
      <c r="H873" s="15">
        <v>4469177.1500000004</v>
      </c>
      <c r="I873" s="15">
        <v>3374412.39</v>
      </c>
      <c r="J873" s="16">
        <v>696473.01</v>
      </c>
      <c r="K873" s="16">
        <v>0</v>
      </c>
      <c r="L873" s="15">
        <v>4070885.4</v>
      </c>
      <c r="M873" s="15">
        <v>6224907.1200000001</v>
      </c>
      <c r="N873" s="16">
        <v>2335224</v>
      </c>
      <c r="O873" s="16">
        <v>20068.57</v>
      </c>
      <c r="P873" s="15">
        <v>8540062.5500000007</v>
      </c>
    </row>
    <row r="874" spans="1:16" x14ac:dyDescent="0.3">
      <c r="A874" s="3" t="s">
        <v>1629</v>
      </c>
      <c r="B874" s="1">
        <v>2</v>
      </c>
      <c r="C874" s="1">
        <v>0</v>
      </c>
      <c r="D874" s="3" t="s">
        <v>1630</v>
      </c>
      <c r="E874" s="13">
        <v>1411062.61</v>
      </c>
      <c r="F874" s="12">
        <v>652984.57999999996</v>
      </c>
      <c r="G874" s="12">
        <v>0</v>
      </c>
      <c r="H874" s="13">
        <v>2064047.19</v>
      </c>
      <c r="I874" s="13">
        <v>696183.2</v>
      </c>
      <c r="J874" s="12">
        <v>7828.85</v>
      </c>
      <c r="K874" s="12">
        <v>0</v>
      </c>
      <c r="L874" s="13">
        <v>704012.05</v>
      </c>
      <c r="M874" s="22">
        <v>2107245.81</v>
      </c>
      <c r="N874" s="23">
        <v>660813.42999999993</v>
      </c>
      <c r="O874" s="23">
        <v>0</v>
      </c>
      <c r="P874" s="22">
        <v>2768059.24</v>
      </c>
    </row>
    <row r="875" spans="1:16" x14ac:dyDescent="0.3">
      <c r="A875" s="3" t="s">
        <v>1631</v>
      </c>
      <c r="B875" s="1">
        <v>2</v>
      </c>
      <c r="C875" s="1">
        <v>1</v>
      </c>
      <c r="D875" s="3" t="s">
        <v>1632</v>
      </c>
      <c r="E875" s="13">
        <v>571289.73</v>
      </c>
      <c r="F875" s="12">
        <v>221080.15</v>
      </c>
      <c r="G875" s="12">
        <v>0</v>
      </c>
      <c r="H875" s="13">
        <v>792369.88</v>
      </c>
      <c r="I875" s="13">
        <v>232636.91</v>
      </c>
      <c r="J875" s="12">
        <v>0</v>
      </c>
      <c r="K875" s="12">
        <v>0</v>
      </c>
      <c r="L875" s="13">
        <v>232636.91</v>
      </c>
      <c r="M875" s="22">
        <v>803926.64</v>
      </c>
      <c r="N875" s="23">
        <v>221080.15</v>
      </c>
      <c r="O875" s="23">
        <v>0</v>
      </c>
      <c r="P875" s="22">
        <v>1025006.79</v>
      </c>
    </row>
    <row r="876" spans="1:16" x14ac:dyDescent="0.3">
      <c r="A876" s="3" t="s">
        <v>1633</v>
      </c>
      <c r="B876" s="1">
        <v>2</v>
      </c>
      <c r="C876" s="1">
        <v>1</v>
      </c>
      <c r="D876" s="3" t="s">
        <v>1634</v>
      </c>
      <c r="E876" s="13">
        <v>0</v>
      </c>
      <c r="F876" s="12">
        <v>0</v>
      </c>
      <c r="G876" s="12">
        <v>0</v>
      </c>
      <c r="H876" s="13">
        <v>0</v>
      </c>
      <c r="I876" s="13">
        <v>18500.080000000002</v>
      </c>
      <c r="J876" s="12">
        <v>0</v>
      </c>
      <c r="K876" s="12">
        <v>0</v>
      </c>
      <c r="L876" s="13">
        <v>18500.080000000002</v>
      </c>
      <c r="M876" s="22">
        <v>18500.080000000002</v>
      </c>
      <c r="N876" s="23">
        <v>0</v>
      </c>
      <c r="O876" s="23">
        <v>0</v>
      </c>
      <c r="P876" s="22">
        <v>18500.080000000002</v>
      </c>
    </row>
    <row r="877" spans="1:16" x14ac:dyDescent="0.3">
      <c r="A877" s="3" t="s">
        <v>1635</v>
      </c>
      <c r="B877" s="1">
        <v>2</v>
      </c>
      <c r="C877" s="1">
        <v>1</v>
      </c>
      <c r="D877" s="3" t="s">
        <v>1636</v>
      </c>
      <c r="E877" s="13">
        <v>57615.6</v>
      </c>
      <c r="F877" s="12">
        <v>22237.599999999999</v>
      </c>
      <c r="G877" s="12">
        <v>0</v>
      </c>
      <c r="H877" s="13">
        <v>79853.2</v>
      </c>
      <c r="I877" s="13">
        <v>4753.0200000000004</v>
      </c>
      <c r="J877" s="12">
        <v>0</v>
      </c>
      <c r="K877" s="12">
        <v>0</v>
      </c>
      <c r="L877" s="13">
        <v>4753.0200000000004</v>
      </c>
      <c r="M877" s="22">
        <v>62368.619999999995</v>
      </c>
      <c r="N877" s="23">
        <v>22237.599999999999</v>
      </c>
      <c r="O877" s="23">
        <v>0</v>
      </c>
      <c r="P877" s="22">
        <v>84606.22</v>
      </c>
    </row>
    <row r="878" spans="1:16" x14ac:dyDescent="0.3">
      <c r="A878" s="3" t="s">
        <v>1637</v>
      </c>
      <c r="B878" s="1">
        <v>2</v>
      </c>
      <c r="C878" s="1">
        <v>1</v>
      </c>
      <c r="D878" s="3" t="s">
        <v>1638</v>
      </c>
      <c r="E878" s="13">
        <v>57615.6</v>
      </c>
      <c r="F878" s="12">
        <v>22237.599999999999</v>
      </c>
      <c r="G878" s="12">
        <v>0</v>
      </c>
      <c r="H878" s="13">
        <v>79853.2</v>
      </c>
      <c r="I878" s="13">
        <v>45488.22</v>
      </c>
      <c r="J878" s="12">
        <v>0</v>
      </c>
      <c r="K878" s="12">
        <v>0</v>
      </c>
      <c r="L878" s="13">
        <v>45488.22</v>
      </c>
      <c r="M878" s="22">
        <v>103103.82</v>
      </c>
      <c r="N878" s="23">
        <v>22237.599999999999</v>
      </c>
      <c r="O878" s="23">
        <v>0</v>
      </c>
      <c r="P878" s="22">
        <v>125341.42</v>
      </c>
    </row>
    <row r="879" spans="1:16" x14ac:dyDescent="0.3">
      <c r="A879" s="3" t="s">
        <v>1639</v>
      </c>
      <c r="B879" s="1">
        <v>2</v>
      </c>
      <c r="C879" s="1">
        <v>1</v>
      </c>
      <c r="D879" s="3" t="s">
        <v>1640</v>
      </c>
      <c r="E879" s="13">
        <v>11543.79</v>
      </c>
      <c r="F879" s="12">
        <v>1296.29</v>
      </c>
      <c r="G879" s="12">
        <v>0</v>
      </c>
      <c r="H879" s="13">
        <v>12840.08</v>
      </c>
      <c r="I879" s="13">
        <v>11778.16</v>
      </c>
      <c r="J879" s="12">
        <v>0</v>
      </c>
      <c r="K879" s="12">
        <v>0</v>
      </c>
      <c r="L879" s="13">
        <v>11778.16</v>
      </c>
      <c r="M879" s="22">
        <v>23321.95</v>
      </c>
      <c r="N879" s="23">
        <v>1296.29</v>
      </c>
      <c r="O879" s="23">
        <v>0</v>
      </c>
      <c r="P879" s="22">
        <v>24618.239999999998</v>
      </c>
    </row>
    <row r="880" spans="1:16" x14ac:dyDescent="0.3">
      <c r="A880" s="3" t="s">
        <v>1641</v>
      </c>
      <c r="B880" s="1">
        <v>2</v>
      </c>
      <c r="C880" s="1">
        <v>1</v>
      </c>
      <c r="D880" s="3" t="s">
        <v>1642</v>
      </c>
      <c r="E880" s="13">
        <v>5354.58</v>
      </c>
      <c r="F880" s="12">
        <v>1010.8</v>
      </c>
      <c r="G880" s="12">
        <v>0</v>
      </c>
      <c r="H880" s="13">
        <v>6365.38</v>
      </c>
      <c r="I880" s="13">
        <v>866.4</v>
      </c>
      <c r="J880" s="12">
        <v>0</v>
      </c>
      <c r="K880" s="12">
        <v>0</v>
      </c>
      <c r="L880" s="13">
        <v>866.4</v>
      </c>
      <c r="M880" s="22">
        <v>6220.98</v>
      </c>
      <c r="N880" s="23">
        <v>1010.8</v>
      </c>
      <c r="O880" s="23">
        <v>0</v>
      </c>
      <c r="P880" s="22">
        <v>7231.78</v>
      </c>
    </row>
    <row r="881" spans="1:16" x14ac:dyDescent="0.3">
      <c r="A881" s="3" t="s">
        <v>1643</v>
      </c>
      <c r="B881" s="1">
        <v>2</v>
      </c>
      <c r="C881" s="1">
        <v>1</v>
      </c>
      <c r="D881" s="3" t="s">
        <v>1644</v>
      </c>
      <c r="E881" s="13">
        <v>361</v>
      </c>
      <c r="F881" s="12">
        <v>0</v>
      </c>
      <c r="G881" s="12">
        <v>0</v>
      </c>
      <c r="H881" s="13">
        <v>361</v>
      </c>
      <c r="I881" s="13">
        <v>24501.93</v>
      </c>
      <c r="J881" s="12">
        <v>0</v>
      </c>
      <c r="K881" s="12">
        <v>0</v>
      </c>
      <c r="L881" s="13">
        <v>24501.93</v>
      </c>
      <c r="M881" s="22">
        <v>24862.93</v>
      </c>
      <c r="N881" s="23">
        <v>0</v>
      </c>
      <c r="O881" s="23">
        <v>0</v>
      </c>
      <c r="P881" s="22">
        <v>24862.93</v>
      </c>
    </row>
    <row r="882" spans="1:16" x14ac:dyDescent="0.3">
      <c r="A882" s="3" t="s">
        <v>1645</v>
      </c>
      <c r="B882" s="1">
        <v>2</v>
      </c>
      <c r="C882" s="1">
        <v>1</v>
      </c>
      <c r="D882" s="3" t="s">
        <v>1646</v>
      </c>
      <c r="E882" s="13">
        <v>56958.31</v>
      </c>
      <c r="F882" s="12">
        <v>12454.52</v>
      </c>
      <c r="G882" s="12">
        <v>0</v>
      </c>
      <c r="H882" s="13">
        <v>69412.83</v>
      </c>
      <c r="I882" s="13">
        <v>0</v>
      </c>
      <c r="J882" s="12">
        <v>0</v>
      </c>
      <c r="K882" s="12">
        <v>0</v>
      </c>
      <c r="L882" s="13">
        <v>0</v>
      </c>
      <c r="M882" s="22">
        <v>56958.31</v>
      </c>
      <c r="N882" s="23">
        <v>12454.52</v>
      </c>
      <c r="O882" s="23">
        <v>0</v>
      </c>
      <c r="P882" s="22">
        <v>69412.83</v>
      </c>
    </row>
    <row r="883" spans="1:16" x14ac:dyDescent="0.3">
      <c r="A883" s="3" t="s">
        <v>1647</v>
      </c>
      <c r="B883" s="1">
        <v>2</v>
      </c>
      <c r="C883" s="1">
        <v>1</v>
      </c>
      <c r="D883" s="3" t="s">
        <v>1648</v>
      </c>
      <c r="E883" s="13">
        <v>54132.5</v>
      </c>
      <c r="F883" s="12">
        <v>20889</v>
      </c>
      <c r="G883" s="12">
        <v>0</v>
      </c>
      <c r="H883" s="13">
        <v>75021.5</v>
      </c>
      <c r="I883" s="13">
        <v>22733.48</v>
      </c>
      <c r="J883" s="12">
        <v>0</v>
      </c>
      <c r="K883" s="12">
        <v>0</v>
      </c>
      <c r="L883" s="13">
        <v>22733.48</v>
      </c>
      <c r="M883" s="22">
        <v>76865.98</v>
      </c>
      <c r="N883" s="23">
        <v>20889</v>
      </c>
      <c r="O883" s="23">
        <v>0</v>
      </c>
      <c r="P883" s="22">
        <v>97754.98</v>
      </c>
    </row>
    <row r="884" spans="1:16" x14ac:dyDescent="0.3">
      <c r="A884" s="3" t="s">
        <v>1649</v>
      </c>
      <c r="B884" s="1">
        <v>2</v>
      </c>
      <c r="C884" s="1">
        <v>1</v>
      </c>
      <c r="D884" s="3" t="s">
        <v>1650</v>
      </c>
      <c r="E884" s="13">
        <v>0</v>
      </c>
      <c r="F884" s="12">
        <v>0</v>
      </c>
      <c r="G884" s="12">
        <v>0</v>
      </c>
      <c r="H884" s="13">
        <v>0</v>
      </c>
      <c r="I884" s="13">
        <v>25629.19</v>
      </c>
      <c r="J884" s="12">
        <v>0</v>
      </c>
      <c r="K884" s="12">
        <v>0</v>
      </c>
      <c r="L884" s="13">
        <v>25629.19</v>
      </c>
      <c r="M884" s="22">
        <v>25629.19</v>
      </c>
      <c r="N884" s="23">
        <v>0</v>
      </c>
      <c r="O884" s="23">
        <v>0</v>
      </c>
      <c r="P884" s="22">
        <v>25629.19</v>
      </c>
    </row>
    <row r="885" spans="1:16" x14ac:dyDescent="0.3">
      <c r="A885" s="3" t="s">
        <v>1651</v>
      </c>
      <c r="B885" s="1">
        <v>2</v>
      </c>
      <c r="C885" s="1">
        <v>1</v>
      </c>
      <c r="D885" s="3" t="s">
        <v>1652</v>
      </c>
      <c r="E885" s="13">
        <v>28605.79</v>
      </c>
      <c r="F885" s="12">
        <v>11118.86</v>
      </c>
      <c r="G885" s="12">
        <v>0</v>
      </c>
      <c r="H885" s="13">
        <v>39724.65</v>
      </c>
      <c r="I885" s="13">
        <v>10183.709999999999</v>
      </c>
      <c r="J885" s="12">
        <v>0</v>
      </c>
      <c r="K885" s="12">
        <v>0</v>
      </c>
      <c r="L885" s="13">
        <v>10183.709999999999</v>
      </c>
      <c r="M885" s="22">
        <v>38789.5</v>
      </c>
      <c r="N885" s="23">
        <v>11118.86</v>
      </c>
      <c r="O885" s="23">
        <v>0</v>
      </c>
      <c r="P885" s="22">
        <v>49908.36</v>
      </c>
    </row>
    <row r="886" spans="1:16" x14ac:dyDescent="0.3">
      <c r="A886" s="3" t="s">
        <v>1653</v>
      </c>
      <c r="B886" s="1">
        <v>2</v>
      </c>
      <c r="C886" s="1">
        <v>1</v>
      </c>
      <c r="D886" s="3" t="s">
        <v>1654</v>
      </c>
      <c r="E886" s="13">
        <v>0</v>
      </c>
      <c r="F886" s="12">
        <v>0</v>
      </c>
      <c r="G886" s="12">
        <v>0</v>
      </c>
      <c r="H886" s="13">
        <v>0</v>
      </c>
      <c r="I886" s="13">
        <v>6789.99</v>
      </c>
      <c r="J886" s="12">
        <v>0</v>
      </c>
      <c r="K886" s="12">
        <v>0</v>
      </c>
      <c r="L886" s="13">
        <v>6789.99</v>
      </c>
      <c r="M886" s="22">
        <v>6789.99</v>
      </c>
      <c r="N886" s="23">
        <v>0</v>
      </c>
      <c r="O886" s="23">
        <v>0</v>
      </c>
      <c r="P886" s="22">
        <v>6789.99</v>
      </c>
    </row>
    <row r="887" spans="1:16" x14ac:dyDescent="0.3">
      <c r="A887" s="3" t="s">
        <v>1655</v>
      </c>
      <c r="B887" s="1">
        <v>2</v>
      </c>
      <c r="C887" s="1">
        <v>1</v>
      </c>
      <c r="D887" s="3" t="s">
        <v>1656</v>
      </c>
      <c r="E887" s="13">
        <v>6948.56</v>
      </c>
      <c r="F887" s="12">
        <v>1737.14</v>
      </c>
      <c r="G887" s="12">
        <v>0</v>
      </c>
      <c r="H887" s="13">
        <v>8685.7000000000007</v>
      </c>
      <c r="I887" s="13">
        <v>0</v>
      </c>
      <c r="J887" s="12">
        <v>0</v>
      </c>
      <c r="K887" s="12">
        <v>0</v>
      </c>
      <c r="L887" s="13">
        <v>0</v>
      </c>
      <c r="M887" s="22">
        <v>6948.56</v>
      </c>
      <c r="N887" s="23">
        <v>1737.14</v>
      </c>
      <c r="O887" s="23">
        <v>0</v>
      </c>
      <c r="P887" s="22">
        <v>8685.7000000000007</v>
      </c>
    </row>
    <row r="888" spans="1:16" x14ac:dyDescent="0.3">
      <c r="A888" s="3" t="s">
        <v>1657</v>
      </c>
      <c r="B888" s="1">
        <v>2</v>
      </c>
      <c r="C888" s="1">
        <v>1</v>
      </c>
      <c r="D888" s="3" t="s">
        <v>1658</v>
      </c>
      <c r="E888" s="13">
        <v>503413.15</v>
      </c>
      <c r="F888" s="12">
        <v>108614.5</v>
      </c>
      <c r="G888" s="12">
        <v>0</v>
      </c>
      <c r="H888" s="13">
        <v>612027.65</v>
      </c>
      <c r="I888" s="13">
        <v>280129.67</v>
      </c>
      <c r="J888" s="12">
        <v>0</v>
      </c>
      <c r="K888" s="12">
        <v>0</v>
      </c>
      <c r="L888" s="13">
        <v>280129.67</v>
      </c>
      <c r="M888" s="22">
        <v>783542.82000000007</v>
      </c>
      <c r="N888" s="23">
        <v>108614.5</v>
      </c>
      <c r="O888" s="23">
        <v>0</v>
      </c>
      <c r="P888" s="22">
        <v>892157.32000000007</v>
      </c>
    </row>
    <row r="889" spans="1:16" x14ac:dyDescent="0.3">
      <c r="A889" s="3" t="s">
        <v>1659</v>
      </c>
      <c r="B889" s="1">
        <v>2</v>
      </c>
      <c r="C889" s="1">
        <v>1</v>
      </c>
      <c r="D889" s="3" t="s">
        <v>1660</v>
      </c>
      <c r="E889" s="13">
        <v>0</v>
      </c>
      <c r="F889" s="12">
        <v>230308.12</v>
      </c>
      <c r="G889" s="12">
        <v>0</v>
      </c>
      <c r="H889" s="13">
        <v>230308.12</v>
      </c>
      <c r="I889" s="13">
        <v>12192.44</v>
      </c>
      <c r="J889" s="12">
        <v>7828.85</v>
      </c>
      <c r="K889" s="12">
        <v>0</v>
      </c>
      <c r="L889" s="13">
        <v>20021.29</v>
      </c>
      <c r="M889" s="22">
        <v>12192.44</v>
      </c>
      <c r="N889" s="23">
        <v>238136.97</v>
      </c>
      <c r="O889" s="23">
        <v>0</v>
      </c>
      <c r="P889" s="22">
        <v>250329.41</v>
      </c>
    </row>
    <row r="890" spans="1:16" x14ac:dyDescent="0.3">
      <c r="A890" s="3" t="s">
        <v>1661</v>
      </c>
      <c r="B890" s="1">
        <v>2</v>
      </c>
      <c r="C890" s="1">
        <v>1</v>
      </c>
      <c r="D890" s="3" t="s">
        <v>1662</v>
      </c>
      <c r="E890" s="13">
        <v>57224</v>
      </c>
      <c r="F890" s="12">
        <v>0</v>
      </c>
      <c r="G890" s="12">
        <v>0</v>
      </c>
      <c r="H890" s="13">
        <v>57224</v>
      </c>
      <c r="I890" s="13">
        <v>0</v>
      </c>
      <c r="J890" s="12">
        <v>0</v>
      </c>
      <c r="K890" s="12">
        <v>0</v>
      </c>
      <c r="L890" s="13">
        <v>0</v>
      </c>
      <c r="M890" s="22">
        <v>57224</v>
      </c>
      <c r="N890" s="23">
        <v>0</v>
      </c>
      <c r="O890" s="23">
        <v>0</v>
      </c>
      <c r="P890" s="22">
        <v>57224</v>
      </c>
    </row>
    <row r="891" spans="1:16" x14ac:dyDescent="0.3">
      <c r="A891" s="3" t="s">
        <v>1663</v>
      </c>
      <c r="B891" s="1">
        <v>2</v>
      </c>
      <c r="C891" s="1">
        <v>1</v>
      </c>
      <c r="D891" s="3" t="s">
        <v>1664</v>
      </c>
      <c r="E891" s="13">
        <v>71591.97</v>
      </c>
      <c r="F891" s="12">
        <v>23542.45</v>
      </c>
      <c r="G891" s="12">
        <v>0</v>
      </c>
      <c r="H891" s="13">
        <v>95134.42</v>
      </c>
      <c r="I891" s="13">
        <v>30547.08</v>
      </c>
      <c r="J891" s="12">
        <v>0</v>
      </c>
      <c r="K891" s="12">
        <v>0</v>
      </c>
      <c r="L891" s="13">
        <v>30547.08</v>
      </c>
      <c r="M891" s="22">
        <v>102139.05</v>
      </c>
      <c r="N891" s="23">
        <v>23542.45</v>
      </c>
      <c r="O891" s="23">
        <v>0</v>
      </c>
      <c r="P891" s="22">
        <v>125681.5</v>
      </c>
    </row>
    <row r="892" spans="1:16" x14ac:dyDescent="0.3">
      <c r="A892" s="3" t="s">
        <v>1665</v>
      </c>
      <c r="B892" s="1">
        <v>2</v>
      </c>
      <c r="C892" s="1">
        <v>1</v>
      </c>
      <c r="D892" s="3" t="s">
        <v>1666</v>
      </c>
      <c r="E892" s="13">
        <v>38785.49</v>
      </c>
      <c r="F892" s="12">
        <v>0</v>
      </c>
      <c r="G892" s="12">
        <v>0</v>
      </c>
      <c r="H892" s="13">
        <v>38785.49</v>
      </c>
      <c r="I892" s="13">
        <v>16147.98</v>
      </c>
      <c r="J892" s="12">
        <v>0</v>
      </c>
      <c r="K892" s="12">
        <v>0</v>
      </c>
      <c r="L892" s="13">
        <v>16147.98</v>
      </c>
      <c r="M892" s="22">
        <v>54933.47</v>
      </c>
      <c r="N892" s="23">
        <v>0</v>
      </c>
      <c r="O892" s="23">
        <v>0</v>
      </c>
      <c r="P892" s="22">
        <v>54933.47</v>
      </c>
    </row>
    <row r="893" spans="1:16" x14ac:dyDescent="0.3">
      <c r="A893" s="3" t="s">
        <v>1667</v>
      </c>
      <c r="B893" s="1">
        <v>2</v>
      </c>
      <c r="C893" s="1">
        <v>1</v>
      </c>
      <c r="D893" s="3" t="s">
        <v>1668</v>
      </c>
      <c r="E893" s="13">
        <v>63477.77</v>
      </c>
      <c r="F893" s="12">
        <v>0</v>
      </c>
      <c r="G893" s="12">
        <v>0</v>
      </c>
      <c r="H893" s="13">
        <v>63477.77</v>
      </c>
      <c r="I893" s="13">
        <v>27199.66</v>
      </c>
      <c r="J893" s="12">
        <v>0</v>
      </c>
      <c r="K893" s="12">
        <v>0</v>
      </c>
      <c r="L893" s="13">
        <v>27199.66</v>
      </c>
      <c r="M893" s="22">
        <v>90677.43</v>
      </c>
      <c r="N893" s="23">
        <v>0</v>
      </c>
      <c r="O893" s="23">
        <v>0</v>
      </c>
      <c r="P893" s="22">
        <v>90677.43</v>
      </c>
    </row>
    <row r="894" spans="1:16" x14ac:dyDescent="0.3">
      <c r="A894" s="3" t="s">
        <v>1669</v>
      </c>
      <c r="B894" s="1">
        <v>2</v>
      </c>
      <c r="C894" s="1">
        <v>1</v>
      </c>
      <c r="D894" s="3" t="s">
        <v>1670</v>
      </c>
      <c r="E894" s="13">
        <v>23635.42</v>
      </c>
      <c r="F894" s="12">
        <v>8996.06</v>
      </c>
      <c r="G894" s="12">
        <v>0</v>
      </c>
      <c r="H894" s="13">
        <v>32631.48</v>
      </c>
      <c r="I894" s="13">
        <v>11631.93</v>
      </c>
      <c r="J894" s="12">
        <v>0</v>
      </c>
      <c r="K894" s="12">
        <v>0</v>
      </c>
      <c r="L894" s="13">
        <v>11631.93</v>
      </c>
      <c r="M894" s="22">
        <v>35267.35</v>
      </c>
      <c r="N894" s="23">
        <v>8996.06</v>
      </c>
      <c r="O894" s="23">
        <v>0</v>
      </c>
      <c r="P894" s="22">
        <v>44263.41</v>
      </c>
    </row>
    <row r="895" spans="1:16" x14ac:dyDescent="0.3">
      <c r="A895" s="3" t="s">
        <v>1671</v>
      </c>
      <c r="B895" s="1">
        <v>2</v>
      </c>
      <c r="C895" s="1">
        <v>1</v>
      </c>
      <c r="D895" s="3" t="s">
        <v>1672</v>
      </c>
      <c r="E895" s="13">
        <v>0</v>
      </c>
      <c r="F895" s="12">
        <v>2950</v>
      </c>
      <c r="G895" s="12">
        <v>0</v>
      </c>
      <c r="H895" s="13">
        <v>2950</v>
      </c>
      <c r="I895" s="13">
        <v>0</v>
      </c>
      <c r="J895" s="12">
        <v>0</v>
      </c>
      <c r="K895" s="12">
        <v>0</v>
      </c>
      <c r="L895" s="13">
        <v>0</v>
      </c>
      <c r="M895" s="22">
        <v>0</v>
      </c>
      <c r="N895" s="23">
        <v>2950</v>
      </c>
      <c r="O895" s="23">
        <v>0</v>
      </c>
      <c r="P895" s="22">
        <v>2950</v>
      </c>
    </row>
    <row r="896" spans="1:16" x14ac:dyDescent="0.3">
      <c r="A896" s="3" t="s">
        <v>1673</v>
      </c>
      <c r="B896" s="1">
        <v>2</v>
      </c>
      <c r="C896" s="1">
        <v>1</v>
      </c>
      <c r="D896" s="3" t="s">
        <v>1674</v>
      </c>
      <c r="E896" s="13">
        <v>234706.31</v>
      </c>
      <c r="F896" s="12">
        <v>183254.7</v>
      </c>
      <c r="G896" s="12">
        <v>0</v>
      </c>
      <c r="H896" s="13">
        <v>417961.01</v>
      </c>
      <c r="I896" s="13">
        <v>665923</v>
      </c>
      <c r="J896" s="12">
        <v>100000</v>
      </c>
      <c r="K896" s="12">
        <v>0</v>
      </c>
      <c r="L896" s="13">
        <v>765923</v>
      </c>
      <c r="M896" s="22">
        <v>900629.31</v>
      </c>
      <c r="N896" s="23">
        <v>283254.7</v>
      </c>
      <c r="O896" s="23">
        <v>0</v>
      </c>
      <c r="P896" s="22">
        <v>1183884.01</v>
      </c>
    </row>
    <row r="897" spans="1:16" x14ac:dyDescent="0.3">
      <c r="A897" s="3" t="s">
        <v>1675</v>
      </c>
      <c r="B897" s="1">
        <v>2</v>
      </c>
      <c r="C897" s="1">
        <v>1</v>
      </c>
      <c r="D897" s="3" t="s">
        <v>1582</v>
      </c>
      <c r="E897" s="13">
        <v>116365.3</v>
      </c>
      <c r="F897" s="12">
        <v>729.42</v>
      </c>
      <c r="G897" s="12">
        <v>20068.57</v>
      </c>
      <c r="H897" s="13">
        <v>97026.15</v>
      </c>
      <c r="I897" s="13">
        <v>0</v>
      </c>
      <c r="J897" s="12">
        <v>0</v>
      </c>
      <c r="K897" s="12">
        <v>0</v>
      </c>
      <c r="L897" s="13">
        <v>0</v>
      </c>
      <c r="M897" s="22">
        <v>116365.3</v>
      </c>
      <c r="N897" s="23">
        <v>729.42</v>
      </c>
      <c r="O897" s="23">
        <v>20068.57</v>
      </c>
      <c r="P897" s="22">
        <v>97026.15</v>
      </c>
    </row>
    <row r="898" spans="1:16" x14ac:dyDescent="0.3">
      <c r="A898" s="3" t="s">
        <v>1676</v>
      </c>
      <c r="B898" s="1">
        <v>2</v>
      </c>
      <c r="C898" s="1">
        <v>1</v>
      </c>
      <c r="D898" s="3" t="s">
        <v>1584</v>
      </c>
      <c r="E898" s="13">
        <v>38889.440000000002</v>
      </c>
      <c r="F898" s="12">
        <v>132229.32999999999</v>
      </c>
      <c r="G898" s="12">
        <v>0</v>
      </c>
      <c r="H898" s="13">
        <v>171118.77</v>
      </c>
      <c r="I898" s="13">
        <v>2046.49</v>
      </c>
      <c r="J898" s="12">
        <v>4055.06</v>
      </c>
      <c r="K898" s="12">
        <v>0</v>
      </c>
      <c r="L898" s="13">
        <v>6101.55</v>
      </c>
      <c r="M898" s="22">
        <v>40935.93</v>
      </c>
      <c r="N898" s="23">
        <v>136284.38999999998</v>
      </c>
      <c r="O898" s="23">
        <v>0</v>
      </c>
      <c r="P898" s="22">
        <v>177220.31999999998</v>
      </c>
    </row>
    <row r="899" spans="1:16" x14ac:dyDescent="0.3">
      <c r="A899" s="3" t="s">
        <v>1677</v>
      </c>
      <c r="B899" s="1">
        <v>2</v>
      </c>
      <c r="C899" s="1">
        <v>1</v>
      </c>
      <c r="D899" s="3" t="s">
        <v>1594</v>
      </c>
      <c r="E899" s="13">
        <v>162.93</v>
      </c>
      <c r="F899" s="12">
        <v>333.62</v>
      </c>
      <c r="G899" s="12">
        <v>0</v>
      </c>
      <c r="H899" s="13">
        <v>496.55</v>
      </c>
      <c r="I899" s="13">
        <v>0</v>
      </c>
      <c r="J899" s="12">
        <v>0</v>
      </c>
      <c r="K899" s="12">
        <v>0</v>
      </c>
      <c r="L899" s="13">
        <v>0</v>
      </c>
      <c r="M899" s="22">
        <v>162.93</v>
      </c>
      <c r="N899" s="23">
        <v>333.62</v>
      </c>
      <c r="O899" s="23">
        <v>0</v>
      </c>
      <c r="P899" s="22">
        <v>496.55</v>
      </c>
    </row>
    <row r="900" spans="1:16" x14ac:dyDescent="0.3">
      <c r="A900" s="3" t="s">
        <v>1678</v>
      </c>
      <c r="B900" s="1">
        <v>2</v>
      </c>
      <c r="C900" s="1">
        <v>1</v>
      </c>
      <c r="D900" s="3" t="s">
        <v>1596</v>
      </c>
      <c r="E900" s="13">
        <v>9.48</v>
      </c>
      <c r="F900" s="12">
        <v>0</v>
      </c>
      <c r="G900" s="12">
        <v>0</v>
      </c>
      <c r="H900" s="13">
        <v>9.48</v>
      </c>
      <c r="I900" s="13">
        <v>0</v>
      </c>
      <c r="J900" s="12">
        <v>0</v>
      </c>
      <c r="K900" s="12">
        <v>0</v>
      </c>
      <c r="L900" s="13">
        <v>0</v>
      </c>
      <c r="M900" s="22">
        <v>9.48</v>
      </c>
      <c r="N900" s="23">
        <v>0</v>
      </c>
      <c r="O900" s="23">
        <v>0</v>
      </c>
      <c r="P900" s="22">
        <v>9.48</v>
      </c>
    </row>
    <row r="901" spans="1:16" x14ac:dyDescent="0.3">
      <c r="A901" s="3" t="s">
        <v>1679</v>
      </c>
      <c r="B901" s="1">
        <v>2</v>
      </c>
      <c r="C901" s="1">
        <v>1</v>
      </c>
      <c r="D901" s="3" t="s">
        <v>1602</v>
      </c>
      <c r="E901" s="13">
        <v>48.05</v>
      </c>
      <c r="F901" s="12">
        <v>103806.71</v>
      </c>
      <c r="G901" s="12">
        <v>0</v>
      </c>
      <c r="H901" s="13">
        <v>103854.76</v>
      </c>
      <c r="I901" s="13">
        <v>0</v>
      </c>
      <c r="J901" s="12">
        <v>0</v>
      </c>
      <c r="K901" s="12">
        <v>0</v>
      </c>
      <c r="L901" s="13">
        <v>0</v>
      </c>
      <c r="M901" s="22">
        <v>48.05</v>
      </c>
      <c r="N901" s="23">
        <v>103806.71</v>
      </c>
      <c r="O901" s="23">
        <v>0</v>
      </c>
      <c r="P901" s="22">
        <v>103854.76</v>
      </c>
    </row>
    <row r="902" spans="1:16" x14ac:dyDescent="0.3">
      <c r="A902" s="3" t="s">
        <v>1680</v>
      </c>
      <c r="B902" s="1">
        <v>2</v>
      </c>
      <c r="C902" s="1">
        <v>1</v>
      </c>
      <c r="D902" s="3" t="s">
        <v>1608</v>
      </c>
      <c r="E902" s="13">
        <v>7100</v>
      </c>
      <c r="F902" s="12">
        <v>0</v>
      </c>
      <c r="G902" s="12">
        <v>0</v>
      </c>
      <c r="H902" s="13">
        <v>7100</v>
      </c>
      <c r="I902" s="13">
        <v>0</v>
      </c>
      <c r="J902" s="12">
        <v>0</v>
      </c>
      <c r="K902" s="12">
        <v>0</v>
      </c>
      <c r="L902" s="13">
        <v>0</v>
      </c>
      <c r="M902" s="22">
        <v>7100</v>
      </c>
      <c r="N902" s="23">
        <v>0</v>
      </c>
      <c r="O902" s="23">
        <v>0</v>
      </c>
      <c r="P902" s="22">
        <v>7100</v>
      </c>
    </row>
    <row r="903" spans="1:16" x14ac:dyDescent="0.3">
      <c r="A903" s="3" t="s">
        <v>1681</v>
      </c>
      <c r="B903" s="1">
        <v>2</v>
      </c>
      <c r="C903" s="1">
        <v>0</v>
      </c>
      <c r="D903" s="3" t="s">
        <v>1682</v>
      </c>
      <c r="E903" s="13">
        <v>606504.79</v>
      </c>
      <c r="F903" s="12">
        <v>453376.55</v>
      </c>
      <c r="G903" s="12">
        <v>0</v>
      </c>
      <c r="H903" s="13">
        <v>1059881.3400000001</v>
      </c>
      <c r="I903" s="13">
        <v>314248.05</v>
      </c>
      <c r="J903" s="12">
        <v>44975.55</v>
      </c>
      <c r="K903" s="12">
        <v>0</v>
      </c>
      <c r="L903" s="13">
        <v>359223.6</v>
      </c>
      <c r="M903" s="22">
        <v>920752.84000000008</v>
      </c>
      <c r="N903" s="23">
        <v>498352.1</v>
      </c>
      <c r="O903" s="23">
        <v>0</v>
      </c>
      <c r="P903" s="22">
        <v>1419104.94</v>
      </c>
    </row>
    <row r="904" spans="1:16" x14ac:dyDescent="0.3">
      <c r="A904" s="3" t="s">
        <v>1683</v>
      </c>
      <c r="B904" s="1">
        <v>2</v>
      </c>
      <c r="C904" s="1">
        <v>1</v>
      </c>
      <c r="D904" s="3" t="s">
        <v>1684</v>
      </c>
      <c r="E904" s="13">
        <v>606504.79</v>
      </c>
      <c r="F904" s="12">
        <v>453376.55</v>
      </c>
      <c r="G904" s="12">
        <v>0</v>
      </c>
      <c r="H904" s="13">
        <v>1059881.3400000001</v>
      </c>
      <c r="I904" s="13">
        <v>314248.05</v>
      </c>
      <c r="J904" s="12">
        <v>44975.55</v>
      </c>
      <c r="K904" s="12">
        <v>0</v>
      </c>
      <c r="L904" s="13">
        <v>359223.6</v>
      </c>
      <c r="M904" s="22">
        <v>920752.84000000008</v>
      </c>
      <c r="N904" s="23">
        <v>498352.1</v>
      </c>
      <c r="O904" s="23">
        <v>0</v>
      </c>
      <c r="P904" s="22">
        <v>1419104.94</v>
      </c>
    </row>
    <row r="905" spans="1:16" x14ac:dyDescent="0.3">
      <c r="A905" s="3" t="s">
        <v>1685</v>
      </c>
      <c r="B905" s="1">
        <v>2</v>
      </c>
      <c r="C905" s="1">
        <v>1</v>
      </c>
      <c r="D905" s="3" t="s">
        <v>1610</v>
      </c>
      <c r="E905" s="13">
        <v>0</v>
      </c>
      <c r="F905" s="12">
        <v>10000</v>
      </c>
      <c r="G905" s="12">
        <v>0</v>
      </c>
      <c r="H905" s="13">
        <v>10000</v>
      </c>
      <c r="I905" s="13">
        <v>0</v>
      </c>
      <c r="J905" s="12">
        <v>0</v>
      </c>
      <c r="K905" s="12">
        <v>0</v>
      </c>
      <c r="L905" s="13">
        <v>0</v>
      </c>
      <c r="M905" s="22">
        <v>0</v>
      </c>
      <c r="N905" s="23">
        <v>10000</v>
      </c>
      <c r="O905" s="23">
        <v>0</v>
      </c>
      <c r="P905" s="22">
        <v>10000</v>
      </c>
    </row>
    <row r="906" spans="1:16" x14ac:dyDescent="0.3">
      <c r="A906" s="3" t="s">
        <v>1686</v>
      </c>
      <c r="B906" s="1">
        <v>2</v>
      </c>
      <c r="C906" s="1">
        <v>1</v>
      </c>
      <c r="D906" s="3" t="s">
        <v>1331</v>
      </c>
      <c r="E906" s="13">
        <v>231433.60000000001</v>
      </c>
      <c r="F906" s="12">
        <v>66547.570000000007</v>
      </c>
      <c r="G906" s="12">
        <v>0</v>
      </c>
      <c r="H906" s="13">
        <v>297981.17</v>
      </c>
      <c r="I906" s="13">
        <v>1508629.06</v>
      </c>
      <c r="J906" s="12">
        <v>517914.74</v>
      </c>
      <c r="K906" s="12">
        <v>0</v>
      </c>
      <c r="L906" s="13">
        <v>2026543.8</v>
      </c>
      <c r="M906" s="22">
        <v>1740062.6600000001</v>
      </c>
      <c r="N906" s="23">
        <v>584462.31000000006</v>
      </c>
      <c r="O906" s="23">
        <v>0</v>
      </c>
      <c r="P906" s="22">
        <v>2324524.9700000002</v>
      </c>
    </row>
    <row r="907" spans="1:16" x14ac:dyDescent="0.3">
      <c r="A907" s="3" t="s">
        <v>1687</v>
      </c>
      <c r="B907" s="1">
        <v>2</v>
      </c>
      <c r="C907" s="1">
        <v>1</v>
      </c>
      <c r="D907" s="3" t="s">
        <v>1688</v>
      </c>
      <c r="E907" s="13">
        <v>3360</v>
      </c>
      <c r="F907" s="12">
        <v>0</v>
      </c>
      <c r="G907" s="12">
        <v>0</v>
      </c>
      <c r="H907" s="13">
        <v>3360</v>
      </c>
      <c r="I907" s="13">
        <v>0</v>
      </c>
      <c r="J907" s="12">
        <v>0</v>
      </c>
      <c r="K907" s="12">
        <v>0</v>
      </c>
      <c r="L907" s="13">
        <v>0</v>
      </c>
      <c r="M907" s="22">
        <v>3360</v>
      </c>
      <c r="N907" s="23">
        <v>0</v>
      </c>
      <c r="O907" s="23">
        <v>0</v>
      </c>
      <c r="P907" s="22">
        <v>3360</v>
      </c>
    </row>
    <row r="908" spans="1:16" x14ac:dyDescent="0.3">
      <c r="A908" s="3" t="s">
        <v>1689</v>
      </c>
      <c r="B908" s="1">
        <v>2</v>
      </c>
      <c r="C908" s="1">
        <v>1</v>
      </c>
      <c r="D908" s="3" t="s">
        <v>1690</v>
      </c>
      <c r="E908" s="13">
        <v>0</v>
      </c>
      <c r="F908" s="12">
        <v>0</v>
      </c>
      <c r="G908" s="12">
        <v>0</v>
      </c>
      <c r="H908" s="13">
        <v>0</v>
      </c>
      <c r="I908" s="13">
        <v>0</v>
      </c>
      <c r="J908" s="12">
        <v>2164.06</v>
      </c>
      <c r="K908" s="12">
        <v>0</v>
      </c>
      <c r="L908" s="13">
        <v>2164.06</v>
      </c>
      <c r="M908" s="22">
        <v>0</v>
      </c>
      <c r="N908" s="23">
        <v>2164.06</v>
      </c>
      <c r="O908" s="23">
        <v>0</v>
      </c>
      <c r="P908" s="22">
        <v>2164.06</v>
      </c>
    </row>
    <row r="909" spans="1:16" x14ac:dyDescent="0.3">
      <c r="A909" s="3" t="s">
        <v>1691</v>
      </c>
      <c r="B909" s="1">
        <v>2</v>
      </c>
      <c r="C909" s="1">
        <v>1</v>
      </c>
      <c r="D909" s="3" t="s">
        <v>1692</v>
      </c>
      <c r="E909" s="13">
        <v>3361.57</v>
      </c>
      <c r="F909" s="12">
        <v>0</v>
      </c>
      <c r="G909" s="12">
        <v>0</v>
      </c>
      <c r="H909" s="13">
        <v>3361.57</v>
      </c>
      <c r="I909" s="13">
        <v>100302.99</v>
      </c>
      <c r="J909" s="12">
        <v>19534.75</v>
      </c>
      <c r="K909" s="12">
        <v>0</v>
      </c>
      <c r="L909" s="13">
        <v>119837.74</v>
      </c>
      <c r="M909" s="22">
        <v>103664.56000000001</v>
      </c>
      <c r="N909" s="23">
        <v>19534.75</v>
      </c>
      <c r="O909" s="23">
        <v>0</v>
      </c>
      <c r="P909" s="22">
        <v>123199.31000000001</v>
      </c>
    </row>
    <row r="910" spans="1:16" x14ac:dyDescent="0.3">
      <c r="A910" s="3" t="s">
        <v>1693</v>
      </c>
      <c r="B910" s="1">
        <v>2</v>
      </c>
      <c r="C910" s="1">
        <v>1</v>
      </c>
      <c r="D910" s="3" t="s">
        <v>1694</v>
      </c>
      <c r="E910" s="13">
        <v>0</v>
      </c>
      <c r="F910" s="12">
        <v>0</v>
      </c>
      <c r="G910" s="12">
        <v>0</v>
      </c>
      <c r="H910" s="13">
        <v>0</v>
      </c>
      <c r="I910" s="13">
        <v>1552.95</v>
      </c>
      <c r="J910" s="12">
        <v>0</v>
      </c>
      <c r="K910" s="12">
        <v>0</v>
      </c>
      <c r="L910" s="13">
        <v>1552.95</v>
      </c>
      <c r="M910" s="22">
        <v>1552.95</v>
      </c>
      <c r="N910" s="23">
        <v>0</v>
      </c>
      <c r="O910" s="23">
        <v>0</v>
      </c>
      <c r="P910" s="22">
        <v>1552.95</v>
      </c>
    </row>
    <row r="911" spans="1:16" x14ac:dyDescent="0.3">
      <c r="A911" s="3" t="s">
        <v>1695</v>
      </c>
      <c r="B911" s="2">
        <v>1</v>
      </c>
      <c r="C911" s="2">
        <v>0</v>
      </c>
      <c r="D911" s="14" t="s">
        <v>1696</v>
      </c>
      <c r="E911" s="15">
        <v>1006420.55</v>
      </c>
      <c r="F911" s="16">
        <v>366384.12</v>
      </c>
      <c r="G911" s="16">
        <v>0</v>
      </c>
      <c r="H911" s="15">
        <v>1372804.67</v>
      </c>
      <c r="I911" s="15">
        <v>991743.7</v>
      </c>
      <c r="J911" s="16">
        <v>25279.75</v>
      </c>
      <c r="K911" s="16">
        <v>0</v>
      </c>
      <c r="L911" s="15">
        <v>1017023.45</v>
      </c>
      <c r="M911" s="15">
        <v>1998164.25</v>
      </c>
      <c r="N911" s="16">
        <v>391663.87</v>
      </c>
      <c r="O911" s="16">
        <v>0</v>
      </c>
      <c r="P911" s="15">
        <v>2389828.12</v>
      </c>
    </row>
    <row r="912" spans="1:16" x14ac:dyDescent="0.3">
      <c r="A912" s="3" t="s">
        <v>1697</v>
      </c>
      <c r="B912" s="1">
        <v>2</v>
      </c>
      <c r="C912" s="1">
        <v>0</v>
      </c>
      <c r="D912" s="3" t="s">
        <v>1698</v>
      </c>
      <c r="E912" s="13">
        <v>704410.99</v>
      </c>
      <c r="F912" s="12">
        <v>314750.83</v>
      </c>
      <c r="G912" s="12">
        <v>0</v>
      </c>
      <c r="H912" s="13">
        <v>1019161.82</v>
      </c>
      <c r="I912" s="13">
        <v>733085.32</v>
      </c>
      <c r="J912" s="12">
        <v>21395.16</v>
      </c>
      <c r="K912" s="12">
        <v>0</v>
      </c>
      <c r="L912" s="13">
        <v>754480.48</v>
      </c>
      <c r="M912" s="22">
        <v>1437496.31</v>
      </c>
      <c r="N912" s="23">
        <v>336145.99</v>
      </c>
      <c r="O912" s="23">
        <v>0</v>
      </c>
      <c r="P912" s="22">
        <v>1773642.2999999998</v>
      </c>
    </row>
    <row r="913" spans="1:16" x14ac:dyDescent="0.3">
      <c r="A913" s="3" t="s">
        <v>1699</v>
      </c>
      <c r="B913" s="1">
        <v>2</v>
      </c>
      <c r="C913" s="1">
        <v>1</v>
      </c>
      <c r="D913" s="3" t="s">
        <v>1700</v>
      </c>
      <c r="E913" s="13">
        <v>453042.77</v>
      </c>
      <c r="F913" s="12">
        <v>193186.41</v>
      </c>
      <c r="G913" s="12">
        <v>0</v>
      </c>
      <c r="H913" s="13">
        <v>646229.18000000005</v>
      </c>
      <c r="I913" s="13">
        <v>393089.73</v>
      </c>
      <c r="J913" s="12">
        <v>11985.96</v>
      </c>
      <c r="K913" s="12">
        <v>0</v>
      </c>
      <c r="L913" s="13">
        <v>405075.69</v>
      </c>
      <c r="M913" s="22">
        <v>846132.5</v>
      </c>
      <c r="N913" s="23">
        <v>205172.37</v>
      </c>
      <c r="O913" s="23">
        <v>0</v>
      </c>
      <c r="P913" s="22">
        <v>1051304.8700000001</v>
      </c>
    </row>
    <row r="914" spans="1:16" x14ac:dyDescent="0.3">
      <c r="A914" s="3" t="s">
        <v>1701</v>
      </c>
      <c r="B914" s="1">
        <v>2</v>
      </c>
      <c r="C914" s="1">
        <v>1</v>
      </c>
      <c r="D914" s="3" t="s">
        <v>1702</v>
      </c>
      <c r="E914" s="13">
        <v>0</v>
      </c>
      <c r="F914" s="12">
        <v>1129.3599999999999</v>
      </c>
      <c r="G914" s="12">
        <v>0</v>
      </c>
      <c r="H914" s="13">
        <v>1129.3599999999999</v>
      </c>
      <c r="I914" s="13">
        <v>757.56</v>
      </c>
      <c r="J914" s="12">
        <v>0</v>
      </c>
      <c r="K914" s="12">
        <v>0</v>
      </c>
      <c r="L914" s="13">
        <v>757.56</v>
      </c>
      <c r="M914" s="22">
        <v>757.56</v>
      </c>
      <c r="N914" s="23">
        <v>1129.3599999999999</v>
      </c>
      <c r="O914" s="23">
        <v>0</v>
      </c>
      <c r="P914" s="22">
        <v>1886.9199999999998</v>
      </c>
    </row>
    <row r="915" spans="1:16" x14ac:dyDescent="0.3">
      <c r="A915" s="3" t="s">
        <v>1703</v>
      </c>
      <c r="B915" s="1">
        <v>2</v>
      </c>
      <c r="C915" s="1">
        <v>1</v>
      </c>
      <c r="D915" s="3" t="s">
        <v>1704</v>
      </c>
      <c r="E915" s="13">
        <v>0</v>
      </c>
      <c r="F915" s="12">
        <v>0</v>
      </c>
      <c r="G915" s="12">
        <v>0</v>
      </c>
      <c r="H915" s="13">
        <v>0</v>
      </c>
      <c r="I915" s="13">
        <v>6498.07</v>
      </c>
      <c r="J915" s="12">
        <v>0</v>
      </c>
      <c r="K915" s="12">
        <v>0</v>
      </c>
      <c r="L915" s="13">
        <v>6498.07</v>
      </c>
      <c r="M915" s="22">
        <v>6498.07</v>
      </c>
      <c r="N915" s="23">
        <v>0</v>
      </c>
      <c r="O915" s="23">
        <v>0</v>
      </c>
      <c r="P915" s="22">
        <v>6498.07</v>
      </c>
    </row>
    <row r="916" spans="1:16" x14ac:dyDescent="0.3">
      <c r="A916" s="3" t="s">
        <v>1705</v>
      </c>
      <c r="B916" s="1">
        <v>2</v>
      </c>
      <c r="C916" s="1">
        <v>1</v>
      </c>
      <c r="D916" s="3" t="s">
        <v>1706</v>
      </c>
      <c r="E916" s="13">
        <v>37804.730000000003</v>
      </c>
      <c r="F916" s="12">
        <v>16046.95</v>
      </c>
      <c r="G916" s="12">
        <v>0</v>
      </c>
      <c r="H916" s="13">
        <v>53851.68</v>
      </c>
      <c r="I916" s="13">
        <v>39818.9</v>
      </c>
      <c r="J916" s="12">
        <v>1498.25</v>
      </c>
      <c r="K916" s="12">
        <v>0</v>
      </c>
      <c r="L916" s="13">
        <v>41317.15</v>
      </c>
      <c r="M916" s="22">
        <v>77623.63</v>
      </c>
      <c r="N916" s="23">
        <v>17545.2</v>
      </c>
      <c r="O916" s="23">
        <v>0</v>
      </c>
      <c r="P916" s="22">
        <v>95168.83</v>
      </c>
    </row>
    <row r="917" spans="1:16" x14ac:dyDescent="0.3">
      <c r="A917" s="3" t="s">
        <v>1707</v>
      </c>
      <c r="B917" s="1">
        <v>2</v>
      </c>
      <c r="C917" s="1">
        <v>1</v>
      </c>
      <c r="D917" s="3" t="s">
        <v>1708</v>
      </c>
      <c r="E917" s="13">
        <v>37804.730000000003</v>
      </c>
      <c r="F917" s="12">
        <v>16046.95</v>
      </c>
      <c r="G917" s="12">
        <v>0</v>
      </c>
      <c r="H917" s="13">
        <v>53851.68</v>
      </c>
      <c r="I917" s="13">
        <v>39818.800000000003</v>
      </c>
      <c r="J917" s="12">
        <v>1498.25</v>
      </c>
      <c r="K917" s="12">
        <v>0</v>
      </c>
      <c r="L917" s="13">
        <v>41317.050000000003</v>
      </c>
      <c r="M917" s="22">
        <v>77623.53</v>
      </c>
      <c r="N917" s="23">
        <v>17545.2</v>
      </c>
      <c r="O917" s="23">
        <v>0</v>
      </c>
      <c r="P917" s="22">
        <v>95168.73000000001</v>
      </c>
    </row>
    <row r="918" spans="1:16" x14ac:dyDescent="0.3">
      <c r="A918" s="3" t="s">
        <v>1709</v>
      </c>
      <c r="B918" s="1">
        <v>2</v>
      </c>
      <c r="C918" s="1">
        <v>1</v>
      </c>
      <c r="D918" s="3" t="s">
        <v>1710</v>
      </c>
      <c r="E918" s="13">
        <v>14710.97</v>
      </c>
      <c r="F918" s="12">
        <v>22150.81</v>
      </c>
      <c r="G918" s="12">
        <v>0</v>
      </c>
      <c r="H918" s="13">
        <v>36861.78</v>
      </c>
      <c r="I918" s="13">
        <v>55900.46</v>
      </c>
      <c r="J918" s="12">
        <v>856.14</v>
      </c>
      <c r="K918" s="12">
        <v>0</v>
      </c>
      <c r="L918" s="13">
        <v>56756.6</v>
      </c>
      <c r="M918" s="22">
        <v>70611.429999999993</v>
      </c>
      <c r="N918" s="23">
        <v>23006.95</v>
      </c>
      <c r="O918" s="23">
        <v>0</v>
      </c>
      <c r="P918" s="22">
        <v>93618.38</v>
      </c>
    </row>
    <row r="919" spans="1:16" x14ac:dyDescent="0.3">
      <c r="A919" s="3" t="s">
        <v>1711</v>
      </c>
      <c r="B919" s="1">
        <v>2</v>
      </c>
      <c r="C919" s="1">
        <v>1</v>
      </c>
      <c r="D919" s="3" t="s">
        <v>1712</v>
      </c>
      <c r="E919" s="13">
        <v>1255.05</v>
      </c>
      <c r="F919" s="12">
        <v>2581.56</v>
      </c>
      <c r="G919" s="12">
        <v>0</v>
      </c>
      <c r="H919" s="13">
        <v>3836.61</v>
      </c>
      <c r="I919" s="13">
        <v>4656.6000000000004</v>
      </c>
      <c r="J919" s="12">
        <v>0</v>
      </c>
      <c r="K919" s="12">
        <v>0</v>
      </c>
      <c r="L919" s="13">
        <v>4656.6000000000004</v>
      </c>
      <c r="M919" s="22">
        <v>5911.6500000000005</v>
      </c>
      <c r="N919" s="23">
        <v>2581.56</v>
      </c>
      <c r="O919" s="23">
        <v>0</v>
      </c>
      <c r="P919" s="22">
        <v>8493.2100000000009</v>
      </c>
    </row>
    <row r="920" spans="1:16" x14ac:dyDescent="0.3">
      <c r="A920" s="3" t="s">
        <v>1713</v>
      </c>
      <c r="B920" s="1">
        <v>2</v>
      </c>
      <c r="C920" s="1">
        <v>1</v>
      </c>
      <c r="D920" s="3" t="s">
        <v>1714</v>
      </c>
      <c r="E920" s="13">
        <v>0</v>
      </c>
      <c r="F920" s="12">
        <v>0</v>
      </c>
      <c r="G920" s="12">
        <v>0</v>
      </c>
      <c r="H920" s="13">
        <v>0</v>
      </c>
      <c r="I920" s="13">
        <v>458.69</v>
      </c>
      <c r="J920" s="12">
        <v>0</v>
      </c>
      <c r="K920" s="12">
        <v>0</v>
      </c>
      <c r="L920" s="13">
        <v>458.69</v>
      </c>
      <c r="M920" s="22">
        <v>458.69</v>
      </c>
      <c r="N920" s="23">
        <v>0</v>
      </c>
      <c r="O920" s="23">
        <v>0</v>
      </c>
      <c r="P920" s="22">
        <v>458.69</v>
      </c>
    </row>
    <row r="921" spans="1:16" x14ac:dyDescent="0.3">
      <c r="A921" s="3" t="s">
        <v>1715</v>
      </c>
      <c r="B921" s="1">
        <v>2</v>
      </c>
      <c r="C921" s="1">
        <v>1</v>
      </c>
      <c r="D921" s="3" t="s">
        <v>1716</v>
      </c>
      <c r="E921" s="13">
        <v>0</v>
      </c>
      <c r="F921" s="12">
        <v>666.11</v>
      </c>
      <c r="G921" s="12">
        <v>0</v>
      </c>
      <c r="H921" s="13">
        <v>666.11</v>
      </c>
      <c r="I921" s="13">
        <v>1834.76</v>
      </c>
      <c r="J921" s="12">
        <v>0</v>
      </c>
      <c r="K921" s="12">
        <v>0</v>
      </c>
      <c r="L921" s="13">
        <v>1834.76</v>
      </c>
      <c r="M921" s="22">
        <v>1834.76</v>
      </c>
      <c r="N921" s="23">
        <v>666.11</v>
      </c>
      <c r="O921" s="23">
        <v>0</v>
      </c>
      <c r="P921" s="22">
        <v>2500.87</v>
      </c>
    </row>
    <row r="922" spans="1:16" x14ac:dyDescent="0.3">
      <c r="A922" s="3" t="s">
        <v>1717</v>
      </c>
      <c r="B922" s="1">
        <v>2</v>
      </c>
      <c r="C922" s="1">
        <v>1</v>
      </c>
      <c r="D922" s="3" t="s">
        <v>1718</v>
      </c>
      <c r="E922" s="13">
        <v>0</v>
      </c>
      <c r="F922" s="12">
        <v>1500</v>
      </c>
      <c r="G922" s="12">
        <v>0</v>
      </c>
      <c r="H922" s="13">
        <v>1500</v>
      </c>
      <c r="I922" s="13">
        <v>18588.11</v>
      </c>
      <c r="J922" s="12">
        <v>0</v>
      </c>
      <c r="K922" s="12">
        <v>0</v>
      </c>
      <c r="L922" s="13">
        <v>18588.11</v>
      </c>
      <c r="M922" s="22">
        <v>18588.11</v>
      </c>
      <c r="N922" s="23">
        <v>1500</v>
      </c>
      <c r="O922" s="23">
        <v>0</v>
      </c>
      <c r="P922" s="22">
        <v>20088.11</v>
      </c>
    </row>
    <row r="923" spans="1:16" x14ac:dyDescent="0.3">
      <c r="A923" s="3" t="s">
        <v>1719</v>
      </c>
      <c r="B923" s="1">
        <v>2</v>
      </c>
      <c r="C923" s="1">
        <v>1</v>
      </c>
      <c r="D923" s="3" t="s">
        <v>1720</v>
      </c>
      <c r="E923" s="13">
        <v>42046.19</v>
      </c>
      <c r="F923" s="12">
        <v>15122.98</v>
      </c>
      <c r="G923" s="12">
        <v>0</v>
      </c>
      <c r="H923" s="13">
        <v>57169.17</v>
      </c>
      <c r="I923" s="13">
        <v>2081.79</v>
      </c>
      <c r="J923" s="12">
        <v>668.86</v>
      </c>
      <c r="K923" s="12">
        <v>0</v>
      </c>
      <c r="L923" s="13">
        <v>2750.65</v>
      </c>
      <c r="M923" s="22">
        <v>44127.98</v>
      </c>
      <c r="N923" s="23">
        <v>15791.84</v>
      </c>
      <c r="O923" s="23">
        <v>0</v>
      </c>
      <c r="P923" s="22">
        <v>59919.82</v>
      </c>
    </row>
    <row r="924" spans="1:16" x14ac:dyDescent="0.3">
      <c r="A924" s="3" t="s">
        <v>1721</v>
      </c>
      <c r="B924" s="1">
        <v>2</v>
      </c>
      <c r="C924" s="1">
        <v>1</v>
      </c>
      <c r="D924" s="3" t="s">
        <v>1722</v>
      </c>
      <c r="E924" s="13">
        <v>0</v>
      </c>
      <c r="F924" s="12">
        <v>0</v>
      </c>
      <c r="G924" s="12">
        <v>0</v>
      </c>
      <c r="H924" s="13">
        <v>0</v>
      </c>
      <c r="I924" s="13">
        <v>3043.42</v>
      </c>
      <c r="J924" s="12">
        <v>0</v>
      </c>
      <c r="K924" s="12">
        <v>0</v>
      </c>
      <c r="L924" s="13">
        <v>3043.42</v>
      </c>
      <c r="M924" s="22">
        <v>3043.42</v>
      </c>
      <c r="N924" s="23">
        <v>0</v>
      </c>
      <c r="O924" s="23">
        <v>0</v>
      </c>
      <c r="P924" s="22">
        <v>3043.42</v>
      </c>
    </row>
    <row r="925" spans="1:16" x14ac:dyDescent="0.3">
      <c r="A925" s="3" t="s">
        <v>1723</v>
      </c>
      <c r="B925" s="1">
        <v>2</v>
      </c>
      <c r="C925" s="1">
        <v>1</v>
      </c>
      <c r="D925" s="3" t="s">
        <v>1724</v>
      </c>
      <c r="E925" s="13">
        <v>45657.43</v>
      </c>
      <c r="F925" s="12">
        <v>19276.14</v>
      </c>
      <c r="G925" s="12">
        <v>0</v>
      </c>
      <c r="H925" s="13">
        <v>64933.57</v>
      </c>
      <c r="I925" s="13">
        <v>122892.2</v>
      </c>
      <c r="J925" s="12">
        <v>1498.25</v>
      </c>
      <c r="K925" s="12">
        <v>0</v>
      </c>
      <c r="L925" s="13">
        <v>124390.45</v>
      </c>
      <c r="M925" s="22">
        <v>168549.63</v>
      </c>
      <c r="N925" s="23">
        <v>20774.39</v>
      </c>
      <c r="O925" s="23">
        <v>0</v>
      </c>
      <c r="P925" s="22">
        <v>189324.02</v>
      </c>
    </row>
    <row r="926" spans="1:16" x14ac:dyDescent="0.3">
      <c r="A926" s="3" t="s">
        <v>1725</v>
      </c>
      <c r="B926" s="1">
        <v>2</v>
      </c>
      <c r="C926" s="1">
        <v>1</v>
      </c>
      <c r="D926" s="3" t="s">
        <v>1726</v>
      </c>
      <c r="E926" s="13">
        <v>0</v>
      </c>
      <c r="F926" s="12">
        <v>0</v>
      </c>
      <c r="G926" s="12">
        <v>0</v>
      </c>
      <c r="H926" s="13">
        <v>0</v>
      </c>
      <c r="I926" s="13">
        <v>2349.1999999999998</v>
      </c>
      <c r="J926" s="12">
        <v>0</v>
      </c>
      <c r="K926" s="12">
        <v>0</v>
      </c>
      <c r="L926" s="13">
        <v>2349.1999999999998</v>
      </c>
      <c r="M926" s="22">
        <v>2349.1999999999998</v>
      </c>
      <c r="N926" s="23">
        <v>0</v>
      </c>
      <c r="O926" s="23">
        <v>0</v>
      </c>
      <c r="P926" s="22">
        <v>2349.1999999999998</v>
      </c>
    </row>
    <row r="927" spans="1:16" x14ac:dyDescent="0.3">
      <c r="A927" s="3" t="s">
        <v>1727</v>
      </c>
      <c r="B927" s="1">
        <v>2</v>
      </c>
      <c r="C927" s="1">
        <v>1</v>
      </c>
      <c r="D927" s="3" t="s">
        <v>1728</v>
      </c>
      <c r="E927" s="13">
        <v>23136.560000000001</v>
      </c>
      <c r="F927" s="12">
        <v>9509.92</v>
      </c>
      <c r="G927" s="12">
        <v>0</v>
      </c>
      <c r="H927" s="13">
        <v>32646.48</v>
      </c>
      <c r="I927" s="13">
        <v>16384.650000000001</v>
      </c>
      <c r="J927" s="12">
        <v>749.1</v>
      </c>
      <c r="K927" s="12">
        <v>0</v>
      </c>
      <c r="L927" s="13">
        <v>17133.75</v>
      </c>
      <c r="M927" s="22">
        <v>39521.210000000006</v>
      </c>
      <c r="N927" s="23">
        <v>10259.02</v>
      </c>
      <c r="O927" s="23">
        <v>0</v>
      </c>
      <c r="P927" s="22">
        <v>49780.229999999996</v>
      </c>
    </row>
    <row r="928" spans="1:16" x14ac:dyDescent="0.3">
      <c r="A928" s="3" t="s">
        <v>1729</v>
      </c>
      <c r="B928" s="1">
        <v>2</v>
      </c>
      <c r="C928" s="1">
        <v>1</v>
      </c>
      <c r="D928" s="3" t="s">
        <v>1730</v>
      </c>
      <c r="E928" s="13">
        <v>0</v>
      </c>
      <c r="F928" s="12">
        <v>0</v>
      </c>
      <c r="G928" s="12">
        <v>0</v>
      </c>
      <c r="H928" s="13">
        <v>0</v>
      </c>
      <c r="I928" s="13">
        <v>15612.38</v>
      </c>
      <c r="J928" s="12">
        <v>2140.35</v>
      </c>
      <c r="K928" s="12">
        <v>0</v>
      </c>
      <c r="L928" s="13">
        <v>17752.73</v>
      </c>
      <c r="M928" s="22">
        <v>15612.38</v>
      </c>
      <c r="N928" s="23">
        <v>2140.35</v>
      </c>
      <c r="O928" s="23">
        <v>0</v>
      </c>
      <c r="P928" s="22">
        <v>17752.73</v>
      </c>
    </row>
    <row r="929" spans="1:16" x14ac:dyDescent="0.3">
      <c r="A929" s="3" t="s">
        <v>1731</v>
      </c>
      <c r="B929" s="1">
        <v>2</v>
      </c>
      <c r="C929" s="1">
        <v>1</v>
      </c>
      <c r="D929" s="3" t="s">
        <v>1732</v>
      </c>
      <c r="E929" s="13">
        <v>30030.35</v>
      </c>
      <c r="F929" s="12">
        <v>6171.43</v>
      </c>
      <c r="G929" s="12">
        <v>0</v>
      </c>
      <c r="H929" s="13">
        <v>36201.78</v>
      </c>
      <c r="I929" s="13">
        <v>0</v>
      </c>
      <c r="J929" s="12">
        <v>0</v>
      </c>
      <c r="K929" s="12">
        <v>0</v>
      </c>
      <c r="L929" s="13">
        <v>0</v>
      </c>
      <c r="M929" s="22">
        <v>30030.35</v>
      </c>
      <c r="N929" s="23">
        <v>6171.43</v>
      </c>
      <c r="O929" s="23">
        <v>0</v>
      </c>
      <c r="P929" s="22">
        <v>36201.78</v>
      </c>
    </row>
    <row r="930" spans="1:16" x14ac:dyDescent="0.3">
      <c r="A930" s="3" t="s">
        <v>1733</v>
      </c>
      <c r="B930" s="1">
        <v>2</v>
      </c>
      <c r="C930" s="1">
        <v>1</v>
      </c>
      <c r="D930" s="3" t="s">
        <v>1734</v>
      </c>
      <c r="E930" s="13">
        <v>18922.21</v>
      </c>
      <c r="F930" s="12">
        <v>11362.21</v>
      </c>
      <c r="G930" s="12">
        <v>0</v>
      </c>
      <c r="H930" s="13">
        <v>30284.42</v>
      </c>
      <c r="I930" s="13">
        <v>9300</v>
      </c>
      <c r="J930" s="12">
        <v>0</v>
      </c>
      <c r="K930" s="12">
        <v>0</v>
      </c>
      <c r="L930" s="13">
        <v>9300</v>
      </c>
      <c r="M930" s="22">
        <v>28222.21</v>
      </c>
      <c r="N930" s="23">
        <v>11362.21</v>
      </c>
      <c r="O930" s="23">
        <v>0</v>
      </c>
      <c r="P930" s="22">
        <v>39584.42</v>
      </c>
    </row>
    <row r="931" spans="1:16" x14ac:dyDescent="0.3">
      <c r="A931" s="3" t="s">
        <v>1735</v>
      </c>
      <c r="B931" s="1">
        <v>2</v>
      </c>
      <c r="C931" s="1">
        <v>1</v>
      </c>
      <c r="D931" s="3" t="s">
        <v>1736</v>
      </c>
      <c r="E931" s="13">
        <v>0</v>
      </c>
      <c r="F931" s="12">
        <v>0</v>
      </c>
      <c r="G931" s="12">
        <v>0</v>
      </c>
      <c r="H931" s="13">
        <v>0</v>
      </c>
      <c r="I931" s="13">
        <v>0</v>
      </c>
      <c r="J931" s="12">
        <v>500</v>
      </c>
      <c r="K931" s="12">
        <v>0</v>
      </c>
      <c r="L931" s="13">
        <v>500</v>
      </c>
      <c r="M931" s="22">
        <v>0</v>
      </c>
      <c r="N931" s="23">
        <v>500</v>
      </c>
      <c r="O931" s="23">
        <v>0</v>
      </c>
      <c r="P931" s="22">
        <v>500</v>
      </c>
    </row>
    <row r="932" spans="1:16" x14ac:dyDescent="0.3">
      <c r="A932" s="3" t="s">
        <v>1737</v>
      </c>
      <c r="B932" s="1">
        <v>2</v>
      </c>
      <c r="C932" s="1">
        <v>1</v>
      </c>
      <c r="D932" s="3" t="s">
        <v>1738</v>
      </c>
      <c r="E932" s="13">
        <v>58123.55</v>
      </c>
      <c r="F932" s="12">
        <v>20315.009999999998</v>
      </c>
      <c r="G932" s="12">
        <v>0</v>
      </c>
      <c r="H932" s="13">
        <v>78438.559999999998</v>
      </c>
      <c r="I932" s="13">
        <v>47780.800000000003</v>
      </c>
      <c r="J932" s="12">
        <v>1603.12</v>
      </c>
      <c r="K932" s="12">
        <v>0</v>
      </c>
      <c r="L932" s="13">
        <v>49383.92</v>
      </c>
      <c r="M932" s="22">
        <v>105904.35</v>
      </c>
      <c r="N932" s="23">
        <v>21918.129999999997</v>
      </c>
      <c r="O932" s="23">
        <v>0</v>
      </c>
      <c r="P932" s="22">
        <v>127822.48</v>
      </c>
    </row>
    <row r="933" spans="1:16" x14ac:dyDescent="0.3">
      <c r="A933" s="3" t="s">
        <v>1739</v>
      </c>
      <c r="B933" s="1">
        <v>2</v>
      </c>
      <c r="C933" s="1">
        <v>1</v>
      </c>
      <c r="D933" s="3" t="s">
        <v>1740</v>
      </c>
      <c r="E933" s="13">
        <v>31458.5</v>
      </c>
      <c r="F933" s="12">
        <v>0</v>
      </c>
      <c r="G933" s="12">
        <v>0</v>
      </c>
      <c r="H933" s="13">
        <v>31458.5</v>
      </c>
      <c r="I933" s="13">
        <v>22991.11</v>
      </c>
      <c r="J933" s="12">
        <v>0</v>
      </c>
      <c r="K933" s="12">
        <v>0</v>
      </c>
      <c r="L933" s="13">
        <v>22991.11</v>
      </c>
      <c r="M933" s="22">
        <v>54449.61</v>
      </c>
      <c r="N933" s="23">
        <v>0</v>
      </c>
      <c r="O933" s="23">
        <v>0</v>
      </c>
      <c r="P933" s="22">
        <v>54449.61</v>
      </c>
    </row>
    <row r="934" spans="1:16" x14ac:dyDescent="0.3">
      <c r="A934" s="3" t="s">
        <v>1741</v>
      </c>
      <c r="B934" s="1">
        <v>2</v>
      </c>
      <c r="C934" s="1">
        <v>1</v>
      </c>
      <c r="D934" s="3" t="s">
        <v>1742</v>
      </c>
      <c r="E934" s="13">
        <v>52262.79</v>
      </c>
      <c r="F934" s="12">
        <v>0</v>
      </c>
      <c r="G934" s="12">
        <v>0</v>
      </c>
      <c r="H934" s="13">
        <v>52262.79</v>
      </c>
      <c r="I934" s="13">
        <v>36289.82</v>
      </c>
      <c r="J934" s="12">
        <v>0</v>
      </c>
      <c r="K934" s="12">
        <v>0</v>
      </c>
      <c r="L934" s="13">
        <v>36289.82</v>
      </c>
      <c r="M934" s="22">
        <v>88552.61</v>
      </c>
      <c r="N934" s="23">
        <v>0</v>
      </c>
      <c r="O934" s="23">
        <v>0</v>
      </c>
      <c r="P934" s="22">
        <v>88552.61</v>
      </c>
    </row>
    <row r="935" spans="1:16" x14ac:dyDescent="0.3">
      <c r="A935" s="3" t="s">
        <v>1743</v>
      </c>
      <c r="B935" s="1">
        <v>2</v>
      </c>
      <c r="C935" s="1">
        <v>1</v>
      </c>
      <c r="D935" s="3" t="s">
        <v>1744</v>
      </c>
      <c r="E935" s="13">
        <v>18440.009999999998</v>
      </c>
      <c r="F935" s="12">
        <v>8560.17</v>
      </c>
      <c r="G935" s="12">
        <v>0</v>
      </c>
      <c r="H935" s="13">
        <v>27000.18</v>
      </c>
      <c r="I935" s="13">
        <v>18332.34</v>
      </c>
      <c r="J935" s="12">
        <v>653.17999999999995</v>
      </c>
      <c r="K935" s="12">
        <v>0</v>
      </c>
      <c r="L935" s="13">
        <v>18985.52</v>
      </c>
      <c r="M935" s="22">
        <v>36772.35</v>
      </c>
      <c r="N935" s="23">
        <v>9213.35</v>
      </c>
      <c r="O935" s="23">
        <v>0</v>
      </c>
      <c r="P935" s="22">
        <v>45985.7</v>
      </c>
    </row>
    <row r="936" spans="1:16" x14ac:dyDescent="0.3">
      <c r="A936" s="3" t="s">
        <v>1745</v>
      </c>
      <c r="B936" s="1">
        <v>2</v>
      </c>
      <c r="C936" s="1">
        <v>1</v>
      </c>
      <c r="D936" s="3" t="s">
        <v>1572</v>
      </c>
      <c r="E936" s="13">
        <v>33532.68</v>
      </c>
      <c r="F936" s="12">
        <v>0</v>
      </c>
      <c r="G936" s="12">
        <v>0</v>
      </c>
      <c r="H936" s="13">
        <v>33532.68</v>
      </c>
      <c r="I936" s="13">
        <v>0</v>
      </c>
      <c r="J936" s="12">
        <v>0</v>
      </c>
      <c r="K936" s="12">
        <v>0</v>
      </c>
      <c r="L936" s="13">
        <v>0</v>
      </c>
      <c r="M936" s="22">
        <v>33532.68</v>
      </c>
      <c r="N936" s="23">
        <v>0</v>
      </c>
      <c r="O936" s="23">
        <v>0</v>
      </c>
      <c r="P936" s="22">
        <v>33532.68</v>
      </c>
    </row>
    <row r="937" spans="1:16" x14ac:dyDescent="0.3">
      <c r="A937" s="3" t="s">
        <v>1746</v>
      </c>
      <c r="B937" s="1">
        <v>2</v>
      </c>
      <c r="C937" s="1">
        <v>1</v>
      </c>
      <c r="D937" s="3" t="s">
        <v>1672</v>
      </c>
      <c r="E937" s="13">
        <v>0</v>
      </c>
      <c r="F937" s="12">
        <v>0</v>
      </c>
      <c r="G937" s="12">
        <v>0</v>
      </c>
      <c r="H937" s="13">
        <v>0</v>
      </c>
      <c r="I937" s="13">
        <v>5000</v>
      </c>
      <c r="J937" s="12">
        <v>0</v>
      </c>
      <c r="K937" s="12">
        <v>0</v>
      </c>
      <c r="L937" s="13">
        <v>5000</v>
      </c>
      <c r="M937" s="22">
        <v>5000</v>
      </c>
      <c r="N937" s="23">
        <v>0</v>
      </c>
      <c r="O937" s="23">
        <v>0</v>
      </c>
      <c r="P937" s="22">
        <v>5000</v>
      </c>
    </row>
    <row r="938" spans="1:16" x14ac:dyDescent="0.3">
      <c r="A938" s="3" t="s">
        <v>1747</v>
      </c>
      <c r="B938" s="1">
        <v>2</v>
      </c>
      <c r="C938" s="1">
        <v>1</v>
      </c>
      <c r="D938" s="3" t="s">
        <v>1674</v>
      </c>
      <c r="E938" s="13">
        <v>44338.5</v>
      </c>
      <c r="F938" s="12">
        <v>1617</v>
      </c>
      <c r="G938" s="12">
        <v>0</v>
      </c>
      <c r="H938" s="13">
        <v>45955.5</v>
      </c>
      <c r="I938" s="13">
        <v>18132.75</v>
      </c>
      <c r="J938" s="12">
        <v>0</v>
      </c>
      <c r="K938" s="12">
        <v>0</v>
      </c>
      <c r="L938" s="13">
        <v>18132.75</v>
      </c>
      <c r="M938" s="22">
        <v>62471.25</v>
      </c>
      <c r="N938" s="23">
        <v>1617</v>
      </c>
      <c r="O938" s="23">
        <v>0</v>
      </c>
      <c r="P938" s="22">
        <v>64088.25</v>
      </c>
    </row>
    <row r="939" spans="1:16" x14ac:dyDescent="0.3">
      <c r="A939" s="3" t="s">
        <v>1748</v>
      </c>
      <c r="B939" s="1">
        <v>2</v>
      </c>
      <c r="C939" s="1">
        <v>1</v>
      </c>
      <c r="D939" s="3" t="s">
        <v>1592</v>
      </c>
      <c r="E939" s="13">
        <v>32718.959999999999</v>
      </c>
      <c r="F939" s="12">
        <v>0</v>
      </c>
      <c r="G939" s="12">
        <v>0</v>
      </c>
      <c r="H939" s="13">
        <v>32718.959999999999</v>
      </c>
      <c r="I939" s="13">
        <v>107.75</v>
      </c>
      <c r="J939" s="12">
        <v>77.59</v>
      </c>
      <c r="K939" s="12">
        <v>0</v>
      </c>
      <c r="L939" s="13">
        <v>185.34</v>
      </c>
      <c r="M939" s="22">
        <v>32826.71</v>
      </c>
      <c r="N939" s="23">
        <v>77.59</v>
      </c>
      <c r="O939" s="23">
        <v>0</v>
      </c>
      <c r="P939" s="22">
        <v>32904.299999999996</v>
      </c>
    </row>
    <row r="940" spans="1:16" x14ac:dyDescent="0.3">
      <c r="A940" s="3" t="s">
        <v>1749</v>
      </c>
      <c r="B940" s="1">
        <v>2</v>
      </c>
      <c r="C940" s="1">
        <v>1</v>
      </c>
      <c r="D940" s="3" t="s">
        <v>1594</v>
      </c>
      <c r="E940" s="13">
        <v>1387.66</v>
      </c>
      <c r="F940" s="12">
        <v>6079.32</v>
      </c>
      <c r="G940" s="12">
        <v>0</v>
      </c>
      <c r="H940" s="13">
        <v>7466.98</v>
      </c>
      <c r="I940" s="13">
        <v>566.36</v>
      </c>
      <c r="J940" s="12">
        <v>151.72</v>
      </c>
      <c r="K940" s="12">
        <v>0</v>
      </c>
      <c r="L940" s="13">
        <v>718.08</v>
      </c>
      <c r="M940" s="22">
        <v>1954.02</v>
      </c>
      <c r="N940" s="23">
        <v>6231.04</v>
      </c>
      <c r="O940" s="23">
        <v>0</v>
      </c>
      <c r="P940" s="22">
        <v>8185.0599999999995</v>
      </c>
    </row>
    <row r="941" spans="1:16" x14ac:dyDescent="0.3">
      <c r="A941" s="3" t="s">
        <v>1750</v>
      </c>
      <c r="B941" s="1">
        <v>2</v>
      </c>
      <c r="C941" s="1">
        <v>1</v>
      </c>
      <c r="D941" s="3" t="s">
        <v>1608</v>
      </c>
      <c r="E941" s="13">
        <v>0</v>
      </c>
      <c r="F941" s="12">
        <v>0</v>
      </c>
      <c r="G941" s="12">
        <v>0</v>
      </c>
      <c r="H941" s="13">
        <v>0</v>
      </c>
      <c r="I941" s="13">
        <v>100500</v>
      </c>
      <c r="J941" s="12">
        <v>0</v>
      </c>
      <c r="K941" s="12">
        <v>0</v>
      </c>
      <c r="L941" s="13">
        <v>100500</v>
      </c>
      <c r="M941" s="22">
        <v>100500</v>
      </c>
      <c r="N941" s="23">
        <v>0</v>
      </c>
      <c r="O941" s="23">
        <v>0</v>
      </c>
      <c r="P941" s="22">
        <v>100500</v>
      </c>
    </row>
    <row r="942" spans="1:16" x14ac:dyDescent="0.3">
      <c r="A942" s="3" t="s">
        <v>1751</v>
      </c>
      <c r="B942" s="1">
        <v>2</v>
      </c>
      <c r="C942" s="1">
        <v>1</v>
      </c>
      <c r="D942" s="3" t="s">
        <v>1752</v>
      </c>
      <c r="E942" s="13">
        <v>0</v>
      </c>
      <c r="F942" s="12">
        <v>0</v>
      </c>
      <c r="G942" s="12">
        <v>0</v>
      </c>
      <c r="H942" s="13">
        <v>0</v>
      </c>
      <c r="I942" s="13">
        <v>0</v>
      </c>
      <c r="J942" s="12">
        <v>500</v>
      </c>
      <c r="K942" s="12">
        <v>0</v>
      </c>
      <c r="L942" s="13">
        <v>500</v>
      </c>
      <c r="M942" s="22">
        <v>0</v>
      </c>
      <c r="N942" s="23">
        <v>500</v>
      </c>
      <c r="O942" s="23">
        <v>0</v>
      </c>
      <c r="P942" s="22">
        <v>500</v>
      </c>
    </row>
    <row r="943" spans="1:16" x14ac:dyDescent="0.3">
      <c r="A943" s="3" t="s">
        <v>1753</v>
      </c>
      <c r="B943" s="1">
        <v>2</v>
      </c>
      <c r="C943" s="1">
        <v>1</v>
      </c>
      <c r="D943" s="3" t="s">
        <v>1754</v>
      </c>
      <c r="E943" s="13">
        <v>29746.91</v>
      </c>
      <c r="F943" s="12">
        <v>15061.79</v>
      </c>
      <c r="G943" s="12">
        <v>0</v>
      </c>
      <c r="H943" s="13">
        <v>44808.7</v>
      </c>
      <c r="I943" s="13">
        <v>8957.4500000000007</v>
      </c>
      <c r="J943" s="12">
        <v>898.98</v>
      </c>
      <c r="K943" s="12">
        <v>0</v>
      </c>
      <c r="L943" s="13">
        <v>9856.43</v>
      </c>
      <c r="M943" s="22">
        <v>38704.36</v>
      </c>
      <c r="N943" s="23">
        <v>15960.77</v>
      </c>
      <c r="O943" s="23">
        <v>0</v>
      </c>
      <c r="P943" s="22">
        <v>54665.13</v>
      </c>
    </row>
    <row r="944" spans="1:16" x14ac:dyDescent="0.3">
      <c r="A944" s="3" t="s">
        <v>1755</v>
      </c>
      <c r="B944" s="2">
        <v>1</v>
      </c>
      <c r="C944" s="2">
        <v>0</v>
      </c>
      <c r="D944" s="14" t="s">
        <v>1756</v>
      </c>
      <c r="E944" s="15">
        <v>541921.93999999994</v>
      </c>
      <c r="F944" s="16">
        <v>201538.09</v>
      </c>
      <c r="G944" s="16">
        <v>0</v>
      </c>
      <c r="H944" s="15">
        <v>743460.03</v>
      </c>
      <c r="I944" s="15">
        <v>294660.12</v>
      </c>
      <c r="J944" s="16">
        <v>22413.040000000001</v>
      </c>
      <c r="K944" s="16">
        <v>0</v>
      </c>
      <c r="L944" s="15">
        <v>317073.15999999997</v>
      </c>
      <c r="M944" s="15">
        <v>836582.05999999994</v>
      </c>
      <c r="N944" s="16">
        <v>223951.13</v>
      </c>
      <c r="O944" s="16">
        <v>0</v>
      </c>
      <c r="P944" s="15">
        <v>1060533.19</v>
      </c>
    </row>
    <row r="945" spans="1:16" x14ac:dyDescent="0.3">
      <c r="A945" s="3" t="s">
        <v>1757</v>
      </c>
      <c r="B945" s="1">
        <v>2</v>
      </c>
      <c r="C945" s="1">
        <v>0</v>
      </c>
      <c r="D945" s="3" t="s">
        <v>1758</v>
      </c>
      <c r="E945" s="13">
        <v>443891.22</v>
      </c>
      <c r="F945" s="12">
        <v>184081.47</v>
      </c>
      <c r="G945" s="12">
        <v>0</v>
      </c>
      <c r="H945" s="13">
        <v>627972.68999999994</v>
      </c>
      <c r="I945" s="13">
        <v>224409.25</v>
      </c>
      <c r="J945" s="12">
        <v>20208.38</v>
      </c>
      <c r="K945" s="12">
        <v>0</v>
      </c>
      <c r="L945" s="13">
        <v>244617.63</v>
      </c>
      <c r="M945" s="22">
        <v>668300.47</v>
      </c>
      <c r="N945" s="23">
        <v>204289.85</v>
      </c>
      <c r="O945" s="23">
        <v>0</v>
      </c>
      <c r="P945" s="22">
        <v>872590.32</v>
      </c>
    </row>
    <row r="946" spans="1:16" x14ac:dyDescent="0.3">
      <c r="A946" s="3" t="s">
        <v>1759</v>
      </c>
      <c r="B946" s="1">
        <v>2</v>
      </c>
      <c r="C946" s="1">
        <v>1</v>
      </c>
      <c r="D946" s="3" t="s">
        <v>1760</v>
      </c>
      <c r="E946" s="13">
        <v>269520.95</v>
      </c>
      <c r="F946" s="12">
        <v>111933.49</v>
      </c>
      <c r="G946" s="12">
        <v>0</v>
      </c>
      <c r="H946" s="13">
        <v>381454.44</v>
      </c>
      <c r="I946" s="13">
        <v>135693.68</v>
      </c>
      <c r="J946" s="12">
        <v>11592</v>
      </c>
      <c r="K946" s="12">
        <v>0</v>
      </c>
      <c r="L946" s="13">
        <v>147285.68</v>
      </c>
      <c r="M946" s="22">
        <v>405214.63</v>
      </c>
      <c r="N946" s="23">
        <v>123525.49</v>
      </c>
      <c r="O946" s="23">
        <v>0</v>
      </c>
      <c r="P946" s="22">
        <v>528740.12</v>
      </c>
    </row>
    <row r="947" spans="1:16" x14ac:dyDescent="0.3">
      <c r="A947" s="3" t="s">
        <v>1761</v>
      </c>
      <c r="B947" s="1">
        <v>2</v>
      </c>
      <c r="C947" s="1">
        <v>1</v>
      </c>
      <c r="D947" s="3" t="s">
        <v>1762</v>
      </c>
      <c r="E947" s="13">
        <v>1181.25</v>
      </c>
      <c r="F947" s="12">
        <v>0</v>
      </c>
      <c r="G947" s="12">
        <v>0</v>
      </c>
      <c r="H947" s="13">
        <v>1181.25</v>
      </c>
      <c r="I947" s="13">
        <v>858.3</v>
      </c>
      <c r="J947" s="12">
        <v>0</v>
      </c>
      <c r="K947" s="12">
        <v>0</v>
      </c>
      <c r="L947" s="13">
        <v>858.3</v>
      </c>
      <c r="M947" s="22">
        <v>2039.55</v>
      </c>
      <c r="N947" s="23">
        <v>0</v>
      </c>
      <c r="O947" s="23">
        <v>0</v>
      </c>
      <c r="P947" s="22">
        <v>2039.55</v>
      </c>
    </row>
    <row r="948" spans="1:16" x14ac:dyDescent="0.3">
      <c r="A948" s="3" t="s">
        <v>1763</v>
      </c>
      <c r="B948" s="1">
        <v>2</v>
      </c>
      <c r="C948" s="1">
        <v>1</v>
      </c>
      <c r="D948" s="3" t="s">
        <v>1764</v>
      </c>
      <c r="E948" s="13">
        <v>28835.66</v>
      </c>
      <c r="F948" s="12">
        <v>11777.2</v>
      </c>
      <c r="G948" s="12">
        <v>0</v>
      </c>
      <c r="H948" s="13">
        <v>40612.86</v>
      </c>
      <c r="I948" s="13">
        <v>15847.45</v>
      </c>
      <c r="J948" s="12">
        <v>1449</v>
      </c>
      <c r="K948" s="12">
        <v>0</v>
      </c>
      <c r="L948" s="13">
        <v>17296.45</v>
      </c>
      <c r="M948" s="22">
        <v>44683.11</v>
      </c>
      <c r="N948" s="23">
        <v>13226.2</v>
      </c>
      <c r="O948" s="23">
        <v>0</v>
      </c>
      <c r="P948" s="22">
        <v>57909.31</v>
      </c>
    </row>
    <row r="949" spans="1:16" x14ac:dyDescent="0.3">
      <c r="A949" s="3" t="s">
        <v>1765</v>
      </c>
      <c r="B949" s="1">
        <v>2</v>
      </c>
      <c r="C949" s="1">
        <v>1</v>
      </c>
      <c r="D949" s="3" t="s">
        <v>1766</v>
      </c>
      <c r="E949" s="13">
        <v>28835.66</v>
      </c>
      <c r="F949" s="12">
        <v>11777.2</v>
      </c>
      <c r="G949" s="12">
        <v>0</v>
      </c>
      <c r="H949" s="13">
        <v>40612.86</v>
      </c>
      <c r="I949" s="13">
        <v>15847.45</v>
      </c>
      <c r="J949" s="12">
        <v>1449</v>
      </c>
      <c r="K949" s="12">
        <v>0</v>
      </c>
      <c r="L949" s="13">
        <v>17296.45</v>
      </c>
      <c r="M949" s="22">
        <v>44683.11</v>
      </c>
      <c r="N949" s="23">
        <v>13226.2</v>
      </c>
      <c r="O949" s="23">
        <v>0</v>
      </c>
      <c r="P949" s="22">
        <v>57909.31</v>
      </c>
    </row>
    <row r="950" spans="1:16" x14ac:dyDescent="0.3">
      <c r="A950" s="3" t="s">
        <v>1767</v>
      </c>
      <c r="B950" s="1">
        <v>2</v>
      </c>
      <c r="C950" s="1">
        <v>1</v>
      </c>
      <c r="D950" s="3" t="s">
        <v>1768</v>
      </c>
      <c r="E950" s="13">
        <v>18835.2</v>
      </c>
      <c r="F950" s="12">
        <v>5838.37</v>
      </c>
      <c r="G950" s="12">
        <v>0</v>
      </c>
      <c r="H950" s="13">
        <v>24673.57</v>
      </c>
      <c r="I950" s="13">
        <v>14577.96</v>
      </c>
      <c r="J950" s="12">
        <v>828</v>
      </c>
      <c r="K950" s="12">
        <v>0</v>
      </c>
      <c r="L950" s="13">
        <v>15405.96</v>
      </c>
      <c r="M950" s="22">
        <v>33413.160000000003</v>
      </c>
      <c r="N950" s="23">
        <v>6666.37</v>
      </c>
      <c r="O950" s="23">
        <v>0</v>
      </c>
      <c r="P950" s="22">
        <v>40079.53</v>
      </c>
    </row>
    <row r="951" spans="1:16" x14ac:dyDescent="0.3">
      <c r="A951" s="3" t="s">
        <v>1769</v>
      </c>
      <c r="B951" s="1">
        <v>2</v>
      </c>
      <c r="C951" s="1">
        <v>1</v>
      </c>
      <c r="D951" s="3" t="s">
        <v>1770</v>
      </c>
      <c r="E951" s="13">
        <v>4003.31</v>
      </c>
      <c r="F951" s="12">
        <v>2564.2199999999998</v>
      </c>
      <c r="G951" s="12">
        <v>0</v>
      </c>
      <c r="H951" s="13">
        <v>6567.53</v>
      </c>
      <c r="I951" s="13">
        <v>2277</v>
      </c>
      <c r="J951" s="12">
        <v>0</v>
      </c>
      <c r="K951" s="12">
        <v>0</v>
      </c>
      <c r="L951" s="13">
        <v>2277</v>
      </c>
      <c r="M951" s="22">
        <v>6280.3099999999995</v>
      </c>
      <c r="N951" s="23">
        <v>2564.2199999999998</v>
      </c>
      <c r="O951" s="23">
        <v>0</v>
      </c>
      <c r="P951" s="22">
        <v>8844.5299999999988</v>
      </c>
    </row>
    <row r="952" spans="1:16" x14ac:dyDescent="0.3">
      <c r="A952" s="3" t="s">
        <v>1771</v>
      </c>
      <c r="B952" s="1">
        <v>2</v>
      </c>
      <c r="C952" s="1">
        <v>1</v>
      </c>
      <c r="D952" s="3" t="s">
        <v>1772</v>
      </c>
      <c r="E952" s="13">
        <v>0</v>
      </c>
      <c r="F952" s="12">
        <v>888.17</v>
      </c>
      <c r="G952" s="12">
        <v>0</v>
      </c>
      <c r="H952" s="13">
        <v>888.17</v>
      </c>
      <c r="I952" s="13">
        <v>0</v>
      </c>
      <c r="J952" s="12">
        <v>0</v>
      </c>
      <c r="K952" s="12">
        <v>0</v>
      </c>
      <c r="L952" s="13">
        <v>0</v>
      </c>
      <c r="M952" s="22">
        <v>0</v>
      </c>
      <c r="N952" s="23">
        <v>888.17</v>
      </c>
      <c r="O952" s="23">
        <v>0</v>
      </c>
      <c r="P952" s="22">
        <v>888.17</v>
      </c>
    </row>
    <row r="953" spans="1:16" x14ac:dyDescent="0.3">
      <c r="A953" s="3" t="s">
        <v>1773</v>
      </c>
      <c r="B953" s="1">
        <v>2</v>
      </c>
      <c r="C953" s="1">
        <v>1</v>
      </c>
      <c r="D953" s="3" t="s">
        <v>1774</v>
      </c>
      <c r="E953" s="13">
        <v>0</v>
      </c>
      <c r="F953" s="12">
        <v>0</v>
      </c>
      <c r="G953" s="12">
        <v>0</v>
      </c>
      <c r="H953" s="13">
        <v>0</v>
      </c>
      <c r="I953" s="13">
        <v>4412.01</v>
      </c>
      <c r="J953" s="12">
        <v>0</v>
      </c>
      <c r="K953" s="12">
        <v>0</v>
      </c>
      <c r="L953" s="13">
        <v>4412.01</v>
      </c>
      <c r="M953" s="22">
        <v>4412.01</v>
      </c>
      <c r="N953" s="23">
        <v>0</v>
      </c>
      <c r="O953" s="23">
        <v>0</v>
      </c>
      <c r="P953" s="22">
        <v>4412.01</v>
      </c>
    </row>
    <row r="954" spans="1:16" x14ac:dyDescent="0.3">
      <c r="A954" s="3" t="s">
        <v>1775</v>
      </c>
      <c r="B954" s="1">
        <v>2</v>
      </c>
      <c r="C954" s="1">
        <v>1</v>
      </c>
      <c r="D954" s="3" t="s">
        <v>1776</v>
      </c>
      <c r="E954" s="13">
        <v>23267.64</v>
      </c>
      <c r="F954" s="12">
        <v>6726.22</v>
      </c>
      <c r="G954" s="12">
        <v>0</v>
      </c>
      <c r="H954" s="13">
        <v>29993.86</v>
      </c>
      <c r="I954" s="13">
        <v>1811.26</v>
      </c>
      <c r="J954" s="12">
        <v>646.88</v>
      </c>
      <c r="K954" s="12">
        <v>0</v>
      </c>
      <c r="L954" s="13">
        <v>2458.14</v>
      </c>
      <c r="M954" s="22">
        <v>25078.899999999998</v>
      </c>
      <c r="N954" s="23">
        <v>7373.1</v>
      </c>
      <c r="O954" s="23">
        <v>0</v>
      </c>
      <c r="P954" s="22">
        <v>32452</v>
      </c>
    </row>
    <row r="955" spans="1:16" x14ac:dyDescent="0.3">
      <c r="A955" s="3" t="s">
        <v>1777</v>
      </c>
      <c r="B955" s="1">
        <v>2</v>
      </c>
      <c r="C955" s="1">
        <v>1</v>
      </c>
      <c r="D955" s="3" t="s">
        <v>1778</v>
      </c>
      <c r="E955" s="13">
        <v>0</v>
      </c>
      <c r="F955" s="12">
        <v>0</v>
      </c>
      <c r="G955" s="12">
        <v>0</v>
      </c>
      <c r="H955" s="13">
        <v>0</v>
      </c>
      <c r="I955" s="13">
        <v>796.95</v>
      </c>
      <c r="J955" s="12">
        <v>0</v>
      </c>
      <c r="K955" s="12">
        <v>0</v>
      </c>
      <c r="L955" s="13">
        <v>796.95</v>
      </c>
      <c r="M955" s="22">
        <v>796.95</v>
      </c>
      <c r="N955" s="23">
        <v>0</v>
      </c>
      <c r="O955" s="23">
        <v>0</v>
      </c>
      <c r="P955" s="22">
        <v>796.95</v>
      </c>
    </row>
    <row r="956" spans="1:16" x14ac:dyDescent="0.3">
      <c r="A956" s="3" t="s">
        <v>1779</v>
      </c>
      <c r="B956" s="1">
        <v>2</v>
      </c>
      <c r="C956" s="1">
        <v>1</v>
      </c>
      <c r="D956" s="3" t="s">
        <v>1780</v>
      </c>
      <c r="E956" s="13">
        <v>28835.66</v>
      </c>
      <c r="F956" s="12">
        <v>11777.2</v>
      </c>
      <c r="G956" s="12">
        <v>0</v>
      </c>
      <c r="H956" s="13">
        <v>40612.86</v>
      </c>
      <c r="I956" s="13">
        <v>15847.45</v>
      </c>
      <c r="J956" s="12">
        <v>1449</v>
      </c>
      <c r="K956" s="12">
        <v>0</v>
      </c>
      <c r="L956" s="13">
        <v>17296.45</v>
      </c>
      <c r="M956" s="22">
        <v>44683.11</v>
      </c>
      <c r="N956" s="23">
        <v>13226.2</v>
      </c>
      <c r="O956" s="23">
        <v>0</v>
      </c>
      <c r="P956" s="22">
        <v>57909.31</v>
      </c>
    </row>
    <row r="957" spans="1:16" x14ac:dyDescent="0.3">
      <c r="A957" s="3" t="s">
        <v>1781</v>
      </c>
      <c r="B957" s="1">
        <v>2</v>
      </c>
      <c r="C957" s="1">
        <v>1</v>
      </c>
      <c r="D957" s="3" t="s">
        <v>1782</v>
      </c>
      <c r="E957" s="13">
        <v>14198.58</v>
      </c>
      <c r="F957" s="12">
        <v>5888.57</v>
      </c>
      <c r="G957" s="12">
        <v>0</v>
      </c>
      <c r="H957" s="13">
        <v>20087.150000000001</v>
      </c>
      <c r="I957" s="13">
        <v>5632.2</v>
      </c>
      <c r="J957" s="12">
        <v>724.5</v>
      </c>
      <c r="K957" s="12">
        <v>0</v>
      </c>
      <c r="L957" s="13">
        <v>6356.7</v>
      </c>
      <c r="M957" s="22">
        <v>19830.78</v>
      </c>
      <c r="N957" s="23">
        <v>6613.07</v>
      </c>
      <c r="O957" s="23">
        <v>0</v>
      </c>
      <c r="P957" s="22">
        <v>26443.850000000002</v>
      </c>
    </row>
    <row r="958" spans="1:16" x14ac:dyDescent="0.3">
      <c r="A958" s="3" t="s">
        <v>1783</v>
      </c>
      <c r="B958" s="1">
        <v>2</v>
      </c>
      <c r="C958" s="1">
        <v>1</v>
      </c>
      <c r="D958" s="3" t="s">
        <v>1784</v>
      </c>
      <c r="E958" s="13">
        <v>0</v>
      </c>
      <c r="F958" s="12">
        <v>0</v>
      </c>
      <c r="G958" s="12">
        <v>0</v>
      </c>
      <c r="H958" s="13">
        <v>0</v>
      </c>
      <c r="I958" s="13">
        <v>8203.3700000000008</v>
      </c>
      <c r="J958" s="12">
        <v>2070</v>
      </c>
      <c r="K958" s="12">
        <v>0</v>
      </c>
      <c r="L958" s="13">
        <v>10273.370000000001</v>
      </c>
      <c r="M958" s="22">
        <v>8203.3700000000008</v>
      </c>
      <c r="N958" s="23">
        <v>2070</v>
      </c>
      <c r="O958" s="23">
        <v>0</v>
      </c>
      <c r="P958" s="22">
        <v>10273.370000000001</v>
      </c>
    </row>
    <row r="959" spans="1:16" x14ac:dyDescent="0.3">
      <c r="A959" s="3" t="s">
        <v>1785</v>
      </c>
      <c r="B959" s="1">
        <v>2</v>
      </c>
      <c r="C959" s="1">
        <v>1</v>
      </c>
      <c r="D959" s="3" t="s">
        <v>1786</v>
      </c>
      <c r="E959" s="13">
        <v>12160</v>
      </c>
      <c r="F959" s="12">
        <v>3040</v>
      </c>
      <c r="G959" s="12">
        <v>0</v>
      </c>
      <c r="H959" s="13">
        <v>15200</v>
      </c>
      <c r="I959" s="13">
        <v>0</v>
      </c>
      <c r="J959" s="12">
        <v>0</v>
      </c>
      <c r="K959" s="12">
        <v>0</v>
      </c>
      <c r="L959" s="13">
        <v>0</v>
      </c>
      <c r="M959" s="22">
        <v>12160</v>
      </c>
      <c r="N959" s="23">
        <v>3040</v>
      </c>
      <c r="O959" s="23">
        <v>0</v>
      </c>
      <c r="P959" s="22">
        <v>15200</v>
      </c>
    </row>
    <row r="960" spans="1:16" x14ac:dyDescent="0.3">
      <c r="A960" s="3" t="s">
        <v>1787</v>
      </c>
      <c r="B960" s="1">
        <v>2</v>
      </c>
      <c r="C960" s="1">
        <v>1</v>
      </c>
      <c r="D960" s="3" t="s">
        <v>1788</v>
      </c>
      <c r="E960" s="13">
        <v>14217.31</v>
      </c>
      <c r="F960" s="12">
        <v>11870.83</v>
      </c>
      <c r="G960" s="12">
        <v>0</v>
      </c>
      <c r="H960" s="13">
        <v>26088.14</v>
      </c>
      <c r="I960" s="13">
        <v>2604.17</v>
      </c>
      <c r="J960" s="12">
        <v>0</v>
      </c>
      <c r="K960" s="12">
        <v>0</v>
      </c>
      <c r="L960" s="13">
        <v>2604.17</v>
      </c>
      <c r="M960" s="22">
        <v>16821.48</v>
      </c>
      <c r="N960" s="23">
        <v>11870.83</v>
      </c>
      <c r="O960" s="23">
        <v>0</v>
      </c>
      <c r="P960" s="22">
        <v>28692.309999999998</v>
      </c>
    </row>
    <row r="961" spans="1:16" x14ac:dyDescent="0.3">
      <c r="A961" s="3" t="s">
        <v>1789</v>
      </c>
      <c r="B961" s="1">
        <v>2</v>
      </c>
      <c r="C961" s="1">
        <v>1</v>
      </c>
      <c r="D961" s="3" t="s">
        <v>1790</v>
      </c>
      <c r="E961" s="13">
        <v>37062.379999999997</v>
      </c>
      <c r="F961" s="12">
        <v>12583.32</v>
      </c>
      <c r="G961" s="12">
        <v>0</v>
      </c>
      <c r="H961" s="13">
        <v>49645.7</v>
      </c>
      <c r="I961" s="13">
        <v>23693.89</v>
      </c>
      <c r="J961" s="12">
        <v>1571.39</v>
      </c>
      <c r="K961" s="12">
        <v>0</v>
      </c>
      <c r="L961" s="13">
        <v>25265.279999999999</v>
      </c>
      <c r="M961" s="22">
        <v>60756.27</v>
      </c>
      <c r="N961" s="23">
        <v>14154.71</v>
      </c>
      <c r="O961" s="23">
        <v>0</v>
      </c>
      <c r="P961" s="22">
        <v>74910.98</v>
      </c>
    </row>
    <row r="962" spans="1:16" x14ac:dyDescent="0.3">
      <c r="A962" s="3" t="s">
        <v>1791</v>
      </c>
      <c r="B962" s="1">
        <v>2</v>
      </c>
      <c r="C962" s="1">
        <v>1</v>
      </c>
      <c r="D962" s="3" t="s">
        <v>1792</v>
      </c>
      <c r="E962" s="13">
        <v>18974.14</v>
      </c>
      <c r="F962" s="12">
        <v>0</v>
      </c>
      <c r="G962" s="12">
        <v>0</v>
      </c>
      <c r="H962" s="13">
        <v>18974.14</v>
      </c>
      <c r="I962" s="13">
        <v>11614.42</v>
      </c>
      <c r="J962" s="12">
        <v>0</v>
      </c>
      <c r="K962" s="12">
        <v>0</v>
      </c>
      <c r="L962" s="13">
        <v>11614.42</v>
      </c>
      <c r="M962" s="22">
        <v>30588.559999999998</v>
      </c>
      <c r="N962" s="23">
        <v>0</v>
      </c>
      <c r="O962" s="23">
        <v>0</v>
      </c>
      <c r="P962" s="22">
        <v>30588.559999999998</v>
      </c>
    </row>
    <row r="963" spans="1:16" x14ac:dyDescent="0.3">
      <c r="A963" s="3" t="s">
        <v>1793</v>
      </c>
      <c r="B963" s="1">
        <v>2</v>
      </c>
      <c r="C963" s="1">
        <v>1</v>
      </c>
      <c r="D963" s="3" t="s">
        <v>1794</v>
      </c>
      <c r="E963" s="13">
        <v>30126.57</v>
      </c>
      <c r="F963" s="12">
        <v>0</v>
      </c>
      <c r="G963" s="12">
        <v>0</v>
      </c>
      <c r="H963" s="13">
        <v>30126.57</v>
      </c>
      <c r="I963" s="13">
        <v>19303.47</v>
      </c>
      <c r="J963" s="12">
        <v>0</v>
      </c>
      <c r="K963" s="12">
        <v>0</v>
      </c>
      <c r="L963" s="13">
        <v>19303.47</v>
      </c>
      <c r="M963" s="22">
        <v>49430.04</v>
      </c>
      <c r="N963" s="23">
        <v>0</v>
      </c>
      <c r="O963" s="23">
        <v>0</v>
      </c>
      <c r="P963" s="22">
        <v>49430.04</v>
      </c>
    </row>
    <row r="964" spans="1:16" x14ac:dyDescent="0.3">
      <c r="A964" s="3" t="s">
        <v>1795</v>
      </c>
      <c r="B964" s="1">
        <v>2</v>
      </c>
      <c r="C964" s="1">
        <v>1</v>
      </c>
      <c r="D964" s="3" t="s">
        <v>1796</v>
      </c>
      <c r="E964" s="13">
        <v>11867.63</v>
      </c>
      <c r="F964" s="12">
        <v>4873.3</v>
      </c>
      <c r="G964" s="12">
        <v>0</v>
      </c>
      <c r="H964" s="13">
        <v>16740.93</v>
      </c>
      <c r="I964" s="13">
        <v>6405.09</v>
      </c>
      <c r="J964" s="12">
        <v>633.27</v>
      </c>
      <c r="K964" s="12">
        <v>0</v>
      </c>
      <c r="L964" s="13">
        <v>7038.36</v>
      </c>
      <c r="M964" s="22">
        <v>18272.72</v>
      </c>
      <c r="N964" s="23">
        <v>5506.57</v>
      </c>
      <c r="O964" s="23">
        <v>0</v>
      </c>
      <c r="P964" s="22">
        <v>23779.29</v>
      </c>
    </row>
    <row r="965" spans="1:16" x14ac:dyDescent="0.3">
      <c r="A965" s="3" t="s">
        <v>1797</v>
      </c>
      <c r="B965" s="1">
        <v>2</v>
      </c>
      <c r="C965" s="1">
        <v>1</v>
      </c>
      <c r="D965" s="3" t="s">
        <v>1604</v>
      </c>
      <c r="E965" s="13">
        <v>0</v>
      </c>
      <c r="F965" s="12">
        <v>0</v>
      </c>
      <c r="G965" s="12">
        <v>0</v>
      </c>
      <c r="H965" s="13">
        <v>0</v>
      </c>
      <c r="I965" s="13">
        <v>9084</v>
      </c>
      <c r="J965" s="12">
        <v>0</v>
      </c>
      <c r="K965" s="12">
        <v>0</v>
      </c>
      <c r="L965" s="13">
        <v>9084</v>
      </c>
      <c r="M965" s="22">
        <v>9084</v>
      </c>
      <c r="N965" s="23">
        <v>0</v>
      </c>
      <c r="O965" s="23">
        <v>0</v>
      </c>
      <c r="P965" s="22">
        <v>9084</v>
      </c>
    </row>
    <row r="966" spans="1:16" x14ac:dyDescent="0.3">
      <c r="A966" s="3" t="s">
        <v>1798</v>
      </c>
      <c r="B966" s="1">
        <v>2</v>
      </c>
      <c r="C966" s="1">
        <v>1</v>
      </c>
      <c r="D966" s="3" t="s">
        <v>1799</v>
      </c>
      <c r="E966" s="13">
        <v>0</v>
      </c>
      <c r="F966" s="12">
        <v>0</v>
      </c>
      <c r="G966" s="12">
        <v>0</v>
      </c>
      <c r="H966" s="13">
        <v>0</v>
      </c>
      <c r="I966" s="13">
        <v>150</v>
      </c>
      <c r="J966" s="12">
        <v>0</v>
      </c>
      <c r="K966" s="12">
        <v>0</v>
      </c>
      <c r="L966" s="13">
        <v>150</v>
      </c>
      <c r="M966" s="22">
        <v>150</v>
      </c>
      <c r="N966" s="23">
        <v>0</v>
      </c>
      <c r="O966" s="23">
        <v>0</v>
      </c>
      <c r="P966" s="22">
        <v>150</v>
      </c>
    </row>
    <row r="967" spans="1:16" x14ac:dyDescent="0.3">
      <c r="A967" s="3" t="s">
        <v>1800</v>
      </c>
      <c r="B967" s="2">
        <v>1</v>
      </c>
      <c r="C967" s="2">
        <v>0</v>
      </c>
      <c r="D967" s="14" t="s">
        <v>1801</v>
      </c>
      <c r="E967" s="15">
        <v>604471.51</v>
      </c>
      <c r="F967" s="16">
        <v>213980.06</v>
      </c>
      <c r="G967" s="16">
        <v>0</v>
      </c>
      <c r="H967" s="15">
        <v>818451.57</v>
      </c>
      <c r="I967" s="15">
        <v>329959.34000000003</v>
      </c>
      <c r="J967" s="16">
        <v>0</v>
      </c>
      <c r="K967" s="16">
        <v>0</v>
      </c>
      <c r="L967" s="15">
        <v>329959.34000000003</v>
      </c>
      <c r="M967" s="15">
        <v>934430.85000000009</v>
      </c>
      <c r="N967" s="16">
        <v>213980.06</v>
      </c>
      <c r="O967" s="16">
        <v>0</v>
      </c>
      <c r="P967" s="15">
        <v>1148410.9099999999</v>
      </c>
    </row>
    <row r="968" spans="1:16" x14ac:dyDescent="0.3">
      <c r="A968" s="3" t="s">
        <v>1802</v>
      </c>
      <c r="B968" s="1">
        <v>2</v>
      </c>
      <c r="C968" s="1">
        <v>0</v>
      </c>
      <c r="D968" s="3" t="s">
        <v>1803</v>
      </c>
      <c r="E968" s="13">
        <v>497704.63</v>
      </c>
      <c r="F968" s="12">
        <v>196000.87</v>
      </c>
      <c r="G968" s="12">
        <v>0</v>
      </c>
      <c r="H968" s="13">
        <v>693705.5</v>
      </c>
      <c r="I968" s="13">
        <v>273122.73</v>
      </c>
      <c r="J968" s="12">
        <v>0</v>
      </c>
      <c r="K968" s="12">
        <v>0</v>
      </c>
      <c r="L968" s="13">
        <v>273122.73</v>
      </c>
      <c r="M968" s="22">
        <v>770827.36</v>
      </c>
      <c r="N968" s="23">
        <v>196000.87</v>
      </c>
      <c r="O968" s="23">
        <v>0</v>
      </c>
      <c r="P968" s="22">
        <v>966828.23</v>
      </c>
    </row>
    <row r="969" spans="1:16" x14ac:dyDescent="0.3">
      <c r="A969" s="3" t="s">
        <v>1804</v>
      </c>
      <c r="B969" s="1">
        <v>2</v>
      </c>
      <c r="C969" s="1">
        <v>1</v>
      </c>
      <c r="D969" s="3" t="s">
        <v>1805</v>
      </c>
      <c r="E969" s="13">
        <v>310100.77</v>
      </c>
      <c r="F969" s="12">
        <v>124813.97</v>
      </c>
      <c r="G969" s="12">
        <v>0</v>
      </c>
      <c r="H969" s="13">
        <v>434914.74</v>
      </c>
      <c r="I969" s="13">
        <v>182775.74</v>
      </c>
      <c r="J969" s="12">
        <v>0</v>
      </c>
      <c r="K969" s="12">
        <v>0</v>
      </c>
      <c r="L969" s="13">
        <v>182775.74</v>
      </c>
      <c r="M969" s="22">
        <v>492876.51</v>
      </c>
      <c r="N969" s="23">
        <v>124813.97</v>
      </c>
      <c r="O969" s="23">
        <v>0</v>
      </c>
      <c r="P969" s="22">
        <v>617690.48</v>
      </c>
    </row>
    <row r="970" spans="1:16" x14ac:dyDescent="0.3">
      <c r="A970" s="3" t="s">
        <v>1806</v>
      </c>
      <c r="B970" s="1">
        <v>2</v>
      </c>
      <c r="C970" s="1">
        <v>1</v>
      </c>
      <c r="D970" s="3" t="s">
        <v>1807</v>
      </c>
      <c r="E970" s="13">
        <v>31416.65</v>
      </c>
      <c r="F970" s="12">
        <v>12566.66</v>
      </c>
      <c r="G970" s="12">
        <v>0</v>
      </c>
      <c r="H970" s="13">
        <v>43983.31</v>
      </c>
      <c r="I970" s="13">
        <v>19909.64</v>
      </c>
      <c r="J970" s="12">
        <v>0</v>
      </c>
      <c r="K970" s="12">
        <v>0</v>
      </c>
      <c r="L970" s="13">
        <v>19909.64</v>
      </c>
      <c r="M970" s="22">
        <v>51326.29</v>
      </c>
      <c r="N970" s="23">
        <v>12566.66</v>
      </c>
      <c r="O970" s="23">
        <v>0</v>
      </c>
      <c r="P970" s="22">
        <v>63892.95</v>
      </c>
    </row>
    <row r="971" spans="1:16" x14ac:dyDescent="0.3">
      <c r="A971" s="3" t="s">
        <v>1808</v>
      </c>
      <c r="B971" s="1">
        <v>2</v>
      </c>
      <c r="C971" s="1">
        <v>1</v>
      </c>
      <c r="D971" s="3" t="s">
        <v>1809</v>
      </c>
      <c r="E971" s="13">
        <v>31416.65</v>
      </c>
      <c r="F971" s="12">
        <v>12566.66</v>
      </c>
      <c r="G971" s="12">
        <v>0</v>
      </c>
      <c r="H971" s="13">
        <v>43983.31</v>
      </c>
      <c r="I971" s="13">
        <v>19909.64</v>
      </c>
      <c r="J971" s="12">
        <v>0</v>
      </c>
      <c r="K971" s="12">
        <v>0</v>
      </c>
      <c r="L971" s="13">
        <v>19909.64</v>
      </c>
      <c r="M971" s="22">
        <v>51326.29</v>
      </c>
      <c r="N971" s="23">
        <v>12566.66</v>
      </c>
      <c r="O971" s="23">
        <v>0</v>
      </c>
      <c r="P971" s="22">
        <v>63892.95</v>
      </c>
    </row>
    <row r="972" spans="1:16" x14ac:dyDescent="0.3">
      <c r="A972" s="3" t="s">
        <v>1810</v>
      </c>
      <c r="B972" s="1">
        <v>2</v>
      </c>
      <c r="C972" s="1">
        <v>1</v>
      </c>
      <c r="D972" s="3" t="s">
        <v>1811</v>
      </c>
      <c r="E972" s="13">
        <v>4066.23</v>
      </c>
      <c r="F972" s="12">
        <v>852.83</v>
      </c>
      <c r="G972" s="12">
        <v>0</v>
      </c>
      <c r="H972" s="13">
        <v>4919.0600000000004</v>
      </c>
      <c r="I972" s="13">
        <v>12244.39</v>
      </c>
      <c r="J972" s="12">
        <v>0</v>
      </c>
      <c r="K972" s="12">
        <v>0</v>
      </c>
      <c r="L972" s="13">
        <v>12244.39</v>
      </c>
      <c r="M972" s="22">
        <v>16310.619999999999</v>
      </c>
      <c r="N972" s="23">
        <v>852.83</v>
      </c>
      <c r="O972" s="23">
        <v>0</v>
      </c>
      <c r="P972" s="22">
        <v>17163.45</v>
      </c>
    </row>
    <row r="973" spans="1:16" x14ac:dyDescent="0.3">
      <c r="A973" s="3" t="s">
        <v>1812</v>
      </c>
      <c r="B973" s="1">
        <v>2</v>
      </c>
      <c r="C973" s="1">
        <v>1</v>
      </c>
      <c r="D973" s="3" t="s">
        <v>1813</v>
      </c>
      <c r="E973" s="13">
        <v>0</v>
      </c>
      <c r="F973" s="12">
        <v>0</v>
      </c>
      <c r="G973" s="12">
        <v>0</v>
      </c>
      <c r="H973" s="13">
        <v>0</v>
      </c>
      <c r="I973" s="13">
        <v>433.2</v>
      </c>
      <c r="J973" s="12">
        <v>0</v>
      </c>
      <c r="K973" s="12">
        <v>0</v>
      </c>
      <c r="L973" s="13">
        <v>433.2</v>
      </c>
      <c r="M973" s="22">
        <v>433.2</v>
      </c>
      <c r="N973" s="23">
        <v>0</v>
      </c>
      <c r="O973" s="23">
        <v>0</v>
      </c>
      <c r="P973" s="22">
        <v>433.2</v>
      </c>
    </row>
    <row r="974" spans="1:16" x14ac:dyDescent="0.3">
      <c r="A974" s="3" t="s">
        <v>1814</v>
      </c>
      <c r="B974" s="1">
        <v>2</v>
      </c>
      <c r="C974" s="1">
        <v>1</v>
      </c>
      <c r="D974" s="3" t="s">
        <v>1815</v>
      </c>
      <c r="E974" s="13">
        <v>26226.94</v>
      </c>
      <c r="F974" s="12">
        <v>7012.65</v>
      </c>
      <c r="G974" s="12">
        <v>0</v>
      </c>
      <c r="H974" s="13">
        <v>33239.589999999997</v>
      </c>
      <c r="I974" s="13">
        <v>428.44</v>
      </c>
      <c r="J974" s="12">
        <v>0</v>
      </c>
      <c r="K974" s="12">
        <v>0</v>
      </c>
      <c r="L974" s="13">
        <v>428.44</v>
      </c>
      <c r="M974" s="22">
        <v>26655.379999999997</v>
      </c>
      <c r="N974" s="23">
        <v>7012.65</v>
      </c>
      <c r="O974" s="23">
        <v>0</v>
      </c>
      <c r="P974" s="22">
        <v>33668.03</v>
      </c>
    </row>
    <row r="975" spans="1:16" x14ac:dyDescent="0.3">
      <c r="A975" s="3" t="s">
        <v>1816</v>
      </c>
      <c r="B975" s="1">
        <v>2</v>
      </c>
      <c r="C975" s="1">
        <v>1</v>
      </c>
      <c r="D975" s="3" t="s">
        <v>1817</v>
      </c>
      <c r="E975" s="13">
        <v>31416.65</v>
      </c>
      <c r="F975" s="12">
        <v>12566.66</v>
      </c>
      <c r="G975" s="12">
        <v>0</v>
      </c>
      <c r="H975" s="13">
        <v>43983.31</v>
      </c>
      <c r="I975" s="13">
        <v>19909.64</v>
      </c>
      <c r="J975" s="12">
        <v>0</v>
      </c>
      <c r="K975" s="12">
        <v>0</v>
      </c>
      <c r="L975" s="13">
        <v>19909.64</v>
      </c>
      <c r="M975" s="22">
        <v>51326.29</v>
      </c>
      <c r="N975" s="23">
        <v>12566.66</v>
      </c>
      <c r="O975" s="23">
        <v>0</v>
      </c>
      <c r="P975" s="22">
        <v>63892.95</v>
      </c>
    </row>
    <row r="976" spans="1:16" x14ac:dyDescent="0.3">
      <c r="A976" s="3" t="s">
        <v>1818</v>
      </c>
      <c r="B976" s="1">
        <v>2</v>
      </c>
      <c r="C976" s="1">
        <v>1</v>
      </c>
      <c r="D976" s="3" t="s">
        <v>1819</v>
      </c>
      <c r="E976" s="13">
        <v>15708.35</v>
      </c>
      <c r="F976" s="12">
        <v>6283.34</v>
      </c>
      <c r="G976" s="12">
        <v>0</v>
      </c>
      <c r="H976" s="13">
        <v>21991.69</v>
      </c>
      <c r="I976" s="13">
        <v>8122.2</v>
      </c>
      <c r="J976" s="12">
        <v>0</v>
      </c>
      <c r="K976" s="12">
        <v>0</v>
      </c>
      <c r="L976" s="13">
        <v>8122.2</v>
      </c>
      <c r="M976" s="22">
        <v>23830.55</v>
      </c>
      <c r="N976" s="23">
        <v>6283.34</v>
      </c>
      <c r="O976" s="23">
        <v>0</v>
      </c>
      <c r="P976" s="22">
        <v>30113.89</v>
      </c>
    </row>
    <row r="977" spans="1:16" x14ac:dyDescent="0.3">
      <c r="A977" s="3" t="s">
        <v>1820</v>
      </c>
      <c r="B977" s="1">
        <v>2</v>
      </c>
      <c r="C977" s="1">
        <v>1</v>
      </c>
      <c r="D977" s="3" t="s">
        <v>1821</v>
      </c>
      <c r="E977" s="13">
        <v>0</v>
      </c>
      <c r="F977" s="12">
        <v>0</v>
      </c>
      <c r="G977" s="12">
        <v>0</v>
      </c>
      <c r="H977" s="13">
        <v>0</v>
      </c>
      <c r="I977" s="13">
        <v>5236.12</v>
      </c>
      <c r="J977" s="12">
        <v>0</v>
      </c>
      <c r="K977" s="12">
        <v>0</v>
      </c>
      <c r="L977" s="13">
        <v>5236.12</v>
      </c>
      <c r="M977" s="22">
        <v>5236.12</v>
      </c>
      <c r="N977" s="23">
        <v>0</v>
      </c>
      <c r="O977" s="23">
        <v>0</v>
      </c>
      <c r="P977" s="22">
        <v>5236.12</v>
      </c>
    </row>
    <row r="978" spans="1:16" x14ac:dyDescent="0.3">
      <c r="A978" s="3" t="s">
        <v>1822</v>
      </c>
      <c r="B978" s="1">
        <v>2</v>
      </c>
      <c r="C978" s="1">
        <v>1</v>
      </c>
      <c r="D978" s="3" t="s">
        <v>1823</v>
      </c>
      <c r="E978" s="13">
        <v>8685.7199999999993</v>
      </c>
      <c r="F978" s="12">
        <v>2171.4299999999998</v>
      </c>
      <c r="G978" s="12">
        <v>0</v>
      </c>
      <c r="H978" s="13">
        <v>10857.15</v>
      </c>
      <c r="I978" s="13">
        <v>0</v>
      </c>
      <c r="J978" s="12">
        <v>0</v>
      </c>
      <c r="K978" s="12">
        <v>0</v>
      </c>
      <c r="L978" s="13">
        <v>0</v>
      </c>
      <c r="M978" s="22">
        <v>8685.7199999999993</v>
      </c>
      <c r="N978" s="23">
        <v>2171.4299999999998</v>
      </c>
      <c r="O978" s="23">
        <v>0</v>
      </c>
      <c r="P978" s="22">
        <v>10857.15</v>
      </c>
    </row>
    <row r="979" spans="1:16" x14ac:dyDescent="0.3">
      <c r="A979" s="3" t="s">
        <v>1824</v>
      </c>
      <c r="B979" s="1">
        <v>2</v>
      </c>
      <c r="C979" s="1">
        <v>1</v>
      </c>
      <c r="D979" s="3" t="s">
        <v>1825</v>
      </c>
      <c r="E979" s="13">
        <v>38666.67</v>
      </c>
      <c r="F979" s="12">
        <v>17166.669999999998</v>
      </c>
      <c r="G979" s="12">
        <v>0</v>
      </c>
      <c r="H979" s="13">
        <v>55833.34</v>
      </c>
      <c r="I979" s="13">
        <v>4000</v>
      </c>
      <c r="J979" s="12">
        <v>0</v>
      </c>
      <c r="K979" s="12">
        <v>0</v>
      </c>
      <c r="L979" s="13">
        <v>4000</v>
      </c>
      <c r="M979" s="22">
        <v>42666.67</v>
      </c>
      <c r="N979" s="23">
        <v>17166.669999999998</v>
      </c>
      <c r="O979" s="23">
        <v>0</v>
      </c>
      <c r="P979" s="22">
        <v>59833.34</v>
      </c>
    </row>
    <row r="980" spans="1:16" x14ac:dyDescent="0.3">
      <c r="A980" s="3" t="s">
        <v>1826</v>
      </c>
      <c r="B980" s="1">
        <v>2</v>
      </c>
      <c r="C980" s="1">
        <v>1</v>
      </c>
      <c r="D980" s="3" t="s">
        <v>1827</v>
      </c>
      <c r="E980" s="13">
        <v>0</v>
      </c>
      <c r="F980" s="12">
        <v>0</v>
      </c>
      <c r="G980" s="12">
        <v>0</v>
      </c>
      <c r="H980" s="13">
        <v>0</v>
      </c>
      <c r="I980" s="13">
        <v>153.72</v>
      </c>
      <c r="J980" s="12">
        <v>0</v>
      </c>
      <c r="K980" s="12">
        <v>0</v>
      </c>
      <c r="L980" s="13">
        <v>153.72</v>
      </c>
      <c r="M980" s="22">
        <v>153.72</v>
      </c>
      <c r="N980" s="23">
        <v>0</v>
      </c>
      <c r="O980" s="23">
        <v>0</v>
      </c>
      <c r="P980" s="22">
        <v>153.72</v>
      </c>
    </row>
    <row r="981" spans="1:16" x14ac:dyDescent="0.3">
      <c r="A981" s="3" t="s">
        <v>1828</v>
      </c>
      <c r="B981" s="1">
        <v>2</v>
      </c>
      <c r="C981" s="1">
        <v>1</v>
      </c>
      <c r="D981" s="3" t="s">
        <v>1829</v>
      </c>
      <c r="E981" s="13">
        <v>37777.1</v>
      </c>
      <c r="F981" s="12">
        <v>12889.71</v>
      </c>
      <c r="G981" s="12">
        <v>0</v>
      </c>
      <c r="H981" s="13">
        <v>50666.81</v>
      </c>
      <c r="I981" s="13">
        <v>20805.68</v>
      </c>
      <c r="J981" s="12">
        <v>0</v>
      </c>
      <c r="K981" s="12">
        <v>0</v>
      </c>
      <c r="L981" s="13">
        <v>20805.68</v>
      </c>
      <c r="M981" s="22">
        <v>58582.78</v>
      </c>
      <c r="N981" s="23">
        <v>12889.71</v>
      </c>
      <c r="O981" s="23">
        <v>0</v>
      </c>
      <c r="P981" s="22">
        <v>71472.489999999991</v>
      </c>
    </row>
    <row r="982" spans="1:16" x14ac:dyDescent="0.3">
      <c r="A982" s="3" t="s">
        <v>1830</v>
      </c>
      <c r="B982" s="1">
        <v>2</v>
      </c>
      <c r="C982" s="1">
        <v>1</v>
      </c>
      <c r="D982" s="3" t="s">
        <v>1831</v>
      </c>
      <c r="E982" s="13">
        <v>21148.95</v>
      </c>
      <c r="F982" s="12">
        <v>0</v>
      </c>
      <c r="G982" s="12">
        <v>0</v>
      </c>
      <c r="H982" s="13">
        <v>21148.95</v>
      </c>
      <c r="I982" s="13">
        <v>10666.58</v>
      </c>
      <c r="J982" s="12">
        <v>0</v>
      </c>
      <c r="K982" s="12">
        <v>0</v>
      </c>
      <c r="L982" s="13">
        <v>10666.58</v>
      </c>
      <c r="M982" s="22">
        <v>31815.53</v>
      </c>
      <c r="N982" s="23">
        <v>0</v>
      </c>
      <c r="O982" s="23">
        <v>0</v>
      </c>
      <c r="P982" s="22">
        <v>31815.53</v>
      </c>
    </row>
    <row r="983" spans="1:16" x14ac:dyDescent="0.3">
      <c r="A983" s="3" t="s">
        <v>1832</v>
      </c>
      <c r="B983" s="1">
        <v>2</v>
      </c>
      <c r="C983" s="1">
        <v>1</v>
      </c>
      <c r="D983" s="3" t="s">
        <v>1833</v>
      </c>
      <c r="E983" s="13">
        <v>35117.129999999997</v>
      </c>
      <c r="F983" s="12">
        <v>0</v>
      </c>
      <c r="G983" s="12">
        <v>0</v>
      </c>
      <c r="H983" s="13">
        <v>35117.129999999997</v>
      </c>
      <c r="I983" s="13">
        <v>17727.61</v>
      </c>
      <c r="J983" s="12">
        <v>0</v>
      </c>
      <c r="K983" s="12">
        <v>0</v>
      </c>
      <c r="L983" s="13">
        <v>17727.61</v>
      </c>
      <c r="M983" s="22">
        <v>52844.74</v>
      </c>
      <c r="N983" s="23">
        <v>0</v>
      </c>
      <c r="O983" s="23">
        <v>0</v>
      </c>
      <c r="P983" s="22">
        <v>52844.74</v>
      </c>
    </row>
    <row r="984" spans="1:16" x14ac:dyDescent="0.3">
      <c r="A984" s="3" t="s">
        <v>1834</v>
      </c>
      <c r="B984" s="1">
        <v>2</v>
      </c>
      <c r="C984" s="1">
        <v>1</v>
      </c>
      <c r="D984" s="3" t="s">
        <v>1835</v>
      </c>
      <c r="E984" s="13">
        <v>12723.7</v>
      </c>
      <c r="F984" s="12">
        <v>5089.4799999999996</v>
      </c>
      <c r="G984" s="12">
        <v>0</v>
      </c>
      <c r="H984" s="13">
        <v>17813.18</v>
      </c>
      <c r="I984" s="13">
        <v>7636.74</v>
      </c>
      <c r="J984" s="12">
        <v>0</v>
      </c>
      <c r="K984" s="12">
        <v>0</v>
      </c>
      <c r="L984" s="13">
        <v>7636.74</v>
      </c>
      <c r="M984" s="22">
        <v>20360.440000000002</v>
      </c>
      <c r="N984" s="23">
        <v>5089.4799999999996</v>
      </c>
      <c r="O984" s="23">
        <v>0</v>
      </c>
      <c r="P984" s="22">
        <v>25449.919999999998</v>
      </c>
    </row>
    <row r="985" spans="1:16" x14ac:dyDescent="0.3">
      <c r="A985" s="3" t="s">
        <v>1836</v>
      </c>
      <c r="B985" s="2">
        <v>1</v>
      </c>
      <c r="C985" s="2">
        <v>0</v>
      </c>
      <c r="D985" s="14" t="s">
        <v>1837</v>
      </c>
      <c r="E985" s="15">
        <v>1178278.8899999999</v>
      </c>
      <c r="F985" s="16">
        <v>493421.61</v>
      </c>
      <c r="G985" s="16">
        <v>5925.05</v>
      </c>
      <c r="H985" s="15">
        <v>1665775.45</v>
      </c>
      <c r="I985" s="15">
        <v>650837.06999999995</v>
      </c>
      <c r="J985" s="16">
        <v>0</v>
      </c>
      <c r="K985" s="16">
        <v>0</v>
      </c>
      <c r="L985" s="15">
        <v>650837.06999999995</v>
      </c>
      <c r="M985" s="15">
        <v>1829115.96</v>
      </c>
      <c r="N985" s="16">
        <v>493421.61</v>
      </c>
      <c r="O985" s="16">
        <v>5925.05</v>
      </c>
      <c r="P985" s="15">
        <v>2316612.52</v>
      </c>
    </row>
    <row r="986" spans="1:16" x14ac:dyDescent="0.3">
      <c r="A986" s="3" t="s">
        <v>1838</v>
      </c>
      <c r="B986" s="1">
        <v>2</v>
      </c>
      <c r="C986" s="1">
        <v>0</v>
      </c>
      <c r="D986" s="3" t="s">
        <v>1839</v>
      </c>
      <c r="E986" s="13">
        <v>1135356.22</v>
      </c>
      <c r="F986" s="12">
        <v>480139.98</v>
      </c>
      <c r="G986" s="12">
        <v>3106.75</v>
      </c>
      <c r="H986" s="13">
        <v>1612389.45</v>
      </c>
      <c r="I986" s="13">
        <v>613595.96</v>
      </c>
      <c r="J986" s="12">
        <v>0</v>
      </c>
      <c r="K986" s="12">
        <v>0</v>
      </c>
      <c r="L986" s="13">
        <v>613595.96</v>
      </c>
      <c r="M986" s="22">
        <v>1748952.18</v>
      </c>
      <c r="N986" s="23">
        <v>480139.98</v>
      </c>
      <c r="O986" s="23">
        <v>3106.75</v>
      </c>
      <c r="P986" s="22">
        <v>2225985.41</v>
      </c>
    </row>
    <row r="987" spans="1:16" x14ac:dyDescent="0.3">
      <c r="A987" s="3" t="s">
        <v>1840</v>
      </c>
      <c r="B987" s="1">
        <v>2</v>
      </c>
      <c r="C987" s="1">
        <v>1</v>
      </c>
      <c r="D987" s="3" t="s">
        <v>1841</v>
      </c>
      <c r="E987" s="13">
        <v>149092.88</v>
      </c>
      <c r="F987" s="12">
        <v>71349.119999999995</v>
      </c>
      <c r="G987" s="12">
        <v>0</v>
      </c>
      <c r="H987" s="13">
        <v>220442</v>
      </c>
      <c r="I987" s="13">
        <v>93045.17</v>
      </c>
      <c r="J987" s="12">
        <v>0</v>
      </c>
      <c r="K987" s="12">
        <v>0</v>
      </c>
      <c r="L987" s="13">
        <v>93045.17</v>
      </c>
      <c r="M987" s="22">
        <v>242138.05</v>
      </c>
      <c r="N987" s="23">
        <v>71349.119999999995</v>
      </c>
      <c r="O987" s="23">
        <v>0</v>
      </c>
      <c r="P987" s="22">
        <v>313487.17</v>
      </c>
    </row>
    <row r="988" spans="1:16" x14ac:dyDescent="0.3">
      <c r="A988" s="3" t="s">
        <v>1842</v>
      </c>
      <c r="B988" s="1">
        <v>2</v>
      </c>
      <c r="C988" s="1">
        <v>1</v>
      </c>
      <c r="D988" s="3" t="s">
        <v>1843</v>
      </c>
      <c r="E988" s="13">
        <v>1360.8</v>
      </c>
      <c r="F988" s="12">
        <v>0</v>
      </c>
      <c r="G988" s="12">
        <v>0</v>
      </c>
      <c r="H988" s="13">
        <v>1360.8</v>
      </c>
      <c r="I988" s="13">
        <v>0</v>
      </c>
      <c r="J988" s="12">
        <v>0</v>
      </c>
      <c r="K988" s="12">
        <v>0</v>
      </c>
      <c r="L988" s="13">
        <v>0</v>
      </c>
      <c r="M988" s="22">
        <v>1360.8</v>
      </c>
      <c r="N988" s="23">
        <v>0</v>
      </c>
      <c r="O988" s="23">
        <v>0</v>
      </c>
      <c r="P988" s="22">
        <v>1360.8</v>
      </c>
    </row>
    <row r="989" spans="1:16" x14ac:dyDescent="0.3">
      <c r="A989" s="3" t="s">
        <v>1844</v>
      </c>
      <c r="B989" s="1">
        <v>2</v>
      </c>
      <c r="C989" s="1">
        <v>1</v>
      </c>
      <c r="D989" s="3" t="s">
        <v>1845</v>
      </c>
      <c r="E989" s="13">
        <v>17480.759999999998</v>
      </c>
      <c r="F989" s="12">
        <v>8891.1</v>
      </c>
      <c r="G989" s="12">
        <v>0</v>
      </c>
      <c r="H989" s="13">
        <v>26371.86</v>
      </c>
      <c r="I989" s="13">
        <v>9970.17</v>
      </c>
      <c r="J989" s="12">
        <v>0</v>
      </c>
      <c r="K989" s="12">
        <v>0</v>
      </c>
      <c r="L989" s="13">
        <v>9970.17</v>
      </c>
      <c r="M989" s="22">
        <v>27450.93</v>
      </c>
      <c r="N989" s="23">
        <v>8891.1</v>
      </c>
      <c r="O989" s="23">
        <v>0</v>
      </c>
      <c r="P989" s="22">
        <v>36342.03</v>
      </c>
    </row>
    <row r="990" spans="1:16" x14ac:dyDescent="0.3">
      <c r="A990" s="3" t="s">
        <v>1846</v>
      </c>
      <c r="B990" s="1">
        <v>2</v>
      </c>
      <c r="C990" s="1">
        <v>1</v>
      </c>
      <c r="D990" s="3" t="s">
        <v>1847</v>
      </c>
      <c r="E990" s="13">
        <v>17480.759999999998</v>
      </c>
      <c r="F990" s="12">
        <v>8891.1</v>
      </c>
      <c r="G990" s="12">
        <v>0</v>
      </c>
      <c r="H990" s="13">
        <v>26371.86</v>
      </c>
      <c r="I990" s="13">
        <v>9970.17</v>
      </c>
      <c r="J990" s="12">
        <v>0</v>
      </c>
      <c r="K990" s="12">
        <v>0</v>
      </c>
      <c r="L990" s="13">
        <v>9970.17</v>
      </c>
      <c r="M990" s="22">
        <v>27450.93</v>
      </c>
      <c r="N990" s="23">
        <v>8891.1</v>
      </c>
      <c r="O990" s="23">
        <v>0</v>
      </c>
      <c r="P990" s="22">
        <v>36342.03</v>
      </c>
    </row>
    <row r="991" spans="1:16" x14ac:dyDescent="0.3">
      <c r="A991" s="3" t="s">
        <v>1848</v>
      </c>
      <c r="B991" s="1">
        <v>2</v>
      </c>
      <c r="C991" s="1">
        <v>1</v>
      </c>
      <c r="D991" s="3" t="s">
        <v>1849</v>
      </c>
      <c r="E991" s="13">
        <v>11758.87</v>
      </c>
      <c r="F991" s="12">
        <v>7620.48</v>
      </c>
      <c r="G991" s="12">
        <v>0</v>
      </c>
      <c r="H991" s="13">
        <v>19379.349999999999</v>
      </c>
      <c r="I991" s="13">
        <v>20300.240000000002</v>
      </c>
      <c r="J991" s="12">
        <v>0</v>
      </c>
      <c r="K991" s="12">
        <v>0</v>
      </c>
      <c r="L991" s="13">
        <v>20300.240000000002</v>
      </c>
      <c r="M991" s="22">
        <v>32059.11</v>
      </c>
      <c r="N991" s="23">
        <v>7620.48</v>
      </c>
      <c r="O991" s="23">
        <v>0</v>
      </c>
      <c r="P991" s="22">
        <v>39679.589999999997</v>
      </c>
    </row>
    <row r="992" spans="1:16" x14ac:dyDescent="0.3">
      <c r="A992" s="3" t="s">
        <v>1850</v>
      </c>
      <c r="B992" s="1">
        <v>2</v>
      </c>
      <c r="C992" s="1">
        <v>1</v>
      </c>
      <c r="D992" s="3" t="s">
        <v>1851</v>
      </c>
      <c r="E992" s="13">
        <v>846.18</v>
      </c>
      <c r="F992" s="12">
        <v>0</v>
      </c>
      <c r="G992" s="12">
        <v>0</v>
      </c>
      <c r="H992" s="13">
        <v>846.18</v>
      </c>
      <c r="I992" s="13">
        <v>8426.2199999999993</v>
      </c>
      <c r="J992" s="12">
        <v>0</v>
      </c>
      <c r="K992" s="12">
        <v>0</v>
      </c>
      <c r="L992" s="13">
        <v>8426.2199999999993</v>
      </c>
      <c r="M992" s="22">
        <v>9272.4</v>
      </c>
      <c r="N992" s="23">
        <v>0</v>
      </c>
      <c r="O992" s="23">
        <v>0</v>
      </c>
      <c r="P992" s="22">
        <v>9272.4</v>
      </c>
    </row>
    <row r="993" spans="1:16" x14ac:dyDescent="0.3">
      <c r="A993" s="3" t="s">
        <v>1852</v>
      </c>
      <c r="B993" s="1">
        <v>2</v>
      </c>
      <c r="C993" s="1">
        <v>1</v>
      </c>
      <c r="D993" s="3" t="s">
        <v>1853</v>
      </c>
      <c r="E993" s="13">
        <v>33136.33</v>
      </c>
      <c r="F993" s="12">
        <v>4184.88</v>
      </c>
      <c r="G993" s="12">
        <v>3106.75</v>
      </c>
      <c r="H993" s="13">
        <v>34214.46</v>
      </c>
      <c r="I993" s="13">
        <v>3607.55</v>
      </c>
      <c r="J993" s="12">
        <v>0</v>
      </c>
      <c r="K993" s="12">
        <v>0</v>
      </c>
      <c r="L993" s="13">
        <v>3607.55</v>
      </c>
      <c r="M993" s="22">
        <v>36743.880000000005</v>
      </c>
      <c r="N993" s="23">
        <v>4184.88</v>
      </c>
      <c r="O993" s="23">
        <v>3106.75</v>
      </c>
      <c r="P993" s="22">
        <v>37822.01</v>
      </c>
    </row>
    <row r="994" spans="1:16" x14ac:dyDescent="0.3">
      <c r="A994" s="3" t="s">
        <v>1854</v>
      </c>
      <c r="B994" s="1">
        <v>2</v>
      </c>
      <c r="C994" s="1">
        <v>1</v>
      </c>
      <c r="D994" s="3" t="s">
        <v>1855</v>
      </c>
      <c r="E994" s="13">
        <v>17480.759999999998</v>
      </c>
      <c r="F994" s="12">
        <v>8891.1</v>
      </c>
      <c r="G994" s="12">
        <v>0</v>
      </c>
      <c r="H994" s="13">
        <v>26371.86</v>
      </c>
      <c r="I994" s="13">
        <v>7301.18</v>
      </c>
      <c r="J994" s="12">
        <v>0</v>
      </c>
      <c r="K994" s="12">
        <v>0</v>
      </c>
      <c r="L994" s="13">
        <v>7301.18</v>
      </c>
      <c r="M994" s="22">
        <v>24781.94</v>
      </c>
      <c r="N994" s="23">
        <v>8891.1</v>
      </c>
      <c r="O994" s="23">
        <v>0</v>
      </c>
      <c r="P994" s="22">
        <v>33673.040000000001</v>
      </c>
    </row>
    <row r="995" spans="1:16" x14ac:dyDescent="0.3">
      <c r="A995" s="3" t="s">
        <v>1856</v>
      </c>
      <c r="B995" s="1">
        <v>2</v>
      </c>
      <c r="C995" s="1">
        <v>1</v>
      </c>
      <c r="D995" s="3" t="s">
        <v>1857</v>
      </c>
      <c r="E995" s="13">
        <v>8639.2999999999993</v>
      </c>
      <c r="F995" s="12">
        <v>4445.55</v>
      </c>
      <c r="G995" s="12">
        <v>0</v>
      </c>
      <c r="H995" s="13">
        <v>13084.85</v>
      </c>
      <c r="I995" s="13">
        <v>0</v>
      </c>
      <c r="J995" s="12">
        <v>0</v>
      </c>
      <c r="K995" s="12">
        <v>0</v>
      </c>
      <c r="L995" s="13">
        <v>0</v>
      </c>
      <c r="M995" s="22">
        <v>8639.2999999999993</v>
      </c>
      <c r="N995" s="23">
        <v>4445.55</v>
      </c>
      <c r="O995" s="23">
        <v>0</v>
      </c>
      <c r="P995" s="22">
        <v>13084.85</v>
      </c>
    </row>
    <row r="996" spans="1:16" x14ac:dyDescent="0.3">
      <c r="A996" s="3" t="s">
        <v>1858</v>
      </c>
      <c r="B996" s="1">
        <v>2</v>
      </c>
      <c r="C996" s="1">
        <v>1</v>
      </c>
      <c r="D996" s="3" t="s">
        <v>1859</v>
      </c>
      <c r="E996" s="13">
        <v>0</v>
      </c>
      <c r="F996" s="12">
        <v>0</v>
      </c>
      <c r="G996" s="12">
        <v>0</v>
      </c>
      <c r="H996" s="13">
        <v>0</v>
      </c>
      <c r="I996" s="13">
        <v>2887.89</v>
      </c>
      <c r="J996" s="12">
        <v>0</v>
      </c>
      <c r="K996" s="12">
        <v>0</v>
      </c>
      <c r="L996" s="13">
        <v>2887.89</v>
      </c>
      <c r="M996" s="22">
        <v>2887.89</v>
      </c>
      <c r="N996" s="23">
        <v>0</v>
      </c>
      <c r="O996" s="23">
        <v>0</v>
      </c>
      <c r="P996" s="22">
        <v>2887.89</v>
      </c>
    </row>
    <row r="997" spans="1:16" x14ac:dyDescent="0.3">
      <c r="A997" s="3" t="s">
        <v>1860</v>
      </c>
      <c r="B997" s="1">
        <v>2</v>
      </c>
      <c r="C997" s="1">
        <v>1</v>
      </c>
      <c r="D997" s="3" t="s">
        <v>1861</v>
      </c>
      <c r="E997" s="13">
        <v>18072.560000000001</v>
      </c>
      <c r="F997" s="12">
        <v>9941.6</v>
      </c>
      <c r="G997" s="12">
        <v>0</v>
      </c>
      <c r="H997" s="13">
        <v>28014.16</v>
      </c>
      <c r="I997" s="13">
        <v>2955.89</v>
      </c>
      <c r="J997" s="12">
        <v>0</v>
      </c>
      <c r="K997" s="12">
        <v>0</v>
      </c>
      <c r="L997" s="13">
        <v>2955.89</v>
      </c>
      <c r="M997" s="22">
        <v>21028.45</v>
      </c>
      <c r="N997" s="23">
        <v>9941.6</v>
      </c>
      <c r="O997" s="23">
        <v>0</v>
      </c>
      <c r="P997" s="22">
        <v>30970.05</v>
      </c>
    </row>
    <row r="998" spans="1:16" x14ac:dyDescent="0.3">
      <c r="A998" s="3" t="s">
        <v>1862</v>
      </c>
      <c r="B998" s="1">
        <v>2</v>
      </c>
      <c r="C998" s="1">
        <v>1</v>
      </c>
      <c r="D998" s="3" t="s">
        <v>1863</v>
      </c>
      <c r="E998" s="13">
        <v>860007.02</v>
      </c>
      <c r="F998" s="12">
        <v>355925.05</v>
      </c>
      <c r="G998" s="12">
        <v>0</v>
      </c>
      <c r="H998" s="13">
        <v>1215932.07</v>
      </c>
      <c r="I998" s="13">
        <v>455131.48</v>
      </c>
      <c r="J998" s="12">
        <v>0</v>
      </c>
      <c r="K998" s="12">
        <v>0</v>
      </c>
      <c r="L998" s="13">
        <v>455131.48</v>
      </c>
      <c r="M998" s="22">
        <v>1315138.5</v>
      </c>
      <c r="N998" s="23">
        <v>355925.05</v>
      </c>
      <c r="O998" s="23">
        <v>0</v>
      </c>
      <c r="P998" s="22">
        <v>1671063.55</v>
      </c>
    </row>
    <row r="999" spans="1:16" x14ac:dyDescent="0.3">
      <c r="A999" s="3" t="s">
        <v>1864</v>
      </c>
      <c r="B999" s="1">
        <v>2</v>
      </c>
      <c r="C999" s="1">
        <v>1</v>
      </c>
      <c r="D999" s="3" t="s">
        <v>1865</v>
      </c>
      <c r="E999" s="13">
        <v>13419.79</v>
      </c>
      <c r="F999" s="12">
        <v>9680.8700000000008</v>
      </c>
      <c r="G999" s="12">
        <v>0</v>
      </c>
      <c r="H999" s="13">
        <v>23100.66</v>
      </c>
      <c r="I999" s="13">
        <v>10470.23</v>
      </c>
      <c r="J999" s="12">
        <v>0</v>
      </c>
      <c r="K999" s="12">
        <v>0</v>
      </c>
      <c r="L999" s="13">
        <v>10470.23</v>
      </c>
      <c r="M999" s="22">
        <v>23890.02</v>
      </c>
      <c r="N999" s="23">
        <v>9680.8700000000008</v>
      </c>
      <c r="O999" s="23">
        <v>0</v>
      </c>
      <c r="P999" s="22">
        <v>33570.89</v>
      </c>
    </row>
    <row r="1000" spans="1:16" x14ac:dyDescent="0.3">
      <c r="A1000" s="3" t="s">
        <v>1866</v>
      </c>
      <c r="B1000" s="1">
        <v>2</v>
      </c>
      <c r="C1000" s="1">
        <v>1</v>
      </c>
      <c r="D1000" s="3" t="s">
        <v>1867</v>
      </c>
      <c r="E1000" s="13">
        <v>10907.82</v>
      </c>
      <c r="F1000" s="12">
        <v>0</v>
      </c>
      <c r="G1000" s="12">
        <v>0</v>
      </c>
      <c r="H1000" s="13">
        <v>10907.82</v>
      </c>
      <c r="I1000" s="13">
        <v>6949.92</v>
      </c>
      <c r="J1000" s="12">
        <v>0</v>
      </c>
      <c r="K1000" s="12">
        <v>0</v>
      </c>
      <c r="L1000" s="13">
        <v>6949.92</v>
      </c>
      <c r="M1000" s="22">
        <v>17857.739999999998</v>
      </c>
      <c r="N1000" s="23">
        <v>0</v>
      </c>
      <c r="O1000" s="23">
        <v>0</v>
      </c>
      <c r="P1000" s="22">
        <v>17857.739999999998</v>
      </c>
    </row>
    <row r="1001" spans="1:16" x14ac:dyDescent="0.3">
      <c r="A1001" s="3" t="s">
        <v>1868</v>
      </c>
      <c r="B1001" s="1">
        <v>2</v>
      </c>
      <c r="C1001" s="1">
        <v>1</v>
      </c>
      <c r="D1001" s="3" t="s">
        <v>1869</v>
      </c>
      <c r="E1001" s="13">
        <v>16638.91</v>
      </c>
      <c r="F1001" s="12">
        <v>0</v>
      </c>
      <c r="G1001" s="12">
        <v>0</v>
      </c>
      <c r="H1001" s="13">
        <v>16638.91</v>
      </c>
      <c r="I1001" s="13">
        <v>10474.16</v>
      </c>
      <c r="J1001" s="12">
        <v>0</v>
      </c>
      <c r="K1001" s="12">
        <v>0</v>
      </c>
      <c r="L1001" s="13">
        <v>10474.16</v>
      </c>
      <c r="M1001" s="22">
        <v>27113.07</v>
      </c>
      <c r="N1001" s="23">
        <v>0</v>
      </c>
      <c r="O1001" s="23">
        <v>0</v>
      </c>
      <c r="P1001" s="22">
        <v>27113.07</v>
      </c>
    </row>
    <row r="1002" spans="1:16" x14ac:dyDescent="0.3">
      <c r="A1002" s="3" t="s">
        <v>1870</v>
      </c>
      <c r="B1002" s="1">
        <v>2</v>
      </c>
      <c r="C1002" s="1">
        <v>1</v>
      </c>
      <c r="D1002" s="3" t="s">
        <v>1871</v>
      </c>
      <c r="E1002" s="13">
        <v>1956.15</v>
      </c>
      <c r="F1002" s="12">
        <v>3600.76</v>
      </c>
      <c r="G1002" s="12">
        <v>2818.3</v>
      </c>
      <c r="H1002" s="13">
        <v>2738.61</v>
      </c>
      <c r="I1002" s="13">
        <v>9346.7999999999993</v>
      </c>
      <c r="J1002" s="12">
        <v>0</v>
      </c>
      <c r="K1002" s="12">
        <v>0</v>
      </c>
      <c r="L1002" s="13">
        <v>9346.7999999999993</v>
      </c>
      <c r="M1002" s="22">
        <v>11302.949999999999</v>
      </c>
      <c r="N1002" s="23">
        <v>3600.76</v>
      </c>
      <c r="O1002" s="23">
        <v>2818.3</v>
      </c>
      <c r="P1002" s="22">
        <v>12085.41</v>
      </c>
    </row>
    <row r="1003" spans="1:16" x14ac:dyDescent="0.3">
      <c r="A1003" s="3" t="s">
        <v>1872</v>
      </c>
      <c r="B1003" s="1">
        <v>2</v>
      </c>
      <c r="C1003" s="1">
        <v>0</v>
      </c>
      <c r="D1003" s="3" t="s">
        <v>1873</v>
      </c>
      <c r="E1003" s="13">
        <v>590323.75</v>
      </c>
      <c r="F1003" s="12">
        <v>857008.34</v>
      </c>
      <c r="G1003" s="12">
        <v>0</v>
      </c>
      <c r="H1003" s="13">
        <v>1447332.09</v>
      </c>
      <c r="I1003" s="13">
        <v>7169706.9699999997</v>
      </c>
      <c r="J1003" s="12">
        <v>508733.75</v>
      </c>
      <c r="K1003" s="12">
        <v>0</v>
      </c>
      <c r="L1003" s="13">
        <v>7678440.7199999997</v>
      </c>
      <c r="M1003" s="22">
        <v>7760030.7199999997</v>
      </c>
      <c r="N1003" s="23">
        <v>1365742.0899999999</v>
      </c>
      <c r="O1003" s="23">
        <v>0</v>
      </c>
      <c r="P1003" s="22">
        <v>9125772.8100000005</v>
      </c>
    </row>
    <row r="1004" spans="1:16" x14ac:dyDescent="0.3">
      <c r="A1004" s="3" t="s">
        <v>1874</v>
      </c>
      <c r="B1004" s="2">
        <v>1</v>
      </c>
      <c r="C1004" s="2">
        <v>1</v>
      </c>
      <c r="D1004" s="14" t="s">
        <v>1875</v>
      </c>
      <c r="E1004" s="15">
        <v>0</v>
      </c>
      <c r="F1004" s="16">
        <v>0</v>
      </c>
      <c r="G1004" s="16">
        <v>0</v>
      </c>
      <c r="H1004" s="15">
        <v>0</v>
      </c>
      <c r="I1004" s="15">
        <v>6068460.9199999999</v>
      </c>
      <c r="J1004" s="16">
        <v>508733.75</v>
      </c>
      <c r="K1004" s="16">
        <v>0</v>
      </c>
      <c r="L1004" s="15">
        <v>6577194.6699999999</v>
      </c>
      <c r="M1004" s="15">
        <v>6068460.9199999999</v>
      </c>
      <c r="N1004" s="16">
        <v>508733.75</v>
      </c>
      <c r="O1004" s="16">
        <v>0</v>
      </c>
      <c r="P1004" s="15">
        <v>6577194.6699999999</v>
      </c>
    </row>
    <row r="1005" spans="1:16" x14ac:dyDescent="0.3">
      <c r="A1005" s="3" t="s">
        <v>1876</v>
      </c>
      <c r="B1005" s="2">
        <v>1</v>
      </c>
      <c r="C1005" s="2">
        <v>1</v>
      </c>
      <c r="D1005" s="14" t="s">
        <v>1877</v>
      </c>
      <c r="E1005" s="15">
        <v>590323.75</v>
      </c>
      <c r="F1005" s="16">
        <v>857008.34</v>
      </c>
      <c r="G1005" s="16">
        <v>0</v>
      </c>
      <c r="H1005" s="15">
        <v>1447332.09</v>
      </c>
      <c r="I1005" s="15">
        <v>1101246.05</v>
      </c>
      <c r="J1005" s="16">
        <v>0</v>
      </c>
      <c r="K1005" s="16">
        <v>0</v>
      </c>
      <c r="L1005" s="15">
        <v>1101246.05</v>
      </c>
      <c r="M1005" s="15">
        <v>1691569.8</v>
      </c>
      <c r="N1005" s="16">
        <v>857008.34</v>
      </c>
      <c r="O1005" s="16">
        <v>0</v>
      </c>
      <c r="P1005" s="15">
        <v>2548578.14</v>
      </c>
    </row>
    <row r="1006" spans="1:16" x14ac:dyDescent="0.3">
      <c r="A1006" s="3" t="s">
        <v>1878</v>
      </c>
      <c r="B1006" s="2">
        <v>1</v>
      </c>
      <c r="C1006" s="2">
        <v>0</v>
      </c>
      <c r="D1006" s="14" t="s">
        <v>1879</v>
      </c>
      <c r="E1006" s="15">
        <v>9076.51</v>
      </c>
      <c r="F1006" s="16">
        <v>12535.01</v>
      </c>
      <c r="G1006" s="16">
        <v>0</v>
      </c>
      <c r="H1006" s="15">
        <v>21611.52</v>
      </c>
      <c r="I1006" s="15">
        <v>743490.57</v>
      </c>
      <c r="J1006" s="16">
        <v>188217.45</v>
      </c>
      <c r="K1006" s="16">
        <v>0</v>
      </c>
      <c r="L1006" s="15">
        <v>931708.02</v>
      </c>
      <c r="M1006" s="15">
        <v>752567.08</v>
      </c>
      <c r="N1006" s="16">
        <v>200752.46000000002</v>
      </c>
      <c r="O1006" s="16">
        <v>0</v>
      </c>
      <c r="P1006" s="15">
        <v>953319.54</v>
      </c>
    </row>
    <row r="1007" spans="1:16" x14ac:dyDescent="0.3">
      <c r="A1007" s="3" t="s">
        <v>1880</v>
      </c>
      <c r="B1007" s="1">
        <v>2</v>
      </c>
      <c r="C1007" s="1">
        <v>1</v>
      </c>
      <c r="D1007" s="3" t="s">
        <v>1881</v>
      </c>
      <c r="E1007" s="13">
        <v>0</v>
      </c>
      <c r="F1007" s="12">
        <v>0</v>
      </c>
      <c r="G1007" s="12">
        <v>0</v>
      </c>
      <c r="H1007" s="13">
        <v>0</v>
      </c>
      <c r="I1007" s="13">
        <v>221021.32</v>
      </c>
      <c r="J1007" s="12">
        <v>55255.33</v>
      </c>
      <c r="K1007" s="12">
        <v>0</v>
      </c>
      <c r="L1007" s="13">
        <v>276276.65000000002</v>
      </c>
      <c r="M1007" s="22">
        <v>221021.32</v>
      </c>
      <c r="N1007" s="23">
        <v>55255.33</v>
      </c>
      <c r="O1007" s="23">
        <v>0</v>
      </c>
      <c r="P1007" s="22">
        <v>276276.65000000002</v>
      </c>
    </row>
    <row r="1008" spans="1:16" x14ac:dyDescent="0.3">
      <c r="A1008" s="3" t="s">
        <v>1882</v>
      </c>
      <c r="B1008" s="1">
        <v>2</v>
      </c>
      <c r="C1008" s="1">
        <v>1</v>
      </c>
      <c r="D1008" s="3" t="s">
        <v>1883</v>
      </c>
      <c r="E1008" s="13">
        <v>0</v>
      </c>
      <c r="F1008" s="12">
        <v>0</v>
      </c>
      <c r="G1008" s="12">
        <v>0</v>
      </c>
      <c r="H1008" s="13">
        <v>0</v>
      </c>
      <c r="I1008" s="13">
        <v>7795.56</v>
      </c>
      <c r="J1008" s="12">
        <v>1948.89</v>
      </c>
      <c r="K1008" s="12">
        <v>0</v>
      </c>
      <c r="L1008" s="13">
        <v>9744.4500000000007</v>
      </c>
      <c r="M1008" s="22">
        <v>7795.56</v>
      </c>
      <c r="N1008" s="23">
        <v>1948.89</v>
      </c>
      <c r="O1008" s="23">
        <v>0</v>
      </c>
      <c r="P1008" s="22">
        <v>9744.4500000000007</v>
      </c>
    </row>
    <row r="1009" spans="1:16" x14ac:dyDescent="0.3">
      <c r="A1009" s="3" t="s">
        <v>1884</v>
      </c>
      <c r="B1009" s="1">
        <v>2</v>
      </c>
      <c r="C1009" s="1">
        <v>1</v>
      </c>
      <c r="D1009" s="3" t="s">
        <v>1885</v>
      </c>
      <c r="E1009" s="13">
        <v>0</v>
      </c>
      <c r="F1009" s="12">
        <v>0</v>
      </c>
      <c r="G1009" s="12">
        <v>0</v>
      </c>
      <c r="H1009" s="13">
        <v>0</v>
      </c>
      <c r="I1009" s="13">
        <v>497383.67999999999</v>
      </c>
      <c r="J1009" s="12">
        <v>124345.92</v>
      </c>
      <c r="K1009" s="12">
        <v>0</v>
      </c>
      <c r="L1009" s="13">
        <v>621729.6</v>
      </c>
      <c r="M1009" s="22">
        <v>497383.67999999999</v>
      </c>
      <c r="N1009" s="23">
        <v>124345.92</v>
      </c>
      <c r="O1009" s="23">
        <v>0</v>
      </c>
      <c r="P1009" s="22">
        <v>621729.6</v>
      </c>
    </row>
    <row r="1010" spans="1:16" x14ac:dyDescent="0.3">
      <c r="A1010" s="3" t="s">
        <v>1886</v>
      </c>
      <c r="B1010" s="1">
        <v>2</v>
      </c>
      <c r="C1010" s="1">
        <v>1</v>
      </c>
      <c r="D1010" s="3" t="s">
        <v>1887</v>
      </c>
      <c r="E1010" s="13">
        <v>0</v>
      </c>
      <c r="F1010" s="12">
        <v>0</v>
      </c>
      <c r="G1010" s="12">
        <v>0</v>
      </c>
      <c r="H1010" s="13">
        <v>0</v>
      </c>
      <c r="I1010" s="13">
        <v>1960.76</v>
      </c>
      <c r="J1010" s="12">
        <v>490.19</v>
      </c>
      <c r="K1010" s="12">
        <v>0</v>
      </c>
      <c r="L1010" s="13">
        <v>2450.9499999999998</v>
      </c>
      <c r="M1010" s="22">
        <v>1960.76</v>
      </c>
      <c r="N1010" s="23">
        <v>490.19</v>
      </c>
      <c r="O1010" s="23">
        <v>0</v>
      </c>
      <c r="P1010" s="22">
        <v>2450.9499999999998</v>
      </c>
    </row>
    <row r="1011" spans="1:16" x14ac:dyDescent="0.3">
      <c r="A1011" s="3" t="s">
        <v>1888</v>
      </c>
      <c r="B1011" s="1">
        <v>2</v>
      </c>
      <c r="C1011" s="1">
        <v>1</v>
      </c>
      <c r="D1011" s="3" t="s">
        <v>1889</v>
      </c>
      <c r="E1011" s="13">
        <v>9076.51</v>
      </c>
      <c r="F1011" s="12">
        <v>12535.01</v>
      </c>
      <c r="G1011" s="12">
        <v>0</v>
      </c>
      <c r="H1011" s="13">
        <v>21611.52</v>
      </c>
      <c r="I1011" s="13">
        <v>15329.25</v>
      </c>
      <c r="J1011" s="12">
        <v>6177.12</v>
      </c>
      <c r="K1011" s="12">
        <v>0</v>
      </c>
      <c r="L1011" s="13">
        <v>21506.37</v>
      </c>
      <c r="M1011" s="22">
        <v>24405.760000000002</v>
      </c>
      <c r="N1011" s="23">
        <v>18712.13</v>
      </c>
      <c r="O1011" s="23">
        <v>0</v>
      </c>
      <c r="P1011" s="22">
        <v>43117.89</v>
      </c>
    </row>
    <row r="1012" spans="1:16" x14ac:dyDescent="0.3">
      <c r="A1012" s="3" t="s">
        <v>1890</v>
      </c>
      <c r="B1012" s="1">
        <v>2</v>
      </c>
      <c r="C1012" s="1">
        <v>0</v>
      </c>
      <c r="D1012" s="3" t="s">
        <v>1891</v>
      </c>
      <c r="E1012" s="13">
        <v>258842.02</v>
      </c>
      <c r="F1012" s="12">
        <v>69987.740000000005</v>
      </c>
      <c r="G1012" s="12">
        <v>0</v>
      </c>
      <c r="H1012" s="13">
        <v>328829.76</v>
      </c>
      <c r="I1012" s="13">
        <v>2087406.65</v>
      </c>
      <c r="J1012" s="12">
        <v>224733.33</v>
      </c>
      <c r="K1012" s="12">
        <v>36904.639999999999</v>
      </c>
      <c r="L1012" s="13">
        <v>2275235.34</v>
      </c>
      <c r="M1012" s="22">
        <v>2346248.67</v>
      </c>
      <c r="N1012" s="23">
        <v>294721.07</v>
      </c>
      <c r="O1012" s="23">
        <v>36904.639999999999</v>
      </c>
      <c r="P1012" s="22">
        <v>2604065.0999999996</v>
      </c>
    </row>
    <row r="1013" spans="1:16" x14ac:dyDescent="0.3">
      <c r="A1013" s="3" t="s">
        <v>1892</v>
      </c>
      <c r="B1013" s="1">
        <v>2</v>
      </c>
      <c r="C1013" s="1">
        <v>0</v>
      </c>
      <c r="D1013" s="3" t="s">
        <v>508</v>
      </c>
      <c r="E1013" s="13">
        <v>258842.02</v>
      </c>
      <c r="F1013" s="12">
        <v>69987.740000000005</v>
      </c>
      <c r="G1013" s="12">
        <v>0</v>
      </c>
      <c r="H1013" s="13">
        <v>328829.76</v>
      </c>
      <c r="I1013" s="13">
        <v>2087406.65</v>
      </c>
      <c r="J1013" s="12">
        <v>224733.33</v>
      </c>
      <c r="K1013" s="12">
        <v>36904.639999999999</v>
      </c>
      <c r="L1013" s="13">
        <v>2275235.34</v>
      </c>
      <c r="M1013" s="22">
        <v>2346248.67</v>
      </c>
      <c r="N1013" s="23">
        <v>294721.07</v>
      </c>
      <c r="O1013" s="23">
        <v>36904.639999999999</v>
      </c>
      <c r="P1013" s="22">
        <v>2604065.0999999996</v>
      </c>
    </row>
    <row r="1014" spans="1:16" x14ac:dyDescent="0.3">
      <c r="A1014" s="3" t="s">
        <v>1893</v>
      </c>
      <c r="B1014" s="2">
        <v>1</v>
      </c>
      <c r="C1014" s="2">
        <v>1</v>
      </c>
      <c r="D1014" s="14" t="s">
        <v>1894</v>
      </c>
      <c r="E1014" s="15">
        <v>258842.02</v>
      </c>
      <c r="F1014" s="16">
        <v>69987.740000000005</v>
      </c>
      <c r="G1014" s="16">
        <v>0</v>
      </c>
      <c r="H1014" s="15">
        <v>328829.76</v>
      </c>
      <c r="I1014" s="15">
        <v>2087406.65</v>
      </c>
      <c r="J1014" s="16">
        <v>224733.33</v>
      </c>
      <c r="K1014" s="16">
        <v>36904.639999999999</v>
      </c>
      <c r="L1014" s="15">
        <v>2275235.34</v>
      </c>
      <c r="M1014" s="15">
        <v>2346248.67</v>
      </c>
      <c r="N1014" s="16">
        <v>294721.07</v>
      </c>
      <c r="O1014" s="16">
        <v>36904.639999999999</v>
      </c>
      <c r="P1014" s="15">
        <v>2604065.0999999996</v>
      </c>
    </row>
    <row r="1015" spans="1:16" x14ac:dyDescent="0.3">
      <c r="A1015" s="3" t="s">
        <v>1895</v>
      </c>
      <c r="B1015" s="1">
        <v>3</v>
      </c>
      <c r="C1015" s="1">
        <v>0</v>
      </c>
      <c r="D1015" s="3" t="s">
        <v>1896</v>
      </c>
      <c r="E1015" s="13">
        <v>2068702.87</v>
      </c>
      <c r="F1015" s="12">
        <v>1516674.72</v>
      </c>
      <c r="G1015" s="12">
        <v>468377.87</v>
      </c>
      <c r="H1015" s="13">
        <v>3116999.72</v>
      </c>
      <c r="I1015" s="13">
        <v>2592084.0699999998</v>
      </c>
      <c r="J1015" s="12">
        <v>131005.71</v>
      </c>
      <c r="K1015" s="12">
        <v>304165.68</v>
      </c>
      <c r="L1015" s="13">
        <v>2418924.1</v>
      </c>
      <c r="M1015" s="22">
        <v>4660786.9399999995</v>
      </c>
      <c r="N1015" s="23">
        <v>1647680.43</v>
      </c>
      <c r="O1015" s="23">
        <v>772543.55</v>
      </c>
      <c r="P1015" s="22">
        <v>5535923.8200000003</v>
      </c>
    </row>
    <row r="1016" spans="1:16" x14ac:dyDescent="0.3">
      <c r="A1016" s="3" t="s">
        <v>1897</v>
      </c>
      <c r="B1016" s="2">
        <v>1</v>
      </c>
      <c r="C1016" s="2">
        <v>0</v>
      </c>
      <c r="D1016" s="14" t="s">
        <v>1898</v>
      </c>
      <c r="E1016" s="15">
        <v>2095571.74</v>
      </c>
      <c r="F1016" s="16">
        <v>1516674.72</v>
      </c>
      <c r="G1016" s="16">
        <v>350000</v>
      </c>
      <c r="H1016" s="15">
        <v>3262246.46</v>
      </c>
      <c r="I1016" s="15">
        <v>2837027.74</v>
      </c>
      <c r="J1016" s="16">
        <v>131005.71</v>
      </c>
      <c r="K1016" s="16">
        <v>211302.65</v>
      </c>
      <c r="L1016" s="15">
        <v>2756730.8</v>
      </c>
      <c r="M1016" s="15">
        <v>4932599.4800000004</v>
      </c>
      <c r="N1016" s="16">
        <v>1647680.43</v>
      </c>
      <c r="O1016" s="16">
        <v>561302.65</v>
      </c>
      <c r="P1016" s="15">
        <v>6018977.2599999998</v>
      </c>
    </row>
    <row r="1017" spans="1:16" x14ac:dyDescent="0.3">
      <c r="A1017" s="3" t="s">
        <v>1899</v>
      </c>
      <c r="B1017" s="1">
        <v>2</v>
      </c>
      <c r="C1017" s="1">
        <v>1</v>
      </c>
      <c r="D1017" s="3" t="s">
        <v>1900</v>
      </c>
      <c r="E1017" s="13">
        <v>21188.28</v>
      </c>
      <c r="F1017" s="12">
        <v>1889.77</v>
      </c>
      <c r="G1017" s="12">
        <v>0</v>
      </c>
      <c r="H1017" s="13">
        <v>23078.05</v>
      </c>
      <c r="I1017" s="13">
        <v>193620.26</v>
      </c>
      <c r="J1017" s="12">
        <v>5552.7</v>
      </c>
      <c r="K1017" s="12">
        <v>5372.5</v>
      </c>
      <c r="L1017" s="13">
        <v>193800.46</v>
      </c>
      <c r="M1017" s="22">
        <v>214808.54</v>
      </c>
      <c r="N1017" s="23">
        <v>7442.4699999999993</v>
      </c>
      <c r="O1017" s="23">
        <v>5372.5</v>
      </c>
      <c r="P1017" s="22">
        <v>216878.50999999998</v>
      </c>
    </row>
    <row r="1018" spans="1:16" x14ac:dyDescent="0.3">
      <c r="A1018" s="3" t="s">
        <v>1901</v>
      </c>
      <c r="B1018" s="1">
        <v>2</v>
      </c>
      <c r="C1018" s="1">
        <v>1</v>
      </c>
      <c r="D1018" s="3" t="s">
        <v>1902</v>
      </c>
      <c r="E1018" s="13">
        <v>0</v>
      </c>
      <c r="F1018" s="12">
        <v>0</v>
      </c>
      <c r="G1018" s="12">
        <v>0</v>
      </c>
      <c r="H1018" s="13">
        <v>0</v>
      </c>
      <c r="I1018" s="13">
        <v>110322.56</v>
      </c>
      <c r="J1018" s="12">
        <v>56891.82</v>
      </c>
      <c r="K1018" s="12">
        <v>12530.54</v>
      </c>
      <c r="L1018" s="13">
        <v>154683.84</v>
      </c>
      <c r="M1018" s="22">
        <v>110322.56</v>
      </c>
      <c r="N1018" s="23">
        <v>56891.82</v>
      </c>
      <c r="O1018" s="23">
        <v>12530.54</v>
      </c>
      <c r="P1018" s="22">
        <v>154683.84</v>
      </c>
    </row>
    <row r="1019" spans="1:16" x14ac:dyDescent="0.3">
      <c r="A1019" s="3" t="s">
        <v>1903</v>
      </c>
      <c r="B1019" s="1">
        <v>2</v>
      </c>
      <c r="C1019" s="1">
        <v>1</v>
      </c>
      <c r="D1019" s="3" t="s">
        <v>1904</v>
      </c>
      <c r="E1019" s="13">
        <v>0</v>
      </c>
      <c r="F1019" s="12">
        <v>0</v>
      </c>
      <c r="G1019" s="12">
        <v>0</v>
      </c>
      <c r="H1019" s="13">
        <v>0</v>
      </c>
      <c r="I1019" s="13">
        <v>9892.75</v>
      </c>
      <c r="J1019" s="12">
        <v>0</v>
      </c>
      <c r="K1019" s="12">
        <v>0</v>
      </c>
      <c r="L1019" s="13">
        <v>9892.75</v>
      </c>
      <c r="M1019" s="22">
        <v>9892.75</v>
      </c>
      <c r="N1019" s="23">
        <v>0</v>
      </c>
      <c r="O1019" s="23">
        <v>0</v>
      </c>
      <c r="P1019" s="22">
        <v>9892.75</v>
      </c>
    </row>
    <row r="1020" spans="1:16" x14ac:dyDescent="0.3">
      <c r="A1020" s="3" t="s">
        <v>1905</v>
      </c>
      <c r="B1020" s="1">
        <v>2</v>
      </c>
      <c r="C1020" s="1">
        <v>1</v>
      </c>
      <c r="D1020" s="3" t="s">
        <v>1906</v>
      </c>
      <c r="E1020" s="13">
        <v>1526403.34</v>
      </c>
      <c r="F1020" s="12">
        <v>1143051.19</v>
      </c>
      <c r="G1020" s="12">
        <v>0</v>
      </c>
      <c r="H1020" s="13">
        <v>2669454.5299999998</v>
      </c>
      <c r="I1020" s="13">
        <v>2334696.35</v>
      </c>
      <c r="J1020" s="12">
        <v>57136.19</v>
      </c>
      <c r="K1020" s="12">
        <v>96078.24</v>
      </c>
      <c r="L1020" s="13">
        <v>2295754.2999999998</v>
      </c>
      <c r="M1020" s="22">
        <v>3861099.6900000004</v>
      </c>
      <c r="N1020" s="23">
        <v>1200187.3799999999</v>
      </c>
      <c r="O1020" s="23">
        <v>96078.24</v>
      </c>
      <c r="P1020" s="22">
        <v>4965208.83</v>
      </c>
    </row>
    <row r="1021" spans="1:16" x14ac:dyDescent="0.3">
      <c r="A1021" s="3" t="s">
        <v>1907</v>
      </c>
      <c r="B1021" s="1">
        <v>2</v>
      </c>
      <c r="C1021" s="1">
        <v>1</v>
      </c>
      <c r="D1021" s="3" t="s">
        <v>1908</v>
      </c>
      <c r="E1021" s="13">
        <v>16805.82</v>
      </c>
      <c r="F1021" s="12">
        <v>5152.54</v>
      </c>
      <c r="G1021" s="12">
        <v>0</v>
      </c>
      <c r="H1021" s="13">
        <v>21958.36</v>
      </c>
      <c r="I1021" s="13">
        <v>121560.8</v>
      </c>
      <c r="J1021" s="12">
        <v>11425</v>
      </c>
      <c r="K1021" s="12">
        <v>97321.37</v>
      </c>
      <c r="L1021" s="13">
        <v>35664.43</v>
      </c>
      <c r="M1021" s="22">
        <v>138366.62</v>
      </c>
      <c r="N1021" s="23">
        <v>16577.54</v>
      </c>
      <c r="O1021" s="23">
        <v>97321.37</v>
      </c>
      <c r="P1021" s="22">
        <v>57622.79</v>
      </c>
    </row>
    <row r="1022" spans="1:16" x14ac:dyDescent="0.3">
      <c r="A1022" s="3" t="s">
        <v>1909</v>
      </c>
      <c r="B1022" s="1">
        <v>2</v>
      </c>
      <c r="C1022" s="1">
        <v>1</v>
      </c>
      <c r="D1022" s="3" t="s">
        <v>1910</v>
      </c>
      <c r="E1022" s="13">
        <v>91170.42</v>
      </c>
      <c r="F1022" s="12">
        <v>354440.45</v>
      </c>
      <c r="G1022" s="12">
        <v>350000</v>
      </c>
      <c r="H1022" s="13">
        <v>95610.87</v>
      </c>
      <c r="I1022" s="13">
        <v>50000</v>
      </c>
      <c r="J1022" s="12">
        <v>0</v>
      </c>
      <c r="K1022" s="12">
        <v>0</v>
      </c>
      <c r="L1022" s="13">
        <v>50000</v>
      </c>
      <c r="M1022" s="22">
        <v>141170.41999999998</v>
      </c>
      <c r="N1022" s="23">
        <v>354440.45</v>
      </c>
      <c r="O1022" s="23">
        <v>350000</v>
      </c>
      <c r="P1022" s="22">
        <v>145610.87</v>
      </c>
    </row>
    <row r="1023" spans="1:16" x14ac:dyDescent="0.3">
      <c r="A1023" s="3" t="s">
        <v>1911</v>
      </c>
      <c r="B1023" s="1">
        <v>2</v>
      </c>
      <c r="C1023" s="1">
        <v>1</v>
      </c>
      <c r="D1023" s="3" t="s">
        <v>1912</v>
      </c>
      <c r="E1023" s="13">
        <v>440003.88</v>
      </c>
      <c r="F1023" s="12">
        <v>12140.77</v>
      </c>
      <c r="G1023" s="12">
        <v>0</v>
      </c>
      <c r="H1023" s="13">
        <v>452144.65</v>
      </c>
      <c r="I1023" s="13">
        <v>16935.02</v>
      </c>
      <c r="J1023" s="12">
        <v>0</v>
      </c>
      <c r="K1023" s="12">
        <v>0</v>
      </c>
      <c r="L1023" s="13">
        <v>16935.02</v>
      </c>
      <c r="M1023" s="22">
        <v>456938.9</v>
      </c>
      <c r="N1023" s="23">
        <v>12140.77</v>
      </c>
      <c r="O1023" s="23">
        <v>0</v>
      </c>
      <c r="P1023" s="22">
        <v>469079.67000000004</v>
      </c>
    </row>
    <row r="1024" spans="1:16" x14ac:dyDescent="0.3">
      <c r="A1024" s="3" t="s">
        <v>1913</v>
      </c>
      <c r="B1024" s="2">
        <v>1</v>
      </c>
      <c r="C1024" s="2">
        <v>0</v>
      </c>
      <c r="D1024" s="14" t="s">
        <v>1914</v>
      </c>
      <c r="E1024" s="20">
        <v>-26868.87</v>
      </c>
      <c r="F1024" s="16">
        <v>0</v>
      </c>
      <c r="G1024" s="16">
        <v>118377.87</v>
      </c>
      <c r="H1024" s="20">
        <v>-145246.74</v>
      </c>
      <c r="I1024" s="20">
        <v>-244943.67</v>
      </c>
      <c r="J1024" s="16">
        <v>0</v>
      </c>
      <c r="K1024" s="16">
        <v>92863.03</v>
      </c>
      <c r="L1024" s="20">
        <v>-337806.7</v>
      </c>
      <c r="M1024" s="15">
        <v>-271812.54000000004</v>
      </c>
      <c r="N1024" s="16">
        <v>0</v>
      </c>
      <c r="O1024" s="16">
        <v>211240.9</v>
      </c>
      <c r="P1024" s="15">
        <v>-483053.44</v>
      </c>
    </row>
    <row r="1025" spans="1:16" x14ac:dyDescent="0.3">
      <c r="A1025" s="3" t="s">
        <v>1915</v>
      </c>
      <c r="B1025" s="1">
        <v>2</v>
      </c>
      <c r="C1025" s="1">
        <v>0</v>
      </c>
      <c r="D1025" s="3" t="s">
        <v>1916</v>
      </c>
      <c r="E1025" s="18">
        <v>-26868.87</v>
      </c>
      <c r="F1025" s="12">
        <v>0</v>
      </c>
      <c r="G1025" s="12">
        <v>118377.87</v>
      </c>
      <c r="H1025" s="18">
        <v>-145246.74</v>
      </c>
      <c r="I1025" s="18">
        <v>-244943.67</v>
      </c>
      <c r="J1025" s="12">
        <v>0</v>
      </c>
      <c r="K1025" s="12">
        <v>92863.03</v>
      </c>
      <c r="L1025" s="18">
        <v>-337806.7</v>
      </c>
      <c r="M1025" s="22">
        <v>-271812.54000000004</v>
      </c>
      <c r="N1025" s="23">
        <v>0</v>
      </c>
      <c r="O1025" s="23">
        <v>211240.9</v>
      </c>
      <c r="P1025" s="22">
        <v>-483053.44</v>
      </c>
    </row>
    <row r="1026" spans="1:16" x14ac:dyDescent="0.3">
      <c r="A1026" s="3" t="s">
        <v>1917</v>
      </c>
      <c r="B1026" s="1">
        <v>2</v>
      </c>
      <c r="C1026" s="1">
        <v>1</v>
      </c>
      <c r="D1026" s="3" t="s">
        <v>1918</v>
      </c>
      <c r="E1026" s="18">
        <v>-12284.43</v>
      </c>
      <c r="F1026" s="12">
        <v>0</v>
      </c>
      <c r="G1026" s="12">
        <v>116370.92</v>
      </c>
      <c r="H1026" s="18">
        <v>-128655.35</v>
      </c>
      <c r="I1026" s="18">
        <v>-184123.36</v>
      </c>
      <c r="J1026" s="12">
        <v>0</v>
      </c>
      <c r="K1026" s="12">
        <v>92863.03</v>
      </c>
      <c r="L1026" s="18">
        <v>-276986.39</v>
      </c>
      <c r="M1026" s="22">
        <v>-196407.78999999998</v>
      </c>
      <c r="N1026" s="23">
        <v>0</v>
      </c>
      <c r="O1026" s="23">
        <v>209233.95</v>
      </c>
      <c r="P1026" s="22">
        <v>-405641.74</v>
      </c>
    </row>
    <row r="1027" spans="1:16" x14ac:dyDescent="0.3">
      <c r="A1027" s="3" t="s">
        <v>1919</v>
      </c>
      <c r="B1027" s="1">
        <v>2</v>
      </c>
      <c r="C1027" s="1">
        <v>1</v>
      </c>
      <c r="D1027" s="3" t="s">
        <v>1920</v>
      </c>
      <c r="E1027" s="18">
        <v>-14584.44</v>
      </c>
      <c r="F1027" s="12">
        <v>0</v>
      </c>
      <c r="G1027" s="12">
        <v>2006.95</v>
      </c>
      <c r="H1027" s="18">
        <v>-16591.39</v>
      </c>
      <c r="I1027" s="18">
        <v>-60820.31</v>
      </c>
      <c r="J1027" s="12">
        <v>0</v>
      </c>
      <c r="K1027" s="12">
        <v>0</v>
      </c>
      <c r="L1027" s="18">
        <v>-60820.31</v>
      </c>
      <c r="M1027" s="22">
        <v>-75404.75</v>
      </c>
      <c r="N1027" s="23">
        <v>0</v>
      </c>
      <c r="O1027" s="23">
        <v>2006.95</v>
      </c>
      <c r="P1027" s="22">
        <v>-77411.7</v>
      </c>
    </row>
    <row r="1028" spans="1:16" x14ac:dyDescent="0.3">
      <c r="A1028" s="3" t="s">
        <v>1921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x14ac:dyDescent="0.3">
      <c r="A1029" s="3" t="s">
        <v>1921</v>
      </c>
      <c r="B1029" s="1"/>
      <c r="C1029" s="1"/>
      <c r="D1029" s="1"/>
      <c r="E1029" s="15">
        <v>0</v>
      </c>
      <c r="F1029" s="16">
        <v>0</v>
      </c>
      <c r="G1029" s="16">
        <v>0</v>
      </c>
      <c r="H1029" s="15">
        <v>0</v>
      </c>
      <c r="I1029" s="15">
        <v>0</v>
      </c>
      <c r="J1029" s="16">
        <v>0</v>
      </c>
      <c r="K1029" s="16">
        <v>0</v>
      </c>
      <c r="L1029" s="15">
        <v>0</v>
      </c>
      <c r="M1029" s="15">
        <v>0</v>
      </c>
      <c r="N1029" s="16">
        <v>0</v>
      </c>
      <c r="O1029" s="16">
        <v>0</v>
      </c>
      <c r="P1029" s="15">
        <v>0</v>
      </c>
    </row>
    <row r="1030" spans="1:16" x14ac:dyDescent="0.3">
      <c r="A1030" s="3" t="s">
        <v>1921</v>
      </c>
      <c r="B1030" s="1"/>
      <c r="C1030" s="1"/>
      <c r="D1030" s="1"/>
      <c r="E1030" s="16">
        <v>0</v>
      </c>
      <c r="F1030" s="1"/>
      <c r="G1030" s="1"/>
      <c r="H1030" s="16">
        <v>0</v>
      </c>
      <c r="I1030" s="16">
        <v>0</v>
      </c>
      <c r="J1030" s="1"/>
      <c r="K1030" s="1"/>
      <c r="L1030" s="16">
        <v>0</v>
      </c>
      <c r="M1030" s="16">
        <v>0</v>
      </c>
      <c r="N1030" s="1"/>
      <c r="O1030" s="1"/>
      <c r="P1030" s="16">
        <v>0</v>
      </c>
    </row>
    <row r="1031" spans="1:16" x14ac:dyDescent="0.3">
      <c r="A1031" s="3" t="s">
        <v>1921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x14ac:dyDescent="0.3">
      <c r="A1032" s="3" t="s">
        <v>1921</v>
      </c>
      <c r="B1032" s="1"/>
      <c r="C1032" s="1"/>
      <c r="D1032" s="1"/>
      <c r="E1032" s="15">
        <v>140934686.03</v>
      </c>
      <c r="F1032" s="16">
        <v>125714481.5</v>
      </c>
      <c r="G1032" s="16">
        <v>125714481.5</v>
      </c>
      <c r="H1032" s="15">
        <v>167511209.15000001</v>
      </c>
      <c r="I1032" s="15">
        <v>217788770.91999999</v>
      </c>
      <c r="J1032" s="16">
        <v>64487319.07</v>
      </c>
      <c r="K1032" s="16">
        <v>64487319.07</v>
      </c>
      <c r="L1032" s="15">
        <v>218116716.00999999</v>
      </c>
      <c r="M1032" s="15">
        <v>358625381.88999993</v>
      </c>
      <c r="N1032" s="16">
        <v>190201800.56999984</v>
      </c>
      <c r="O1032" s="16">
        <v>190201800.56999996</v>
      </c>
      <c r="P1032" s="15">
        <v>385529850.0999999</v>
      </c>
    </row>
    <row r="1033" spans="1:16" x14ac:dyDescent="0.3">
      <c r="A1033" s="3" t="s">
        <v>1921</v>
      </c>
      <c r="B1033" s="1"/>
      <c r="C1033" s="1"/>
      <c r="D1033" s="1"/>
      <c r="E1033" s="16">
        <v>140934686.03</v>
      </c>
      <c r="F1033" s="1"/>
      <c r="G1033" s="1"/>
      <c r="H1033" s="16">
        <v>167511209.15000001</v>
      </c>
      <c r="I1033" s="16">
        <v>217788770.91999999</v>
      </c>
      <c r="J1033" s="1"/>
      <c r="K1033" s="1"/>
      <c r="L1033" s="16">
        <v>218116716.00999999</v>
      </c>
      <c r="M1033" s="16">
        <v>358821532.00999999</v>
      </c>
      <c r="N1033" s="1"/>
      <c r="O1033" s="1"/>
      <c r="P1033" s="16">
        <v>385726000.22000021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32CE-D4A6-452B-8B53-FF1AE14E2BA9}">
  <dimension ref="A1:H16"/>
  <sheetViews>
    <sheetView workbookViewId="0">
      <selection activeCell="C24" sqref="C24"/>
    </sheetView>
  </sheetViews>
  <sheetFormatPr baseColWidth="10" defaultRowHeight="14.4" x14ac:dyDescent="0.3"/>
  <cols>
    <col min="1" max="1" width="25" customWidth="1"/>
  </cols>
  <sheetData>
    <row r="1" spans="1:8" x14ac:dyDescent="0.3">
      <c r="A1" t="s">
        <v>1986</v>
      </c>
      <c r="C1" t="s">
        <v>1987</v>
      </c>
    </row>
    <row r="2" spans="1:8" x14ac:dyDescent="0.3">
      <c r="A2" t="s">
        <v>1988</v>
      </c>
      <c r="C2" t="s">
        <v>1989</v>
      </c>
    </row>
    <row r="3" spans="1:8" x14ac:dyDescent="0.3">
      <c r="A3" t="s">
        <v>1990</v>
      </c>
      <c r="C3" t="s">
        <v>1989</v>
      </c>
    </row>
    <row r="4" spans="1:8" x14ac:dyDescent="0.3">
      <c r="A4" t="s">
        <v>1991</v>
      </c>
      <c r="C4" t="s">
        <v>1989</v>
      </c>
    </row>
    <row r="5" spans="1:8" x14ac:dyDescent="0.3">
      <c r="A5" t="s">
        <v>1992</v>
      </c>
      <c r="C5" t="s">
        <v>1987</v>
      </c>
    </row>
    <row r="6" spans="1:8" x14ac:dyDescent="0.3">
      <c r="A6" t="s">
        <v>1993</v>
      </c>
      <c r="C6" t="s">
        <v>1987</v>
      </c>
    </row>
    <row r="16" spans="1:8" x14ac:dyDescent="0.3">
      <c r="H16" s="69" t="s">
        <v>1994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Balance</vt:lpstr>
      <vt:lpstr>Estado de Resultados</vt:lpstr>
      <vt:lpstr>Balanza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Farmiral10</dc:creator>
  <cp:lastModifiedBy>Gerardo Fuentes</cp:lastModifiedBy>
  <dcterms:created xsi:type="dcterms:W3CDTF">2025-07-11T23:01:09Z</dcterms:created>
  <dcterms:modified xsi:type="dcterms:W3CDTF">2025-07-17T18:41:28Z</dcterms:modified>
</cp:coreProperties>
</file>